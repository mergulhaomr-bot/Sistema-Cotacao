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f0888f8bade68b/Fentex Surgical/Área de Trabalho/"/>
    </mc:Choice>
  </mc:AlternateContent>
  <xr:revisionPtr revIDLastSave="0" documentId="8_{609256B0-70A8-4AAC-8DD8-260F08F8195E}" xr6:coauthVersionLast="47" xr6:coauthVersionMax="47" xr10:uidLastSave="{00000000-0000-0000-0000-000000000000}"/>
  <bookViews>
    <workbookView xWindow="43080" yWindow="-120" windowWidth="38640" windowHeight="15720" xr2:uid="{7EA48C7C-1ED1-41CC-9519-E2E9C8795AF8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E67" i="1" s="1"/>
  <c r="D66" i="1"/>
  <c r="E66" i="1" s="1"/>
  <c r="D65" i="1"/>
  <c r="E65" i="1" s="1"/>
  <c r="D64" i="1"/>
  <c r="E64" i="1" s="1"/>
  <c r="E63" i="1"/>
  <c r="D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D28" i="1"/>
  <c r="E28" i="1" s="1"/>
  <c r="E27" i="1"/>
  <c r="D27" i="1"/>
  <c r="E26" i="1"/>
  <c r="D25" i="1"/>
  <c r="E25" i="1" s="1"/>
  <c r="D24" i="1"/>
  <c r="E24" i="1" s="1"/>
  <c r="D23" i="1"/>
  <c r="E23" i="1" s="1"/>
  <c r="D22" i="1"/>
  <c r="E22" i="1" s="1"/>
  <c r="E21" i="1"/>
  <c r="E20" i="1"/>
  <c r="E19" i="1"/>
  <c r="D18" i="1"/>
  <c r="E18" i="1" s="1"/>
  <c r="E17" i="1"/>
  <c r="E16" i="1"/>
  <c r="D16" i="1"/>
  <c r="D15" i="1"/>
  <c r="E15" i="1" s="1"/>
  <c r="D14" i="1"/>
  <c r="E14" i="1" s="1"/>
  <c r="E13" i="1"/>
  <c r="D12" i="1"/>
  <c r="E12" i="1" s="1"/>
  <c r="E11" i="1"/>
  <c r="D11" i="1"/>
  <c r="D10" i="1"/>
  <c r="E10" i="1" s="1"/>
  <c r="E9" i="1"/>
  <c r="D8" i="1"/>
  <c r="E8" i="1" s="1"/>
  <c r="E7" i="1"/>
  <c r="D7" i="1"/>
  <c r="D6" i="1"/>
  <c r="E6" i="1" s="1"/>
  <c r="D5" i="1"/>
  <c r="E5" i="1" s="1"/>
  <c r="E4" i="1"/>
  <c r="D3" i="1"/>
  <c r="E3" i="1" s="1"/>
  <c r="E2" i="1"/>
  <c r="D2" i="1"/>
  <c r="E68" i="1" l="1"/>
</calcChain>
</file>

<file path=xl/sharedStrings.xml><?xml version="1.0" encoding="utf-8"?>
<sst xmlns="http://schemas.openxmlformats.org/spreadsheetml/2006/main" count="90" uniqueCount="78">
  <si>
    <t>ITEM</t>
  </si>
  <si>
    <t>NOME</t>
  </si>
  <si>
    <t>QTD</t>
  </si>
  <si>
    <t>VALOR UNIT</t>
  </si>
  <si>
    <t>VALOR TOTAL</t>
  </si>
  <si>
    <t>OBSERVAÇÃO</t>
  </si>
  <si>
    <t xml:space="preserve">Caixa Básica de Instrumentais Cirúrgicos Cirurgia Geral </t>
  </si>
  <si>
    <t xml:space="preserve">Caixa Básica de Instrumentais Cirúrgicos Cirurgia Pediátrica </t>
  </si>
  <si>
    <t xml:space="preserve">Caixa Básica de Instrumentais Cirúrgicos Cirurgia Urológica </t>
  </si>
  <si>
    <t xml:space="preserve">Caixa Básica de Instrumentais Cirúrgicos Curetagem </t>
  </si>
  <si>
    <t xml:space="preserve">Caixa Básica de Instrumentais Cirúrgicos  Histerectomia </t>
  </si>
  <si>
    <t xml:space="preserve">Caixa Básica de Instrumentais Cirúrgicos Laparotomia Ginecológica </t>
  </si>
  <si>
    <t xml:space="preserve">Caixa Básica de Instrumentais Cirúrgicos Laqueadura </t>
  </si>
  <si>
    <t xml:space="preserve">Caixa Básica de Instrumentais Cirúrgicos Obstetrícia </t>
  </si>
  <si>
    <t>É especialidade . Já tem as caixas de parto cesáre a normal</t>
  </si>
  <si>
    <t xml:space="preserve">Caixa Básica de Instrumentais Cirúrgicos ORL </t>
  </si>
  <si>
    <t>Caixa Básica de Cesárea</t>
  </si>
  <si>
    <t>Caixa Básica de Parto Normal</t>
  </si>
  <si>
    <t>Caixa Básica de Instrumentais Cirúrgicos - Parto Fórceps</t>
  </si>
  <si>
    <t>Caixa de Parto Normal + alavanca parto</t>
  </si>
  <si>
    <t>Caixa Básica de Instrumentais Cirúrgicos - Vascular Periférico</t>
  </si>
  <si>
    <t>Caixa Básica de Instrumentais Cirúrgicos – Dermato</t>
  </si>
  <si>
    <t>Caixa Básica de Instrumental Cirúrgico – Oftalmologia</t>
  </si>
  <si>
    <t>Caixa de Biópsia Nasal/Orofaringea</t>
  </si>
  <si>
    <t xml:space="preserve">Caixa de Pequena Cirurgia + pinça </t>
  </si>
  <si>
    <t>Caixa de Cirurgia Vascular para Varizes</t>
  </si>
  <si>
    <t xml:space="preserve">Caixa de Instrumental para Colonoscopia + Pinças de Biópsia + Laços de Polipectomia </t>
  </si>
  <si>
    <t>Exame (pinças longas específicas)</t>
  </si>
  <si>
    <t>Caixa de Instrumental para EDA + Pinças de Biópsia + Laços de Polipectomia</t>
  </si>
  <si>
    <t>Caixa de Instrumental para Laringoscopia Direta</t>
  </si>
  <si>
    <t>Caixa de Microcirurgia Vascular</t>
  </si>
  <si>
    <t>Caixa de Revisão Uterina e Curetagem Pós-Parto</t>
  </si>
  <si>
    <t xml:space="preserve">Caixa de Cesariana com Revisão Uterina </t>
  </si>
  <si>
    <t xml:space="preserve">Caixa de Sutura </t>
  </si>
  <si>
    <t xml:space="preserve">Caixa Instrumental para Colposcopia com Kit de Irrigação e Insuflação Compatível </t>
  </si>
  <si>
    <t>não temos</t>
  </si>
  <si>
    <t xml:space="preserve">Caixa Instrumental para Procedimentos Proctologia </t>
  </si>
  <si>
    <t xml:space="preserve">Caixa Microcirúrgica Otológica  </t>
  </si>
  <si>
    <t>Conjuntos Completos de Serra/Perfurador Ósseo</t>
  </si>
  <si>
    <t xml:space="preserve">Caixa Inox Perfurado para Esterilização Instrumental Cirurgia </t>
  </si>
  <si>
    <t xml:space="preserve">Pinça Adson Instrumental Cirurgia </t>
  </si>
  <si>
    <t xml:space="preserve">Pinça Clínica Instrumental Cirurgia </t>
  </si>
  <si>
    <t xml:space="preserve">Pinça para Sutura Instrumental Cirurgia - Pinça sem Dente Instrumental Cirurgia </t>
  </si>
  <si>
    <t xml:space="preserve">Porta Agulha Instrumental Cirurgia </t>
  </si>
  <si>
    <t xml:space="preserve">Tesoura Curva Instrumental Cirurgia </t>
  </si>
  <si>
    <t xml:space="preserve">Tesoura Mayo Instrumental Cirurgia </t>
  </si>
  <si>
    <t xml:space="preserve">Tesoura Reta Instrumental Clínica Geral </t>
  </si>
  <si>
    <t xml:space="preserve">Espelho Clínico nº 5 </t>
  </si>
  <si>
    <t xml:space="preserve">Instrumental Clínica Geral </t>
  </si>
  <si>
    <t xml:space="preserve">Pinça Clínica Instrumental Clínica Geral </t>
  </si>
  <si>
    <t xml:space="preserve">Sonda Exploradora Instrumental Específico </t>
  </si>
  <si>
    <t xml:space="preserve">Espéculo Nasal Hartmann Instrumental Específico </t>
  </si>
  <si>
    <t xml:space="preserve">Espéculo Nasal Killian Instrumental Específico </t>
  </si>
  <si>
    <t xml:space="preserve">Kit Completo de Estiletes Otológicos Instrumental Específico </t>
  </si>
  <si>
    <t xml:space="preserve">Pinça Baloneta Nasal Instrumental Específico </t>
  </si>
  <si>
    <t xml:space="preserve">Pinça Jacaré 9 cm Instrumental Específico </t>
  </si>
  <si>
    <t xml:space="preserve">Ponta de Aspirado Nasal/Ouvido nº 18 Instrumental Específico </t>
  </si>
  <si>
    <t xml:space="preserve">Ponta de Aspirado Nasal/Ouvido nº 20 Instrumental Específico </t>
  </si>
  <si>
    <t xml:space="preserve">Ponta de Aspirado Nasal/Ouvido nº 25 Instrumental Específico </t>
  </si>
  <si>
    <t xml:space="preserve">Ponta de Aspirado Nasal/Ouvido nº 30 Kit de Aspiração e Irrigação Endoscópica </t>
  </si>
  <si>
    <t xml:space="preserve">Kit Neonatal (Apoio Imediato ao Parto) </t>
  </si>
  <si>
    <t xml:space="preserve">Kit Básico de Reanimação Neonatal </t>
  </si>
  <si>
    <t xml:space="preserve">Kit Completo de Lentes de Prova - Equipamentos e Acessórios </t>
  </si>
  <si>
    <t xml:space="preserve">Kit de Cânulas e Trocartes, Shaveador, Pinças de Artroscopia, </t>
  </si>
  <si>
    <t xml:space="preserve">Kit de Suturas e Âncoras </t>
  </si>
  <si>
    <t xml:space="preserve">Kit de Cistoscopia </t>
  </si>
  <si>
    <t xml:space="preserve">Kit de Instrumentais de Artroscopia </t>
  </si>
  <si>
    <t xml:space="preserve">Kit de Instrumentais para Histeroscopia </t>
  </si>
  <si>
    <t xml:space="preserve">Kit de Laparoscopia Urológica </t>
  </si>
  <si>
    <t>Material de video</t>
  </si>
  <si>
    <t xml:space="preserve">Kit de Ressecção e Instrumentos para a Laparoscopia Urológica </t>
  </si>
  <si>
    <t xml:space="preserve">Kit de Ressectoscopia </t>
  </si>
  <si>
    <t xml:space="preserve">Kit Instrumental Ginecológico Laparoscópico </t>
  </si>
  <si>
    <t xml:space="preserve">Kit Instrumental Ortopédico Básico </t>
  </si>
  <si>
    <t xml:space="preserve">Kit Mão/Punho Kit Ortopédico Modular </t>
  </si>
  <si>
    <t xml:space="preserve">Kit para Hemorroidectomia </t>
  </si>
  <si>
    <t xml:space="preserve">Kit Partes Moles Kit Pé/Tornozelo </t>
  </si>
  <si>
    <t>Kits Cirúrgicos de Oftalmologia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</si>
</sst>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f0888f8bade68b/Fentex%20Surgical/&#193;rea%20de%20Trabalho/Cotacao%20Interior%20Vinicius%2025.10.25%20V.2.xlsx" TargetMode="External"/><Relationship Id="rId1" Type="http://schemas.openxmlformats.org/officeDocument/2006/relationships/externalLinkPath" Target="Cotacao%20Interior%20Vinicius%2025.10.25%20V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cistoscopia"/>
      <sheetName val="Cotacao"/>
      <sheetName val="outras"/>
      <sheetName val="Planilha2"/>
    </sheetNames>
    <sheetDataSet>
      <sheetData sheetId="0"/>
      <sheetData sheetId="1"/>
      <sheetData sheetId="2">
        <row r="44">
          <cell r="I44">
            <v>30924.919999999995</v>
          </cell>
        </row>
        <row r="79">
          <cell r="I79">
            <v>18256.72</v>
          </cell>
        </row>
        <row r="104">
          <cell r="I104">
            <v>14944.880000000001</v>
          </cell>
        </row>
        <row r="145">
          <cell r="I145">
            <v>33082.600000000006</v>
          </cell>
        </row>
        <row r="200">
          <cell r="I200">
            <v>39320.840000000004</v>
          </cell>
        </row>
        <row r="216">
          <cell r="I216">
            <v>12333.68</v>
          </cell>
        </row>
        <row r="259">
          <cell r="I259">
            <v>49519.808000000012</v>
          </cell>
        </row>
        <row r="284">
          <cell r="I284">
            <v>16372.079999999998</v>
          </cell>
        </row>
        <row r="296">
          <cell r="I296">
            <v>10313.84</v>
          </cell>
        </row>
        <row r="369">
          <cell r="I369">
            <v>59102.359999999979</v>
          </cell>
        </row>
        <row r="396">
          <cell r="I396">
            <v>13320.8</v>
          </cell>
        </row>
        <row r="418">
          <cell r="I418">
            <v>11682.326615384616</v>
          </cell>
        </row>
        <row r="448">
          <cell r="I448">
            <v>22615.4</v>
          </cell>
        </row>
        <row r="475">
          <cell r="I475">
            <v>21510</v>
          </cell>
        </row>
        <row r="493">
          <cell r="I493">
            <v>13794.439999999999</v>
          </cell>
        </row>
        <row r="503">
          <cell r="I503">
            <v>820.07999999999993</v>
          </cell>
        </row>
        <row r="546">
          <cell r="I546">
            <v>9980.84</v>
          </cell>
        </row>
        <row r="576">
          <cell r="I576">
            <v>21892.184000000001</v>
          </cell>
        </row>
        <row r="672">
          <cell r="I672">
            <v>36741.304000000004</v>
          </cell>
        </row>
        <row r="716">
          <cell r="I716">
            <v>27586.263999999999</v>
          </cell>
        </row>
        <row r="749">
          <cell r="I749">
            <v>18575.239999999998</v>
          </cell>
        </row>
        <row r="844">
          <cell r="I844">
            <v>28028.496000000003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5AD2-9AD7-4018-A40D-B23A2D0FF736}">
  <dimension ref="A1:F68"/>
  <sheetViews>
    <sheetView tabSelected="1" workbookViewId="0">
      <selection activeCell="J9" sqref="J9"/>
    </sheetView>
  </sheetViews>
  <sheetFormatPr defaultRowHeight="14.25" x14ac:dyDescent="0.45"/>
  <cols>
    <col min="2" max="2" width="75.46484375" bestFit="1" customWidth="1"/>
    <col min="3" max="3" width="4.46484375" bestFit="1" customWidth="1"/>
    <col min="4" max="4" width="12.3984375" bestFit="1" customWidth="1"/>
    <col min="5" max="5" width="13.53125" bestFit="1" customWidth="1"/>
    <col min="6" max="6" width="50.86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 ht="15.4" x14ac:dyDescent="0.45">
      <c r="A2" s="4">
        <v>1</v>
      </c>
      <c r="B2" s="5" t="s">
        <v>6</v>
      </c>
      <c r="C2" s="4">
        <v>1</v>
      </c>
      <c r="D2" s="6">
        <f>[1]Cotacao!I44</f>
        <v>30924.919999999995</v>
      </c>
      <c r="E2" s="6">
        <f>D2*C2</f>
        <v>30924.919999999995</v>
      </c>
      <c r="F2" s="7"/>
    </row>
    <row r="3" spans="1:6" ht="15.4" x14ac:dyDescent="0.45">
      <c r="A3" s="4">
        <v>2</v>
      </c>
      <c r="B3" s="5" t="s">
        <v>7</v>
      </c>
      <c r="C3" s="4">
        <v>1</v>
      </c>
      <c r="D3" s="6">
        <f>[1]Cotacao!I79</f>
        <v>18256.72</v>
      </c>
      <c r="E3" s="6">
        <f t="shared" ref="E3:E66" si="0">D3*C3</f>
        <v>18256.72</v>
      </c>
      <c r="F3" s="7"/>
    </row>
    <row r="4" spans="1:6" ht="15.4" x14ac:dyDescent="0.45">
      <c r="A4" s="4">
        <v>3</v>
      </c>
      <c r="B4" s="5" t="s">
        <v>8</v>
      </c>
      <c r="C4" s="4">
        <v>1</v>
      </c>
      <c r="D4" s="6">
        <v>27256.720000000001</v>
      </c>
      <c r="E4" s="6">
        <f t="shared" si="0"/>
        <v>27256.720000000001</v>
      </c>
      <c r="F4" s="7"/>
    </row>
    <row r="5" spans="1:6" ht="15.4" x14ac:dyDescent="0.45">
      <c r="A5" s="4">
        <v>4</v>
      </c>
      <c r="B5" s="5" t="s">
        <v>9</v>
      </c>
      <c r="C5" s="4">
        <v>1</v>
      </c>
      <c r="D5" s="6">
        <f>[1]Cotacao!I104</f>
        <v>14944.880000000001</v>
      </c>
      <c r="E5" s="6">
        <f t="shared" si="0"/>
        <v>14944.880000000001</v>
      </c>
      <c r="F5" s="7"/>
    </row>
    <row r="6" spans="1:6" ht="15.4" x14ac:dyDescent="0.45">
      <c r="A6" s="4">
        <v>5</v>
      </c>
      <c r="B6" s="5" t="s">
        <v>10</v>
      </c>
      <c r="C6" s="4">
        <v>1</v>
      </c>
      <c r="D6" s="6">
        <f>[1]Cotacao!I145</f>
        <v>33082.600000000006</v>
      </c>
      <c r="E6" s="6">
        <f t="shared" si="0"/>
        <v>33082.600000000006</v>
      </c>
      <c r="F6" s="7"/>
    </row>
    <row r="7" spans="1:6" ht="15.4" x14ac:dyDescent="0.45">
      <c r="A7" s="4">
        <v>6</v>
      </c>
      <c r="B7" s="5" t="s">
        <v>11</v>
      </c>
      <c r="C7" s="4">
        <v>1</v>
      </c>
      <c r="D7" s="6">
        <f>[1]Cotacao!I200</f>
        <v>39320.840000000004</v>
      </c>
      <c r="E7" s="6">
        <f t="shared" si="0"/>
        <v>39320.840000000004</v>
      </c>
      <c r="F7" s="7"/>
    </row>
    <row r="8" spans="1:6" ht="15.4" x14ac:dyDescent="0.45">
      <c r="A8" s="4">
        <v>7</v>
      </c>
      <c r="B8" s="5" t="s">
        <v>12</v>
      </c>
      <c r="C8" s="4">
        <v>1</v>
      </c>
      <c r="D8" s="6">
        <f>[1]Cotacao!I216</f>
        <v>12333.68</v>
      </c>
      <c r="E8" s="6">
        <f t="shared" si="0"/>
        <v>12333.68</v>
      </c>
      <c r="F8" s="7"/>
    </row>
    <row r="9" spans="1:6" ht="15.4" x14ac:dyDescent="0.45">
      <c r="A9" s="4">
        <v>8</v>
      </c>
      <c r="B9" s="5" t="s">
        <v>13</v>
      </c>
      <c r="C9" s="4">
        <v>1</v>
      </c>
      <c r="D9" s="6"/>
      <c r="E9" s="6">
        <f t="shared" si="0"/>
        <v>0</v>
      </c>
      <c r="F9" s="7" t="s">
        <v>14</v>
      </c>
    </row>
    <row r="10" spans="1:6" ht="15.4" x14ac:dyDescent="0.45">
      <c r="A10" s="4">
        <v>9</v>
      </c>
      <c r="B10" s="5" t="s">
        <v>15</v>
      </c>
      <c r="C10" s="4">
        <v>1</v>
      </c>
      <c r="D10" s="6">
        <f>[1]Cotacao!I259</f>
        <v>49519.808000000012</v>
      </c>
      <c r="E10" s="6">
        <f t="shared" si="0"/>
        <v>49519.808000000012</v>
      </c>
      <c r="F10" s="7"/>
    </row>
    <row r="11" spans="1:6" ht="15.4" x14ac:dyDescent="0.45">
      <c r="A11" s="4">
        <v>10</v>
      </c>
      <c r="B11" s="5" t="s">
        <v>16</v>
      </c>
      <c r="C11" s="4">
        <v>1</v>
      </c>
      <c r="D11" s="6">
        <f>[1]Cotacao!I284</f>
        <v>16372.079999999998</v>
      </c>
      <c r="E11" s="6">
        <f t="shared" si="0"/>
        <v>16372.079999999998</v>
      </c>
      <c r="F11" s="7"/>
    </row>
    <row r="12" spans="1:6" ht="15.4" x14ac:dyDescent="0.45">
      <c r="A12" s="4">
        <v>11</v>
      </c>
      <c r="B12" s="5" t="s">
        <v>17</v>
      </c>
      <c r="C12" s="4">
        <v>1</v>
      </c>
      <c r="D12" s="6">
        <f>[1]Cotacao!I296</f>
        <v>10313.84</v>
      </c>
      <c r="E12" s="6">
        <f t="shared" si="0"/>
        <v>10313.84</v>
      </c>
      <c r="F12" s="7"/>
    </row>
    <row r="13" spans="1:6" ht="15.4" x14ac:dyDescent="0.45">
      <c r="A13" s="4">
        <v>12</v>
      </c>
      <c r="B13" s="5" t="s">
        <v>18</v>
      </c>
      <c r="C13" s="4">
        <v>1</v>
      </c>
      <c r="D13" s="6"/>
      <c r="E13" s="6">
        <f t="shared" si="0"/>
        <v>0</v>
      </c>
      <c r="F13" s="7" t="s">
        <v>19</v>
      </c>
    </row>
    <row r="14" spans="1:6" ht="15.4" x14ac:dyDescent="0.45">
      <c r="A14" s="4">
        <v>13</v>
      </c>
      <c r="B14" s="5" t="s">
        <v>20</v>
      </c>
      <c r="C14" s="4">
        <v>1</v>
      </c>
      <c r="D14" s="6">
        <f>[1]Cotacao!I369</f>
        <v>59102.359999999979</v>
      </c>
      <c r="E14" s="6">
        <f t="shared" si="0"/>
        <v>59102.359999999979</v>
      </c>
      <c r="F14" s="7"/>
    </row>
    <row r="15" spans="1:6" ht="15.4" x14ac:dyDescent="0.45">
      <c r="A15" s="4">
        <v>14</v>
      </c>
      <c r="B15" s="5" t="s">
        <v>21</v>
      </c>
      <c r="C15" s="4">
        <v>1</v>
      </c>
      <c r="D15" s="6">
        <f>[1]Cotacao!I396</f>
        <v>13320.8</v>
      </c>
      <c r="E15" s="6">
        <f t="shared" si="0"/>
        <v>13320.8</v>
      </c>
      <c r="F15" s="7"/>
    </row>
    <row r="16" spans="1:6" ht="15.4" x14ac:dyDescent="0.45">
      <c r="A16" s="4">
        <v>15</v>
      </c>
      <c r="B16" s="5" t="s">
        <v>22</v>
      </c>
      <c r="C16" s="4">
        <v>1</v>
      </c>
      <c r="D16" s="6">
        <f>[1]Cotacao!I418</f>
        <v>11682.326615384616</v>
      </c>
      <c r="E16" s="6">
        <f t="shared" si="0"/>
        <v>11682.326615384616</v>
      </c>
      <c r="F16" s="7"/>
    </row>
    <row r="17" spans="1:6" ht="15.4" x14ac:dyDescent="0.45">
      <c r="A17" s="4">
        <v>16</v>
      </c>
      <c r="B17" s="5" t="s">
        <v>23</v>
      </c>
      <c r="C17" s="4">
        <v>1</v>
      </c>
      <c r="D17" s="6"/>
      <c r="E17" s="6">
        <f t="shared" si="0"/>
        <v>0</v>
      </c>
      <c r="F17" s="8" t="s">
        <v>24</v>
      </c>
    </row>
    <row r="18" spans="1:6" ht="15.4" x14ac:dyDescent="0.45">
      <c r="A18" s="4">
        <v>17</v>
      </c>
      <c r="B18" s="5" t="s">
        <v>25</v>
      </c>
      <c r="C18" s="4">
        <v>1</v>
      </c>
      <c r="D18" s="6">
        <f>[1]Cotacao!I448</f>
        <v>22615.4</v>
      </c>
      <c r="E18" s="6">
        <f t="shared" si="0"/>
        <v>22615.4</v>
      </c>
      <c r="F18" s="7"/>
    </row>
    <row r="19" spans="1:6" ht="15.4" x14ac:dyDescent="0.45">
      <c r="A19" s="4">
        <v>18</v>
      </c>
      <c r="B19" s="5" t="s">
        <v>26</v>
      </c>
      <c r="C19" s="4">
        <v>1</v>
      </c>
      <c r="D19" s="6"/>
      <c r="E19" s="6">
        <f t="shared" si="0"/>
        <v>0</v>
      </c>
      <c r="F19" s="8" t="s">
        <v>27</v>
      </c>
    </row>
    <row r="20" spans="1:6" ht="15.4" x14ac:dyDescent="0.45">
      <c r="A20" s="4">
        <v>19</v>
      </c>
      <c r="B20" s="5" t="s">
        <v>28</v>
      </c>
      <c r="C20" s="4">
        <v>1</v>
      </c>
      <c r="D20" s="6"/>
      <c r="E20" s="6">
        <f t="shared" si="0"/>
        <v>0</v>
      </c>
      <c r="F20" s="8" t="s">
        <v>27</v>
      </c>
    </row>
    <row r="21" spans="1:6" ht="15.4" x14ac:dyDescent="0.45">
      <c r="A21" s="4">
        <v>20</v>
      </c>
      <c r="B21" s="5" t="s">
        <v>29</v>
      </c>
      <c r="C21" s="4">
        <v>1</v>
      </c>
      <c r="D21" s="6"/>
      <c r="E21" s="6">
        <f t="shared" si="0"/>
        <v>0</v>
      </c>
      <c r="F21" s="8" t="s">
        <v>27</v>
      </c>
    </row>
    <row r="22" spans="1:6" ht="15.4" x14ac:dyDescent="0.45">
      <c r="A22" s="4">
        <v>21</v>
      </c>
      <c r="B22" s="5" t="s">
        <v>30</v>
      </c>
      <c r="C22" s="4">
        <v>1</v>
      </c>
      <c r="D22" s="6">
        <f>[1]Cotacao!I475</f>
        <v>21510</v>
      </c>
      <c r="E22" s="6">
        <f t="shared" si="0"/>
        <v>21510</v>
      </c>
      <c r="F22" s="7"/>
    </row>
    <row r="23" spans="1:6" ht="15.4" x14ac:dyDescent="0.45">
      <c r="A23" s="4">
        <v>22</v>
      </c>
      <c r="B23" s="5" t="s">
        <v>31</v>
      </c>
      <c r="C23" s="4">
        <v>1</v>
      </c>
      <c r="D23" s="6">
        <f>[1]Cotacao!I493</f>
        <v>13794.439999999999</v>
      </c>
      <c r="E23" s="6">
        <f t="shared" si="0"/>
        <v>13794.439999999999</v>
      </c>
      <c r="F23" s="7"/>
    </row>
    <row r="24" spans="1:6" ht="15.4" x14ac:dyDescent="0.45">
      <c r="A24" s="4">
        <v>23</v>
      </c>
      <c r="B24" s="5" t="s">
        <v>32</v>
      </c>
      <c r="C24" s="4">
        <v>1</v>
      </c>
      <c r="D24" s="6">
        <f>[1]Cotacao!I284</f>
        <v>16372.079999999998</v>
      </c>
      <c r="E24" s="6">
        <f t="shared" si="0"/>
        <v>16372.079999999998</v>
      </c>
      <c r="F24" s="7"/>
    </row>
    <row r="25" spans="1:6" ht="15.4" x14ac:dyDescent="0.45">
      <c r="A25" s="4">
        <v>24</v>
      </c>
      <c r="B25" s="5" t="s">
        <v>33</v>
      </c>
      <c r="C25" s="4">
        <v>1</v>
      </c>
      <c r="D25" s="6">
        <f>[1]Cotacao!I503</f>
        <v>820.07999999999993</v>
      </c>
      <c r="E25" s="6">
        <f t="shared" si="0"/>
        <v>820.07999999999993</v>
      </c>
      <c r="F25" s="7"/>
    </row>
    <row r="26" spans="1:6" ht="15.4" x14ac:dyDescent="0.45">
      <c r="A26" s="4">
        <v>25</v>
      </c>
      <c r="B26" s="5" t="s">
        <v>34</v>
      </c>
      <c r="C26" s="4">
        <v>1</v>
      </c>
      <c r="D26" s="6"/>
      <c r="E26" s="6">
        <f t="shared" si="0"/>
        <v>0</v>
      </c>
      <c r="F26" s="7" t="s">
        <v>35</v>
      </c>
    </row>
    <row r="27" spans="1:6" ht="15.4" x14ac:dyDescent="0.45">
      <c r="A27" s="4">
        <v>26</v>
      </c>
      <c r="B27" s="5" t="s">
        <v>36</v>
      </c>
      <c r="C27" s="4">
        <v>1</v>
      </c>
      <c r="D27" s="6">
        <f>[1]Cotacao!I546</f>
        <v>9980.84</v>
      </c>
      <c r="E27" s="6">
        <f t="shared" si="0"/>
        <v>9980.84</v>
      </c>
      <c r="F27" s="7"/>
    </row>
    <row r="28" spans="1:6" ht="15.4" x14ac:dyDescent="0.45">
      <c r="A28" s="4">
        <v>27</v>
      </c>
      <c r="B28" s="5" t="s">
        <v>37</v>
      </c>
      <c r="C28" s="4">
        <v>1</v>
      </c>
      <c r="D28" s="6">
        <f>[1]Cotacao!I576</f>
        <v>21892.184000000001</v>
      </c>
      <c r="E28" s="6">
        <f t="shared" si="0"/>
        <v>21892.184000000001</v>
      </c>
      <c r="F28" s="7"/>
    </row>
    <row r="29" spans="1:6" ht="15.4" x14ac:dyDescent="0.45">
      <c r="A29" s="4">
        <v>28</v>
      </c>
      <c r="B29" s="5" t="s">
        <v>38</v>
      </c>
      <c r="C29" s="4">
        <v>1</v>
      </c>
      <c r="D29" s="6">
        <v>29854</v>
      </c>
      <c r="E29" s="6">
        <f t="shared" si="0"/>
        <v>29854</v>
      </c>
      <c r="F29" s="7"/>
    </row>
    <row r="30" spans="1:6" ht="15.4" x14ac:dyDescent="0.45">
      <c r="A30" s="4">
        <v>29</v>
      </c>
      <c r="B30" s="5" t="s">
        <v>39</v>
      </c>
      <c r="C30" s="4">
        <v>1</v>
      </c>
      <c r="D30" s="6">
        <v>544.79999999999995</v>
      </c>
      <c r="E30" s="6">
        <f t="shared" si="0"/>
        <v>544.79999999999995</v>
      </c>
      <c r="F30" s="7"/>
    </row>
    <row r="31" spans="1:6" ht="15.4" x14ac:dyDescent="0.45">
      <c r="A31" s="4">
        <v>30</v>
      </c>
      <c r="B31" s="5" t="s">
        <v>40</v>
      </c>
      <c r="C31" s="4">
        <v>1</v>
      </c>
      <c r="D31" s="6">
        <v>168.84</v>
      </c>
      <c r="E31" s="6">
        <f t="shared" si="0"/>
        <v>168.84</v>
      </c>
      <c r="F31" s="7"/>
    </row>
    <row r="32" spans="1:6" ht="15.4" x14ac:dyDescent="0.45">
      <c r="A32" s="4">
        <v>31</v>
      </c>
      <c r="B32" s="5" t="s">
        <v>41</v>
      </c>
      <c r="C32" s="4">
        <v>1</v>
      </c>
      <c r="D32" s="6">
        <v>212</v>
      </c>
      <c r="E32" s="6">
        <f t="shared" si="0"/>
        <v>212</v>
      </c>
      <c r="F32" s="7"/>
    </row>
    <row r="33" spans="1:6" ht="15.4" x14ac:dyDescent="0.45">
      <c r="A33" s="4">
        <v>32</v>
      </c>
      <c r="B33" s="5" t="s">
        <v>42</v>
      </c>
      <c r="C33" s="4">
        <v>1</v>
      </c>
      <c r="D33" s="6">
        <v>226</v>
      </c>
      <c r="E33" s="6">
        <f t="shared" si="0"/>
        <v>226</v>
      </c>
      <c r="F33" s="7"/>
    </row>
    <row r="34" spans="1:6" ht="15.4" x14ac:dyDescent="0.45">
      <c r="A34" s="4">
        <v>33</v>
      </c>
      <c r="B34" s="5" t="s">
        <v>43</v>
      </c>
      <c r="C34" s="4">
        <v>1</v>
      </c>
      <c r="D34" s="6">
        <v>359.20000000000005</v>
      </c>
      <c r="E34" s="6">
        <f t="shared" si="0"/>
        <v>359.20000000000005</v>
      </c>
      <c r="F34" s="7"/>
    </row>
    <row r="35" spans="1:6" ht="15.4" x14ac:dyDescent="0.45">
      <c r="A35" s="4">
        <v>34</v>
      </c>
      <c r="B35" s="5" t="s">
        <v>44</v>
      </c>
      <c r="C35" s="4">
        <v>1</v>
      </c>
      <c r="D35" s="6">
        <v>316</v>
      </c>
      <c r="E35" s="6">
        <f t="shared" si="0"/>
        <v>316</v>
      </c>
      <c r="F35" s="7"/>
    </row>
    <row r="36" spans="1:6" ht="15.4" x14ac:dyDescent="0.45">
      <c r="A36" s="4">
        <v>35</v>
      </c>
      <c r="B36" s="5" t="s">
        <v>45</v>
      </c>
      <c r="C36" s="4">
        <v>1</v>
      </c>
      <c r="D36" s="6">
        <v>274.8</v>
      </c>
      <c r="E36" s="6">
        <f t="shared" si="0"/>
        <v>274.8</v>
      </c>
      <c r="F36" s="7"/>
    </row>
    <row r="37" spans="1:6" ht="15.4" x14ac:dyDescent="0.45">
      <c r="A37" s="4">
        <v>36</v>
      </c>
      <c r="B37" s="5" t="s">
        <v>46</v>
      </c>
      <c r="C37" s="4">
        <v>1</v>
      </c>
      <c r="D37" s="6">
        <v>274.8</v>
      </c>
      <c r="E37" s="6">
        <f t="shared" si="0"/>
        <v>274.8</v>
      </c>
      <c r="F37" s="7"/>
    </row>
    <row r="38" spans="1:6" ht="15.4" x14ac:dyDescent="0.45">
      <c r="A38" s="4">
        <v>37</v>
      </c>
      <c r="B38" s="5" t="s">
        <v>47</v>
      </c>
      <c r="C38" s="4">
        <v>1</v>
      </c>
      <c r="D38" s="6">
        <v>232</v>
      </c>
      <c r="E38" s="6">
        <f t="shared" si="0"/>
        <v>232</v>
      </c>
      <c r="F38" s="7"/>
    </row>
    <row r="39" spans="1:6" ht="15.4" x14ac:dyDescent="0.45">
      <c r="A39" s="4">
        <v>38</v>
      </c>
      <c r="B39" s="5" t="s">
        <v>48</v>
      </c>
      <c r="C39" s="4">
        <v>1</v>
      </c>
      <c r="D39" s="6">
        <v>217.2</v>
      </c>
      <c r="E39" s="6">
        <f t="shared" si="0"/>
        <v>217.2</v>
      </c>
      <c r="F39" s="7"/>
    </row>
    <row r="40" spans="1:6" ht="15.4" x14ac:dyDescent="0.45">
      <c r="A40" s="4">
        <v>39</v>
      </c>
      <c r="B40" s="5" t="s">
        <v>49</v>
      </c>
      <c r="C40" s="4">
        <v>1</v>
      </c>
      <c r="D40" s="6">
        <v>232</v>
      </c>
      <c r="E40" s="6">
        <f t="shared" si="0"/>
        <v>232</v>
      </c>
      <c r="F40" s="7"/>
    </row>
    <row r="41" spans="1:6" ht="15.4" x14ac:dyDescent="0.45">
      <c r="A41" s="4">
        <v>40</v>
      </c>
      <c r="B41" s="5" t="s">
        <v>50</v>
      </c>
      <c r="C41" s="4">
        <v>1</v>
      </c>
      <c r="D41" s="6">
        <v>516</v>
      </c>
      <c r="E41" s="6">
        <f t="shared" si="0"/>
        <v>516</v>
      </c>
      <c r="F41" s="7"/>
    </row>
    <row r="42" spans="1:6" ht="15.4" x14ac:dyDescent="0.45">
      <c r="A42" s="4">
        <v>41</v>
      </c>
      <c r="B42" s="5" t="s">
        <v>51</v>
      </c>
      <c r="C42" s="4">
        <v>1</v>
      </c>
      <c r="D42" s="6">
        <v>874.80000000000007</v>
      </c>
      <c r="E42" s="6">
        <f t="shared" si="0"/>
        <v>874.80000000000007</v>
      </c>
      <c r="F42" s="7"/>
    </row>
    <row r="43" spans="1:6" ht="15.4" x14ac:dyDescent="0.45">
      <c r="A43" s="4">
        <v>42</v>
      </c>
      <c r="B43" s="5" t="s">
        <v>52</v>
      </c>
      <c r="C43" s="4">
        <v>1</v>
      </c>
      <c r="D43" s="6">
        <v>874.80000000000007</v>
      </c>
      <c r="E43" s="6">
        <f t="shared" si="0"/>
        <v>874.80000000000007</v>
      </c>
      <c r="F43" s="7"/>
    </row>
    <row r="44" spans="1:6" ht="15.4" x14ac:dyDescent="0.45">
      <c r="A44" s="4">
        <v>43</v>
      </c>
      <c r="B44" s="5" t="s">
        <v>53</v>
      </c>
      <c r="C44" s="4">
        <v>1</v>
      </c>
      <c r="D44" s="6">
        <v>955.19999999999993</v>
      </c>
      <c r="E44" s="6">
        <f t="shared" si="0"/>
        <v>955.19999999999993</v>
      </c>
      <c r="F44" s="7"/>
    </row>
    <row r="45" spans="1:6" ht="15.4" x14ac:dyDescent="0.45">
      <c r="A45" s="4">
        <v>44</v>
      </c>
      <c r="B45" s="5" t="s">
        <v>54</v>
      </c>
      <c r="C45" s="4">
        <v>1</v>
      </c>
      <c r="D45" s="6">
        <v>994.80000000000007</v>
      </c>
      <c r="E45" s="6">
        <f t="shared" si="0"/>
        <v>994.80000000000007</v>
      </c>
      <c r="F45" s="7"/>
    </row>
    <row r="46" spans="1:6" ht="15.4" x14ac:dyDescent="0.45">
      <c r="A46" s="4">
        <v>45</v>
      </c>
      <c r="B46" s="5" t="s">
        <v>55</v>
      </c>
      <c r="C46" s="4">
        <v>1</v>
      </c>
      <c r="D46" s="6">
        <v>675.19999999999993</v>
      </c>
      <c r="E46" s="6">
        <f t="shared" si="0"/>
        <v>675.19999999999993</v>
      </c>
      <c r="F46" s="7"/>
    </row>
    <row r="47" spans="1:6" ht="15.4" x14ac:dyDescent="0.45">
      <c r="A47" s="4">
        <v>46</v>
      </c>
      <c r="B47" s="5" t="s">
        <v>56</v>
      </c>
      <c r="C47" s="4">
        <v>1</v>
      </c>
      <c r="D47" s="6">
        <v>235.6</v>
      </c>
      <c r="E47" s="6">
        <f t="shared" si="0"/>
        <v>235.6</v>
      </c>
      <c r="F47" s="7"/>
    </row>
    <row r="48" spans="1:6" ht="15.4" x14ac:dyDescent="0.45">
      <c r="A48" s="4">
        <v>47</v>
      </c>
      <c r="B48" s="5" t="s">
        <v>57</v>
      </c>
      <c r="C48" s="4">
        <v>1</v>
      </c>
      <c r="D48" s="6">
        <v>235.6</v>
      </c>
      <c r="E48" s="6">
        <f t="shared" si="0"/>
        <v>235.6</v>
      </c>
      <c r="F48" s="7"/>
    </row>
    <row r="49" spans="1:6" ht="15.4" x14ac:dyDescent="0.45">
      <c r="A49" s="4">
        <v>48</v>
      </c>
      <c r="B49" s="5" t="s">
        <v>58</v>
      </c>
      <c r="C49" s="4">
        <v>1</v>
      </c>
      <c r="D49" s="6">
        <v>235.6</v>
      </c>
      <c r="E49" s="6">
        <f t="shared" si="0"/>
        <v>235.6</v>
      </c>
      <c r="F49" s="7"/>
    </row>
    <row r="50" spans="1:6" ht="15.4" x14ac:dyDescent="0.45">
      <c r="A50" s="4">
        <v>49</v>
      </c>
      <c r="B50" s="5" t="s">
        <v>59</v>
      </c>
      <c r="C50" s="4">
        <v>1</v>
      </c>
      <c r="D50" s="6">
        <v>235.6</v>
      </c>
      <c r="E50" s="6">
        <f t="shared" si="0"/>
        <v>235.6</v>
      </c>
      <c r="F50" s="7"/>
    </row>
    <row r="51" spans="1:6" ht="15.4" x14ac:dyDescent="0.45">
      <c r="A51" s="4">
        <v>50</v>
      </c>
      <c r="B51" s="5" t="s">
        <v>60</v>
      </c>
      <c r="C51" s="4">
        <v>1</v>
      </c>
      <c r="D51" s="6"/>
      <c r="E51" s="6">
        <f t="shared" si="0"/>
        <v>0</v>
      </c>
      <c r="F51" s="7" t="s">
        <v>35</v>
      </c>
    </row>
    <row r="52" spans="1:6" ht="15.4" x14ac:dyDescent="0.45">
      <c r="A52" s="4">
        <v>51</v>
      </c>
      <c r="B52" s="5" t="s">
        <v>61</v>
      </c>
      <c r="C52" s="4">
        <v>1</v>
      </c>
      <c r="D52" s="6"/>
      <c r="E52" s="6">
        <f t="shared" si="0"/>
        <v>0</v>
      </c>
      <c r="F52" s="7" t="s">
        <v>35</v>
      </c>
    </row>
    <row r="53" spans="1:6" ht="15.4" x14ac:dyDescent="0.45">
      <c r="A53" s="4">
        <v>52</v>
      </c>
      <c r="B53" s="5" t="s">
        <v>62</v>
      </c>
      <c r="C53" s="4">
        <v>1</v>
      </c>
      <c r="D53" s="6"/>
      <c r="E53" s="6">
        <f t="shared" si="0"/>
        <v>0</v>
      </c>
      <c r="F53" s="7" t="s">
        <v>35</v>
      </c>
    </row>
    <row r="54" spans="1:6" ht="15.4" x14ac:dyDescent="0.45">
      <c r="A54" s="4">
        <v>53</v>
      </c>
      <c r="B54" s="5" t="s">
        <v>63</v>
      </c>
      <c r="C54" s="4">
        <v>1</v>
      </c>
      <c r="D54" s="6"/>
      <c r="E54" s="6">
        <f t="shared" si="0"/>
        <v>0</v>
      </c>
      <c r="F54" s="7" t="s">
        <v>35</v>
      </c>
    </row>
    <row r="55" spans="1:6" ht="15.4" x14ac:dyDescent="0.45">
      <c r="A55" s="4">
        <v>54</v>
      </c>
      <c r="B55" s="5" t="s">
        <v>64</v>
      </c>
      <c r="C55" s="4">
        <v>1</v>
      </c>
      <c r="D55" s="6"/>
      <c r="E55" s="6">
        <f t="shared" si="0"/>
        <v>0</v>
      </c>
      <c r="F55" s="7" t="s">
        <v>35</v>
      </c>
    </row>
    <row r="56" spans="1:6" ht="15.4" x14ac:dyDescent="0.45">
      <c r="A56" s="4">
        <v>55</v>
      </c>
      <c r="B56" s="5" t="s">
        <v>65</v>
      </c>
      <c r="C56" s="4">
        <v>1</v>
      </c>
      <c r="D56" s="6">
        <v>21875</v>
      </c>
      <c r="E56" s="6">
        <f t="shared" si="0"/>
        <v>21875</v>
      </c>
      <c r="F56" s="7"/>
    </row>
    <row r="57" spans="1:6" ht="15.4" x14ac:dyDescent="0.45">
      <c r="A57" s="4">
        <v>56</v>
      </c>
      <c r="B57" s="5" t="s">
        <v>66</v>
      </c>
      <c r="C57" s="4">
        <v>1</v>
      </c>
      <c r="D57" s="6"/>
      <c r="E57" s="6">
        <f t="shared" si="0"/>
        <v>0</v>
      </c>
      <c r="F57" s="7" t="s">
        <v>35</v>
      </c>
    </row>
    <row r="58" spans="1:6" ht="15.4" x14ac:dyDescent="0.45">
      <c r="A58" s="4">
        <v>57</v>
      </c>
      <c r="B58" s="5" t="s">
        <v>67</v>
      </c>
      <c r="C58" s="4">
        <v>1</v>
      </c>
      <c r="D58" s="6"/>
      <c r="E58" s="6">
        <f t="shared" si="0"/>
        <v>0</v>
      </c>
      <c r="F58" s="7" t="s">
        <v>35</v>
      </c>
    </row>
    <row r="59" spans="1:6" ht="15.4" x14ac:dyDescent="0.45">
      <c r="A59" s="4">
        <v>58</v>
      </c>
      <c r="B59" s="5" t="s">
        <v>68</v>
      </c>
      <c r="C59" s="4">
        <v>1</v>
      </c>
      <c r="D59" s="6"/>
      <c r="E59" s="6">
        <f t="shared" si="0"/>
        <v>0</v>
      </c>
      <c r="F59" s="7" t="s">
        <v>69</v>
      </c>
    </row>
    <row r="60" spans="1:6" ht="15.4" x14ac:dyDescent="0.45">
      <c r="A60" s="4">
        <v>59</v>
      </c>
      <c r="B60" s="5" t="s">
        <v>70</v>
      </c>
      <c r="C60" s="4">
        <v>1</v>
      </c>
      <c r="D60" s="6"/>
      <c r="E60" s="6">
        <f t="shared" si="0"/>
        <v>0</v>
      </c>
      <c r="F60" s="7" t="s">
        <v>69</v>
      </c>
    </row>
    <row r="61" spans="1:6" ht="15.4" x14ac:dyDescent="0.45">
      <c r="A61" s="4">
        <v>60</v>
      </c>
      <c r="B61" s="5" t="s">
        <v>71</v>
      </c>
      <c r="C61" s="4">
        <v>1</v>
      </c>
      <c r="D61" s="6"/>
      <c r="E61" s="6">
        <f t="shared" si="0"/>
        <v>0</v>
      </c>
      <c r="F61" s="7" t="s">
        <v>69</v>
      </c>
    </row>
    <row r="62" spans="1:6" ht="15.4" x14ac:dyDescent="0.45">
      <c r="A62" s="4">
        <v>61</v>
      </c>
      <c r="B62" s="5" t="s">
        <v>72</v>
      </c>
      <c r="C62" s="4">
        <v>1</v>
      </c>
      <c r="D62" s="6"/>
      <c r="E62" s="6">
        <f t="shared" si="0"/>
        <v>0</v>
      </c>
      <c r="F62" s="7" t="s">
        <v>35</v>
      </c>
    </row>
    <row r="63" spans="1:6" ht="15.4" x14ac:dyDescent="0.45">
      <c r="A63" s="4">
        <v>62</v>
      </c>
      <c r="B63" s="5" t="s">
        <v>73</v>
      </c>
      <c r="C63" s="4">
        <v>1</v>
      </c>
      <c r="D63" s="6">
        <f>[1]Cotacao!I844</f>
        <v>28028.496000000003</v>
      </c>
      <c r="E63" s="6">
        <f t="shared" si="0"/>
        <v>28028.496000000003</v>
      </c>
      <c r="F63" s="7"/>
    </row>
    <row r="64" spans="1:6" ht="15.4" x14ac:dyDescent="0.45">
      <c r="A64" s="4">
        <v>63</v>
      </c>
      <c r="B64" s="5" t="s">
        <v>74</v>
      </c>
      <c r="C64" s="4">
        <v>1</v>
      </c>
      <c r="D64" s="6">
        <f>[1]Cotacao!I716</f>
        <v>27586.263999999999</v>
      </c>
      <c r="E64" s="6">
        <f t="shared" si="0"/>
        <v>27586.263999999999</v>
      </c>
      <c r="F64" s="7"/>
    </row>
    <row r="65" spans="1:6" ht="15.4" x14ac:dyDescent="0.45">
      <c r="A65" s="4">
        <v>64</v>
      </c>
      <c r="B65" s="5" t="s">
        <v>75</v>
      </c>
      <c r="C65" s="4">
        <v>1</v>
      </c>
      <c r="D65" s="6">
        <f>[1]Cotacao!I749</f>
        <v>18575.239999999998</v>
      </c>
      <c r="E65" s="6">
        <f t="shared" si="0"/>
        <v>18575.239999999998</v>
      </c>
      <c r="F65" s="7"/>
    </row>
    <row r="66" spans="1:6" ht="15.4" x14ac:dyDescent="0.45">
      <c r="A66" s="4">
        <v>65</v>
      </c>
      <c r="B66" s="5" t="s">
        <v>76</v>
      </c>
      <c r="C66" s="4">
        <v>1</v>
      </c>
      <c r="D66" s="6">
        <f>[1]Cotacao!I672</f>
        <v>36741.304000000004</v>
      </c>
      <c r="E66" s="6">
        <f t="shared" si="0"/>
        <v>36741.304000000004</v>
      </c>
      <c r="F66" s="7"/>
    </row>
    <row r="67" spans="1:6" ht="15.4" x14ac:dyDescent="0.45">
      <c r="A67" s="4">
        <v>66</v>
      </c>
      <c r="B67" s="5" t="s">
        <v>77</v>
      </c>
      <c r="C67" s="4">
        <v>1</v>
      </c>
      <c r="D67" s="6">
        <f>D16</f>
        <v>11682.326615384616</v>
      </c>
      <c r="E67" s="6">
        <f t="shared" ref="E67" si="1">D67*C67</f>
        <v>11682.326615384616</v>
      </c>
      <c r="F67" s="7"/>
    </row>
    <row r="68" spans="1:6" x14ac:dyDescent="0.45">
      <c r="A68" s="9"/>
      <c r="D68" s="10"/>
      <c r="E68" s="10">
        <f>SUM(E2:E67)</f>
        <v>626650.06923076918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Marcelo Mergulhao</cp:lastModifiedBy>
  <dcterms:created xsi:type="dcterms:W3CDTF">2025-10-28T12:46:45Z</dcterms:created>
  <dcterms:modified xsi:type="dcterms:W3CDTF">2025-10-28T12:47:50Z</dcterms:modified>
</cp:coreProperties>
</file>