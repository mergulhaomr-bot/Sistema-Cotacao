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6f0888f8bade68b/Fentex Surgical/Área de Trabalho/"/>
    </mc:Choice>
  </mc:AlternateContent>
  <xr:revisionPtr revIDLastSave="71" documentId="8_{C0300E33-27E5-409E-A729-A052CB041932}" xr6:coauthVersionLast="47" xr6:coauthVersionMax="47" xr10:uidLastSave="{7EE8D975-1501-4801-A6E4-284F6C564522}"/>
  <bookViews>
    <workbookView xWindow="58230" yWindow="225" windowWidth="23370" windowHeight="14490" xr2:uid="{D6D03F05-D091-47E0-AD6E-6D0469989355}"/>
  </bookViews>
  <sheets>
    <sheet name="TR Final (2)" sheetId="6" r:id="rId1"/>
    <sheet name="GERAL" sheetId="1" r:id="rId2"/>
    <sheet name="TR" sheetId="3" r:id="rId3"/>
    <sheet name="LISTAS PRECOS PARA PROPOSTA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74" i="6" l="1"/>
  <c r="C837" i="6"/>
  <c r="C784" i="6"/>
  <c r="C752" i="6"/>
  <c r="C708" i="6"/>
  <c r="C670" i="6"/>
  <c r="C649" i="6"/>
  <c r="C618" i="6"/>
  <c r="C586" i="6"/>
  <c r="C575" i="6"/>
  <c r="C557" i="6"/>
  <c r="C529" i="6"/>
  <c r="C498" i="6"/>
  <c r="C475" i="6"/>
  <c r="C447" i="6"/>
  <c r="C373" i="6"/>
  <c r="C359" i="6"/>
  <c r="C333" i="6"/>
  <c r="C288" i="6"/>
  <c r="C271" i="6"/>
  <c r="C216" i="6"/>
  <c r="C175" i="6"/>
  <c r="C149" i="6"/>
  <c r="C82" i="6"/>
  <c r="C45" i="6"/>
  <c r="I789" i="2" l="1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788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56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12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674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21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589" i="2"/>
  <c r="I579" i="2"/>
  <c r="I580" i="2"/>
  <c r="I581" i="2"/>
  <c r="I582" i="2"/>
  <c r="I583" i="2"/>
  <c r="I584" i="2"/>
  <c r="I578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60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32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01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50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376" i="2"/>
  <c r="I370" i="2"/>
  <c r="I363" i="2"/>
  <c r="I364" i="2"/>
  <c r="I365" i="2"/>
  <c r="I366" i="2"/>
  <c r="I367" i="2"/>
  <c r="I368" i="2"/>
  <c r="I369" i="2"/>
  <c r="I371" i="2"/>
  <c r="I362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36" i="2"/>
  <c r="I329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30" i="2"/>
  <c r="I331" i="2"/>
  <c r="I291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74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19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178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52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85" i="2"/>
  <c r="D148" i="2"/>
  <c r="I44" i="2"/>
  <c r="D2" i="1" s="1"/>
  <c r="E2" i="1" s="1"/>
  <c r="I81" i="2"/>
  <c r="D3" i="1" s="1"/>
  <c r="E3" i="1" s="1"/>
  <c r="D81" i="2"/>
  <c r="D23" i="1"/>
  <c r="E23" i="1" s="1"/>
  <c r="D22" i="1"/>
  <c r="E22" i="1" s="1"/>
  <c r="I495" i="2"/>
  <c r="I556" i="2" l="1"/>
  <c r="D16" i="1" s="1"/>
  <c r="E16" i="1" s="1"/>
  <c r="I574" i="2"/>
  <c r="I648" i="2"/>
  <c r="D20" i="1" s="1"/>
  <c r="E20" i="1" s="1"/>
  <c r="I837" i="2"/>
  <c r="D24" i="1" s="1"/>
  <c r="E24" i="1" s="1"/>
  <c r="I617" i="2"/>
  <c r="D19" i="1" s="1"/>
  <c r="E19" i="1" s="1"/>
  <c r="I372" i="2"/>
  <c r="D11" i="1" s="1"/>
  <c r="E11" i="1" s="1"/>
  <c r="I528" i="2"/>
  <c r="D15" i="1" s="1"/>
  <c r="E15" i="1" s="1"/>
  <c r="I474" i="2"/>
  <c r="D13" i="1" s="1"/>
  <c r="E13" i="1" s="1"/>
  <c r="I446" i="2"/>
  <c r="D12" i="1" s="1"/>
  <c r="E12" i="1" s="1"/>
  <c r="I358" i="2"/>
  <c r="D10" i="1" s="1"/>
  <c r="E10" i="1" s="1"/>
  <c r="I332" i="2"/>
  <c r="D9" i="1" s="1"/>
  <c r="E9" i="1" s="1"/>
  <c r="I287" i="2"/>
  <c r="D8" i="1" s="1"/>
  <c r="E8" i="1" s="1"/>
  <c r="I174" i="2"/>
  <c r="D5" i="1" s="1"/>
  <c r="E5" i="1" s="1"/>
  <c r="I215" i="2"/>
  <c r="D6" i="1" s="1"/>
  <c r="E6" i="1" s="1"/>
  <c r="I270" i="2"/>
  <c r="D7" i="1" s="1"/>
  <c r="E7" i="1" s="1"/>
  <c r="I148" i="2"/>
  <c r="D4" i="1" s="1"/>
  <c r="E4" i="1" s="1"/>
  <c r="D835" i="3"/>
  <c r="D782" i="3"/>
  <c r="D750" i="3"/>
  <c r="D706" i="3"/>
  <c r="D668" i="3"/>
  <c r="D646" i="3"/>
  <c r="D615" i="3"/>
  <c r="D580" i="3"/>
  <c r="D569" i="3"/>
  <c r="D551" i="3"/>
  <c r="D524" i="3"/>
  <c r="D493" i="3"/>
  <c r="D470" i="3"/>
  <c r="D442" i="3"/>
  <c r="D368" i="3"/>
  <c r="D355" i="3"/>
  <c r="D330" i="3"/>
  <c r="D286" i="3"/>
  <c r="D269" i="3"/>
  <c r="D214" i="3"/>
  <c r="D173" i="3"/>
  <c r="D147" i="3"/>
  <c r="D80" i="3"/>
  <c r="D44" i="3"/>
  <c r="I585" i="2"/>
  <c r="D18" i="1" s="1"/>
  <c r="E18" i="1" s="1"/>
  <c r="D497" i="2" l="1"/>
  <c r="D574" i="2"/>
  <c r="D617" i="2"/>
  <c r="D648" i="2"/>
  <c r="D44" i="2"/>
  <c r="D174" i="2"/>
  <c r="D215" i="2"/>
  <c r="D270" i="2"/>
  <c r="D287" i="2"/>
  <c r="D332" i="2"/>
  <c r="D358" i="2"/>
  <c r="D372" i="2"/>
  <c r="D446" i="2"/>
  <c r="D474" i="2"/>
  <c r="I497" i="2"/>
  <c r="D14" i="1" s="1"/>
  <c r="E14" i="1" s="1"/>
  <c r="E27" i="1" s="1"/>
  <c r="D528" i="2"/>
  <c r="D556" i="2"/>
  <c r="D585" i="2"/>
  <c r="D837" i="2"/>
  <c r="D752" i="2"/>
  <c r="D784" i="2"/>
  <c r="D708" i="2"/>
  <c r="I708" i="2"/>
  <c r="D21" i="1" s="1"/>
  <c r="E21" i="1" s="1"/>
  <c r="D670" i="2"/>
  <c r="I670" i="2"/>
  <c r="D17" i="1"/>
  <c r="E17" i="1" s="1"/>
</calcChain>
</file>

<file path=xl/sharedStrings.xml><?xml version="1.0" encoding="utf-8"?>
<sst xmlns="http://schemas.openxmlformats.org/spreadsheetml/2006/main" count="3092" uniqueCount="615">
  <si>
    <t>Conjunto de Container Sólido, tamanho 3/4, dimensões internas aproximadas 430x260x115 mm, inclui tampa,  cesto e duas unidades de plaqueta de identificação</t>
  </si>
  <si>
    <t>Alfinete Bunt, para organização de instrumentais, 105mm de comprimento</t>
  </si>
  <si>
    <t>Pinça de agarre de tecidos Allis, pontas com 5x6 dentes, 155mm de comprimento</t>
  </si>
  <si>
    <t>Pinça hemostática Kelly, pontas curvas e serrilhadas, 140mm de comprimento</t>
  </si>
  <si>
    <t>Pinça hemostática Kelly, pontas retas e serrilhadas, 140mm de comprimento</t>
  </si>
  <si>
    <t>Pinça hemostática Halsted Mosquito, pontas curvas, finas e serrilhadas, 125mm de comprimento</t>
  </si>
  <si>
    <t>Pinça hemostática Halsted Mosquito, pontas retas, finas e serrilhadas, 125mm de comprimento</t>
  </si>
  <si>
    <t>Tesoura de dissecção Baby -Metzenbaum, lâminas finas com pontas curvas e rombas, 145mm de comprimento</t>
  </si>
  <si>
    <t>Tesoura de dissecção Mayo-Stille,lâminas com pontas curvas e rombas, 140mm de comprimento</t>
  </si>
  <si>
    <t>Tesoura Íris, lâminas super-Corte finas e curvas com pontas agudas, 110mm de comprimento</t>
  </si>
  <si>
    <t>Porta Agulha Baby Crile-Wood, pontas finas, com wídia de 0,4mm para fios de sutura entre 4,0 e 6,0, 150mm de comprimento</t>
  </si>
  <si>
    <t>Pinça Anatômica de dissecção Adson, pontas finas e serrilhadas, 120mm de comprimento</t>
  </si>
  <si>
    <t>Pinça Anatômica Adson, pontas finas com 1x 2 dentes, 120mm de comprimento</t>
  </si>
  <si>
    <t>Pinça Anatômica Standard, pontas largas com 1 x 2 dentes, 145mm de comprimento</t>
  </si>
  <si>
    <t>Pinça Anatômica de dissecção Standard, pontas largas e serrilhadas, 160mm de comprimento</t>
  </si>
  <si>
    <t>Pinça para campo Backhaus, pontas em bola não perfurantes, 140mm de comprimento</t>
  </si>
  <si>
    <t xml:space="preserve">Pinça porta esponja Cheron, hastes anguladas com pontas serrilhadas,  240mm de comprimento </t>
  </si>
  <si>
    <t>TOTAL</t>
  </si>
  <si>
    <t>UNITARIO</t>
  </si>
  <si>
    <t>QTD</t>
  </si>
  <si>
    <t>DESCRITIVO</t>
  </si>
  <si>
    <t>ITEM</t>
  </si>
  <si>
    <t>Tesoura de Dissecção, Metzembaum, Romba/Romba, 18cm/7", Curva.</t>
  </si>
  <si>
    <t>Tesoura de Dissecção, Metzembaum, Romba/Romba, 18cm/7", Reta.</t>
  </si>
  <si>
    <t>Tesoura Cirurgica e Dissecção, Mayo, Romba/Romba, 17.0cm/6¾", Reta.</t>
  </si>
  <si>
    <t>Tesoura Cirurgica e Dissecção, Mayo, Romba/Romba, 17.0cm/6¾", Curva.</t>
  </si>
  <si>
    <t>Raspador Flambo-te,  para Cirurgia Óssea Geral, 25mm, 21cm/8¼".</t>
  </si>
  <si>
    <t>Raspador Farabeuf,  para Cirurgia Óssea Geral, 15cm/6", reto.</t>
  </si>
  <si>
    <t>Raspador Farabeuf,  para Cirurgia Óssea Geral15cm/6", curvo.</t>
  </si>
  <si>
    <t>Porta Agulha Mayo-Hegar, 20cm/8", serrilhado, reto.</t>
  </si>
  <si>
    <t>Porta Agulha Mayo-Hegar, 18cm/7", serrilhado, reto.</t>
  </si>
  <si>
    <t>Pinça para colo Uterino, Pozzi, 25.5cm/10¼".</t>
  </si>
  <si>
    <t>Pinça Halstead-Mosquito, 12cm/4¾", reta.</t>
  </si>
  <si>
    <t>Pinça Halstead-Mosquito, 12cm/4¾", curva.</t>
  </si>
  <si>
    <t>Pinça Ochsner-Kocher, 1:2dentes, 16.0cm/6¼", reta.</t>
  </si>
  <si>
    <t>Pinça Ochsner-Kocher, 1:2dentes, 16.0cm/6¼", curva.</t>
  </si>
  <si>
    <t>Pinça Kelly-Rankin, 16cm/5¼", reta.</t>
  </si>
  <si>
    <t>Pinça Hemostática Kelly-Rankin, 16cm/6¼", serrilhada, curva.</t>
  </si>
  <si>
    <t>Pinça Foerster,lisa, 20cm/8", reta.</t>
  </si>
  <si>
    <t>Pinça Cheron, 25cm/10".</t>
  </si>
  <si>
    <t>Pinça Backhaus, 13cm/5".</t>
  </si>
  <si>
    <t>Pinça Dissecção Anatômica Serrilhada Standard,  18.0cm/7".</t>
  </si>
  <si>
    <t>Pinça de Dissecção, Dente de rato, Standard, 1:2 dentes, 18.0cm/7".</t>
  </si>
  <si>
    <t>Pinça de apreensão Allis, 15cm/6", 5:6 dentes.</t>
  </si>
  <si>
    <t>Pinça de Dissecção Adson, 1:2 dentes, 12.0cm/4¾".</t>
  </si>
  <si>
    <t>Cureta Volkmann, para Cirurgia Óssea Geral, 17cm/6¾", 4mm</t>
  </si>
  <si>
    <t>Cureta Schroeder, para Ginecologia, 30cm/12", 4mm, rigida e afiada</t>
  </si>
  <si>
    <t>Cureta Schroeder, para Ginecologia, 30cm/12", 3mm rigida e afiada</t>
  </si>
  <si>
    <t xml:space="preserve">Cúpula 100mm </t>
  </si>
  <si>
    <t>Afastador Weitlaner para cirurgia geral, delicado, 16.5cm/6½", rombo.</t>
  </si>
  <si>
    <t>Afastador Volkmann para cirurgia geral, rombo, 04 garras 9x19mm, 22cm/8¾".</t>
  </si>
  <si>
    <t>Afastador para Cirurgia Geral Farabeuf, 15cm/6".</t>
  </si>
  <si>
    <t>Alicate para Ossos, Leksell, 23cm/9", 6mm.</t>
  </si>
  <si>
    <t>Alicate para Ossos, Echin, 23cm/9", 4mm.</t>
  </si>
  <si>
    <t>Afastador Volkmann, agudo, 04 garras 9x19mm, cabo anelar, para Cirurgia Geral, 22cm/8¾".</t>
  </si>
  <si>
    <t xml:space="preserve">Tesoura Metzenbaum- Fine, lâminas curvas, finas com pontas rombas, 18cm </t>
  </si>
  <si>
    <t xml:space="preserve">Tesoura Standard, lâminas retas, largas e com pontas romba/aguda, 15.5cm </t>
  </si>
  <si>
    <t xml:space="preserve">Tesoura Mayo-Stille, lâminas curvas, largas com pontas rombas, 17cm </t>
  </si>
  <si>
    <t xml:space="preserve">Sonda exploradora-Tentacanula, haste canulada, ponta plana bipartida, 16cm </t>
  </si>
  <si>
    <t>Estilete cilíndrico, duplo, pontas com oliva terminal de 2mm, 18cm</t>
  </si>
  <si>
    <t>Estilete cilíndrico, duplo, pontas com oliva terminal de 2mm, 16cm</t>
  </si>
  <si>
    <t xml:space="preserve">Porta Agulha Mayo-Hegar, pontas retas, largas com serrilha cruzada e encaixe para agulha de sutura, 16cm </t>
  </si>
  <si>
    <t>Pinça Kocher-Ochsnner, pontas retas, serrilhadas com 1 x 2 dentes, 14cm</t>
  </si>
  <si>
    <t xml:space="preserve">Pinça Kelly, pontas retas, finas e serrilhadas, 14cm </t>
  </si>
  <si>
    <t xml:space="preserve">Pinça Kelly, pontas curvas, finas e serrilhadas, 14cm </t>
  </si>
  <si>
    <t>Pinça Halsted-Mosquito, pontas retas, finas e serrilhadas, 12.5cm</t>
  </si>
  <si>
    <t>Pinça Halsted-Mosquito, pontas curva, finas e serrilhadas, 12.5cm</t>
  </si>
  <si>
    <t xml:space="preserve">Pinça Gemini, pontas curvas, finas e serrilhadas, 13cm </t>
  </si>
  <si>
    <t xml:space="preserve">Pinça Anatômica Estreita, pontas retas, finas e serrilhadas, 16cm </t>
  </si>
  <si>
    <t xml:space="preserve">Pinça Anatômica Adson, pontas retas, finas e serrilhadas, 12cm </t>
  </si>
  <si>
    <t xml:space="preserve">Pinça Anatômica Standard, pontas retas, largas com 1 x 2 dentes, 16cm </t>
  </si>
  <si>
    <t>Pinça Anatômica Adson, pontas retas, finas com 1 x 2 dentes, 12cm</t>
  </si>
  <si>
    <t xml:space="preserve">Pinça Allis, pontas retas c/ 5 x 6 dentes, 15cm </t>
  </si>
  <si>
    <t>Pinça Cheron, pontas retas e serrilhadas, formato baioneta, 25cm</t>
  </si>
  <si>
    <t xml:space="preserve">Pinça Backhaus, pontas curvas e agudas, modelo delicado, 11cm </t>
  </si>
  <si>
    <t>Pinça Atraumática, DeBakey, para Cirurgia Cardiovascular, 30cm, 2.7mm.</t>
  </si>
  <si>
    <t>Alfinete de Segurança Mayo, 14cm</t>
  </si>
  <si>
    <t xml:space="preserve">Cabo de bisturi nº 3, graduado em centímetros, 12cm </t>
  </si>
  <si>
    <t xml:space="preserve">Cabo de bisturi nº 4, Standard, 12cm </t>
  </si>
  <si>
    <t>Valvula Czerny, 22 cm</t>
  </si>
  <si>
    <t>Espéculo Pitanga</t>
  </si>
  <si>
    <t xml:space="preserve">Afastador Farabeuf, par com 2 válvulas duplas de lâmina plana, 15cm </t>
  </si>
  <si>
    <t xml:space="preserve">Tesoura Metzenbaum- Fine, lâminas curvas, finas com pontas rombas, 14.5cm </t>
  </si>
  <si>
    <t xml:space="preserve">Tesoura Mayo, lâminas retas, largas com pontas rombas, 14.5cm </t>
  </si>
  <si>
    <t xml:space="preserve">Tesoura Íris, lâminas com wídea , muito finas, retas, chanfradas e com pontas agudas, 11.5cm </t>
  </si>
  <si>
    <t xml:space="preserve">Tesoura Íris, lâminas com wídea , muito finas, curvas, chanfradas e com pontas agudas, 11.5cm </t>
  </si>
  <si>
    <t>Goiva Zaufal-Jansen, ligeiramente curva, 18 cm</t>
  </si>
  <si>
    <t>Raspa Periósteo Farabeuf, 15cm</t>
  </si>
  <si>
    <t>Elevador SeptoJoseph, curvo, 16cm</t>
  </si>
  <si>
    <t>Porta Agulha Mayo-Hegar, pontas com wídea , retas, 16cm</t>
  </si>
  <si>
    <t>Pinça Arterial Pean Murphy, reta, 16cm</t>
  </si>
  <si>
    <t xml:space="preserve">Tesoura Íris, lâminas curvas, finas, chanfradas com pontas agudas, 12cm </t>
  </si>
  <si>
    <t>Pinça Toalha Backhaus, 13cm</t>
  </si>
  <si>
    <t xml:space="preserve">Lambotte Mini Osteótomo Ósseo, reto, 10mm, 12.5cm </t>
  </si>
  <si>
    <t xml:space="preserve">Lambotte Mini Osteótomo Ósseo, reto, 4mm, 12.5cm </t>
  </si>
  <si>
    <t xml:space="preserve">Martelo Ósseo com ponta removivel, 150g, f27mm, 22cm </t>
  </si>
  <si>
    <t xml:space="preserve">Afastador Guthrie, gancho, com abertura pequena, ponta com 3mm e 2 dentes extra pequenos e agudos, 16cm </t>
  </si>
  <si>
    <t xml:space="preserve">Afastador Gillies, gancho com abertura de 3mm e ponta aguda, 18cm  </t>
  </si>
  <si>
    <t>Cureta Simon, para Cirurgia Óssea Geral, 24cm, 4mm</t>
  </si>
  <si>
    <t>Cureta Simon, para Cirurgia Óssea Geral, 24cm, 3mm</t>
  </si>
  <si>
    <t>Bacia Redonda, 100 x 50mm</t>
  </si>
  <si>
    <t>Pinça de Corte Óseeo Liston, reta, 17cm</t>
  </si>
  <si>
    <t xml:space="preserve">Afastador Volkmann, afiado, 4 dentes, 11.5cm </t>
  </si>
  <si>
    <t xml:space="preserve">Afastador Volkmann, afiado, 2 dentes, 11.5cm </t>
  </si>
  <si>
    <t xml:space="preserve">Afastador Senn-Miller, duplo, de um lado, lâmina de 8.5mm x 7mm, e do outro, gancho com 3 dentes rombos, 16cm </t>
  </si>
  <si>
    <t xml:space="preserve">Afastador Weitlaner, garras com 3 x 4 dentes agudos, movimento por cremalheira, 20cm </t>
  </si>
  <si>
    <t>Gancho Guthrie, 13cm, 2 pinos</t>
  </si>
  <si>
    <t xml:space="preserve">Afastador Farabeuf, par com 2 válvulas duplas de lâmina plana, 12cm </t>
  </si>
  <si>
    <t xml:space="preserve">Afastador Weitlaner, garras com 3 x 4 dentes rombos, movimento por cremalheira,13cm </t>
  </si>
  <si>
    <t>Alicate de Corte de fio, 22 cm com videa</t>
  </si>
  <si>
    <t xml:space="preserve">Tesoura Metzenbaum-Nelson, lâminas retas, finas com pontas rombas, 18cm </t>
  </si>
  <si>
    <t xml:space="preserve">Tesoura Íris, lâminas retas, finas, chanfradas com pontas agudas, 12cm </t>
  </si>
  <si>
    <t xml:space="preserve">Tesoura Metzenbaum-Nelson, lâminas curvas, finas com pontas rombas, 18cm </t>
  </si>
  <si>
    <t xml:space="preserve">Sonda exploradora-Tentacanula, haste canulada, ponta plana bipartida, 14.5cm </t>
  </si>
  <si>
    <t>Sacabocado para rinoplastia, Hajek, 14cm, 5x4mm, para cima</t>
  </si>
  <si>
    <t xml:space="preserve">Porta Agulha Crile-Wood, pontas com wídea , retas e finas, 15cm </t>
  </si>
  <si>
    <t xml:space="preserve">Porta Agulha Mayo-Hegar, pontas retas, largas com serrilha cruzada e encaixe para agulha de sutura, 18cm </t>
  </si>
  <si>
    <t xml:space="preserve">Pinça Kelly-Rankin, pontas curvas, finas e serrilhadas, 16cm </t>
  </si>
  <si>
    <t>Pinça Kocher-Ochsnner, pontas curvas, serrilhadas com 1 x 2 dentes, 16cm</t>
  </si>
  <si>
    <t>Pinça para Ossos, Beyer, 18cm/7".</t>
  </si>
  <si>
    <t>Clamp de fixação Óseea Gerster-Lowman, 12cm</t>
  </si>
  <si>
    <t xml:space="preserve">Pinça Anatômica Standard, pontas retas, largas e serrilhadas, 18cm </t>
  </si>
  <si>
    <t xml:space="preserve">Pinça Anatômica Standard, pontas retas, largas e serrilhadas, 14,5cm </t>
  </si>
  <si>
    <t xml:space="preserve">Pinça Anatômica Standard, pontas retas, largas com 1 x 2 dentes, 14.5cm </t>
  </si>
  <si>
    <t xml:space="preserve">Martelo Ósseo Cottle , f30mm, 240g, 18.5cm </t>
  </si>
  <si>
    <t>Goiva  Roettgen-Ruskin, semi curva, 24 cm</t>
  </si>
  <si>
    <t>Osteótomo Mini Lambotte  17cm 15mm</t>
  </si>
  <si>
    <t>Osteótomo Mini Lambotte  17cm 10mm</t>
  </si>
  <si>
    <t>Lambotte Osteótomo, Reto, 24cm, 20mm</t>
  </si>
  <si>
    <t>Cinzel Lambotte, reto, 10mm, 24 cm</t>
  </si>
  <si>
    <t>Cureta Volkmann, para Cirurgia Óssea Geral, 17cm/6¾", 3mm</t>
  </si>
  <si>
    <t>Clamp de fixação Óseea Gerster-Lowman, 18cm</t>
  </si>
  <si>
    <t>Pinça de Corte Óseeo Ruskin-Liston, 18cm</t>
  </si>
  <si>
    <t>Alicate Óseeas, Beyer, 18cm</t>
  </si>
  <si>
    <t xml:space="preserve">Afastador Kocher, multi-uso, gancho com 1 dente rombo, 22cm </t>
  </si>
  <si>
    <t xml:space="preserve">Afastador Kocher, multi-uso, gancho com 1 dente agudo, 22cm </t>
  </si>
  <si>
    <t xml:space="preserve">Afastador Weitlaner, garras com 3 x 4 dentes agudos, movimento por cremalheira, 16cm </t>
  </si>
  <si>
    <t xml:space="preserve">Afastador Richardson, válvula com lâmina de 36mm x 28mm e bordas lisas viradas para baixo, 24cm </t>
  </si>
  <si>
    <t xml:space="preserve">Tesoura Metzenbaum- Fine, lâminas retas, finas com pontas rombas, 14.5cm </t>
  </si>
  <si>
    <t xml:space="preserve">Tesoura Metzenbaum, lâminas curvas, finas com pontas rombas, 15cm </t>
  </si>
  <si>
    <t xml:space="preserve">Afastador Weitlaner-Loktite, garras com 2 x 3 dentes rombos, movimento por cremalheira, 10.5cm </t>
  </si>
  <si>
    <t>Cúpula, com tampa, capacidade de 250 ml, diamentro de 95*51mm</t>
  </si>
  <si>
    <t>Conjunto de Container Sólido, tamanho 1/2, dimensões internas aproximadas 260x260x135 mm, inclui tampa,  dois cestos,  silicones para organização dos itens e duas unidades de plaqueta de identificação</t>
  </si>
  <si>
    <t xml:space="preserve">Tesoura Íris, lâminas curvas, finas, chanfradas com pontas agudas, 11.5cm </t>
  </si>
  <si>
    <t>Tesoura para Microcirurgia, Standard Bellucci, 4x0.8mm, 8cm, curvada para esquerda</t>
  </si>
  <si>
    <t>Tesoura para Microcirurgia, Standard Bellucci, 5.5mm, curvada para esquerda</t>
  </si>
  <si>
    <t>Tesoura para Microcirurgia, Standard Bellucci , 5.5mm, curvada para direita</t>
  </si>
  <si>
    <t>Rugina Hartmann p/ Mastóide</t>
  </si>
  <si>
    <t>Pinça Hartmann para Pólipo Auricular reta Ø 2mm</t>
  </si>
  <si>
    <t>Pinça Arterial Pean Murphy, curva, 14cm</t>
  </si>
  <si>
    <t xml:space="preserve">Pinça Magill, pontas retas com anéis fenestrados e serrilhados, neonatal, formato baioneta, 15cm </t>
  </si>
  <si>
    <t xml:space="preserve">Pinça Ouricular Hartmann, pontas em formato de colher, 7mm, 8.5cm </t>
  </si>
  <si>
    <t xml:space="preserve">Pinça Jacaré Hartmann , serrilhada, 16cm </t>
  </si>
  <si>
    <t xml:space="preserve">Pinça Backhaus, pontas curvas e agudas, 13cm </t>
  </si>
  <si>
    <t>Espéculo de Ouvido Toynbee, 4.0mm~7.5mm, kit com 4unds</t>
  </si>
  <si>
    <t xml:space="preserve">Cabo de bisturi nº 3, Standard, 12cm </t>
  </si>
  <si>
    <t>Canula de Sucção House 3.0mm</t>
  </si>
  <si>
    <t>Canula de Sucção House 2.5mm</t>
  </si>
  <si>
    <t>Canula de Sucção House 1,8mm</t>
  </si>
  <si>
    <t>Canula de Sucção House 1.5mm</t>
  </si>
  <si>
    <t>Canula de Sucção House 1mm</t>
  </si>
  <si>
    <t xml:space="preserve">Afastador Weitlaner-Wullstein, garras com 3 x 3 dentes rombos, hastes curvas, movimento por cremalheira, 13cm </t>
  </si>
  <si>
    <t>Afastador Langembeck, 60 x 10 mm</t>
  </si>
  <si>
    <t>Conjunto de Container Sólido, tamanho mini, dimensões internas aproximadas 280x130x100 mm, inclui tampa e cesto.</t>
  </si>
  <si>
    <t>Espéculo Vaginal Collin, 100x35mm</t>
  </si>
  <si>
    <t>Pinça Pozzi Tenaculum 25.5cm</t>
  </si>
  <si>
    <t>Plaqueta identificação para container, cor vermelha</t>
  </si>
  <si>
    <t>Tampa para container tamanho 1/2, com sistema de barreira permanente, silicone em toda extensão para perfeita vedação, cor vermelha</t>
  </si>
  <si>
    <t>Cesto Aramado para Container 1/2</t>
  </si>
  <si>
    <t>Box de container tamanho 1/2, em alumínio anodizado, dimensões internas 260x260x115 mm</t>
  </si>
  <si>
    <t>Valvula de Sims</t>
  </si>
  <si>
    <t>Especulo Pitanga</t>
  </si>
  <si>
    <t>Tesoura de Dissecação Delicada, Metzenbaum Romba-Romba, Curva 18cm</t>
  </si>
  <si>
    <t>Tesoura Standard, Fina-Romba, Reta, 15.5cm</t>
  </si>
  <si>
    <t>Tesoura de Dissecção Mayo Stille, Romba-Romba, Curva, 17cm</t>
  </si>
  <si>
    <t>Tentacanula, 16cm</t>
  </si>
  <si>
    <t>Sonda Bolivar 2.0mm diâmetro, 18cm</t>
  </si>
  <si>
    <t>Sonda Biolivar 2.0mm diâmetro, 16cm</t>
  </si>
  <si>
    <t>Porta Agulha Mayo Hegar, Serrilhado e Reto, 16cm</t>
  </si>
  <si>
    <t>Pinça Kocher Ochsner, 1*2 Dentes, Reta, 14cm</t>
  </si>
  <si>
    <t>Pinça Arterial Kelly, Reta, 14cm</t>
  </si>
  <si>
    <t>Pinça Arterial Kelly, Curva, 14cm</t>
  </si>
  <si>
    <t>Pinça Arterial Halsted Mosquito, Reta, 12.5cm</t>
  </si>
  <si>
    <t>Pinça Arterial Halsted Mosquito, Curva, 12.5cm</t>
  </si>
  <si>
    <t>Pinça Gemini, 13cm</t>
  </si>
  <si>
    <t>Pinça Dissecção Anatomica, Serrilhada, Fina e Delicada, 16cm</t>
  </si>
  <si>
    <t>Pinça Dissecção Adson, Serrilhada, Standard, 12cm</t>
  </si>
  <si>
    <t>Pinça de Dissecção, Dente de Rato, Standard, 1*2 Dentes, 16cm</t>
  </si>
  <si>
    <t>Pinça de Dissecção Adson, 1*2 Dentes, 12cm</t>
  </si>
  <si>
    <t>Pinça Allis, 5*6 dentes, 15cm</t>
  </si>
  <si>
    <t>Pinça Cheron, 25cm</t>
  </si>
  <si>
    <t>Pinça Backhaus, 11cm</t>
  </si>
  <si>
    <t>Pinça Atraumática Cardiovascular DeBakey , 2.8mm, 30cm</t>
  </si>
  <si>
    <t>Alfinete de Segurança Mayo (Clip para Esterilização), Reto, 14cm</t>
  </si>
  <si>
    <t>Cabo de Bisturi #3 Graduado, 12 cm</t>
  </si>
  <si>
    <t>Cabo de Bisturi #4, Graduado, 13.7 cm</t>
  </si>
  <si>
    <t>Afastador Farabeuf, 15cm</t>
  </si>
  <si>
    <t xml:space="preserve">Pinça Kelly-Rankin, pontas retas, finas e serrilhadas, 16cm </t>
  </si>
  <si>
    <t xml:space="preserve">Tesoura Mayo, lâminas retas, largas com pontas rombas, 17cm </t>
  </si>
  <si>
    <t xml:space="preserve">Pinça Rochester-Pean, pontas retas e serrilhadas, 16cm </t>
  </si>
  <si>
    <t>Afastador Doyen, Lamina de 85*45mm</t>
  </si>
  <si>
    <t>Afastador Doyen, Lamina de 115*45mm</t>
  </si>
  <si>
    <t>Pinça Foerster, Lisa e Reta, 25cm</t>
  </si>
  <si>
    <t>Pinça Foerster, Serrilhada, Curva, 25cm</t>
  </si>
  <si>
    <t>Tesoura de Dissecção Mayo, Romba-Romba, Curva, 17cm</t>
  </si>
  <si>
    <t>Porta Agulha Mayo Hegar, Serrilhado e Reto, 18cm</t>
  </si>
  <si>
    <t>Pinça de Toalha Backhaus, 13 cm</t>
  </si>
  <si>
    <t>Especulo Vaginal Sims, 70*35mm</t>
  </si>
  <si>
    <t>Cuba 100*50mm</t>
  </si>
  <si>
    <t>Tesoura para Microcirurgia,, 18cm, 90º</t>
  </si>
  <si>
    <t>Tesoura para Microcirurgia,, 18cm, 45º</t>
  </si>
  <si>
    <t>Tesoura para Microcirurgia,, curva, 11cm</t>
  </si>
  <si>
    <t xml:space="preserve">Porta Agulha Ryder-Vascular, pontas com wídea , retas, finas, curtas e com perfil rebaixado, 13cm </t>
  </si>
  <si>
    <t>Porta Agulha Micro Castroviejo, reta, 14cm</t>
  </si>
  <si>
    <t>Pinça Atraumática Pediatrica 13cm, 2mm</t>
  </si>
  <si>
    <t>Pinça Vascular Pediátrica Cardiovascular DeBakey, Atraumática, 13cm</t>
  </si>
  <si>
    <t>Pinça Vascular Pediátrica Cardiovascular, Atraumática, DeBakey, 10cm</t>
  </si>
  <si>
    <t xml:space="preserve">Pinça Baby-Mixter, pontas finas e com curvatura acentuada, 14cm </t>
  </si>
  <si>
    <t>Pinça Buldog, Atraumática, para veia, curva, 3.5cm</t>
  </si>
  <si>
    <t>Pinça Buldog, Atraumática para veia, reta, 3.5cm</t>
  </si>
  <si>
    <t>Pinca de Tecido Atraumática Cooley 16cm, 2mm</t>
  </si>
  <si>
    <t>Pinça Atraumática, DeBakey, para Cirurgia Cardiovascular, 16cm, 1.5mm.</t>
  </si>
  <si>
    <t>Grampo DeBakey Atraumática, Bulldog,  curvo, 10cm</t>
  </si>
  <si>
    <t>Grampo Bulldog  DeBakey, Atraumática, reto, 10.5cm</t>
  </si>
  <si>
    <t>Dilatador Vascular DeBakey Maleável, 19cm, Ø 1.5mm</t>
  </si>
  <si>
    <t>Dilatador Vascular DeBakey Maleável, 19cm, Ø 1mm</t>
  </si>
  <si>
    <t xml:space="preserve">Canula de Aspiração Plester, tubular, angulada em 45º, ponta redonda romba com calibre de 1.5mm, apoio digital, controle de Sucção, conexão Luer-lock, 19.5cm, acom panha mandril </t>
  </si>
  <si>
    <t xml:space="preserve">Afastador Jansen, garras com 3 x 3 dentes pequenos e agudos, barra central com pino de ajuste, 10cm </t>
  </si>
  <si>
    <t>Conjunto de Container Sólido, tamanho 3/4, dimensões internas aproximadas 430x260x85 mm, inclui tampa, cesto e duas unidades de plaqueta de identificação</t>
  </si>
  <si>
    <t xml:space="preserve">Tesoura Mixter, lâminas retas, largas com pontas rombas, 15.5cm </t>
  </si>
  <si>
    <t xml:space="preserve">Tesoura Lexer, lâminas curvas, finas com pontas rombas, 16cm </t>
  </si>
  <si>
    <t xml:space="preserve">Tesoura Standard, lâminas curvas, largas com pontas agudas, 14.5cm </t>
  </si>
  <si>
    <t xml:space="preserve">Tesoura Standard, lâminas retas, largas e com pontas romba/aguda, 14.5cm </t>
  </si>
  <si>
    <t xml:space="preserve">Porta Agulha DeBakey, pontas com wídea , retas e finas, 18cm </t>
  </si>
  <si>
    <t xml:space="preserve">Porta Agulha Mayo-Hegar, pontas retas, largas com serrilha cruzada e encaixe para agulha de sutura, 14cm </t>
  </si>
  <si>
    <t xml:space="preserve">Pinça Peers-Bertram, pontas curvas com pás terminais serrilhadas, 14.5cm </t>
  </si>
  <si>
    <t>Pinça Micro-Mosquito, pontas curvas, muito finas e serrilhadas, 10cm</t>
  </si>
  <si>
    <t>Pinça Micro-Mosquito, pontas retas, muito finas e serrilhadas, 10cm</t>
  </si>
  <si>
    <t xml:space="preserve">Pinça Mixter, pontas com curvatura acentuada e serrilhadas, 15.5cm </t>
  </si>
  <si>
    <t xml:space="preserve">Pinça Anatômica Standard, pontas retas, largas com 1 x 2 dentes, 13cm </t>
  </si>
  <si>
    <t xml:space="preserve">Pinça Anatômica Standard, pontas retas, largas e serrilhadas, 16cm </t>
  </si>
  <si>
    <t xml:space="preserve">Conjunto de Flebo extrator Nabatoff, completo, composto por: 01 cabo flexível (10-350-90), 05 olivas terminais ( 10-350-03, 10-350-06, 10-350-09, 10-350-12 e 10-350-15), 01 probe plástico (10-350-02) e 01 manopla em formato de T (10-350-80). Acompanha caixa metálica com tampa para acondicionamento, com formato oval e presilhas para fixação das peças </t>
  </si>
  <si>
    <t xml:space="preserve">Afastador Senn-Miller, duplo, de um lado, lâmina de 20mm x 7mm, e do outro, gancho com 3 dentes agudos, 15cm </t>
  </si>
  <si>
    <t xml:space="preserve">Afastador Mayo-Adams, garras laterais com 02 dentes longos, largos e rombos, com válvula central, movimento por cremalheira, 17cm </t>
  </si>
  <si>
    <t>Cesto interno para acondicionamento de materiais, fabricado em aço inox em malha plana quadrada de perfeito acabamento com dimensões de 274mm de profundidade  x  180mm de largura x 44mm de altura com tampa e trava. Inclui 1 etiqueta metálica de identificação na cor verde</t>
  </si>
  <si>
    <t>Bisturi de Diamante, cabo em PEEK, lâmina retrátil, borda em formato de lanceta em ângulo de 60º, dimensões de: 4mm de comprimento, 1mm de largura e 0.17mm de espessura</t>
  </si>
  <si>
    <t>Gancho Graether, para Íris, ponta angulada, fina com terminal em formato de botão, cabo redondo , 11cm de comprimento</t>
  </si>
  <si>
    <t>Gancho Jaffe-Berchet, para rotação de núcleo de lente, ponta angulada, fina com terminal em formato da letra Y, cabo redondo , 11cm de comprimento</t>
  </si>
  <si>
    <t>Espátula Barraquer, para Íris, lâmina plana angulada com 0,50mm de largura, cabo redondo, 13cm de comprimento</t>
  </si>
  <si>
    <t>Alça Snellen, ponta curva formando uma alça com 4mm de largura, cabo retangular, 13cm de comprimento</t>
  </si>
  <si>
    <t>Gancho Hess para Cristalino, ponta curva e aguda em formato de gancho, cabo retangular, 13cm de comprimento</t>
  </si>
  <si>
    <t>Cânula Simcoe, para irrigação e aspiração, dupla, tubo de extensão em silicone, invertida, conexão modelo Luer-Lockcalibre de 23ga</t>
  </si>
  <si>
    <t>Gancho Chopper Nichamin para manipulação de núcleo, corte horizontal, ponta angulada em 90º com extremidade em oliva de 0.5mm de diâmetro, 10cm de comprimento</t>
  </si>
  <si>
    <t>Gancho Chopper Nagahara, para manipulação de núcleo, corte horizontal, ponta angulada em 60º com 10mm de extensão, lâmina em formato de cunha com  extremidade voltada para cima, 11.5cm de comprimento</t>
  </si>
  <si>
    <t>Micro tesoura Vannas, lâminas muito finas, afiladas e com pontas agudas 7mm de extensão, cabos planos, 8cm de comprimento</t>
  </si>
  <si>
    <t>Micro Tesoura Castroviejo, para córnea, lâminas com pontas curvas e rombas de 14mm de extensão, hastes com cabos planos, 13cm de comprimento</t>
  </si>
  <si>
    <t>Micro Tesoura Westcott, lâminas com pontas curvas, afiladas e rombas, hastes com cabos planos, 11cm de comprimento</t>
  </si>
  <si>
    <t>Micro Porta-Agulha Barraquer-Troutman, pontas curvas e afiladas com dimensões de 0,6mm x 9mm, cabos redondos de 9mm de diâmetro sem trava, 9cm de comprimento</t>
  </si>
  <si>
    <t>Micro pinça anatômica Barraquer- Colibri, para fixação, hastes com extremidades afiladas e curvas, pontas anguladas em 90º com 1 x 2 dentes de  0,12mm de largura, sem plataforma, 7.5cm de comprimento</t>
  </si>
  <si>
    <t>Micro pinça anatômica Fechtner, para conjuntiva, pontas retas com anéis distais com diâmetro de 1,2mm, hastes com furos para apoio digital, 10,5cm de comprimento</t>
  </si>
  <si>
    <t>Micro pinça anatômica McPherson, pontas anguladas finas com plataforma de 7mm de extensão, pino guia entre as hastes, 10cm de comprimento</t>
  </si>
  <si>
    <t>Micro pinça para Capsulorhexis Inamura, hastes com extremidades anguladas, pontas interligadas por uma área de junção e com ação cruzada, pontas curvas viradas para cima, microserrilhadas e com 13mm de extensão, cabos planos perfurados para apoio digital, 12cm de comprimento</t>
  </si>
  <si>
    <t>Blefarostato Barraquer, para adultos, autostático, modelo em arame, lâminas laterais fenestradas com 14mm de altura, 4cm de comprimento</t>
  </si>
  <si>
    <t>Pe</t>
  </si>
  <si>
    <t>Conjunto de Container Sólido, tamanho 1/2, dimensões internas aproximadas 260x260x85 mm, inclui tampa,  cesto e duas unidades de plaqueta de identificação</t>
  </si>
  <si>
    <t>Pinça Kocher-Ochsnner, pontas retas, serrilhadas com 1 x 2 dentes, 16cm</t>
  </si>
  <si>
    <t xml:space="preserve">Pinça Anatômica Standard, pontas retas, largas e serrilhadas, 13cm </t>
  </si>
  <si>
    <t xml:space="preserve">Tesoura Wagner, lâminas curvas, finas, chanfradas com pontas agudas, 12cm </t>
  </si>
  <si>
    <t xml:space="preserve">Tesoura Wagner, lâminas retas, finas, chanfradas com pontas agudas, 12cm </t>
  </si>
  <si>
    <t xml:space="preserve">Tesoura Metzenbaum-Nelson, lâminas curvas, finas com pontas rombas, 23cm </t>
  </si>
  <si>
    <t xml:space="preserve">Tesoura Mayo-Stille, lâminas curvas, largas com pontas rombas, 15cm </t>
  </si>
  <si>
    <t xml:space="preserve">Tesoura Standard, lâminas com wídea , curvas e chanfradas, pontas aguda/romba, 14.5cm </t>
  </si>
  <si>
    <t xml:space="preserve">Tesoura Metzenbaum- Fine, lâminas curvas, finas com pontas agudas, 14.5cm </t>
  </si>
  <si>
    <t xml:space="preserve">Tesoura Metzenbaum- Baby, lâminas curvas, finas com pontas rombas, 11.5cm </t>
  </si>
  <si>
    <t xml:space="preserve">Tesoura Metzenbaum, lâminas curvas, finas com corte serrilhado e pontas agudas, 14.5cm </t>
  </si>
  <si>
    <t xml:space="preserve">Porta Agulha Ryder- Martin, pontas com wídea , retas, finas, curtas e com perfil rebaixado, 15cm </t>
  </si>
  <si>
    <t xml:space="preserve">Pinça Allis, pontas retas c/ 5 x 6 dentes, 19cm </t>
  </si>
  <si>
    <t>Porta Agulha Hegar, pontas com wídea , retas e largas, 24cm</t>
  </si>
  <si>
    <t xml:space="preserve">Pinça Mixter, pontas curvas e serrilhadas, 23cm </t>
  </si>
  <si>
    <t>Pinca para Tecidos Vasculares DeBakey, Atraumática, 24cm, 3.5 mm</t>
  </si>
  <si>
    <t>Pinça Vascular Potts, Atraumática, 27cm</t>
  </si>
  <si>
    <t>Pinça Vascular Periférica Cardiovascular Leland-Jones, Atraumática, 18cm</t>
  </si>
  <si>
    <t>Pinça Vascular Multifuncional DeBakey, Atraumática, 15cm</t>
  </si>
  <si>
    <t>Pinça multi uso Cardiovascular DeBakey Atraumática, 20cm</t>
  </si>
  <si>
    <t>Pinça Buldog, Atraumática, para veia, curva, 5cm</t>
  </si>
  <si>
    <t>Pinça Buldog, Atraumática, para veia, reta, 5cm</t>
  </si>
  <si>
    <t>Pinça Bulldog DeBakey-Satinsky, Atraumática, 7cm</t>
  </si>
  <si>
    <t xml:space="preserve">Pinça Foerster, pontas curvas, com anéis fenestrados e serrilhados, 25cm </t>
  </si>
  <si>
    <t xml:space="preserve">Pinça Pean, pontas retas, finas e serrilhadas, 14cm </t>
  </si>
  <si>
    <t xml:space="preserve">Pinça Leriche, pontas retas, finas e serrilhadas, 15cm </t>
  </si>
  <si>
    <t>Pinca para Tecidos Vasculares DeBakey, Atraumática, 20cm, 2.8 mm</t>
  </si>
  <si>
    <t>Pinça Atraumática DeBakey, 20cm, ponta de 2.0mm</t>
  </si>
  <si>
    <t>Pinca de Tecido Vascular Não Traumático DeBakey 16cm 2mm</t>
  </si>
  <si>
    <t xml:space="preserve">Pinça Anatômica Adlerkreutz, pontas retas, largas com 2 x 3 dentes, 15cm </t>
  </si>
  <si>
    <t>Dilatador Vascular DeBakey Maleável, 19cm, Ø 7mm</t>
  </si>
  <si>
    <t>Dilatador Vascular DeBakey Maleável, 19cm, Ø 5mm</t>
  </si>
  <si>
    <t>Dilatador Vascular DeBakey Maleável, 19cm, Ø 3mm</t>
  </si>
  <si>
    <t>Dilatador Vascular DeBakey Maleável, 19cm, Ø 2mm</t>
  </si>
  <si>
    <t>Clamp Glover Atraumática Bulldog curva 5.5cm</t>
  </si>
  <si>
    <t>Clamp Glover Atraumática Bulldog reta 6cm</t>
  </si>
  <si>
    <t>Clamp Glover Atraumática Bulldog 5cm</t>
  </si>
  <si>
    <t xml:space="preserve">Canula Schmid, tubular, reta,  maleável, com ponta esférica de 5mm de calibre, conexão Luer-lock, 15cm </t>
  </si>
  <si>
    <t xml:space="preserve">Canula de Sucção Adson, tubular, angulada em 45º, calibre de 12 Fr, ponta romba, conexão Luer-lock, 19cm, com mandril </t>
  </si>
  <si>
    <t xml:space="preserve">Canula de Sucção Adson, tubular, angulada em 45º, calibre de 6 Fr, ponta romba, conexão Luer-lock, 19cm, com mandril </t>
  </si>
  <si>
    <t xml:space="preserve">Afastador Henley, garras com 3 x 4 dentes agudos, movimento por cremalheira, com válvula central de 25mm X 16mm, 16.5cm </t>
  </si>
  <si>
    <t xml:space="preserve">Afastador Henley, garras com 3 x 4 dentes rombos, movimento por cremalheira, sem válvula central, 16.5cm </t>
  </si>
  <si>
    <t xml:space="preserve">Afastador Mollison, garras com 4 x 4 dentes agudos, hastes com curva acentuada, movimento por cremalheira, 15cm </t>
  </si>
  <si>
    <t xml:space="preserve">Afastador Weitlaner, garras com 3 x 4 dentes rombos, movimento por cremalheira,16cm </t>
  </si>
  <si>
    <t xml:space="preserve">Afastador Adson Cone, garras com dupla articulação e 3 x 4 dentes rombos, movimento por cremalheira, 20cm </t>
  </si>
  <si>
    <t xml:space="preserve">Afastador Anderson-Adson, garras com 4 x 4 dentes agudos, hastes curvas, movimento por cremalheira, 19.5cm </t>
  </si>
  <si>
    <t xml:space="preserve">Afastador Langenbeck, válvula curva com lâmina de dimensões de 63mm x 20mm, 21cm </t>
  </si>
  <si>
    <t xml:space="preserve">Afastador Richardson, válvula com lâmina de 44mm x 38mm e bordas lisas viradas para baixo, 24cm </t>
  </si>
  <si>
    <t xml:space="preserve">Pinça Rochester-Pean, pontas retas e serrilhadas, 18cm </t>
  </si>
  <si>
    <t xml:space="preserve">Pinça Rochester-Pean, pontas curvas e serrilhadas, 18cm </t>
  </si>
  <si>
    <t>Conjunto de container sólido, tamanho 3/4, dimensões internas aproximadas 430x260x85 mm, inclui tampa, cesto e duas unidades de plaqueta de identificação</t>
  </si>
  <si>
    <t>Válvula Central Balfour, 4x8cm</t>
  </si>
  <si>
    <t xml:space="preserve">Tesoura Mayo, lâminas curvas, largas com pontas rombas, 17cm </t>
  </si>
  <si>
    <t xml:space="preserve">Pinça Foerster, pontas retas, com anéis fenestrados sem serrilha, 25cm </t>
  </si>
  <si>
    <t>Alavanca para Parto, 36 cm</t>
  </si>
  <si>
    <t xml:space="preserve">Afastador Doyen, válvula com lâmina concâva  com dimensões de 85mm  x 45mm, 24cm </t>
  </si>
  <si>
    <t xml:space="preserve">Tesoura Mc Indoe, lâminas retas, chanfradas, com pontas agudas e corte serrilhado, 19cm </t>
  </si>
  <si>
    <t>Tesoura Fomon, lâminas curvas acentuadas e pontas rombas, 13cm</t>
  </si>
  <si>
    <t xml:space="preserve">Tesoura Cottle, lâminas retas, largas com pontas rombas, hastes anguladas p/ frente, 15cm </t>
  </si>
  <si>
    <t>Tesoura Converse, 11 cm</t>
  </si>
  <si>
    <t xml:space="preserve">Raspador Nasal Lewis Joseph, dentes delicados, 18cm </t>
  </si>
  <si>
    <t xml:space="preserve">Takahashi Pinça para Corte Nasal, 3mm, reta, Fig.1, 19cm </t>
  </si>
  <si>
    <t xml:space="preserve">Takahashi Pinça para Corte Nasal, 4x10mm, 19cm </t>
  </si>
  <si>
    <t>Pinça de Punção Blakesley, (corte direto), reta, 2.5mm, 110mm</t>
  </si>
  <si>
    <t>Pinça de Punção Blakesley, (corte direto), 45° curvado para cima, 2.5mm, 110mm</t>
  </si>
  <si>
    <t>Pinça para Punção de antro Stammberger, em linha reta, 1mm</t>
  </si>
  <si>
    <t xml:space="preserve">Rugina para Laminectomia Cushing, 45° para cima, 2x10mm, 15cm </t>
  </si>
  <si>
    <t>Pinça Come, reta</t>
  </si>
  <si>
    <t>Pinça Come, agulada para frente</t>
  </si>
  <si>
    <t>Pinça Cogumelo, reta, 16cm</t>
  </si>
  <si>
    <t>Pinça Cogumelo, curva, 16cm</t>
  </si>
  <si>
    <t>Pinça Anatômica Jansen, baioneta, pontas retas e serrilhadas, 16cm</t>
  </si>
  <si>
    <t xml:space="preserve">Pinça Anatômica Adson Brown, pontas retas, finas com 7x7 dentes, 12cm </t>
  </si>
  <si>
    <t xml:space="preserve">Afastador Gillies, gancho com abertura de 4mm e ponta aguda, 18cm  </t>
  </si>
  <si>
    <t xml:space="preserve">Afastador Fomon/Joseph, com pontas abauladas, 16cm </t>
  </si>
  <si>
    <t xml:space="preserve">Alavanca de Septo Cottle , ponta para cima, 21cm </t>
  </si>
  <si>
    <t xml:space="preserve">Alavanca de Septo Freer, afiada/romba 4.5mm, 18cm </t>
  </si>
  <si>
    <t xml:space="preserve">Osteótomo Mini Lambotte  Ósseo, 6mm, 17cm </t>
  </si>
  <si>
    <t xml:space="preserve">Osteótomo Mini Lambotte  Ósseo, 4mm, 17cm </t>
  </si>
  <si>
    <t xml:space="preserve">Osteótomo Walter, 3mm, 19cm </t>
  </si>
  <si>
    <t>Cinzel com 2 Guias. 10 mm</t>
  </si>
  <si>
    <t xml:space="preserve">Canula de Sucção Frazier/McGuckin, 11.FG, 3.6mm, 30°, 19cm </t>
  </si>
  <si>
    <t xml:space="preserve">Canula de Sucção Frazier/McGuckin, 9.FG, 3.0mm, 30°, 19cm </t>
  </si>
  <si>
    <t xml:space="preserve">Afastador Converse Alar, afiado, ponta para cima, 12cm </t>
  </si>
  <si>
    <t xml:space="preserve">Afastador Nasa Aufricht, 19cm </t>
  </si>
  <si>
    <t>Conjunto de Container Sólido, tamanho dental, dimensões internas aproximadas 280x180x100 mm, inclui tampa, cesto e duas unidades de plaqueta de identificação</t>
  </si>
  <si>
    <t>Porta Agulha Mayo-Hegar, pontas com wídea , retas, 18cm</t>
  </si>
  <si>
    <t xml:space="preserve">Pinça Backhaus, pontas curvas e agudas, modelo delicado, 13cm </t>
  </si>
  <si>
    <t>Conjunto de Container Sólido, tamanho 3/4, dimensões internas aproximadas 430x260x115 mm, inclui tampa, cesto e duas unidades de plaqueta de identificação</t>
  </si>
  <si>
    <t xml:space="preserve">Afastador Doyen, válvula com lâmina concâva  com dimensões de 160mm  x 45mm, 24cm </t>
  </si>
  <si>
    <t>Pinça de Torção de Fio Corwin-Hegar, 16cm com videa</t>
  </si>
  <si>
    <t>Porta Agulha Mayo-Hegar-Heaney, pontas com wídea , curvas, 20cm</t>
  </si>
  <si>
    <t xml:space="preserve">Pinça Wickstrom, pontas com curvatura acentuada e serrilhadas, 21cm </t>
  </si>
  <si>
    <t xml:space="preserve">Pinça Wickstrom, pontas com curvatura acentuada e serrilhadas, 24cm </t>
  </si>
  <si>
    <t>Porta Agulha Mayo-Hegar, pontas com wídea , retas, 20cm</t>
  </si>
  <si>
    <t>Afastador Maleavel, 33cm, 50mm</t>
  </si>
  <si>
    <t xml:space="preserve">Afastador Doyen, válvula com lâmina concâva  com dimensões de 115mm  x 45mm, 24cm </t>
  </si>
  <si>
    <t xml:space="preserve">Pinça Crafoord, pontas curvas e serrilhadas, 18cm </t>
  </si>
  <si>
    <t xml:space="preserve">Pinça Anatômica Micro-Adson, pontas retas, muito finas com 0.12mm e 1 x 2 dentes, 15cm </t>
  </si>
  <si>
    <t>Pinça  Collin, reta, pontas c/ anéis M fenestrados, 16,5cm</t>
  </si>
  <si>
    <t>Pinça Kocher-Ochsnner, pontas curvas, serrilhadas com 1 x 2 dentes, 24cm</t>
  </si>
  <si>
    <t xml:space="preserve">Pinça Anatômica Standard, pontas retas, largas com 1 x 2 dentes, 18cm </t>
  </si>
  <si>
    <t xml:space="preserve">Pinça Foerster, pontas retas, com anéis fenestrados e serrilhados, 25cm </t>
  </si>
  <si>
    <t xml:space="preserve">Pinça Faure, pontas curvas, curtas, serrilhadas e com 1 x 2 dentes, 20cm </t>
  </si>
  <si>
    <t xml:space="preserve">Pinça Kocher, pontas retas com 1 x 2 dentes, serrilhadas, 18cm </t>
  </si>
  <si>
    <t>Pinça Kocher-Ochsnner, pontas curvas, serrilhadas com 1 x 2 dentes, 18cm</t>
  </si>
  <si>
    <t>Pinça Kocher-Ochsnner, pontas retas, serrilhadas com 1 x 2 dentes, 24cm</t>
  </si>
  <si>
    <t>Pinça de Oclusão Tangencial Cardiovascular Satinsky, Atraumática, 20.5cm</t>
  </si>
  <si>
    <t>Tesoura Metzenbaum- Fine, lâminas curvas, finas com pontas rombas, 18cm com videa</t>
  </si>
  <si>
    <t xml:space="preserve">Pinça Anatômica Standard, pontas retas, largas com 1 x 2 dentes, 30cm </t>
  </si>
  <si>
    <t xml:space="preserve">Pinça Babcock, pontas retas c/ conchas fenestradas e serrilhadas, 20cm </t>
  </si>
  <si>
    <t xml:space="preserve">Pinça Babcock, pontas retas c/ conchas fenestradas e serrilhadas, 24cm </t>
  </si>
  <si>
    <t>Afastador Doyen-Stille, lâmina de dimensões de 90mm x 15mm, cabo vertical, 24cm</t>
  </si>
  <si>
    <t xml:space="preserve">Pinça Anatômica Standard, pontas retas, largas e serrilhadas, 30cm </t>
  </si>
  <si>
    <t xml:space="preserve">Pinça Anatômica Standard, pontas retas, largas com 1 x 2 dentes, 20cm </t>
  </si>
  <si>
    <t xml:space="preserve">Pinça Anatômica Standard, pontas retas, largas e serrilhadas, 20cm </t>
  </si>
  <si>
    <t xml:space="preserve">Pinça Duval, pontas retas c/ triangulos pequenos, fenestrados e serrilhados, 18cm </t>
  </si>
  <si>
    <t xml:space="preserve">Porta Agulha DeBakey, pontas com wídea , retas e finas, 26cm </t>
  </si>
  <si>
    <t>Pinça Halsted-Mosquito, pontas curvas, finas e serrilhadas, 14cm</t>
  </si>
  <si>
    <t>Tesoura Cirurgica e Dissecção, Mayo-Stille, Romba/Romba, 17cm, reta, com videa</t>
  </si>
  <si>
    <t>Tesoura Mayo-Stile, curva,17cm com videa</t>
  </si>
  <si>
    <t xml:space="preserve">Afastador Doyen, válvula com lâmina concâva  com dimensões de 85mm  x 35mm, 24cm </t>
  </si>
  <si>
    <t>Pinça de Apreensão de Bócio Lahey, 3x3 dentes, 20cm</t>
  </si>
  <si>
    <t>Afastador Breisky para Ginecologia, 100x35mm</t>
  </si>
  <si>
    <t xml:space="preserve">Clamp Heaney, pontas curvas, serrilhas cruzadas com 2 sulcos transversais, 23cm </t>
  </si>
  <si>
    <t>Pinça Museux, reta, 24cm, 8mm</t>
  </si>
  <si>
    <t>Pinça Atraumática Z Clamp de 24 cm, reta</t>
  </si>
  <si>
    <t>Espéculo Vaginal Auvard, 83x38mm, 1,14 kg, fixo</t>
  </si>
  <si>
    <t xml:space="preserve">Pinça Mixter, pontas curvas com serrilhas paralelas longitudinais, 19cm </t>
  </si>
  <si>
    <t>Pinça Kocher-Ochsnner, pontas retas, serrilhadas com 1 x 2 dentes, 20cm</t>
  </si>
  <si>
    <t>Pinça Kocher-Ochsnner, pontas curvas, serrilhadas com 1 x 2 dentes, 20cm</t>
  </si>
  <si>
    <t xml:space="preserve">Pinça Anatômica Standard, pontas retas, largas com 1 x 2 dentes, 25cm </t>
  </si>
  <si>
    <t xml:space="preserve">Clamp Faure, pontas e hastes largas, curvas e serrilhadas, 25cm </t>
  </si>
  <si>
    <t>Sonda Uterina Maleável Sims, 32cm</t>
  </si>
  <si>
    <t>Espéculo Vagial, Collin -Landau, 110x40mm</t>
  </si>
  <si>
    <t xml:space="preserve">Tesoura Metzenbaum-Nelson, lâminas retas, finas com pontas rombas, 20cm </t>
  </si>
  <si>
    <t>Cureta Uterina Recamier, para Ginecologia, 26cm, 16mm, maleável, romba</t>
  </si>
  <si>
    <t>Cureta Uterina Recamier, para Ginecologia, 26cm,12mm, maleável, romba</t>
  </si>
  <si>
    <t>Cureta Uterina Recamier, para Ginecologia, 26cm,8mm, maleável, romba</t>
  </si>
  <si>
    <t>Cureta Uterina Recamier, para Ginecologia, 26cm, 5mm, maleável, romba</t>
  </si>
  <si>
    <t>Colher Uterina Schroeder 30cm afiados, Rígido 13x8mm</t>
  </si>
  <si>
    <t>Colher Uterina Schroeder 30cm afiados, Rígido 10x6mm</t>
  </si>
  <si>
    <t>Colher Uterina Schroeder 30cm afiados, Rígido 9x5mm</t>
  </si>
  <si>
    <t>Pinça para Placenta e Ovum Winter 28cm, reta, sem cremalheira</t>
  </si>
  <si>
    <t>Pinça para Placenta e Ovum Winter 28cm, curva, sem cremalheira</t>
  </si>
  <si>
    <t>Conjunto de Container Sólido, tamanho 1/2, dimensões internas aproximadas 260x260x115 mm, inclui tampa,  cesto e duas unidades de plaqueta de identificação</t>
  </si>
  <si>
    <t xml:space="preserve">Pinça Baby-Kocher, pontas retas c/ serrilha paralela longitudinal, 13cm </t>
  </si>
  <si>
    <t xml:space="preserve">Afastador Richardson, válvula com lâmina de 28mm x 20mm e bordas lisas viradas para baixo, 24cm </t>
  </si>
  <si>
    <t>Espátula Maleavel, Lamina de 40mm, 33cm</t>
  </si>
  <si>
    <t xml:space="preserve">Pinça Baby-Mixter, pontas finas e curvas, 14cm </t>
  </si>
  <si>
    <t xml:space="preserve">Pinça Anatômica Adson, pontas retas, finas e serrilhadas, 15cm </t>
  </si>
  <si>
    <t>Pinça Anatômica Adson, pontas retas, finas com 1 x 2 dentes, 15cm</t>
  </si>
  <si>
    <t>Afastador Mini-Langebeck, lâmina de 10mm x 6mm, 16cm</t>
  </si>
  <si>
    <t>Porta Agulha Mayo-Hegar, pontas com wídea , retas, 24cm</t>
  </si>
  <si>
    <t xml:space="preserve">Pinça Rochester-Pean, pontas curvas e serrilhadas, 24cm </t>
  </si>
  <si>
    <t xml:space="preserve">Pinça Anatômica Nelson, pontas finas e denteadas, pino guia, 23cm </t>
  </si>
  <si>
    <t>Pinça Kocher-Ochsnner, pontas retas, serrilhadas com 1 x 2 dentes, 22cm</t>
  </si>
  <si>
    <t>Pinça Kocher, pontas curvas em formato de colher c/ serrilha paralela longitudinal, 25cm</t>
  </si>
  <si>
    <t xml:space="preserve">Pinça Anatômica Collin-Duval, pontas retas com triangulos fenestrados de 14mm de largura, 20cm </t>
  </si>
  <si>
    <t xml:space="preserve">Pinça Babcok, pontas retas c/ conchas pequenas,fenestradas e wídia TC, 20cm </t>
  </si>
  <si>
    <t xml:space="preserve">Pinça Anatômica Standard, pontas retas, largas e serrilhadas, 25cm </t>
  </si>
  <si>
    <t>Espátula maleável para cirurgia intestinal e abdominal, lâmina 30mm, 33cm.</t>
  </si>
  <si>
    <t>Espátula Reverdin sapata dupla 29cm com dimensões 45mm x 60mm</t>
  </si>
  <si>
    <t xml:space="preserve">Tesoura Metzenbaum-Nelson, lâminas curvas, finas com pontas rombas, 28cm </t>
  </si>
  <si>
    <t xml:space="preserve">Pinça Rochester-Pean, pontas retas e serrilhadas, 20cm </t>
  </si>
  <si>
    <t>Afastador Balfour, garras laterais aramadas com 100mm x 35mm, hastes curvas, abertura de 200mm, Acompanha válvula central plana com 100mm x 60mm</t>
  </si>
  <si>
    <t xml:space="preserve">Conjunto com pleto de Aspiração Yankauer, contendo: 04 canulas intercambiáveis, oliva e cabo com apoio digital, 27cm </t>
  </si>
  <si>
    <t>NOME</t>
  </si>
  <si>
    <t>VALOR UNIT</t>
  </si>
  <si>
    <t>VALOR TOTAL</t>
  </si>
  <si>
    <t>Caixa de Cirurgia Vascular para Varizes</t>
  </si>
  <si>
    <t>Caixa de Microcirurgia Vascular</t>
  </si>
  <si>
    <t>Caixa de Revisão Uterina e Curetagem Pós-Parto</t>
  </si>
  <si>
    <t xml:space="preserve">Caixa de Sutura </t>
  </si>
  <si>
    <t xml:space="preserve">Caixa Instrumental para Procedimentos Proctologia </t>
  </si>
  <si>
    <t xml:space="preserve">Caixa Microcirúrgica Otológica  </t>
  </si>
  <si>
    <t>Caixa Inox</t>
  </si>
  <si>
    <t xml:space="preserve">Caixa de Cistoscopia </t>
  </si>
  <si>
    <t xml:space="preserve">Caixa para Hemorroidectomia </t>
  </si>
  <si>
    <t xml:space="preserve">Caixa de Instrumentais Cirúrgicos Cirurgia Geral </t>
  </si>
  <si>
    <t xml:space="preserve">Caixa de Instrumentais Cirúrgicos Cirurgia Pediátrica </t>
  </si>
  <si>
    <t xml:space="preserve">Caixa de Instrumentais Cirúrgicos Cirurgia Urológica </t>
  </si>
  <si>
    <t xml:space="preserve">Caixa de Instrumentais Cirúrgicos Curetagem </t>
  </si>
  <si>
    <t xml:space="preserve">Caixa de Instrumentais Cirúrgicos  Histerectomia </t>
  </si>
  <si>
    <t xml:space="preserve">Caixa de Instrumentais Cirúrgicos Laparotomia Ginecológica </t>
  </si>
  <si>
    <t xml:space="preserve">Caixa de Instrumentais Cirúrgicos Laqueadura </t>
  </si>
  <si>
    <t xml:space="preserve">Caixa de Instrumentais Cirúrgicos ORL </t>
  </si>
  <si>
    <t>Caixa de Cesárea</t>
  </si>
  <si>
    <t>Caixa Parto Normal</t>
  </si>
  <si>
    <t>Caixa de Instrumentais Cirúrgicos - Vascular Periférico</t>
  </si>
  <si>
    <t>Caixa de Instrumentais Cirúrgicos – Dermato</t>
  </si>
  <si>
    <t>Caixa de Instrumental Cirúrgico – Oftalmologia</t>
  </si>
  <si>
    <t>Caixa de Parto Normal</t>
  </si>
  <si>
    <t xml:space="preserve">Caixa Caixa Pé/Tornozelo </t>
  </si>
  <si>
    <t xml:space="preserve">Caixa Mão/Punho </t>
  </si>
  <si>
    <t xml:space="preserve">Caixa Instrumental Ortopédico </t>
  </si>
  <si>
    <t xml:space="preserve">Caixa Pé/Tornozelo </t>
  </si>
  <si>
    <t>Afastador Farabeuf 10mm x 12cm infantil</t>
  </si>
  <si>
    <t>Afastador Farabeuf 13mm x 15cm adulto</t>
  </si>
  <si>
    <t>Afastador Gosset 24CM</t>
  </si>
  <si>
    <t>Afastador Gosset 30CM</t>
  </si>
  <si>
    <t>Afastador Langembeck 50x11mm 21cm</t>
  </si>
  <si>
    <t>Afastador Langenbeck 40x11mm 21cm</t>
  </si>
  <si>
    <t>Aspirador Poole reto 22cm</t>
  </si>
  <si>
    <t>Aspirador Yankauer 28cm</t>
  </si>
  <si>
    <t>Cabo de Bisturi nº3 (lâminas 10,11,12,15)</t>
  </si>
  <si>
    <t>Cabo de Bisturi nº4 (lâminas 20,21,22,23,24)</t>
  </si>
  <si>
    <t>Cabo de Bisturi nº7 (lâmina 10/11/12/15)</t>
  </si>
  <si>
    <t>Caixa Cirurgica 58X28X12cm Perfurada</t>
  </si>
  <si>
    <t>Clips Mayo-Blunt</t>
  </si>
  <si>
    <t>Cuba Assepsia diam. 9 x 5cm 200ml</t>
  </si>
  <si>
    <t>Espátula Heberer 37x45mm x 30cm</t>
  </si>
  <si>
    <t>Pinça Adson com dente 12cm</t>
  </si>
  <si>
    <t>Pinça Adson com serrilha 12cm</t>
  </si>
  <si>
    <t>Pinça Allis 15cm</t>
  </si>
  <si>
    <t>Pinça Allis 25cm</t>
  </si>
  <si>
    <t>Pinça Anatômica com dente de rato 14cm</t>
  </si>
  <si>
    <t>Pinça Anatômica com dente de rato 16cm</t>
  </si>
  <si>
    <t>Pinça Anatômica com dente de rato 18cm</t>
  </si>
  <si>
    <t>Pinça Anatômica com dente de rato 25cm</t>
  </si>
  <si>
    <t>Pinça Anatômica com serrilha 14cm</t>
  </si>
  <si>
    <t>Pinça Anatômica com serrilha 18cm</t>
  </si>
  <si>
    <t>Pinça Anatômica com serrilha 25cm</t>
  </si>
  <si>
    <t>Pinça Babcock 16cm</t>
  </si>
  <si>
    <t>Pinça Babcock 20cm</t>
  </si>
  <si>
    <t>Pinça Backhaus 11cm</t>
  </si>
  <si>
    <t>Pinça Backhaus 13cm</t>
  </si>
  <si>
    <t>Pinça Cheron 25cm</t>
  </si>
  <si>
    <t>Pinça Collin oval 16cm</t>
  </si>
  <si>
    <t>Pinça Debakey anatômica dissecção reta 30cm ponta 2,7mm</t>
  </si>
  <si>
    <t>Pinça Foerster curva 18cm</t>
  </si>
  <si>
    <t>Pinça Foerster reta 18cm</t>
  </si>
  <si>
    <t>Pinça Foerster reta 24cm</t>
  </si>
  <si>
    <t>Pinça Halstead-Mosquito curva 12,5cm</t>
  </si>
  <si>
    <t>Pinça Halstead-Mosquito reta 12,5cm</t>
  </si>
  <si>
    <t>Pinça Kelly curva 14cm</t>
  </si>
  <si>
    <t>Pinça Kelly reta 14cm</t>
  </si>
  <si>
    <t>Pinça Kocher curva 14cm</t>
  </si>
  <si>
    <t>Pinça Kocher reta 14cm</t>
  </si>
  <si>
    <t>Pinça Mixter 23cm</t>
  </si>
  <si>
    <t>Pinça Moynihan curva 24cm</t>
  </si>
  <si>
    <t>Pinça Potts Smith 25cm</t>
  </si>
  <si>
    <t>Pinça Rochester-Pean reta 18cm</t>
  </si>
  <si>
    <t>Pinça Schnidt curva 19cm</t>
  </si>
  <si>
    <t>Pinça Winter reta nº2</t>
  </si>
  <si>
    <t>Porta Agulha MayoHegar com serrilha 14cm</t>
  </si>
  <si>
    <t>Porta Agulha MayoHegar com serrilha 18cm</t>
  </si>
  <si>
    <t>Porta Agulha MayoHegar com vídea 26cm</t>
  </si>
  <si>
    <t>Tentacânula 14,5cm</t>
  </si>
  <si>
    <t>Tesoura Mayo-Stille curva 15cm</t>
  </si>
  <si>
    <t>Tesoura Mayo-Stille reta 17cm</t>
  </si>
  <si>
    <t>Tesoura Metzenbaum curva 14cm</t>
  </si>
  <si>
    <t>Tesoura Metzenbaum curva 18cm</t>
  </si>
  <si>
    <t>Tesoura Metzenbaum curva 23cm</t>
  </si>
  <si>
    <t>Tesoura Metzenbaum reta 23cm</t>
  </si>
  <si>
    <t>Tesoura Romba/Romba reta 16,5cm</t>
  </si>
  <si>
    <t>Válvula de Doyen 120x60mm</t>
  </si>
  <si>
    <t>Válvula de Doyen 45x120mm</t>
  </si>
  <si>
    <t>Válvula de Doyen 45x60mm</t>
  </si>
  <si>
    <t>CODIGO</t>
  </si>
  <si>
    <t>REGISTRO ANVISA</t>
  </si>
  <si>
    <t>MARCA</t>
  </si>
  <si>
    <t>Pinça Adson sem dente, 12 cm</t>
  </si>
  <si>
    <t>Pinça anatômica, sem dente, 16 cm</t>
  </si>
  <si>
    <t>Pinça Moyniham, 18 cm</t>
  </si>
  <si>
    <t>Pinça Crafford, 18 cm</t>
  </si>
  <si>
    <t>12.0066.12</t>
  </si>
  <si>
    <t>12.0010.16</t>
  </si>
  <si>
    <t>Porta Agulha Mayo Hegar, 18 cm</t>
  </si>
  <si>
    <t>22.0050.18</t>
  </si>
  <si>
    <t>10.0361.18</t>
  </si>
  <si>
    <t>Tesoura Metzenbaum, curva, delicada, 18 cm</t>
  </si>
  <si>
    <t>10.0068.17</t>
  </si>
  <si>
    <t>Tesoura Mayo - Stille, reta, 17 cm</t>
  </si>
  <si>
    <t>10.0380.25</t>
  </si>
  <si>
    <t>Tesoura Metzenbaum - Nelson, reta, 25 cm</t>
  </si>
  <si>
    <t>Pinça Cheron, 20 cm</t>
  </si>
  <si>
    <t>14.0554.18</t>
  </si>
  <si>
    <t>14.0390.18</t>
  </si>
  <si>
    <t>08-184-20</t>
  </si>
  <si>
    <t>Caixa Inox Perfurado para Esterilização Instrumental Cirurgia tamanho aproximado de 360x160x100 mm</t>
  </si>
  <si>
    <t xml:space="preserve">Caixa de Revisão Uterina </t>
  </si>
  <si>
    <t>excluir</t>
  </si>
  <si>
    <t>Caixa Velas de Hegar</t>
  </si>
  <si>
    <t>Acrescentar</t>
  </si>
  <si>
    <t>Dilatador Uterino Hegar, 1mm</t>
  </si>
  <si>
    <t>Dilatador Uterino Hegar, 1.5mm</t>
  </si>
  <si>
    <t>Dilatador Uterino Hegar, 3.5mm</t>
  </si>
  <si>
    <t>Dilatador Uterino Hegar, 4mm</t>
  </si>
  <si>
    <t>Dilatador Uterino Hegar, 4.5mm</t>
  </si>
  <si>
    <t>Dilatador Uterino Hegar, 5mm</t>
  </si>
  <si>
    <t>Dilatador Uterino Hegar, 5.5mm</t>
  </si>
  <si>
    <t>Dilatador Uterino Hegar, 6mm</t>
  </si>
  <si>
    <t>Dilatador Uterino Hegar, 6.5mm</t>
  </si>
  <si>
    <t>Dilatador Uterino Hegar, 7mm</t>
  </si>
  <si>
    <t>Dilatador Uterino Hegar, 7.5mm</t>
  </si>
  <si>
    <t>Dilatador Uterino Hegar, 10mm</t>
  </si>
  <si>
    <t>Dilatador Uterino Hegar, 11mm</t>
  </si>
  <si>
    <t>Dilatador Uterino Hegar, 8mm</t>
  </si>
  <si>
    <t>Dilatador Uterino Hegar, 8.5mm</t>
  </si>
  <si>
    <t>Dilatador Uterino Hegar, 9.0mm</t>
  </si>
  <si>
    <t>Dilatador Uterino Hegar, 9.5mm</t>
  </si>
  <si>
    <t>Dilatador Uterino Hegar, 12mm</t>
  </si>
  <si>
    <t>Dilatador Uterino Hegar, 13mm</t>
  </si>
  <si>
    <t>Dilatador Uterino Hegar, 14mm</t>
  </si>
  <si>
    <t>Dilatador Uterino Hegar, 15mm</t>
  </si>
  <si>
    <t>Dilatador Uterino Hegar, 16mm</t>
  </si>
  <si>
    <t>Dilatador Uterino Hegar, 17mm</t>
  </si>
  <si>
    <t>Dilatador Uterino Hegar, 18mm</t>
  </si>
  <si>
    <t>Dilatador Uterino Hegar, 19mm</t>
  </si>
  <si>
    <t>Dilatador Uterino Hegar, 2mm</t>
  </si>
  <si>
    <t>Dilatador Uterino Hegar, 2.5mm</t>
  </si>
  <si>
    <t>Dilatador Uterino Hegar, 20mm</t>
  </si>
  <si>
    <t>Dilatador Uterino Hegar, 21mm</t>
  </si>
  <si>
    <t>Dilatador Uterino Hegar, 22mm</t>
  </si>
  <si>
    <t>Dilatador Uterino Hegar, 23mm</t>
  </si>
  <si>
    <t>20-400-01</t>
  </si>
  <si>
    <t>20-401-01</t>
  </si>
  <si>
    <t>20-401-03</t>
  </si>
  <si>
    <t>20-400-04</t>
  </si>
  <si>
    <t>20-401-04</t>
  </si>
  <si>
    <t>20-400-05</t>
  </si>
  <si>
    <t>20-401-05</t>
  </si>
  <si>
    <t>20-400-06</t>
  </si>
  <si>
    <t>20-401-06</t>
  </si>
  <si>
    <t>20-400-07</t>
  </si>
  <si>
    <t>20-401-07</t>
  </si>
  <si>
    <t>20-400-10</t>
  </si>
  <si>
    <t>20-400-11</t>
  </si>
  <si>
    <t>20-400-08</t>
  </si>
  <si>
    <t>20-401-08</t>
  </si>
  <si>
    <t>20-400-09</t>
  </si>
  <si>
    <t>20-401-09</t>
  </si>
  <si>
    <t>20-400-12</t>
  </si>
  <si>
    <t>20-400-13</t>
  </si>
  <si>
    <t>20-400-14</t>
  </si>
  <si>
    <t>20-400-15</t>
  </si>
  <si>
    <t>20-400-16</t>
  </si>
  <si>
    <t>20-400-17</t>
  </si>
  <si>
    <t>20-400-18</t>
  </si>
  <si>
    <t>20-400-19</t>
  </si>
  <si>
    <t>20-400-02</t>
  </si>
  <si>
    <t>20-401-02</t>
  </si>
  <si>
    <t>20-400-20</t>
  </si>
  <si>
    <t>20-400-21</t>
  </si>
  <si>
    <t>20-400-22</t>
  </si>
  <si>
    <t>20-400-23</t>
  </si>
  <si>
    <t>Conjunto de Container Sólido, tamanho 1/2, dimensões internas aproximadas 260x260x115 mm, inclui tampa,  dois cestos,  silicones para organização dos itens e duas unidades de plaqueta de identificação</t>
  </si>
  <si>
    <t>Caixa de Velas de Hegar</t>
  </si>
  <si>
    <t>Conjunto de container sólido, tamanho 3/4, dimensões internas aproximadas 430x260x115 mm, inclui tampa, cesto e duas unidades de plaqueta de identificação</t>
  </si>
  <si>
    <t>Avulsos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</si>
</sst>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R$-416]\ * #,##0.00_-;\-[$R$-416]\ * #,##0.00_-;_-[$R$-416]\ * &quot;-&quot;??_-;_-@_-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Times New Roman"/>
      <family val="1"/>
    </font>
    <font>
      <b/>
      <sz val="12"/>
      <color theme="1"/>
      <name val="Arial Nova"/>
      <family val="2"/>
    </font>
    <font>
      <sz val="11"/>
      <color theme="1"/>
      <name val="Arial Nova"/>
      <family val="2"/>
    </font>
    <font>
      <sz val="12"/>
      <color theme="1"/>
      <name val="Arial Nova"/>
      <family val="2"/>
    </font>
    <font>
      <sz val="12"/>
      <color rgb="FF000000"/>
      <name val="Arial Nova"/>
      <family val="2"/>
    </font>
    <font>
      <sz val="12"/>
      <name val="Arial Nova"/>
      <family val="2"/>
    </font>
    <font>
      <sz val="11"/>
      <name val="Arial Nova"/>
      <family val="2"/>
    </font>
    <font>
      <b/>
      <sz val="12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32">
    <xf numFmtId="0" fontId="0" fillId="0" borderId="0" xfId="0"/>
    <xf numFmtId="0" fontId="3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0" fontId="8" fillId="2" borderId="0" xfId="0" applyFont="1" applyFill="1" applyAlignment="1">
      <alignment horizontal="center" vertical="center"/>
    </xf>
    <xf numFmtId="0" fontId="8" fillId="2" borderId="0" xfId="0" applyFont="1" applyFill="1"/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wrapText="1"/>
    </xf>
    <xf numFmtId="0" fontId="9" fillId="0" borderId="1" xfId="0" applyFont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3" xfId="0" applyFont="1" applyFill="1" applyBorder="1" applyAlignment="1">
      <alignment horizontal="left" wrapText="1"/>
    </xf>
    <xf numFmtId="0" fontId="9" fillId="2" borderId="3" xfId="0" applyFont="1" applyFill="1" applyBorder="1" applyAlignment="1">
      <alignment horizontal="center" wrapText="1"/>
    </xf>
    <xf numFmtId="164" fontId="8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left" wrapText="1"/>
    </xf>
    <xf numFmtId="0" fontId="9" fillId="2" borderId="0" xfId="0" applyFont="1" applyFill="1" applyAlignment="1">
      <alignment horizontal="center"/>
    </xf>
    <xf numFmtId="0" fontId="10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164" fontId="8" fillId="2" borderId="0" xfId="0" applyNumberFormat="1" applyFont="1" applyFill="1"/>
    <xf numFmtId="0" fontId="8" fillId="2" borderId="0" xfId="0" applyFont="1" applyFill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 applyProtection="1">
      <alignment horizontal="left" vertical="center" wrapText="1"/>
      <protection hidden="1"/>
    </xf>
    <xf numFmtId="0" fontId="12" fillId="2" borderId="1" xfId="1" applyFont="1" applyFill="1" applyBorder="1" applyAlignment="1" applyProtection="1">
      <alignment horizontal="center" vertical="center" wrapText="1"/>
      <protection locked="0"/>
    </xf>
    <xf numFmtId="164" fontId="12" fillId="0" borderId="1" xfId="0" applyNumberFormat="1" applyFont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2" fillId="2" borderId="1" xfId="1" applyFont="1" applyFill="1" applyBorder="1" applyAlignment="1" applyProtection="1">
      <alignment horizontal="left" vertical="center" wrapText="1"/>
      <protection hidden="1"/>
    </xf>
    <xf numFmtId="0" fontId="12" fillId="2" borderId="1" xfId="0" applyFont="1" applyFill="1" applyBorder="1" applyAlignment="1" applyProtection="1">
      <alignment horizontal="center" vertical="center" wrapText="1"/>
      <protection locked="0"/>
    </xf>
    <xf numFmtId="0" fontId="12" fillId="0" borderId="1" xfId="0" applyFont="1" applyBorder="1" applyAlignment="1">
      <alignment horizontal="left" vertical="top" wrapText="1"/>
    </xf>
    <xf numFmtId="0" fontId="12" fillId="2" borderId="1" xfId="1" applyFont="1" applyFill="1" applyBorder="1" applyAlignment="1" applyProtection="1">
      <alignment vertical="center" wrapText="1"/>
      <protection hidden="1"/>
    </xf>
    <xf numFmtId="0" fontId="12" fillId="0" borderId="1" xfId="0" applyFont="1" applyBorder="1" applyAlignment="1" applyProtection="1">
      <alignment horizontal="center" vertical="center" wrapText="1"/>
      <protection locked="0"/>
    </xf>
    <xf numFmtId="164" fontId="12" fillId="0" borderId="1" xfId="0" applyNumberFormat="1" applyFont="1" applyBorder="1" applyAlignment="1">
      <alignment horizontal="center" vertical="center" wrapText="1"/>
    </xf>
    <xf numFmtId="0" fontId="8" fillId="0" borderId="0" xfId="0" applyFont="1"/>
    <xf numFmtId="0" fontId="12" fillId="0" borderId="0" xfId="0" applyFont="1" applyAlignment="1">
      <alignment horizontal="center" vertical="center" wrapText="1"/>
    </xf>
    <xf numFmtId="0" fontId="12" fillId="2" borderId="0" xfId="0" applyFont="1" applyFill="1" applyAlignment="1" applyProtection="1">
      <alignment horizontal="left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locked="0"/>
    </xf>
    <xf numFmtId="164" fontId="12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wrapText="1"/>
    </xf>
    <xf numFmtId="0" fontId="9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wrapText="1"/>
    </xf>
    <xf numFmtId="0" fontId="9" fillId="2" borderId="6" xfId="0" applyFont="1" applyFill="1" applyBorder="1" applyAlignment="1">
      <alignment horizontal="left" wrapText="1"/>
    </xf>
    <xf numFmtId="0" fontId="9" fillId="2" borderId="6" xfId="0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vertical="center"/>
    </xf>
    <xf numFmtId="164" fontId="8" fillId="2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64" fontId="7" fillId="3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/>
    </xf>
    <xf numFmtId="0" fontId="9" fillId="0" borderId="2" xfId="0" applyFont="1" applyBorder="1" applyAlignment="1">
      <alignment horizontal="center"/>
    </xf>
    <xf numFmtId="0" fontId="0" fillId="0" borderId="0" xfId="0" applyAlignment="1">
      <alignment wrapText="1"/>
    </xf>
    <xf numFmtId="0" fontId="8" fillId="2" borderId="0" xfId="0" applyFont="1" applyFill="1" applyAlignment="1">
      <alignment wrapText="1"/>
    </xf>
    <xf numFmtId="0" fontId="9" fillId="0" borderId="1" xfId="0" applyFont="1" applyBorder="1" applyAlignment="1">
      <alignment wrapText="1"/>
    </xf>
    <xf numFmtId="164" fontId="8" fillId="0" borderId="1" xfId="0" applyNumberFormat="1" applyFont="1" applyBorder="1" applyAlignment="1">
      <alignment horizontal="center" vertical="center"/>
    </xf>
    <xf numFmtId="0" fontId="0" fillId="2" borderId="0" xfId="0" applyFill="1"/>
    <xf numFmtId="0" fontId="13" fillId="3" borderId="1" xfId="0" applyFont="1" applyFill="1" applyBorder="1" applyAlignment="1">
      <alignment horizontal="center" vertical="center" wrapText="1"/>
    </xf>
    <xf numFmtId="164" fontId="13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164" fontId="0" fillId="2" borderId="1" xfId="0" applyNumberForma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0" fillId="2" borderId="0" xfId="0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64" fontId="0" fillId="2" borderId="0" xfId="0" applyNumberFormat="1" applyFill="1"/>
    <xf numFmtId="0" fontId="0" fillId="2" borderId="0" xfId="0" applyFill="1" applyAlignment="1">
      <alignment horizontal="center"/>
    </xf>
    <xf numFmtId="0" fontId="14" fillId="2" borderId="1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2" borderId="1" xfId="0" applyFont="1" applyFill="1" applyBorder="1" applyAlignment="1" applyProtection="1">
      <alignment horizontal="center" vertical="center" wrapText="1"/>
      <protection locked="0"/>
    </xf>
    <xf numFmtId="0" fontId="14" fillId="0" borderId="1" xfId="0" applyFont="1" applyBorder="1" applyAlignment="1">
      <alignment horizontal="left" vertical="top" wrapText="1"/>
    </xf>
    <xf numFmtId="0" fontId="14" fillId="0" borderId="1" xfId="0" applyFont="1" applyBorder="1" applyAlignment="1" applyProtection="1">
      <alignment horizontal="center" vertical="center" wrapText="1"/>
      <protection locked="0"/>
    </xf>
    <xf numFmtId="164" fontId="14" fillId="0" borderId="1" xfId="0" applyNumberFormat="1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0" xfId="0" applyFont="1" applyAlignment="1" applyProtection="1">
      <alignment horizontal="center" vertical="center" wrapText="1"/>
      <protection locked="0"/>
    </xf>
    <xf numFmtId="164" fontId="14" fillId="0" borderId="0" xfId="0" applyNumberFormat="1" applyFont="1" applyAlignment="1">
      <alignment horizontal="center" vertical="center" wrapText="1"/>
    </xf>
    <xf numFmtId="0" fontId="4" fillId="2" borderId="6" xfId="0" applyFont="1" applyFill="1" applyBorder="1" applyAlignment="1">
      <alignment horizontal="center" wrapText="1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164" fontId="0" fillId="2" borderId="2" xfId="0" applyNumberForma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7" xfId="0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13" fillId="3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vertical="top" wrapText="1"/>
    </xf>
    <xf numFmtId="0" fontId="14" fillId="2" borderId="1" xfId="0" applyFont="1" applyFill="1" applyBorder="1" applyAlignment="1" applyProtection="1">
      <alignment horizontal="left" vertical="top" wrapText="1"/>
      <protection hidden="1"/>
    </xf>
    <xf numFmtId="0" fontId="14" fillId="2" borderId="1" xfId="1" applyFont="1" applyFill="1" applyBorder="1" applyAlignment="1" applyProtection="1">
      <alignment horizontal="left" vertical="top" wrapText="1"/>
      <protection hidden="1"/>
    </xf>
    <xf numFmtId="0" fontId="14" fillId="2" borderId="1" xfId="1" applyFont="1" applyFill="1" applyBorder="1" applyAlignment="1" applyProtection="1">
      <alignment vertical="top" wrapText="1"/>
      <protection hidden="1"/>
    </xf>
    <xf numFmtId="0" fontId="14" fillId="2" borderId="0" xfId="0" applyFont="1" applyFill="1" applyAlignment="1" applyProtection="1">
      <alignment horizontal="left" vertical="top" wrapText="1"/>
      <protection hidden="1"/>
    </xf>
    <xf numFmtId="0" fontId="4" fillId="0" borderId="1" xfId="0" applyFont="1" applyBorder="1" applyAlignment="1">
      <alignment vertical="top" wrapText="1"/>
    </xf>
    <xf numFmtId="0" fontId="4" fillId="2" borderId="6" xfId="0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/>
    </xf>
    <xf numFmtId="0" fontId="9" fillId="2" borderId="1" xfId="0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2" borderId="0" xfId="0" applyFill="1" applyAlignment="1">
      <alignment wrapText="1"/>
    </xf>
    <xf numFmtId="0" fontId="12" fillId="2" borderId="0" xfId="0" applyFont="1" applyFill="1" applyAlignment="1">
      <alignment horizontal="center" vertical="center" wrapText="1"/>
    </xf>
    <xf numFmtId="0" fontId="12" fillId="2" borderId="0" xfId="0" applyFont="1" applyFill="1" applyAlignment="1" applyProtection="1">
      <alignment horizontal="center" vertical="center" wrapText="1"/>
      <protection locked="0"/>
    </xf>
    <xf numFmtId="0" fontId="9" fillId="2" borderId="0" xfId="0" applyFont="1" applyFill="1" applyAlignment="1">
      <alignment horizontal="center" vertical="center" wrapText="1"/>
    </xf>
    <xf numFmtId="0" fontId="9" fillId="0" borderId="1" xfId="0" applyFont="1" applyBorder="1" applyAlignment="1">
      <alignment horizontal="center" wrapText="1"/>
    </xf>
    <xf numFmtId="0" fontId="9" fillId="2" borderId="1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left" vertical="top" wrapText="1"/>
    </xf>
    <xf numFmtId="0" fontId="8" fillId="3" borderId="1" xfId="0" applyFont="1" applyFill="1" applyBorder="1" applyAlignment="1">
      <alignment horizontal="center" vertical="center"/>
    </xf>
    <xf numFmtId="0" fontId="13" fillId="3" borderId="5" xfId="0" applyFont="1" applyFill="1" applyBorder="1" applyAlignment="1">
      <alignment horizontal="center" wrapText="1"/>
    </xf>
    <xf numFmtId="0" fontId="13" fillId="3" borderId="4" xfId="0" applyFont="1" applyFill="1" applyBorder="1" applyAlignment="1">
      <alignment horizontal="center" wrapText="1"/>
    </xf>
    <xf numFmtId="0" fontId="13" fillId="3" borderId="2" xfId="0" applyFont="1" applyFill="1" applyBorder="1" applyAlignment="1">
      <alignment horizontal="center" wrapText="1"/>
    </xf>
    <xf numFmtId="0" fontId="7" fillId="3" borderId="5" xfId="0" applyFont="1" applyFill="1" applyBorder="1" applyAlignment="1">
      <alignment horizontal="center" wrapText="1"/>
    </xf>
    <xf numFmtId="0" fontId="7" fillId="3" borderId="4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 wrapText="1"/>
    </xf>
    <xf numFmtId="0" fontId="7" fillId="4" borderId="5" xfId="0" applyFont="1" applyFill="1" applyBorder="1" applyAlignment="1">
      <alignment horizontal="center" wrapText="1"/>
    </xf>
    <xf numFmtId="0" fontId="7" fillId="4" borderId="4" xfId="0" applyFont="1" applyFill="1" applyBorder="1" applyAlignment="1">
      <alignment horizontal="center" wrapText="1"/>
    </xf>
    <xf numFmtId="0" fontId="7" fillId="4" borderId="2" xfId="0" applyFont="1" applyFill="1" applyBorder="1" applyAlignment="1">
      <alignment horizontal="center" wrapText="1"/>
    </xf>
    <xf numFmtId="164" fontId="7" fillId="3" borderId="5" xfId="0" applyNumberFormat="1" applyFont="1" applyFill="1" applyBorder="1" applyAlignment="1">
      <alignment horizontal="center" vertical="center"/>
    </xf>
    <xf numFmtId="164" fontId="7" fillId="3" borderId="2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 3" xfId="1" xr:uid="{9F411649-F097-4E5A-A3A6-85E6294D670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837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CA2505CF-2AD3-4E69-B915-39395615A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0F36F0A2-A647-43A9-B0FA-F6E5B722C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906FD28C-3260-47F4-9E09-00A24B7E3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1222AEC0-7616-40DE-99B0-E983100DE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2BC2E882-3C4F-4312-915B-767F8C706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22A85828-1174-43D7-9FF7-31D77DC02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615B97F-3856-49A2-9D25-A4285B046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0A92CBB7-D31A-4C10-82C4-D585BE118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1839E28D-2DA4-4A02-BC9F-F5F7C2DFB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4E898CA4-8FE9-474B-A463-B7F2AD607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AE832459-C6C7-4972-979E-9E2AB563F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31F1F52B-BD48-498D-8E56-69C71100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24FB76C6-5780-4716-9615-790153C5F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E0162E3-5D64-483D-A591-69F3E6A0B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71812811-D4CE-4287-B2FF-69459CEEA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E6D04640-8DF5-4F79-A4AE-529837AC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853A497F-4A7E-45B9-AAC8-8E124F22F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3CE9302B-097E-43DC-8F75-AA7AF207B9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6A899764-4D76-4386-8B27-58F6E2E4B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6A314BE6-C1F4-4A8C-B48B-79F3148BD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E279A495-33FF-426F-B1D6-141151AC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59A68581-B9D4-4664-A551-3B81599E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5F07EA00-6496-4574-A033-01E91242A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DE2B5E99-8B5D-412E-AFD9-E3DA8864A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E53E2949-8E21-4899-8A90-B206DCAD9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AD28F076-7BD3-4320-A580-6B85C0C5F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E34615AD-FC8F-4301-95DA-AB76C5F57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99816F3C-5EF9-4189-9A8D-2819364AE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DA12BD9F-C5C1-414A-9A28-36F906594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410FDE93-6660-40EF-BB03-B5A89045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532997C2-6CD9-4D63-B517-F15EFC7C8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FBA82B65-4EE2-43AA-8B7D-3A7BD0DFF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DABD6FF1-A5AA-4A44-8ACA-A545B523E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B5615C4D-8CB0-4A38-B5B1-15897CE2E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A2967C80-1E95-411C-A16A-1D1B08AFC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338BDEEC-5932-45E0-9DC7-038568EB8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6DA8990E-FFD9-4C6A-A311-DFA8D7D37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BBAFBD47-79E7-4D13-BE9B-95B8B4D5B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D3FF6959-0290-461B-ACEA-999B91C126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03A5D0F0-8822-4115-9792-59C0094F4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BF749219-BE1A-4557-B68C-3F5C10AF0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39C289D3-7AE7-4881-86FF-E4BF9DBF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28FD9E15-252F-493C-83C2-A4ACACDF5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06F99745-6DFB-415D-B6A2-80583B6F9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9DC78CC6-9422-4045-956E-5FF3E3B39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EAEF0FDB-736A-4F3E-81C2-A4C5FF558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E5270658-E19E-46C7-A4D0-EB78C4961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80EB6764-A279-4CD7-B15A-3D42295FEF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68C4857F-1DB6-49D4-B927-FE2C1BE06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BFB817CE-C434-41C8-989A-1FE183742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E11FF8F9-C550-406C-9193-E4B93DDE3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E03BE208-D079-439B-A7E9-F5D362D64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1F56F5A6-537B-4C11-B641-10493E0F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AB913AD3-4658-4675-8577-3B65A5D56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02BFAAE1-B49F-48DD-8EA4-A09D17CB0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B6B4280F-26F6-4AC9-9117-308F333BF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13DEAFEB-5376-445A-9500-0E6E5AD0E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01E3550A-B82F-4DB6-A538-4E73F5104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B1D15C5F-0498-49C6-97E9-28A9CCF55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A5F81E25-3854-46F7-B32C-972139F7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2C63B8DE-20D5-434C-A463-A49C6E339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FE186FB0-0F8E-4BEB-B55F-CA782B50B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9D936198-9A0D-40AE-AC97-EC7D59114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21F02CE6-4AFA-49FD-9B4E-8D7718260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3049B00E-9257-4F6E-8BE5-0E5007850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D007B61F-B460-4DF2-969E-B6EBB47F65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297A47B1-B286-48B9-9954-E6C84ABCB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AD6A8980-1F78-4C51-B42C-F69C0C72B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DB7B3165-4ADC-461F-9633-66D86C961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1808AEAD-5A9C-4BDC-B227-DD88573E7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6C7A96E8-6252-458A-8509-5AFBF0A2B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BAD7572F-F16A-4103-B081-951118579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5B6FD08E-1CD1-4340-8A2F-F488FE60A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7404331A-A873-4EA3-A6C6-92D0C2CF9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A371D3C8-F84A-48ED-8D5E-D8BB2259DA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2A8C8F86-5EB4-4946-93A0-858F8D089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16B6A4CC-6BA2-4665-99BF-35DB40103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FB7398DF-FECE-42CE-8587-AD8AB48040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FD4BF43B-40EF-4AD5-8502-11D6F3EFC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1F1EF056-2705-4D42-8D80-4F3E89399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2FF3F62C-3385-49CE-B320-C7CC803C9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FDE50E18-203C-416F-B824-D28092A16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F0D1A551-C756-4558-8417-606D6B6C9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1AC5382A-A695-47CD-BB28-A6A6EAB1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D687A994-DBE0-46ED-8FFB-408ABE428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50E0A501-01CD-4264-BBF3-CE5A6DC46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6C4B87A5-1243-4BF9-937A-612AFF526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358B3FF7-03B4-4ED9-AC18-DF50F46668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9DEA7AEC-1C34-4F49-94C0-0B290A96F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BD64228F-297C-46F8-9186-035D918DB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E9B4B829-1BBF-430F-8E98-7CABB150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39FF31A8-078B-4241-B3DE-A6EDF2581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C6DA6B95-D992-4190-A752-6C8A28A283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C7C299B2-C837-4040-BF21-E93260202A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7791E543-55B4-4A76-A459-52B9E434E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ACDB05B7-4938-442D-BE48-394E4ADA4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A59E2415-F5AF-4D03-9923-3D1E7B07D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88BC84CC-CD8D-4AF1-BE10-49FB9997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CBEE941A-3D9B-4C8E-B059-0C74EB7CA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1B985315-56D3-47E5-AD27-0A79A9743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3770C1C0-F542-4669-B064-1D322905F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1703AB6C-6E5A-4C13-9C95-DFF00A5DC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91FB3B20-D743-48D9-A51B-24143FCDB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12886F30-A75F-4F8D-BF89-0B0412969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8CBE2BBE-8D5C-4EC6-B981-4D6F31CC7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0073536A-9188-4585-9F68-55BA9B2A9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38F27B76-D493-409E-AAA3-722CC47816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2C50E190-849B-4892-9A47-6BB5E6F510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A84D033A-2DB3-4C0A-B6C4-0E98F1EDC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E0592499-D55B-45DD-A6A6-D81EF9D1C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BC7807EB-0C25-4BF8-BCD7-375298979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488E6D5C-6FD9-4026-B93D-4401505EC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85957BB1-775E-4D30-92E5-D095D679B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788403D4-EE62-4A53-9995-11BB6647F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D5B3F8AC-5494-4C06-9657-FA44C447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7CC6F5AB-DD07-4244-83B9-7594D7BAF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41378283-2849-41EC-BACE-D5FA928BA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9D1DE1B3-E1B4-4497-8A71-291FABB31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D647CAD4-3A61-464E-9803-CBD0349CC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6D679E42-07E9-429D-932D-BEE2D5CB5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67E22693-31CA-41C3-812A-7697D0BAA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3431484B-7BC7-461B-9169-9869ABC58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C1AF26D2-9EC5-4CA8-A1F4-E424B897F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4675781C-F6B0-496C-8D0A-1CC3882E1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74B68041-7263-4BC7-88D5-39CD7320C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D597CFCE-9474-4184-92C8-C8431A0A1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FAE82D9C-2EDB-4713-8D86-5CABB0D1B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E931CC6C-C20B-467B-9AFC-5491678B5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666C1C36-F658-4487-9A63-FEDD902BC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E1B8CF7B-698D-4F13-B041-28929CA32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E5E59633-7B01-4392-B94E-93BB4C4E0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C30FFEAF-BC2E-4149-BD09-3984D66EA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226D0CFA-C513-4C68-A174-AE9E029FC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209A3059-55E9-489D-93E7-6A860B2D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5190FAE1-3328-488B-A1E6-4230761AA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36874924-8B99-4E6E-B3C6-525CCD2BD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C40D6436-E894-452B-8207-D85789E92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9505F27E-6087-4897-8299-98B559CE3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2E4E4DF3-DAE8-4AFA-AFD7-A68D323D7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1F6677B9-FB11-42D7-A6B1-7C43793DE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BEE93DCC-A16F-4247-8080-B688A5C51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EA845737-2B7E-4E19-A306-5BEB6F277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A999C96C-EB77-4293-BAA8-2948E1176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72532DDD-B9C4-44CD-A817-1A785685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58704C7B-2981-4398-95F7-D49C0BE7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1AD3E8EB-C41C-4D25-BCA5-9900B1316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3B94AC0-2B3C-4EF5-A229-12580284A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FCB3DC0-0E8B-4D17-936E-C43364A8C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5F06ED14-FD2E-481B-A7A4-F2C9D1F03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FEC9D9C1-8411-4163-823B-C1F92DF17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916E2D97-7712-427D-9E82-8802A8F44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B4619E22-4B7D-484E-8537-D8A440CC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2F867DB6-AFD9-4644-9673-510F79558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D75A9B0D-5F5E-429F-A682-E3B9331C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C22A45D4-AB4A-48FE-8279-B59BB657F4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AA826A0E-73D8-4499-B21E-8614C81B8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805B62D8-6E75-4586-811D-533054852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BFA30322-B0B2-45F7-9840-88C60937C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C99E012B-8982-456D-8914-14174A1B9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D63CE7B9-8947-45FF-9DBF-8B6523D8E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626BDD70-2866-4BE2-A48B-F6EEC3D58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CD24F947-035B-437E-B8AF-281FA636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E3D3F622-939B-4FC4-BC18-B41EBE9E2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DF6956FC-DDC9-4976-9C02-B4695F6E1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7E23467A-BFEC-4CFA-8197-2496C89C1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7E7BFB98-6309-4321-992E-9D22B9AB0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9A5E04CC-E053-479F-90DC-E6F4E057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FA31A54D-E54F-44A3-BE38-D461D5C33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A0EF5834-38B6-44C9-8E46-4032D2A06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538D1AE6-3895-45A7-ADE2-C5779D4FD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4ACF9E99-1858-490F-84FD-9DC91487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FA52D78C-B728-407D-9D01-BFC87515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0B01D637-FC73-43DF-B496-A973E6719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9A5AB070-084A-4550-826D-D54F270DD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BE9DD391-D505-4CE7-9457-44CD961CA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38630DA0-F85C-47B2-94C6-073A53643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D35F73A2-A61B-4038-B70A-AC3772DD1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971DA527-2AE1-458C-96FF-1125BDA3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80ED997A-B390-4A6D-B1D7-35D9112FE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25E6B911-35B2-46E5-AE1D-7D460D7800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002A0177-044C-4D38-973D-F6D462D27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CBC0A273-D2AB-4248-B24E-3F0D24F57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5C7A6514-1268-456A-BF4A-4EDC8C207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452BE81A-8653-4074-A8B4-01F970346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1C0C195C-9740-479B-9FDC-2FB054C57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FC3F46AC-055B-4984-B19D-E2EF942EE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1D1EF322-E885-4F72-881E-FEE2F33C1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82D25E75-2DF2-4BB0-A67E-B3E724A95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5FB4598B-6E2E-4B2A-BC44-03B6F10C2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804215E1-9670-4E12-B640-6D48A75F8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860C03CB-BA24-459A-ABAE-CF55319BF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346B55FA-ED68-4EDD-B813-A4D6E63CA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373905E0-F938-4DEF-8382-2509CEB59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CE9F76FC-AA07-4582-AF24-E85B30E6D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B7A5FF3F-F8EB-4E9D-B902-0DA3745F7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DCE43B53-1344-4E42-9D1D-2F82215C6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3FE115A4-260F-400D-BE68-FC65179B1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5B5E4923-CD8E-4CE4-AA26-D30F1B28A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AB0BE977-C1B9-4E04-8951-FC3F78123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D35E6412-5A31-412E-A220-37A9AC30E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5642B913-771F-408E-9366-4B67131AD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C843BF89-DD16-4280-A0AF-CE85205B1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3400C6AC-7D95-4D5D-9E64-256211FC3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3D43F293-A3D3-4D7D-BA10-C86B8D9AB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02A1EDCC-E588-4631-82C1-5B3D967C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958DEE21-B7E0-4B00-8C56-02826E7EB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B5F399F9-72FE-413D-AC60-37624BFF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E7F005D9-C0DA-4401-8E31-3720BA6525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C3DC1D62-06BD-4B5D-9269-FE328E365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BE817940-C9F4-4C83-9999-00BFD8DDC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DE7EE16B-C200-4EB8-AC33-6FA9D4B8B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5648CB7C-2551-4E69-98EF-3EBC6D675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70EBFAD1-9D44-4225-94CA-EDD9FD99D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43256A02-BE94-4C0D-894D-DD3F419D1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AF2696BF-8644-47E0-8800-8C51EEEDE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C7597257-24F0-46B9-99B6-AA47BD65A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74B0ADDC-9253-4249-ACD4-DAA53A6DD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8482708A-CE29-439A-A940-7A4897688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4364B6CF-C66E-4F79-B0B5-33C9D3AFFD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99237540-DDA1-4562-9CCE-F9E684D9FC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B9367E81-F676-4897-AAB9-9EF6F7DDC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58C1C946-030E-4DA5-9543-B0C7F1005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23BFDE1C-34CB-4D4F-B416-522B0CA5C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B0EB2702-DA6D-4DA8-80BF-EFD4E6437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27E36D46-9A20-41C1-B524-4899CC524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805B99B8-02B7-4221-8369-C342455C9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52912348-89DC-417F-AC51-13CB9A3E5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710719AB-288B-4660-BFF5-4B99CEEB0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0A1FDB23-FBBA-415E-B11B-3BDDE5C2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A2BB9A5B-87B4-4614-A103-DF58B9F19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7B5C318C-E86C-4EDC-A9AC-4F3CB8FE9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48256C55-4D7E-4806-B137-28D8C2E1C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19DA5210-9C34-48F9-9323-7D19C4D50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FDDAFA77-B8E9-4291-9BE5-EDBB39AE0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4CCDAD23-9460-4668-B10A-5FAEC0E36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D17FBF14-02D6-471A-B1D2-F817F0DC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C71446D7-51A5-48F4-A194-3E8D91E0B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F9DDD65E-F484-45CB-B703-438144180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14386B69-099B-4950-B31C-61E347E57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41AC2867-CAFF-457C-A1D7-5B2E5AAD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7CDC71BB-3991-434B-AFF1-71343C1D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EE4A9C1F-E14D-47CA-BE65-D9275BB5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9C5C41A9-BAAA-4EBC-A4D1-AE7294D5D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32A4E413-F39E-4268-93C0-6CF38B032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B2D0869A-C71A-435B-8942-11D4540BD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734F6625-42E7-498F-9ED5-5E2869F3D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8B416601-F7CB-4832-9886-995AB9210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A3666F1F-DDEE-4C81-9443-9B5E8467C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4D35B215-3A92-46F2-BB92-E0405F1A0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5F6F60EF-29EF-48D7-A438-0D366AAF3A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B4F5CBF9-E71C-4242-BDEF-5AE911FCF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A2F6647F-68D8-4F23-ACCE-52793E07A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42A71091-9374-4189-AE86-3B4D08F33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C6943578-55F4-40A5-B0F8-B12FB2D4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FD6B1FAD-CA63-4838-88DB-C951F2B8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F4D4D8BE-9CBB-4A13-A40F-FDD367FB4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B6751A03-1C55-4485-9F0D-D6C353ACA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D97312C6-0C82-4348-AC90-1B19FE72E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91FD427D-1F60-4908-BBFD-FDF48269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483431DC-0672-473A-AC28-5C3F296AF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7933947A-6B18-4576-8BB2-9E94AD154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180C64ED-C493-476C-AD1F-DD385847C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0BC1150B-1208-4149-BA08-3E0FBF695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22137BBA-05A6-4683-82BB-E8904AC53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965E6459-7A94-4A05-BA4B-A1B4E175C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1059AF74-3785-426F-A822-6EA8ED69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6B21716D-189B-4F1A-8391-964FE35C0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9A6F8FCA-7F60-40DB-8CD1-BEFF35298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0627EB64-3C6B-4721-A44C-EA366FDA4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49C7B2FD-023C-445B-90DD-A5A70F6AF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1B67C06A-187B-48CD-846D-11784F02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7D5BA4FC-14F9-4F0D-893F-84858750D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316C35D0-2C7E-4578-96CB-E52E72D01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0040DB8B-BB00-412E-AEED-3040B67D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E8BCC6BC-FBC5-408A-BC09-ECB503309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3D0492BD-92B5-4439-8B05-AB95977039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F4102142-FEFB-49FF-A5C3-7596B8F53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A0DF1C14-5A27-448C-8C1D-76C0EBD07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CC651A44-2F34-4C13-A1E4-A2C6C825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7E1C5424-1677-4E5E-AA2E-A4CD2E889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CA89C89F-9E44-4765-A8F3-F6FE36BC7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113A6C48-A012-49D7-B71E-B51738C33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8E8B0321-B738-4BC7-A497-D754FCEC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415A7FD3-5912-4779-B9C0-262697619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C9D7DEDE-17D8-41E4-986C-FC629AFD6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35A69058-2FC9-4544-8555-955B7A643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C4905EDB-CC34-4CB5-B9BB-8AEB3E8AD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E889E864-ADD5-466A-88AD-6B0260A94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CF772C62-96EB-4D77-A45E-887E58A6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103B628B-5BD1-426F-87DA-95CBF2CC3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B7539758-FD68-4F26-893F-14E0DBCCE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01B8C0A1-0E0F-47F5-985F-4FCD8BF55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97232C56-0EA1-4104-9386-DDE09E783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3853A8CD-1BF9-4D2C-B98A-7F8E8D04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DD622AA4-0163-4D49-BF63-97B722980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7DE50595-04AF-4B72-99A0-2D1C2C84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17155BFC-E723-4E5F-9454-F0755EA69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F7447F75-9437-45CD-982B-096C0917B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509C338D-3636-441D-A9F9-A466FD646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B97A4922-043C-48C1-A1FF-B5CB9D96E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D9638999-4A91-4C30-805B-64BBD42F1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2C857F4C-2471-409F-B415-A7EFF3966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D9F51F1D-EB6F-42EF-9E46-80208C8F9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C710D7DA-32ED-4FD3-9430-D694C980C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BBEA17ED-7EF8-4989-BE5E-F3C928055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846EEEAD-2285-4E3B-AAFF-601AE7277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7C11E5B5-070C-475E-B574-B6D6ADCC3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0B138923-7F49-456E-9BF4-64190D73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E8BD34A2-DD4D-40F4-B2EB-31D909F4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606A3F7E-66B1-42EE-B581-B81BA40BA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23389DD3-B8A0-4F8D-B128-F7E7ACBC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CB0640F2-AF44-44EE-B724-DFD5F7270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A24EAA20-5E12-4E0E-B293-AA647E914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CD958797-43C8-49A2-8EC6-8C7B69821E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E6019FB1-7C79-49B1-9871-5B21D9AF1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9CBAA2A3-F836-4128-82E9-4448261356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4206914F-F06E-41CB-BF41-E4136DE58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6ADBC03C-3A8D-4369-B186-C40FDC9A7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D7946C4B-C58A-4037-B4D4-7BF8BEA9F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6472E696-80C8-4CA9-A11F-2EDEB0A0D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2E4ED296-B876-4E83-8518-28F871080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621649D3-F640-4C94-B5A0-29E1E3E6C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A5BDEA47-6A1B-4EAA-A3C9-4DD793530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570E4E32-5344-4997-9C17-5FD7DD95E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3A01232C-9E80-48B8-BCA5-AA221261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4E5ADA9-BC93-4807-A70C-76E77AFB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0AA58C3F-26B7-41B1-8A2E-26957AF1F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3B74B625-2B41-4845-874C-D63713F6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088C3FBA-5636-4691-AEBF-F4F2DF626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76EA641-CC4E-4262-AB0F-4B8650E9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270B0128-E9D5-4BBF-9EF6-AEFD8175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E943F97E-0A96-4594-A4C0-E1C4D14CC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ECB2F5BB-D478-4FED-B868-E2565FE96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199EAA43-9AA0-4BAE-AE30-6087B7876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9AA3E7D8-E9C1-47EE-AB90-BC49972D4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AE1E363F-75F2-4262-8F04-FD70CE912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65C3F256-FE39-4165-8801-0D957C4A0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930ED218-0791-44F2-95AF-C4F3D2A09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2F3CBB74-DFF5-4DA7-9CC0-21AC3BE9C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54E428C2-A23C-411D-8978-021F014C1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39555C49-EFE6-44F5-B734-2FA60DAAE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3C999905-FA62-490C-A5DE-6604458C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B68231EF-307B-445F-A533-8E832FF73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E0469043-C97E-4925-8760-F642A44EF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32A84C86-5AEE-4F31-8844-EF12DDB5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4FB674FA-32B9-479A-9BF7-68DE1BEF4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00FCF2C8-BB66-4183-BDF5-A527ACC8C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EB432EEA-1CC1-4E72-842C-C8E2FA092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FDCB99BB-9F36-4A5E-8DF5-06C6586B2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9ED3ADE8-447B-4A57-8951-CBBF7E620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D612605F-E433-4FD4-8197-DD586EA18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C99331BB-BFC4-4435-907E-A97886507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3F512AB8-C7BF-487B-903A-D3FC88449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DDBDE083-58A2-42BD-B1B3-BE80E6178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960665FC-F15B-40F4-BAEF-A71EE6D79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06441207-1B1D-4245-BFC9-3B88CEFFA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6A658B13-4053-4A91-AEA7-D748925E3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DBDA23EF-7DE0-4322-954A-446D2C174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CAC6ADAE-A36C-49B6-B7BC-0C234C323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59DB1346-5833-4E23-8AE8-D1EE0CBAC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005DA7FD-DF7F-4D70-A5F3-8AD04EFED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6DAC3B54-23CE-4B96-B017-6F2188B90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2287309A-0AB0-4765-AB1A-D59BAE450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09A9A843-53D1-4A44-A118-07ABF49E8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793E27DC-A967-46AE-9293-F94F542B36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1C5D33BD-9068-4B29-A709-8CEBEB23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898319B0-5C53-4FCC-AD77-30BFAA3CD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D0F74F26-D5C4-4F4B-95C3-C1CDB1756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80788C12-7113-4D40-B523-BE9F9651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3F282485-C117-4150-9F2D-021974C36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8CDB41E0-A813-47C7-969B-C270EA613F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F1BC15DD-3AB1-4915-B8EE-06B8AC8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93BAE074-2B11-4936-8896-86CF88D4B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D73FE097-9E7F-47D1-A5E0-36BB201F4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A82C16FA-A312-420A-BD00-7ADA0D419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A88D0786-B288-4A28-B0B6-FBFF55DF5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219A3F62-D004-4DD0-B205-DC68DCF8E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3C1347E0-6A58-4BC5-8FA2-A158B5928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184A18FE-08EB-4CC0-8A86-8C1C91160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65CC3352-4BE8-4B2A-890D-4C76DFAAC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517AE24E-69B3-4567-84FA-244EC6295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17C4C32B-8946-4DC8-9A49-1258DF63D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5BACE3D9-7F30-400B-A100-C617BBBF0B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2FA2E90B-B06D-4CAF-ACD2-E52028787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A3EC95A1-E50E-4F78-8999-9BBFFB2CF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4E444DBB-AF4A-42F8-9D26-AC8AD39BE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C757D22-B25F-41DB-98E8-506C3DC79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CC628E5D-5733-4A15-8641-1ABC4F07A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EF0B9458-4B4E-43B7-9256-A74ECC0242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D886EB3B-8873-471D-95EC-5A00CE2C1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3613F800-5BA0-4834-A119-0567B3068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C2776880-CE46-45A3-B75D-E071DC7E36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4AE56AFB-F1E9-4352-82CF-7339620B8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4F453E21-6E23-480D-BBD2-178BBE6F7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9D4B60D5-56FC-4283-8B13-A3168E3FE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CC5E96FD-AFEB-4748-A898-52A77BAF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E0751904-9D23-4756-AA98-C3BD6F628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68207131-1E88-4A15-9125-2EF2B68B33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8421F301-2943-4C13-A55D-2A5D4774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C38A8EAE-8FD5-4307-81D8-6A85A5438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EC13FE99-CF12-4D6C-9873-61F77051D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EDAA32CB-5BA6-419C-9A88-2F21C1500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6F961D3C-8EEB-4D43-B6B2-F5B598162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95FD1C71-C32F-4F96-933D-4768495E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CA241B6D-CB21-4C98-A86A-FA5D80A34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C852D83D-5E34-46F5-9B28-A4B53BD3C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16C9A9E4-D6E4-45B7-8F8B-3A92E44B0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B238C5A6-9FCB-4364-8274-C909069F6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C6D138B1-EFF1-4612-A539-1074C067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435AB506-4A1B-4C54-A08A-747C3B475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677E9991-B50E-4BF3-A971-7BE2FD7040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8F65D877-926C-455A-A8E2-60B81A6A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8F02AE6B-175E-4698-92F7-B37C24905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1467A304-AA95-4AE1-B4CF-1BA8F6009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0267A983-C7B5-410F-B89F-AA4D4C9E7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F3DDA369-F152-4E61-885A-E8C135AE1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595D058A-AD87-4E63-B16F-B1267F4ED9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6272B45E-5208-448A-888C-59018CFF5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AFA56830-F972-40E2-9D10-6D72FD99E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A6ED7427-A25E-49BF-BAC4-005DB6151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D0DF92DF-B103-439F-8B39-799E0D837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4C211393-2FB8-4449-921A-1748827D1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184437F6-C57A-4E50-9592-27D6E58F9F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9F54AFB6-308D-476F-9EEC-91559818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E20B169C-D828-44D8-A627-911D578B5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653C6DBF-7D8C-4C85-952E-6F5B5636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FE33792A-6968-4FEE-ABBA-F8F22AB5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69398CE9-FDB7-4542-9274-F0340222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D1881952-5C87-4BD2-8473-B45141FD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1C0D2682-0C1C-45E0-BDCB-1ABED877A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1C84D7BE-8056-4640-BDCD-2B0EBA6E8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C7877D71-E5DB-46DB-9976-58A8461ED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A8D34C8B-50D1-4044-9562-22DBA3510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69149AF5-D56E-426C-A559-E0BEE1489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02CAC16F-62F7-421E-A4D8-8C8AFA512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C558BFE6-4F93-463A-811F-76818E890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8A8EA6F0-59FC-44A9-A8F9-B0DE05BB9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90C3AA97-D77E-4ABB-8D14-B2ABA2AA2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28BD95D8-A4BD-4CC1-A323-6D5B0B3BE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1BA0CB67-D171-4D12-8041-2BCD07F6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F593D6D0-F4B4-478F-8B41-FE23A2BBE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AAFB3832-1FD0-4F12-A6BD-2543124F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71BE4E11-F709-4FEF-B9E0-3BC904C1F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044E72CB-E1C6-4CF0-BBB2-150946FA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D2B8E378-9962-42F4-ABCD-7AFEFC108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2B5DC63C-BEB3-4D57-A677-0A878C36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C3128496-A99A-4FF2-B016-FC47C1AC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64B94720-F61E-4A03-8F76-B810B3D49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D538B0D3-0E4F-4698-9F4D-7D40FDBE6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FE6E688D-B4FC-4874-A0E7-C8FD16D18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938B954F-99E4-4621-B0DF-CB0311326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9CD4C39B-5C02-44E8-BEA5-E45138057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8A07CE80-288A-4583-8285-B29569572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1D6000A7-E777-46EA-973D-A092E38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BCB237F5-18AD-41C2-A514-DCE3990DB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58ECFB2C-EE63-4A8A-A1B9-BFFB318F9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396A3156-7418-45B2-8FB1-2655517EB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09379A9F-4537-4E1B-AF28-5BEB270ED2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576CA874-3DBC-4556-BF91-8CBA9241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6EE824DD-CB17-46BB-8032-37994AEE3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BA36D5A8-E1C2-4986-99AF-6C2F7C217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CC73D1B5-4D7B-4540-90A8-6A22DB779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F3EF5908-2206-49C7-9723-8C2FB6C02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78BDADF5-9BE0-4F2B-8E79-7BB20E744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17DFA5DC-1CF2-45FE-A217-DC987BC32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CDBD5C21-5E2E-47AD-B232-AEFE839DA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AD5411C6-6223-4CEC-93D7-B423D7B24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A7A42683-3EC4-4F11-94F9-DF10A19C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DAAEA88A-B433-4429-8505-682BCA62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ED673717-C116-4722-95E1-B63366660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DD71A180-2CD7-484C-A4E6-67D3CBB5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CC16808E-C1EC-4986-94BA-619C698E8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77644B62-FDD9-4A06-B8A7-12316FC7B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63E504D4-C408-4A74-BA05-53A3A4915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8A61959C-9A33-4F4E-A6EF-54D925C72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D0F0F8FE-5844-4C7D-8DA7-B4125B552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DA8CD156-1142-4B10-B9D6-5D9012F57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B481D9D9-E33B-42A9-B646-1ACABDF5A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65911168-7084-4F55-8C39-5F61DD4B6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0C53BE76-26E1-4278-A472-B8C40BA7C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287B02A7-391F-4BBA-957F-66C7E2E65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1DE701C4-AA26-4FD2-A446-5F9CD578F3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2FFCA0D4-01C5-47A5-ADB8-616C1C8F5F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7C9B522C-184D-4AA7-86D5-11D800995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BE99FDE4-D6DC-4F53-91B8-3DB9D54D2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FADDDD54-6B7C-442D-B789-AF68B4FE0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DFED44BF-B38B-435B-9D87-3FB8ACBF1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A4FC4680-ED28-437F-AD4A-8D5F9868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F1FCEDBD-3288-42B6-9F6C-1403A9235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F84B551A-9C93-4473-A510-CA97BF835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93F594E8-F2E6-4D15-8FE4-40BB5BB2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4EB06335-648E-42C3-8059-43F0B9092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3B2BDD2C-D604-4D2A-B5E7-43076D8DC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4B8F5131-4204-48D2-B41F-9228BF8AE1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B5BC4F40-C435-4CCF-835B-706621720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2CE360F0-5B26-4277-AA30-BEF867202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81F90E1D-586A-4FAE-80D4-3B740035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49E76C94-FFB9-4DE9-9709-0C1FB020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6FAAE00A-5028-4B54-9A41-957A0CB36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22C08C5C-1671-49C3-B1CF-EFDDAC0DE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117C5EA3-1457-489C-9759-A6A4B330C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BA8ABF3E-8845-4F72-BE54-CD201A251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B015E952-3CE4-460D-AFA3-1B1230E66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80C47A07-9878-4880-9F65-9BAF62BD8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E9C8E366-5815-4597-A2E7-3923CA204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C0199A46-83C6-410B-A520-C1400858B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9992C5A4-CD9C-45D5-B70C-12310A05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235AAE1A-7A3F-4926-9117-3409A76ED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5DD573B2-2E74-4F3B-B975-F2F966F2B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43D68CCF-D542-4C87-A1E4-184EF6850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5B557090-E8CC-4BB8-A01D-AB0C1317E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6D7B3A15-6090-407A-9C36-F2B3D532A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E01D1F9B-6497-4647-B052-EB1D873DB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8019B954-AF66-4B39-A55B-0788B15C4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F397F4A2-4A32-431F-AC4B-ECE7ECA1AA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B17C7897-B841-47EC-BB55-7FEC8A851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59C0607B-E295-4886-AB6F-5524F73EB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B1957E47-8CDE-45BD-BAB9-1B5E5600F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91456457-2C81-45FD-B290-E80DE3AFD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C2446DD4-874C-4D01-B376-7A8D6B9B4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E4C52A4A-AB83-494A-8D3C-C7BE1E1901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C564F0D1-4578-426E-8F70-485384949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C99BCDF7-2B39-413D-9DD1-29656ED76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AAE911FC-D754-40D3-99AC-0CCDF3009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9807B850-9D85-484B-9009-C9AAE5553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DAC57BF0-D583-47BE-B2E2-0551C6795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0B202A2F-0B6C-4D2F-A568-A0B12A450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9362DCA5-516A-45C3-BF07-F093917AD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A5ACAD4E-1003-443A-A6AF-AD89E3C05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D08992D4-92A5-4B42-B24E-2DF867BA9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1322659C-5F8A-4E04-8BB0-9034F214B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115DBD67-A2F2-4E03-AB53-66E825D41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21A67E58-B434-4012-B9C3-8B4B646939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46149D5F-F0D9-4471-8997-51FCFEC8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65E0A578-F8F8-455C-946B-6829BF86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D119C3E5-1C7A-410F-813B-4C3B96F42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F7222327-0E1D-4E2B-9743-330F9E01E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A3BD474B-9AFA-4D25-B424-6FA5D6B1B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C2ECEBDE-1453-443F-BDBF-268073BE1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97EFB662-B258-488F-A347-4439A6863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44AB9E3A-F9E9-4F55-BE70-F0E358CEC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6992E4AA-285A-4B78-91BA-540FD2344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D72627BE-9BD9-4BF1-A57A-12F3561D9F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5E0AD605-7841-483D-BEC6-CE46ADBEC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A89A4DED-EE2D-4B4B-B666-063ED1022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631E7297-923E-4694-82EF-CE30798F0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6865C874-4610-4C4B-803C-C3793525A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A80DD39C-6CE6-42EF-8B5E-565E49C1A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BB2F9DA1-80BD-4706-8206-6011B8617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FA31EEED-7906-4B14-A924-43A42961E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880FCC7C-7697-491C-99C5-3A7FDD755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FCA07C42-357E-45A3-BBD1-E6CA9AB4D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0C5D207D-E6A9-4655-A77F-640462FE4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2D0BF699-46DC-42C2-931D-BA411A601E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8D6F037A-9D08-4A78-8CBA-53A4E8759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2A921947-C8BF-48EC-A618-1452738CE6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24D008E3-22A6-4E15-9084-CB8795A2C8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82BC76C1-3C6F-46A0-B63C-29145F6CC5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BABE4BD6-2FDA-4252-BF96-9366C7600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1D2780CE-69FC-4334-AEE0-DA71A12EA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EBED2FC6-8194-46A0-8C89-FD7F2AA3D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F75281D9-D1F1-4B08-B58E-B35AD5985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E3EB0E72-6800-416A-A667-EEE843461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DCED2D23-E6BE-4410-89B2-58940B51E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529E966B-557C-4153-88BB-15E00062A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E4C4D506-495E-405A-A81E-EAB56BD1D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167C6BA4-8C5E-468D-86A3-53EDAD851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8E570F76-C507-4234-8B8A-6D1DA8BC8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DBCB922D-C072-42F3-B458-AFECAEBC9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9ABBD7E8-7226-4576-A4AC-2B559481A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F05190CA-9B6B-43BB-9384-C6BFCC464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87C2B1E5-1CB5-4C58-8AAB-83E1E46BD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E5D60F07-2605-469E-A931-F5F8E1F00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ED6AB770-5D43-4A1E-981E-5597F0C0C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94C0FF15-99E2-439F-8D37-BF0A1DB4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C2DD23E3-0873-42B7-BA31-F3F8A356A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F949BF84-552C-4541-AD77-CF0246FCA5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17FC6CEA-D43F-4AC7-845F-EDE998175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904DBC63-4892-436F-97E6-2980F82AB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88FB3F1F-FFCE-4BD8-B3F3-0D4655E06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74CC6C61-9888-4432-A192-BBE9CDF74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586A7731-9CD8-4927-A58F-7030BF452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F3007995-E6C0-4CBB-9DF5-2E4587715E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FC6AD66C-400A-45C3-9911-0C8E00D0B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0ED861A5-DDE9-4F28-A6CB-EE275227C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52EBC9EF-51B4-4715-BED3-7BB12A1CB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E033D096-5CC0-4C17-860D-5A8C488D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EE1BF1F1-2FE6-4CED-A6F7-609006555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0206E475-8BFB-44D7-B2A0-254D11EDA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C3CDEB5D-B1A7-48BA-994B-1DC09AE6A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2FA5A162-0A76-4DFB-9910-8D06320DA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207C6963-18B9-4707-9121-68291670E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8C3954DE-BF69-4D83-B380-43B24127C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BA8523FE-8BF4-4DAA-BD09-B88B5FC81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8D56171E-6CCF-400D-9F09-3A7010155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C36C2A1F-4649-4DF8-9E34-F9C38237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BF4578EF-C1CD-493C-9067-5CFCE9ED1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AF7FABB4-E26E-4635-9A67-484BD820B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B8DAF851-215C-4ADF-AE6E-3E67EB1C9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059C7619-E0EC-4D0C-85AC-00AA0AC57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94ED6D8C-CFE9-4932-868A-D255C5D4D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D4CC0C3A-D771-4FCD-B4EE-2C2A1A460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4AC87092-5EA3-4D9F-9FBB-80035DA503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13244189-C636-4164-A81D-3ECEABE1C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90F2C372-6348-4857-A8A5-98876F362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5E3A86E0-FF1E-4B91-B19D-E3D6AA83E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BEC52D92-1AF4-4729-868C-E9F93D604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16DDAFA2-2A57-45F0-B536-F4A7BE02F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FD868C2C-D5EB-4DF2-8F0B-B6F22A68C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6C5BA892-CB59-4857-B911-7672019C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86F418FB-8998-4315-9B6F-7D0010E9F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E40C3036-3F4A-466D-B70F-FF9794896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19291811-9A3E-4DD4-878E-77E2004D7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4CBEFC60-2BA5-4FE3-8B75-48DBEF9EF5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F8FBFDC5-0A43-43A4-AD21-5E4DBAAD8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6</xdr:col>
      <xdr:colOff>0</xdr:colOff>
      <xdr:row>837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2F49961D-6D57-4C9F-A2DA-B6FE03B69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0537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CF3BD920-951A-46AC-ADAA-D5C0D1238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B105330E-8BB2-4E27-AA14-DADE9C9F1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9B500D65-C52E-4691-BE41-8D64646E9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99A26505-6ED9-4446-98D4-C0A61062A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E2976BF1-D276-46CD-8929-7241653F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B004D2BF-0C05-4758-AB0D-F067C013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39558ED0-C447-4D4E-85C8-23F51F500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88D888CC-A0CE-49B7-892C-60D8160E0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607F2CD9-E6DB-428D-B1AE-3EC556095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72423F60-7CB0-407F-8C94-F2BB44313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EB8984E3-0AEC-4341-9534-D4A654079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386C2562-F8E5-43DD-A767-C80A7BC447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134D562B-0DFC-4937-B446-84290C807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F6B5CB5F-8E02-4751-ADA6-AD40C342A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08E93705-D53E-44D8-89B7-EE622095F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CBA028A3-EBA9-43E3-8146-F962C9867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4CBD5C6E-4EAB-4F4E-92CF-4BACEA927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F01B8DD8-C8BC-4A94-9027-515151E0A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B3907286-9970-4FB0-8464-4149D246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EDCD087B-6C15-4B1F-AFC2-F70F0E876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A18F7493-5BCD-4CA5-823C-061F03B1F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ADE53C9C-71E9-45D2-A592-C7DC0B3FA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4315B4F7-56DF-49E0-AE6D-29053DFEB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F8C5DADE-5A78-43B8-A119-F8CFC1321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6C5F91EA-2658-4951-8B51-FE67203B2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0C591E8A-3280-4177-8A9F-AF25D518A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32546D9E-DFA5-4315-9166-3CA15C325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5D6767E5-5692-490F-9E31-AA5B293611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5AE656A1-C9F2-478E-A317-1BE7844E5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B6BBD0DD-C826-448F-A773-E05F15A83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98FA4A01-ECE2-4EF2-8583-85D464342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9BD31507-6360-403B-8150-25324046A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03C9A3B1-131A-475F-AC6B-9BEA8A94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2</xdr:col>
      <xdr:colOff>0</xdr:colOff>
      <xdr:row>837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AA4E54D5-28BD-48B8-9DD9-B0D888E5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66925" y="5678709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835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2FFD34AF-08F0-4393-9AE3-9187B8B6C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295CF947-C661-428D-9AB3-1802E5E70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0DD51D0D-45D8-415A-8523-F660F2937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2297346B-B22C-4349-8A0B-C919DD2A8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4195195E-C3A6-48AA-A037-98415113F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F4A57247-C102-45DA-ACE8-78E631DFF3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D2D7FD2B-AEF2-4940-91D0-0E51F193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764208BA-29AD-45F6-9E91-FFF43BE2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4FD662D3-3F5F-40A6-9DAD-7E3B783C1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4794CF8D-FD7C-4C91-A14C-0CE0DB90C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9D11A297-7851-4FCB-BC81-CAB744FE2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C31DFF52-2651-4A1E-963C-70194F52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8D5FF6FB-67D6-4A7F-93BD-8DD1A0662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36510C50-1136-4834-8521-59E5757C6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519B3747-5AB3-4A19-8CBE-A5134C3AF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C98E8C66-40F7-43A4-8ED5-AE1C27104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F4410C9D-E9E7-4B49-AB35-57047F08A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A103EC98-89AA-490B-976B-ECE96D351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72D9A63A-6091-4A02-8BCA-928E409AE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D1B66D5D-10E4-4505-A57C-2041E1EC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3FAE9F9D-0A2B-4C84-AE9A-3582BE51F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A55382B8-E285-45D3-A999-FFE3CF62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E63195C8-FA52-4F69-983C-B0F59C6B6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AEFD42C5-9C06-4FB3-8A7B-D62179894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7490C35E-D1AB-4149-9F3E-1FF10D689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9AFCADB5-E245-4747-A638-0622799A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BF02B442-8E7D-4771-A33A-AF7A14859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414101E7-AA57-48B0-8128-592FAA9C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7CD10568-6C3C-43CD-A992-263569266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D4EADE6C-750C-464D-BB33-375CBDC61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258512B5-0AFF-4EE7-9890-0D431A807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BD3DF46B-D320-4E17-8D96-11BF654D2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24756A81-E92A-47F6-8942-9767FBF26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8E467EF9-C260-4546-825A-1274E133B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5136ED4A-84C9-48D4-8C62-F2F32D905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6C590016-D847-447D-82D8-8F9717E24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586D18BC-F23A-4377-B108-5A9376F12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3CA2C09-F6C5-47E8-953E-2E5D3AA1F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533BC114-0DDB-43D8-B045-46F1E25F9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1AFF290D-C5A0-4AFC-B1E0-7E8B35650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DDF1F272-C20D-4A6E-934E-AF11ADCFD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AA18B5AD-39B8-4970-9808-5E3A104F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3DE8131B-134C-4313-A49F-6384C9C90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E03708CF-E2A7-4498-A530-3CC9FD646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53F07585-EA01-4C54-9FD8-5EAC7DCA5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84D1FA87-122B-4A7A-AF28-A0EFAF958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CA28AF7E-B5A2-4188-BFFA-31AE87E4D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939A5D00-1025-4E21-88AB-C38B8794D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53ECA2C5-3DF8-43EA-98C7-A5DA5764E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8223BEF5-67F8-4F0D-A978-16213B15D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530CCEC3-F95F-40CA-9E16-F996C1A1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EC91E2DD-8C39-4A8F-A977-76D48837A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8F945F57-3546-46DE-AAB3-FCAF618D82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07855E2F-CD52-4BE7-A830-808CFE888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729BD3CE-553D-43BD-9440-1D22C3F6E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9774B361-83F1-4B18-B635-3837C4396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BDFC4C9E-E699-48BB-83BD-390BC8AFD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9AE1A0BE-EC34-4AF9-993E-73AA631FA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DBD1C0BE-4650-4D6B-8A01-712A26CD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88741AE2-4FE6-42D4-AFBC-30919A2BD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2041AB5B-4A4C-4FCE-AF61-267750DF2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00CD7415-797B-41FF-89A6-9EE56771B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2E6A9F8A-B847-46B0-8C98-3CA9FF255D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AB5B7120-7E5E-403C-999E-CB44A441F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0777953D-8A7B-42C5-8182-5D82AB56CD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4661F9FB-B5F4-40AB-8DFC-F9618F5E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6FEBABB9-0D9B-4AEB-A0B1-0A4B33755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5EBC3051-4FD8-4E05-B166-25D0BDFD5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76CE60AA-900C-4E84-A377-4A974E52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37B18A6D-EC78-4162-8AFD-E5D8F6E5F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6DAEC474-93B0-43CD-B94E-0AE749B6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E3C9F2CB-8E22-43DF-85CC-E64A5B19B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0C2AEBE7-2E6A-4E4C-A9D3-4FEE0865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FC4EA87A-E83A-413A-B8A3-FF1E64A1E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37F41221-EC6F-47FB-A520-C4D147487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51B05905-1699-435F-99AB-C6DADBD18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5C42CFDE-3F33-4A1D-A0CD-6FB421250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4F72E44C-435A-4155-8A0D-5731CC334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1C2E803E-1D1B-4875-9350-0BA23CCA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ACE76713-8A33-4325-BE98-53412AE43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681CAA28-8018-493B-9956-0879B254E2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CF6504A2-90B6-4584-BC98-C7D432D0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20134ED8-219B-4FD1-9663-5AEB5D1C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B82E4F6D-8AEF-4B0B-951B-1418E8E31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DB109469-F62C-4F48-9DC7-44C21E919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34CB78D1-B893-48B8-BE46-A5CBBB1C0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3D8224F1-A38C-4808-95B4-203BE0C3F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CF43F2E9-DD0A-4DB6-B69C-95AE14FD0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40BD8274-3B4E-459D-8D62-234844ED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59F38AFE-8C5F-4B2F-BA16-8289653B8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0FB0ABB4-F1D9-4EEC-91D0-1B21C8EA1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9EDEEB8A-0FC1-4E4C-ACEC-18149310C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7B87BE75-7FBE-4380-BB0E-7B2009B1E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40C3BF40-9537-4AF5-A53C-95949A5FC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55291369-E60C-4539-AF58-4E0B0D6B8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9941D8E7-C179-4A11-964C-31863E9634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22A4115E-6C4D-4213-998C-1834093DE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A53EDDA0-10B2-4374-91FE-AE582BAAA6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768821B2-8B05-4534-A767-F77989E4E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002AB55F-F0C5-4DE3-BAEA-4ACA20E5D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CFED6AA-A96A-44B1-A83B-D2E71DBB6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8D6CB7E-6191-4EEB-8313-D90CB06DF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17284D9C-45BD-4812-BB63-12867578C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D8880A4A-0B84-490B-86B9-D38DBCD19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0B922676-DFE9-4AC3-A8B9-8A0EDFC4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71C7C34A-1F49-426C-8D73-BA6F29AEF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8A9FBAB1-3C97-4DCD-87E8-AB348242A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C03C43B4-7F11-4BD8-AD82-23DB310D8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15AD8FCF-37FA-46A4-91FE-D892D0B9B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29509B59-7F9D-4B55-B73C-96C9E915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24661BD2-FD87-496C-9601-BB8951984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02F7F010-2C62-4F1E-82DB-8E885B76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DB2210DF-7C17-40A2-A2D7-18FE43EBD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0C63854E-655C-43CD-8030-0F823E555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E86747F5-EFE5-4393-8F22-F52F720B15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D01FEC52-91E2-437D-A694-96F31C15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77A3B478-F70F-42E5-AAD5-75873A2B7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D58A030C-BECB-4F48-9CAA-E9AE46877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C3330666-ACAC-40DD-B54A-1D5F5CEAA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2C83F63D-5C11-4C03-9347-6244827FA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71DF11E9-E7BC-45BC-B799-CCF36B071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C711AB48-2999-4739-A72E-5D1F3D376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14CF3F64-B276-4A85-AC41-3BBE8AB74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6C7303BF-FB60-44B4-9D06-4ED92637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638302FE-22B0-499B-B6E0-FA1B757BB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C96ABB3A-5059-46E5-BB04-9A18E11F6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218C08C2-B08E-4454-89AA-388F48562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0138B100-AAB8-415A-85F5-623629D43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C4AA68E4-8B2E-43C5-8687-F998C6249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C897DE38-AB99-45CF-84C7-B5B5B68E1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3C2B2DFC-E624-496C-BC7B-7ADA7ECC3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EF066AE5-428E-4745-9AA1-DEECE9B3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C8587622-2695-401B-9509-95C16EB1F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3177CE82-67B9-407A-9768-C45A8A6AA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1A72DB79-1B61-4B8B-B814-9CE7D0268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4A581296-C06F-49E1-B760-C14CC8555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43C4D024-9784-4C51-AF7D-EE4557CE4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B591D46A-0A5E-4A83-BCC5-F208257C5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19DEA223-3C8C-4DA3-9615-914098986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151C5266-8AA9-4907-9D92-878AFCBF0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B3A15456-2597-4779-88BA-40FCEF09C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066134B0-A2F4-47B6-B982-73D6F5C96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C795E61-2A3B-48D0-9540-7B08581D1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45609088-0114-49B8-A2BC-94CA25E37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CFFCFB44-CB41-46CB-96B7-93C7DBA5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FA6C8401-A7C6-4975-92F9-049875402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043702D0-2C68-46B7-A153-3C089389C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3284CFA3-1977-4DC8-9628-81D58D250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30A3EB1B-5AD1-40E1-ADDE-FE4EC7521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CD4407EE-0200-494E-BFF7-E0868089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2A5A9594-0FDC-423A-AF7E-B2650A94E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BE47A960-AC00-478A-B8BF-51F20AD20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A07E04F1-FE98-4057-8686-C11D126B4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BAE89103-1011-4967-9D5F-179F5E84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72BDABFC-67F8-4E3A-924C-A846B6BC0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A90973F4-7972-49B6-B080-716E5044F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DEF6EA13-307A-407E-A980-3573B2958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172B73DB-00C7-4890-B57C-4FC279702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D4621E7C-E245-46A0-A586-3A84E19C6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E951019C-24AA-4DDA-9D69-9718023D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9DCD6B40-F7CC-4BB2-8DC8-0D6C10FE4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00983C3C-B4E6-4F39-AF2E-0AA23E2F0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855ECE27-0956-4604-95DD-A7E0BAE5D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3C47CA42-A8AF-49E0-86DC-026D4B971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C15D62F5-FF00-4D21-9360-C3DB1C4ED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3184C7F6-2D09-459E-BBBA-9B231A554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56140A74-78EC-43AF-B023-30DB6AF30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18A113E7-B128-490D-8094-0E9F4723B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9A3552B7-F438-4F93-B5D5-9134775E9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3CA5E1D0-E777-4EDC-BDA1-393F0B573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381A9A12-501A-4219-ADE9-FB578E4A3F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36463179-A10B-4D1A-ADBC-366D9DF0C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1B6E3F76-6FCA-4D0F-AFBC-EC6034F00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B8E93015-0125-47E7-AD13-9A6C6086A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25EE62E2-32CF-4691-B883-EF2316973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78DD8435-0276-4FF1-BBE6-166250BAD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F8632C50-935D-4A1B-91FB-EA3047A7A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60B77C36-F84D-457D-A3AA-10CCFDC6B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F91E0844-F04C-4F03-95FB-50120491B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F1132FED-2B29-4990-87C7-0ECC37608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59E7382C-CA9C-4180-9D5B-4FE0F4D838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DC875EBC-6D80-45A7-8DB0-3FDD4CFE7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EC0E6C6C-A21F-4F25-8726-E1CFD42DB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8D1137AC-1E8F-45E5-AACC-06487346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76D957C6-CA21-41E5-AADC-13F3637E6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9706CB37-C357-44C1-BE57-B947C4B55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E2EE531F-B8BF-4367-BD88-BC8CE5DAD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A9A6875C-0580-4937-BD85-A4264AD19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F2806653-6DD7-45CC-888F-F303F5877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424E711E-A3E0-4964-B8C5-7E1E3EDBE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90751C6B-95C9-46ED-8A07-000205F83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9734A965-5B5B-47FC-9E3E-CC5E0AAB6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75A90258-22BD-476B-B9CA-EE23BBBC8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526E1E49-A27D-4750-A913-D22F9489A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9481E6FA-3559-4F07-A0FA-B8700A47F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579823F7-32CA-4316-83B2-96EF8F45D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68A1744A-720A-48B3-A4F9-A9A54F329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4100ED98-951A-4BD1-973D-2C3E04AD1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84D12081-420B-4C7F-A2EC-34505E808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6F4F676B-A76D-4A97-B40A-11D93DB2D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7F04B583-6D0B-4153-9A0C-DE9489442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5CD7A5F5-AA38-42D4-A5C3-EB93B559C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B89BBF27-7831-4045-A538-6D5B7BC1D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15EA0380-A5B5-4D89-B1A9-429B93BFE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11630B40-0FB7-45D1-B511-E13AE7DEC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55C44705-B715-4341-BA1C-99895401B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799D4C5F-1B67-409E-A89B-BFA72D661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9C89FB54-2DBC-4305-9639-B590DB735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15EA5BB0-FB9E-4524-B351-6C0C09E57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5FDBC861-40BE-4958-96F9-42DA187D7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D36436AA-BA42-4749-83B0-718700B09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E3D5861B-4C13-40AC-A6D9-B7B9350BA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B85875B1-CDE6-48C4-AF5E-7933AE403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2E584800-5EE3-45D9-B699-4FDB47C26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957D8E12-DFB7-44BE-9709-F9335EAF0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7639DC94-382F-461E-AA35-798AA4FB0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15E21615-9CE4-4CE6-9328-74ED9EA6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F4FC5A7D-79A6-40FD-825F-7ACF1C0F8B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4481E251-0683-47FE-BC08-051001BED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233AA725-0089-45CD-AACB-75744EF3B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6420CC2E-F817-4004-8861-01C242EB8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53442D17-DFC5-4E64-AE82-3F7EA1A37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D7935EB7-2B5D-4E35-B7DD-44E0EAD2D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BEB777CA-1082-4FA8-B4C4-BAF18FD00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CA558D00-EDE8-44FE-985F-80637E919D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BDFBC08A-8F57-4E42-97DE-A31323746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A4CAB889-F286-4274-A88D-C5B4A3FFB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7AE1C6BE-0559-4CF0-ADAD-F28F36C08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FC34CFF0-F255-47BA-B6D2-6DFB1A019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73DEF98E-AA80-44B2-9A81-A8084C22F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0D7625D-1C60-40D4-91C7-94FF8245F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B195055A-A7AF-43F1-AEDB-D9E318770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912B76F8-2222-4546-B28C-0656716DC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833C6DDF-B77E-4BED-A406-1210A58E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B2C31419-84C1-4DFE-931E-9DBFFE72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31494D64-C4BC-4414-909D-6BBC10EC4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BAFAB3C0-7770-4B72-9F8F-AECA8D45A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7C546AB5-6D4A-4FCE-A3BF-E005E9149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A9030F7C-9BDB-4C4E-B6D0-611C579D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F4C6B20D-5084-4BBB-9385-A1D1F7B50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782A4FA7-19F6-48FF-9A9C-4D1C05AEC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B912DF01-965D-4B6D-8BDE-4CCD160B5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F0F466F6-3298-4B51-8A52-8F07C829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DEB20CE6-6B88-427A-87C9-3456C1889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29158945-B98A-4C9D-B910-110A96D7C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D6A489F9-4FEC-4650-957D-38BBEA9843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6DAAB618-3BA0-4324-A987-CF26D6AA1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9D7FAA9A-D247-44D0-ABE4-9596BB8EC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4DFE4AF5-D812-462F-8B4D-93A8E8A89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356DA207-3477-4121-99B1-8469D6BC3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31991AB4-A37E-4DCE-926A-CC9D9EB1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E1D5E8F2-998F-453E-931D-0D57F4108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EBCA8A24-FDEF-4296-9943-DD6E46638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B85B392E-8D22-48EE-A7DE-48FDAE2D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E796FD52-2C7A-4DDA-8E12-3E12E8AC4E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9F95DA53-421E-4901-A03C-B8A277DC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81465499-958A-4FE5-A3ED-5E02D8B31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ACB72160-C057-4183-9D8E-3CC5EC918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ECF598BB-5E68-456B-B637-44FB5445B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8CA00540-9A6A-473D-89E3-BC42B7E05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06F06CB3-5B50-4D9D-8CC6-E6D73E01C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90A8D90C-0A46-457A-9A76-FFAF18CE4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80F95845-6C67-4B9A-BAE5-620426C23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B45536FD-DA35-4438-A018-4BBD4F21D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6D38B890-6176-4C32-B650-A23FBF415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C3985954-5C00-4D8B-AD1E-4698F93E8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FDC14353-B1B4-4D02-8CFE-11C656AD2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21C84E52-ED87-42AD-A408-E176A6132B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BE71FDD9-D943-42CA-A5ED-735F4C1FE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EAED49CF-CA06-44F3-A4F2-07231E40D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94CF4516-CE01-4DB4-BAF9-3122BD047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9ED0ED21-B70C-4C42-AC5A-EAA9BCF1F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F7D118E5-D7E3-47DA-93FE-264EF668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B93F1FA0-BECF-46A8-8D40-19B66BCFA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BD613B8D-5C0D-46E9-9D77-8B6C5651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23E9F872-2BC4-40E6-9A26-4974661B3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37B95F95-D75C-4FA0-B9A2-6245A19D4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4905B4A0-3EF8-4A27-873C-96405B2C8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CE03A124-451B-45AF-821F-BF7BE03E7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980AEBCD-2D19-49CC-A939-0EEC45C26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5E9E7063-A01B-45B2-A9C8-FC61426B4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A991596D-76A3-4000-BB86-52E4C6756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126E336D-1AEA-405D-860B-DC522FC231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AC1E81BD-CFD0-4C10-9227-C5906B438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3A1D03C7-D081-4E53-92A9-7B803D6AC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6571381F-4333-4CAB-AAAE-6F100C8E5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A765E86F-8D1F-4DA6-9C18-4398DDA4A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1D68E8A6-5A0B-448C-8E3A-CD98D8430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AEF0FA66-4ED7-495B-B3C9-FBC25A70E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CCE4876A-DA60-41A8-A62F-5A24E6EFB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753D671B-CA6D-45EC-AC15-205981961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B03F4E50-1646-48B1-AA0D-74C4F7974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F9B99693-0CB4-498A-AE96-759DA3FA8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89F222B5-1CEC-49BD-B4BE-4767C1E15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F282B230-ED96-461C-BBDF-02BE80051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18F2B592-5406-4243-990A-1CBA4FA4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03B6EE8E-03B8-4957-A71E-87B457EFF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928354DF-62D3-4D6C-9266-B5D133BFF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6BAC1779-1463-4E31-A17F-F4C861075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7363529F-AA7D-4762-9EF9-48A8C7A72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68843C65-77CC-499C-A358-2595B071F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27E20241-1A98-407D-9D85-5CECCEE3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B9B097F0-1B7E-403C-B911-4CC504E6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9696BB7B-890A-417F-A738-F2ED35D53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F6CABD61-DC37-479C-B216-8838F380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A525BEC8-07AA-43A7-9920-FEEF8E422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D23E3D55-B651-4EE8-8077-516E5CA89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9A6C311F-606A-4169-98FA-9D3922E3F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1432EC47-963E-4726-928F-5000D0A94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06B28846-6E39-4AF3-B834-FA22F34D1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EE2DD547-06D7-46B4-86FA-E497FB69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ADE3FEE2-48FD-4021-B936-4E6A5784F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565DE089-5394-429A-A146-A908D4E58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3B5AF524-7A60-4705-AB8A-50B445373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9284D02B-F6A3-4E3F-9952-49EEE170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F0FADCF6-E7E1-478A-B723-04E2C4F45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240C541F-266E-4F9F-B7BC-91DB4CD07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6F47F147-CEBB-4525-925E-9834583D24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010534A1-DD1E-48AC-A27F-B5EB1415F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2FB47E96-0364-4F23-B060-386D1BCA1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864F7A6B-29D1-442A-8139-6A57AB095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836D8A37-D1A0-4344-A376-BC7B95675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6FA04452-797A-4F43-9ED4-F884662E20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56BF7E46-90B2-4201-9CDE-95FD853CF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36938800-4C00-4119-96F0-EA4F7E643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519D183-47DA-40FD-9F57-45CF09713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BBB24AC8-9590-428E-8530-3ECFE38C9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F9066110-6ECC-4D53-B3FA-4D90E6A6A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56D7FAFF-C0AE-4C3C-A19F-6A402A171D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0D8DC8D0-31F0-4F12-A73A-5246A21A2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BE0E4C0D-2545-489F-A30D-DCAA6E84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690A642D-6096-4899-A405-73F18B3AC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2A50AA83-4D3F-4570-984F-4F7054C1E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2219FF49-2EDE-4876-B979-C6B985CDE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2AC5E8D-68EE-4DBC-BC20-D7A141A54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13EDD3D0-E971-4638-A522-9C566456F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17B7B713-A286-4BF4-99AF-87E5D17B8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226D0B45-7446-488D-9E20-2BC1A2AB9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EA1A29C9-C29C-4882-922C-5C36E1A1D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94D1F329-5607-4D02-9E97-4B72DBD789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FE33D594-C3E5-44C7-9B85-133D191F64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E81A9097-2973-4A3C-843A-1F56E0618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5FC55DF6-6563-4EBB-AB8F-DB41B55B4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A7D94284-01DD-4FBB-810B-EE126AB6D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9AC9BFA5-C648-4898-AB9E-35BC8AC0D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05D84C5D-8564-4342-A8E2-6FB7D3866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65CB8FA0-4066-4817-838C-5A19B318C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F0B11ED3-9A90-4BE4-906F-976C3BFB0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F7F32888-A556-4469-A385-B7C343EA6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16B38F5-7DC6-4673-B5BE-3DBD55144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81272866-5A19-4F14-9DEF-550C78AB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A6D9D363-98CC-416F-B905-53BE85863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9B009509-A985-4D11-9B8F-CFB0AF5AA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0F8B6767-DDF3-412D-ACA6-C0400530B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B7A15191-912D-415C-9AB6-5599AB0B6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29B5FB02-7E98-43CC-AB66-D33C554E91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029FD329-FCB0-4471-9D8A-D20450AD8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B4FE4E09-AF66-4F43-80D4-3AC83E250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E3F44552-21E6-4F19-B240-C52C7A352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A9007BD9-3F6E-4E3A-9129-8CE878073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77E45C12-2BB2-48DE-AE1B-5537F474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7EBB2D32-AB24-4E41-B888-A194EC4BF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F914F6F3-C092-435F-A4FC-F40FBED5B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7A2A35E2-921B-48FA-ABE0-43CD76642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B7F9B1D5-D3C8-449B-B0E8-B27E6261E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DD287D67-309A-4B78-8FA0-DA2BDB294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30F897A6-D7EB-46BA-9B72-3C93C43F0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0B515B62-0FF0-47FC-95D0-F3B2AC739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7C163D3F-EE2B-4420-9FF6-E674A9CF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CB7EF111-C77F-446E-8E04-6182A29D1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DF3EFAF9-1B17-43D4-AC1E-FCA57F368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0B18F08E-7723-4A0C-B92B-E756AD05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BF2F1B79-E33C-4981-9749-487437529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F9C925F6-294A-4EAE-BBB5-1B0A0A250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29489D8F-1889-4CA8-B94D-6B279806F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B1D4B12C-4D7F-4291-804E-1A9C60F6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7683213E-45AB-4965-81CE-01D5B9EA8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BC9ED338-D027-42AC-99A4-A91FC8062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75BE6CC3-F773-454C-A9D4-111164590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E82BD492-70EE-464A-9099-A3A46C49D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28DDBD30-3651-4812-87C4-28A2E6BA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49A2F663-6AF3-453D-8358-A758FCBE59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C3ADD569-AA95-4E47-8B74-CEB9A8587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B6D02316-E553-4662-B447-D566E8142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6F5F2CEA-27C4-4A65-884E-7A9B16FD6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77C4B1CC-29AB-4580-AEE0-3088DB6CC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91F4FBD-CE54-45E2-969F-AC8795CF4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A7F55AC6-755A-4729-B347-DC7C6B34AD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113F19EB-197C-4C43-8A99-8C30AD5D6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32FD52C1-F1D9-42D0-A05F-D84BBC762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CB276EEB-F27E-42B5-A7E0-5BAA54D59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D8D94F39-595C-45E8-828D-70960AC48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CCDD1432-34D1-44EF-9FD7-31FE2D3234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7823E12C-120F-44B0-97A0-4403EAF70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78852E7C-B3E3-428D-9827-EFF1B892F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96111E52-3801-48B4-A287-020075463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E2003E4C-9685-473E-8F9E-873252E32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44384A5B-94DB-4B33-AFDF-8245B9017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13DEED9B-ACC9-45EE-BA22-05B676A9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43F050F8-626C-4375-ACC0-A325BB8AC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7A1C5690-BB86-4A86-9C6C-FF438C8E9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85A0B5E3-B886-4D66-9287-CCB941D38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67DF581E-0BEB-4F86-9D1A-AD538F09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6DD19A96-BBE6-4E0C-9A60-ACFDBD7B5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235019D2-1265-46D3-8CC0-A2BE5978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74B40C98-266F-47FB-BE3F-940138E38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A84B9FE6-E71C-4A3C-A8E7-3796BAC12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E1B0EC86-0352-4BAC-8C9A-77DA18B25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F1E9D105-048D-42A4-9CC8-54833B6E7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E45E55ED-99F1-4A3B-BE80-2E523DA2E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91E2A8DC-5482-4EA0-AC09-9FA534FE8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08C7E56C-BD84-43AD-A9AE-5D1C04C4D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E55CF13B-C5B6-4234-BBE9-3FB177E8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95D9B00F-A2F0-43DB-ACC5-695DA3593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6B5D2104-8DBB-42FD-831F-2E8F73B16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CB7AA7D4-CB87-4ACC-B77E-E8CFEF5CE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19D386EF-4706-4B40-82F2-8AF925400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56CAD198-9BE8-4097-9D3D-5F62067F7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BD6975AF-9867-4E8B-8EDE-F61F58633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40AA55AE-12C7-4648-A06E-9394CC9B7B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490065B0-75FE-4453-96C6-E57525866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8F171484-903B-4597-B13D-9FAA017A1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B9B8475C-B243-4061-974F-25F43D6CE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3316C586-851F-48E1-A8E7-A0DA6B52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6E892B9D-955E-4579-ACB5-964905B25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14B8C31A-666A-41CC-9AA1-00DE3A89E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33745930-F123-4F42-8482-48CD4F38D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53BFFEFA-6B17-4A89-933D-8138DC8C3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047A49D8-95AF-4515-BC6C-917EDAFC1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7ADCF5A1-02AA-4119-A97B-E7589DAA1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7EBB0790-04F2-4CF9-80AB-EBA9FB514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572ED7AD-6C2F-402D-8DD9-1312EE6C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35802760-0053-40EB-943B-34508945B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7FB444FA-C37A-4878-AA7A-7BDFC0B4F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CB8D2C04-E8D7-4558-856C-1AD4FB759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A76BDF97-790E-4AE7-BECA-B1DF4EBD9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7D717731-739A-4EC8-911C-638FA2CCC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3C594550-CF89-4248-BF77-99B46A51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496DAEE2-713C-45EA-8587-2E4B8C93CF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D92355C5-B0E3-4BDD-8BA2-0EA3771C1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7BF8A7F1-6671-4452-8E61-27DE1D9E9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3755C774-D2BF-4226-B874-41695F91A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00491601-94A7-4E77-8267-09CCBB89E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5FE0E4B4-0C40-4799-92E7-73D3A3A0E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5E24601E-3461-4E37-938C-C8FE26C6B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80EE5417-0365-4B69-9458-9F26392308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0B8D87EA-AD25-4AD6-9B12-56BDB2F4A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B0FBE8FB-A8AB-4C7B-859E-D8AA7D87C7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201C2F13-86C4-4D88-AB2A-6D4955CD0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F2F94450-847E-4735-9B9D-A1380C0E8A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BFB4D4AD-0E34-430D-A1D1-6977D3F18B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68FCDC4B-EC5B-41FF-ADC7-056E360CF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FC3A18AD-930C-4224-893A-880794B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6ABF3C34-9CB7-4FD7-8731-0B30CFDF7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DDB6DD2C-2532-4E1A-849B-20D9CBDA1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77079BCA-FEEC-4015-AE9B-AB34F041C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C3AFA2F5-FC7A-4612-BD69-E51A18303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6F75E75E-F604-4A42-9B57-93C074EA8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D094AB3A-0114-420C-B408-446C67272F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61B33DEC-97DD-489C-824E-75F1E8882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DA97F134-6879-48F4-82EC-2B7F6B9A1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0098B2D1-68BD-4945-B750-413859E1B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BE8E44B2-ACB9-400B-9013-B49858474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D8B5B2D6-8C4D-4978-B0CC-6D0B620C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5EE061BA-1EE8-4609-BAE5-1A30E1553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98F53EDB-8ECB-426A-9D5A-153FD316B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726B25BD-F47E-48A2-8F64-3D762BE03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3091DC13-A67A-4210-B011-CACA8AFC9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2AB1BC2A-4243-45CA-A41C-9CE3C4283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88D08AB8-9DBC-423F-92B5-2870DFA39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AA1C4A89-91B7-43AB-8507-B4012E439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81C85948-E5FD-4A62-97E6-2E58E6C92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CE0B7CDA-FE13-4B65-AA17-28019EFC9E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2449DCFD-08F2-490B-BD65-BCDCB80A7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CD7A2B4D-ADD6-40F7-9F4E-5B61A67D9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D8689EF5-7531-4C0A-BE78-595BFC1A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B7EE9E1C-A0C3-4DBB-9BD5-0BF336FCE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1106E731-2D24-4878-A6F6-C8D3C48DB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82300ADE-B808-4A1B-BA00-82F1863F2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D3A4458B-68DF-4339-BB4F-DF73D6D35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93E70501-5FF2-4575-8D6F-7D2AD3DA2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C58D28F9-913C-4A87-AF51-D9933EE58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894A876D-D770-469B-9CA4-B206EAD53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B887054F-7617-4595-8A70-1CE1CA1B6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1E6AC3CF-43F1-4A42-BC5A-D62CD5E0A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11A8D28B-12D9-48AD-A41C-B227AAA6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44FD3404-66FA-40AE-9366-9AA269721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95A09398-2E75-431E-A1DF-29B9A7B55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220868AF-AC0D-4468-83F0-2A1DA10D2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10257127-29A6-4177-8A17-EA8C6516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0DFF384B-6307-4F27-97F4-2F0739134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7A41CFDB-9262-43B7-9ECB-11C3E0722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9D0AD9B2-C89A-49C6-A24C-868EC292F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D55077CB-71CA-4837-BCCA-F845C8570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D36F4629-F484-4342-89BA-C9F832E15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7664A1DA-1A2A-4F06-B615-148A13EA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5CBD80A9-A00C-4B5C-AEB3-9BA699ED9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876252F2-9AAA-463C-8965-3674B74C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3FD9B1C5-B5B6-499B-B299-C579EF90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C1837BA9-3D06-46BA-94FC-CE7F2309C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55B3F43B-1498-4FBF-B814-62710A29F3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03433DBD-5621-4A71-849C-3DB776553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D10C6708-5948-4804-ACFC-E49EDBBF7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4ED386FF-86DA-48BF-AE06-6C9F92CEC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5CE5E403-0DE4-41F6-BAB0-F833451D6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6D22C817-A59A-4E99-821D-8100F220D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AD529CC3-C9BE-45E3-9E15-CABFD44A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24B74189-7536-4349-9AE6-CBA4D209A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2CE78CE7-37E1-41BA-8052-E209E273D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13BB301B-F1B9-4322-AA18-2EFD4E6894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BACF1A40-412C-458B-9999-1B48CFD1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3E09A533-D3B2-4826-92F2-B9B7EFD38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08831BB8-B36F-4E23-8737-35665FEE9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3BAF15E9-2D4C-47D5-9DBC-5B78BDA8AE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74E93CF8-AE52-49C8-8C3F-05EB3FA14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6CFA8C8E-F8EA-4F6F-BA0B-054DE069C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194F5E08-D7C1-4AC1-9922-7E94B46B3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0F98E07E-5AFD-4056-B659-C2102FD46B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B2B21374-C5FB-487B-81E9-4E49B94A9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8907B883-D2E4-4E66-A795-85E015975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B1220510-AC79-4695-86E6-0A2703B3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CF2E8F1C-B304-4F08-9B45-43BBFF905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0CEA80A1-B4CD-4483-9BA9-C6DB2C008E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26349C9B-90C3-4B5A-A993-8E67BC791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0DE7DEA2-31FC-4722-A920-4483DC8EB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3530D1C3-A1C2-4362-ABBB-DA340BB6E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E57ECD49-4E4B-4AF8-B909-CD11BB08A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48465E79-22A3-4142-9074-E1DB4AAED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44AA6C0C-C1D4-42BD-9CB5-AC751444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B06CD8FE-5DC4-431B-8851-B4857E9D2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7FCD5382-E67E-41BC-80D7-172D44760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E7FC33CF-175F-4569-AB5D-A2874BEF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B50879B2-6263-44E5-A093-BF290F814A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007D1159-8A6D-4D6C-8A46-0CEEB31FE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B9FF4B14-EE80-4117-89F4-AE5EFD019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2A4526F5-83CB-4AD3-B69E-640AAB463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4E8B2338-BD69-4678-8887-C69A87C6F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7159E040-BB86-4B4E-AEF2-15A8F78F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79D52460-373D-4A70-B42A-2F05196D3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8289D052-7CAF-400B-AAE1-E34BBD30E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076770DE-A837-45B6-A5A6-F49ABCF348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ABE18214-CC4A-416C-BF08-41B5CA15E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CFB0E0AF-BC0C-4FBF-9207-D341AE223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F19E6A1B-8716-4B01-A06A-DE846DAA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0ECEAEDA-BD3D-43C9-A22B-3159029A1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063F9659-6860-48BF-B3AC-29C24A4E4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2DD0369D-EDD4-40FF-9D98-28E827934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C0DFC5CF-A9AB-4AC7-8FA2-CF3DF052E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1D24B0FA-43D5-462C-A46C-D0B3117A6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EE2A545F-2F4F-4309-BE21-857EFC849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67050130-85B4-42F4-A330-04FC6BACE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DCAFACCA-D880-4931-A062-4A6CFEBD2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8A605782-646D-4F91-A667-D718995383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81807CB1-4D6B-4F62-BFE2-20EE98D28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DDC14E14-A40D-4760-9C36-4D2378E53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57B92799-1E70-4816-81BF-39985E8D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E8EA7133-A011-4459-B1DE-D79748B71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B0784B7A-E5C3-4A9D-9670-3AC66718E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986C2FB0-A500-4A04-987B-E6A6576CA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3D7FF4C2-0A6F-44FF-BB37-84FC59A21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C70A6CF3-5B59-424F-96A6-3C9F54554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13D3B067-8845-4912-9845-3E5D39820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A4C71D8E-9CC3-42DA-965F-2083DADB7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5D99ABC4-BD99-4CD6-8664-B74928362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137CA575-0D1C-4260-B4FE-13C8445343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216C503E-335C-4F4F-829A-1FBA0DCBE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F11A0FAF-D05E-4576-8749-BD4D8DA4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8DEDD6C9-60EB-42B9-B4C6-2FF90167C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1526626B-AD19-4FE7-B5AD-0E490938E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3CBBDCAE-D8C6-4C38-ADAB-609804085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D7C8CF47-1D02-43E3-AAF6-51D632DF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6E879257-5E8A-4CF5-87B5-20D7D2798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9F4DF13C-22F0-41A8-B152-D9BDB0625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51EB8738-2DBA-41D0-AE71-CD8F8E61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8E81611B-46FC-46A5-B30D-A453267D0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723988F7-44D8-48F0-9AE0-C100FAA5F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E7F88E0C-CF29-4542-A893-2B391CF22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DCE0AF54-FD27-457A-B022-1A281F0277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78942AEB-1613-42E3-8CC0-50D8728F6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118A03D5-F919-4F26-9BAD-5395A55A5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4AF3685C-A7F9-4E23-AD12-94BBAFCE1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8E0586BA-9BE0-4689-824E-EFD4DB532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0480AE9A-BDE7-470B-BD4A-BDBE878BCD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BD64A26E-F1E6-4B2D-8662-CCE4A36E1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2CE67FF9-E05F-4524-B10C-2FD7D672C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5C7722FF-F29E-456E-9962-684B3C400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7211571A-EE45-41D4-AB8C-7ED41D390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93186C45-53DF-4DA3-9CDD-982A1CE95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9BC58C05-FDB1-447E-B53C-A2A659081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0076E3DA-9865-40E3-94C3-A58ED938F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528C67CC-C7F2-4CB4-95AC-7AAC279D2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0492B828-371B-4AEC-9EA8-179566C2A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F8CD6E5A-9EE6-47D7-B6CD-74EC853C4C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472D5D85-DC0F-4782-B0B9-725CE2DCB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FBF53E18-0A1F-4DCE-9A68-897CDC273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37264372-D3BC-4E83-BE38-C7E97034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2EBB030D-0479-48B0-B08B-9F6B6A5C9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11438822-882F-4EFA-994F-E4C890B19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AC656CD8-3873-4160-B436-051859874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6D474C29-E8BE-4145-9870-DF18ADCE1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654C078D-0DCE-4027-AB68-A6EC0438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B5539669-BA1F-4A38-8E4C-10BB8FEA8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E6A16A01-542D-4073-A0CA-D7B48B3B4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49D27055-9927-4F2B-BDA1-625873A53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24B84D1A-675B-4F23-B112-362E6A9D4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1EF8CBAC-8786-4186-87A9-B035BDDCC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6BD877B0-7AD0-4310-BB60-CBE3AFC0B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6DCA07B4-40A6-411E-8DE2-1ADE991F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5BDB1F42-6C3A-41C8-8993-C88C967BC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05DC27C0-8A6F-4E2B-BE62-11F5EA896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FC1C1139-5D4E-4C18-B5A5-4C3EB94C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735224C0-E0E1-46D6-BC98-3F57B7D15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E56C895A-82BA-437E-A8DF-DEDE44C2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98B0101C-27C0-4CC9-A0C4-67D05694A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7BDDD314-0B19-46C7-88B0-7A33717BB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835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D2D61A40-816A-4637-85B4-D6D575B56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532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23243978-41C2-4517-ADB4-5D2FB6CF4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3101BCA8-71B5-421E-A3A8-AAE0D1C152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A39EB889-06F1-4974-B2E7-7BA35F24B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023645DA-248F-48A5-8B35-5544572503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956B7466-5207-4841-A0EA-FA996DA34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7AC44928-24A7-4040-941F-4F29B99B9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70064AA5-50F8-46F0-83FD-E4EEAFE2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16282F82-9E88-43BF-8DFF-620265234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C2E6C457-1C2C-4193-8A34-E1816ED8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E48811B0-ACF5-467A-8C5D-CED2DA27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F06949DE-D766-4A28-93E2-B9E869B66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D5947CBA-1611-4441-8AED-1F9B14AF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09614DA2-5BED-4214-8074-91D1FB9F4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87454E8D-8F8D-40D4-9666-F685690F7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39D4191F-934C-4CCF-A94C-5974A75A6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E5B2183A-8099-49D5-A066-2B10D3CD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8EDFDF48-3320-4400-AF23-BA612F240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C6E9EE09-22C6-47D6-AFC9-AFC7BE64E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55B28427-5355-496C-B424-F94B2B4BE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F800D0B2-1C80-44DF-8499-2AAD79BB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08D3A8A4-FB27-45B1-90A4-D1FA65554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F2DA09F9-388B-4D02-893C-ADB4FC220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20634413-17C5-4FC4-9FD9-A214BF5620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9CD01D2C-5013-4A9E-B69E-A09543E5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BBAAC3B6-C158-4546-901F-FF2132C5B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6EEF8524-8551-4396-8089-AD055DAB5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2AE9054F-6897-4EC4-B95A-4C1FF093B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CC0689F1-C4EA-4378-BCE7-2EDD489DD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37E173AF-08A0-42A1-A706-6735FDC30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6AF454D6-7954-4454-B8AC-CCD0EE43C3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72D0E9AA-6E70-49BD-B6A9-67327A9F1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CA7261DE-24A3-4D5D-B267-630F98586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EE156323-34BE-4D22-B414-66046FA9E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835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67E4277C-DA6A-42DA-8F3F-9DC2E32BF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24375" y="278806275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837</xdr:row>
      <xdr:rowOff>0</xdr:rowOff>
    </xdr:from>
    <xdr:ext cx="9525" cy="0"/>
    <xdr:pic>
      <xdr:nvPicPr>
        <xdr:cNvPr id="2" name="Imagem 1" descr="http://sistemaswebhom.einstein.br/CME/Imagens/nada.gif">
          <a:extLst>
            <a:ext uri="{FF2B5EF4-FFF2-40B4-BE49-F238E27FC236}">
              <a16:creationId xmlns:a16="http://schemas.microsoft.com/office/drawing/2014/main" id="{56FDE38B-8394-4796-B855-48F235B5B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" name="Imagem 2" descr="http://sistemaswebhom.einstein.br/CME/Imagens/nada.gif">
          <a:extLst>
            <a:ext uri="{FF2B5EF4-FFF2-40B4-BE49-F238E27FC236}">
              <a16:creationId xmlns:a16="http://schemas.microsoft.com/office/drawing/2014/main" id="{7200FD98-9209-416D-B14F-696012F64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" name="Imagem 3" descr="http://sistemaswebhom.einstein.br/CME/Imagens/nada.gif">
          <a:extLst>
            <a:ext uri="{FF2B5EF4-FFF2-40B4-BE49-F238E27FC236}">
              <a16:creationId xmlns:a16="http://schemas.microsoft.com/office/drawing/2014/main" id="{E3E48F82-D507-49EA-8E5E-614B87C3C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" name="Imagem 4" descr="http://sistemaswebhom.einstein.br/CME/Imagens/nada.gif">
          <a:extLst>
            <a:ext uri="{FF2B5EF4-FFF2-40B4-BE49-F238E27FC236}">
              <a16:creationId xmlns:a16="http://schemas.microsoft.com/office/drawing/2014/main" id="{E46EDC9A-2712-45B2-A8AB-BBD3A0311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" name="Imagem 5" descr="http://sistemaswebhom.einstein.br/CME/Imagens/nada.gif">
          <a:extLst>
            <a:ext uri="{FF2B5EF4-FFF2-40B4-BE49-F238E27FC236}">
              <a16:creationId xmlns:a16="http://schemas.microsoft.com/office/drawing/2014/main" id="{FAE0C708-4061-4F6F-89C8-5C4BC054E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" name="Imagem 6" descr="http://sistemaswebhom.einstein.br/CME/Imagens/nada.gif">
          <a:extLst>
            <a:ext uri="{FF2B5EF4-FFF2-40B4-BE49-F238E27FC236}">
              <a16:creationId xmlns:a16="http://schemas.microsoft.com/office/drawing/2014/main" id="{D8EF92C5-D4E9-40F3-BE1D-2951801E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" name="Imagem 7" descr="http://sistemaswebhom.einstein.br/CME/Imagens/nada.gif">
          <a:extLst>
            <a:ext uri="{FF2B5EF4-FFF2-40B4-BE49-F238E27FC236}">
              <a16:creationId xmlns:a16="http://schemas.microsoft.com/office/drawing/2014/main" id="{021DBD84-1C45-49D6-AA63-EB7C95AFE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" name="Imagem 8" descr="http://sistemaswebhom.einstein.br/CME/Imagens/nada.gif">
          <a:extLst>
            <a:ext uri="{FF2B5EF4-FFF2-40B4-BE49-F238E27FC236}">
              <a16:creationId xmlns:a16="http://schemas.microsoft.com/office/drawing/2014/main" id="{1F7CC7D4-AD17-4D55-AFBE-B07445259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" name="Imagem 9" descr="http://sistemaswebhom.einstein.br/CME/Imagens/nada.gif">
          <a:extLst>
            <a:ext uri="{FF2B5EF4-FFF2-40B4-BE49-F238E27FC236}">
              <a16:creationId xmlns:a16="http://schemas.microsoft.com/office/drawing/2014/main" id="{DED3D042-A906-491C-BE10-1911A87FC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" name="Imagem 10" descr="http://sistemaswebhom.einstein.br/CME/Imagens/nada.gif">
          <a:extLst>
            <a:ext uri="{FF2B5EF4-FFF2-40B4-BE49-F238E27FC236}">
              <a16:creationId xmlns:a16="http://schemas.microsoft.com/office/drawing/2014/main" id="{6D4A4D8D-7FB6-4AC8-91E7-69373A558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" name="Imagem 11" descr="http://sistemaswebhom.einstein.br/CME/Imagens/nada.gif">
          <a:extLst>
            <a:ext uri="{FF2B5EF4-FFF2-40B4-BE49-F238E27FC236}">
              <a16:creationId xmlns:a16="http://schemas.microsoft.com/office/drawing/2014/main" id="{3042A9DD-8688-4BD0-83BF-CF3527E03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" name="Imagem 12" descr="http://sistemaswebhom.einstein.br/CME/Imagens/nada.gif">
          <a:extLst>
            <a:ext uri="{FF2B5EF4-FFF2-40B4-BE49-F238E27FC236}">
              <a16:creationId xmlns:a16="http://schemas.microsoft.com/office/drawing/2014/main" id="{B7DC1D35-FAE8-4A1F-ABFF-DE8CD2044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" name="Imagem 13" descr="http://sistemaswebhom.einstein.br/CME/Imagens/nada.gif">
          <a:extLst>
            <a:ext uri="{FF2B5EF4-FFF2-40B4-BE49-F238E27FC236}">
              <a16:creationId xmlns:a16="http://schemas.microsoft.com/office/drawing/2014/main" id="{30D00CD6-1F5A-4379-A3F8-B63164950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" name="Imagem 14" descr="http://sistemaswebhom.einstein.br/CME/Imagens/nada.gif">
          <a:extLst>
            <a:ext uri="{FF2B5EF4-FFF2-40B4-BE49-F238E27FC236}">
              <a16:creationId xmlns:a16="http://schemas.microsoft.com/office/drawing/2014/main" id="{540F4A12-8B7C-49C9-8529-A84AABD0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" name="Imagem 15" descr="http://sistemaswebhom.einstein.br/CME/Imagens/nada.gif">
          <a:extLst>
            <a:ext uri="{FF2B5EF4-FFF2-40B4-BE49-F238E27FC236}">
              <a16:creationId xmlns:a16="http://schemas.microsoft.com/office/drawing/2014/main" id="{153B9C14-E675-4EBB-A265-921EF2EC9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" name="Imagem 16" descr="http://sistemaswebhom.einstein.br/CME/Imagens/nada.gif">
          <a:extLst>
            <a:ext uri="{FF2B5EF4-FFF2-40B4-BE49-F238E27FC236}">
              <a16:creationId xmlns:a16="http://schemas.microsoft.com/office/drawing/2014/main" id="{CE5760D6-CF52-44DB-B5F1-98BA1ACEB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" name="Imagem 17" descr="http://sistemaswebhom.einstein.br/CME/Imagens/nada.gif">
          <a:extLst>
            <a:ext uri="{FF2B5EF4-FFF2-40B4-BE49-F238E27FC236}">
              <a16:creationId xmlns:a16="http://schemas.microsoft.com/office/drawing/2014/main" id="{A2469C8D-F365-4ADC-A7E2-99DE65A00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" name="Imagem 18" descr="http://sistemaswebhom.einstein.br/CME/Imagens/nada.gif">
          <a:extLst>
            <a:ext uri="{FF2B5EF4-FFF2-40B4-BE49-F238E27FC236}">
              <a16:creationId xmlns:a16="http://schemas.microsoft.com/office/drawing/2014/main" id="{AA39CF45-78FB-481B-AD33-D53E3F313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" name="Imagem 19" descr="http://sistemaswebhom.einstein.br/CME/Imagens/nada.gif">
          <a:extLst>
            <a:ext uri="{FF2B5EF4-FFF2-40B4-BE49-F238E27FC236}">
              <a16:creationId xmlns:a16="http://schemas.microsoft.com/office/drawing/2014/main" id="{2D22B31D-795A-4169-A541-7A8227114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" name="Imagem 20" descr="http://sistemaswebhom.einstein.br/CME/Imagens/nada.gif">
          <a:extLst>
            <a:ext uri="{FF2B5EF4-FFF2-40B4-BE49-F238E27FC236}">
              <a16:creationId xmlns:a16="http://schemas.microsoft.com/office/drawing/2014/main" id="{C23FFED4-DCF0-4EEB-A3FC-E613DD234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" name="Imagem 21" descr="http://sistemaswebhom.einstein.br/CME/Imagens/nada.gif">
          <a:extLst>
            <a:ext uri="{FF2B5EF4-FFF2-40B4-BE49-F238E27FC236}">
              <a16:creationId xmlns:a16="http://schemas.microsoft.com/office/drawing/2014/main" id="{B900CE27-B770-40A3-B295-780DBC5E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" name="Imagem 22" descr="http://sistemaswebhom.einstein.br/CME/Imagens/nada.gif">
          <a:extLst>
            <a:ext uri="{FF2B5EF4-FFF2-40B4-BE49-F238E27FC236}">
              <a16:creationId xmlns:a16="http://schemas.microsoft.com/office/drawing/2014/main" id="{E15262F8-24CA-4DAE-96D8-3A1591B2B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" name="Imagem 23" descr="http://sistemaswebhom.einstein.br/CME/Imagens/nada.gif">
          <a:extLst>
            <a:ext uri="{FF2B5EF4-FFF2-40B4-BE49-F238E27FC236}">
              <a16:creationId xmlns:a16="http://schemas.microsoft.com/office/drawing/2014/main" id="{BCB167F7-2EA4-4F28-8583-C94DA18B0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" name="Imagem 24" descr="http://sistemaswebhom.einstein.br/CME/Imagens/nada.gif">
          <a:extLst>
            <a:ext uri="{FF2B5EF4-FFF2-40B4-BE49-F238E27FC236}">
              <a16:creationId xmlns:a16="http://schemas.microsoft.com/office/drawing/2014/main" id="{EFDFF3B5-9662-4C04-89AE-EFAE35B5A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" name="Imagem 25" descr="http://sistemaswebhom.einstein.br/CME/Imagens/nada.gif">
          <a:extLst>
            <a:ext uri="{FF2B5EF4-FFF2-40B4-BE49-F238E27FC236}">
              <a16:creationId xmlns:a16="http://schemas.microsoft.com/office/drawing/2014/main" id="{5E1AEE84-107C-40F5-8A6C-CF149A260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" name="Imagem 26" descr="http://sistemaswebhom.einstein.br/CME/Imagens/nada.gif">
          <a:extLst>
            <a:ext uri="{FF2B5EF4-FFF2-40B4-BE49-F238E27FC236}">
              <a16:creationId xmlns:a16="http://schemas.microsoft.com/office/drawing/2014/main" id="{EC21B051-19B5-417A-ADAA-F97BACF17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" name="Imagem 27" descr="http://sistemaswebhom.einstein.br/CME/Imagens/nada.gif">
          <a:extLst>
            <a:ext uri="{FF2B5EF4-FFF2-40B4-BE49-F238E27FC236}">
              <a16:creationId xmlns:a16="http://schemas.microsoft.com/office/drawing/2014/main" id="{9C42BE84-230D-4D15-B10F-F857C360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" name="Imagem 28" descr="http://sistemaswebhom.einstein.br/CME/Imagens/nada.gif">
          <a:extLst>
            <a:ext uri="{FF2B5EF4-FFF2-40B4-BE49-F238E27FC236}">
              <a16:creationId xmlns:a16="http://schemas.microsoft.com/office/drawing/2014/main" id="{B883B91B-6B0F-4C69-B8E3-55BDE5316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" name="Imagem 29" descr="http://sistemaswebhom.einstein.br/CME/Imagens/nada.gif">
          <a:extLst>
            <a:ext uri="{FF2B5EF4-FFF2-40B4-BE49-F238E27FC236}">
              <a16:creationId xmlns:a16="http://schemas.microsoft.com/office/drawing/2014/main" id="{FEE356AE-2E3F-401E-AF55-A60844B2D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" name="Imagem 30" descr="http://sistemaswebhom.einstein.br/CME/Imagens/nada.gif">
          <a:extLst>
            <a:ext uri="{FF2B5EF4-FFF2-40B4-BE49-F238E27FC236}">
              <a16:creationId xmlns:a16="http://schemas.microsoft.com/office/drawing/2014/main" id="{A6980C32-2353-4153-B8E7-77DE43ACE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" name="Imagem 31" descr="http://sistemaswebhom.einstein.br/CME/Imagens/nada.gif">
          <a:extLst>
            <a:ext uri="{FF2B5EF4-FFF2-40B4-BE49-F238E27FC236}">
              <a16:creationId xmlns:a16="http://schemas.microsoft.com/office/drawing/2014/main" id="{05696921-64F6-45F8-B9D3-B3BC771A8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" name="Imagem 32" descr="http://sistemaswebhom.einstein.br/CME/Imagens/nada.gif">
          <a:extLst>
            <a:ext uri="{FF2B5EF4-FFF2-40B4-BE49-F238E27FC236}">
              <a16:creationId xmlns:a16="http://schemas.microsoft.com/office/drawing/2014/main" id="{DD1A2434-1799-4755-91D7-72F0E93E8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" name="Imagem 33" descr="http://sistemaswebhom.einstein.br/CME/Imagens/nada.gif">
          <a:extLst>
            <a:ext uri="{FF2B5EF4-FFF2-40B4-BE49-F238E27FC236}">
              <a16:creationId xmlns:a16="http://schemas.microsoft.com/office/drawing/2014/main" id="{F515CDBD-C13C-457A-BC07-89652244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" name="Imagem 34" descr="http://sistemaswebhom.einstein.br/CME/Imagens/nada.gif">
          <a:extLst>
            <a:ext uri="{FF2B5EF4-FFF2-40B4-BE49-F238E27FC236}">
              <a16:creationId xmlns:a16="http://schemas.microsoft.com/office/drawing/2014/main" id="{4720D5E8-185B-4524-8E1D-011F5FD76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" name="Imagem 35" descr="http://sistemaswebhom.einstein.br/CME/Imagens/nada.gif">
          <a:extLst>
            <a:ext uri="{FF2B5EF4-FFF2-40B4-BE49-F238E27FC236}">
              <a16:creationId xmlns:a16="http://schemas.microsoft.com/office/drawing/2014/main" id="{9E0611AE-FC5C-4963-AEFC-F64FF0C09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" name="Imagem 36" descr="http://sistemaswebhom.einstein.br/CME/Imagens/nada.gif">
          <a:extLst>
            <a:ext uri="{FF2B5EF4-FFF2-40B4-BE49-F238E27FC236}">
              <a16:creationId xmlns:a16="http://schemas.microsoft.com/office/drawing/2014/main" id="{822CF65F-C800-459A-B097-3AF047C89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" name="Imagem 37" descr="http://sistemaswebhom.einstein.br/CME/Imagens/nada.gif">
          <a:extLst>
            <a:ext uri="{FF2B5EF4-FFF2-40B4-BE49-F238E27FC236}">
              <a16:creationId xmlns:a16="http://schemas.microsoft.com/office/drawing/2014/main" id="{FFFE0864-80C6-4DB3-BD94-DB0CD563E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" name="Imagem 38" descr="http://sistemaswebhom.einstein.br/CME/Imagens/nada.gif">
          <a:extLst>
            <a:ext uri="{FF2B5EF4-FFF2-40B4-BE49-F238E27FC236}">
              <a16:creationId xmlns:a16="http://schemas.microsoft.com/office/drawing/2014/main" id="{02DA8004-35CE-4725-95D2-F10D4C377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" name="Imagem 39" descr="http://sistemaswebhom.einstein.br/CME/Imagens/nada.gif">
          <a:extLst>
            <a:ext uri="{FF2B5EF4-FFF2-40B4-BE49-F238E27FC236}">
              <a16:creationId xmlns:a16="http://schemas.microsoft.com/office/drawing/2014/main" id="{B92E96A3-E1B5-4A29-A363-8C800188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" name="Imagem 40" descr="http://sistemaswebhom.einstein.br/CME/Imagens/nada.gif">
          <a:extLst>
            <a:ext uri="{FF2B5EF4-FFF2-40B4-BE49-F238E27FC236}">
              <a16:creationId xmlns:a16="http://schemas.microsoft.com/office/drawing/2014/main" id="{2F357E39-19A6-4C2D-8B4E-BCA9A847E0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" name="Imagem 41" descr="http://sistemaswebhom.einstein.br/CME/Imagens/nada.gif">
          <a:extLst>
            <a:ext uri="{FF2B5EF4-FFF2-40B4-BE49-F238E27FC236}">
              <a16:creationId xmlns:a16="http://schemas.microsoft.com/office/drawing/2014/main" id="{526589B3-73A0-4B99-9DFE-8B4C4D054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" name="Imagem 42" descr="http://sistemaswebhom.einstein.br/CME/Imagens/nada.gif">
          <a:extLst>
            <a:ext uri="{FF2B5EF4-FFF2-40B4-BE49-F238E27FC236}">
              <a16:creationId xmlns:a16="http://schemas.microsoft.com/office/drawing/2014/main" id="{03F0EBDD-E989-4954-BC50-5EC904161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" name="Imagem 43" descr="http://sistemaswebhom.einstein.br/CME/Imagens/nada.gif">
          <a:extLst>
            <a:ext uri="{FF2B5EF4-FFF2-40B4-BE49-F238E27FC236}">
              <a16:creationId xmlns:a16="http://schemas.microsoft.com/office/drawing/2014/main" id="{0B767197-DF93-4F0D-8F00-F57F3205FB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" name="Imagem 44" descr="http://sistemaswebhom.einstein.br/CME/Imagens/nada.gif">
          <a:extLst>
            <a:ext uri="{FF2B5EF4-FFF2-40B4-BE49-F238E27FC236}">
              <a16:creationId xmlns:a16="http://schemas.microsoft.com/office/drawing/2014/main" id="{1C227952-0AFA-4BD4-B717-128894DF46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" name="Imagem 45" descr="http://sistemaswebhom.einstein.br/CME/Imagens/nada.gif">
          <a:extLst>
            <a:ext uri="{FF2B5EF4-FFF2-40B4-BE49-F238E27FC236}">
              <a16:creationId xmlns:a16="http://schemas.microsoft.com/office/drawing/2014/main" id="{4FD57C46-B2BE-4902-8209-1BF7B2C3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" name="Imagem 46" descr="http://sistemaswebhom.einstein.br/CME/Imagens/nada.gif">
          <a:extLst>
            <a:ext uri="{FF2B5EF4-FFF2-40B4-BE49-F238E27FC236}">
              <a16:creationId xmlns:a16="http://schemas.microsoft.com/office/drawing/2014/main" id="{F6498EA7-19EB-4253-BEB5-FF06A9E5A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" name="Imagem 47" descr="http://sistemaswebhom.einstein.br/CME/Imagens/nada.gif">
          <a:extLst>
            <a:ext uri="{FF2B5EF4-FFF2-40B4-BE49-F238E27FC236}">
              <a16:creationId xmlns:a16="http://schemas.microsoft.com/office/drawing/2014/main" id="{DA253F53-1313-450F-A486-61CBBA3CD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" name="Imagem 48" descr="http://sistemaswebhom.einstein.br/CME/Imagens/nada.gif">
          <a:extLst>
            <a:ext uri="{FF2B5EF4-FFF2-40B4-BE49-F238E27FC236}">
              <a16:creationId xmlns:a16="http://schemas.microsoft.com/office/drawing/2014/main" id="{BE5FA809-3EE6-41CE-A23A-BF9212C90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" name="Imagem 49" descr="http://sistemaswebhom.einstein.br/CME/Imagens/nada.gif">
          <a:extLst>
            <a:ext uri="{FF2B5EF4-FFF2-40B4-BE49-F238E27FC236}">
              <a16:creationId xmlns:a16="http://schemas.microsoft.com/office/drawing/2014/main" id="{C1020A9B-A15F-492B-AE11-10F1E7D53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" name="Imagem 50" descr="http://sistemaswebhom.einstein.br/CME/Imagens/nada.gif">
          <a:extLst>
            <a:ext uri="{FF2B5EF4-FFF2-40B4-BE49-F238E27FC236}">
              <a16:creationId xmlns:a16="http://schemas.microsoft.com/office/drawing/2014/main" id="{7F88CAE1-D8DD-4F01-BB79-6CB4686D8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" name="Imagem 51" descr="http://sistemaswebhom.einstein.br/CME/Imagens/nada.gif">
          <a:extLst>
            <a:ext uri="{FF2B5EF4-FFF2-40B4-BE49-F238E27FC236}">
              <a16:creationId xmlns:a16="http://schemas.microsoft.com/office/drawing/2014/main" id="{AB30159B-F894-4281-B216-8A7E6B9C8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" name="Imagem 52" descr="http://sistemaswebhom.einstein.br/CME/Imagens/nada.gif">
          <a:extLst>
            <a:ext uri="{FF2B5EF4-FFF2-40B4-BE49-F238E27FC236}">
              <a16:creationId xmlns:a16="http://schemas.microsoft.com/office/drawing/2014/main" id="{33C209D9-C239-47D9-865F-14357D8E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" name="Imagem 53" descr="http://sistemaswebhom.einstein.br/CME/Imagens/nada.gif">
          <a:extLst>
            <a:ext uri="{FF2B5EF4-FFF2-40B4-BE49-F238E27FC236}">
              <a16:creationId xmlns:a16="http://schemas.microsoft.com/office/drawing/2014/main" id="{AB2D8380-4DD2-4923-8E9B-3E99F03B9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" name="Imagem 54" descr="http://sistemaswebhom.einstein.br/CME/Imagens/nada.gif">
          <a:extLst>
            <a:ext uri="{FF2B5EF4-FFF2-40B4-BE49-F238E27FC236}">
              <a16:creationId xmlns:a16="http://schemas.microsoft.com/office/drawing/2014/main" id="{F154B50B-4676-4282-8553-B3DD29A56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" name="Imagem 55" descr="http://sistemaswebhom.einstein.br/CME/Imagens/nada.gif">
          <a:extLst>
            <a:ext uri="{FF2B5EF4-FFF2-40B4-BE49-F238E27FC236}">
              <a16:creationId xmlns:a16="http://schemas.microsoft.com/office/drawing/2014/main" id="{729E91F3-CA30-41A5-BEF6-371F763EF9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" name="Imagem 56" descr="http://sistemaswebhom.einstein.br/CME/Imagens/nada.gif">
          <a:extLst>
            <a:ext uri="{FF2B5EF4-FFF2-40B4-BE49-F238E27FC236}">
              <a16:creationId xmlns:a16="http://schemas.microsoft.com/office/drawing/2014/main" id="{34C4B431-ADFC-4689-9880-7584CEDF3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" name="Imagem 57" descr="http://sistemaswebhom.einstein.br/CME/Imagens/nada.gif">
          <a:extLst>
            <a:ext uri="{FF2B5EF4-FFF2-40B4-BE49-F238E27FC236}">
              <a16:creationId xmlns:a16="http://schemas.microsoft.com/office/drawing/2014/main" id="{5B768DEB-0517-4166-B8B8-9E329B9BB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" name="Imagem 58" descr="http://sistemaswebhom.einstein.br/CME/Imagens/nada.gif">
          <a:extLst>
            <a:ext uri="{FF2B5EF4-FFF2-40B4-BE49-F238E27FC236}">
              <a16:creationId xmlns:a16="http://schemas.microsoft.com/office/drawing/2014/main" id="{DF17FB5B-FD9E-49CF-871E-4297FC4A76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" name="Imagem 59" descr="http://sistemaswebhom.einstein.br/CME/Imagens/nada.gif">
          <a:extLst>
            <a:ext uri="{FF2B5EF4-FFF2-40B4-BE49-F238E27FC236}">
              <a16:creationId xmlns:a16="http://schemas.microsoft.com/office/drawing/2014/main" id="{C2E9A603-689C-4720-BD4B-A1823CB22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" name="Imagem 60" descr="http://sistemaswebhom.einstein.br/CME/Imagens/nada.gif">
          <a:extLst>
            <a:ext uri="{FF2B5EF4-FFF2-40B4-BE49-F238E27FC236}">
              <a16:creationId xmlns:a16="http://schemas.microsoft.com/office/drawing/2014/main" id="{F5E3E20D-6999-4C9C-9D67-6F4FAD78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2" name="Imagem 61" descr="http://sistemaswebhom.einstein.br/CME/Imagens/nada.gif">
          <a:extLst>
            <a:ext uri="{FF2B5EF4-FFF2-40B4-BE49-F238E27FC236}">
              <a16:creationId xmlns:a16="http://schemas.microsoft.com/office/drawing/2014/main" id="{DC474A0E-14A0-45A9-A8F1-2980C0BE2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3" name="Imagem 62" descr="http://sistemaswebhom.einstein.br/CME/Imagens/nada.gif">
          <a:extLst>
            <a:ext uri="{FF2B5EF4-FFF2-40B4-BE49-F238E27FC236}">
              <a16:creationId xmlns:a16="http://schemas.microsoft.com/office/drawing/2014/main" id="{55CF3D1E-55FA-484F-A0FD-FDB392AAE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4" name="Imagem 63" descr="http://sistemaswebhom.einstein.br/CME/Imagens/nada.gif">
          <a:extLst>
            <a:ext uri="{FF2B5EF4-FFF2-40B4-BE49-F238E27FC236}">
              <a16:creationId xmlns:a16="http://schemas.microsoft.com/office/drawing/2014/main" id="{7F6F9D0D-189C-4A24-872A-E1B3B8380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5" name="Imagem 64" descr="http://sistemaswebhom.einstein.br/CME/Imagens/nada.gif">
          <a:extLst>
            <a:ext uri="{FF2B5EF4-FFF2-40B4-BE49-F238E27FC236}">
              <a16:creationId xmlns:a16="http://schemas.microsoft.com/office/drawing/2014/main" id="{24D21A6F-95FF-44AA-BB6F-B193F5E02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6" name="Imagem 65" descr="http://sistemaswebhom.einstein.br/CME/Imagens/nada.gif">
          <a:extLst>
            <a:ext uri="{FF2B5EF4-FFF2-40B4-BE49-F238E27FC236}">
              <a16:creationId xmlns:a16="http://schemas.microsoft.com/office/drawing/2014/main" id="{C9BD0EB2-950F-4403-9CB1-6BA69B39B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7" name="Imagem 66" descr="http://sistemaswebhom.einstein.br/CME/Imagens/nada.gif">
          <a:extLst>
            <a:ext uri="{FF2B5EF4-FFF2-40B4-BE49-F238E27FC236}">
              <a16:creationId xmlns:a16="http://schemas.microsoft.com/office/drawing/2014/main" id="{14CD4669-974D-46D3-93C9-5212D15D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8" name="Imagem 67" descr="http://sistemaswebhom.einstein.br/CME/Imagens/nada.gif">
          <a:extLst>
            <a:ext uri="{FF2B5EF4-FFF2-40B4-BE49-F238E27FC236}">
              <a16:creationId xmlns:a16="http://schemas.microsoft.com/office/drawing/2014/main" id="{29F9A013-A2DB-42CA-87CF-49975DAC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9" name="Imagem 68" descr="http://sistemaswebhom.einstein.br/CME/Imagens/nada.gif">
          <a:extLst>
            <a:ext uri="{FF2B5EF4-FFF2-40B4-BE49-F238E27FC236}">
              <a16:creationId xmlns:a16="http://schemas.microsoft.com/office/drawing/2014/main" id="{A961FEB7-62EB-46AA-8962-6486124BF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0" name="Imagem 69" descr="http://sistemaswebhom.einstein.br/CME/Imagens/nada.gif">
          <a:extLst>
            <a:ext uri="{FF2B5EF4-FFF2-40B4-BE49-F238E27FC236}">
              <a16:creationId xmlns:a16="http://schemas.microsoft.com/office/drawing/2014/main" id="{419137FB-D362-4F28-84BB-44E006A2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1" name="Imagem 70" descr="http://sistemaswebhom.einstein.br/CME/Imagens/nada.gif">
          <a:extLst>
            <a:ext uri="{FF2B5EF4-FFF2-40B4-BE49-F238E27FC236}">
              <a16:creationId xmlns:a16="http://schemas.microsoft.com/office/drawing/2014/main" id="{2313B5E9-BA46-4BFE-8A52-3999827A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2" name="Imagem 71" descr="http://sistemaswebhom.einstein.br/CME/Imagens/nada.gif">
          <a:extLst>
            <a:ext uri="{FF2B5EF4-FFF2-40B4-BE49-F238E27FC236}">
              <a16:creationId xmlns:a16="http://schemas.microsoft.com/office/drawing/2014/main" id="{AD3C9D8F-E3DF-4CFD-9A82-818834827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3" name="Imagem 72" descr="http://sistemaswebhom.einstein.br/CME/Imagens/nada.gif">
          <a:extLst>
            <a:ext uri="{FF2B5EF4-FFF2-40B4-BE49-F238E27FC236}">
              <a16:creationId xmlns:a16="http://schemas.microsoft.com/office/drawing/2014/main" id="{7FA8B027-82AB-41F1-A9DC-49DCAF829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4" name="Imagem 73" descr="http://sistemaswebhom.einstein.br/CME/Imagens/nada.gif">
          <a:extLst>
            <a:ext uri="{FF2B5EF4-FFF2-40B4-BE49-F238E27FC236}">
              <a16:creationId xmlns:a16="http://schemas.microsoft.com/office/drawing/2014/main" id="{8A48E499-71F5-4DC8-8B39-10B5844A7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5" name="Imagem 74" descr="http://sistemaswebhom.einstein.br/CME/Imagens/nada.gif">
          <a:extLst>
            <a:ext uri="{FF2B5EF4-FFF2-40B4-BE49-F238E27FC236}">
              <a16:creationId xmlns:a16="http://schemas.microsoft.com/office/drawing/2014/main" id="{E78811B7-4027-4DEC-85F0-4EC43D8C9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6" name="Imagem 75" descr="http://sistemaswebhom.einstein.br/CME/Imagens/nada.gif">
          <a:extLst>
            <a:ext uri="{FF2B5EF4-FFF2-40B4-BE49-F238E27FC236}">
              <a16:creationId xmlns:a16="http://schemas.microsoft.com/office/drawing/2014/main" id="{B67091EA-5856-4575-ADD3-806669715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7" name="Imagem 76" descr="http://sistemaswebhom.einstein.br/CME/Imagens/nada.gif">
          <a:extLst>
            <a:ext uri="{FF2B5EF4-FFF2-40B4-BE49-F238E27FC236}">
              <a16:creationId xmlns:a16="http://schemas.microsoft.com/office/drawing/2014/main" id="{E39BF388-5BF7-468C-81D6-74EB95DB4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8" name="Imagem 77" descr="http://sistemaswebhom.einstein.br/CME/Imagens/nada.gif">
          <a:extLst>
            <a:ext uri="{FF2B5EF4-FFF2-40B4-BE49-F238E27FC236}">
              <a16:creationId xmlns:a16="http://schemas.microsoft.com/office/drawing/2014/main" id="{D0D55D3A-5BFB-4641-BCE8-0EE346E0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79" name="Imagem 78" descr="http://sistemaswebhom.einstein.br/CME/Imagens/nada.gif">
          <a:extLst>
            <a:ext uri="{FF2B5EF4-FFF2-40B4-BE49-F238E27FC236}">
              <a16:creationId xmlns:a16="http://schemas.microsoft.com/office/drawing/2014/main" id="{3CE02B2E-F671-48E7-B2B4-E283A3D84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0" name="Imagem 79" descr="http://sistemaswebhom.einstein.br/CME/Imagens/nada.gif">
          <a:extLst>
            <a:ext uri="{FF2B5EF4-FFF2-40B4-BE49-F238E27FC236}">
              <a16:creationId xmlns:a16="http://schemas.microsoft.com/office/drawing/2014/main" id="{56DD69B2-B065-4613-8822-45DB53B6F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1" name="Imagem 80" descr="http://sistemaswebhom.einstein.br/CME/Imagens/nada.gif">
          <a:extLst>
            <a:ext uri="{FF2B5EF4-FFF2-40B4-BE49-F238E27FC236}">
              <a16:creationId xmlns:a16="http://schemas.microsoft.com/office/drawing/2014/main" id="{7EDB0B6E-09A9-409C-A3FF-A98E6228C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2" name="Imagem 81" descr="http://sistemaswebhom.einstein.br/CME/Imagens/nada.gif">
          <a:extLst>
            <a:ext uri="{FF2B5EF4-FFF2-40B4-BE49-F238E27FC236}">
              <a16:creationId xmlns:a16="http://schemas.microsoft.com/office/drawing/2014/main" id="{D27D53D9-9E9E-43D0-A1FE-002D1DE9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3" name="Imagem 82" descr="http://sistemaswebhom.einstein.br/CME/Imagens/nada.gif">
          <a:extLst>
            <a:ext uri="{FF2B5EF4-FFF2-40B4-BE49-F238E27FC236}">
              <a16:creationId xmlns:a16="http://schemas.microsoft.com/office/drawing/2014/main" id="{89BA3661-F881-4B94-A41D-1BCADEDEE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4" name="Imagem 83" descr="http://sistemaswebhom.einstein.br/CME/Imagens/nada.gif">
          <a:extLst>
            <a:ext uri="{FF2B5EF4-FFF2-40B4-BE49-F238E27FC236}">
              <a16:creationId xmlns:a16="http://schemas.microsoft.com/office/drawing/2014/main" id="{88716EC8-E872-407C-95D6-01BDC1938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5" name="Imagem 84" descr="http://sistemaswebhom.einstein.br/CME/Imagens/nada.gif">
          <a:extLst>
            <a:ext uri="{FF2B5EF4-FFF2-40B4-BE49-F238E27FC236}">
              <a16:creationId xmlns:a16="http://schemas.microsoft.com/office/drawing/2014/main" id="{EF5337E1-9F43-48A1-B376-A95070B27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6" name="Imagem 85" descr="http://sistemaswebhom.einstein.br/CME/Imagens/nada.gif">
          <a:extLst>
            <a:ext uri="{FF2B5EF4-FFF2-40B4-BE49-F238E27FC236}">
              <a16:creationId xmlns:a16="http://schemas.microsoft.com/office/drawing/2014/main" id="{C037F787-B4A5-49D9-B33B-AF331858F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7" name="Imagem 86" descr="http://sistemaswebhom.einstein.br/CME/Imagens/nada.gif">
          <a:extLst>
            <a:ext uri="{FF2B5EF4-FFF2-40B4-BE49-F238E27FC236}">
              <a16:creationId xmlns:a16="http://schemas.microsoft.com/office/drawing/2014/main" id="{97B11A75-7FE9-4362-A2FB-1132A65F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8" name="Imagem 87" descr="http://sistemaswebhom.einstein.br/CME/Imagens/nada.gif">
          <a:extLst>
            <a:ext uri="{FF2B5EF4-FFF2-40B4-BE49-F238E27FC236}">
              <a16:creationId xmlns:a16="http://schemas.microsoft.com/office/drawing/2014/main" id="{9F7955FD-0EB1-40A2-AD65-9D41DF208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89" name="Imagem 88" descr="http://sistemaswebhom.einstein.br/CME/Imagens/nada.gif">
          <a:extLst>
            <a:ext uri="{FF2B5EF4-FFF2-40B4-BE49-F238E27FC236}">
              <a16:creationId xmlns:a16="http://schemas.microsoft.com/office/drawing/2014/main" id="{D1C33790-D00B-497E-9C35-948D8361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0" name="Imagem 89" descr="http://sistemaswebhom.einstein.br/CME/Imagens/nada.gif">
          <a:extLst>
            <a:ext uri="{FF2B5EF4-FFF2-40B4-BE49-F238E27FC236}">
              <a16:creationId xmlns:a16="http://schemas.microsoft.com/office/drawing/2014/main" id="{C132A6D4-F9B4-4B8B-AF60-5F08FA568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1" name="Imagem 90" descr="http://sistemaswebhom.einstein.br/CME/Imagens/nada.gif">
          <a:extLst>
            <a:ext uri="{FF2B5EF4-FFF2-40B4-BE49-F238E27FC236}">
              <a16:creationId xmlns:a16="http://schemas.microsoft.com/office/drawing/2014/main" id="{5E81A80C-1D06-42DB-A586-89C27FC62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2" name="Imagem 91" descr="http://sistemaswebhom.einstein.br/CME/Imagens/nada.gif">
          <a:extLst>
            <a:ext uri="{FF2B5EF4-FFF2-40B4-BE49-F238E27FC236}">
              <a16:creationId xmlns:a16="http://schemas.microsoft.com/office/drawing/2014/main" id="{1A067614-85FF-4A82-B12E-088CCF2DF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3" name="Imagem 92" descr="http://sistemaswebhom.einstein.br/CME/Imagens/nada.gif">
          <a:extLst>
            <a:ext uri="{FF2B5EF4-FFF2-40B4-BE49-F238E27FC236}">
              <a16:creationId xmlns:a16="http://schemas.microsoft.com/office/drawing/2014/main" id="{6FC94296-EA88-4F6A-9EB3-53E44AC44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4" name="Imagem 93" descr="http://sistemaswebhom.einstein.br/CME/Imagens/nada.gif">
          <a:extLst>
            <a:ext uri="{FF2B5EF4-FFF2-40B4-BE49-F238E27FC236}">
              <a16:creationId xmlns:a16="http://schemas.microsoft.com/office/drawing/2014/main" id="{3782753F-09BD-4C3F-A91E-CDB09F551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5" name="Imagem 94" descr="http://sistemaswebhom.einstein.br/CME/Imagens/nada.gif">
          <a:extLst>
            <a:ext uri="{FF2B5EF4-FFF2-40B4-BE49-F238E27FC236}">
              <a16:creationId xmlns:a16="http://schemas.microsoft.com/office/drawing/2014/main" id="{4D19B4C1-4E26-4CD6-9A27-B3D0F39AA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6" name="Imagem 95" descr="http://sistemaswebhom.einstein.br/CME/Imagens/nada.gif">
          <a:extLst>
            <a:ext uri="{FF2B5EF4-FFF2-40B4-BE49-F238E27FC236}">
              <a16:creationId xmlns:a16="http://schemas.microsoft.com/office/drawing/2014/main" id="{DF46FDE7-E3B5-465C-8518-A82430A4D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7" name="Imagem 96" descr="http://sistemaswebhom.einstein.br/CME/Imagens/nada.gif">
          <a:extLst>
            <a:ext uri="{FF2B5EF4-FFF2-40B4-BE49-F238E27FC236}">
              <a16:creationId xmlns:a16="http://schemas.microsoft.com/office/drawing/2014/main" id="{80872E4F-61A4-4C09-8445-CFE245445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8" name="Imagem 97" descr="http://sistemaswebhom.einstein.br/CME/Imagens/nada.gif">
          <a:extLst>
            <a:ext uri="{FF2B5EF4-FFF2-40B4-BE49-F238E27FC236}">
              <a16:creationId xmlns:a16="http://schemas.microsoft.com/office/drawing/2014/main" id="{C3E87BDD-42FF-4AAA-908E-E359BAD00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99" name="Imagem 98" descr="http://sistemaswebhom.einstein.br/CME/Imagens/nada.gif">
          <a:extLst>
            <a:ext uri="{FF2B5EF4-FFF2-40B4-BE49-F238E27FC236}">
              <a16:creationId xmlns:a16="http://schemas.microsoft.com/office/drawing/2014/main" id="{86463A2C-70A0-46C1-9DB9-BB4E9B7E5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0" name="Imagem 99" descr="http://sistemaswebhom.einstein.br/CME/Imagens/nada.gif">
          <a:extLst>
            <a:ext uri="{FF2B5EF4-FFF2-40B4-BE49-F238E27FC236}">
              <a16:creationId xmlns:a16="http://schemas.microsoft.com/office/drawing/2014/main" id="{53533E1E-3741-4724-8431-5FCB30F99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1" name="Imagem 100" descr="http://sistemaswebhom.einstein.br/CME/Imagens/nada.gif">
          <a:extLst>
            <a:ext uri="{FF2B5EF4-FFF2-40B4-BE49-F238E27FC236}">
              <a16:creationId xmlns:a16="http://schemas.microsoft.com/office/drawing/2014/main" id="{CE16F711-162E-4C24-9BE3-7EBB98EE6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2" name="Imagem 101" descr="http://sistemaswebhom.einstein.br/CME/Imagens/nada.gif">
          <a:extLst>
            <a:ext uri="{FF2B5EF4-FFF2-40B4-BE49-F238E27FC236}">
              <a16:creationId xmlns:a16="http://schemas.microsoft.com/office/drawing/2014/main" id="{ACB4ED0A-6E15-4B69-B66E-98210B090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3" name="Imagem 102" descr="http://sistemaswebhom.einstein.br/CME/Imagens/nada.gif">
          <a:extLst>
            <a:ext uri="{FF2B5EF4-FFF2-40B4-BE49-F238E27FC236}">
              <a16:creationId xmlns:a16="http://schemas.microsoft.com/office/drawing/2014/main" id="{DC5C469A-C459-472C-A1DA-C4CD636B7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4" name="Imagem 103" descr="http://sistemaswebhom.einstein.br/CME/Imagens/nada.gif">
          <a:extLst>
            <a:ext uri="{FF2B5EF4-FFF2-40B4-BE49-F238E27FC236}">
              <a16:creationId xmlns:a16="http://schemas.microsoft.com/office/drawing/2014/main" id="{42079F75-DE5E-4831-88F1-277689AAE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5" name="Imagem 104" descr="http://sistemaswebhom.einstein.br/CME/Imagens/nada.gif">
          <a:extLst>
            <a:ext uri="{FF2B5EF4-FFF2-40B4-BE49-F238E27FC236}">
              <a16:creationId xmlns:a16="http://schemas.microsoft.com/office/drawing/2014/main" id="{125DA4B7-A5E1-4CAB-BB04-A1492025E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6" name="Imagem 105" descr="http://sistemaswebhom.einstein.br/CME/Imagens/nada.gif">
          <a:extLst>
            <a:ext uri="{FF2B5EF4-FFF2-40B4-BE49-F238E27FC236}">
              <a16:creationId xmlns:a16="http://schemas.microsoft.com/office/drawing/2014/main" id="{B5283411-4BF8-4833-95EC-75F416B17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7" name="Imagem 106" descr="http://sistemaswebhom.einstein.br/CME/Imagens/nada.gif">
          <a:extLst>
            <a:ext uri="{FF2B5EF4-FFF2-40B4-BE49-F238E27FC236}">
              <a16:creationId xmlns:a16="http://schemas.microsoft.com/office/drawing/2014/main" id="{9308CE24-37F3-42EB-A1CB-80D4EC073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8" name="Imagem 107" descr="http://sistemaswebhom.einstein.br/CME/Imagens/nada.gif">
          <a:extLst>
            <a:ext uri="{FF2B5EF4-FFF2-40B4-BE49-F238E27FC236}">
              <a16:creationId xmlns:a16="http://schemas.microsoft.com/office/drawing/2014/main" id="{1FF27369-CC47-4A54-8C88-6B5C0E528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09" name="Imagem 108" descr="http://sistemaswebhom.einstein.br/CME/Imagens/nada.gif">
          <a:extLst>
            <a:ext uri="{FF2B5EF4-FFF2-40B4-BE49-F238E27FC236}">
              <a16:creationId xmlns:a16="http://schemas.microsoft.com/office/drawing/2014/main" id="{74D4E5BB-5151-4C2E-8B11-6B6EB4328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0" name="Imagem 109" descr="http://sistemaswebhom.einstein.br/CME/Imagens/nada.gif">
          <a:extLst>
            <a:ext uri="{FF2B5EF4-FFF2-40B4-BE49-F238E27FC236}">
              <a16:creationId xmlns:a16="http://schemas.microsoft.com/office/drawing/2014/main" id="{8653FD7D-A947-41C4-AC3E-9B14A37A0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1" name="Imagem 110" descr="http://sistemaswebhom.einstein.br/CME/Imagens/nada.gif">
          <a:extLst>
            <a:ext uri="{FF2B5EF4-FFF2-40B4-BE49-F238E27FC236}">
              <a16:creationId xmlns:a16="http://schemas.microsoft.com/office/drawing/2014/main" id="{B6ED812A-35E5-4CC6-ACCD-9FC4F9A8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2" name="Imagem 111" descr="http://sistemaswebhom.einstein.br/CME/Imagens/nada.gif">
          <a:extLst>
            <a:ext uri="{FF2B5EF4-FFF2-40B4-BE49-F238E27FC236}">
              <a16:creationId xmlns:a16="http://schemas.microsoft.com/office/drawing/2014/main" id="{003D4BFA-EE42-47EA-91D4-C5DC07E0E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3" name="Imagem 112" descr="http://sistemaswebhom.einstein.br/CME/Imagens/nada.gif">
          <a:extLst>
            <a:ext uri="{FF2B5EF4-FFF2-40B4-BE49-F238E27FC236}">
              <a16:creationId xmlns:a16="http://schemas.microsoft.com/office/drawing/2014/main" id="{C669FAD0-D847-4E1E-B3AA-6E377AF4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4" name="Imagem 113" descr="http://sistemaswebhom.einstein.br/CME/Imagens/nada.gif">
          <a:extLst>
            <a:ext uri="{FF2B5EF4-FFF2-40B4-BE49-F238E27FC236}">
              <a16:creationId xmlns:a16="http://schemas.microsoft.com/office/drawing/2014/main" id="{DBA083E1-C20E-44E3-8379-B22F4BB7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5" name="Imagem 114" descr="http://sistemaswebhom.einstein.br/CME/Imagens/nada.gif">
          <a:extLst>
            <a:ext uri="{FF2B5EF4-FFF2-40B4-BE49-F238E27FC236}">
              <a16:creationId xmlns:a16="http://schemas.microsoft.com/office/drawing/2014/main" id="{34B9656D-C9DE-40A3-A0C4-AF203E75D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6" name="Imagem 115" descr="http://sistemaswebhom.einstein.br/CME/Imagens/nada.gif">
          <a:extLst>
            <a:ext uri="{FF2B5EF4-FFF2-40B4-BE49-F238E27FC236}">
              <a16:creationId xmlns:a16="http://schemas.microsoft.com/office/drawing/2014/main" id="{609CEA52-2266-4C36-93D8-291CF4C4A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7" name="Imagem 116" descr="http://sistemaswebhom.einstein.br/CME/Imagens/nada.gif">
          <a:extLst>
            <a:ext uri="{FF2B5EF4-FFF2-40B4-BE49-F238E27FC236}">
              <a16:creationId xmlns:a16="http://schemas.microsoft.com/office/drawing/2014/main" id="{8CCFFF67-C11E-4BA5-A1ED-1ED05DEA0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8" name="Imagem 117" descr="http://sistemaswebhom.einstein.br/CME/Imagens/nada.gif">
          <a:extLst>
            <a:ext uri="{FF2B5EF4-FFF2-40B4-BE49-F238E27FC236}">
              <a16:creationId xmlns:a16="http://schemas.microsoft.com/office/drawing/2014/main" id="{2439D409-E0AE-4FC5-B7B4-B622D0A52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19" name="Imagem 118" descr="http://sistemaswebhom.einstein.br/CME/Imagens/nada.gif">
          <a:extLst>
            <a:ext uri="{FF2B5EF4-FFF2-40B4-BE49-F238E27FC236}">
              <a16:creationId xmlns:a16="http://schemas.microsoft.com/office/drawing/2014/main" id="{99DE37D2-168F-4F49-A916-873014ACE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0" name="Imagem 119" descr="http://sistemaswebhom.einstein.br/CME/Imagens/nada.gif">
          <a:extLst>
            <a:ext uri="{FF2B5EF4-FFF2-40B4-BE49-F238E27FC236}">
              <a16:creationId xmlns:a16="http://schemas.microsoft.com/office/drawing/2014/main" id="{7E653722-BDFC-4996-B04C-128636716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1" name="Imagem 120" descr="http://sistemaswebhom.einstein.br/CME/Imagens/nada.gif">
          <a:extLst>
            <a:ext uri="{FF2B5EF4-FFF2-40B4-BE49-F238E27FC236}">
              <a16:creationId xmlns:a16="http://schemas.microsoft.com/office/drawing/2014/main" id="{CA065881-11D4-465A-A0D2-23EC3486B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2" name="Imagem 121" descr="http://sistemaswebhom.einstein.br/CME/Imagens/nada.gif">
          <a:extLst>
            <a:ext uri="{FF2B5EF4-FFF2-40B4-BE49-F238E27FC236}">
              <a16:creationId xmlns:a16="http://schemas.microsoft.com/office/drawing/2014/main" id="{62A3BD93-66C7-4221-8D1A-B8F00C73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3" name="Imagem 122" descr="http://sistemaswebhom.einstein.br/CME/Imagens/nada.gif">
          <a:extLst>
            <a:ext uri="{FF2B5EF4-FFF2-40B4-BE49-F238E27FC236}">
              <a16:creationId xmlns:a16="http://schemas.microsoft.com/office/drawing/2014/main" id="{4DDEDD4B-3C00-436C-BCB4-1A473D2E7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4" name="Imagem 123" descr="http://sistemaswebhom.einstein.br/CME/Imagens/nada.gif">
          <a:extLst>
            <a:ext uri="{FF2B5EF4-FFF2-40B4-BE49-F238E27FC236}">
              <a16:creationId xmlns:a16="http://schemas.microsoft.com/office/drawing/2014/main" id="{27326AE6-5B33-4DC5-8539-F1AEED923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5" name="Imagem 124" descr="http://sistemaswebhom.einstein.br/CME/Imagens/nada.gif">
          <a:extLst>
            <a:ext uri="{FF2B5EF4-FFF2-40B4-BE49-F238E27FC236}">
              <a16:creationId xmlns:a16="http://schemas.microsoft.com/office/drawing/2014/main" id="{A1C5AD9B-8CE3-4EC2-9474-9F0F03BD1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6" name="Imagem 125" descr="http://sistemaswebhom.einstein.br/CME/Imagens/nada.gif">
          <a:extLst>
            <a:ext uri="{FF2B5EF4-FFF2-40B4-BE49-F238E27FC236}">
              <a16:creationId xmlns:a16="http://schemas.microsoft.com/office/drawing/2014/main" id="{8381A9B2-E010-4E8B-9FD4-8D312E3DB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7" name="Imagem 126" descr="http://sistemaswebhom.einstein.br/CME/Imagens/nada.gif">
          <a:extLst>
            <a:ext uri="{FF2B5EF4-FFF2-40B4-BE49-F238E27FC236}">
              <a16:creationId xmlns:a16="http://schemas.microsoft.com/office/drawing/2014/main" id="{BC5B2380-5E6C-4E98-BB00-12C2B8A64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8" name="Imagem 127" descr="http://sistemaswebhom.einstein.br/CME/Imagens/nada.gif">
          <a:extLst>
            <a:ext uri="{FF2B5EF4-FFF2-40B4-BE49-F238E27FC236}">
              <a16:creationId xmlns:a16="http://schemas.microsoft.com/office/drawing/2014/main" id="{57C1928C-FF46-436C-A987-FD94CB4A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29" name="Imagem 128" descr="http://sistemaswebhom.einstein.br/CME/Imagens/nada.gif">
          <a:extLst>
            <a:ext uri="{FF2B5EF4-FFF2-40B4-BE49-F238E27FC236}">
              <a16:creationId xmlns:a16="http://schemas.microsoft.com/office/drawing/2014/main" id="{A048F34F-05E3-461E-B7FA-B94336160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0" name="Imagem 129" descr="http://sistemaswebhom.einstein.br/CME/Imagens/nada.gif">
          <a:extLst>
            <a:ext uri="{FF2B5EF4-FFF2-40B4-BE49-F238E27FC236}">
              <a16:creationId xmlns:a16="http://schemas.microsoft.com/office/drawing/2014/main" id="{FDA7DC21-1B49-4B0A-9AA2-392BFB6535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1" name="Imagem 130" descr="http://sistemaswebhom.einstein.br/CME/Imagens/nada.gif">
          <a:extLst>
            <a:ext uri="{FF2B5EF4-FFF2-40B4-BE49-F238E27FC236}">
              <a16:creationId xmlns:a16="http://schemas.microsoft.com/office/drawing/2014/main" id="{EEC122F0-8DC9-4EC6-B54C-2F493BD00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2" name="Imagem 131" descr="http://sistemaswebhom.einstein.br/CME/Imagens/nada.gif">
          <a:extLst>
            <a:ext uri="{FF2B5EF4-FFF2-40B4-BE49-F238E27FC236}">
              <a16:creationId xmlns:a16="http://schemas.microsoft.com/office/drawing/2014/main" id="{2AEA4995-3CEF-49DD-A9C4-12D1188EB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3" name="Imagem 132" descr="http://sistemaswebhom.einstein.br/CME/Imagens/nada.gif">
          <a:extLst>
            <a:ext uri="{FF2B5EF4-FFF2-40B4-BE49-F238E27FC236}">
              <a16:creationId xmlns:a16="http://schemas.microsoft.com/office/drawing/2014/main" id="{73D5F63D-72D7-4455-88C8-7CEA538A7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4" name="Imagem 133" descr="http://sistemaswebhom.einstein.br/CME/Imagens/nada.gif">
          <a:extLst>
            <a:ext uri="{FF2B5EF4-FFF2-40B4-BE49-F238E27FC236}">
              <a16:creationId xmlns:a16="http://schemas.microsoft.com/office/drawing/2014/main" id="{7E594209-56DA-4F5F-A8BC-DB28645B1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5" name="Imagem 134" descr="http://sistemaswebhom.einstein.br/CME/Imagens/nada.gif">
          <a:extLst>
            <a:ext uri="{FF2B5EF4-FFF2-40B4-BE49-F238E27FC236}">
              <a16:creationId xmlns:a16="http://schemas.microsoft.com/office/drawing/2014/main" id="{34E2B668-3800-44B0-B0F0-8BBCD992C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6" name="Imagem 135" descr="http://sistemaswebhom.einstein.br/CME/Imagens/nada.gif">
          <a:extLst>
            <a:ext uri="{FF2B5EF4-FFF2-40B4-BE49-F238E27FC236}">
              <a16:creationId xmlns:a16="http://schemas.microsoft.com/office/drawing/2014/main" id="{7C58E242-1BDD-4A69-8970-17ACEFCC9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7" name="Imagem 136" descr="http://sistemaswebhom.einstein.br/CME/Imagens/nada.gif">
          <a:extLst>
            <a:ext uri="{FF2B5EF4-FFF2-40B4-BE49-F238E27FC236}">
              <a16:creationId xmlns:a16="http://schemas.microsoft.com/office/drawing/2014/main" id="{BC5A4182-6682-4E08-9F1A-C00DBFCC64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8" name="Imagem 137" descr="http://sistemaswebhom.einstein.br/CME/Imagens/nada.gif">
          <a:extLst>
            <a:ext uri="{FF2B5EF4-FFF2-40B4-BE49-F238E27FC236}">
              <a16:creationId xmlns:a16="http://schemas.microsoft.com/office/drawing/2014/main" id="{317D8921-BD05-42E7-A23C-537015C3D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39" name="Imagem 138" descr="http://sistemaswebhom.einstein.br/CME/Imagens/nada.gif">
          <a:extLst>
            <a:ext uri="{FF2B5EF4-FFF2-40B4-BE49-F238E27FC236}">
              <a16:creationId xmlns:a16="http://schemas.microsoft.com/office/drawing/2014/main" id="{5E4D51A9-E507-4158-B5A7-984D22F2F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0" name="Imagem 139" descr="http://sistemaswebhom.einstein.br/CME/Imagens/nada.gif">
          <a:extLst>
            <a:ext uri="{FF2B5EF4-FFF2-40B4-BE49-F238E27FC236}">
              <a16:creationId xmlns:a16="http://schemas.microsoft.com/office/drawing/2014/main" id="{AD7A8B64-BE73-4A19-9435-4F54AD187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1" name="Imagem 140" descr="http://sistemaswebhom.einstein.br/CME/Imagens/nada.gif">
          <a:extLst>
            <a:ext uri="{FF2B5EF4-FFF2-40B4-BE49-F238E27FC236}">
              <a16:creationId xmlns:a16="http://schemas.microsoft.com/office/drawing/2014/main" id="{B98E8D22-4CA3-469A-820F-0118F17C5B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2" name="Imagem 141" descr="http://sistemaswebhom.einstein.br/CME/Imagens/nada.gif">
          <a:extLst>
            <a:ext uri="{FF2B5EF4-FFF2-40B4-BE49-F238E27FC236}">
              <a16:creationId xmlns:a16="http://schemas.microsoft.com/office/drawing/2014/main" id="{1F6B0576-5025-43B5-8E25-D67FAD842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3" name="Imagem 142" descr="http://sistemaswebhom.einstein.br/CME/Imagens/nada.gif">
          <a:extLst>
            <a:ext uri="{FF2B5EF4-FFF2-40B4-BE49-F238E27FC236}">
              <a16:creationId xmlns:a16="http://schemas.microsoft.com/office/drawing/2014/main" id="{2B4EA690-45BC-4951-AD32-836B1A77D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4" name="Imagem 143" descr="http://sistemaswebhom.einstein.br/CME/Imagens/nada.gif">
          <a:extLst>
            <a:ext uri="{FF2B5EF4-FFF2-40B4-BE49-F238E27FC236}">
              <a16:creationId xmlns:a16="http://schemas.microsoft.com/office/drawing/2014/main" id="{EF2FAE38-281F-43CA-8EA5-C8E5E9CF9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5" name="Imagem 144" descr="http://sistemaswebhom.einstein.br/CME/Imagens/nada.gif">
          <a:extLst>
            <a:ext uri="{FF2B5EF4-FFF2-40B4-BE49-F238E27FC236}">
              <a16:creationId xmlns:a16="http://schemas.microsoft.com/office/drawing/2014/main" id="{47BF911D-DC62-4506-B3BC-5B0167078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6" name="Imagem 145" descr="http://sistemaswebhom.einstein.br/CME/Imagens/nada.gif">
          <a:extLst>
            <a:ext uri="{FF2B5EF4-FFF2-40B4-BE49-F238E27FC236}">
              <a16:creationId xmlns:a16="http://schemas.microsoft.com/office/drawing/2014/main" id="{3B3DBB71-8891-48AF-A474-5A3762E6A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7" name="Imagem 146" descr="http://sistemaswebhom.einstein.br/CME/Imagens/nada.gif">
          <a:extLst>
            <a:ext uri="{FF2B5EF4-FFF2-40B4-BE49-F238E27FC236}">
              <a16:creationId xmlns:a16="http://schemas.microsoft.com/office/drawing/2014/main" id="{7B5F29C5-BAA8-4B58-8588-D6CA85E4D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8" name="Imagem 147" descr="http://sistemaswebhom.einstein.br/CME/Imagens/nada.gif">
          <a:extLst>
            <a:ext uri="{FF2B5EF4-FFF2-40B4-BE49-F238E27FC236}">
              <a16:creationId xmlns:a16="http://schemas.microsoft.com/office/drawing/2014/main" id="{4A8BA1D4-E7C2-4455-B4E3-17DC69AF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49" name="Imagem 148" descr="http://sistemaswebhom.einstein.br/CME/Imagens/nada.gif">
          <a:extLst>
            <a:ext uri="{FF2B5EF4-FFF2-40B4-BE49-F238E27FC236}">
              <a16:creationId xmlns:a16="http://schemas.microsoft.com/office/drawing/2014/main" id="{5F35D23A-89AB-413A-AD7A-D3B305654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0" name="Imagem 149" descr="http://sistemaswebhom.einstein.br/CME/Imagens/nada.gif">
          <a:extLst>
            <a:ext uri="{FF2B5EF4-FFF2-40B4-BE49-F238E27FC236}">
              <a16:creationId xmlns:a16="http://schemas.microsoft.com/office/drawing/2014/main" id="{0B0A3FA3-EF64-46F8-838C-618697D11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1" name="Imagem 150" descr="http://sistemaswebhom.einstein.br/CME/Imagens/nada.gif">
          <a:extLst>
            <a:ext uri="{FF2B5EF4-FFF2-40B4-BE49-F238E27FC236}">
              <a16:creationId xmlns:a16="http://schemas.microsoft.com/office/drawing/2014/main" id="{73C364EE-4468-48CB-9B98-10A705373F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2" name="Imagem 151" descr="http://sistemaswebhom.einstein.br/CME/Imagens/nada.gif">
          <a:extLst>
            <a:ext uri="{FF2B5EF4-FFF2-40B4-BE49-F238E27FC236}">
              <a16:creationId xmlns:a16="http://schemas.microsoft.com/office/drawing/2014/main" id="{B920B8BF-4061-4D1E-AFEC-0579661DE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3" name="Imagem 152" descr="http://sistemaswebhom.einstein.br/CME/Imagens/nada.gif">
          <a:extLst>
            <a:ext uri="{FF2B5EF4-FFF2-40B4-BE49-F238E27FC236}">
              <a16:creationId xmlns:a16="http://schemas.microsoft.com/office/drawing/2014/main" id="{1993C7BE-44D4-4AA4-BC7D-0054206D9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4" name="Imagem 153" descr="http://sistemaswebhom.einstein.br/CME/Imagens/nada.gif">
          <a:extLst>
            <a:ext uri="{FF2B5EF4-FFF2-40B4-BE49-F238E27FC236}">
              <a16:creationId xmlns:a16="http://schemas.microsoft.com/office/drawing/2014/main" id="{978291FC-3AA0-432B-872D-C480AD5B2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5" name="Imagem 154" descr="http://sistemaswebhom.einstein.br/CME/Imagens/nada.gif">
          <a:extLst>
            <a:ext uri="{FF2B5EF4-FFF2-40B4-BE49-F238E27FC236}">
              <a16:creationId xmlns:a16="http://schemas.microsoft.com/office/drawing/2014/main" id="{EFF0D95B-0209-4800-B453-C0E3CF0097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6" name="Imagem 155" descr="http://sistemaswebhom.einstein.br/CME/Imagens/nada.gif">
          <a:extLst>
            <a:ext uri="{FF2B5EF4-FFF2-40B4-BE49-F238E27FC236}">
              <a16:creationId xmlns:a16="http://schemas.microsoft.com/office/drawing/2014/main" id="{ADA49BCD-C5EE-46CD-9A77-7CD408C42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7" name="Imagem 156" descr="http://sistemaswebhom.einstein.br/CME/Imagens/nada.gif">
          <a:extLst>
            <a:ext uri="{FF2B5EF4-FFF2-40B4-BE49-F238E27FC236}">
              <a16:creationId xmlns:a16="http://schemas.microsoft.com/office/drawing/2014/main" id="{F1D7BE94-1E60-4226-B676-D2F352D4F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8" name="Imagem 157" descr="http://sistemaswebhom.einstein.br/CME/Imagens/nada.gif">
          <a:extLst>
            <a:ext uri="{FF2B5EF4-FFF2-40B4-BE49-F238E27FC236}">
              <a16:creationId xmlns:a16="http://schemas.microsoft.com/office/drawing/2014/main" id="{2E123A6E-00E5-4780-AC9F-75CC4E0F4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59" name="Imagem 158" descr="http://sistemaswebhom.einstein.br/CME/Imagens/nada.gif">
          <a:extLst>
            <a:ext uri="{FF2B5EF4-FFF2-40B4-BE49-F238E27FC236}">
              <a16:creationId xmlns:a16="http://schemas.microsoft.com/office/drawing/2014/main" id="{97B9FB7D-6D0D-4B42-99E2-3807BB044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0" name="Imagem 159" descr="http://sistemaswebhom.einstein.br/CME/Imagens/nada.gif">
          <a:extLst>
            <a:ext uri="{FF2B5EF4-FFF2-40B4-BE49-F238E27FC236}">
              <a16:creationId xmlns:a16="http://schemas.microsoft.com/office/drawing/2014/main" id="{3F75BFCD-5B6E-46FC-B576-6168CD7CF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1" name="Imagem 160" descr="http://sistemaswebhom.einstein.br/CME/Imagens/nada.gif">
          <a:extLst>
            <a:ext uri="{FF2B5EF4-FFF2-40B4-BE49-F238E27FC236}">
              <a16:creationId xmlns:a16="http://schemas.microsoft.com/office/drawing/2014/main" id="{F07DDA2A-EC1A-4D3D-A0E9-542DCC194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2" name="Imagem 161" descr="http://sistemaswebhom.einstein.br/CME/Imagens/nada.gif">
          <a:extLst>
            <a:ext uri="{FF2B5EF4-FFF2-40B4-BE49-F238E27FC236}">
              <a16:creationId xmlns:a16="http://schemas.microsoft.com/office/drawing/2014/main" id="{98878DB3-6CD4-4953-946D-6ED51D210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3" name="Imagem 162" descr="http://sistemaswebhom.einstein.br/CME/Imagens/nada.gif">
          <a:extLst>
            <a:ext uri="{FF2B5EF4-FFF2-40B4-BE49-F238E27FC236}">
              <a16:creationId xmlns:a16="http://schemas.microsoft.com/office/drawing/2014/main" id="{D838D568-539D-45C8-80B1-045899A0A7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4" name="Imagem 163" descr="http://sistemaswebhom.einstein.br/CME/Imagens/nada.gif">
          <a:extLst>
            <a:ext uri="{FF2B5EF4-FFF2-40B4-BE49-F238E27FC236}">
              <a16:creationId xmlns:a16="http://schemas.microsoft.com/office/drawing/2014/main" id="{8494B5E0-5BDE-4B2C-A1E4-283E49858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5" name="Imagem 164" descr="http://sistemaswebhom.einstein.br/CME/Imagens/nada.gif">
          <a:extLst>
            <a:ext uri="{FF2B5EF4-FFF2-40B4-BE49-F238E27FC236}">
              <a16:creationId xmlns:a16="http://schemas.microsoft.com/office/drawing/2014/main" id="{2B1D3FF1-0787-4F5D-A98C-6CF8FE1C7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6" name="Imagem 165" descr="http://sistemaswebhom.einstein.br/CME/Imagens/nada.gif">
          <a:extLst>
            <a:ext uri="{FF2B5EF4-FFF2-40B4-BE49-F238E27FC236}">
              <a16:creationId xmlns:a16="http://schemas.microsoft.com/office/drawing/2014/main" id="{C61FE3B0-0867-4160-8604-22A97B13B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7" name="Imagem 166" descr="http://sistemaswebhom.einstein.br/CME/Imagens/nada.gif">
          <a:extLst>
            <a:ext uri="{FF2B5EF4-FFF2-40B4-BE49-F238E27FC236}">
              <a16:creationId xmlns:a16="http://schemas.microsoft.com/office/drawing/2014/main" id="{01813E5D-2BF2-45AF-AF51-758CCDB9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8" name="Imagem 167" descr="http://sistemaswebhom.einstein.br/CME/Imagens/nada.gif">
          <a:extLst>
            <a:ext uri="{FF2B5EF4-FFF2-40B4-BE49-F238E27FC236}">
              <a16:creationId xmlns:a16="http://schemas.microsoft.com/office/drawing/2014/main" id="{B3BF10A9-60CE-4C9B-A184-4A7F8E204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69" name="Imagem 168" descr="http://sistemaswebhom.einstein.br/CME/Imagens/nada.gif">
          <a:extLst>
            <a:ext uri="{FF2B5EF4-FFF2-40B4-BE49-F238E27FC236}">
              <a16:creationId xmlns:a16="http://schemas.microsoft.com/office/drawing/2014/main" id="{0A217259-9A4B-45AB-8753-A7A8E8B67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0" name="Imagem 169" descr="http://sistemaswebhom.einstein.br/CME/Imagens/nada.gif">
          <a:extLst>
            <a:ext uri="{FF2B5EF4-FFF2-40B4-BE49-F238E27FC236}">
              <a16:creationId xmlns:a16="http://schemas.microsoft.com/office/drawing/2014/main" id="{C5857156-3BCF-44A4-BC8B-44A72983F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1" name="Imagem 170" descr="http://sistemaswebhom.einstein.br/CME/Imagens/nada.gif">
          <a:extLst>
            <a:ext uri="{FF2B5EF4-FFF2-40B4-BE49-F238E27FC236}">
              <a16:creationId xmlns:a16="http://schemas.microsoft.com/office/drawing/2014/main" id="{8DD8F100-C5E3-46E1-A1D1-20B5B5EA8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2" name="Imagem 171" descr="http://sistemaswebhom.einstein.br/CME/Imagens/nada.gif">
          <a:extLst>
            <a:ext uri="{FF2B5EF4-FFF2-40B4-BE49-F238E27FC236}">
              <a16:creationId xmlns:a16="http://schemas.microsoft.com/office/drawing/2014/main" id="{5673F20D-ECA4-493B-AA35-6B77A9601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3" name="Imagem 172" descr="http://sistemaswebhom.einstein.br/CME/Imagens/nada.gif">
          <a:extLst>
            <a:ext uri="{FF2B5EF4-FFF2-40B4-BE49-F238E27FC236}">
              <a16:creationId xmlns:a16="http://schemas.microsoft.com/office/drawing/2014/main" id="{8110C310-B0E5-4AA5-ADF0-9665CA121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4" name="Imagem 173" descr="http://sistemaswebhom.einstein.br/CME/Imagens/nada.gif">
          <a:extLst>
            <a:ext uri="{FF2B5EF4-FFF2-40B4-BE49-F238E27FC236}">
              <a16:creationId xmlns:a16="http://schemas.microsoft.com/office/drawing/2014/main" id="{D0A38DFF-0431-4442-934A-018847DC56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5" name="Imagem 174" descr="http://sistemaswebhom.einstein.br/CME/Imagens/nada.gif">
          <a:extLst>
            <a:ext uri="{FF2B5EF4-FFF2-40B4-BE49-F238E27FC236}">
              <a16:creationId xmlns:a16="http://schemas.microsoft.com/office/drawing/2014/main" id="{311DCE8C-2642-473C-9D1C-4709F0F32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6" name="Imagem 175" descr="http://sistemaswebhom.einstein.br/CME/Imagens/nada.gif">
          <a:extLst>
            <a:ext uri="{FF2B5EF4-FFF2-40B4-BE49-F238E27FC236}">
              <a16:creationId xmlns:a16="http://schemas.microsoft.com/office/drawing/2014/main" id="{2A68DC11-9C52-48B7-BA98-30278D930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7" name="Imagem 176" descr="http://sistemaswebhom.einstein.br/CME/Imagens/nada.gif">
          <a:extLst>
            <a:ext uri="{FF2B5EF4-FFF2-40B4-BE49-F238E27FC236}">
              <a16:creationId xmlns:a16="http://schemas.microsoft.com/office/drawing/2014/main" id="{7FEEF8FB-5F95-470C-B7BD-9BB85F17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8" name="Imagem 177" descr="http://sistemaswebhom.einstein.br/CME/Imagens/nada.gif">
          <a:extLst>
            <a:ext uri="{FF2B5EF4-FFF2-40B4-BE49-F238E27FC236}">
              <a16:creationId xmlns:a16="http://schemas.microsoft.com/office/drawing/2014/main" id="{CB2967B4-7791-4077-9D5B-89745A8789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79" name="Imagem 178" descr="http://sistemaswebhom.einstein.br/CME/Imagens/nada.gif">
          <a:extLst>
            <a:ext uri="{FF2B5EF4-FFF2-40B4-BE49-F238E27FC236}">
              <a16:creationId xmlns:a16="http://schemas.microsoft.com/office/drawing/2014/main" id="{8A52168C-6395-45D3-B061-4D143C87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0" name="Imagem 179" descr="http://sistemaswebhom.einstein.br/CME/Imagens/nada.gif">
          <a:extLst>
            <a:ext uri="{FF2B5EF4-FFF2-40B4-BE49-F238E27FC236}">
              <a16:creationId xmlns:a16="http://schemas.microsoft.com/office/drawing/2014/main" id="{ADEA7438-7CA9-4018-B1E4-81BDD12E3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1" name="Imagem 180" descr="http://sistemaswebhom.einstein.br/CME/Imagens/nada.gif">
          <a:extLst>
            <a:ext uri="{FF2B5EF4-FFF2-40B4-BE49-F238E27FC236}">
              <a16:creationId xmlns:a16="http://schemas.microsoft.com/office/drawing/2014/main" id="{580B8107-8AFF-454E-999D-6A4C54E19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2" name="Imagem 181" descr="http://sistemaswebhom.einstein.br/CME/Imagens/nada.gif">
          <a:extLst>
            <a:ext uri="{FF2B5EF4-FFF2-40B4-BE49-F238E27FC236}">
              <a16:creationId xmlns:a16="http://schemas.microsoft.com/office/drawing/2014/main" id="{11E92912-7591-4591-A5B1-761E5C13F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3" name="Imagem 182" descr="http://sistemaswebhom.einstein.br/CME/Imagens/nada.gif">
          <a:extLst>
            <a:ext uri="{FF2B5EF4-FFF2-40B4-BE49-F238E27FC236}">
              <a16:creationId xmlns:a16="http://schemas.microsoft.com/office/drawing/2014/main" id="{69692195-63FE-410F-801C-87EF1D07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4" name="Imagem 183" descr="http://sistemaswebhom.einstein.br/CME/Imagens/nada.gif">
          <a:extLst>
            <a:ext uri="{FF2B5EF4-FFF2-40B4-BE49-F238E27FC236}">
              <a16:creationId xmlns:a16="http://schemas.microsoft.com/office/drawing/2014/main" id="{B1155BC1-05AA-49A6-A4E4-818A8E329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5" name="Imagem 184" descr="http://sistemaswebhom.einstein.br/CME/Imagens/nada.gif">
          <a:extLst>
            <a:ext uri="{FF2B5EF4-FFF2-40B4-BE49-F238E27FC236}">
              <a16:creationId xmlns:a16="http://schemas.microsoft.com/office/drawing/2014/main" id="{94AA7AB9-555A-4A17-978E-BE50E0953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6" name="Imagem 185" descr="http://sistemaswebhom.einstein.br/CME/Imagens/nada.gif">
          <a:extLst>
            <a:ext uri="{FF2B5EF4-FFF2-40B4-BE49-F238E27FC236}">
              <a16:creationId xmlns:a16="http://schemas.microsoft.com/office/drawing/2014/main" id="{3FE7BF34-E756-4D40-9BAD-8BA14ABF3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7" name="Imagem 186" descr="http://sistemaswebhom.einstein.br/CME/Imagens/nada.gif">
          <a:extLst>
            <a:ext uri="{FF2B5EF4-FFF2-40B4-BE49-F238E27FC236}">
              <a16:creationId xmlns:a16="http://schemas.microsoft.com/office/drawing/2014/main" id="{17DD1C75-DB84-4E3F-ACB1-CD3C6D9AF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8" name="Imagem 187" descr="http://sistemaswebhom.einstein.br/CME/Imagens/nada.gif">
          <a:extLst>
            <a:ext uri="{FF2B5EF4-FFF2-40B4-BE49-F238E27FC236}">
              <a16:creationId xmlns:a16="http://schemas.microsoft.com/office/drawing/2014/main" id="{0DFC273D-43A2-47BF-AEBB-F70280ABC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89" name="Imagem 188" descr="http://sistemaswebhom.einstein.br/CME/Imagens/nada.gif">
          <a:extLst>
            <a:ext uri="{FF2B5EF4-FFF2-40B4-BE49-F238E27FC236}">
              <a16:creationId xmlns:a16="http://schemas.microsoft.com/office/drawing/2014/main" id="{980D7308-5042-4603-9780-881E509BE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0" name="Imagem 189" descr="http://sistemaswebhom.einstein.br/CME/Imagens/nada.gif">
          <a:extLst>
            <a:ext uri="{FF2B5EF4-FFF2-40B4-BE49-F238E27FC236}">
              <a16:creationId xmlns:a16="http://schemas.microsoft.com/office/drawing/2014/main" id="{605D7690-E1EA-48D1-BA52-9758E54E3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1" name="Imagem 190" descr="http://sistemaswebhom.einstein.br/CME/Imagens/nada.gif">
          <a:extLst>
            <a:ext uri="{FF2B5EF4-FFF2-40B4-BE49-F238E27FC236}">
              <a16:creationId xmlns:a16="http://schemas.microsoft.com/office/drawing/2014/main" id="{9C8E94EA-803E-431A-B6C7-5D0B31128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2" name="Imagem 191" descr="http://sistemaswebhom.einstein.br/CME/Imagens/nada.gif">
          <a:extLst>
            <a:ext uri="{FF2B5EF4-FFF2-40B4-BE49-F238E27FC236}">
              <a16:creationId xmlns:a16="http://schemas.microsoft.com/office/drawing/2014/main" id="{B0122C34-4B4E-493B-9925-370357232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3" name="Imagem 192" descr="http://sistemaswebhom.einstein.br/CME/Imagens/nada.gif">
          <a:extLst>
            <a:ext uri="{FF2B5EF4-FFF2-40B4-BE49-F238E27FC236}">
              <a16:creationId xmlns:a16="http://schemas.microsoft.com/office/drawing/2014/main" id="{64EB595B-8034-41AF-B917-170882E4E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4" name="Imagem 193" descr="http://sistemaswebhom.einstein.br/CME/Imagens/nada.gif">
          <a:extLst>
            <a:ext uri="{FF2B5EF4-FFF2-40B4-BE49-F238E27FC236}">
              <a16:creationId xmlns:a16="http://schemas.microsoft.com/office/drawing/2014/main" id="{8187B967-0CD5-4D93-A4FE-96DB752C3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5" name="Imagem 194" descr="http://sistemaswebhom.einstein.br/CME/Imagens/nada.gif">
          <a:extLst>
            <a:ext uri="{FF2B5EF4-FFF2-40B4-BE49-F238E27FC236}">
              <a16:creationId xmlns:a16="http://schemas.microsoft.com/office/drawing/2014/main" id="{B74F46DF-5625-41E5-B411-E542BBA0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6" name="Imagem 195" descr="http://sistemaswebhom.einstein.br/CME/Imagens/nada.gif">
          <a:extLst>
            <a:ext uri="{FF2B5EF4-FFF2-40B4-BE49-F238E27FC236}">
              <a16:creationId xmlns:a16="http://schemas.microsoft.com/office/drawing/2014/main" id="{B935A3FA-E62E-4897-884E-33A2731F1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7" name="Imagem 196" descr="http://sistemaswebhom.einstein.br/CME/Imagens/nada.gif">
          <a:extLst>
            <a:ext uri="{FF2B5EF4-FFF2-40B4-BE49-F238E27FC236}">
              <a16:creationId xmlns:a16="http://schemas.microsoft.com/office/drawing/2014/main" id="{26673390-B1D7-4754-A9D3-99FF0F796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8" name="Imagem 197" descr="http://sistemaswebhom.einstein.br/CME/Imagens/nada.gif">
          <a:extLst>
            <a:ext uri="{FF2B5EF4-FFF2-40B4-BE49-F238E27FC236}">
              <a16:creationId xmlns:a16="http://schemas.microsoft.com/office/drawing/2014/main" id="{F84D474B-6610-4AF6-873D-F283BC1B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199" name="Imagem 198" descr="http://sistemaswebhom.einstein.br/CME/Imagens/nada.gif">
          <a:extLst>
            <a:ext uri="{FF2B5EF4-FFF2-40B4-BE49-F238E27FC236}">
              <a16:creationId xmlns:a16="http://schemas.microsoft.com/office/drawing/2014/main" id="{D46588D9-87BC-4F2C-8BC7-653FD68E9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0" name="Imagem 199" descr="http://sistemaswebhom.einstein.br/CME/Imagens/nada.gif">
          <a:extLst>
            <a:ext uri="{FF2B5EF4-FFF2-40B4-BE49-F238E27FC236}">
              <a16:creationId xmlns:a16="http://schemas.microsoft.com/office/drawing/2014/main" id="{CB3A9D42-DAA0-4342-885C-C22D28D58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1" name="Imagem 200" descr="http://sistemaswebhom.einstein.br/CME/Imagens/nada.gif">
          <a:extLst>
            <a:ext uri="{FF2B5EF4-FFF2-40B4-BE49-F238E27FC236}">
              <a16:creationId xmlns:a16="http://schemas.microsoft.com/office/drawing/2014/main" id="{F66C6E39-8841-43EE-9C6B-0CE0D1214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2" name="Imagem 201" descr="http://sistemaswebhom.einstein.br/CME/Imagens/nada.gif">
          <a:extLst>
            <a:ext uri="{FF2B5EF4-FFF2-40B4-BE49-F238E27FC236}">
              <a16:creationId xmlns:a16="http://schemas.microsoft.com/office/drawing/2014/main" id="{2BF41B2B-3CE9-498F-A695-9F9C22EDF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3" name="Imagem 202" descr="http://sistemaswebhom.einstein.br/CME/Imagens/nada.gif">
          <a:extLst>
            <a:ext uri="{FF2B5EF4-FFF2-40B4-BE49-F238E27FC236}">
              <a16:creationId xmlns:a16="http://schemas.microsoft.com/office/drawing/2014/main" id="{8B38BA87-F69D-4C78-B1A7-B23E8592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4" name="Imagem 203" descr="http://sistemaswebhom.einstein.br/CME/Imagens/nada.gif">
          <a:extLst>
            <a:ext uri="{FF2B5EF4-FFF2-40B4-BE49-F238E27FC236}">
              <a16:creationId xmlns:a16="http://schemas.microsoft.com/office/drawing/2014/main" id="{7AC32523-474A-47E2-AAB5-7A225DCDD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5" name="Imagem 204" descr="http://sistemaswebhom.einstein.br/CME/Imagens/nada.gif">
          <a:extLst>
            <a:ext uri="{FF2B5EF4-FFF2-40B4-BE49-F238E27FC236}">
              <a16:creationId xmlns:a16="http://schemas.microsoft.com/office/drawing/2014/main" id="{F4C7DC29-4F58-40C6-B568-F4FC23675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6" name="Imagem 205" descr="http://sistemaswebhom.einstein.br/CME/Imagens/nada.gif">
          <a:extLst>
            <a:ext uri="{FF2B5EF4-FFF2-40B4-BE49-F238E27FC236}">
              <a16:creationId xmlns:a16="http://schemas.microsoft.com/office/drawing/2014/main" id="{F3EF382E-89BC-47AE-98C5-64B875CC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7" name="Imagem 206" descr="http://sistemaswebhom.einstein.br/CME/Imagens/nada.gif">
          <a:extLst>
            <a:ext uri="{FF2B5EF4-FFF2-40B4-BE49-F238E27FC236}">
              <a16:creationId xmlns:a16="http://schemas.microsoft.com/office/drawing/2014/main" id="{72A4C227-7813-4102-8C57-6A8D59EF3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8" name="Imagem 207" descr="http://sistemaswebhom.einstein.br/CME/Imagens/nada.gif">
          <a:extLst>
            <a:ext uri="{FF2B5EF4-FFF2-40B4-BE49-F238E27FC236}">
              <a16:creationId xmlns:a16="http://schemas.microsoft.com/office/drawing/2014/main" id="{76B26DEB-670A-4E16-8DD5-3FB97EEED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09" name="Imagem 208" descr="http://sistemaswebhom.einstein.br/CME/Imagens/nada.gif">
          <a:extLst>
            <a:ext uri="{FF2B5EF4-FFF2-40B4-BE49-F238E27FC236}">
              <a16:creationId xmlns:a16="http://schemas.microsoft.com/office/drawing/2014/main" id="{5A8E7092-BDAE-41C4-AAC7-26D9D5619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0" name="Imagem 209" descr="http://sistemaswebhom.einstein.br/CME/Imagens/nada.gif">
          <a:extLst>
            <a:ext uri="{FF2B5EF4-FFF2-40B4-BE49-F238E27FC236}">
              <a16:creationId xmlns:a16="http://schemas.microsoft.com/office/drawing/2014/main" id="{48A2E1F4-988E-4E2B-9779-2B34C0B03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1" name="Imagem 210" descr="http://sistemaswebhom.einstein.br/CME/Imagens/nada.gif">
          <a:extLst>
            <a:ext uri="{FF2B5EF4-FFF2-40B4-BE49-F238E27FC236}">
              <a16:creationId xmlns:a16="http://schemas.microsoft.com/office/drawing/2014/main" id="{67EF3210-68B0-4480-85FB-E15E7FF63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2" name="Imagem 211" descr="http://sistemaswebhom.einstein.br/CME/Imagens/nada.gif">
          <a:extLst>
            <a:ext uri="{FF2B5EF4-FFF2-40B4-BE49-F238E27FC236}">
              <a16:creationId xmlns:a16="http://schemas.microsoft.com/office/drawing/2014/main" id="{B22E4050-8110-43DB-9033-1C452BCA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3" name="Imagem 212" descr="http://sistemaswebhom.einstein.br/CME/Imagens/nada.gif">
          <a:extLst>
            <a:ext uri="{FF2B5EF4-FFF2-40B4-BE49-F238E27FC236}">
              <a16:creationId xmlns:a16="http://schemas.microsoft.com/office/drawing/2014/main" id="{8BAAF345-D144-4BB8-8DEC-2198FD303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4" name="Imagem 213" descr="http://sistemaswebhom.einstein.br/CME/Imagens/nada.gif">
          <a:extLst>
            <a:ext uri="{FF2B5EF4-FFF2-40B4-BE49-F238E27FC236}">
              <a16:creationId xmlns:a16="http://schemas.microsoft.com/office/drawing/2014/main" id="{74A19B3D-EFF5-4259-BA97-FBCBC19FE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5" name="Imagem 214" descr="http://sistemaswebhom.einstein.br/CME/Imagens/nada.gif">
          <a:extLst>
            <a:ext uri="{FF2B5EF4-FFF2-40B4-BE49-F238E27FC236}">
              <a16:creationId xmlns:a16="http://schemas.microsoft.com/office/drawing/2014/main" id="{D07FA03A-B8FC-4E7F-84D4-4353402DD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6" name="Imagem 215" descr="http://sistemaswebhom.einstein.br/CME/Imagens/nada.gif">
          <a:extLst>
            <a:ext uri="{FF2B5EF4-FFF2-40B4-BE49-F238E27FC236}">
              <a16:creationId xmlns:a16="http://schemas.microsoft.com/office/drawing/2014/main" id="{24A95D81-FACC-4EF5-8064-C05FCFB59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7" name="Imagem 216" descr="http://sistemaswebhom.einstein.br/CME/Imagens/nada.gif">
          <a:extLst>
            <a:ext uri="{FF2B5EF4-FFF2-40B4-BE49-F238E27FC236}">
              <a16:creationId xmlns:a16="http://schemas.microsoft.com/office/drawing/2014/main" id="{994D00E2-D141-4ABF-B833-23ABB7F10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8" name="Imagem 217" descr="http://sistemaswebhom.einstein.br/CME/Imagens/nada.gif">
          <a:extLst>
            <a:ext uri="{FF2B5EF4-FFF2-40B4-BE49-F238E27FC236}">
              <a16:creationId xmlns:a16="http://schemas.microsoft.com/office/drawing/2014/main" id="{8B76BFC3-9523-48CB-8249-6CB9C421D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19" name="Imagem 218" descr="http://sistemaswebhom.einstein.br/CME/Imagens/nada.gif">
          <a:extLst>
            <a:ext uri="{FF2B5EF4-FFF2-40B4-BE49-F238E27FC236}">
              <a16:creationId xmlns:a16="http://schemas.microsoft.com/office/drawing/2014/main" id="{300CA88A-3433-46D2-9E3D-D79C1DEBE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0" name="Imagem 219" descr="http://sistemaswebhom.einstein.br/CME/Imagens/nada.gif">
          <a:extLst>
            <a:ext uri="{FF2B5EF4-FFF2-40B4-BE49-F238E27FC236}">
              <a16:creationId xmlns:a16="http://schemas.microsoft.com/office/drawing/2014/main" id="{BAC23DCF-79FE-4C48-A6D0-A71076D65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1" name="Imagem 220" descr="http://sistemaswebhom.einstein.br/CME/Imagens/nada.gif">
          <a:extLst>
            <a:ext uri="{FF2B5EF4-FFF2-40B4-BE49-F238E27FC236}">
              <a16:creationId xmlns:a16="http://schemas.microsoft.com/office/drawing/2014/main" id="{18369DE2-2468-46F0-A8AF-04905A8BD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2" name="Imagem 221" descr="http://sistemaswebhom.einstein.br/CME/Imagens/nada.gif">
          <a:extLst>
            <a:ext uri="{FF2B5EF4-FFF2-40B4-BE49-F238E27FC236}">
              <a16:creationId xmlns:a16="http://schemas.microsoft.com/office/drawing/2014/main" id="{83A19022-41FC-4DA3-848E-E717E25C7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3" name="Imagem 222" descr="http://sistemaswebhom.einstein.br/CME/Imagens/nada.gif">
          <a:extLst>
            <a:ext uri="{FF2B5EF4-FFF2-40B4-BE49-F238E27FC236}">
              <a16:creationId xmlns:a16="http://schemas.microsoft.com/office/drawing/2014/main" id="{0DDE4ACC-2480-434A-9DFF-6761DD928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4" name="Imagem 223" descr="http://sistemaswebhom.einstein.br/CME/Imagens/nada.gif">
          <a:extLst>
            <a:ext uri="{FF2B5EF4-FFF2-40B4-BE49-F238E27FC236}">
              <a16:creationId xmlns:a16="http://schemas.microsoft.com/office/drawing/2014/main" id="{399E99C9-C5AA-4EE4-A33D-2FEACAD86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5" name="Imagem 224" descr="http://sistemaswebhom.einstein.br/CME/Imagens/nada.gif">
          <a:extLst>
            <a:ext uri="{FF2B5EF4-FFF2-40B4-BE49-F238E27FC236}">
              <a16:creationId xmlns:a16="http://schemas.microsoft.com/office/drawing/2014/main" id="{CFB9024A-48AA-4197-9536-C93DB121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6" name="Imagem 225" descr="http://sistemaswebhom.einstein.br/CME/Imagens/nada.gif">
          <a:extLst>
            <a:ext uri="{FF2B5EF4-FFF2-40B4-BE49-F238E27FC236}">
              <a16:creationId xmlns:a16="http://schemas.microsoft.com/office/drawing/2014/main" id="{2938CEE2-55CE-4B13-8CE7-7A63A2FF9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7" name="Imagem 226" descr="http://sistemaswebhom.einstein.br/CME/Imagens/nada.gif">
          <a:extLst>
            <a:ext uri="{FF2B5EF4-FFF2-40B4-BE49-F238E27FC236}">
              <a16:creationId xmlns:a16="http://schemas.microsoft.com/office/drawing/2014/main" id="{2AA97BA2-E334-4DF8-AD24-CA485B83B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8" name="Imagem 227" descr="http://sistemaswebhom.einstein.br/CME/Imagens/nada.gif">
          <a:extLst>
            <a:ext uri="{FF2B5EF4-FFF2-40B4-BE49-F238E27FC236}">
              <a16:creationId xmlns:a16="http://schemas.microsoft.com/office/drawing/2014/main" id="{9AA6E8E9-BA78-4788-B37B-D02122447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29" name="Imagem 228" descr="http://sistemaswebhom.einstein.br/CME/Imagens/nada.gif">
          <a:extLst>
            <a:ext uri="{FF2B5EF4-FFF2-40B4-BE49-F238E27FC236}">
              <a16:creationId xmlns:a16="http://schemas.microsoft.com/office/drawing/2014/main" id="{A7AB8972-AEAB-4F58-9B89-BD66D9B40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0" name="Imagem 229" descr="http://sistemaswebhom.einstein.br/CME/Imagens/nada.gif">
          <a:extLst>
            <a:ext uri="{FF2B5EF4-FFF2-40B4-BE49-F238E27FC236}">
              <a16:creationId xmlns:a16="http://schemas.microsoft.com/office/drawing/2014/main" id="{8981F3E4-0902-45A9-9A09-2AE10F6CB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1" name="Imagem 230" descr="http://sistemaswebhom.einstein.br/CME/Imagens/nada.gif">
          <a:extLst>
            <a:ext uri="{FF2B5EF4-FFF2-40B4-BE49-F238E27FC236}">
              <a16:creationId xmlns:a16="http://schemas.microsoft.com/office/drawing/2014/main" id="{140A0E09-C871-475D-9BE0-9E6CD63131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2" name="Imagem 231" descr="http://sistemaswebhom.einstein.br/CME/Imagens/nada.gif">
          <a:extLst>
            <a:ext uri="{FF2B5EF4-FFF2-40B4-BE49-F238E27FC236}">
              <a16:creationId xmlns:a16="http://schemas.microsoft.com/office/drawing/2014/main" id="{0E83B18E-30C4-48CF-B18B-121ACF4D4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3" name="Imagem 232" descr="http://sistemaswebhom.einstein.br/CME/Imagens/nada.gif">
          <a:extLst>
            <a:ext uri="{FF2B5EF4-FFF2-40B4-BE49-F238E27FC236}">
              <a16:creationId xmlns:a16="http://schemas.microsoft.com/office/drawing/2014/main" id="{57D55BDE-C8C7-4A06-A7A3-186A991D8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4" name="Imagem 233" descr="http://sistemaswebhom.einstein.br/CME/Imagens/nada.gif">
          <a:extLst>
            <a:ext uri="{FF2B5EF4-FFF2-40B4-BE49-F238E27FC236}">
              <a16:creationId xmlns:a16="http://schemas.microsoft.com/office/drawing/2014/main" id="{F4F00FDC-5DA1-403B-8A64-F6233304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5" name="Imagem 234" descr="http://sistemaswebhom.einstein.br/CME/Imagens/nada.gif">
          <a:extLst>
            <a:ext uri="{FF2B5EF4-FFF2-40B4-BE49-F238E27FC236}">
              <a16:creationId xmlns:a16="http://schemas.microsoft.com/office/drawing/2014/main" id="{3732E159-DBF8-4789-81A1-46F1180CF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6" name="Imagem 235" descr="http://sistemaswebhom.einstein.br/CME/Imagens/nada.gif">
          <a:extLst>
            <a:ext uri="{FF2B5EF4-FFF2-40B4-BE49-F238E27FC236}">
              <a16:creationId xmlns:a16="http://schemas.microsoft.com/office/drawing/2014/main" id="{616105F3-01E8-410F-A071-31DAB36E8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7" name="Imagem 236" descr="http://sistemaswebhom.einstein.br/CME/Imagens/nada.gif">
          <a:extLst>
            <a:ext uri="{FF2B5EF4-FFF2-40B4-BE49-F238E27FC236}">
              <a16:creationId xmlns:a16="http://schemas.microsoft.com/office/drawing/2014/main" id="{B0692219-00F4-46FC-BB52-29E096704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8" name="Imagem 237" descr="http://sistemaswebhom.einstein.br/CME/Imagens/nada.gif">
          <a:extLst>
            <a:ext uri="{FF2B5EF4-FFF2-40B4-BE49-F238E27FC236}">
              <a16:creationId xmlns:a16="http://schemas.microsoft.com/office/drawing/2014/main" id="{651F110A-02F1-4BF6-88B4-765E37893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39" name="Imagem 238" descr="http://sistemaswebhom.einstein.br/CME/Imagens/nada.gif">
          <a:extLst>
            <a:ext uri="{FF2B5EF4-FFF2-40B4-BE49-F238E27FC236}">
              <a16:creationId xmlns:a16="http://schemas.microsoft.com/office/drawing/2014/main" id="{7EA0D915-33DB-40D8-95B7-776F4C00A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0" name="Imagem 239" descr="http://sistemaswebhom.einstein.br/CME/Imagens/nada.gif">
          <a:extLst>
            <a:ext uri="{FF2B5EF4-FFF2-40B4-BE49-F238E27FC236}">
              <a16:creationId xmlns:a16="http://schemas.microsoft.com/office/drawing/2014/main" id="{E751CCA8-6A13-4CD4-9A99-9DFAC2675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1" name="Imagem 240" descr="http://sistemaswebhom.einstein.br/CME/Imagens/nada.gif">
          <a:extLst>
            <a:ext uri="{FF2B5EF4-FFF2-40B4-BE49-F238E27FC236}">
              <a16:creationId xmlns:a16="http://schemas.microsoft.com/office/drawing/2014/main" id="{DB7C0C87-2BAC-458D-8A04-3102E1D66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2" name="Imagem 241" descr="http://sistemaswebhom.einstein.br/CME/Imagens/nada.gif">
          <a:extLst>
            <a:ext uri="{FF2B5EF4-FFF2-40B4-BE49-F238E27FC236}">
              <a16:creationId xmlns:a16="http://schemas.microsoft.com/office/drawing/2014/main" id="{97725F8D-E560-41E4-82DA-D369B2358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3" name="Imagem 242" descr="http://sistemaswebhom.einstein.br/CME/Imagens/nada.gif">
          <a:extLst>
            <a:ext uri="{FF2B5EF4-FFF2-40B4-BE49-F238E27FC236}">
              <a16:creationId xmlns:a16="http://schemas.microsoft.com/office/drawing/2014/main" id="{78A0FDBA-EB1C-4A45-8C75-795EE479A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4" name="Imagem 243" descr="http://sistemaswebhom.einstein.br/CME/Imagens/nada.gif">
          <a:extLst>
            <a:ext uri="{FF2B5EF4-FFF2-40B4-BE49-F238E27FC236}">
              <a16:creationId xmlns:a16="http://schemas.microsoft.com/office/drawing/2014/main" id="{143A9D55-C0CC-446B-BA2E-61A84A15F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5" name="Imagem 244" descr="http://sistemaswebhom.einstein.br/CME/Imagens/nada.gif">
          <a:extLst>
            <a:ext uri="{FF2B5EF4-FFF2-40B4-BE49-F238E27FC236}">
              <a16:creationId xmlns:a16="http://schemas.microsoft.com/office/drawing/2014/main" id="{5D1DE324-CFDE-4F3C-AC57-592A1804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6" name="Imagem 245" descr="http://sistemaswebhom.einstein.br/CME/Imagens/nada.gif">
          <a:extLst>
            <a:ext uri="{FF2B5EF4-FFF2-40B4-BE49-F238E27FC236}">
              <a16:creationId xmlns:a16="http://schemas.microsoft.com/office/drawing/2014/main" id="{6FF39D30-9BD1-40E1-9623-E2509F78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7" name="Imagem 246" descr="http://sistemaswebhom.einstein.br/CME/Imagens/nada.gif">
          <a:extLst>
            <a:ext uri="{FF2B5EF4-FFF2-40B4-BE49-F238E27FC236}">
              <a16:creationId xmlns:a16="http://schemas.microsoft.com/office/drawing/2014/main" id="{8BD9FA07-E4CD-4ECD-BE65-DEFB77A8D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8" name="Imagem 247" descr="http://sistemaswebhom.einstein.br/CME/Imagens/nada.gif">
          <a:extLst>
            <a:ext uri="{FF2B5EF4-FFF2-40B4-BE49-F238E27FC236}">
              <a16:creationId xmlns:a16="http://schemas.microsoft.com/office/drawing/2014/main" id="{E733EF79-B333-4E18-B08E-22709D629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49" name="Imagem 248" descr="http://sistemaswebhom.einstein.br/CME/Imagens/nada.gif">
          <a:extLst>
            <a:ext uri="{FF2B5EF4-FFF2-40B4-BE49-F238E27FC236}">
              <a16:creationId xmlns:a16="http://schemas.microsoft.com/office/drawing/2014/main" id="{0B3BD1A2-4A97-4290-BAE5-5E1E83BE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0" name="Imagem 249" descr="http://sistemaswebhom.einstein.br/CME/Imagens/nada.gif">
          <a:extLst>
            <a:ext uri="{FF2B5EF4-FFF2-40B4-BE49-F238E27FC236}">
              <a16:creationId xmlns:a16="http://schemas.microsoft.com/office/drawing/2014/main" id="{DA445645-E2F9-411E-ABF3-7ED452488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1" name="Imagem 250" descr="http://sistemaswebhom.einstein.br/CME/Imagens/nada.gif">
          <a:extLst>
            <a:ext uri="{FF2B5EF4-FFF2-40B4-BE49-F238E27FC236}">
              <a16:creationId xmlns:a16="http://schemas.microsoft.com/office/drawing/2014/main" id="{F89D758F-4D1F-4F1A-ACA8-BB1EA7DA2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2" name="Imagem 251" descr="http://sistemaswebhom.einstein.br/CME/Imagens/nada.gif">
          <a:extLst>
            <a:ext uri="{FF2B5EF4-FFF2-40B4-BE49-F238E27FC236}">
              <a16:creationId xmlns:a16="http://schemas.microsoft.com/office/drawing/2014/main" id="{144BFFCA-AA6B-4C9B-A3C5-E320C5A8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3" name="Imagem 252" descr="http://sistemaswebhom.einstein.br/CME/Imagens/nada.gif">
          <a:extLst>
            <a:ext uri="{FF2B5EF4-FFF2-40B4-BE49-F238E27FC236}">
              <a16:creationId xmlns:a16="http://schemas.microsoft.com/office/drawing/2014/main" id="{02784376-E7E6-43EE-8A3D-F2B57A310E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4" name="Imagem 253" descr="http://sistemaswebhom.einstein.br/CME/Imagens/nada.gif">
          <a:extLst>
            <a:ext uri="{FF2B5EF4-FFF2-40B4-BE49-F238E27FC236}">
              <a16:creationId xmlns:a16="http://schemas.microsoft.com/office/drawing/2014/main" id="{27E64808-2DF4-4E65-A1A3-2CEB1E350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5" name="Imagem 254" descr="http://sistemaswebhom.einstein.br/CME/Imagens/nada.gif">
          <a:extLst>
            <a:ext uri="{FF2B5EF4-FFF2-40B4-BE49-F238E27FC236}">
              <a16:creationId xmlns:a16="http://schemas.microsoft.com/office/drawing/2014/main" id="{335DD570-2C89-4F2F-93FB-E2D8A7052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6" name="Imagem 255" descr="http://sistemaswebhom.einstein.br/CME/Imagens/nada.gif">
          <a:extLst>
            <a:ext uri="{FF2B5EF4-FFF2-40B4-BE49-F238E27FC236}">
              <a16:creationId xmlns:a16="http://schemas.microsoft.com/office/drawing/2014/main" id="{887C123E-AA55-42BD-B706-ACCE6B489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7" name="Imagem 256" descr="http://sistemaswebhom.einstein.br/CME/Imagens/nada.gif">
          <a:extLst>
            <a:ext uri="{FF2B5EF4-FFF2-40B4-BE49-F238E27FC236}">
              <a16:creationId xmlns:a16="http://schemas.microsoft.com/office/drawing/2014/main" id="{4C486C9F-7FD5-4509-839B-F9019FD60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8" name="Imagem 257" descr="http://sistemaswebhom.einstein.br/CME/Imagens/nada.gif">
          <a:extLst>
            <a:ext uri="{FF2B5EF4-FFF2-40B4-BE49-F238E27FC236}">
              <a16:creationId xmlns:a16="http://schemas.microsoft.com/office/drawing/2014/main" id="{27F31281-82C3-43DB-AC3D-86A128803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59" name="Imagem 258" descr="http://sistemaswebhom.einstein.br/CME/Imagens/nada.gif">
          <a:extLst>
            <a:ext uri="{FF2B5EF4-FFF2-40B4-BE49-F238E27FC236}">
              <a16:creationId xmlns:a16="http://schemas.microsoft.com/office/drawing/2014/main" id="{3BCA3143-4278-4E73-83C7-BC3C91B6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0" name="Imagem 259" descr="http://sistemaswebhom.einstein.br/CME/Imagens/nada.gif">
          <a:extLst>
            <a:ext uri="{FF2B5EF4-FFF2-40B4-BE49-F238E27FC236}">
              <a16:creationId xmlns:a16="http://schemas.microsoft.com/office/drawing/2014/main" id="{AA1BD722-13DA-47B6-9F6F-88F1177E2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1" name="Imagem 260" descr="http://sistemaswebhom.einstein.br/CME/Imagens/nada.gif">
          <a:extLst>
            <a:ext uri="{FF2B5EF4-FFF2-40B4-BE49-F238E27FC236}">
              <a16:creationId xmlns:a16="http://schemas.microsoft.com/office/drawing/2014/main" id="{C4C4360A-DCB6-4C0E-ACA7-ED1A193E8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2" name="Imagem 261" descr="http://sistemaswebhom.einstein.br/CME/Imagens/nada.gif">
          <a:extLst>
            <a:ext uri="{FF2B5EF4-FFF2-40B4-BE49-F238E27FC236}">
              <a16:creationId xmlns:a16="http://schemas.microsoft.com/office/drawing/2014/main" id="{43982781-BAC8-4827-9335-5A7FC38FF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3" name="Imagem 262" descr="http://sistemaswebhom.einstein.br/CME/Imagens/nada.gif">
          <a:extLst>
            <a:ext uri="{FF2B5EF4-FFF2-40B4-BE49-F238E27FC236}">
              <a16:creationId xmlns:a16="http://schemas.microsoft.com/office/drawing/2014/main" id="{3A552177-8EDC-408E-B31E-2E6AF6F54C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4" name="Imagem 263" descr="http://sistemaswebhom.einstein.br/CME/Imagens/nada.gif">
          <a:extLst>
            <a:ext uri="{FF2B5EF4-FFF2-40B4-BE49-F238E27FC236}">
              <a16:creationId xmlns:a16="http://schemas.microsoft.com/office/drawing/2014/main" id="{9E60C604-65B8-45F8-87E6-FD082C8B5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5" name="Imagem 264" descr="http://sistemaswebhom.einstein.br/CME/Imagens/nada.gif">
          <a:extLst>
            <a:ext uri="{FF2B5EF4-FFF2-40B4-BE49-F238E27FC236}">
              <a16:creationId xmlns:a16="http://schemas.microsoft.com/office/drawing/2014/main" id="{70A868E2-089E-422A-B8B4-897E84AA4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6" name="Imagem 265" descr="http://sistemaswebhom.einstein.br/CME/Imagens/nada.gif">
          <a:extLst>
            <a:ext uri="{FF2B5EF4-FFF2-40B4-BE49-F238E27FC236}">
              <a16:creationId xmlns:a16="http://schemas.microsoft.com/office/drawing/2014/main" id="{A4998B7E-C626-45FC-BF5C-552D8A0235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7" name="Imagem 266" descr="http://sistemaswebhom.einstein.br/CME/Imagens/nada.gif">
          <a:extLst>
            <a:ext uri="{FF2B5EF4-FFF2-40B4-BE49-F238E27FC236}">
              <a16:creationId xmlns:a16="http://schemas.microsoft.com/office/drawing/2014/main" id="{F05732A3-0055-43FC-9FD8-890B6006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8" name="Imagem 267" descr="http://sistemaswebhom.einstein.br/CME/Imagens/nada.gif">
          <a:extLst>
            <a:ext uri="{FF2B5EF4-FFF2-40B4-BE49-F238E27FC236}">
              <a16:creationId xmlns:a16="http://schemas.microsoft.com/office/drawing/2014/main" id="{C758198D-3CFA-4EE6-8AFB-E6BAF7B463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69" name="Imagem 268" descr="http://sistemaswebhom.einstein.br/CME/Imagens/nada.gif">
          <a:extLst>
            <a:ext uri="{FF2B5EF4-FFF2-40B4-BE49-F238E27FC236}">
              <a16:creationId xmlns:a16="http://schemas.microsoft.com/office/drawing/2014/main" id="{C94B18C4-C8EC-46B1-97DB-5B4EC27B9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0" name="Imagem 269" descr="http://sistemaswebhom.einstein.br/CME/Imagens/nada.gif">
          <a:extLst>
            <a:ext uri="{FF2B5EF4-FFF2-40B4-BE49-F238E27FC236}">
              <a16:creationId xmlns:a16="http://schemas.microsoft.com/office/drawing/2014/main" id="{3B49C42D-E587-4497-AC54-D4BB949AA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1" name="Imagem 270" descr="http://sistemaswebhom.einstein.br/CME/Imagens/nada.gif">
          <a:extLst>
            <a:ext uri="{FF2B5EF4-FFF2-40B4-BE49-F238E27FC236}">
              <a16:creationId xmlns:a16="http://schemas.microsoft.com/office/drawing/2014/main" id="{C1282D8F-A0EE-4509-80FE-B654B3981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2" name="Imagem 271" descr="http://sistemaswebhom.einstein.br/CME/Imagens/nada.gif">
          <a:extLst>
            <a:ext uri="{FF2B5EF4-FFF2-40B4-BE49-F238E27FC236}">
              <a16:creationId xmlns:a16="http://schemas.microsoft.com/office/drawing/2014/main" id="{AA92ADCA-F6A7-4DF6-AA49-02E364912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3" name="Imagem 272" descr="http://sistemaswebhom.einstein.br/CME/Imagens/nada.gif">
          <a:extLst>
            <a:ext uri="{FF2B5EF4-FFF2-40B4-BE49-F238E27FC236}">
              <a16:creationId xmlns:a16="http://schemas.microsoft.com/office/drawing/2014/main" id="{401A90CF-400E-4F94-9CF2-D2B5FE9F9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4" name="Imagem 273" descr="http://sistemaswebhom.einstein.br/CME/Imagens/nada.gif">
          <a:extLst>
            <a:ext uri="{FF2B5EF4-FFF2-40B4-BE49-F238E27FC236}">
              <a16:creationId xmlns:a16="http://schemas.microsoft.com/office/drawing/2014/main" id="{CF9F3A97-671B-4EFE-8E3B-EBE072E93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5" name="Imagem 274" descr="http://sistemaswebhom.einstein.br/CME/Imagens/nada.gif">
          <a:extLst>
            <a:ext uri="{FF2B5EF4-FFF2-40B4-BE49-F238E27FC236}">
              <a16:creationId xmlns:a16="http://schemas.microsoft.com/office/drawing/2014/main" id="{17050CD7-01F5-4A23-A53F-122A332A6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6" name="Imagem 275" descr="http://sistemaswebhom.einstein.br/CME/Imagens/nada.gif">
          <a:extLst>
            <a:ext uri="{FF2B5EF4-FFF2-40B4-BE49-F238E27FC236}">
              <a16:creationId xmlns:a16="http://schemas.microsoft.com/office/drawing/2014/main" id="{09BD4DA1-86DC-4D29-9061-696CDDB3D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7" name="Imagem 276" descr="http://sistemaswebhom.einstein.br/CME/Imagens/nada.gif">
          <a:extLst>
            <a:ext uri="{FF2B5EF4-FFF2-40B4-BE49-F238E27FC236}">
              <a16:creationId xmlns:a16="http://schemas.microsoft.com/office/drawing/2014/main" id="{AE4FF045-874A-42FC-813D-09B55AF39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8" name="Imagem 277" descr="http://sistemaswebhom.einstein.br/CME/Imagens/nada.gif">
          <a:extLst>
            <a:ext uri="{FF2B5EF4-FFF2-40B4-BE49-F238E27FC236}">
              <a16:creationId xmlns:a16="http://schemas.microsoft.com/office/drawing/2014/main" id="{F72714C6-936B-4DC7-9381-714024922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79" name="Imagem 278" descr="http://sistemaswebhom.einstein.br/CME/Imagens/nada.gif">
          <a:extLst>
            <a:ext uri="{FF2B5EF4-FFF2-40B4-BE49-F238E27FC236}">
              <a16:creationId xmlns:a16="http://schemas.microsoft.com/office/drawing/2014/main" id="{F8F868F6-4A87-4C3C-8F4E-78CD8605B7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0" name="Imagem 279" descr="http://sistemaswebhom.einstein.br/CME/Imagens/nada.gif">
          <a:extLst>
            <a:ext uri="{FF2B5EF4-FFF2-40B4-BE49-F238E27FC236}">
              <a16:creationId xmlns:a16="http://schemas.microsoft.com/office/drawing/2014/main" id="{ACDBF658-2CD3-49E2-83D0-7D504441B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1" name="Imagem 280" descr="http://sistemaswebhom.einstein.br/CME/Imagens/nada.gif">
          <a:extLst>
            <a:ext uri="{FF2B5EF4-FFF2-40B4-BE49-F238E27FC236}">
              <a16:creationId xmlns:a16="http://schemas.microsoft.com/office/drawing/2014/main" id="{0C67A6DE-E6E7-4ECE-92A4-D6E29163B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2" name="Imagem 281" descr="http://sistemaswebhom.einstein.br/CME/Imagens/nada.gif">
          <a:extLst>
            <a:ext uri="{FF2B5EF4-FFF2-40B4-BE49-F238E27FC236}">
              <a16:creationId xmlns:a16="http://schemas.microsoft.com/office/drawing/2014/main" id="{EC225F04-1B96-4DCA-B22E-902267BB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3" name="Imagem 282" descr="http://sistemaswebhom.einstein.br/CME/Imagens/nada.gif">
          <a:extLst>
            <a:ext uri="{FF2B5EF4-FFF2-40B4-BE49-F238E27FC236}">
              <a16:creationId xmlns:a16="http://schemas.microsoft.com/office/drawing/2014/main" id="{967A17C6-8712-44A6-B01F-196ACAEF9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4" name="Imagem 283" descr="http://sistemaswebhom.einstein.br/CME/Imagens/nada.gif">
          <a:extLst>
            <a:ext uri="{FF2B5EF4-FFF2-40B4-BE49-F238E27FC236}">
              <a16:creationId xmlns:a16="http://schemas.microsoft.com/office/drawing/2014/main" id="{F0EDCEB7-5C94-44A1-A34B-A27B56387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5" name="Imagem 284" descr="http://sistemaswebhom.einstein.br/CME/Imagens/nada.gif">
          <a:extLst>
            <a:ext uri="{FF2B5EF4-FFF2-40B4-BE49-F238E27FC236}">
              <a16:creationId xmlns:a16="http://schemas.microsoft.com/office/drawing/2014/main" id="{06B5402F-E994-4E83-AFB1-1ECF7D06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6" name="Imagem 285" descr="http://sistemaswebhom.einstein.br/CME/Imagens/nada.gif">
          <a:extLst>
            <a:ext uri="{FF2B5EF4-FFF2-40B4-BE49-F238E27FC236}">
              <a16:creationId xmlns:a16="http://schemas.microsoft.com/office/drawing/2014/main" id="{87AB9B80-9CE8-4636-BE58-750092013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7" name="Imagem 286" descr="http://sistemaswebhom.einstein.br/CME/Imagens/nada.gif">
          <a:extLst>
            <a:ext uri="{FF2B5EF4-FFF2-40B4-BE49-F238E27FC236}">
              <a16:creationId xmlns:a16="http://schemas.microsoft.com/office/drawing/2014/main" id="{FCDA57BB-C24C-41EE-BFCA-8AAEFD5C6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8" name="Imagem 287" descr="http://sistemaswebhom.einstein.br/CME/Imagens/nada.gif">
          <a:extLst>
            <a:ext uri="{FF2B5EF4-FFF2-40B4-BE49-F238E27FC236}">
              <a16:creationId xmlns:a16="http://schemas.microsoft.com/office/drawing/2014/main" id="{19800139-7520-4D84-BBBA-7667880F9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89" name="Imagem 288" descr="http://sistemaswebhom.einstein.br/CME/Imagens/nada.gif">
          <a:extLst>
            <a:ext uri="{FF2B5EF4-FFF2-40B4-BE49-F238E27FC236}">
              <a16:creationId xmlns:a16="http://schemas.microsoft.com/office/drawing/2014/main" id="{EAFEBB85-6DF7-47B9-9ACB-8083FF8A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0" name="Imagem 289" descr="http://sistemaswebhom.einstein.br/CME/Imagens/nada.gif">
          <a:extLst>
            <a:ext uri="{FF2B5EF4-FFF2-40B4-BE49-F238E27FC236}">
              <a16:creationId xmlns:a16="http://schemas.microsoft.com/office/drawing/2014/main" id="{0D4AD4DD-72C0-42ED-BB53-BBE72BE37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1" name="Imagem 290" descr="http://sistemaswebhom.einstein.br/CME/Imagens/nada.gif">
          <a:extLst>
            <a:ext uri="{FF2B5EF4-FFF2-40B4-BE49-F238E27FC236}">
              <a16:creationId xmlns:a16="http://schemas.microsoft.com/office/drawing/2014/main" id="{BF7E63E5-FA79-4F80-9AB6-59F62DA36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2" name="Imagem 291" descr="http://sistemaswebhom.einstein.br/CME/Imagens/nada.gif">
          <a:extLst>
            <a:ext uri="{FF2B5EF4-FFF2-40B4-BE49-F238E27FC236}">
              <a16:creationId xmlns:a16="http://schemas.microsoft.com/office/drawing/2014/main" id="{284C6C18-91DD-43C4-A765-E09CD9A8D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3" name="Imagem 292" descr="http://sistemaswebhom.einstein.br/CME/Imagens/nada.gif">
          <a:extLst>
            <a:ext uri="{FF2B5EF4-FFF2-40B4-BE49-F238E27FC236}">
              <a16:creationId xmlns:a16="http://schemas.microsoft.com/office/drawing/2014/main" id="{4242A15A-0949-4668-AF12-68B847F79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4" name="Imagem 293" descr="http://sistemaswebhom.einstein.br/CME/Imagens/nada.gif">
          <a:extLst>
            <a:ext uri="{FF2B5EF4-FFF2-40B4-BE49-F238E27FC236}">
              <a16:creationId xmlns:a16="http://schemas.microsoft.com/office/drawing/2014/main" id="{2F69793D-1D13-4075-95DA-15B552408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5" name="Imagem 294" descr="http://sistemaswebhom.einstein.br/CME/Imagens/nada.gif">
          <a:extLst>
            <a:ext uri="{FF2B5EF4-FFF2-40B4-BE49-F238E27FC236}">
              <a16:creationId xmlns:a16="http://schemas.microsoft.com/office/drawing/2014/main" id="{BFEAC223-8A4D-4AE0-833D-35DB14DA2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6" name="Imagem 295" descr="http://sistemaswebhom.einstein.br/CME/Imagens/nada.gif">
          <a:extLst>
            <a:ext uri="{FF2B5EF4-FFF2-40B4-BE49-F238E27FC236}">
              <a16:creationId xmlns:a16="http://schemas.microsoft.com/office/drawing/2014/main" id="{C4829823-FD48-4B95-8689-21E863B405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7" name="Imagem 296" descr="http://sistemaswebhom.einstein.br/CME/Imagens/nada.gif">
          <a:extLst>
            <a:ext uri="{FF2B5EF4-FFF2-40B4-BE49-F238E27FC236}">
              <a16:creationId xmlns:a16="http://schemas.microsoft.com/office/drawing/2014/main" id="{CC5FF686-912F-4347-821E-61FBA2B7F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8" name="Imagem 297" descr="http://sistemaswebhom.einstein.br/CME/Imagens/nada.gif">
          <a:extLst>
            <a:ext uri="{FF2B5EF4-FFF2-40B4-BE49-F238E27FC236}">
              <a16:creationId xmlns:a16="http://schemas.microsoft.com/office/drawing/2014/main" id="{CBDE1B08-F9CC-4EFF-B373-4E1D59C8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299" name="Imagem 298" descr="http://sistemaswebhom.einstein.br/CME/Imagens/nada.gif">
          <a:extLst>
            <a:ext uri="{FF2B5EF4-FFF2-40B4-BE49-F238E27FC236}">
              <a16:creationId xmlns:a16="http://schemas.microsoft.com/office/drawing/2014/main" id="{FD757BC8-E988-44E2-A318-BEAAC950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0" name="Imagem 299" descr="http://sistemaswebhom.einstein.br/CME/Imagens/nada.gif">
          <a:extLst>
            <a:ext uri="{FF2B5EF4-FFF2-40B4-BE49-F238E27FC236}">
              <a16:creationId xmlns:a16="http://schemas.microsoft.com/office/drawing/2014/main" id="{03E1C425-AD3D-493A-A1A9-7734A8147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1" name="Imagem 300" descr="http://sistemaswebhom.einstein.br/CME/Imagens/nada.gif">
          <a:extLst>
            <a:ext uri="{FF2B5EF4-FFF2-40B4-BE49-F238E27FC236}">
              <a16:creationId xmlns:a16="http://schemas.microsoft.com/office/drawing/2014/main" id="{614BB524-2196-455F-B00C-CFF66BF05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2" name="Imagem 301" descr="http://sistemaswebhom.einstein.br/CME/Imagens/nada.gif">
          <a:extLst>
            <a:ext uri="{FF2B5EF4-FFF2-40B4-BE49-F238E27FC236}">
              <a16:creationId xmlns:a16="http://schemas.microsoft.com/office/drawing/2014/main" id="{11B285C8-2D05-44A1-B311-D581BE6ED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3" name="Imagem 302" descr="http://sistemaswebhom.einstein.br/CME/Imagens/nada.gif">
          <a:extLst>
            <a:ext uri="{FF2B5EF4-FFF2-40B4-BE49-F238E27FC236}">
              <a16:creationId xmlns:a16="http://schemas.microsoft.com/office/drawing/2014/main" id="{AF6ED6C3-7291-4DFE-A350-53364AE97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4" name="Imagem 303" descr="http://sistemaswebhom.einstein.br/CME/Imagens/nada.gif">
          <a:extLst>
            <a:ext uri="{FF2B5EF4-FFF2-40B4-BE49-F238E27FC236}">
              <a16:creationId xmlns:a16="http://schemas.microsoft.com/office/drawing/2014/main" id="{D8A7ED70-2B8E-41EE-83CC-A0D9AF9D7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5" name="Imagem 304" descr="http://sistemaswebhom.einstein.br/CME/Imagens/nada.gif">
          <a:extLst>
            <a:ext uri="{FF2B5EF4-FFF2-40B4-BE49-F238E27FC236}">
              <a16:creationId xmlns:a16="http://schemas.microsoft.com/office/drawing/2014/main" id="{ADD8FCC9-3B6A-44F0-A09A-CF001F958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6" name="Imagem 305" descr="http://sistemaswebhom.einstein.br/CME/Imagens/nada.gif">
          <a:extLst>
            <a:ext uri="{FF2B5EF4-FFF2-40B4-BE49-F238E27FC236}">
              <a16:creationId xmlns:a16="http://schemas.microsoft.com/office/drawing/2014/main" id="{0A42DC70-2760-4231-BC9E-F23E2DD4E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7" name="Imagem 306" descr="http://sistemaswebhom.einstein.br/CME/Imagens/nada.gif">
          <a:extLst>
            <a:ext uri="{FF2B5EF4-FFF2-40B4-BE49-F238E27FC236}">
              <a16:creationId xmlns:a16="http://schemas.microsoft.com/office/drawing/2014/main" id="{9EAA2C74-A442-489B-BD10-753BD0357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8" name="Imagem 307" descr="http://sistemaswebhom.einstein.br/CME/Imagens/nada.gif">
          <a:extLst>
            <a:ext uri="{FF2B5EF4-FFF2-40B4-BE49-F238E27FC236}">
              <a16:creationId xmlns:a16="http://schemas.microsoft.com/office/drawing/2014/main" id="{ABEF7D0A-0556-4A05-973E-C739D578B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09" name="Imagem 308" descr="http://sistemaswebhom.einstein.br/CME/Imagens/nada.gif">
          <a:extLst>
            <a:ext uri="{FF2B5EF4-FFF2-40B4-BE49-F238E27FC236}">
              <a16:creationId xmlns:a16="http://schemas.microsoft.com/office/drawing/2014/main" id="{2FF2FF9D-9A5E-483A-BC81-3A6913C68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0" name="Imagem 309" descr="http://sistemaswebhom.einstein.br/CME/Imagens/nada.gif">
          <a:extLst>
            <a:ext uri="{FF2B5EF4-FFF2-40B4-BE49-F238E27FC236}">
              <a16:creationId xmlns:a16="http://schemas.microsoft.com/office/drawing/2014/main" id="{3BA0B182-5D8A-49FD-A490-5B6F3AC516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1" name="Imagem 310" descr="http://sistemaswebhom.einstein.br/CME/Imagens/nada.gif">
          <a:extLst>
            <a:ext uri="{FF2B5EF4-FFF2-40B4-BE49-F238E27FC236}">
              <a16:creationId xmlns:a16="http://schemas.microsoft.com/office/drawing/2014/main" id="{2C47FDDA-FE25-4C8E-A5FE-453F06E77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2" name="Imagem 311" descr="http://sistemaswebhom.einstein.br/CME/Imagens/nada.gif">
          <a:extLst>
            <a:ext uri="{FF2B5EF4-FFF2-40B4-BE49-F238E27FC236}">
              <a16:creationId xmlns:a16="http://schemas.microsoft.com/office/drawing/2014/main" id="{8F79E0DF-D7EE-4FBB-BA8B-91A664F09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3" name="Imagem 312" descr="http://sistemaswebhom.einstein.br/CME/Imagens/nada.gif">
          <a:extLst>
            <a:ext uri="{FF2B5EF4-FFF2-40B4-BE49-F238E27FC236}">
              <a16:creationId xmlns:a16="http://schemas.microsoft.com/office/drawing/2014/main" id="{60E055D5-EE5C-4271-93C2-8F6138E41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4" name="Imagem 313" descr="http://sistemaswebhom.einstein.br/CME/Imagens/nada.gif">
          <a:extLst>
            <a:ext uri="{FF2B5EF4-FFF2-40B4-BE49-F238E27FC236}">
              <a16:creationId xmlns:a16="http://schemas.microsoft.com/office/drawing/2014/main" id="{45B6A0A6-9EEC-4144-809E-78C817345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5" name="Imagem 314" descr="http://sistemaswebhom.einstein.br/CME/Imagens/nada.gif">
          <a:extLst>
            <a:ext uri="{FF2B5EF4-FFF2-40B4-BE49-F238E27FC236}">
              <a16:creationId xmlns:a16="http://schemas.microsoft.com/office/drawing/2014/main" id="{A8D55C31-C6D2-4A6D-956E-E8BFA03BB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6" name="Imagem 315" descr="http://sistemaswebhom.einstein.br/CME/Imagens/nada.gif">
          <a:extLst>
            <a:ext uri="{FF2B5EF4-FFF2-40B4-BE49-F238E27FC236}">
              <a16:creationId xmlns:a16="http://schemas.microsoft.com/office/drawing/2014/main" id="{4B33BA1C-E1C1-4447-9563-7A8435AF7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7" name="Imagem 316" descr="http://sistemaswebhom.einstein.br/CME/Imagens/nada.gif">
          <a:extLst>
            <a:ext uri="{FF2B5EF4-FFF2-40B4-BE49-F238E27FC236}">
              <a16:creationId xmlns:a16="http://schemas.microsoft.com/office/drawing/2014/main" id="{AACF71E9-9A52-4273-893A-84ABB5DC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8" name="Imagem 317" descr="http://sistemaswebhom.einstein.br/CME/Imagens/nada.gif">
          <a:extLst>
            <a:ext uri="{FF2B5EF4-FFF2-40B4-BE49-F238E27FC236}">
              <a16:creationId xmlns:a16="http://schemas.microsoft.com/office/drawing/2014/main" id="{77DC2AF0-3B9E-413E-894A-041CF37D4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19" name="Imagem 318" descr="http://sistemaswebhom.einstein.br/CME/Imagens/nada.gif">
          <a:extLst>
            <a:ext uri="{FF2B5EF4-FFF2-40B4-BE49-F238E27FC236}">
              <a16:creationId xmlns:a16="http://schemas.microsoft.com/office/drawing/2014/main" id="{87A55750-4BF0-4596-BF4C-7E79DF032C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0" name="Imagem 319" descr="http://sistemaswebhom.einstein.br/CME/Imagens/nada.gif">
          <a:extLst>
            <a:ext uri="{FF2B5EF4-FFF2-40B4-BE49-F238E27FC236}">
              <a16:creationId xmlns:a16="http://schemas.microsoft.com/office/drawing/2014/main" id="{F85C7E10-EB60-4011-AB6D-AD013AAE8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1" name="Imagem 320" descr="http://sistemaswebhom.einstein.br/CME/Imagens/nada.gif">
          <a:extLst>
            <a:ext uri="{FF2B5EF4-FFF2-40B4-BE49-F238E27FC236}">
              <a16:creationId xmlns:a16="http://schemas.microsoft.com/office/drawing/2014/main" id="{CC462BC7-8B84-477C-8EC0-3BDE2795C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2" name="Imagem 321" descr="http://sistemaswebhom.einstein.br/CME/Imagens/nada.gif">
          <a:extLst>
            <a:ext uri="{FF2B5EF4-FFF2-40B4-BE49-F238E27FC236}">
              <a16:creationId xmlns:a16="http://schemas.microsoft.com/office/drawing/2014/main" id="{D40546D8-E841-42EC-AF64-BC51E6CB2C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3" name="Imagem 322" descr="http://sistemaswebhom.einstein.br/CME/Imagens/nada.gif">
          <a:extLst>
            <a:ext uri="{FF2B5EF4-FFF2-40B4-BE49-F238E27FC236}">
              <a16:creationId xmlns:a16="http://schemas.microsoft.com/office/drawing/2014/main" id="{55F373A2-D704-4095-B99D-B236F5E50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4" name="Imagem 323" descr="http://sistemaswebhom.einstein.br/CME/Imagens/nada.gif">
          <a:extLst>
            <a:ext uri="{FF2B5EF4-FFF2-40B4-BE49-F238E27FC236}">
              <a16:creationId xmlns:a16="http://schemas.microsoft.com/office/drawing/2014/main" id="{29495F62-03AC-43CB-A6E4-40D2B5ED3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5" name="Imagem 324" descr="http://sistemaswebhom.einstein.br/CME/Imagens/nada.gif">
          <a:extLst>
            <a:ext uri="{FF2B5EF4-FFF2-40B4-BE49-F238E27FC236}">
              <a16:creationId xmlns:a16="http://schemas.microsoft.com/office/drawing/2014/main" id="{EA0170FD-72D8-4C7F-976F-9F32AD145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6" name="Imagem 325" descr="http://sistemaswebhom.einstein.br/CME/Imagens/nada.gif">
          <a:extLst>
            <a:ext uri="{FF2B5EF4-FFF2-40B4-BE49-F238E27FC236}">
              <a16:creationId xmlns:a16="http://schemas.microsoft.com/office/drawing/2014/main" id="{110C5A21-8A4B-4ABB-8B18-FB5375C6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7" name="Imagem 326" descr="http://sistemaswebhom.einstein.br/CME/Imagens/nada.gif">
          <a:extLst>
            <a:ext uri="{FF2B5EF4-FFF2-40B4-BE49-F238E27FC236}">
              <a16:creationId xmlns:a16="http://schemas.microsoft.com/office/drawing/2014/main" id="{0FE55C62-A61D-44B3-B478-E3F4DF4C1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8" name="Imagem 327" descr="http://sistemaswebhom.einstein.br/CME/Imagens/nada.gif">
          <a:extLst>
            <a:ext uri="{FF2B5EF4-FFF2-40B4-BE49-F238E27FC236}">
              <a16:creationId xmlns:a16="http://schemas.microsoft.com/office/drawing/2014/main" id="{7E3BD94F-CCB4-4F3E-A04A-F1B48FBFF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29" name="Imagem 328" descr="http://sistemaswebhom.einstein.br/CME/Imagens/nada.gif">
          <a:extLst>
            <a:ext uri="{FF2B5EF4-FFF2-40B4-BE49-F238E27FC236}">
              <a16:creationId xmlns:a16="http://schemas.microsoft.com/office/drawing/2014/main" id="{B2E4A5DA-CCD0-47B4-97F0-79D924220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0" name="Imagem 329" descr="http://sistemaswebhom.einstein.br/CME/Imagens/nada.gif">
          <a:extLst>
            <a:ext uri="{FF2B5EF4-FFF2-40B4-BE49-F238E27FC236}">
              <a16:creationId xmlns:a16="http://schemas.microsoft.com/office/drawing/2014/main" id="{FE1EFF72-6637-4D10-B189-895F2B31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1" name="Imagem 330" descr="http://sistemaswebhom.einstein.br/CME/Imagens/nada.gif">
          <a:extLst>
            <a:ext uri="{FF2B5EF4-FFF2-40B4-BE49-F238E27FC236}">
              <a16:creationId xmlns:a16="http://schemas.microsoft.com/office/drawing/2014/main" id="{E6573126-603A-4A19-85A2-3D5F193F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2" name="Imagem 331" descr="http://sistemaswebhom.einstein.br/CME/Imagens/nada.gif">
          <a:extLst>
            <a:ext uri="{FF2B5EF4-FFF2-40B4-BE49-F238E27FC236}">
              <a16:creationId xmlns:a16="http://schemas.microsoft.com/office/drawing/2014/main" id="{0C7F2507-44F0-4981-921E-F637CAB86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3" name="Imagem 332" descr="http://sistemaswebhom.einstein.br/CME/Imagens/nada.gif">
          <a:extLst>
            <a:ext uri="{FF2B5EF4-FFF2-40B4-BE49-F238E27FC236}">
              <a16:creationId xmlns:a16="http://schemas.microsoft.com/office/drawing/2014/main" id="{2D0CFC96-C7BD-45D4-99DA-0A2A28BE7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4" name="Imagem 333" descr="http://sistemaswebhom.einstein.br/CME/Imagens/nada.gif">
          <a:extLst>
            <a:ext uri="{FF2B5EF4-FFF2-40B4-BE49-F238E27FC236}">
              <a16:creationId xmlns:a16="http://schemas.microsoft.com/office/drawing/2014/main" id="{AC1EA83A-6E43-4404-97BB-DB3113303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5" name="Imagem 334" descr="http://sistemaswebhom.einstein.br/CME/Imagens/nada.gif">
          <a:extLst>
            <a:ext uri="{FF2B5EF4-FFF2-40B4-BE49-F238E27FC236}">
              <a16:creationId xmlns:a16="http://schemas.microsoft.com/office/drawing/2014/main" id="{61DA9ADA-01F1-4D03-B9F5-93EB95AB8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6" name="Imagem 335" descr="http://sistemaswebhom.einstein.br/CME/Imagens/nada.gif">
          <a:extLst>
            <a:ext uri="{FF2B5EF4-FFF2-40B4-BE49-F238E27FC236}">
              <a16:creationId xmlns:a16="http://schemas.microsoft.com/office/drawing/2014/main" id="{FE4F460B-9343-4419-B921-C4F3C9FC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7" name="Imagem 336" descr="http://sistemaswebhom.einstein.br/CME/Imagens/nada.gif">
          <a:extLst>
            <a:ext uri="{FF2B5EF4-FFF2-40B4-BE49-F238E27FC236}">
              <a16:creationId xmlns:a16="http://schemas.microsoft.com/office/drawing/2014/main" id="{D717F300-2583-407E-BC05-5B820154A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8" name="Imagem 337" descr="http://sistemaswebhom.einstein.br/CME/Imagens/nada.gif">
          <a:extLst>
            <a:ext uri="{FF2B5EF4-FFF2-40B4-BE49-F238E27FC236}">
              <a16:creationId xmlns:a16="http://schemas.microsoft.com/office/drawing/2014/main" id="{11906545-A13A-4FD9-91EF-21D6176E7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39" name="Imagem 338" descr="http://sistemaswebhom.einstein.br/CME/Imagens/nada.gif">
          <a:extLst>
            <a:ext uri="{FF2B5EF4-FFF2-40B4-BE49-F238E27FC236}">
              <a16:creationId xmlns:a16="http://schemas.microsoft.com/office/drawing/2014/main" id="{7BD840D1-F9A5-45E8-A055-5E85A16AC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0" name="Imagem 339" descr="http://sistemaswebhom.einstein.br/CME/Imagens/nada.gif">
          <a:extLst>
            <a:ext uri="{FF2B5EF4-FFF2-40B4-BE49-F238E27FC236}">
              <a16:creationId xmlns:a16="http://schemas.microsoft.com/office/drawing/2014/main" id="{C3FDBC29-D3C2-4951-AE82-CF6D9CF153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1" name="Imagem 340" descr="http://sistemaswebhom.einstein.br/CME/Imagens/nada.gif">
          <a:extLst>
            <a:ext uri="{FF2B5EF4-FFF2-40B4-BE49-F238E27FC236}">
              <a16:creationId xmlns:a16="http://schemas.microsoft.com/office/drawing/2014/main" id="{5B4763D2-719C-469A-8ECB-5A6A07153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2" name="Imagem 341" descr="http://sistemaswebhom.einstein.br/CME/Imagens/nada.gif">
          <a:extLst>
            <a:ext uri="{FF2B5EF4-FFF2-40B4-BE49-F238E27FC236}">
              <a16:creationId xmlns:a16="http://schemas.microsoft.com/office/drawing/2014/main" id="{F5665BE8-C1C2-434F-9C8C-02F51CD31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3" name="Imagem 342" descr="http://sistemaswebhom.einstein.br/CME/Imagens/nada.gif">
          <a:extLst>
            <a:ext uri="{FF2B5EF4-FFF2-40B4-BE49-F238E27FC236}">
              <a16:creationId xmlns:a16="http://schemas.microsoft.com/office/drawing/2014/main" id="{B93ACBC0-2C10-49D3-A502-9CB3F252F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4" name="Imagem 343" descr="http://sistemaswebhom.einstein.br/CME/Imagens/nada.gif">
          <a:extLst>
            <a:ext uri="{FF2B5EF4-FFF2-40B4-BE49-F238E27FC236}">
              <a16:creationId xmlns:a16="http://schemas.microsoft.com/office/drawing/2014/main" id="{44A80034-CA90-4024-A6A0-935856F10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5" name="Imagem 344" descr="http://sistemaswebhom.einstein.br/CME/Imagens/nada.gif">
          <a:extLst>
            <a:ext uri="{FF2B5EF4-FFF2-40B4-BE49-F238E27FC236}">
              <a16:creationId xmlns:a16="http://schemas.microsoft.com/office/drawing/2014/main" id="{4FDD462F-6A00-45E7-87CB-699B65C0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6" name="Imagem 345" descr="http://sistemaswebhom.einstein.br/CME/Imagens/nada.gif">
          <a:extLst>
            <a:ext uri="{FF2B5EF4-FFF2-40B4-BE49-F238E27FC236}">
              <a16:creationId xmlns:a16="http://schemas.microsoft.com/office/drawing/2014/main" id="{A17A2D40-A0D7-443B-9EFE-E994FAE2F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7" name="Imagem 346" descr="http://sistemaswebhom.einstein.br/CME/Imagens/nada.gif">
          <a:extLst>
            <a:ext uri="{FF2B5EF4-FFF2-40B4-BE49-F238E27FC236}">
              <a16:creationId xmlns:a16="http://schemas.microsoft.com/office/drawing/2014/main" id="{94E6B87E-F7C0-4D45-8AD1-FEEDC18A8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8" name="Imagem 347" descr="http://sistemaswebhom.einstein.br/CME/Imagens/nada.gif">
          <a:extLst>
            <a:ext uri="{FF2B5EF4-FFF2-40B4-BE49-F238E27FC236}">
              <a16:creationId xmlns:a16="http://schemas.microsoft.com/office/drawing/2014/main" id="{508047A9-2353-45BC-A966-EA42BD8AC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49" name="Imagem 348" descr="http://sistemaswebhom.einstein.br/CME/Imagens/nada.gif">
          <a:extLst>
            <a:ext uri="{FF2B5EF4-FFF2-40B4-BE49-F238E27FC236}">
              <a16:creationId xmlns:a16="http://schemas.microsoft.com/office/drawing/2014/main" id="{3861719D-0646-4F9F-82F3-52FD7720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0" name="Imagem 349" descr="http://sistemaswebhom.einstein.br/CME/Imagens/nada.gif">
          <a:extLst>
            <a:ext uri="{FF2B5EF4-FFF2-40B4-BE49-F238E27FC236}">
              <a16:creationId xmlns:a16="http://schemas.microsoft.com/office/drawing/2014/main" id="{D9C79A37-B2E1-485E-87C4-D6421B19A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1" name="Imagem 350" descr="http://sistemaswebhom.einstein.br/CME/Imagens/nada.gif">
          <a:extLst>
            <a:ext uri="{FF2B5EF4-FFF2-40B4-BE49-F238E27FC236}">
              <a16:creationId xmlns:a16="http://schemas.microsoft.com/office/drawing/2014/main" id="{06CE2B07-4DC9-4EB2-BE47-AF42582B6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2" name="Imagem 351" descr="http://sistemaswebhom.einstein.br/CME/Imagens/nada.gif">
          <a:extLst>
            <a:ext uri="{FF2B5EF4-FFF2-40B4-BE49-F238E27FC236}">
              <a16:creationId xmlns:a16="http://schemas.microsoft.com/office/drawing/2014/main" id="{6FA02C9D-8FD9-41D2-A597-F3D826D1C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3" name="Imagem 352" descr="http://sistemaswebhom.einstein.br/CME/Imagens/nada.gif">
          <a:extLst>
            <a:ext uri="{FF2B5EF4-FFF2-40B4-BE49-F238E27FC236}">
              <a16:creationId xmlns:a16="http://schemas.microsoft.com/office/drawing/2014/main" id="{3FC63C37-DCAB-481A-99D2-DCD7E1D1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4" name="Imagem 353" descr="http://sistemaswebhom.einstein.br/CME/Imagens/nada.gif">
          <a:extLst>
            <a:ext uri="{FF2B5EF4-FFF2-40B4-BE49-F238E27FC236}">
              <a16:creationId xmlns:a16="http://schemas.microsoft.com/office/drawing/2014/main" id="{463C7B0B-1FF5-48DC-B27B-81F9A9BAD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5" name="Imagem 354" descr="http://sistemaswebhom.einstein.br/CME/Imagens/nada.gif">
          <a:extLst>
            <a:ext uri="{FF2B5EF4-FFF2-40B4-BE49-F238E27FC236}">
              <a16:creationId xmlns:a16="http://schemas.microsoft.com/office/drawing/2014/main" id="{E946A414-CEB0-49CA-A113-FA00EBC5A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6" name="Imagem 355" descr="http://sistemaswebhom.einstein.br/CME/Imagens/nada.gif">
          <a:extLst>
            <a:ext uri="{FF2B5EF4-FFF2-40B4-BE49-F238E27FC236}">
              <a16:creationId xmlns:a16="http://schemas.microsoft.com/office/drawing/2014/main" id="{9719D13F-0319-4997-9181-39C3A37D0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7" name="Imagem 356" descr="http://sistemaswebhom.einstein.br/CME/Imagens/nada.gif">
          <a:extLst>
            <a:ext uri="{FF2B5EF4-FFF2-40B4-BE49-F238E27FC236}">
              <a16:creationId xmlns:a16="http://schemas.microsoft.com/office/drawing/2014/main" id="{F9E816BA-EC52-437E-BCDD-DD23AACC8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8" name="Imagem 357" descr="http://sistemaswebhom.einstein.br/CME/Imagens/nada.gif">
          <a:extLst>
            <a:ext uri="{FF2B5EF4-FFF2-40B4-BE49-F238E27FC236}">
              <a16:creationId xmlns:a16="http://schemas.microsoft.com/office/drawing/2014/main" id="{FA345D5A-9842-467D-BCF6-94EC158DE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59" name="Imagem 358" descr="http://sistemaswebhom.einstein.br/CME/Imagens/nada.gif">
          <a:extLst>
            <a:ext uri="{FF2B5EF4-FFF2-40B4-BE49-F238E27FC236}">
              <a16:creationId xmlns:a16="http://schemas.microsoft.com/office/drawing/2014/main" id="{2669C12B-AAC2-4902-A867-B35B098F3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0" name="Imagem 359" descr="http://sistemaswebhom.einstein.br/CME/Imagens/nada.gif">
          <a:extLst>
            <a:ext uri="{FF2B5EF4-FFF2-40B4-BE49-F238E27FC236}">
              <a16:creationId xmlns:a16="http://schemas.microsoft.com/office/drawing/2014/main" id="{B9C73EB8-AF6E-42BC-B6D7-5132D73AA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1" name="Imagem 360" descr="http://sistemaswebhom.einstein.br/CME/Imagens/nada.gif">
          <a:extLst>
            <a:ext uri="{FF2B5EF4-FFF2-40B4-BE49-F238E27FC236}">
              <a16:creationId xmlns:a16="http://schemas.microsoft.com/office/drawing/2014/main" id="{0645513F-0D4E-43B4-A4A7-C5AD04B72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2" name="Imagem 361" descr="http://sistemaswebhom.einstein.br/CME/Imagens/nada.gif">
          <a:extLst>
            <a:ext uri="{FF2B5EF4-FFF2-40B4-BE49-F238E27FC236}">
              <a16:creationId xmlns:a16="http://schemas.microsoft.com/office/drawing/2014/main" id="{71A88159-6D40-4C09-A289-EDEAA78B6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3" name="Imagem 362" descr="http://sistemaswebhom.einstein.br/CME/Imagens/nada.gif">
          <a:extLst>
            <a:ext uri="{FF2B5EF4-FFF2-40B4-BE49-F238E27FC236}">
              <a16:creationId xmlns:a16="http://schemas.microsoft.com/office/drawing/2014/main" id="{9831E719-9E0E-416B-9269-6F3A282B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4" name="Imagem 363" descr="http://sistemaswebhom.einstein.br/CME/Imagens/nada.gif">
          <a:extLst>
            <a:ext uri="{FF2B5EF4-FFF2-40B4-BE49-F238E27FC236}">
              <a16:creationId xmlns:a16="http://schemas.microsoft.com/office/drawing/2014/main" id="{36FC2013-C597-45B0-8B25-F5FB8AD88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5" name="Imagem 364" descr="http://sistemaswebhom.einstein.br/CME/Imagens/nada.gif">
          <a:extLst>
            <a:ext uri="{FF2B5EF4-FFF2-40B4-BE49-F238E27FC236}">
              <a16:creationId xmlns:a16="http://schemas.microsoft.com/office/drawing/2014/main" id="{952EACBB-9DF6-4015-8C51-89EE4E77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6" name="Imagem 365" descr="http://sistemaswebhom.einstein.br/CME/Imagens/nada.gif">
          <a:extLst>
            <a:ext uri="{FF2B5EF4-FFF2-40B4-BE49-F238E27FC236}">
              <a16:creationId xmlns:a16="http://schemas.microsoft.com/office/drawing/2014/main" id="{17BA5719-D39E-40C7-A7B7-A9868C997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7" name="Imagem 366" descr="http://sistemaswebhom.einstein.br/CME/Imagens/nada.gif">
          <a:extLst>
            <a:ext uri="{FF2B5EF4-FFF2-40B4-BE49-F238E27FC236}">
              <a16:creationId xmlns:a16="http://schemas.microsoft.com/office/drawing/2014/main" id="{2ED324C2-2AB3-4681-9573-295C6045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8" name="Imagem 367" descr="http://sistemaswebhom.einstein.br/CME/Imagens/nada.gif">
          <a:extLst>
            <a:ext uri="{FF2B5EF4-FFF2-40B4-BE49-F238E27FC236}">
              <a16:creationId xmlns:a16="http://schemas.microsoft.com/office/drawing/2014/main" id="{7EFB8E45-5C11-409E-AC44-EBA6608BF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69" name="Imagem 368" descr="http://sistemaswebhom.einstein.br/CME/Imagens/nada.gif">
          <a:extLst>
            <a:ext uri="{FF2B5EF4-FFF2-40B4-BE49-F238E27FC236}">
              <a16:creationId xmlns:a16="http://schemas.microsoft.com/office/drawing/2014/main" id="{D111BCB0-371F-4E6C-9B4C-B6F1F382B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0" name="Imagem 369" descr="http://sistemaswebhom.einstein.br/CME/Imagens/nada.gif">
          <a:extLst>
            <a:ext uri="{FF2B5EF4-FFF2-40B4-BE49-F238E27FC236}">
              <a16:creationId xmlns:a16="http://schemas.microsoft.com/office/drawing/2014/main" id="{26FE26FE-9BC0-4493-8797-0ECA0E68E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1" name="Imagem 370" descr="http://sistemaswebhom.einstein.br/CME/Imagens/nada.gif">
          <a:extLst>
            <a:ext uri="{FF2B5EF4-FFF2-40B4-BE49-F238E27FC236}">
              <a16:creationId xmlns:a16="http://schemas.microsoft.com/office/drawing/2014/main" id="{592162D9-20ED-45D9-8EB8-7D0103DA5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2" name="Imagem 371" descr="http://sistemaswebhom.einstein.br/CME/Imagens/nada.gif">
          <a:extLst>
            <a:ext uri="{FF2B5EF4-FFF2-40B4-BE49-F238E27FC236}">
              <a16:creationId xmlns:a16="http://schemas.microsoft.com/office/drawing/2014/main" id="{BCBAAF0B-72B2-4934-A0BC-063F30D15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3" name="Imagem 372" descr="http://sistemaswebhom.einstein.br/CME/Imagens/nada.gif">
          <a:extLst>
            <a:ext uri="{FF2B5EF4-FFF2-40B4-BE49-F238E27FC236}">
              <a16:creationId xmlns:a16="http://schemas.microsoft.com/office/drawing/2014/main" id="{AF59A98D-0005-4257-8A86-532AE5FB3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4" name="Imagem 373" descr="http://sistemaswebhom.einstein.br/CME/Imagens/nada.gif">
          <a:extLst>
            <a:ext uri="{FF2B5EF4-FFF2-40B4-BE49-F238E27FC236}">
              <a16:creationId xmlns:a16="http://schemas.microsoft.com/office/drawing/2014/main" id="{5D592F23-93E8-4BF6-A8FE-EE6E4F3D3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5" name="Imagem 374" descr="http://sistemaswebhom.einstein.br/CME/Imagens/nada.gif">
          <a:extLst>
            <a:ext uri="{FF2B5EF4-FFF2-40B4-BE49-F238E27FC236}">
              <a16:creationId xmlns:a16="http://schemas.microsoft.com/office/drawing/2014/main" id="{5B4D3FEC-3BFD-479E-AAA6-C368A732F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6" name="Imagem 375" descr="http://sistemaswebhom.einstein.br/CME/Imagens/nada.gif">
          <a:extLst>
            <a:ext uri="{FF2B5EF4-FFF2-40B4-BE49-F238E27FC236}">
              <a16:creationId xmlns:a16="http://schemas.microsoft.com/office/drawing/2014/main" id="{8DB0E694-0BC0-41B7-9C6D-AC0B77D98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7" name="Imagem 376" descr="http://sistemaswebhom.einstein.br/CME/Imagens/nada.gif">
          <a:extLst>
            <a:ext uri="{FF2B5EF4-FFF2-40B4-BE49-F238E27FC236}">
              <a16:creationId xmlns:a16="http://schemas.microsoft.com/office/drawing/2014/main" id="{A85D2677-79C5-49FD-9E28-9D821A752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8" name="Imagem 377" descr="http://sistemaswebhom.einstein.br/CME/Imagens/nada.gif">
          <a:extLst>
            <a:ext uri="{FF2B5EF4-FFF2-40B4-BE49-F238E27FC236}">
              <a16:creationId xmlns:a16="http://schemas.microsoft.com/office/drawing/2014/main" id="{D15634E9-0E9F-435D-89D3-AD7FFD6E5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79" name="Imagem 378" descr="http://sistemaswebhom.einstein.br/CME/Imagens/nada.gif">
          <a:extLst>
            <a:ext uri="{FF2B5EF4-FFF2-40B4-BE49-F238E27FC236}">
              <a16:creationId xmlns:a16="http://schemas.microsoft.com/office/drawing/2014/main" id="{F71EB3C8-52B0-4D78-A9E7-4508C8500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0" name="Imagem 379" descr="http://sistemaswebhom.einstein.br/CME/Imagens/nada.gif">
          <a:extLst>
            <a:ext uri="{FF2B5EF4-FFF2-40B4-BE49-F238E27FC236}">
              <a16:creationId xmlns:a16="http://schemas.microsoft.com/office/drawing/2014/main" id="{CF970554-6FF7-4B9D-BE49-0525BA153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1" name="Imagem 380" descr="http://sistemaswebhom.einstein.br/CME/Imagens/nada.gif">
          <a:extLst>
            <a:ext uri="{FF2B5EF4-FFF2-40B4-BE49-F238E27FC236}">
              <a16:creationId xmlns:a16="http://schemas.microsoft.com/office/drawing/2014/main" id="{89BAD385-EC6C-48DD-A941-588F4ACB7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2" name="Imagem 381" descr="http://sistemaswebhom.einstein.br/CME/Imagens/nada.gif">
          <a:extLst>
            <a:ext uri="{FF2B5EF4-FFF2-40B4-BE49-F238E27FC236}">
              <a16:creationId xmlns:a16="http://schemas.microsoft.com/office/drawing/2014/main" id="{D79C7C4C-5704-4CC0-B0FE-A7612D5A3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3" name="Imagem 382" descr="http://sistemaswebhom.einstein.br/CME/Imagens/nada.gif">
          <a:extLst>
            <a:ext uri="{FF2B5EF4-FFF2-40B4-BE49-F238E27FC236}">
              <a16:creationId xmlns:a16="http://schemas.microsoft.com/office/drawing/2014/main" id="{C6783524-3110-4749-84CE-D52843419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4" name="Imagem 383" descr="http://sistemaswebhom.einstein.br/CME/Imagens/nada.gif">
          <a:extLst>
            <a:ext uri="{FF2B5EF4-FFF2-40B4-BE49-F238E27FC236}">
              <a16:creationId xmlns:a16="http://schemas.microsoft.com/office/drawing/2014/main" id="{1D1F9555-6D6C-406B-A888-55B201320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5" name="Imagem 384" descr="http://sistemaswebhom.einstein.br/CME/Imagens/nada.gif">
          <a:extLst>
            <a:ext uri="{FF2B5EF4-FFF2-40B4-BE49-F238E27FC236}">
              <a16:creationId xmlns:a16="http://schemas.microsoft.com/office/drawing/2014/main" id="{D0BF2937-F94D-4757-B2BD-6838B18A56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6" name="Imagem 385" descr="http://sistemaswebhom.einstein.br/CME/Imagens/nada.gif">
          <a:extLst>
            <a:ext uri="{FF2B5EF4-FFF2-40B4-BE49-F238E27FC236}">
              <a16:creationId xmlns:a16="http://schemas.microsoft.com/office/drawing/2014/main" id="{7CC2AAE1-7F56-4EC0-83AB-D8644747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7" name="Imagem 386" descr="http://sistemaswebhom.einstein.br/CME/Imagens/nada.gif">
          <a:extLst>
            <a:ext uri="{FF2B5EF4-FFF2-40B4-BE49-F238E27FC236}">
              <a16:creationId xmlns:a16="http://schemas.microsoft.com/office/drawing/2014/main" id="{9D5499AB-0CCC-4E0B-BD45-875BD5371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8" name="Imagem 387" descr="http://sistemaswebhom.einstein.br/CME/Imagens/nada.gif">
          <a:extLst>
            <a:ext uri="{FF2B5EF4-FFF2-40B4-BE49-F238E27FC236}">
              <a16:creationId xmlns:a16="http://schemas.microsoft.com/office/drawing/2014/main" id="{026DC647-EECD-4477-AA0A-57F6AE1262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89" name="Imagem 388" descr="http://sistemaswebhom.einstein.br/CME/Imagens/nada.gif">
          <a:extLst>
            <a:ext uri="{FF2B5EF4-FFF2-40B4-BE49-F238E27FC236}">
              <a16:creationId xmlns:a16="http://schemas.microsoft.com/office/drawing/2014/main" id="{A894CCAE-B51A-4FB2-9CF6-30116A7C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0" name="Imagem 389" descr="http://sistemaswebhom.einstein.br/CME/Imagens/nada.gif">
          <a:extLst>
            <a:ext uri="{FF2B5EF4-FFF2-40B4-BE49-F238E27FC236}">
              <a16:creationId xmlns:a16="http://schemas.microsoft.com/office/drawing/2014/main" id="{DD0EC1BB-255C-4859-AE44-80AB2EDF0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1" name="Imagem 390" descr="http://sistemaswebhom.einstein.br/CME/Imagens/nada.gif">
          <a:extLst>
            <a:ext uri="{FF2B5EF4-FFF2-40B4-BE49-F238E27FC236}">
              <a16:creationId xmlns:a16="http://schemas.microsoft.com/office/drawing/2014/main" id="{FA3342EA-1264-448F-87BD-3A9C24998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2" name="Imagem 391" descr="http://sistemaswebhom.einstein.br/CME/Imagens/nada.gif">
          <a:extLst>
            <a:ext uri="{FF2B5EF4-FFF2-40B4-BE49-F238E27FC236}">
              <a16:creationId xmlns:a16="http://schemas.microsoft.com/office/drawing/2014/main" id="{6E5B3795-983D-49F1-B0D4-E53C1C08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3" name="Imagem 392" descr="http://sistemaswebhom.einstein.br/CME/Imagens/nada.gif">
          <a:extLst>
            <a:ext uri="{FF2B5EF4-FFF2-40B4-BE49-F238E27FC236}">
              <a16:creationId xmlns:a16="http://schemas.microsoft.com/office/drawing/2014/main" id="{91385E8A-D1EC-4938-832C-D6BB517E5D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4" name="Imagem 393" descr="http://sistemaswebhom.einstein.br/CME/Imagens/nada.gif">
          <a:extLst>
            <a:ext uri="{FF2B5EF4-FFF2-40B4-BE49-F238E27FC236}">
              <a16:creationId xmlns:a16="http://schemas.microsoft.com/office/drawing/2014/main" id="{8C8240F1-DC48-4791-8195-FE17C58FB9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5" name="Imagem 394" descr="http://sistemaswebhom.einstein.br/CME/Imagens/nada.gif">
          <a:extLst>
            <a:ext uri="{FF2B5EF4-FFF2-40B4-BE49-F238E27FC236}">
              <a16:creationId xmlns:a16="http://schemas.microsoft.com/office/drawing/2014/main" id="{4C4E284B-BEFC-4866-BB65-8E6928119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6" name="Imagem 395" descr="http://sistemaswebhom.einstein.br/CME/Imagens/nada.gif">
          <a:extLst>
            <a:ext uri="{FF2B5EF4-FFF2-40B4-BE49-F238E27FC236}">
              <a16:creationId xmlns:a16="http://schemas.microsoft.com/office/drawing/2014/main" id="{723F5AFA-FB09-473A-84F9-27B487679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7" name="Imagem 396" descr="http://sistemaswebhom.einstein.br/CME/Imagens/nada.gif">
          <a:extLst>
            <a:ext uri="{FF2B5EF4-FFF2-40B4-BE49-F238E27FC236}">
              <a16:creationId xmlns:a16="http://schemas.microsoft.com/office/drawing/2014/main" id="{6EA5E1C8-E3C5-49AD-992C-9C1C54E06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8" name="Imagem 397" descr="http://sistemaswebhom.einstein.br/CME/Imagens/nada.gif">
          <a:extLst>
            <a:ext uri="{FF2B5EF4-FFF2-40B4-BE49-F238E27FC236}">
              <a16:creationId xmlns:a16="http://schemas.microsoft.com/office/drawing/2014/main" id="{D6CB0242-1A18-496F-BE94-665C026AE6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399" name="Imagem 398" descr="http://sistemaswebhom.einstein.br/CME/Imagens/nada.gif">
          <a:extLst>
            <a:ext uri="{FF2B5EF4-FFF2-40B4-BE49-F238E27FC236}">
              <a16:creationId xmlns:a16="http://schemas.microsoft.com/office/drawing/2014/main" id="{EABD1484-FB3A-4D40-BFD5-09A570C3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0" name="Imagem 399" descr="http://sistemaswebhom.einstein.br/CME/Imagens/nada.gif">
          <a:extLst>
            <a:ext uri="{FF2B5EF4-FFF2-40B4-BE49-F238E27FC236}">
              <a16:creationId xmlns:a16="http://schemas.microsoft.com/office/drawing/2014/main" id="{A06E28D1-96A2-40D5-BC0C-0494D3A50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1" name="Imagem 400" descr="http://sistemaswebhom.einstein.br/CME/Imagens/nada.gif">
          <a:extLst>
            <a:ext uri="{FF2B5EF4-FFF2-40B4-BE49-F238E27FC236}">
              <a16:creationId xmlns:a16="http://schemas.microsoft.com/office/drawing/2014/main" id="{9AB2D873-AEDB-438A-A8CF-E2801A175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2" name="Imagem 401" descr="http://sistemaswebhom.einstein.br/CME/Imagens/nada.gif">
          <a:extLst>
            <a:ext uri="{FF2B5EF4-FFF2-40B4-BE49-F238E27FC236}">
              <a16:creationId xmlns:a16="http://schemas.microsoft.com/office/drawing/2014/main" id="{3E6D2A93-3238-404F-A761-E5F36207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3" name="Imagem 402" descr="http://sistemaswebhom.einstein.br/CME/Imagens/nada.gif">
          <a:extLst>
            <a:ext uri="{FF2B5EF4-FFF2-40B4-BE49-F238E27FC236}">
              <a16:creationId xmlns:a16="http://schemas.microsoft.com/office/drawing/2014/main" id="{A224B50D-755D-4217-A6ED-69995550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4" name="Imagem 403" descr="http://sistemaswebhom.einstein.br/CME/Imagens/nada.gif">
          <a:extLst>
            <a:ext uri="{FF2B5EF4-FFF2-40B4-BE49-F238E27FC236}">
              <a16:creationId xmlns:a16="http://schemas.microsoft.com/office/drawing/2014/main" id="{B2DCB78A-A0BC-4013-9125-CBC22D907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5" name="Imagem 404" descr="http://sistemaswebhom.einstein.br/CME/Imagens/nada.gif">
          <a:extLst>
            <a:ext uri="{FF2B5EF4-FFF2-40B4-BE49-F238E27FC236}">
              <a16:creationId xmlns:a16="http://schemas.microsoft.com/office/drawing/2014/main" id="{010763CA-99EC-4C76-8C7C-86030D20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6" name="Imagem 405" descr="http://sistemaswebhom.einstein.br/CME/Imagens/nada.gif">
          <a:extLst>
            <a:ext uri="{FF2B5EF4-FFF2-40B4-BE49-F238E27FC236}">
              <a16:creationId xmlns:a16="http://schemas.microsoft.com/office/drawing/2014/main" id="{E32A86EC-3EAE-4FCE-9B1A-2CB7A46F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7" name="Imagem 406" descr="http://sistemaswebhom.einstein.br/CME/Imagens/nada.gif">
          <a:extLst>
            <a:ext uri="{FF2B5EF4-FFF2-40B4-BE49-F238E27FC236}">
              <a16:creationId xmlns:a16="http://schemas.microsoft.com/office/drawing/2014/main" id="{5AD68F2A-BA86-4442-8D9C-4C2925D479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8" name="Imagem 407" descr="http://sistemaswebhom.einstein.br/CME/Imagens/nada.gif">
          <a:extLst>
            <a:ext uri="{FF2B5EF4-FFF2-40B4-BE49-F238E27FC236}">
              <a16:creationId xmlns:a16="http://schemas.microsoft.com/office/drawing/2014/main" id="{6C4FC826-D27E-4A8E-A40D-CC846B528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09" name="Imagem 408" descr="http://sistemaswebhom.einstein.br/CME/Imagens/nada.gif">
          <a:extLst>
            <a:ext uri="{FF2B5EF4-FFF2-40B4-BE49-F238E27FC236}">
              <a16:creationId xmlns:a16="http://schemas.microsoft.com/office/drawing/2014/main" id="{190EB51E-744F-42EC-9655-8351AC74C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0" name="Imagem 409" descr="http://sistemaswebhom.einstein.br/CME/Imagens/nada.gif">
          <a:extLst>
            <a:ext uri="{FF2B5EF4-FFF2-40B4-BE49-F238E27FC236}">
              <a16:creationId xmlns:a16="http://schemas.microsoft.com/office/drawing/2014/main" id="{9F887BD0-3978-48B3-B639-0D464E8E7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1" name="Imagem 410" descr="http://sistemaswebhom.einstein.br/CME/Imagens/nada.gif">
          <a:extLst>
            <a:ext uri="{FF2B5EF4-FFF2-40B4-BE49-F238E27FC236}">
              <a16:creationId xmlns:a16="http://schemas.microsoft.com/office/drawing/2014/main" id="{52D4546A-60F7-4416-81A6-DADEB463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2" name="Imagem 411" descr="http://sistemaswebhom.einstein.br/CME/Imagens/nada.gif">
          <a:extLst>
            <a:ext uri="{FF2B5EF4-FFF2-40B4-BE49-F238E27FC236}">
              <a16:creationId xmlns:a16="http://schemas.microsoft.com/office/drawing/2014/main" id="{ECE0ED56-17CC-41DF-A709-861516613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3" name="Imagem 412" descr="http://sistemaswebhom.einstein.br/CME/Imagens/nada.gif">
          <a:extLst>
            <a:ext uri="{FF2B5EF4-FFF2-40B4-BE49-F238E27FC236}">
              <a16:creationId xmlns:a16="http://schemas.microsoft.com/office/drawing/2014/main" id="{DEA208DD-7825-435D-8AFA-BF70DC90B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4" name="Imagem 413" descr="http://sistemaswebhom.einstein.br/CME/Imagens/nada.gif">
          <a:extLst>
            <a:ext uri="{FF2B5EF4-FFF2-40B4-BE49-F238E27FC236}">
              <a16:creationId xmlns:a16="http://schemas.microsoft.com/office/drawing/2014/main" id="{5F3DDF6D-DAEE-46F1-82C5-7AE6A78110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5" name="Imagem 414" descr="http://sistemaswebhom.einstein.br/CME/Imagens/nada.gif">
          <a:extLst>
            <a:ext uri="{FF2B5EF4-FFF2-40B4-BE49-F238E27FC236}">
              <a16:creationId xmlns:a16="http://schemas.microsoft.com/office/drawing/2014/main" id="{0D5AD44E-3F0C-432B-A0DF-B88D71727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6" name="Imagem 415" descr="http://sistemaswebhom.einstein.br/CME/Imagens/nada.gif">
          <a:extLst>
            <a:ext uri="{FF2B5EF4-FFF2-40B4-BE49-F238E27FC236}">
              <a16:creationId xmlns:a16="http://schemas.microsoft.com/office/drawing/2014/main" id="{3D4D9067-78AD-413A-820B-8F32487A9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7" name="Imagem 416" descr="http://sistemaswebhom.einstein.br/CME/Imagens/nada.gif">
          <a:extLst>
            <a:ext uri="{FF2B5EF4-FFF2-40B4-BE49-F238E27FC236}">
              <a16:creationId xmlns:a16="http://schemas.microsoft.com/office/drawing/2014/main" id="{A70D4F08-49C9-4B9A-A8CD-23A348640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8" name="Imagem 417" descr="http://sistemaswebhom.einstein.br/CME/Imagens/nada.gif">
          <a:extLst>
            <a:ext uri="{FF2B5EF4-FFF2-40B4-BE49-F238E27FC236}">
              <a16:creationId xmlns:a16="http://schemas.microsoft.com/office/drawing/2014/main" id="{B716B295-64F6-46AD-828D-FAE84283DF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19" name="Imagem 418" descr="http://sistemaswebhom.einstein.br/CME/Imagens/nada.gif">
          <a:extLst>
            <a:ext uri="{FF2B5EF4-FFF2-40B4-BE49-F238E27FC236}">
              <a16:creationId xmlns:a16="http://schemas.microsoft.com/office/drawing/2014/main" id="{B17FB27F-230E-4672-80B5-71F3A0933E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0" name="Imagem 419" descr="http://sistemaswebhom.einstein.br/CME/Imagens/nada.gif">
          <a:extLst>
            <a:ext uri="{FF2B5EF4-FFF2-40B4-BE49-F238E27FC236}">
              <a16:creationId xmlns:a16="http://schemas.microsoft.com/office/drawing/2014/main" id="{26873ADC-D4E4-4C04-9E10-6FBD11DF8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1" name="Imagem 420" descr="http://sistemaswebhom.einstein.br/CME/Imagens/nada.gif">
          <a:extLst>
            <a:ext uri="{FF2B5EF4-FFF2-40B4-BE49-F238E27FC236}">
              <a16:creationId xmlns:a16="http://schemas.microsoft.com/office/drawing/2014/main" id="{AD4293DE-A268-4D2E-B992-DBA7A5A34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2" name="Imagem 421" descr="http://sistemaswebhom.einstein.br/CME/Imagens/nada.gif">
          <a:extLst>
            <a:ext uri="{FF2B5EF4-FFF2-40B4-BE49-F238E27FC236}">
              <a16:creationId xmlns:a16="http://schemas.microsoft.com/office/drawing/2014/main" id="{7D2454FE-C15A-4279-8000-7E0CD344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3" name="Imagem 422" descr="http://sistemaswebhom.einstein.br/CME/Imagens/nada.gif">
          <a:extLst>
            <a:ext uri="{FF2B5EF4-FFF2-40B4-BE49-F238E27FC236}">
              <a16:creationId xmlns:a16="http://schemas.microsoft.com/office/drawing/2014/main" id="{DFED3801-7D2A-4D22-9E31-7C79CBBE2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4" name="Imagem 423" descr="http://sistemaswebhom.einstein.br/CME/Imagens/nada.gif">
          <a:extLst>
            <a:ext uri="{FF2B5EF4-FFF2-40B4-BE49-F238E27FC236}">
              <a16:creationId xmlns:a16="http://schemas.microsoft.com/office/drawing/2014/main" id="{3585909C-43A7-464D-84EB-5042EBFF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5" name="Imagem 424" descr="http://sistemaswebhom.einstein.br/CME/Imagens/nada.gif">
          <a:extLst>
            <a:ext uri="{FF2B5EF4-FFF2-40B4-BE49-F238E27FC236}">
              <a16:creationId xmlns:a16="http://schemas.microsoft.com/office/drawing/2014/main" id="{D65BE36B-9B76-452D-9026-6DC76FCCA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6" name="Imagem 425" descr="http://sistemaswebhom.einstein.br/CME/Imagens/nada.gif">
          <a:extLst>
            <a:ext uri="{FF2B5EF4-FFF2-40B4-BE49-F238E27FC236}">
              <a16:creationId xmlns:a16="http://schemas.microsoft.com/office/drawing/2014/main" id="{7ECD2E3E-CD29-4013-B2A7-C8A01A063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7" name="Imagem 426" descr="http://sistemaswebhom.einstein.br/CME/Imagens/nada.gif">
          <a:extLst>
            <a:ext uri="{FF2B5EF4-FFF2-40B4-BE49-F238E27FC236}">
              <a16:creationId xmlns:a16="http://schemas.microsoft.com/office/drawing/2014/main" id="{DFF9180B-285A-4C88-B98F-595EC4B48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8" name="Imagem 427" descr="http://sistemaswebhom.einstein.br/CME/Imagens/nada.gif">
          <a:extLst>
            <a:ext uri="{FF2B5EF4-FFF2-40B4-BE49-F238E27FC236}">
              <a16:creationId xmlns:a16="http://schemas.microsoft.com/office/drawing/2014/main" id="{D161230F-83AA-48D7-AB76-44B5AF1CBE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29" name="Imagem 428" descr="http://sistemaswebhom.einstein.br/CME/Imagens/nada.gif">
          <a:extLst>
            <a:ext uri="{FF2B5EF4-FFF2-40B4-BE49-F238E27FC236}">
              <a16:creationId xmlns:a16="http://schemas.microsoft.com/office/drawing/2014/main" id="{68BD0FCB-0D5C-4C4A-B46F-F99773CE9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0" name="Imagem 429" descr="http://sistemaswebhom.einstein.br/CME/Imagens/nada.gif">
          <a:extLst>
            <a:ext uri="{FF2B5EF4-FFF2-40B4-BE49-F238E27FC236}">
              <a16:creationId xmlns:a16="http://schemas.microsoft.com/office/drawing/2014/main" id="{AB229057-71BE-448D-ACFF-4271064C2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1" name="Imagem 430" descr="http://sistemaswebhom.einstein.br/CME/Imagens/nada.gif">
          <a:extLst>
            <a:ext uri="{FF2B5EF4-FFF2-40B4-BE49-F238E27FC236}">
              <a16:creationId xmlns:a16="http://schemas.microsoft.com/office/drawing/2014/main" id="{AB62DA0A-4F44-4817-BCED-0CE3C400E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2" name="Imagem 431" descr="http://sistemaswebhom.einstein.br/CME/Imagens/nada.gif">
          <a:extLst>
            <a:ext uri="{FF2B5EF4-FFF2-40B4-BE49-F238E27FC236}">
              <a16:creationId xmlns:a16="http://schemas.microsoft.com/office/drawing/2014/main" id="{D03B8406-6AE5-4417-8DEC-31ACFE256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3" name="Imagem 432" descr="http://sistemaswebhom.einstein.br/CME/Imagens/nada.gif">
          <a:extLst>
            <a:ext uri="{FF2B5EF4-FFF2-40B4-BE49-F238E27FC236}">
              <a16:creationId xmlns:a16="http://schemas.microsoft.com/office/drawing/2014/main" id="{506B25C0-9729-4FCD-A924-90BF09548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4" name="Imagem 433" descr="http://sistemaswebhom.einstein.br/CME/Imagens/nada.gif">
          <a:extLst>
            <a:ext uri="{FF2B5EF4-FFF2-40B4-BE49-F238E27FC236}">
              <a16:creationId xmlns:a16="http://schemas.microsoft.com/office/drawing/2014/main" id="{0C063777-E260-4CFC-907F-3AA7FE1B9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5" name="Imagem 434" descr="http://sistemaswebhom.einstein.br/CME/Imagens/nada.gif">
          <a:extLst>
            <a:ext uri="{FF2B5EF4-FFF2-40B4-BE49-F238E27FC236}">
              <a16:creationId xmlns:a16="http://schemas.microsoft.com/office/drawing/2014/main" id="{CF2D6DF8-8939-4772-B1D4-4745E3DD4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6" name="Imagem 435" descr="http://sistemaswebhom.einstein.br/CME/Imagens/nada.gif">
          <a:extLst>
            <a:ext uri="{FF2B5EF4-FFF2-40B4-BE49-F238E27FC236}">
              <a16:creationId xmlns:a16="http://schemas.microsoft.com/office/drawing/2014/main" id="{7E09CC35-E25E-44FA-A9A5-599046305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7" name="Imagem 436" descr="http://sistemaswebhom.einstein.br/CME/Imagens/nada.gif">
          <a:extLst>
            <a:ext uri="{FF2B5EF4-FFF2-40B4-BE49-F238E27FC236}">
              <a16:creationId xmlns:a16="http://schemas.microsoft.com/office/drawing/2014/main" id="{DC032926-1DFF-4F54-A7B3-41D391D4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8" name="Imagem 437" descr="http://sistemaswebhom.einstein.br/CME/Imagens/nada.gif">
          <a:extLst>
            <a:ext uri="{FF2B5EF4-FFF2-40B4-BE49-F238E27FC236}">
              <a16:creationId xmlns:a16="http://schemas.microsoft.com/office/drawing/2014/main" id="{22C90E17-842A-4AA2-B160-3987FB9BB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39" name="Imagem 438" descr="http://sistemaswebhom.einstein.br/CME/Imagens/nada.gif">
          <a:extLst>
            <a:ext uri="{FF2B5EF4-FFF2-40B4-BE49-F238E27FC236}">
              <a16:creationId xmlns:a16="http://schemas.microsoft.com/office/drawing/2014/main" id="{E27136E5-6E12-455E-809E-F418F0A02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0" name="Imagem 439" descr="http://sistemaswebhom.einstein.br/CME/Imagens/nada.gif">
          <a:extLst>
            <a:ext uri="{FF2B5EF4-FFF2-40B4-BE49-F238E27FC236}">
              <a16:creationId xmlns:a16="http://schemas.microsoft.com/office/drawing/2014/main" id="{DF273BAB-DC40-4093-AAFA-2CAAFEC4F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1" name="Imagem 440" descr="http://sistemaswebhom.einstein.br/CME/Imagens/nada.gif">
          <a:extLst>
            <a:ext uri="{FF2B5EF4-FFF2-40B4-BE49-F238E27FC236}">
              <a16:creationId xmlns:a16="http://schemas.microsoft.com/office/drawing/2014/main" id="{22ABE181-AADC-4D05-87F2-EF7C79603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2" name="Imagem 441" descr="http://sistemaswebhom.einstein.br/CME/Imagens/nada.gif">
          <a:extLst>
            <a:ext uri="{FF2B5EF4-FFF2-40B4-BE49-F238E27FC236}">
              <a16:creationId xmlns:a16="http://schemas.microsoft.com/office/drawing/2014/main" id="{66DE2FC0-C909-4A66-A3E8-BA796F884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3" name="Imagem 442" descr="http://sistemaswebhom.einstein.br/CME/Imagens/nada.gif">
          <a:extLst>
            <a:ext uri="{FF2B5EF4-FFF2-40B4-BE49-F238E27FC236}">
              <a16:creationId xmlns:a16="http://schemas.microsoft.com/office/drawing/2014/main" id="{23F2BB2E-F18B-4A9D-8389-C1FE01B90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4" name="Imagem 443" descr="http://sistemaswebhom.einstein.br/CME/Imagens/nada.gif">
          <a:extLst>
            <a:ext uri="{FF2B5EF4-FFF2-40B4-BE49-F238E27FC236}">
              <a16:creationId xmlns:a16="http://schemas.microsoft.com/office/drawing/2014/main" id="{1CC66B63-5D8A-4352-873D-EC4269780F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5" name="Imagem 444" descr="http://sistemaswebhom.einstein.br/CME/Imagens/nada.gif">
          <a:extLst>
            <a:ext uri="{FF2B5EF4-FFF2-40B4-BE49-F238E27FC236}">
              <a16:creationId xmlns:a16="http://schemas.microsoft.com/office/drawing/2014/main" id="{4AB2D586-B776-4BD2-8BAC-C29080F2D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6" name="Imagem 445" descr="http://sistemaswebhom.einstein.br/CME/Imagens/nada.gif">
          <a:extLst>
            <a:ext uri="{FF2B5EF4-FFF2-40B4-BE49-F238E27FC236}">
              <a16:creationId xmlns:a16="http://schemas.microsoft.com/office/drawing/2014/main" id="{E8DCC0FD-961D-494F-88BE-BD86F9807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7" name="Imagem 446" descr="http://sistemaswebhom.einstein.br/CME/Imagens/nada.gif">
          <a:extLst>
            <a:ext uri="{FF2B5EF4-FFF2-40B4-BE49-F238E27FC236}">
              <a16:creationId xmlns:a16="http://schemas.microsoft.com/office/drawing/2014/main" id="{312E1C66-5153-4BBF-97D6-D8D836C10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8" name="Imagem 447" descr="http://sistemaswebhom.einstein.br/CME/Imagens/nada.gif">
          <a:extLst>
            <a:ext uri="{FF2B5EF4-FFF2-40B4-BE49-F238E27FC236}">
              <a16:creationId xmlns:a16="http://schemas.microsoft.com/office/drawing/2014/main" id="{865FC29D-AA2C-44C3-BA52-FEF2957BF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49" name="Imagem 448" descr="http://sistemaswebhom.einstein.br/CME/Imagens/nada.gif">
          <a:extLst>
            <a:ext uri="{FF2B5EF4-FFF2-40B4-BE49-F238E27FC236}">
              <a16:creationId xmlns:a16="http://schemas.microsoft.com/office/drawing/2014/main" id="{E731ACB8-7901-4969-8EFB-FEDEEC4C6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0" name="Imagem 449" descr="http://sistemaswebhom.einstein.br/CME/Imagens/nada.gif">
          <a:extLst>
            <a:ext uri="{FF2B5EF4-FFF2-40B4-BE49-F238E27FC236}">
              <a16:creationId xmlns:a16="http://schemas.microsoft.com/office/drawing/2014/main" id="{C35A3C3E-C077-446B-96F3-DE603C9FB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1" name="Imagem 450" descr="http://sistemaswebhom.einstein.br/CME/Imagens/nada.gif">
          <a:extLst>
            <a:ext uri="{FF2B5EF4-FFF2-40B4-BE49-F238E27FC236}">
              <a16:creationId xmlns:a16="http://schemas.microsoft.com/office/drawing/2014/main" id="{DFD632C3-AE41-4E9C-8756-0B0F0D96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2" name="Imagem 451" descr="http://sistemaswebhom.einstein.br/CME/Imagens/nada.gif">
          <a:extLst>
            <a:ext uri="{FF2B5EF4-FFF2-40B4-BE49-F238E27FC236}">
              <a16:creationId xmlns:a16="http://schemas.microsoft.com/office/drawing/2014/main" id="{C99B289E-C6A4-4256-BBE1-C9045BEC7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3" name="Imagem 452" descr="http://sistemaswebhom.einstein.br/CME/Imagens/nada.gif">
          <a:extLst>
            <a:ext uri="{FF2B5EF4-FFF2-40B4-BE49-F238E27FC236}">
              <a16:creationId xmlns:a16="http://schemas.microsoft.com/office/drawing/2014/main" id="{F80487D4-520E-4782-860A-AB595465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4" name="Imagem 453" descr="http://sistemaswebhom.einstein.br/CME/Imagens/nada.gif">
          <a:extLst>
            <a:ext uri="{FF2B5EF4-FFF2-40B4-BE49-F238E27FC236}">
              <a16:creationId xmlns:a16="http://schemas.microsoft.com/office/drawing/2014/main" id="{28336256-9008-46F5-94FD-09F02C68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5" name="Imagem 454" descr="http://sistemaswebhom.einstein.br/CME/Imagens/nada.gif">
          <a:extLst>
            <a:ext uri="{FF2B5EF4-FFF2-40B4-BE49-F238E27FC236}">
              <a16:creationId xmlns:a16="http://schemas.microsoft.com/office/drawing/2014/main" id="{C00B3DB8-0FA0-405E-912F-1A650B829D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6" name="Imagem 455" descr="http://sistemaswebhom.einstein.br/CME/Imagens/nada.gif">
          <a:extLst>
            <a:ext uri="{FF2B5EF4-FFF2-40B4-BE49-F238E27FC236}">
              <a16:creationId xmlns:a16="http://schemas.microsoft.com/office/drawing/2014/main" id="{250A3384-1AE9-49E3-9017-4EAD8CF13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7" name="Imagem 456" descr="http://sistemaswebhom.einstein.br/CME/Imagens/nada.gif">
          <a:extLst>
            <a:ext uri="{FF2B5EF4-FFF2-40B4-BE49-F238E27FC236}">
              <a16:creationId xmlns:a16="http://schemas.microsoft.com/office/drawing/2014/main" id="{A49A9AF8-8399-4C31-9647-014CDF383E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8" name="Imagem 457" descr="http://sistemaswebhom.einstein.br/CME/Imagens/nada.gif">
          <a:extLst>
            <a:ext uri="{FF2B5EF4-FFF2-40B4-BE49-F238E27FC236}">
              <a16:creationId xmlns:a16="http://schemas.microsoft.com/office/drawing/2014/main" id="{16D85D01-0349-49D6-82EF-A29EA7CA4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59" name="Imagem 458" descr="http://sistemaswebhom.einstein.br/CME/Imagens/nada.gif">
          <a:extLst>
            <a:ext uri="{FF2B5EF4-FFF2-40B4-BE49-F238E27FC236}">
              <a16:creationId xmlns:a16="http://schemas.microsoft.com/office/drawing/2014/main" id="{1329AB2B-628D-4C80-A6FB-541F92A0E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0" name="Imagem 459" descr="http://sistemaswebhom.einstein.br/CME/Imagens/nada.gif">
          <a:extLst>
            <a:ext uri="{FF2B5EF4-FFF2-40B4-BE49-F238E27FC236}">
              <a16:creationId xmlns:a16="http://schemas.microsoft.com/office/drawing/2014/main" id="{EA817057-A8C5-4C7A-AA45-F5680F68E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1" name="Imagem 460" descr="http://sistemaswebhom.einstein.br/CME/Imagens/nada.gif">
          <a:extLst>
            <a:ext uri="{FF2B5EF4-FFF2-40B4-BE49-F238E27FC236}">
              <a16:creationId xmlns:a16="http://schemas.microsoft.com/office/drawing/2014/main" id="{13F7DA1B-8994-4553-BCB1-F9ABFC32C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2" name="Imagem 461" descr="http://sistemaswebhom.einstein.br/CME/Imagens/nada.gif">
          <a:extLst>
            <a:ext uri="{FF2B5EF4-FFF2-40B4-BE49-F238E27FC236}">
              <a16:creationId xmlns:a16="http://schemas.microsoft.com/office/drawing/2014/main" id="{6BBD94C1-31D2-4769-9B81-954238188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3" name="Imagem 462" descr="http://sistemaswebhom.einstein.br/CME/Imagens/nada.gif">
          <a:extLst>
            <a:ext uri="{FF2B5EF4-FFF2-40B4-BE49-F238E27FC236}">
              <a16:creationId xmlns:a16="http://schemas.microsoft.com/office/drawing/2014/main" id="{4A15BDC0-8704-4FD3-BA10-942E356EB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4" name="Imagem 463" descr="http://sistemaswebhom.einstein.br/CME/Imagens/nada.gif">
          <a:extLst>
            <a:ext uri="{FF2B5EF4-FFF2-40B4-BE49-F238E27FC236}">
              <a16:creationId xmlns:a16="http://schemas.microsoft.com/office/drawing/2014/main" id="{DEC79A4A-DC44-43E8-B57E-36091EC8C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5" name="Imagem 464" descr="http://sistemaswebhom.einstein.br/CME/Imagens/nada.gif">
          <a:extLst>
            <a:ext uri="{FF2B5EF4-FFF2-40B4-BE49-F238E27FC236}">
              <a16:creationId xmlns:a16="http://schemas.microsoft.com/office/drawing/2014/main" id="{E5682058-55FD-4224-AD59-61D0E1D3E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6" name="Imagem 465" descr="http://sistemaswebhom.einstein.br/CME/Imagens/nada.gif">
          <a:extLst>
            <a:ext uri="{FF2B5EF4-FFF2-40B4-BE49-F238E27FC236}">
              <a16:creationId xmlns:a16="http://schemas.microsoft.com/office/drawing/2014/main" id="{AA8571B2-FD42-4796-9BD8-4ABFB4DB5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7" name="Imagem 466" descr="http://sistemaswebhom.einstein.br/CME/Imagens/nada.gif">
          <a:extLst>
            <a:ext uri="{FF2B5EF4-FFF2-40B4-BE49-F238E27FC236}">
              <a16:creationId xmlns:a16="http://schemas.microsoft.com/office/drawing/2014/main" id="{F321791B-0AEF-4DDE-B8DD-0691E1D4B0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8" name="Imagem 467" descr="http://sistemaswebhom.einstein.br/CME/Imagens/nada.gif">
          <a:extLst>
            <a:ext uri="{FF2B5EF4-FFF2-40B4-BE49-F238E27FC236}">
              <a16:creationId xmlns:a16="http://schemas.microsoft.com/office/drawing/2014/main" id="{108D7AE6-F5A4-43F4-A57E-96DD7DC31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69" name="Imagem 468" descr="http://sistemaswebhom.einstein.br/CME/Imagens/nada.gif">
          <a:extLst>
            <a:ext uri="{FF2B5EF4-FFF2-40B4-BE49-F238E27FC236}">
              <a16:creationId xmlns:a16="http://schemas.microsoft.com/office/drawing/2014/main" id="{BC807CC6-FA27-4EA0-93CE-3D9834E33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0" name="Imagem 469" descr="http://sistemaswebhom.einstein.br/CME/Imagens/nada.gif">
          <a:extLst>
            <a:ext uri="{FF2B5EF4-FFF2-40B4-BE49-F238E27FC236}">
              <a16:creationId xmlns:a16="http://schemas.microsoft.com/office/drawing/2014/main" id="{9CE5D2EE-65C7-4B71-9E65-B4A7C6D65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1" name="Imagem 470" descr="http://sistemaswebhom.einstein.br/CME/Imagens/nada.gif">
          <a:extLst>
            <a:ext uri="{FF2B5EF4-FFF2-40B4-BE49-F238E27FC236}">
              <a16:creationId xmlns:a16="http://schemas.microsoft.com/office/drawing/2014/main" id="{F4CE7BD1-6D83-4A40-AB48-B1E00118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2" name="Imagem 471" descr="http://sistemaswebhom.einstein.br/CME/Imagens/nada.gif">
          <a:extLst>
            <a:ext uri="{FF2B5EF4-FFF2-40B4-BE49-F238E27FC236}">
              <a16:creationId xmlns:a16="http://schemas.microsoft.com/office/drawing/2014/main" id="{91A77C3C-58EC-48D0-AC70-A7581AE0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3" name="Imagem 472" descr="http://sistemaswebhom.einstein.br/CME/Imagens/nada.gif">
          <a:extLst>
            <a:ext uri="{FF2B5EF4-FFF2-40B4-BE49-F238E27FC236}">
              <a16:creationId xmlns:a16="http://schemas.microsoft.com/office/drawing/2014/main" id="{3DDA6620-7877-4EA6-8CA4-A399F65B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4" name="Imagem 473" descr="http://sistemaswebhom.einstein.br/CME/Imagens/nada.gif">
          <a:extLst>
            <a:ext uri="{FF2B5EF4-FFF2-40B4-BE49-F238E27FC236}">
              <a16:creationId xmlns:a16="http://schemas.microsoft.com/office/drawing/2014/main" id="{DB090BA5-43EC-4F94-A6B7-51265B80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5" name="Imagem 474" descr="http://sistemaswebhom.einstein.br/CME/Imagens/nada.gif">
          <a:extLst>
            <a:ext uri="{FF2B5EF4-FFF2-40B4-BE49-F238E27FC236}">
              <a16:creationId xmlns:a16="http://schemas.microsoft.com/office/drawing/2014/main" id="{DD8E6042-2C1B-4A23-803A-1D33C94CE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6" name="Imagem 475" descr="http://sistemaswebhom.einstein.br/CME/Imagens/nada.gif">
          <a:extLst>
            <a:ext uri="{FF2B5EF4-FFF2-40B4-BE49-F238E27FC236}">
              <a16:creationId xmlns:a16="http://schemas.microsoft.com/office/drawing/2014/main" id="{1C585C6C-0AB3-42DF-9BAF-E6BAC1C4E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7" name="Imagem 476" descr="http://sistemaswebhom.einstein.br/CME/Imagens/nada.gif">
          <a:extLst>
            <a:ext uri="{FF2B5EF4-FFF2-40B4-BE49-F238E27FC236}">
              <a16:creationId xmlns:a16="http://schemas.microsoft.com/office/drawing/2014/main" id="{4BDB108E-2A0E-4B97-BEAA-5671A4F15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8" name="Imagem 477" descr="http://sistemaswebhom.einstein.br/CME/Imagens/nada.gif">
          <a:extLst>
            <a:ext uri="{FF2B5EF4-FFF2-40B4-BE49-F238E27FC236}">
              <a16:creationId xmlns:a16="http://schemas.microsoft.com/office/drawing/2014/main" id="{8662A734-EB25-4383-9E7C-77A86164C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79" name="Imagem 478" descr="http://sistemaswebhom.einstein.br/CME/Imagens/nada.gif">
          <a:extLst>
            <a:ext uri="{FF2B5EF4-FFF2-40B4-BE49-F238E27FC236}">
              <a16:creationId xmlns:a16="http://schemas.microsoft.com/office/drawing/2014/main" id="{27EF6018-87B6-4C61-9911-8CD87D1315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0" name="Imagem 479" descr="http://sistemaswebhom.einstein.br/CME/Imagens/nada.gif">
          <a:extLst>
            <a:ext uri="{FF2B5EF4-FFF2-40B4-BE49-F238E27FC236}">
              <a16:creationId xmlns:a16="http://schemas.microsoft.com/office/drawing/2014/main" id="{FA478ABA-65D2-47DE-B948-856AB9744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1" name="Imagem 480" descr="http://sistemaswebhom.einstein.br/CME/Imagens/nada.gif">
          <a:extLst>
            <a:ext uri="{FF2B5EF4-FFF2-40B4-BE49-F238E27FC236}">
              <a16:creationId xmlns:a16="http://schemas.microsoft.com/office/drawing/2014/main" id="{A221E1E8-F652-4876-A82F-5192CDB99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2" name="Imagem 481" descr="http://sistemaswebhom.einstein.br/CME/Imagens/nada.gif">
          <a:extLst>
            <a:ext uri="{FF2B5EF4-FFF2-40B4-BE49-F238E27FC236}">
              <a16:creationId xmlns:a16="http://schemas.microsoft.com/office/drawing/2014/main" id="{25181063-C62F-4808-8CFD-28AAE341A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3" name="Imagem 482" descr="http://sistemaswebhom.einstein.br/CME/Imagens/nada.gif">
          <a:extLst>
            <a:ext uri="{FF2B5EF4-FFF2-40B4-BE49-F238E27FC236}">
              <a16:creationId xmlns:a16="http://schemas.microsoft.com/office/drawing/2014/main" id="{83822543-A8FA-441A-82E7-6D98D53C3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4" name="Imagem 483" descr="http://sistemaswebhom.einstein.br/CME/Imagens/nada.gif">
          <a:extLst>
            <a:ext uri="{FF2B5EF4-FFF2-40B4-BE49-F238E27FC236}">
              <a16:creationId xmlns:a16="http://schemas.microsoft.com/office/drawing/2014/main" id="{2BE95C13-9A8D-4E81-A12E-4B42F65E8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5" name="Imagem 484" descr="http://sistemaswebhom.einstein.br/CME/Imagens/nada.gif">
          <a:extLst>
            <a:ext uri="{FF2B5EF4-FFF2-40B4-BE49-F238E27FC236}">
              <a16:creationId xmlns:a16="http://schemas.microsoft.com/office/drawing/2014/main" id="{D633E526-7EC6-4A7E-8A13-36A2ABE26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6" name="Imagem 485" descr="http://sistemaswebhom.einstein.br/CME/Imagens/nada.gif">
          <a:extLst>
            <a:ext uri="{FF2B5EF4-FFF2-40B4-BE49-F238E27FC236}">
              <a16:creationId xmlns:a16="http://schemas.microsoft.com/office/drawing/2014/main" id="{0C78B83E-3BB8-4947-8E25-105382944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7" name="Imagem 486" descr="http://sistemaswebhom.einstein.br/CME/Imagens/nada.gif">
          <a:extLst>
            <a:ext uri="{FF2B5EF4-FFF2-40B4-BE49-F238E27FC236}">
              <a16:creationId xmlns:a16="http://schemas.microsoft.com/office/drawing/2014/main" id="{EEFB273B-F36D-43D6-BF89-0AE94445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8" name="Imagem 487" descr="http://sistemaswebhom.einstein.br/CME/Imagens/nada.gif">
          <a:extLst>
            <a:ext uri="{FF2B5EF4-FFF2-40B4-BE49-F238E27FC236}">
              <a16:creationId xmlns:a16="http://schemas.microsoft.com/office/drawing/2014/main" id="{3F4A86E4-F2ED-44C6-8510-05A7254E1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89" name="Imagem 488" descr="http://sistemaswebhom.einstein.br/CME/Imagens/nada.gif">
          <a:extLst>
            <a:ext uri="{FF2B5EF4-FFF2-40B4-BE49-F238E27FC236}">
              <a16:creationId xmlns:a16="http://schemas.microsoft.com/office/drawing/2014/main" id="{AD2BE93E-66DF-45B6-9B21-51726D8A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0" name="Imagem 489" descr="http://sistemaswebhom.einstein.br/CME/Imagens/nada.gif">
          <a:extLst>
            <a:ext uri="{FF2B5EF4-FFF2-40B4-BE49-F238E27FC236}">
              <a16:creationId xmlns:a16="http://schemas.microsoft.com/office/drawing/2014/main" id="{34D2C526-6506-4A80-877A-10D16F9E9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1" name="Imagem 490" descr="http://sistemaswebhom.einstein.br/CME/Imagens/nada.gif">
          <a:extLst>
            <a:ext uri="{FF2B5EF4-FFF2-40B4-BE49-F238E27FC236}">
              <a16:creationId xmlns:a16="http://schemas.microsoft.com/office/drawing/2014/main" id="{6E603671-8D34-4B82-B12F-85A04C64D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2" name="Imagem 491" descr="http://sistemaswebhom.einstein.br/CME/Imagens/nada.gif">
          <a:extLst>
            <a:ext uri="{FF2B5EF4-FFF2-40B4-BE49-F238E27FC236}">
              <a16:creationId xmlns:a16="http://schemas.microsoft.com/office/drawing/2014/main" id="{531814D1-1261-41C1-85EC-9C2F54155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3" name="Imagem 492" descr="http://sistemaswebhom.einstein.br/CME/Imagens/nada.gif">
          <a:extLst>
            <a:ext uri="{FF2B5EF4-FFF2-40B4-BE49-F238E27FC236}">
              <a16:creationId xmlns:a16="http://schemas.microsoft.com/office/drawing/2014/main" id="{8E4542A2-B55E-420B-9AEB-FA9C01200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4" name="Imagem 493" descr="http://sistemaswebhom.einstein.br/CME/Imagens/nada.gif">
          <a:extLst>
            <a:ext uri="{FF2B5EF4-FFF2-40B4-BE49-F238E27FC236}">
              <a16:creationId xmlns:a16="http://schemas.microsoft.com/office/drawing/2014/main" id="{95EF4A6E-F4C9-412F-A9D7-12DD70867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5" name="Imagem 494" descr="http://sistemaswebhom.einstein.br/CME/Imagens/nada.gif">
          <a:extLst>
            <a:ext uri="{FF2B5EF4-FFF2-40B4-BE49-F238E27FC236}">
              <a16:creationId xmlns:a16="http://schemas.microsoft.com/office/drawing/2014/main" id="{0EC7AA2A-DCD3-4DEC-B91F-92D40B39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6" name="Imagem 495" descr="http://sistemaswebhom.einstein.br/CME/Imagens/nada.gif">
          <a:extLst>
            <a:ext uri="{FF2B5EF4-FFF2-40B4-BE49-F238E27FC236}">
              <a16:creationId xmlns:a16="http://schemas.microsoft.com/office/drawing/2014/main" id="{EC2176A0-B625-450A-9937-54D50BFAC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7" name="Imagem 496" descr="http://sistemaswebhom.einstein.br/CME/Imagens/nada.gif">
          <a:extLst>
            <a:ext uri="{FF2B5EF4-FFF2-40B4-BE49-F238E27FC236}">
              <a16:creationId xmlns:a16="http://schemas.microsoft.com/office/drawing/2014/main" id="{1D8C18FF-B339-477B-BF1A-85B11E030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8" name="Imagem 497" descr="http://sistemaswebhom.einstein.br/CME/Imagens/nada.gif">
          <a:extLst>
            <a:ext uri="{FF2B5EF4-FFF2-40B4-BE49-F238E27FC236}">
              <a16:creationId xmlns:a16="http://schemas.microsoft.com/office/drawing/2014/main" id="{244BB51B-A8BB-486E-9E70-4B948B37D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499" name="Imagem 498" descr="http://sistemaswebhom.einstein.br/CME/Imagens/nada.gif">
          <a:extLst>
            <a:ext uri="{FF2B5EF4-FFF2-40B4-BE49-F238E27FC236}">
              <a16:creationId xmlns:a16="http://schemas.microsoft.com/office/drawing/2014/main" id="{00AB6EBF-516D-4E3B-8603-B3742A7AF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0" name="Imagem 499" descr="http://sistemaswebhom.einstein.br/CME/Imagens/nada.gif">
          <a:extLst>
            <a:ext uri="{FF2B5EF4-FFF2-40B4-BE49-F238E27FC236}">
              <a16:creationId xmlns:a16="http://schemas.microsoft.com/office/drawing/2014/main" id="{38960E4B-6144-4677-B439-AEDD4FA2B6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1" name="Imagem 500" descr="http://sistemaswebhom.einstein.br/CME/Imagens/nada.gif">
          <a:extLst>
            <a:ext uri="{FF2B5EF4-FFF2-40B4-BE49-F238E27FC236}">
              <a16:creationId xmlns:a16="http://schemas.microsoft.com/office/drawing/2014/main" id="{FCF9C38F-4F3A-4791-9CAD-760656C51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2" name="Imagem 501" descr="http://sistemaswebhom.einstein.br/CME/Imagens/nada.gif">
          <a:extLst>
            <a:ext uri="{FF2B5EF4-FFF2-40B4-BE49-F238E27FC236}">
              <a16:creationId xmlns:a16="http://schemas.microsoft.com/office/drawing/2014/main" id="{BF899A07-9415-4798-B382-499D0F3B3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3" name="Imagem 502" descr="http://sistemaswebhom.einstein.br/CME/Imagens/nada.gif">
          <a:extLst>
            <a:ext uri="{FF2B5EF4-FFF2-40B4-BE49-F238E27FC236}">
              <a16:creationId xmlns:a16="http://schemas.microsoft.com/office/drawing/2014/main" id="{4ABE12A0-D6E7-4A0A-9C6C-97E997FB7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4" name="Imagem 503" descr="http://sistemaswebhom.einstein.br/CME/Imagens/nada.gif">
          <a:extLst>
            <a:ext uri="{FF2B5EF4-FFF2-40B4-BE49-F238E27FC236}">
              <a16:creationId xmlns:a16="http://schemas.microsoft.com/office/drawing/2014/main" id="{B829D192-1B93-4EFD-B731-892FD9CB5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5" name="Imagem 504" descr="http://sistemaswebhom.einstein.br/CME/Imagens/nada.gif">
          <a:extLst>
            <a:ext uri="{FF2B5EF4-FFF2-40B4-BE49-F238E27FC236}">
              <a16:creationId xmlns:a16="http://schemas.microsoft.com/office/drawing/2014/main" id="{037457C1-7661-42D9-B8FC-367DCC109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6" name="Imagem 505" descr="http://sistemaswebhom.einstein.br/CME/Imagens/nada.gif">
          <a:extLst>
            <a:ext uri="{FF2B5EF4-FFF2-40B4-BE49-F238E27FC236}">
              <a16:creationId xmlns:a16="http://schemas.microsoft.com/office/drawing/2014/main" id="{32B0C545-36F2-4B16-B7BE-48944D532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7" name="Imagem 506" descr="http://sistemaswebhom.einstein.br/CME/Imagens/nada.gif">
          <a:extLst>
            <a:ext uri="{FF2B5EF4-FFF2-40B4-BE49-F238E27FC236}">
              <a16:creationId xmlns:a16="http://schemas.microsoft.com/office/drawing/2014/main" id="{40488F6F-B1C5-4B69-B71A-35D2D3CE1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8" name="Imagem 507" descr="http://sistemaswebhom.einstein.br/CME/Imagens/nada.gif">
          <a:extLst>
            <a:ext uri="{FF2B5EF4-FFF2-40B4-BE49-F238E27FC236}">
              <a16:creationId xmlns:a16="http://schemas.microsoft.com/office/drawing/2014/main" id="{84429387-2648-48D5-B809-1ECF6B12E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09" name="Imagem 508" descr="http://sistemaswebhom.einstein.br/CME/Imagens/nada.gif">
          <a:extLst>
            <a:ext uri="{FF2B5EF4-FFF2-40B4-BE49-F238E27FC236}">
              <a16:creationId xmlns:a16="http://schemas.microsoft.com/office/drawing/2014/main" id="{1F1D2A69-5ED9-4F1C-A213-E587D7024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0" name="Imagem 509" descr="http://sistemaswebhom.einstein.br/CME/Imagens/nada.gif">
          <a:extLst>
            <a:ext uri="{FF2B5EF4-FFF2-40B4-BE49-F238E27FC236}">
              <a16:creationId xmlns:a16="http://schemas.microsoft.com/office/drawing/2014/main" id="{0B7DCF4D-E59D-4C8C-9CFD-A49456D47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1" name="Imagem 510" descr="http://sistemaswebhom.einstein.br/CME/Imagens/nada.gif">
          <a:extLst>
            <a:ext uri="{FF2B5EF4-FFF2-40B4-BE49-F238E27FC236}">
              <a16:creationId xmlns:a16="http://schemas.microsoft.com/office/drawing/2014/main" id="{4AE7E84B-39D2-4C3A-9EB2-D630AF2CC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2" name="Imagem 511" descr="http://sistemaswebhom.einstein.br/CME/Imagens/nada.gif">
          <a:extLst>
            <a:ext uri="{FF2B5EF4-FFF2-40B4-BE49-F238E27FC236}">
              <a16:creationId xmlns:a16="http://schemas.microsoft.com/office/drawing/2014/main" id="{7D05F28F-4031-4F5B-84B8-425463DA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3" name="Imagem 512" descr="http://sistemaswebhom.einstein.br/CME/Imagens/nada.gif">
          <a:extLst>
            <a:ext uri="{FF2B5EF4-FFF2-40B4-BE49-F238E27FC236}">
              <a16:creationId xmlns:a16="http://schemas.microsoft.com/office/drawing/2014/main" id="{6C15CF18-FF25-4FC3-BF46-5D0140538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4" name="Imagem 513" descr="http://sistemaswebhom.einstein.br/CME/Imagens/nada.gif">
          <a:extLst>
            <a:ext uri="{FF2B5EF4-FFF2-40B4-BE49-F238E27FC236}">
              <a16:creationId xmlns:a16="http://schemas.microsoft.com/office/drawing/2014/main" id="{D63CBC8F-43D2-4D19-91B1-75394841E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5" name="Imagem 514" descr="http://sistemaswebhom.einstein.br/CME/Imagens/nada.gif">
          <a:extLst>
            <a:ext uri="{FF2B5EF4-FFF2-40B4-BE49-F238E27FC236}">
              <a16:creationId xmlns:a16="http://schemas.microsoft.com/office/drawing/2014/main" id="{45C96C36-11C2-4A58-A4F8-92F7901A5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6" name="Imagem 515" descr="http://sistemaswebhom.einstein.br/CME/Imagens/nada.gif">
          <a:extLst>
            <a:ext uri="{FF2B5EF4-FFF2-40B4-BE49-F238E27FC236}">
              <a16:creationId xmlns:a16="http://schemas.microsoft.com/office/drawing/2014/main" id="{3E095884-84A6-4CF0-AEF7-9CC1BB437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7" name="Imagem 516" descr="http://sistemaswebhom.einstein.br/CME/Imagens/nada.gif">
          <a:extLst>
            <a:ext uri="{FF2B5EF4-FFF2-40B4-BE49-F238E27FC236}">
              <a16:creationId xmlns:a16="http://schemas.microsoft.com/office/drawing/2014/main" id="{4C1D5527-838E-4A20-AA0B-74C4A5E1E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8" name="Imagem 517" descr="http://sistemaswebhom.einstein.br/CME/Imagens/nada.gif">
          <a:extLst>
            <a:ext uri="{FF2B5EF4-FFF2-40B4-BE49-F238E27FC236}">
              <a16:creationId xmlns:a16="http://schemas.microsoft.com/office/drawing/2014/main" id="{9E11F840-3DE7-495F-AB80-E183A100E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19" name="Imagem 518" descr="http://sistemaswebhom.einstein.br/CME/Imagens/nada.gif">
          <a:extLst>
            <a:ext uri="{FF2B5EF4-FFF2-40B4-BE49-F238E27FC236}">
              <a16:creationId xmlns:a16="http://schemas.microsoft.com/office/drawing/2014/main" id="{E88265B0-C87A-4999-BAC7-A40DB8965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0" name="Imagem 519" descr="http://sistemaswebhom.einstein.br/CME/Imagens/nada.gif">
          <a:extLst>
            <a:ext uri="{FF2B5EF4-FFF2-40B4-BE49-F238E27FC236}">
              <a16:creationId xmlns:a16="http://schemas.microsoft.com/office/drawing/2014/main" id="{C6DACDD3-25DB-48D2-AA10-A2C9DF5D3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1" name="Imagem 520" descr="http://sistemaswebhom.einstein.br/CME/Imagens/nada.gif">
          <a:extLst>
            <a:ext uri="{FF2B5EF4-FFF2-40B4-BE49-F238E27FC236}">
              <a16:creationId xmlns:a16="http://schemas.microsoft.com/office/drawing/2014/main" id="{4629F3B6-8C5C-4244-B4A1-E128B71A1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2" name="Imagem 521" descr="http://sistemaswebhom.einstein.br/CME/Imagens/nada.gif">
          <a:extLst>
            <a:ext uri="{FF2B5EF4-FFF2-40B4-BE49-F238E27FC236}">
              <a16:creationId xmlns:a16="http://schemas.microsoft.com/office/drawing/2014/main" id="{BDB52450-89CC-4986-B8AD-C1EFFF1B7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3" name="Imagem 522" descr="http://sistemaswebhom.einstein.br/CME/Imagens/nada.gif">
          <a:extLst>
            <a:ext uri="{FF2B5EF4-FFF2-40B4-BE49-F238E27FC236}">
              <a16:creationId xmlns:a16="http://schemas.microsoft.com/office/drawing/2014/main" id="{F8813E43-DA64-4E58-A82C-A6D8A7B1F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4" name="Imagem 523" descr="http://sistemaswebhom.einstein.br/CME/Imagens/nada.gif">
          <a:extLst>
            <a:ext uri="{FF2B5EF4-FFF2-40B4-BE49-F238E27FC236}">
              <a16:creationId xmlns:a16="http://schemas.microsoft.com/office/drawing/2014/main" id="{C881FDD4-A32B-422C-B354-9C2A9FF3D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5" name="Imagem 524" descr="http://sistemaswebhom.einstein.br/CME/Imagens/nada.gif">
          <a:extLst>
            <a:ext uri="{FF2B5EF4-FFF2-40B4-BE49-F238E27FC236}">
              <a16:creationId xmlns:a16="http://schemas.microsoft.com/office/drawing/2014/main" id="{0229D913-3CC6-4BB9-8A32-D3FFB0E33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6" name="Imagem 525" descr="http://sistemaswebhom.einstein.br/CME/Imagens/nada.gif">
          <a:extLst>
            <a:ext uri="{FF2B5EF4-FFF2-40B4-BE49-F238E27FC236}">
              <a16:creationId xmlns:a16="http://schemas.microsoft.com/office/drawing/2014/main" id="{314AE332-A747-4215-BA55-ED641C880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7" name="Imagem 526" descr="http://sistemaswebhom.einstein.br/CME/Imagens/nada.gif">
          <a:extLst>
            <a:ext uri="{FF2B5EF4-FFF2-40B4-BE49-F238E27FC236}">
              <a16:creationId xmlns:a16="http://schemas.microsoft.com/office/drawing/2014/main" id="{54A7FA42-54D2-41E5-86F6-A6688CFA0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8" name="Imagem 527" descr="http://sistemaswebhom.einstein.br/CME/Imagens/nada.gif">
          <a:extLst>
            <a:ext uri="{FF2B5EF4-FFF2-40B4-BE49-F238E27FC236}">
              <a16:creationId xmlns:a16="http://schemas.microsoft.com/office/drawing/2014/main" id="{E8B70D64-D1E3-4A63-B8B3-04E2E6AC2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29" name="Imagem 528" descr="http://sistemaswebhom.einstein.br/CME/Imagens/nada.gif">
          <a:extLst>
            <a:ext uri="{FF2B5EF4-FFF2-40B4-BE49-F238E27FC236}">
              <a16:creationId xmlns:a16="http://schemas.microsoft.com/office/drawing/2014/main" id="{A65A1294-9391-4739-869A-2DCED432D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0" name="Imagem 529" descr="http://sistemaswebhom.einstein.br/CME/Imagens/nada.gif">
          <a:extLst>
            <a:ext uri="{FF2B5EF4-FFF2-40B4-BE49-F238E27FC236}">
              <a16:creationId xmlns:a16="http://schemas.microsoft.com/office/drawing/2014/main" id="{931A6EBC-2A45-469A-9C6C-7F629504E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1" name="Imagem 530" descr="http://sistemaswebhom.einstein.br/CME/Imagens/nada.gif">
          <a:extLst>
            <a:ext uri="{FF2B5EF4-FFF2-40B4-BE49-F238E27FC236}">
              <a16:creationId xmlns:a16="http://schemas.microsoft.com/office/drawing/2014/main" id="{01F23FF2-36D1-4439-A54B-0AB843E9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2" name="Imagem 531" descr="http://sistemaswebhom.einstein.br/CME/Imagens/nada.gif">
          <a:extLst>
            <a:ext uri="{FF2B5EF4-FFF2-40B4-BE49-F238E27FC236}">
              <a16:creationId xmlns:a16="http://schemas.microsoft.com/office/drawing/2014/main" id="{DDB5B891-A6BA-48F7-A75B-2CB5BC8C0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3" name="Imagem 532" descr="http://sistemaswebhom.einstein.br/CME/Imagens/nada.gif">
          <a:extLst>
            <a:ext uri="{FF2B5EF4-FFF2-40B4-BE49-F238E27FC236}">
              <a16:creationId xmlns:a16="http://schemas.microsoft.com/office/drawing/2014/main" id="{D1BF90F6-AEBD-4399-B378-538E3434B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4" name="Imagem 533" descr="http://sistemaswebhom.einstein.br/CME/Imagens/nada.gif">
          <a:extLst>
            <a:ext uri="{FF2B5EF4-FFF2-40B4-BE49-F238E27FC236}">
              <a16:creationId xmlns:a16="http://schemas.microsoft.com/office/drawing/2014/main" id="{D283D538-BF12-4070-86A5-2560838EA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5" name="Imagem 534" descr="http://sistemaswebhom.einstein.br/CME/Imagens/nada.gif">
          <a:extLst>
            <a:ext uri="{FF2B5EF4-FFF2-40B4-BE49-F238E27FC236}">
              <a16:creationId xmlns:a16="http://schemas.microsoft.com/office/drawing/2014/main" id="{DF3A2749-7B24-4C38-AF9F-2CEA97827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6" name="Imagem 535" descr="http://sistemaswebhom.einstein.br/CME/Imagens/nada.gif">
          <a:extLst>
            <a:ext uri="{FF2B5EF4-FFF2-40B4-BE49-F238E27FC236}">
              <a16:creationId xmlns:a16="http://schemas.microsoft.com/office/drawing/2014/main" id="{B2443B65-91ED-470C-92AA-F7F16C965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7" name="Imagem 536" descr="http://sistemaswebhom.einstein.br/CME/Imagens/nada.gif">
          <a:extLst>
            <a:ext uri="{FF2B5EF4-FFF2-40B4-BE49-F238E27FC236}">
              <a16:creationId xmlns:a16="http://schemas.microsoft.com/office/drawing/2014/main" id="{3A0E28D0-5EEF-40DB-BCE2-9A3180B9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8" name="Imagem 537" descr="http://sistemaswebhom.einstein.br/CME/Imagens/nada.gif">
          <a:extLst>
            <a:ext uri="{FF2B5EF4-FFF2-40B4-BE49-F238E27FC236}">
              <a16:creationId xmlns:a16="http://schemas.microsoft.com/office/drawing/2014/main" id="{99A2B2A6-C614-411F-885A-24AD52B35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39" name="Imagem 538" descr="http://sistemaswebhom.einstein.br/CME/Imagens/nada.gif">
          <a:extLst>
            <a:ext uri="{FF2B5EF4-FFF2-40B4-BE49-F238E27FC236}">
              <a16:creationId xmlns:a16="http://schemas.microsoft.com/office/drawing/2014/main" id="{5B1274C0-BA89-40B1-A86C-66F7B32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0" name="Imagem 539" descr="http://sistemaswebhom.einstein.br/CME/Imagens/nada.gif">
          <a:extLst>
            <a:ext uri="{FF2B5EF4-FFF2-40B4-BE49-F238E27FC236}">
              <a16:creationId xmlns:a16="http://schemas.microsoft.com/office/drawing/2014/main" id="{BD17EB40-6307-44FF-ACE5-A64916D97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1" name="Imagem 540" descr="http://sistemaswebhom.einstein.br/CME/Imagens/nada.gif">
          <a:extLst>
            <a:ext uri="{FF2B5EF4-FFF2-40B4-BE49-F238E27FC236}">
              <a16:creationId xmlns:a16="http://schemas.microsoft.com/office/drawing/2014/main" id="{68F7DB20-D120-4AAC-A03D-60A8B4E66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2" name="Imagem 541" descr="http://sistemaswebhom.einstein.br/CME/Imagens/nada.gif">
          <a:extLst>
            <a:ext uri="{FF2B5EF4-FFF2-40B4-BE49-F238E27FC236}">
              <a16:creationId xmlns:a16="http://schemas.microsoft.com/office/drawing/2014/main" id="{939DB5FE-AD04-4ECC-830D-27897B3BD2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3" name="Imagem 542" descr="http://sistemaswebhom.einstein.br/CME/Imagens/nada.gif">
          <a:extLst>
            <a:ext uri="{FF2B5EF4-FFF2-40B4-BE49-F238E27FC236}">
              <a16:creationId xmlns:a16="http://schemas.microsoft.com/office/drawing/2014/main" id="{1CAD3C9D-DAEF-4C48-9667-FA742F1C3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4" name="Imagem 543" descr="http://sistemaswebhom.einstein.br/CME/Imagens/nada.gif">
          <a:extLst>
            <a:ext uri="{FF2B5EF4-FFF2-40B4-BE49-F238E27FC236}">
              <a16:creationId xmlns:a16="http://schemas.microsoft.com/office/drawing/2014/main" id="{E0676D06-6B8E-466F-AAF6-D0D53F6D67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5" name="Imagem 544" descr="http://sistemaswebhom.einstein.br/CME/Imagens/nada.gif">
          <a:extLst>
            <a:ext uri="{FF2B5EF4-FFF2-40B4-BE49-F238E27FC236}">
              <a16:creationId xmlns:a16="http://schemas.microsoft.com/office/drawing/2014/main" id="{2D58ACD1-4B30-4BCC-9311-68F8F295B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6" name="Imagem 545" descr="http://sistemaswebhom.einstein.br/CME/Imagens/nada.gif">
          <a:extLst>
            <a:ext uri="{FF2B5EF4-FFF2-40B4-BE49-F238E27FC236}">
              <a16:creationId xmlns:a16="http://schemas.microsoft.com/office/drawing/2014/main" id="{CF07832D-A94B-4F46-B6F2-918F34630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7" name="Imagem 546" descr="http://sistemaswebhom.einstein.br/CME/Imagens/nada.gif">
          <a:extLst>
            <a:ext uri="{FF2B5EF4-FFF2-40B4-BE49-F238E27FC236}">
              <a16:creationId xmlns:a16="http://schemas.microsoft.com/office/drawing/2014/main" id="{E5C792C7-DAFA-4C65-86EA-7D96DB3C1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8" name="Imagem 547" descr="http://sistemaswebhom.einstein.br/CME/Imagens/nada.gif">
          <a:extLst>
            <a:ext uri="{FF2B5EF4-FFF2-40B4-BE49-F238E27FC236}">
              <a16:creationId xmlns:a16="http://schemas.microsoft.com/office/drawing/2014/main" id="{C0497A2C-5292-403A-88EF-4044C42BA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49" name="Imagem 548" descr="http://sistemaswebhom.einstein.br/CME/Imagens/nada.gif">
          <a:extLst>
            <a:ext uri="{FF2B5EF4-FFF2-40B4-BE49-F238E27FC236}">
              <a16:creationId xmlns:a16="http://schemas.microsoft.com/office/drawing/2014/main" id="{7969C2F3-45B6-4343-85C2-6B182DB49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0" name="Imagem 549" descr="http://sistemaswebhom.einstein.br/CME/Imagens/nada.gif">
          <a:extLst>
            <a:ext uri="{FF2B5EF4-FFF2-40B4-BE49-F238E27FC236}">
              <a16:creationId xmlns:a16="http://schemas.microsoft.com/office/drawing/2014/main" id="{1E3DD07B-0E6C-467A-BFB1-58D4E5BD8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1" name="Imagem 550" descr="http://sistemaswebhom.einstein.br/CME/Imagens/nada.gif">
          <a:extLst>
            <a:ext uri="{FF2B5EF4-FFF2-40B4-BE49-F238E27FC236}">
              <a16:creationId xmlns:a16="http://schemas.microsoft.com/office/drawing/2014/main" id="{2FD67317-3258-4810-B1B3-27299AE06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2" name="Imagem 551" descr="http://sistemaswebhom.einstein.br/CME/Imagens/nada.gif">
          <a:extLst>
            <a:ext uri="{FF2B5EF4-FFF2-40B4-BE49-F238E27FC236}">
              <a16:creationId xmlns:a16="http://schemas.microsoft.com/office/drawing/2014/main" id="{188F5838-935D-46EF-9D71-FF7237B58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3" name="Imagem 552" descr="http://sistemaswebhom.einstein.br/CME/Imagens/nada.gif">
          <a:extLst>
            <a:ext uri="{FF2B5EF4-FFF2-40B4-BE49-F238E27FC236}">
              <a16:creationId xmlns:a16="http://schemas.microsoft.com/office/drawing/2014/main" id="{FB1A8D55-69D2-499C-B5A0-CA75E420A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4" name="Imagem 553" descr="http://sistemaswebhom.einstein.br/CME/Imagens/nada.gif">
          <a:extLst>
            <a:ext uri="{FF2B5EF4-FFF2-40B4-BE49-F238E27FC236}">
              <a16:creationId xmlns:a16="http://schemas.microsoft.com/office/drawing/2014/main" id="{F364C026-15B8-45D2-B3A0-6701B9389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5" name="Imagem 554" descr="http://sistemaswebhom.einstein.br/CME/Imagens/nada.gif">
          <a:extLst>
            <a:ext uri="{FF2B5EF4-FFF2-40B4-BE49-F238E27FC236}">
              <a16:creationId xmlns:a16="http://schemas.microsoft.com/office/drawing/2014/main" id="{257949A2-AF51-474C-8F29-CE30307F4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6" name="Imagem 555" descr="http://sistemaswebhom.einstein.br/CME/Imagens/nada.gif">
          <a:extLst>
            <a:ext uri="{FF2B5EF4-FFF2-40B4-BE49-F238E27FC236}">
              <a16:creationId xmlns:a16="http://schemas.microsoft.com/office/drawing/2014/main" id="{EAEB945B-88B3-488D-AF2E-892E7CCD9D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7" name="Imagem 556" descr="http://sistemaswebhom.einstein.br/CME/Imagens/nada.gif">
          <a:extLst>
            <a:ext uri="{FF2B5EF4-FFF2-40B4-BE49-F238E27FC236}">
              <a16:creationId xmlns:a16="http://schemas.microsoft.com/office/drawing/2014/main" id="{7DD2900F-04EF-4B20-A716-844987432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8" name="Imagem 557" descr="http://sistemaswebhom.einstein.br/CME/Imagens/nada.gif">
          <a:extLst>
            <a:ext uri="{FF2B5EF4-FFF2-40B4-BE49-F238E27FC236}">
              <a16:creationId xmlns:a16="http://schemas.microsoft.com/office/drawing/2014/main" id="{0113B913-82A9-4B3F-8239-94A1DA61C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59" name="Imagem 558" descr="http://sistemaswebhom.einstein.br/CME/Imagens/nada.gif">
          <a:extLst>
            <a:ext uri="{FF2B5EF4-FFF2-40B4-BE49-F238E27FC236}">
              <a16:creationId xmlns:a16="http://schemas.microsoft.com/office/drawing/2014/main" id="{8354E0EA-677C-4111-9EC9-0B3027E79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0" name="Imagem 559" descr="http://sistemaswebhom.einstein.br/CME/Imagens/nada.gif">
          <a:extLst>
            <a:ext uri="{FF2B5EF4-FFF2-40B4-BE49-F238E27FC236}">
              <a16:creationId xmlns:a16="http://schemas.microsoft.com/office/drawing/2014/main" id="{CBA5A93A-A6CF-4ED0-A164-86801315F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1" name="Imagem 560" descr="http://sistemaswebhom.einstein.br/CME/Imagens/nada.gif">
          <a:extLst>
            <a:ext uri="{FF2B5EF4-FFF2-40B4-BE49-F238E27FC236}">
              <a16:creationId xmlns:a16="http://schemas.microsoft.com/office/drawing/2014/main" id="{9875F63D-E08B-46A0-A76E-0E2D971D6B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2" name="Imagem 561" descr="http://sistemaswebhom.einstein.br/CME/Imagens/nada.gif">
          <a:extLst>
            <a:ext uri="{FF2B5EF4-FFF2-40B4-BE49-F238E27FC236}">
              <a16:creationId xmlns:a16="http://schemas.microsoft.com/office/drawing/2014/main" id="{A37E48DC-2DCB-4B27-AF7F-DA76DAF86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3" name="Imagem 562" descr="http://sistemaswebhom.einstein.br/CME/Imagens/nada.gif">
          <a:extLst>
            <a:ext uri="{FF2B5EF4-FFF2-40B4-BE49-F238E27FC236}">
              <a16:creationId xmlns:a16="http://schemas.microsoft.com/office/drawing/2014/main" id="{43EA4955-59E9-45E0-9705-4DCAAF02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4" name="Imagem 563" descr="http://sistemaswebhom.einstein.br/CME/Imagens/nada.gif">
          <a:extLst>
            <a:ext uri="{FF2B5EF4-FFF2-40B4-BE49-F238E27FC236}">
              <a16:creationId xmlns:a16="http://schemas.microsoft.com/office/drawing/2014/main" id="{7877705D-E4E6-4060-8791-A4EB33BD1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5" name="Imagem 564" descr="http://sistemaswebhom.einstein.br/CME/Imagens/nada.gif">
          <a:extLst>
            <a:ext uri="{FF2B5EF4-FFF2-40B4-BE49-F238E27FC236}">
              <a16:creationId xmlns:a16="http://schemas.microsoft.com/office/drawing/2014/main" id="{13618CC5-9424-4067-8E15-99A0C783A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6" name="Imagem 565" descr="http://sistemaswebhom.einstein.br/CME/Imagens/nada.gif">
          <a:extLst>
            <a:ext uri="{FF2B5EF4-FFF2-40B4-BE49-F238E27FC236}">
              <a16:creationId xmlns:a16="http://schemas.microsoft.com/office/drawing/2014/main" id="{F99832FD-03C4-4D34-89AD-1BE1503B7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7" name="Imagem 566" descr="http://sistemaswebhom.einstein.br/CME/Imagens/nada.gif">
          <a:extLst>
            <a:ext uri="{FF2B5EF4-FFF2-40B4-BE49-F238E27FC236}">
              <a16:creationId xmlns:a16="http://schemas.microsoft.com/office/drawing/2014/main" id="{D5403DE7-35B5-4D49-9DF4-EAC15606E1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8" name="Imagem 567" descr="http://sistemaswebhom.einstein.br/CME/Imagens/nada.gif">
          <a:extLst>
            <a:ext uri="{FF2B5EF4-FFF2-40B4-BE49-F238E27FC236}">
              <a16:creationId xmlns:a16="http://schemas.microsoft.com/office/drawing/2014/main" id="{B5B98B9E-F69F-4F40-84B2-3F8D56129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69" name="Imagem 568" descr="http://sistemaswebhom.einstein.br/CME/Imagens/nada.gif">
          <a:extLst>
            <a:ext uri="{FF2B5EF4-FFF2-40B4-BE49-F238E27FC236}">
              <a16:creationId xmlns:a16="http://schemas.microsoft.com/office/drawing/2014/main" id="{2FBD20F6-D796-4B16-BC11-ACAE955E8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0" name="Imagem 569" descr="http://sistemaswebhom.einstein.br/CME/Imagens/nada.gif">
          <a:extLst>
            <a:ext uri="{FF2B5EF4-FFF2-40B4-BE49-F238E27FC236}">
              <a16:creationId xmlns:a16="http://schemas.microsoft.com/office/drawing/2014/main" id="{F5B5B5A2-DB3B-48E4-A696-138641099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1" name="Imagem 570" descr="http://sistemaswebhom.einstein.br/CME/Imagens/nada.gif">
          <a:extLst>
            <a:ext uri="{FF2B5EF4-FFF2-40B4-BE49-F238E27FC236}">
              <a16:creationId xmlns:a16="http://schemas.microsoft.com/office/drawing/2014/main" id="{DE994BF6-72C9-4F50-B556-A03F2FF1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2" name="Imagem 571" descr="http://sistemaswebhom.einstein.br/CME/Imagens/nada.gif">
          <a:extLst>
            <a:ext uri="{FF2B5EF4-FFF2-40B4-BE49-F238E27FC236}">
              <a16:creationId xmlns:a16="http://schemas.microsoft.com/office/drawing/2014/main" id="{D7343743-178F-42CA-8D2A-68F8C103A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3" name="Imagem 572" descr="http://sistemaswebhom.einstein.br/CME/Imagens/nada.gif">
          <a:extLst>
            <a:ext uri="{FF2B5EF4-FFF2-40B4-BE49-F238E27FC236}">
              <a16:creationId xmlns:a16="http://schemas.microsoft.com/office/drawing/2014/main" id="{8CCDE643-75BD-4FA3-B123-E23AE082E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4" name="Imagem 573" descr="http://sistemaswebhom.einstein.br/CME/Imagens/nada.gif">
          <a:extLst>
            <a:ext uri="{FF2B5EF4-FFF2-40B4-BE49-F238E27FC236}">
              <a16:creationId xmlns:a16="http://schemas.microsoft.com/office/drawing/2014/main" id="{38DDC571-E344-444B-A227-F36753BA2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5" name="Imagem 574" descr="http://sistemaswebhom.einstein.br/CME/Imagens/nada.gif">
          <a:extLst>
            <a:ext uri="{FF2B5EF4-FFF2-40B4-BE49-F238E27FC236}">
              <a16:creationId xmlns:a16="http://schemas.microsoft.com/office/drawing/2014/main" id="{6335110C-5495-4F23-A076-21C193B7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6" name="Imagem 575" descr="http://sistemaswebhom.einstein.br/CME/Imagens/nada.gif">
          <a:extLst>
            <a:ext uri="{FF2B5EF4-FFF2-40B4-BE49-F238E27FC236}">
              <a16:creationId xmlns:a16="http://schemas.microsoft.com/office/drawing/2014/main" id="{B4FCB990-FC19-4066-9157-16D9D3CC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7" name="Imagem 576" descr="http://sistemaswebhom.einstein.br/CME/Imagens/nada.gif">
          <a:extLst>
            <a:ext uri="{FF2B5EF4-FFF2-40B4-BE49-F238E27FC236}">
              <a16:creationId xmlns:a16="http://schemas.microsoft.com/office/drawing/2014/main" id="{7AB7B98B-6248-446F-953B-3BF57B0F6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8" name="Imagem 577" descr="http://sistemaswebhom.einstein.br/CME/Imagens/nada.gif">
          <a:extLst>
            <a:ext uri="{FF2B5EF4-FFF2-40B4-BE49-F238E27FC236}">
              <a16:creationId xmlns:a16="http://schemas.microsoft.com/office/drawing/2014/main" id="{B1008268-C1F8-4E79-A683-3E845678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79" name="Imagem 578" descr="http://sistemaswebhom.einstein.br/CME/Imagens/nada.gif">
          <a:extLst>
            <a:ext uri="{FF2B5EF4-FFF2-40B4-BE49-F238E27FC236}">
              <a16:creationId xmlns:a16="http://schemas.microsoft.com/office/drawing/2014/main" id="{5A9CA139-305D-408E-8394-F74EA6DE5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0" name="Imagem 579" descr="http://sistemaswebhom.einstein.br/CME/Imagens/nada.gif">
          <a:extLst>
            <a:ext uri="{FF2B5EF4-FFF2-40B4-BE49-F238E27FC236}">
              <a16:creationId xmlns:a16="http://schemas.microsoft.com/office/drawing/2014/main" id="{33BD712F-4CDA-4B15-B741-EFC2A0298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1" name="Imagem 580" descr="http://sistemaswebhom.einstein.br/CME/Imagens/nada.gif">
          <a:extLst>
            <a:ext uri="{FF2B5EF4-FFF2-40B4-BE49-F238E27FC236}">
              <a16:creationId xmlns:a16="http://schemas.microsoft.com/office/drawing/2014/main" id="{49D93F2F-514C-4FB9-9324-5BEFB06E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2" name="Imagem 581" descr="http://sistemaswebhom.einstein.br/CME/Imagens/nada.gif">
          <a:extLst>
            <a:ext uri="{FF2B5EF4-FFF2-40B4-BE49-F238E27FC236}">
              <a16:creationId xmlns:a16="http://schemas.microsoft.com/office/drawing/2014/main" id="{20AAD6BD-13C1-4DDA-A4F7-FD3492EE3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3" name="Imagem 582" descr="http://sistemaswebhom.einstein.br/CME/Imagens/nada.gif">
          <a:extLst>
            <a:ext uri="{FF2B5EF4-FFF2-40B4-BE49-F238E27FC236}">
              <a16:creationId xmlns:a16="http://schemas.microsoft.com/office/drawing/2014/main" id="{6CD9B0BC-BDAB-4FB6-8995-452ED2FE5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4" name="Imagem 583" descr="http://sistemaswebhom.einstein.br/CME/Imagens/nada.gif">
          <a:extLst>
            <a:ext uri="{FF2B5EF4-FFF2-40B4-BE49-F238E27FC236}">
              <a16:creationId xmlns:a16="http://schemas.microsoft.com/office/drawing/2014/main" id="{3524457F-9ECE-4124-BA84-352D711C0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5" name="Imagem 584" descr="http://sistemaswebhom.einstein.br/CME/Imagens/nada.gif">
          <a:extLst>
            <a:ext uri="{FF2B5EF4-FFF2-40B4-BE49-F238E27FC236}">
              <a16:creationId xmlns:a16="http://schemas.microsoft.com/office/drawing/2014/main" id="{DF2D6A85-0BC5-414E-9E68-34BE6D6B2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6" name="Imagem 585" descr="http://sistemaswebhom.einstein.br/CME/Imagens/nada.gif">
          <a:extLst>
            <a:ext uri="{FF2B5EF4-FFF2-40B4-BE49-F238E27FC236}">
              <a16:creationId xmlns:a16="http://schemas.microsoft.com/office/drawing/2014/main" id="{217FC952-AD40-4555-913E-7D36A689F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7" name="Imagem 586" descr="http://sistemaswebhom.einstein.br/CME/Imagens/nada.gif">
          <a:extLst>
            <a:ext uri="{FF2B5EF4-FFF2-40B4-BE49-F238E27FC236}">
              <a16:creationId xmlns:a16="http://schemas.microsoft.com/office/drawing/2014/main" id="{22B43AEA-64AA-410C-AB24-B7EF97FF4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8" name="Imagem 587" descr="http://sistemaswebhom.einstein.br/CME/Imagens/nada.gif">
          <a:extLst>
            <a:ext uri="{FF2B5EF4-FFF2-40B4-BE49-F238E27FC236}">
              <a16:creationId xmlns:a16="http://schemas.microsoft.com/office/drawing/2014/main" id="{F78795B4-D034-4B0B-8B33-395A4E64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89" name="Imagem 588" descr="http://sistemaswebhom.einstein.br/CME/Imagens/nada.gif">
          <a:extLst>
            <a:ext uri="{FF2B5EF4-FFF2-40B4-BE49-F238E27FC236}">
              <a16:creationId xmlns:a16="http://schemas.microsoft.com/office/drawing/2014/main" id="{DC0A29CC-95C2-480A-9BA9-B43A80946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0" name="Imagem 589" descr="http://sistemaswebhom.einstein.br/CME/Imagens/nada.gif">
          <a:extLst>
            <a:ext uri="{FF2B5EF4-FFF2-40B4-BE49-F238E27FC236}">
              <a16:creationId xmlns:a16="http://schemas.microsoft.com/office/drawing/2014/main" id="{F13FF84B-73AF-43A2-B8AF-7CFBDACE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1" name="Imagem 590" descr="http://sistemaswebhom.einstein.br/CME/Imagens/nada.gif">
          <a:extLst>
            <a:ext uri="{FF2B5EF4-FFF2-40B4-BE49-F238E27FC236}">
              <a16:creationId xmlns:a16="http://schemas.microsoft.com/office/drawing/2014/main" id="{4FDDBDAC-25B9-46F8-A04A-2F6429DE4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2" name="Imagem 591" descr="http://sistemaswebhom.einstein.br/CME/Imagens/nada.gif">
          <a:extLst>
            <a:ext uri="{FF2B5EF4-FFF2-40B4-BE49-F238E27FC236}">
              <a16:creationId xmlns:a16="http://schemas.microsoft.com/office/drawing/2014/main" id="{C9DB63C4-3F7C-42BF-A497-9EB6735E3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3" name="Imagem 592" descr="http://sistemaswebhom.einstein.br/CME/Imagens/nada.gif">
          <a:extLst>
            <a:ext uri="{FF2B5EF4-FFF2-40B4-BE49-F238E27FC236}">
              <a16:creationId xmlns:a16="http://schemas.microsoft.com/office/drawing/2014/main" id="{55CD25D7-4342-4FD4-9CB1-33278C13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4" name="Imagem 593" descr="http://sistemaswebhom.einstein.br/CME/Imagens/nada.gif">
          <a:extLst>
            <a:ext uri="{FF2B5EF4-FFF2-40B4-BE49-F238E27FC236}">
              <a16:creationId xmlns:a16="http://schemas.microsoft.com/office/drawing/2014/main" id="{449317F6-C126-4A1A-935E-AD3FFE298F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5" name="Imagem 594" descr="http://sistemaswebhom.einstein.br/CME/Imagens/nada.gif">
          <a:extLst>
            <a:ext uri="{FF2B5EF4-FFF2-40B4-BE49-F238E27FC236}">
              <a16:creationId xmlns:a16="http://schemas.microsoft.com/office/drawing/2014/main" id="{1DD7912F-EB3D-4D54-81AB-DE5489AD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6" name="Imagem 595" descr="http://sistemaswebhom.einstein.br/CME/Imagens/nada.gif">
          <a:extLst>
            <a:ext uri="{FF2B5EF4-FFF2-40B4-BE49-F238E27FC236}">
              <a16:creationId xmlns:a16="http://schemas.microsoft.com/office/drawing/2014/main" id="{99F9D6ED-8CB2-461E-8274-3BD7F374B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7" name="Imagem 596" descr="http://sistemaswebhom.einstein.br/CME/Imagens/nada.gif">
          <a:extLst>
            <a:ext uri="{FF2B5EF4-FFF2-40B4-BE49-F238E27FC236}">
              <a16:creationId xmlns:a16="http://schemas.microsoft.com/office/drawing/2014/main" id="{24365883-CBDD-43E8-A77E-CDA6653AF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8" name="Imagem 597" descr="http://sistemaswebhom.einstein.br/CME/Imagens/nada.gif">
          <a:extLst>
            <a:ext uri="{FF2B5EF4-FFF2-40B4-BE49-F238E27FC236}">
              <a16:creationId xmlns:a16="http://schemas.microsoft.com/office/drawing/2014/main" id="{2F8CF872-582B-47F1-BF0E-91B8C406AF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599" name="Imagem 598" descr="http://sistemaswebhom.einstein.br/CME/Imagens/nada.gif">
          <a:extLst>
            <a:ext uri="{FF2B5EF4-FFF2-40B4-BE49-F238E27FC236}">
              <a16:creationId xmlns:a16="http://schemas.microsoft.com/office/drawing/2014/main" id="{593216A0-89A2-41D2-9A02-7CDC50158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0" name="Imagem 599" descr="http://sistemaswebhom.einstein.br/CME/Imagens/nada.gif">
          <a:extLst>
            <a:ext uri="{FF2B5EF4-FFF2-40B4-BE49-F238E27FC236}">
              <a16:creationId xmlns:a16="http://schemas.microsoft.com/office/drawing/2014/main" id="{A30ED98F-BFA2-4B7F-A3A0-76B811B37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1" name="Imagem 600" descr="http://sistemaswebhom.einstein.br/CME/Imagens/nada.gif">
          <a:extLst>
            <a:ext uri="{FF2B5EF4-FFF2-40B4-BE49-F238E27FC236}">
              <a16:creationId xmlns:a16="http://schemas.microsoft.com/office/drawing/2014/main" id="{D5E6EF4C-B1A2-4345-A4C3-9C317EDBB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2" name="Imagem 601" descr="http://sistemaswebhom.einstein.br/CME/Imagens/nada.gif">
          <a:extLst>
            <a:ext uri="{FF2B5EF4-FFF2-40B4-BE49-F238E27FC236}">
              <a16:creationId xmlns:a16="http://schemas.microsoft.com/office/drawing/2014/main" id="{6278D945-D163-4D1D-B316-F60BA6A41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3" name="Imagem 602" descr="http://sistemaswebhom.einstein.br/CME/Imagens/nada.gif">
          <a:extLst>
            <a:ext uri="{FF2B5EF4-FFF2-40B4-BE49-F238E27FC236}">
              <a16:creationId xmlns:a16="http://schemas.microsoft.com/office/drawing/2014/main" id="{B7967894-6556-49D3-9987-409347C35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4" name="Imagem 603" descr="http://sistemaswebhom.einstein.br/CME/Imagens/nada.gif">
          <a:extLst>
            <a:ext uri="{FF2B5EF4-FFF2-40B4-BE49-F238E27FC236}">
              <a16:creationId xmlns:a16="http://schemas.microsoft.com/office/drawing/2014/main" id="{D849F308-E19D-4B09-B71A-EC193BE8E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5" name="Imagem 604" descr="http://sistemaswebhom.einstein.br/CME/Imagens/nada.gif">
          <a:extLst>
            <a:ext uri="{FF2B5EF4-FFF2-40B4-BE49-F238E27FC236}">
              <a16:creationId xmlns:a16="http://schemas.microsoft.com/office/drawing/2014/main" id="{D4FD20B6-124F-4C2C-A79F-D4B399702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6" name="Imagem 605" descr="http://sistemaswebhom.einstein.br/CME/Imagens/nada.gif">
          <a:extLst>
            <a:ext uri="{FF2B5EF4-FFF2-40B4-BE49-F238E27FC236}">
              <a16:creationId xmlns:a16="http://schemas.microsoft.com/office/drawing/2014/main" id="{3137CB7C-F50B-47F5-AFF1-284FCAC01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7" name="Imagem 606" descr="http://sistemaswebhom.einstein.br/CME/Imagens/nada.gif">
          <a:extLst>
            <a:ext uri="{FF2B5EF4-FFF2-40B4-BE49-F238E27FC236}">
              <a16:creationId xmlns:a16="http://schemas.microsoft.com/office/drawing/2014/main" id="{24F446AE-90F3-4998-9872-D974DE90A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8" name="Imagem 607" descr="http://sistemaswebhom.einstein.br/CME/Imagens/nada.gif">
          <a:extLst>
            <a:ext uri="{FF2B5EF4-FFF2-40B4-BE49-F238E27FC236}">
              <a16:creationId xmlns:a16="http://schemas.microsoft.com/office/drawing/2014/main" id="{396FA091-0028-4220-BE0B-CC786E71FF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09" name="Imagem 608" descr="http://sistemaswebhom.einstein.br/CME/Imagens/nada.gif">
          <a:extLst>
            <a:ext uri="{FF2B5EF4-FFF2-40B4-BE49-F238E27FC236}">
              <a16:creationId xmlns:a16="http://schemas.microsoft.com/office/drawing/2014/main" id="{0473AC1F-18EA-4BAE-BD6E-64A5FDE37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0" name="Imagem 609" descr="http://sistemaswebhom.einstein.br/CME/Imagens/nada.gif">
          <a:extLst>
            <a:ext uri="{FF2B5EF4-FFF2-40B4-BE49-F238E27FC236}">
              <a16:creationId xmlns:a16="http://schemas.microsoft.com/office/drawing/2014/main" id="{A02C20A9-0195-4582-9738-5878D83E0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1" name="Imagem 610" descr="http://sistemaswebhom.einstein.br/CME/Imagens/nada.gif">
          <a:extLst>
            <a:ext uri="{FF2B5EF4-FFF2-40B4-BE49-F238E27FC236}">
              <a16:creationId xmlns:a16="http://schemas.microsoft.com/office/drawing/2014/main" id="{21E814A9-58B0-4433-9DFE-918B25BE3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2" name="Imagem 611" descr="http://sistemaswebhom.einstein.br/CME/Imagens/nada.gif">
          <a:extLst>
            <a:ext uri="{FF2B5EF4-FFF2-40B4-BE49-F238E27FC236}">
              <a16:creationId xmlns:a16="http://schemas.microsoft.com/office/drawing/2014/main" id="{B7B5FB60-35A4-48C4-8D86-E63B7E8AB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3" name="Imagem 612" descr="http://sistemaswebhom.einstein.br/CME/Imagens/nada.gif">
          <a:extLst>
            <a:ext uri="{FF2B5EF4-FFF2-40B4-BE49-F238E27FC236}">
              <a16:creationId xmlns:a16="http://schemas.microsoft.com/office/drawing/2014/main" id="{1A52761A-5729-4B2A-9AC9-285F1537DA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4" name="Imagem 613" descr="http://sistemaswebhom.einstein.br/CME/Imagens/nada.gif">
          <a:extLst>
            <a:ext uri="{FF2B5EF4-FFF2-40B4-BE49-F238E27FC236}">
              <a16:creationId xmlns:a16="http://schemas.microsoft.com/office/drawing/2014/main" id="{D06E5CDB-459F-4C04-AE19-563968822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5" name="Imagem 614" descr="http://sistemaswebhom.einstein.br/CME/Imagens/nada.gif">
          <a:extLst>
            <a:ext uri="{FF2B5EF4-FFF2-40B4-BE49-F238E27FC236}">
              <a16:creationId xmlns:a16="http://schemas.microsoft.com/office/drawing/2014/main" id="{69103688-3DD2-43CE-8CCC-2FCFC3437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6" name="Imagem 615" descr="http://sistemaswebhom.einstein.br/CME/Imagens/nada.gif">
          <a:extLst>
            <a:ext uri="{FF2B5EF4-FFF2-40B4-BE49-F238E27FC236}">
              <a16:creationId xmlns:a16="http://schemas.microsoft.com/office/drawing/2014/main" id="{433799D7-DA48-4553-BEF6-28010DE6F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7</xdr:col>
      <xdr:colOff>0</xdr:colOff>
      <xdr:row>837</xdr:row>
      <xdr:rowOff>0</xdr:rowOff>
    </xdr:from>
    <xdr:ext cx="9525" cy="0"/>
    <xdr:pic>
      <xdr:nvPicPr>
        <xdr:cNvPr id="617" name="Imagem 616" descr="http://sistemaswebhom.einstein.br/CME/Imagens/nada.gif">
          <a:extLst>
            <a:ext uri="{FF2B5EF4-FFF2-40B4-BE49-F238E27FC236}">
              <a16:creationId xmlns:a16="http://schemas.microsoft.com/office/drawing/2014/main" id="{3441087B-F459-47A5-8696-1CD7C61E7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908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18" name="Imagem 617" descr="http://sistemaswebhom.einstein.br/CME/Imagens/nada.gif">
          <a:extLst>
            <a:ext uri="{FF2B5EF4-FFF2-40B4-BE49-F238E27FC236}">
              <a16:creationId xmlns:a16="http://schemas.microsoft.com/office/drawing/2014/main" id="{EF4C720C-513D-4F12-810A-A8DFC5FCED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19" name="Imagem 618" descr="http://sistemaswebhom.einstein.br/CME/Imagens/nada.gif">
          <a:extLst>
            <a:ext uri="{FF2B5EF4-FFF2-40B4-BE49-F238E27FC236}">
              <a16:creationId xmlns:a16="http://schemas.microsoft.com/office/drawing/2014/main" id="{8B77437A-2E0E-43B1-BC9E-551009F94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0" name="Imagem 619" descr="http://sistemaswebhom.einstein.br/CME/Imagens/nada.gif">
          <a:extLst>
            <a:ext uri="{FF2B5EF4-FFF2-40B4-BE49-F238E27FC236}">
              <a16:creationId xmlns:a16="http://schemas.microsoft.com/office/drawing/2014/main" id="{ACD26587-3780-466F-BC89-59F22162A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1" name="Imagem 620" descr="http://sistemaswebhom.einstein.br/CME/Imagens/nada.gif">
          <a:extLst>
            <a:ext uri="{FF2B5EF4-FFF2-40B4-BE49-F238E27FC236}">
              <a16:creationId xmlns:a16="http://schemas.microsoft.com/office/drawing/2014/main" id="{1B992165-F318-4D90-A63A-7FF9CD64D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2" name="Imagem 621" descr="http://sistemaswebhom.einstein.br/CME/Imagens/nada.gif">
          <a:extLst>
            <a:ext uri="{FF2B5EF4-FFF2-40B4-BE49-F238E27FC236}">
              <a16:creationId xmlns:a16="http://schemas.microsoft.com/office/drawing/2014/main" id="{3C1E2717-E507-44B6-87DC-C8802957C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3" name="Imagem 622" descr="http://sistemaswebhom.einstein.br/CME/Imagens/nada.gif">
          <a:extLst>
            <a:ext uri="{FF2B5EF4-FFF2-40B4-BE49-F238E27FC236}">
              <a16:creationId xmlns:a16="http://schemas.microsoft.com/office/drawing/2014/main" id="{C6A83329-D3FC-48B2-8500-21FB91956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4" name="Imagem 623" descr="http://sistemaswebhom.einstein.br/CME/Imagens/nada.gif">
          <a:extLst>
            <a:ext uri="{FF2B5EF4-FFF2-40B4-BE49-F238E27FC236}">
              <a16:creationId xmlns:a16="http://schemas.microsoft.com/office/drawing/2014/main" id="{FDD4CC10-3F81-47EE-8658-B86016EE2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5" name="Imagem 624" descr="http://sistemaswebhom.einstein.br/CME/Imagens/nada.gif">
          <a:extLst>
            <a:ext uri="{FF2B5EF4-FFF2-40B4-BE49-F238E27FC236}">
              <a16:creationId xmlns:a16="http://schemas.microsoft.com/office/drawing/2014/main" id="{FE16DCE8-4695-41FC-8D2D-F73530BED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6" name="Imagem 625" descr="http://sistemaswebhom.einstein.br/CME/Imagens/nada.gif">
          <a:extLst>
            <a:ext uri="{FF2B5EF4-FFF2-40B4-BE49-F238E27FC236}">
              <a16:creationId xmlns:a16="http://schemas.microsoft.com/office/drawing/2014/main" id="{07A18B3E-8B28-472D-B030-2422C320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7" name="Imagem 626" descr="http://sistemaswebhom.einstein.br/CME/Imagens/nada.gif">
          <a:extLst>
            <a:ext uri="{FF2B5EF4-FFF2-40B4-BE49-F238E27FC236}">
              <a16:creationId xmlns:a16="http://schemas.microsoft.com/office/drawing/2014/main" id="{413263CA-0BD2-4530-BADE-7703AAF1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8" name="Imagem 627" descr="http://sistemaswebhom.einstein.br/CME/Imagens/nada.gif">
          <a:extLst>
            <a:ext uri="{FF2B5EF4-FFF2-40B4-BE49-F238E27FC236}">
              <a16:creationId xmlns:a16="http://schemas.microsoft.com/office/drawing/2014/main" id="{60D33386-5C47-4FE7-8C13-5A2B007C4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29" name="Imagem 628" descr="http://sistemaswebhom.einstein.br/CME/Imagens/nada.gif">
          <a:extLst>
            <a:ext uri="{FF2B5EF4-FFF2-40B4-BE49-F238E27FC236}">
              <a16:creationId xmlns:a16="http://schemas.microsoft.com/office/drawing/2014/main" id="{AF66CC94-E836-4D28-9D77-DE0B91E2E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0" name="Imagem 629" descr="http://sistemaswebhom.einstein.br/CME/Imagens/nada.gif">
          <a:extLst>
            <a:ext uri="{FF2B5EF4-FFF2-40B4-BE49-F238E27FC236}">
              <a16:creationId xmlns:a16="http://schemas.microsoft.com/office/drawing/2014/main" id="{358F22DA-1D64-4BC9-B3D3-A416EDC1E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1" name="Imagem 630" descr="http://sistemaswebhom.einstein.br/CME/Imagens/nada.gif">
          <a:extLst>
            <a:ext uri="{FF2B5EF4-FFF2-40B4-BE49-F238E27FC236}">
              <a16:creationId xmlns:a16="http://schemas.microsoft.com/office/drawing/2014/main" id="{515F9FDA-CB2F-47B9-B6EF-2DDBB7C4E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2" name="Imagem 631" descr="http://sistemaswebhom.einstein.br/CME/Imagens/nada.gif">
          <a:extLst>
            <a:ext uri="{FF2B5EF4-FFF2-40B4-BE49-F238E27FC236}">
              <a16:creationId xmlns:a16="http://schemas.microsoft.com/office/drawing/2014/main" id="{68CD9D26-0AD4-45F6-9FAE-749A9240F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3" name="Imagem 632" descr="http://sistemaswebhom.einstein.br/CME/Imagens/nada.gif">
          <a:extLst>
            <a:ext uri="{FF2B5EF4-FFF2-40B4-BE49-F238E27FC236}">
              <a16:creationId xmlns:a16="http://schemas.microsoft.com/office/drawing/2014/main" id="{9509DB26-E608-4964-9C11-990276704A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4" name="Imagem 633" descr="http://sistemaswebhom.einstein.br/CME/Imagens/nada.gif">
          <a:extLst>
            <a:ext uri="{FF2B5EF4-FFF2-40B4-BE49-F238E27FC236}">
              <a16:creationId xmlns:a16="http://schemas.microsoft.com/office/drawing/2014/main" id="{6DE3A50A-7846-4000-B1E4-1E50ADE86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5" name="Imagem 634" descr="http://sistemaswebhom.einstein.br/CME/Imagens/nada.gif">
          <a:extLst>
            <a:ext uri="{FF2B5EF4-FFF2-40B4-BE49-F238E27FC236}">
              <a16:creationId xmlns:a16="http://schemas.microsoft.com/office/drawing/2014/main" id="{1BD125D1-70A8-42DD-BEDA-EB9789EA9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6" name="Imagem 635" descr="http://sistemaswebhom.einstein.br/CME/Imagens/nada.gif">
          <a:extLst>
            <a:ext uri="{FF2B5EF4-FFF2-40B4-BE49-F238E27FC236}">
              <a16:creationId xmlns:a16="http://schemas.microsoft.com/office/drawing/2014/main" id="{3DF347CB-713E-490A-81C1-C404114B8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7" name="Imagem 636" descr="http://sistemaswebhom.einstein.br/CME/Imagens/nada.gif">
          <a:extLst>
            <a:ext uri="{FF2B5EF4-FFF2-40B4-BE49-F238E27FC236}">
              <a16:creationId xmlns:a16="http://schemas.microsoft.com/office/drawing/2014/main" id="{231783F2-D58F-4005-AB65-6E63BDF05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8" name="Imagem 637" descr="http://sistemaswebhom.einstein.br/CME/Imagens/nada.gif">
          <a:extLst>
            <a:ext uri="{FF2B5EF4-FFF2-40B4-BE49-F238E27FC236}">
              <a16:creationId xmlns:a16="http://schemas.microsoft.com/office/drawing/2014/main" id="{17849DE6-35EE-49F2-AA1A-942128739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39" name="Imagem 638" descr="http://sistemaswebhom.einstein.br/CME/Imagens/nada.gif">
          <a:extLst>
            <a:ext uri="{FF2B5EF4-FFF2-40B4-BE49-F238E27FC236}">
              <a16:creationId xmlns:a16="http://schemas.microsoft.com/office/drawing/2014/main" id="{D430695E-336D-4445-8B98-0F674CC3B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0" name="Imagem 639" descr="http://sistemaswebhom.einstein.br/CME/Imagens/nada.gif">
          <a:extLst>
            <a:ext uri="{FF2B5EF4-FFF2-40B4-BE49-F238E27FC236}">
              <a16:creationId xmlns:a16="http://schemas.microsoft.com/office/drawing/2014/main" id="{251FC39D-4D34-4411-9751-74858DD02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1" name="Imagem 640" descr="http://sistemaswebhom.einstein.br/CME/Imagens/nada.gif">
          <a:extLst>
            <a:ext uri="{FF2B5EF4-FFF2-40B4-BE49-F238E27FC236}">
              <a16:creationId xmlns:a16="http://schemas.microsoft.com/office/drawing/2014/main" id="{46734059-5949-4F89-B7F4-6B862A8BD6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2" name="Imagem 641" descr="http://sistemaswebhom.einstein.br/CME/Imagens/nada.gif">
          <a:extLst>
            <a:ext uri="{FF2B5EF4-FFF2-40B4-BE49-F238E27FC236}">
              <a16:creationId xmlns:a16="http://schemas.microsoft.com/office/drawing/2014/main" id="{EC32BD22-ACF6-4A24-A8FA-F2C050395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3" name="Imagem 642" descr="http://sistemaswebhom.einstein.br/CME/Imagens/nada.gif">
          <a:extLst>
            <a:ext uri="{FF2B5EF4-FFF2-40B4-BE49-F238E27FC236}">
              <a16:creationId xmlns:a16="http://schemas.microsoft.com/office/drawing/2014/main" id="{BC0327EA-1B83-4343-B894-DAC81D574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4" name="Imagem 643" descr="http://sistemaswebhom.einstein.br/CME/Imagens/nada.gif">
          <a:extLst>
            <a:ext uri="{FF2B5EF4-FFF2-40B4-BE49-F238E27FC236}">
              <a16:creationId xmlns:a16="http://schemas.microsoft.com/office/drawing/2014/main" id="{81856E46-C865-4127-ADCE-AF486A7AE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5" name="Imagem 644" descr="http://sistemaswebhom.einstein.br/CME/Imagens/nada.gif">
          <a:extLst>
            <a:ext uri="{FF2B5EF4-FFF2-40B4-BE49-F238E27FC236}">
              <a16:creationId xmlns:a16="http://schemas.microsoft.com/office/drawing/2014/main" id="{85AEC934-E367-4FDE-936B-DBB4699E4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6" name="Imagem 645" descr="http://sistemaswebhom.einstein.br/CME/Imagens/nada.gif">
          <a:extLst>
            <a:ext uri="{FF2B5EF4-FFF2-40B4-BE49-F238E27FC236}">
              <a16:creationId xmlns:a16="http://schemas.microsoft.com/office/drawing/2014/main" id="{70143B04-6FC7-489B-B979-DDC6955B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7" name="Imagem 646" descr="http://sistemaswebhom.einstein.br/CME/Imagens/nada.gif">
          <a:extLst>
            <a:ext uri="{FF2B5EF4-FFF2-40B4-BE49-F238E27FC236}">
              <a16:creationId xmlns:a16="http://schemas.microsoft.com/office/drawing/2014/main" id="{E1D0FBEF-53C5-4EA0-82B3-8F543F45A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8" name="Imagem 647" descr="http://sistemaswebhom.einstein.br/CME/Imagens/nada.gif">
          <a:extLst>
            <a:ext uri="{FF2B5EF4-FFF2-40B4-BE49-F238E27FC236}">
              <a16:creationId xmlns:a16="http://schemas.microsoft.com/office/drawing/2014/main" id="{0174A538-B8A5-4B3B-8E91-19D2D278C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49" name="Imagem 648" descr="http://sistemaswebhom.einstein.br/CME/Imagens/nada.gif">
          <a:extLst>
            <a:ext uri="{FF2B5EF4-FFF2-40B4-BE49-F238E27FC236}">
              <a16:creationId xmlns:a16="http://schemas.microsoft.com/office/drawing/2014/main" id="{D0188CDC-AC3E-47C5-A7D0-497683AC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50" name="Imagem 649" descr="http://sistemaswebhom.einstein.br/CME/Imagens/nada.gif">
          <a:extLst>
            <a:ext uri="{FF2B5EF4-FFF2-40B4-BE49-F238E27FC236}">
              <a16:creationId xmlns:a16="http://schemas.microsoft.com/office/drawing/2014/main" id="{18793D7C-9214-4E5D-A6F1-4F56CC1FC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3</xdr:col>
      <xdr:colOff>0</xdr:colOff>
      <xdr:row>837</xdr:row>
      <xdr:rowOff>0</xdr:rowOff>
    </xdr:from>
    <xdr:ext cx="9525" cy="0"/>
    <xdr:pic>
      <xdr:nvPicPr>
        <xdr:cNvPr id="651" name="Imagem 650" descr="http://sistemaswebhom.einstein.br/CME/Imagens/nada.gif">
          <a:extLst>
            <a:ext uri="{FF2B5EF4-FFF2-40B4-BE49-F238E27FC236}">
              <a16:creationId xmlns:a16="http://schemas.microsoft.com/office/drawing/2014/main" id="{40A327DF-1FDC-4907-A45E-2C8B1683A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43100" y="129216150"/>
          <a:ext cx="95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319E0-BBBE-4D42-863B-B9B113EA39B1}">
  <dimension ref="A1:AO988"/>
  <sheetViews>
    <sheetView tabSelected="1" topLeftCell="A34" zoomScaleNormal="100" workbookViewId="0">
      <selection activeCell="A45" sqref="A2:XFD45"/>
    </sheetView>
  </sheetViews>
  <sheetFormatPr defaultRowHeight="14.25" x14ac:dyDescent="0.45"/>
  <cols>
    <col min="1" max="1" width="6.33203125" customWidth="1"/>
    <col min="2" max="2" width="22.53125" style="56" customWidth="1"/>
    <col min="3" max="3" width="5.86328125" customWidth="1"/>
    <col min="4" max="4" width="9.9296875" bestFit="1" customWidth="1"/>
    <col min="5" max="5" width="13.86328125" customWidth="1"/>
    <col min="6" max="6" width="10" customWidth="1"/>
    <col min="7" max="7" width="13.1328125" bestFit="1" customWidth="1"/>
    <col min="8" max="8" width="9.796875" bestFit="1" customWidth="1"/>
    <col min="9" max="41" width="9.06640625" style="60"/>
  </cols>
  <sheetData>
    <row r="1" spans="1:8" s="60" customFormat="1" x14ac:dyDescent="0.45">
      <c r="B1" s="112"/>
    </row>
    <row r="2" spans="1:8" s="60" customFormat="1" ht="15.4" customHeight="1" x14ac:dyDescent="0.45">
      <c r="A2" s="124" t="s">
        <v>443</v>
      </c>
      <c r="B2" s="125"/>
      <c r="C2" s="125"/>
      <c r="D2" s="125"/>
      <c r="E2" s="125"/>
      <c r="F2" s="125"/>
      <c r="G2" s="125"/>
      <c r="H2" s="126"/>
    </row>
    <row r="3" spans="1:8" s="60" customFormat="1" ht="30" x14ac:dyDescent="0.45">
      <c r="A3" s="51" t="s">
        <v>21</v>
      </c>
      <c r="B3" s="51" t="s">
        <v>20</v>
      </c>
      <c r="C3" s="51" t="s">
        <v>19</v>
      </c>
      <c r="D3" s="51" t="s">
        <v>523</v>
      </c>
      <c r="E3" s="51" t="s">
        <v>524</v>
      </c>
      <c r="F3" s="51" t="s">
        <v>525</v>
      </c>
      <c r="G3" s="52" t="s">
        <v>18</v>
      </c>
      <c r="H3" s="52" t="s">
        <v>17</v>
      </c>
    </row>
    <row r="4" spans="1:8" s="60" customFormat="1" ht="60.4" x14ac:dyDescent="0.45">
      <c r="A4" s="11">
        <v>1</v>
      </c>
      <c r="B4" s="12" t="s">
        <v>107</v>
      </c>
      <c r="C4" s="13">
        <v>1</v>
      </c>
      <c r="D4" s="13"/>
      <c r="E4" s="13"/>
      <c r="F4" s="13"/>
      <c r="G4" s="14"/>
      <c r="H4" s="14"/>
    </row>
    <row r="5" spans="1:8" s="60" customFormat="1" ht="60.4" x14ac:dyDescent="0.45">
      <c r="A5" s="11">
        <v>2</v>
      </c>
      <c r="B5" s="12" t="s">
        <v>81</v>
      </c>
      <c r="C5" s="13">
        <v>1</v>
      </c>
      <c r="D5" s="13"/>
      <c r="E5" s="13"/>
      <c r="F5" s="13"/>
      <c r="G5" s="14"/>
      <c r="H5" s="14"/>
    </row>
    <row r="6" spans="1:8" s="60" customFormat="1" ht="30.4" x14ac:dyDescent="0.45">
      <c r="A6" s="11">
        <v>3</v>
      </c>
      <c r="B6" s="12" t="s">
        <v>76</v>
      </c>
      <c r="C6" s="13">
        <v>4</v>
      </c>
      <c r="D6" s="13"/>
      <c r="E6" s="13"/>
      <c r="F6" s="13"/>
      <c r="G6" s="14"/>
      <c r="H6" s="14"/>
    </row>
    <row r="7" spans="1:8" s="60" customFormat="1" ht="94.15" customHeight="1" x14ac:dyDescent="0.45">
      <c r="A7" s="11">
        <v>4</v>
      </c>
      <c r="B7" s="12" t="s">
        <v>430</v>
      </c>
      <c r="C7" s="13">
        <v>1</v>
      </c>
      <c r="D7" s="13"/>
      <c r="E7" s="13"/>
      <c r="F7" s="13"/>
      <c r="G7" s="14"/>
      <c r="H7" s="14"/>
    </row>
    <row r="8" spans="1:8" s="60" customFormat="1" ht="45.4" x14ac:dyDescent="0.45">
      <c r="A8" s="11">
        <v>5</v>
      </c>
      <c r="B8" s="12" t="s">
        <v>77</v>
      </c>
      <c r="C8" s="13">
        <v>1</v>
      </c>
      <c r="D8" s="13"/>
      <c r="E8" s="13"/>
      <c r="F8" s="13"/>
      <c r="G8" s="14"/>
      <c r="H8" s="14"/>
    </row>
    <row r="9" spans="1:8" s="60" customFormat="1" ht="30.4" x14ac:dyDescent="0.45">
      <c r="A9" s="11">
        <v>6</v>
      </c>
      <c r="B9" s="12" t="s">
        <v>78</v>
      </c>
      <c r="C9" s="13">
        <v>1</v>
      </c>
      <c r="D9" s="13"/>
      <c r="E9" s="13"/>
      <c r="F9" s="13"/>
      <c r="G9" s="14"/>
      <c r="H9" s="14"/>
    </row>
    <row r="10" spans="1:8" s="60" customFormat="1" ht="135.4" x14ac:dyDescent="0.45">
      <c r="A10" s="11">
        <v>7</v>
      </c>
      <c r="B10" s="12" t="s">
        <v>429</v>
      </c>
      <c r="C10" s="13">
        <v>1</v>
      </c>
      <c r="D10" s="13"/>
      <c r="E10" s="13"/>
      <c r="F10" s="13"/>
      <c r="G10" s="14"/>
      <c r="H10" s="14"/>
    </row>
    <row r="11" spans="1:8" s="60" customFormat="1" ht="45.4" x14ac:dyDescent="0.45">
      <c r="A11" s="11">
        <v>8</v>
      </c>
      <c r="B11" s="12" t="s">
        <v>72</v>
      </c>
      <c r="C11" s="13">
        <v>3</v>
      </c>
      <c r="D11" s="13"/>
      <c r="E11" s="13"/>
      <c r="F11" s="13"/>
      <c r="G11" s="14"/>
      <c r="H11" s="14"/>
    </row>
    <row r="12" spans="1:8" s="60" customFormat="1" ht="45.4" x14ac:dyDescent="0.45">
      <c r="A12" s="11">
        <v>9</v>
      </c>
      <c r="B12" s="12" t="s">
        <v>276</v>
      </c>
      <c r="C12" s="13">
        <v>3</v>
      </c>
      <c r="D12" s="13"/>
      <c r="E12" s="13"/>
      <c r="F12" s="13"/>
      <c r="G12" s="14"/>
      <c r="H12" s="14"/>
    </row>
    <row r="13" spans="1:8" s="60" customFormat="1" ht="60.4" x14ac:dyDescent="0.45">
      <c r="A13" s="11">
        <v>10</v>
      </c>
      <c r="B13" s="12" t="s">
        <v>378</v>
      </c>
      <c r="C13" s="13">
        <v>2</v>
      </c>
      <c r="D13" s="13"/>
      <c r="E13" s="13"/>
      <c r="F13" s="13"/>
      <c r="G13" s="14"/>
      <c r="H13" s="14"/>
    </row>
    <row r="14" spans="1:8" s="60" customFormat="1" ht="60.4" x14ac:dyDescent="0.45">
      <c r="A14" s="11">
        <v>11</v>
      </c>
      <c r="B14" s="12" t="s">
        <v>423</v>
      </c>
      <c r="C14" s="13">
        <v>1</v>
      </c>
      <c r="D14" s="13"/>
      <c r="E14" s="13"/>
      <c r="F14" s="13"/>
      <c r="G14" s="14"/>
      <c r="H14" s="14"/>
    </row>
    <row r="15" spans="1:8" s="60" customFormat="1" ht="30.4" x14ac:dyDescent="0.45">
      <c r="A15" s="11">
        <v>12</v>
      </c>
      <c r="B15" s="12" t="s">
        <v>92</v>
      </c>
      <c r="C15" s="13">
        <v>10</v>
      </c>
      <c r="D15" s="13"/>
      <c r="E15" s="13"/>
      <c r="F15" s="13"/>
      <c r="G15" s="14"/>
      <c r="H15" s="14"/>
    </row>
    <row r="16" spans="1:8" s="60" customFormat="1" ht="60.4" x14ac:dyDescent="0.45">
      <c r="A16" s="11">
        <v>13</v>
      </c>
      <c r="B16" s="12" t="s">
        <v>73</v>
      </c>
      <c r="C16" s="13">
        <v>1</v>
      </c>
      <c r="D16" s="13"/>
      <c r="E16" s="13"/>
      <c r="F16" s="13"/>
      <c r="G16" s="14"/>
      <c r="H16" s="14"/>
    </row>
    <row r="17" spans="1:8" s="60" customFormat="1" ht="60.4" x14ac:dyDescent="0.45">
      <c r="A17" s="11">
        <v>14</v>
      </c>
      <c r="B17" s="12" t="s">
        <v>66</v>
      </c>
      <c r="C17" s="13">
        <v>6</v>
      </c>
      <c r="D17" s="13"/>
      <c r="E17" s="13"/>
      <c r="F17" s="13"/>
      <c r="G17" s="14"/>
      <c r="H17" s="14"/>
    </row>
    <row r="18" spans="1:8" s="60" customFormat="1" ht="60.4" x14ac:dyDescent="0.45">
      <c r="A18" s="11">
        <v>15</v>
      </c>
      <c r="B18" s="12" t="s">
        <v>65</v>
      </c>
      <c r="C18" s="13">
        <v>6</v>
      </c>
      <c r="D18" s="13"/>
      <c r="E18" s="13"/>
      <c r="F18" s="13"/>
      <c r="G18" s="14"/>
      <c r="H18" s="14"/>
    </row>
    <row r="19" spans="1:8" s="60" customFormat="1" ht="45.4" x14ac:dyDescent="0.45">
      <c r="A19" s="11">
        <v>16</v>
      </c>
      <c r="B19" s="12" t="s">
        <v>117</v>
      </c>
      <c r="C19" s="13">
        <v>6</v>
      </c>
      <c r="D19" s="13"/>
      <c r="E19" s="13"/>
      <c r="F19" s="13"/>
      <c r="G19" s="14"/>
      <c r="H19" s="14"/>
    </row>
    <row r="20" spans="1:8" s="60" customFormat="1" ht="45.4" x14ac:dyDescent="0.45">
      <c r="A20" s="11">
        <v>17</v>
      </c>
      <c r="B20" s="12" t="s">
        <v>197</v>
      </c>
      <c r="C20" s="13">
        <v>6</v>
      </c>
      <c r="D20" s="13"/>
      <c r="E20" s="13"/>
      <c r="F20" s="13"/>
      <c r="G20" s="14"/>
      <c r="H20" s="14"/>
    </row>
    <row r="21" spans="1:8" s="60" customFormat="1" ht="75.400000000000006" x14ac:dyDescent="0.45">
      <c r="A21" s="11">
        <v>18</v>
      </c>
      <c r="B21" s="12" t="s">
        <v>369</v>
      </c>
      <c r="C21" s="13">
        <v>2</v>
      </c>
      <c r="D21" s="13"/>
      <c r="E21" s="13"/>
      <c r="F21" s="13"/>
      <c r="G21" s="14"/>
      <c r="H21" s="14"/>
    </row>
    <row r="22" spans="1:8" s="60" customFormat="1" ht="60.4" x14ac:dyDescent="0.45">
      <c r="A22" s="11">
        <v>19</v>
      </c>
      <c r="B22" s="12" t="s">
        <v>370</v>
      </c>
      <c r="C22" s="13">
        <v>2</v>
      </c>
      <c r="D22" s="13"/>
      <c r="E22" s="13"/>
      <c r="F22" s="13"/>
      <c r="G22" s="14"/>
      <c r="H22" s="14"/>
    </row>
    <row r="23" spans="1:8" s="60" customFormat="1" ht="45.4" x14ac:dyDescent="0.45">
      <c r="A23" s="11">
        <v>20</v>
      </c>
      <c r="B23" s="12" t="s">
        <v>278</v>
      </c>
      <c r="C23" s="13">
        <v>4</v>
      </c>
      <c r="D23" s="13"/>
      <c r="E23" s="13"/>
      <c r="F23" s="13"/>
      <c r="G23" s="14"/>
      <c r="H23" s="14"/>
    </row>
    <row r="24" spans="1:8" s="60" customFormat="1" ht="45.4" x14ac:dyDescent="0.45">
      <c r="A24" s="11">
        <v>21</v>
      </c>
      <c r="B24" s="12" t="s">
        <v>428</v>
      </c>
      <c r="C24" s="13">
        <v>2</v>
      </c>
      <c r="D24" s="13"/>
      <c r="E24" s="13"/>
      <c r="F24" s="13"/>
      <c r="G24" s="14"/>
      <c r="H24" s="14"/>
    </row>
    <row r="25" spans="1:8" s="60" customFormat="1" ht="60.4" x14ac:dyDescent="0.45">
      <c r="A25" s="11">
        <v>22</v>
      </c>
      <c r="B25" s="12" t="s">
        <v>316</v>
      </c>
      <c r="C25" s="13">
        <v>1</v>
      </c>
      <c r="D25" s="13"/>
      <c r="E25" s="13"/>
      <c r="F25" s="13"/>
      <c r="G25" s="14"/>
      <c r="H25" s="14"/>
    </row>
    <row r="26" spans="1:8" s="60" customFormat="1" ht="60.4" x14ac:dyDescent="0.45">
      <c r="A26" s="11">
        <v>23</v>
      </c>
      <c r="B26" s="12" t="s">
        <v>198</v>
      </c>
      <c r="C26" s="13">
        <v>1</v>
      </c>
      <c r="D26" s="13"/>
      <c r="E26" s="13"/>
      <c r="F26" s="13"/>
      <c r="G26" s="14"/>
      <c r="H26" s="14"/>
    </row>
    <row r="27" spans="1:8" s="60" customFormat="1" ht="60.4" x14ac:dyDescent="0.45">
      <c r="A27" s="11">
        <v>24</v>
      </c>
      <c r="B27" s="12" t="s">
        <v>269</v>
      </c>
      <c r="C27" s="13">
        <v>2</v>
      </c>
      <c r="D27" s="13"/>
      <c r="E27" s="13"/>
      <c r="F27" s="13"/>
      <c r="G27" s="14"/>
      <c r="H27" s="14"/>
    </row>
    <row r="28" spans="1:8" s="60" customFormat="1" ht="60.4" x14ac:dyDescent="0.45">
      <c r="A28" s="11">
        <v>25</v>
      </c>
      <c r="B28" s="12" t="s">
        <v>427</v>
      </c>
      <c r="C28" s="13">
        <v>1</v>
      </c>
      <c r="D28" s="13"/>
      <c r="E28" s="13"/>
      <c r="F28" s="13"/>
      <c r="G28" s="14"/>
      <c r="H28" s="14"/>
    </row>
    <row r="29" spans="1:8" s="60" customFormat="1" ht="60.4" x14ac:dyDescent="0.45">
      <c r="A29" s="11">
        <v>26</v>
      </c>
      <c r="B29" s="12" t="s">
        <v>426</v>
      </c>
      <c r="C29" s="13">
        <v>1</v>
      </c>
      <c r="D29" s="13"/>
      <c r="E29" s="13"/>
      <c r="F29" s="13"/>
      <c r="G29" s="14"/>
      <c r="H29" s="14"/>
    </row>
    <row r="30" spans="1:8" s="60" customFormat="1" ht="60.4" x14ac:dyDescent="0.45">
      <c r="A30" s="11">
        <v>27</v>
      </c>
      <c r="B30" s="12" t="s">
        <v>425</v>
      </c>
      <c r="C30" s="13">
        <v>1</v>
      </c>
      <c r="D30" s="13"/>
      <c r="E30" s="13"/>
      <c r="F30" s="13"/>
      <c r="G30" s="14"/>
      <c r="H30" s="14"/>
    </row>
    <row r="31" spans="1:8" s="60" customFormat="1" ht="60.4" x14ac:dyDescent="0.45">
      <c r="A31" s="11">
        <v>28</v>
      </c>
      <c r="B31" s="12" t="s">
        <v>395</v>
      </c>
      <c r="C31" s="13">
        <v>2</v>
      </c>
      <c r="D31" s="13"/>
      <c r="E31" s="13"/>
      <c r="F31" s="13"/>
      <c r="G31" s="14"/>
      <c r="H31" s="14"/>
    </row>
    <row r="32" spans="1:8" s="60" customFormat="1" ht="60.4" x14ac:dyDescent="0.45">
      <c r="A32" s="11">
        <v>29</v>
      </c>
      <c r="B32" s="12" t="s">
        <v>424</v>
      </c>
      <c r="C32" s="13">
        <v>1</v>
      </c>
      <c r="D32" s="13"/>
      <c r="E32" s="13"/>
      <c r="F32" s="13"/>
      <c r="G32" s="14"/>
      <c r="H32" s="14"/>
    </row>
    <row r="33" spans="1:8" s="60" customFormat="1" ht="60.4" x14ac:dyDescent="0.45">
      <c r="A33" s="11">
        <v>30</v>
      </c>
      <c r="B33" s="12" t="s">
        <v>377</v>
      </c>
      <c r="C33" s="13">
        <v>1</v>
      </c>
      <c r="D33" s="13"/>
      <c r="E33" s="13"/>
      <c r="F33" s="13"/>
      <c r="G33" s="14"/>
      <c r="H33" s="14"/>
    </row>
    <row r="34" spans="1:8" s="60" customFormat="1" ht="60.4" x14ac:dyDescent="0.45">
      <c r="A34" s="11">
        <v>31</v>
      </c>
      <c r="B34" s="12" t="s">
        <v>423</v>
      </c>
      <c r="C34" s="13">
        <v>1</v>
      </c>
      <c r="D34" s="13"/>
      <c r="E34" s="13"/>
      <c r="F34" s="13"/>
      <c r="G34" s="14"/>
      <c r="H34" s="14"/>
    </row>
    <row r="35" spans="1:8" s="60" customFormat="1" ht="75.400000000000006" x14ac:dyDescent="0.45">
      <c r="A35" s="11">
        <v>32</v>
      </c>
      <c r="B35" s="12" t="s">
        <v>422</v>
      </c>
      <c r="C35" s="13">
        <v>2</v>
      </c>
      <c r="D35" s="13"/>
      <c r="E35" s="13"/>
      <c r="F35" s="13"/>
      <c r="G35" s="14"/>
      <c r="H35" s="14"/>
    </row>
    <row r="36" spans="1:8" s="60" customFormat="1" ht="60.4" x14ac:dyDescent="0.45">
      <c r="A36" s="11">
        <v>33</v>
      </c>
      <c r="B36" s="12" t="s">
        <v>367</v>
      </c>
      <c r="C36" s="13">
        <v>3</v>
      </c>
      <c r="D36" s="13"/>
      <c r="E36" s="13"/>
      <c r="F36" s="13"/>
      <c r="G36" s="14"/>
      <c r="H36" s="14"/>
    </row>
    <row r="37" spans="1:8" s="60" customFormat="1" ht="60.4" x14ac:dyDescent="0.45">
      <c r="A37" s="11">
        <v>34</v>
      </c>
      <c r="B37" s="12" t="s">
        <v>287</v>
      </c>
      <c r="C37" s="13">
        <v>2</v>
      </c>
      <c r="D37" s="13"/>
      <c r="E37" s="13"/>
      <c r="F37" s="13"/>
      <c r="G37" s="14"/>
      <c r="H37" s="14"/>
    </row>
    <row r="38" spans="1:8" s="60" customFormat="1" ht="75.400000000000006" x14ac:dyDescent="0.45">
      <c r="A38" s="11">
        <v>35</v>
      </c>
      <c r="B38" s="12" t="s">
        <v>421</v>
      </c>
      <c r="C38" s="13">
        <v>2</v>
      </c>
      <c r="D38" s="13"/>
      <c r="E38" s="13"/>
      <c r="F38" s="13"/>
      <c r="G38" s="14"/>
      <c r="H38" s="14"/>
    </row>
    <row r="39" spans="1:8" s="60" customFormat="1" ht="60.4" x14ac:dyDescent="0.45">
      <c r="A39" s="11">
        <v>36</v>
      </c>
      <c r="B39" s="12" t="s">
        <v>420</v>
      </c>
      <c r="C39" s="13">
        <v>2</v>
      </c>
      <c r="D39" s="13"/>
      <c r="E39" s="13"/>
      <c r="F39" s="13"/>
      <c r="G39" s="14"/>
      <c r="H39" s="14"/>
    </row>
    <row r="40" spans="1:8" s="60" customFormat="1" ht="60.4" x14ac:dyDescent="0.45">
      <c r="A40" s="11">
        <v>37</v>
      </c>
      <c r="B40" s="12" t="s">
        <v>419</v>
      </c>
      <c r="C40" s="13">
        <v>2</v>
      </c>
      <c r="D40" s="13"/>
      <c r="E40" s="13"/>
      <c r="F40" s="13"/>
      <c r="G40" s="14"/>
      <c r="H40" s="14"/>
    </row>
    <row r="41" spans="1:8" s="60" customFormat="1" ht="45.4" x14ac:dyDescent="0.45">
      <c r="A41" s="11">
        <v>38</v>
      </c>
      <c r="B41" s="12" t="s">
        <v>418</v>
      </c>
      <c r="C41" s="13">
        <v>2</v>
      </c>
      <c r="D41" s="13"/>
      <c r="E41" s="13"/>
      <c r="F41" s="13"/>
      <c r="G41" s="14"/>
      <c r="H41" s="14"/>
    </row>
    <row r="42" spans="1:8" s="60" customFormat="1" ht="45.4" x14ac:dyDescent="0.45">
      <c r="A42" s="11">
        <v>39</v>
      </c>
      <c r="B42" s="12" t="s">
        <v>417</v>
      </c>
      <c r="C42" s="13">
        <v>1</v>
      </c>
      <c r="D42" s="13"/>
      <c r="E42" s="13"/>
      <c r="F42" s="13"/>
      <c r="G42" s="14"/>
      <c r="H42" s="14"/>
    </row>
    <row r="43" spans="1:8" s="60" customFormat="1" ht="45.4" x14ac:dyDescent="0.45">
      <c r="A43" s="11">
        <v>40</v>
      </c>
      <c r="B43" s="12" t="s">
        <v>358</v>
      </c>
      <c r="C43" s="13">
        <v>1</v>
      </c>
      <c r="D43" s="13"/>
      <c r="E43" s="13"/>
      <c r="F43" s="13"/>
      <c r="G43" s="14"/>
      <c r="H43" s="14"/>
    </row>
    <row r="44" spans="1:8" s="60" customFormat="1" ht="145.15" customHeight="1" x14ac:dyDescent="0.45">
      <c r="A44" s="11">
        <v>41</v>
      </c>
      <c r="B44" s="12" t="s">
        <v>352</v>
      </c>
      <c r="C44" s="13">
        <v>1</v>
      </c>
      <c r="D44" s="13"/>
      <c r="E44" s="13"/>
      <c r="F44" s="13"/>
      <c r="G44" s="14"/>
      <c r="H44" s="14"/>
    </row>
    <row r="45" spans="1:8" s="60" customFormat="1" ht="15.4" x14ac:dyDescent="0.45">
      <c r="A45" s="15"/>
      <c r="B45" s="16"/>
      <c r="C45" s="17">
        <f>SUM(C4:C44)</f>
        <v>94</v>
      </c>
      <c r="D45" s="45"/>
      <c r="E45" s="45"/>
      <c r="F45" s="130" t="s">
        <v>17</v>
      </c>
      <c r="G45" s="131"/>
      <c r="H45" s="120"/>
    </row>
    <row r="46" spans="1:8" ht="15.4" x14ac:dyDescent="0.45">
      <c r="A46" s="15"/>
      <c r="B46" s="19"/>
      <c r="C46" s="45"/>
      <c r="D46" s="45"/>
      <c r="E46" s="45"/>
      <c r="F46" s="45"/>
      <c r="G46" s="9"/>
      <c r="H46" s="9"/>
    </row>
    <row r="47" spans="1:8" ht="15.4" customHeight="1" x14ac:dyDescent="0.45">
      <c r="A47" s="124" t="s">
        <v>444</v>
      </c>
      <c r="B47" s="125"/>
      <c r="C47" s="125"/>
      <c r="D47" s="125"/>
      <c r="E47" s="125"/>
      <c r="F47" s="125"/>
      <c r="G47" s="125"/>
      <c r="H47" s="126"/>
    </row>
    <row r="48" spans="1:8" ht="30" x14ac:dyDescent="0.45">
      <c r="A48" s="51" t="s">
        <v>21</v>
      </c>
      <c r="B48" s="51" t="s">
        <v>20</v>
      </c>
      <c r="C48" s="51" t="s">
        <v>19</v>
      </c>
      <c r="D48" s="51" t="s">
        <v>523</v>
      </c>
      <c r="E48" s="51" t="s">
        <v>524</v>
      </c>
      <c r="F48" s="51" t="s">
        <v>525</v>
      </c>
      <c r="G48" s="52" t="s">
        <v>18</v>
      </c>
      <c r="H48" s="52" t="s">
        <v>17</v>
      </c>
    </row>
    <row r="49" spans="1:8" ht="30.4" x14ac:dyDescent="0.45">
      <c r="A49" s="108">
        <v>1</v>
      </c>
      <c r="B49" s="12" t="s">
        <v>76</v>
      </c>
      <c r="C49" s="13">
        <v>4</v>
      </c>
      <c r="D49" s="13"/>
      <c r="E49" s="13"/>
      <c r="F49" s="13"/>
      <c r="G49" s="14"/>
      <c r="H49" s="14"/>
    </row>
    <row r="50" spans="1:8" ht="30.4" x14ac:dyDescent="0.45">
      <c r="A50" s="108">
        <v>2</v>
      </c>
      <c r="B50" s="12" t="s">
        <v>100</v>
      </c>
      <c r="C50" s="13">
        <v>1</v>
      </c>
      <c r="D50" s="13"/>
      <c r="E50" s="13"/>
      <c r="F50" s="13"/>
      <c r="G50" s="14"/>
      <c r="H50" s="14"/>
    </row>
    <row r="51" spans="1:8" ht="45.4" x14ac:dyDescent="0.45">
      <c r="A51" s="108">
        <v>3</v>
      </c>
      <c r="B51" s="12" t="s">
        <v>416</v>
      </c>
      <c r="C51" s="13">
        <v>1</v>
      </c>
      <c r="D51" s="13"/>
      <c r="E51" s="13"/>
      <c r="F51" s="13"/>
      <c r="G51" s="14"/>
      <c r="H51" s="14"/>
    </row>
    <row r="52" spans="1:8" ht="60.4" x14ac:dyDescent="0.45">
      <c r="A52" s="108">
        <v>4</v>
      </c>
      <c r="B52" s="12" t="s">
        <v>73</v>
      </c>
      <c r="C52" s="13">
        <v>1</v>
      </c>
      <c r="D52" s="13"/>
      <c r="E52" s="13"/>
      <c r="F52" s="13"/>
      <c r="G52" s="14"/>
      <c r="H52" s="14"/>
    </row>
    <row r="53" spans="1:8" ht="60.4" x14ac:dyDescent="0.45">
      <c r="A53" s="108">
        <v>5</v>
      </c>
      <c r="B53" s="12" t="s">
        <v>366</v>
      </c>
      <c r="C53" s="13">
        <v>1</v>
      </c>
      <c r="D53" s="13"/>
      <c r="E53" s="13"/>
      <c r="F53" s="13"/>
      <c r="G53" s="14"/>
      <c r="H53" s="14"/>
    </row>
    <row r="54" spans="1:8" ht="60.4" x14ac:dyDescent="0.45">
      <c r="A54" s="108">
        <v>6</v>
      </c>
      <c r="B54" s="12" t="s">
        <v>287</v>
      </c>
      <c r="C54" s="13">
        <v>1</v>
      </c>
      <c r="D54" s="13"/>
      <c r="E54" s="13"/>
      <c r="F54" s="13"/>
      <c r="G54" s="14"/>
      <c r="H54" s="14"/>
    </row>
    <row r="55" spans="1:8" ht="60.4" x14ac:dyDescent="0.45">
      <c r="A55" s="108">
        <v>7</v>
      </c>
      <c r="B55" s="12" t="s">
        <v>70</v>
      </c>
      <c r="C55" s="13">
        <v>1</v>
      </c>
      <c r="D55" s="13"/>
      <c r="E55" s="13"/>
      <c r="F55" s="13"/>
      <c r="G55" s="14"/>
      <c r="H55" s="14"/>
    </row>
    <row r="56" spans="1:8" ht="60.4" x14ac:dyDescent="0.45">
      <c r="A56" s="108">
        <v>8</v>
      </c>
      <c r="B56" s="12" t="s">
        <v>240</v>
      </c>
      <c r="C56" s="13">
        <v>1</v>
      </c>
      <c r="D56" s="13"/>
      <c r="E56" s="13"/>
      <c r="F56" s="13"/>
      <c r="G56" s="14"/>
      <c r="H56" s="14"/>
    </row>
    <row r="57" spans="1:8" ht="60.4" x14ac:dyDescent="0.45">
      <c r="A57" s="108">
        <v>9</v>
      </c>
      <c r="B57" s="12" t="s">
        <v>123</v>
      </c>
      <c r="C57" s="13">
        <v>2</v>
      </c>
      <c r="D57" s="13"/>
      <c r="E57" s="13"/>
      <c r="F57" s="13"/>
      <c r="G57" s="14"/>
      <c r="H57" s="14"/>
    </row>
    <row r="58" spans="1:8" ht="60.4" x14ac:dyDescent="0.45">
      <c r="A58" s="108">
        <v>10</v>
      </c>
      <c r="B58" s="12" t="s">
        <v>81</v>
      </c>
      <c r="C58" s="13">
        <v>1</v>
      </c>
      <c r="D58" s="13"/>
      <c r="E58" s="13"/>
      <c r="F58" s="13"/>
      <c r="G58" s="14"/>
      <c r="H58" s="14"/>
    </row>
    <row r="59" spans="1:8" ht="60.4" x14ac:dyDescent="0.45">
      <c r="A59" s="108">
        <v>11</v>
      </c>
      <c r="B59" s="12" t="s">
        <v>107</v>
      </c>
      <c r="C59" s="13">
        <v>1</v>
      </c>
      <c r="D59" s="13"/>
      <c r="E59" s="13"/>
      <c r="F59" s="13"/>
      <c r="G59" s="14"/>
      <c r="H59" s="14"/>
    </row>
    <row r="60" spans="1:8" ht="60.4" x14ac:dyDescent="0.45">
      <c r="A60" s="108">
        <v>12</v>
      </c>
      <c r="B60" s="12" t="s">
        <v>415</v>
      </c>
      <c r="C60" s="13">
        <v>1</v>
      </c>
      <c r="D60" s="13"/>
      <c r="E60" s="13"/>
      <c r="F60" s="13"/>
      <c r="G60" s="14"/>
      <c r="H60" s="14"/>
    </row>
    <row r="61" spans="1:8" ht="60.4" x14ac:dyDescent="0.45">
      <c r="A61" s="108">
        <v>13</v>
      </c>
      <c r="B61" s="12" t="s">
        <v>414</v>
      </c>
      <c r="C61" s="13">
        <v>1</v>
      </c>
      <c r="D61" s="13"/>
      <c r="E61" s="13"/>
      <c r="F61" s="13"/>
      <c r="G61" s="14"/>
      <c r="H61" s="14"/>
    </row>
    <row r="62" spans="1:8" ht="75.400000000000006" x14ac:dyDescent="0.45">
      <c r="A62" s="108">
        <v>14</v>
      </c>
      <c r="B62" s="12" t="s">
        <v>221</v>
      </c>
      <c r="C62" s="13">
        <v>1</v>
      </c>
      <c r="D62" s="13"/>
      <c r="E62" s="13"/>
      <c r="F62" s="13"/>
      <c r="G62" s="14"/>
      <c r="H62" s="14"/>
    </row>
    <row r="63" spans="1:8" ht="60.4" x14ac:dyDescent="0.45">
      <c r="A63" s="108">
        <v>15</v>
      </c>
      <c r="B63" s="12" t="s">
        <v>139</v>
      </c>
      <c r="C63" s="13">
        <v>1</v>
      </c>
      <c r="D63" s="13"/>
      <c r="E63" s="13"/>
      <c r="F63" s="13"/>
      <c r="G63" s="14"/>
      <c r="H63" s="14"/>
    </row>
    <row r="64" spans="1:8" ht="60.4" x14ac:dyDescent="0.45">
      <c r="A64" s="108">
        <v>16</v>
      </c>
      <c r="B64" s="12" t="s">
        <v>198</v>
      </c>
      <c r="C64" s="13">
        <v>1</v>
      </c>
      <c r="D64" s="13"/>
      <c r="E64" s="13"/>
      <c r="F64" s="13"/>
      <c r="G64" s="14"/>
      <c r="H64" s="14"/>
    </row>
    <row r="65" spans="1:8" ht="60.4" x14ac:dyDescent="0.45">
      <c r="A65" s="108">
        <v>17</v>
      </c>
      <c r="B65" s="12" t="s">
        <v>111</v>
      </c>
      <c r="C65" s="13">
        <v>1</v>
      </c>
      <c r="D65" s="13"/>
      <c r="E65" s="13"/>
      <c r="F65" s="13"/>
      <c r="G65" s="14"/>
      <c r="H65" s="14"/>
    </row>
    <row r="66" spans="1:8" ht="60.4" x14ac:dyDescent="0.45">
      <c r="A66" s="108">
        <v>18</v>
      </c>
      <c r="B66" s="12" t="s">
        <v>91</v>
      </c>
      <c r="C66" s="13">
        <v>1</v>
      </c>
      <c r="D66" s="13"/>
      <c r="E66" s="13"/>
      <c r="F66" s="13"/>
      <c r="G66" s="14"/>
      <c r="H66" s="14"/>
    </row>
    <row r="67" spans="1:8" ht="90.4" x14ac:dyDescent="0.45">
      <c r="A67" s="108">
        <v>19</v>
      </c>
      <c r="B67" s="12" t="s">
        <v>61</v>
      </c>
      <c r="C67" s="13">
        <v>2</v>
      </c>
      <c r="D67" s="13"/>
      <c r="E67" s="13"/>
      <c r="F67" s="13"/>
      <c r="G67" s="14"/>
      <c r="H67" s="14"/>
    </row>
    <row r="68" spans="1:8" ht="45.4" x14ac:dyDescent="0.45">
      <c r="A68" s="108">
        <v>20</v>
      </c>
      <c r="B68" s="12" t="s">
        <v>413</v>
      </c>
      <c r="C68" s="13">
        <v>2</v>
      </c>
      <c r="D68" s="13"/>
      <c r="E68" s="13"/>
      <c r="F68" s="13"/>
      <c r="G68" s="14"/>
      <c r="H68" s="14"/>
    </row>
    <row r="69" spans="1:8" ht="45.4" x14ac:dyDescent="0.45">
      <c r="A69" s="108">
        <v>21</v>
      </c>
      <c r="B69" s="12" t="s">
        <v>412</v>
      </c>
      <c r="C69" s="13">
        <v>1</v>
      </c>
      <c r="D69" s="13"/>
      <c r="E69" s="13"/>
      <c r="F69" s="13"/>
      <c r="G69" s="14"/>
      <c r="H69" s="14"/>
    </row>
    <row r="70" spans="1:8" ht="45.4" x14ac:dyDescent="0.45">
      <c r="A70" s="108">
        <v>22</v>
      </c>
      <c r="B70" s="12" t="s">
        <v>72</v>
      </c>
      <c r="C70" s="13">
        <v>2</v>
      </c>
      <c r="D70" s="13"/>
      <c r="E70" s="13"/>
      <c r="F70" s="13"/>
      <c r="G70" s="14"/>
      <c r="H70" s="14"/>
    </row>
    <row r="71" spans="1:8" ht="45.4" x14ac:dyDescent="0.45">
      <c r="A71" s="108">
        <v>23</v>
      </c>
      <c r="B71" s="12" t="s">
        <v>63</v>
      </c>
      <c r="C71" s="13">
        <v>2</v>
      </c>
      <c r="D71" s="13"/>
      <c r="E71" s="13"/>
      <c r="F71" s="13"/>
      <c r="G71" s="14"/>
      <c r="H71" s="14"/>
    </row>
    <row r="72" spans="1:8" ht="45.4" x14ac:dyDescent="0.45">
      <c r="A72" s="108">
        <v>24</v>
      </c>
      <c r="B72" s="12" t="s">
        <v>64</v>
      </c>
      <c r="C72" s="13">
        <v>2</v>
      </c>
      <c r="D72" s="13"/>
      <c r="E72" s="13"/>
      <c r="F72" s="13"/>
      <c r="G72" s="14"/>
      <c r="H72" s="14"/>
    </row>
    <row r="73" spans="1:8" ht="60.4" x14ac:dyDescent="0.45">
      <c r="A73" s="108">
        <v>25</v>
      </c>
      <c r="B73" s="12" t="s">
        <v>66</v>
      </c>
      <c r="C73" s="13">
        <v>4</v>
      </c>
      <c r="D73" s="13"/>
      <c r="E73" s="13"/>
      <c r="F73" s="13"/>
      <c r="G73" s="14"/>
      <c r="H73" s="14"/>
    </row>
    <row r="74" spans="1:8" ht="60.4" x14ac:dyDescent="0.45">
      <c r="A74" s="108">
        <v>26</v>
      </c>
      <c r="B74" s="12" t="s">
        <v>65</v>
      </c>
      <c r="C74" s="13">
        <v>4</v>
      </c>
      <c r="D74" s="13"/>
      <c r="E74" s="13"/>
      <c r="F74" s="13"/>
      <c r="G74" s="14"/>
      <c r="H74" s="14"/>
    </row>
    <row r="75" spans="1:8" ht="60.4" x14ac:dyDescent="0.45">
      <c r="A75" s="108">
        <v>27</v>
      </c>
      <c r="B75" s="12" t="s">
        <v>265</v>
      </c>
      <c r="C75" s="13">
        <v>2</v>
      </c>
      <c r="D75" s="13"/>
      <c r="E75" s="13"/>
      <c r="F75" s="13"/>
      <c r="G75" s="14"/>
      <c r="H75" s="14"/>
    </row>
    <row r="76" spans="1:8" ht="75.400000000000006" x14ac:dyDescent="0.45">
      <c r="A76" s="108">
        <v>28</v>
      </c>
      <c r="B76" s="12" t="s">
        <v>118</v>
      </c>
      <c r="C76" s="13">
        <v>2</v>
      </c>
      <c r="D76" s="13"/>
      <c r="E76" s="13"/>
      <c r="F76" s="13"/>
      <c r="G76" s="14"/>
      <c r="H76" s="14"/>
    </row>
    <row r="77" spans="1:8" ht="60.4" x14ac:dyDescent="0.45">
      <c r="A77" s="108">
        <v>29</v>
      </c>
      <c r="B77" s="12" t="s">
        <v>351</v>
      </c>
      <c r="C77" s="13">
        <v>6</v>
      </c>
      <c r="D77" s="13"/>
      <c r="E77" s="13"/>
      <c r="F77" s="13"/>
      <c r="G77" s="14"/>
      <c r="H77" s="14"/>
    </row>
    <row r="78" spans="1:8" ht="60.4" x14ac:dyDescent="0.45">
      <c r="A78" s="108">
        <v>30</v>
      </c>
      <c r="B78" s="12" t="s">
        <v>217</v>
      </c>
      <c r="C78" s="13">
        <v>2</v>
      </c>
      <c r="D78" s="13"/>
      <c r="E78" s="13"/>
      <c r="F78" s="13"/>
      <c r="G78" s="14"/>
      <c r="H78" s="14"/>
    </row>
    <row r="79" spans="1:8" ht="75.400000000000006" x14ac:dyDescent="0.45">
      <c r="A79" s="108">
        <v>31</v>
      </c>
      <c r="B79" s="12" t="s">
        <v>411</v>
      </c>
      <c r="C79" s="13">
        <v>1</v>
      </c>
      <c r="D79" s="13"/>
      <c r="E79" s="13"/>
      <c r="F79" s="13"/>
      <c r="G79" s="14"/>
      <c r="H79" s="14"/>
    </row>
    <row r="80" spans="1:8" ht="60.4" x14ac:dyDescent="0.45">
      <c r="A80" s="108">
        <v>32</v>
      </c>
      <c r="B80" s="12" t="s">
        <v>410</v>
      </c>
      <c r="C80" s="13">
        <v>2</v>
      </c>
      <c r="D80" s="13"/>
      <c r="E80" s="13"/>
      <c r="F80" s="13"/>
      <c r="G80" s="14"/>
      <c r="H80" s="14"/>
    </row>
    <row r="81" spans="1:8" ht="150.4" x14ac:dyDescent="0.45">
      <c r="A81" s="108">
        <v>33</v>
      </c>
      <c r="B81" s="12" t="s">
        <v>409</v>
      </c>
      <c r="C81" s="13">
        <v>1</v>
      </c>
      <c r="D81" s="13"/>
      <c r="E81" s="13"/>
      <c r="F81" s="13"/>
      <c r="G81" s="14"/>
      <c r="H81" s="14"/>
    </row>
    <row r="82" spans="1:8" ht="15.4" x14ac:dyDescent="0.45">
      <c r="A82" s="15"/>
      <c r="B82" s="19"/>
      <c r="C82" s="20">
        <f>SUM(C49:C81)</f>
        <v>57</v>
      </c>
      <c r="D82" s="20"/>
      <c r="E82" s="20"/>
      <c r="F82" s="130" t="s">
        <v>17</v>
      </c>
      <c r="G82" s="131"/>
      <c r="H82" s="120"/>
    </row>
    <row r="83" spans="1:8" ht="15.4" x14ac:dyDescent="0.45">
      <c r="A83" s="15"/>
      <c r="B83" s="19"/>
      <c r="C83" s="45"/>
      <c r="D83" s="45"/>
      <c r="E83" s="45"/>
      <c r="F83" s="45"/>
      <c r="G83" s="9"/>
      <c r="H83" s="9"/>
    </row>
    <row r="84" spans="1:8" ht="15.4" customHeight="1" x14ac:dyDescent="0.45">
      <c r="A84" s="124" t="s">
        <v>445</v>
      </c>
      <c r="B84" s="125"/>
      <c r="C84" s="125"/>
      <c r="D84" s="125"/>
      <c r="E84" s="125"/>
      <c r="F84" s="125"/>
      <c r="G84" s="125"/>
      <c r="H84" s="126"/>
    </row>
    <row r="85" spans="1:8" ht="30" x14ac:dyDescent="0.45">
      <c r="A85" s="51" t="s">
        <v>21</v>
      </c>
      <c r="B85" s="51" t="s">
        <v>20</v>
      </c>
      <c r="C85" s="51" t="s">
        <v>19</v>
      </c>
      <c r="D85" s="51" t="s">
        <v>523</v>
      </c>
      <c r="E85" s="51" t="s">
        <v>524</v>
      </c>
      <c r="F85" s="51" t="s">
        <v>525</v>
      </c>
      <c r="G85" s="52" t="s">
        <v>18</v>
      </c>
      <c r="H85" s="52" t="s">
        <v>17</v>
      </c>
    </row>
    <row r="86" spans="1:8" ht="30.4" x14ac:dyDescent="0.45">
      <c r="A86" s="11">
        <v>1</v>
      </c>
      <c r="B86" s="12" t="s">
        <v>461</v>
      </c>
      <c r="C86" s="13">
        <v>1</v>
      </c>
      <c r="D86" s="13"/>
      <c r="E86" s="13"/>
      <c r="F86" s="13"/>
      <c r="G86" s="14"/>
      <c r="H86" s="14"/>
    </row>
    <row r="87" spans="1:8" ht="30.4" x14ac:dyDescent="0.45">
      <c r="A87" s="11">
        <v>2</v>
      </c>
      <c r="B87" s="12" t="s">
        <v>462</v>
      </c>
      <c r="C87" s="13">
        <v>1</v>
      </c>
      <c r="D87" s="13"/>
      <c r="E87" s="13"/>
      <c r="F87" s="13"/>
      <c r="G87" s="14"/>
      <c r="H87" s="14"/>
    </row>
    <row r="88" spans="1:8" ht="30.4" x14ac:dyDescent="0.45">
      <c r="A88" s="11">
        <v>3</v>
      </c>
      <c r="B88" s="12" t="s">
        <v>463</v>
      </c>
      <c r="C88" s="13">
        <v>1</v>
      </c>
      <c r="D88" s="13"/>
      <c r="E88" s="13"/>
      <c r="F88" s="13"/>
      <c r="G88" s="14"/>
      <c r="H88" s="14"/>
    </row>
    <row r="89" spans="1:8" ht="30.4" x14ac:dyDescent="0.45">
      <c r="A89" s="11">
        <v>4</v>
      </c>
      <c r="B89" s="12" t="s">
        <v>464</v>
      </c>
      <c r="C89" s="13">
        <v>1</v>
      </c>
      <c r="D89" s="13"/>
      <c r="E89" s="13"/>
      <c r="F89" s="13"/>
      <c r="G89" s="14"/>
      <c r="H89" s="14"/>
    </row>
    <row r="90" spans="1:8" ht="45.4" x14ac:dyDescent="0.45">
      <c r="A90" s="11">
        <v>5</v>
      </c>
      <c r="B90" s="12" t="s">
        <v>465</v>
      </c>
      <c r="C90" s="13">
        <v>1</v>
      </c>
      <c r="D90" s="13"/>
      <c r="E90" s="13"/>
      <c r="F90" s="13"/>
      <c r="G90" s="14"/>
      <c r="H90" s="14"/>
    </row>
    <row r="91" spans="1:8" ht="30.4" x14ac:dyDescent="0.45">
      <c r="A91" s="11">
        <v>6</v>
      </c>
      <c r="B91" s="12" t="s">
        <v>466</v>
      </c>
      <c r="C91" s="13">
        <v>1</v>
      </c>
      <c r="D91" s="13"/>
      <c r="E91" s="13"/>
      <c r="F91" s="13"/>
      <c r="G91" s="14"/>
      <c r="H91" s="14"/>
    </row>
    <row r="92" spans="1:8" ht="30.4" x14ac:dyDescent="0.45">
      <c r="A92" s="11">
        <v>7</v>
      </c>
      <c r="B92" s="12" t="s">
        <v>467</v>
      </c>
      <c r="C92" s="13">
        <v>1</v>
      </c>
      <c r="D92" s="13"/>
      <c r="E92" s="13"/>
      <c r="F92" s="13"/>
      <c r="G92" s="14"/>
      <c r="H92" s="14"/>
    </row>
    <row r="93" spans="1:8" ht="30.4" x14ac:dyDescent="0.45">
      <c r="A93" s="11">
        <v>8</v>
      </c>
      <c r="B93" s="12" t="s">
        <v>468</v>
      </c>
      <c r="C93" s="13">
        <v>1</v>
      </c>
      <c r="D93" s="13"/>
      <c r="E93" s="13"/>
      <c r="F93" s="13"/>
      <c r="G93" s="14"/>
      <c r="H93" s="14"/>
    </row>
    <row r="94" spans="1:8" ht="30.4" x14ac:dyDescent="0.45">
      <c r="A94" s="11">
        <v>9</v>
      </c>
      <c r="B94" s="12" t="s">
        <v>469</v>
      </c>
      <c r="C94" s="13">
        <v>1</v>
      </c>
      <c r="D94" s="13"/>
      <c r="E94" s="13"/>
      <c r="F94" s="13"/>
      <c r="G94" s="14"/>
      <c r="H94" s="14"/>
    </row>
    <row r="95" spans="1:8" ht="45.4" x14ac:dyDescent="0.45">
      <c r="A95" s="11">
        <v>10</v>
      </c>
      <c r="B95" s="12" t="s">
        <v>470</v>
      </c>
      <c r="C95" s="13">
        <v>1</v>
      </c>
      <c r="D95" s="13"/>
      <c r="E95" s="13"/>
      <c r="F95" s="13"/>
      <c r="G95" s="14"/>
      <c r="H95" s="14"/>
    </row>
    <row r="96" spans="1:8" ht="30.4" x14ac:dyDescent="0.45">
      <c r="A96" s="11">
        <v>11</v>
      </c>
      <c r="B96" s="12" t="s">
        <v>471</v>
      </c>
      <c r="C96" s="13">
        <v>1</v>
      </c>
      <c r="D96" s="13"/>
      <c r="E96" s="13"/>
      <c r="F96" s="13"/>
      <c r="G96" s="14"/>
      <c r="H96" s="14"/>
    </row>
    <row r="97" spans="1:8" ht="30.4" x14ac:dyDescent="0.45">
      <c r="A97" s="11">
        <v>12</v>
      </c>
      <c r="B97" s="12" t="s">
        <v>76</v>
      </c>
      <c r="C97" s="13">
        <v>4</v>
      </c>
      <c r="D97" s="13"/>
      <c r="E97" s="13"/>
      <c r="F97" s="13"/>
      <c r="G97" s="14"/>
      <c r="H97" s="14"/>
    </row>
    <row r="98" spans="1:8" ht="15.4" x14ac:dyDescent="0.45">
      <c r="A98" s="11">
        <v>13</v>
      </c>
      <c r="B98" s="12" t="s">
        <v>473</v>
      </c>
      <c r="C98" s="13">
        <v>8</v>
      </c>
      <c r="D98" s="13"/>
      <c r="E98" s="13"/>
      <c r="F98" s="13"/>
      <c r="G98" s="14"/>
      <c r="H98" s="14"/>
    </row>
    <row r="99" spans="1:8" ht="30.4" x14ac:dyDescent="0.45">
      <c r="A99" s="11">
        <v>14</v>
      </c>
      <c r="B99" s="12" t="s">
        <v>474</v>
      </c>
      <c r="C99" s="13">
        <v>2</v>
      </c>
      <c r="D99" s="13"/>
      <c r="E99" s="13"/>
      <c r="F99" s="13"/>
      <c r="G99" s="14"/>
      <c r="H99" s="14"/>
    </row>
    <row r="100" spans="1:8" ht="30.4" x14ac:dyDescent="0.45">
      <c r="A100" s="11">
        <v>15</v>
      </c>
      <c r="B100" s="12" t="s">
        <v>475</v>
      </c>
      <c r="C100" s="13">
        <v>1</v>
      </c>
      <c r="D100" s="13"/>
      <c r="E100" s="13"/>
      <c r="F100" s="13"/>
      <c r="G100" s="14"/>
      <c r="H100" s="14"/>
    </row>
    <row r="101" spans="1:8" ht="30.4" x14ac:dyDescent="0.45">
      <c r="A101" s="11">
        <v>16</v>
      </c>
      <c r="B101" s="12" t="s">
        <v>476</v>
      </c>
      <c r="C101" s="13">
        <v>4</v>
      </c>
      <c r="D101" s="13"/>
      <c r="E101" s="13"/>
      <c r="F101" s="13"/>
      <c r="G101" s="14"/>
      <c r="H101" s="14"/>
    </row>
    <row r="102" spans="1:8" ht="30.4" x14ac:dyDescent="0.45">
      <c r="A102" s="11">
        <v>17</v>
      </c>
      <c r="B102" s="12" t="s">
        <v>477</v>
      </c>
      <c r="C102" s="13">
        <v>6</v>
      </c>
      <c r="D102" s="13"/>
      <c r="E102" s="13"/>
      <c r="F102" s="13"/>
      <c r="G102" s="14"/>
      <c r="H102" s="14"/>
    </row>
    <row r="103" spans="1:8" ht="15.4" x14ac:dyDescent="0.45">
      <c r="A103" s="11">
        <v>18</v>
      </c>
      <c r="B103" s="12" t="s">
        <v>478</v>
      </c>
      <c r="C103" s="13">
        <v>4</v>
      </c>
      <c r="D103" s="13"/>
      <c r="E103" s="13"/>
      <c r="F103" s="13"/>
      <c r="G103" s="14"/>
      <c r="H103" s="14"/>
    </row>
    <row r="104" spans="1:8" ht="15.4" x14ac:dyDescent="0.45">
      <c r="A104" s="11">
        <v>19</v>
      </c>
      <c r="B104" s="12" t="s">
        <v>479</v>
      </c>
      <c r="C104" s="13">
        <v>4</v>
      </c>
      <c r="D104" s="13"/>
      <c r="E104" s="13"/>
      <c r="F104" s="13"/>
      <c r="G104" s="14"/>
      <c r="H104" s="14"/>
    </row>
    <row r="105" spans="1:8" ht="30.4" x14ac:dyDescent="0.45">
      <c r="A105" s="11">
        <v>20</v>
      </c>
      <c r="B105" s="12" t="s">
        <v>480</v>
      </c>
      <c r="C105" s="13">
        <v>1</v>
      </c>
      <c r="D105" s="13"/>
      <c r="E105" s="13"/>
      <c r="F105" s="13"/>
      <c r="G105" s="14"/>
      <c r="H105" s="14"/>
    </row>
    <row r="106" spans="1:8" ht="30.4" x14ac:dyDescent="0.45">
      <c r="A106" s="11">
        <v>21</v>
      </c>
      <c r="B106" s="12" t="s">
        <v>481</v>
      </c>
      <c r="C106" s="13">
        <v>1</v>
      </c>
      <c r="D106" s="13"/>
      <c r="E106" s="13"/>
      <c r="F106" s="13"/>
      <c r="G106" s="14"/>
      <c r="H106" s="14"/>
    </row>
    <row r="107" spans="1:8" ht="30.4" x14ac:dyDescent="0.45">
      <c r="A107" s="11">
        <v>22</v>
      </c>
      <c r="B107" s="12" t="s">
        <v>482</v>
      </c>
      <c r="C107" s="13">
        <v>1</v>
      </c>
      <c r="D107" s="13"/>
      <c r="E107" s="13"/>
      <c r="F107" s="13"/>
      <c r="G107" s="14"/>
      <c r="H107" s="14"/>
    </row>
    <row r="108" spans="1:8" ht="30.4" x14ac:dyDescent="0.45">
      <c r="A108" s="11">
        <v>23</v>
      </c>
      <c r="B108" s="12" t="s">
        <v>483</v>
      </c>
      <c r="C108" s="13">
        <v>1</v>
      </c>
      <c r="D108" s="13"/>
      <c r="E108" s="13"/>
      <c r="F108" s="13"/>
      <c r="G108" s="14"/>
      <c r="H108" s="14"/>
    </row>
    <row r="109" spans="1:8" ht="30.4" x14ac:dyDescent="0.45">
      <c r="A109" s="11">
        <v>24</v>
      </c>
      <c r="B109" s="12" t="s">
        <v>484</v>
      </c>
      <c r="C109" s="13">
        <v>1</v>
      </c>
      <c r="D109" s="13"/>
      <c r="E109" s="13"/>
      <c r="F109" s="13"/>
      <c r="G109" s="14"/>
      <c r="H109" s="14"/>
    </row>
    <row r="110" spans="1:8" ht="30.4" x14ac:dyDescent="0.45">
      <c r="A110" s="11">
        <v>25</v>
      </c>
      <c r="B110" s="12" t="s">
        <v>485</v>
      </c>
      <c r="C110" s="13">
        <v>1</v>
      </c>
      <c r="D110" s="13"/>
      <c r="E110" s="13"/>
      <c r="F110" s="13"/>
      <c r="G110" s="14"/>
      <c r="H110" s="14"/>
    </row>
    <row r="111" spans="1:8" ht="30.4" x14ac:dyDescent="0.45">
      <c r="A111" s="11">
        <v>26</v>
      </c>
      <c r="B111" s="12" t="s">
        <v>486</v>
      </c>
      <c r="C111" s="13">
        <v>2</v>
      </c>
      <c r="D111" s="13"/>
      <c r="E111" s="13"/>
      <c r="F111" s="13"/>
      <c r="G111" s="14"/>
      <c r="H111" s="14"/>
    </row>
    <row r="112" spans="1:8" ht="15.4" x14ac:dyDescent="0.45">
      <c r="A112" s="11">
        <v>27</v>
      </c>
      <c r="B112" s="12" t="s">
        <v>487</v>
      </c>
      <c r="C112" s="13">
        <v>2</v>
      </c>
      <c r="D112" s="13"/>
      <c r="E112" s="13"/>
      <c r="F112" s="13"/>
      <c r="G112" s="14"/>
      <c r="H112" s="14"/>
    </row>
    <row r="113" spans="1:8" ht="15.4" x14ac:dyDescent="0.45">
      <c r="A113" s="11">
        <v>28</v>
      </c>
      <c r="B113" s="12" t="s">
        <v>488</v>
      </c>
      <c r="C113" s="13">
        <v>2</v>
      </c>
      <c r="D113" s="13"/>
      <c r="E113" s="13"/>
      <c r="F113" s="13"/>
      <c r="G113" s="14"/>
      <c r="H113" s="14"/>
    </row>
    <row r="114" spans="1:8" ht="15.4" x14ac:dyDescent="0.45">
      <c r="A114" s="11">
        <v>29</v>
      </c>
      <c r="B114" s="12" t="s">
        <v>489</v>
      </c>
      <c r="C114" s="13">
        <v>8</v>
      </c>
      <c r="D114" s="13"/>
      <c r="E114" s="13"/>
      <c r="F114" s="13"/>
      <c r="G114" s="14"/>
      <c r="H114" s="14"/>
    </row>
    <row r="115" spans="1:8" ht="15.4" x14ac:dyDescent="0.45">
      <c r="A115" s="11">
        <v>30</v>
      </c>
      <c r="B115" s="12" t="s">
        <v>490</v>
      </c>
      <c r="C115" s="13">
        <v>8</v>
      </c>
      <c r="D115" s="13"/>
      <c r="E115" s="13"/>
      <c r="F115" s="13"/>
      <c r="G115" s="14"/>
      <c r="H115" s="14"/>
    </row>
    <row r="116" spans="1:8" ht="15.4" x14ac:dyDescent="0.45">
      <c r="A116" s="11">
        <v>31</v>
      </c>
      <c r="B116" s="12" t="s">
        <v>491</v>
      </c>
      <c r="C116" s="13">
        <v>2</v>
      </c>
      <c r="D116" s="13"/>
      <c r="E116" s="13"/>
      <c r="F116" s="13"/>
      <c r="G116" s="14"/>
      <c r="H116" s="14"/>
    </row>
    <row r="117" spans="1:8" ht="30.4" x14ac:dyDescent="0.45">
      <c r="A117" s="11">
        <v>32</v>
      </c>
      <c r="B117" s="12" t="s">
        <v>492</v>
      </c>
      <c r="C117" s="13">
        <v>1</v>
      </c>
      <c r="D117" s="13"/>
      <c r="E117" s="13"/>
      <c r="F117" s="13"/>
      <c r="G117" s="14"/>
      <c r="H117" s="14"/>
    </row>
    <row r="118" spans="1:8" ht="60.4" x14ac:dyDescent="0.45">
      <c r="A118" s="11">
        <v>33</v>
      </c>
      <c r="B118" s="12" t="s">
        <v>493</v>
      </c>
      <c r="C118" s="13">
        <v>2</v>
      </c>
      <c r="D118" s="13"/>
      <c r="E118" s="13"/>
      <c r="F118" s="13"/>
      <c r="G118" s="14"/>
      <c r="H118" s="14"/>
    </row>
    <row r="119" spans="1:8" ht="30.4" x14ac:dyDescent="0.45">
      <c r="A119" s="11">
        <v>34</v>
      </c>
      <c r="B119" s="12" t="s">
        <v>494</v>
      </c>
      <c r="C119" s="13">
        <v>1</v>
      </c>
      <c r="D119" s="13"/>
      <c r="E119" s="13"/>
      <c r="F119" s="13"/>
      <c r="G119" s="14"/>
      <c r="H119" s="14"/>
    </row>
    <row r="120" spans="1:8" ht="30.4" x14ac:dyDescent="0.45">
      <c r="A120" s="11">
        <v>35</v>
      </c>
      <c r="B120" s="12" t="s">
        <v>495</v>
      </c>
      <c r="C120" s="13">
        <v>1</v>
      </c>
      <c r="D120" s="13"/>
      <c r="E120" s="13"/>
      <c r="F120" s="13"/>
      <c r="G120" s="14"/>
      <c r="H120" s="14"/>
    </row>
    <row r="121" spans="1:8" ht="30.4" x14ac:dyDescent="0.45">
      <c r="A121" s="11">
        <v>36</v>
      </c>
      <c r="B121" s="12" t="s">
        <v>496</v>
      </c>
      <c r="C121" s="13">
        <v>2</v>
      </c>
      <c r="D121" s="13"/>
      <c r="E121" s="13"/>
      <c r="F121" s="13"/>
      <c r="G121" s="14"/>
      <c r="H121" s="14"/>
    </row>
    <row r="122" spans="1:8" ht="45.4" x14ac:dyDescent="0.45">
      <c r="A122" s="11">
        <v>37</v>
      </c>
      <c r="B122" s="12" t="s">
        <v>497</v>
      </c>
      <c r="C122" s="13">
        <v>10</v>
      </c>
      <c r="D122" s="13"/>
      <c r="E122" s="13"/>
      <c r="F122" s="13"/>
      <c r="G122" s="14"/>
      <c r="H122" s="14"/>
    </row>
    <row r="123" spans="1:8" ht="30.4" x14ac:dyDescent="0.45">
      <c r="A123" s="11">
        <v>38</v>
      </c>
      <c r="B123" s="12" t="s">
        <v>498</v>
      </c>
      <c r="C123" s="13">
        <v>8</v>
      </c>
      <c r="D123" s="13"/>
      <c r="E123" s="13"/>
      <c r="F123" s="13"/>
      <c r="G123" s="14"/>
      <c r="H123" s="14"/>
    </row>
    <row r="124" spans="1:8" ht="30.4" x14ac:dyDescent="0.45">
      <c r="A124" s="11">
        <v>39</v>
      </c>
      <c r="B124" s="12" t="s">
        <v>499</v>
      </c>
      <c r="C124" s="13">
        <v>10</v>
      </c>
      <c r="D124" s="13"/>
      <c r="E124" s="13"/>
      <c r="F124" s="13"/>
      <c r="G124" s="14"/>
      <c r="H124" s="14"/>
    </row>
    <row r="125" spans="1:8" ht="15.4" x14ac:dyDescent="0.45">
      <c r="A125" s="11">
        <v>40</v>
      </c>
      <c r="B125" s="12" t="s">
        <v>500</v>
      </c>
      <c r="C125" s="13">
        <v>6</v>
      </c>
      <c r="D125" s="13"/>
      <c r="E125" s="13"/>
      <c r="F125" s="13"/>
      <c r="G125" s="14"/>
      <c r="H125" s="14"/>
    </row>
    <row r="126" spans="1:8" ht="30.4" x14ac:dyDescent="0.45">
      <c r="A126" s="11">
        <v>41</v>
      </c>
      <c r="B126" s="12" t="s">
        <v>501</v>
      </c>
      <c r="C126" s="13">
        <v>4</v>
      </c>
      <c r="D126" s="13"/>
      <c r="E126" s="13"/>
      <c r="F126" s="13"/>
      <c r="G126" s="14"/>
      <c r="H126" s="14"/>
    </row>
    <row r="127" spans="1:8" ht="30.4" x14ac:dyDescent="0.45">
      <c r="A127" s="11">
        <v>42</v>
      </c>
      <c r="B127" s="12" t="s">
        <v>502</v>
      </c>
      <c r="C127" s="13">
        <v>6</v>
      </c>
      <c r="D127" s="13"/>
      <c r="E127" s="13"/>
      <c r="F127" s="13"/>
      <c r="G127" s="14"/>
      <c r="H127" s="14"/>
    </row>
    <row r="128" spans="1:8" ht="15.4" x14ac:dyDescent="0.45">
      <c r="A128" s="11">
        <v>43</v>
      </c>
      <c r="B128" s="12" t="s">
        <v>503</v>
      </c>
      <c r="C128" s="13">
        <v>4</v>
      </c>
      <c r="D128" s="13"/>
      <c r="E128" s="13"/>
      <c r="F128" s="13"/>
      <c r="G128" s="14"/>
      <c r="H128" s="14"/>
    </row>
    <row r="129" spans="1:8" ht="30.4" x14ac:dyDescent="0.45">
      <c r="A129" s="11">
        <v>44</v>
      </c>
      <c r="B129" s="12" t="s">
        <v>504</v>
      </c>
      <c r="C129" s="13">
        <v>2</v>
      </c>
      <c r="D129" s="13"/>
      <c r="E129" s="13"/>
      <c r="F129" s="13"/>
      <c r="G129" s="14"/>
      <c r="H129" s="14"/>
    </row>
    <row r="130" spans="1:8" ht="30.4" x14ac:dyDescent="0.45">
      <c r="A130" s="11">
        <v>45</v>
      </c>
      <c r="B130" s="12" t="s">
        <v>505</v>
      </c>
      <c r="C130" s="13">
        <v>1</v>
      </c>
      <c r="D130" s="13"/>
      <c r="E130" s="13"/>
      <c r="F130" s="13"/>
      <c r="G130" s="14"/>
      <c r="H130" s="14"/>
    </row>
    <row r="131" spans="1:8" ht="30.4" x14ac:dyDescent="0.45">
      <c r="A131" s="11">
        <v>46</v>
      </c>
      <c r="B131" s="12" t="s">
        <v>506</v>
      </c>
      <c r="C131" s="13">
        <v>2</v>
      </c>
      <c r="D131" s="13"/>
      <c r="E131" s="13"/>
      <c r="F131" s="13"/>
      <c r="G131" s="14"/>
      <c r="H131" s="14"/>
    </row>
    <row r="132" spans="1:8" ht="30.4" x14ac:dyDescent="0.45">
      <c r="A132" s="11">
        <v>47</v>
      </c>
      <c r="B132" s="12" t="s">
        <v>507</v>
      </c>
      <c r="C132" s="13">
        <v>2</v>
      </c>
      <c r="D132" s="13"/>
      <c r="E132" s="13"/>
      <c r="F132" s="13"/>
      <c r="G132" s="14"/>
      <c r="H132" s="14"/>
    </row>
    <row r="133" spans="1:8" ht="15.4" x14ac:dyDescent="0.45">
      <c r="A133" s="11">
        <v>48</v>
      </c>
      <c r="B133" s="12" t="s">
        <v>508</v>
      </c>
      <c r="C133" s="13">
        <v>1</v>
      </c>
      <c r="D133" s="13"/>
      <c r="E133" s="13"/>
      <c r="F133" s="13"/>
      <c r="G133" s="14"/>
      <c r="H133" s="14"/>
    </row>
    <row r="134" spans="1:8" ht="45.4" x14ac:dyDescent="0.45">
      <c r="A134" s="11">
        <v>49</v>
      </c>
      <c r="B134" s="12" t="s">
        <v>509</v>
      </c>
      <c r="C134" s="13">
        <v>1</v>
      </c>
      <c r="D134" s="13"/>
      <c r="E134" s="13"/>
      <c r="F134" s="13"/>
      <c r="G134" s="14"/>
      <c r="H134" s="14"/>
    </row>
    <row r="135" spans="1:8" ht="45.4" x14ac:dyDescent="0.45">
      <c r="A135" s="11">
        <v>50</v>
      </c>
      <c r="B135" s="12" t="s">
        <v>510</v>
      </c>
      <c r="C135" s="13">
        <v>1</v>
      </c>
      <c r="D135" s="13"/>
      <c r="E135" s="13"/>
      <c r="F135" s="13"/>
      <c r="G135" s="14"/>
      <c r="H135" s="14"/>
    </row>
    <row r="136" spans="1:8" ht="45.4" x14ac:dyDescent="0.45">
      <c r="A136" s="11">
        <v>51</v>
      </c>
      <c r="B136" s="12" t="s">
        <v>511</v>
      </c>
      <c r="C136" s="13">
        <v>2</v>
      </c>
      <c r="D136" s="13"/>
      <c r="E136" s="13"/>
      <c r="F136" s="13"/>
      <c r="G136" s="14"/>
      <c r="H136" s="14"/>
    </row>
    <row r="137" spans="1:8" ht="15.4" x14ac:dyDescent="0.45">
      <c r="A137" s="11">
        <v>52</v>
      </c>
      <c r="B137" s="12" t="s">
        <v>512</v>
      </c>
      <c r="C137" s="13">
        <v>1</v>
      </c>
      <c r="D137" s="13"/>
      <c r="E137" s="13"/>
      <c r="F137" s="13"/>
      <c r="G137" s="14"/>
      <c r="H137" s="14"/>
    </row>
    <row r="138" spans="1:8" ht="30.4" x14ac:dyDescent="0.45">
      <c r="A138" s="11">
        <v>53</v>
      </c>
      <c r="B138" s="12" t="s">
        <v>513</v>
      </c>
      <c r="C138" s="13">
        <v>1</v>
      </c>
      <c r="D138" s="13"/>
      <c r="E138" s="13"/>
      <c r="F138" s="13"/>
      <c r="G138" s="14"/>
      <c r="H138" s="14"/>
    </row>
    <row r="139" spans="1:8" ht="30.4" x14ac:dyDescent="0.45">
      <c r="A139" s="11">
        <v>54</v>
      </c>
      <c r="B139" s="12" t="s">
        <v>514</v>
      </c>
      <c r="C139" s="13">
        <v>1</v>
      </c>
      <c r="D139" s="13"/>
      <c r="E139" s="13"/>
      <c r="F139" s="13"/>
      <c r="G139" s="14"/>
      <c r="H139" s="14"/>
    </row>
    <row r="140" spans="1:8" ht="30.4" x14ac:dyDescent="0.45">
      <c r="A140" s="11">
        <v>55</v>
      </c>
      <c r="B140" s="12" t="s">
        <v>515</v>
      </c>
      <c r="C140" s="13">
        <v>1</v>
      </c>
      <c r="D140" s="13"/>
      <c r="E140" s="13"/>
      <c r="F140" s="13"/>
      <c r="G140" s="14"/>
      <c r="H140" s="14"/>
    </row>
    <row r="141" spans="1:8" ht="30.4" x14ac:dyDescent="0.45">
      <c r="A141" s="11">
        <v>56</v>
      </c>
      <c r="B141" s="12" t="s">
        <v>516</v>
      </c>
      <c r="C141" s="13">
        <v>1</v>
      </c>
      <c r="D141" s="13"/>
      <c r="E141" s="13"/>
      <c r="F141" s="13"/>
      <c r="G141" s="14"/>
      <c r="H141" s="14"/>
    </row>
    <row r="142" spans="1:8" ht="30.4" x14ac:dyDescent="0.45">
      <c r="A142" s="11">
        <v>57</v>
      </c>
      <c r="B142" s="12" t="s">
        <v>517</v>
      </c>
      <c r="C142" s="13">
        <v>2</v>
      </c>
      <c r="D142" s="13"/>
      <c r="E142" s="13"/>
      <c r="F142" s="13"/>
      <c r="G142" s="14"/>
      <c r="H142" s="14"/>
    </row>
    <row r="143" spans="1:8" ht="30.4" x14ac:dyDescent="0.45">
      <c r="A143" s="11">
        <v>58</v>
      </c>
      <c r="B143" s="12" t="s">
        <v>518</v>
      </c>
      <c r="C143" s="13">
        <v>1</v>
      </c>
      <c r="D143" s="13"/>
      <c r="E143" s="13"/>
      <c r="F143" s="13"/>
      <c r="G143" s="14"/>
      <c r="H143" s="14"/>
    </row>
    <row r="144" spans="1:8" ht="45.4" x14ac:dyDescent="0.45">
      <c r="A144" s="11">
        <v>59</v>
      </c>
      <c r="B144" s="12" t="s">
        <v>519</v>
      </c>
      <c r="C144" s="13">
        <v>1</v>
      </c>
      <c r="D144" s="13"/>
      <c r="E144" s="13"/>
      <c r="F144" s="13"/>
      <c r="G144" s="14"/>
      <c r="H144" s="14"/>
    </row>
    <row r="145" spans="1:8" ht="30.4" x14ac:dyDescent="0.45">
      <c r="A145" s="11">
        <v>60</v>
      </c>
      <c r="B145" s="12" t="s">
        <v>520</v>
      </c>
      <c r="C145" s="13">
        <v>1</v>
      </c>
      <c r="D145" s="13"/>
      <c r="E145" s="13"/>
      <c r="F145" s="13"/>
      <c r="G145" s="14"/>
      <c r="H145" s="14"/>
    </row>
    <row r="146" spans="1:8" ht="30.4" x14ac:dyDescent="0.45">
      <c r="A146" s="11">
        <v>61</v>
      </c>
      <c r="B146" s="12" t="s">
        <v>521</v>
      </c>
      <c r="C146" s="13">
        <v>1</v>
      </c>
      <c r="D146" s="13"/>
      <c r="E146" s="13"/>
      <c r="F146" s="13"/>
      <c r="G146" s="14"/>
      <c r="H146" s="14"/>
    </row>
    <row r="147" spans="1:8" ht="30.4" x14ac:dyDescent="0.45">
      <c r="A147" s="11">
        <v>62</v>
      </c>
      <c r="B147" s="12" t="s">
        <v>522</v>
      </c>
      <c r="C147" s="13">
        <v>1</v>
      </c>
      <c r="D147" s="13"/>
      <c r="E147" s="13"/>
      <c r="F147" s="13"/>
      <c r="G147" s="14"/>
      <c r="H147" s="14"/>
    </row>
    <row r="148" spans="1:8" ht="135.4" x14ac:dyDescent="0.45">
      <c r="A148" s="11">
        <v>63</v>
      </c>
      <c r="B148" s="12" t="s">
        <v>613</v>
      </c>
      <c r="C148" s="13">
        <v>2</v>
      </c>
      <c r="D148" s="13"/>
      <c r="E148" s="13"/>
      <c r="F148" s="13"/>
      <c r="G148" s="14"/>
      <c r="H148" s="14"/>
    </row>
    <row r="149" spans="1:8" s="60" customFormat="1" ht="15.4" x14ac:dyDescent="0.45">
      <c r="A149" s="15"/>
      <c r="B149" s="19"/>
      <c r="C149" s="20">
        <f>SUM(C86:C148)</f>
        <v>155</v>
      </c>
      <c r="D149" s="20"/>
      <c r="E149" s="20"/>
      <c r="F149" s="130" t="s">
        <v>17</v>
      </c>
      <c r="G149" s="131"/>
      <c r="H149" s="120"/>
    </row>
    <row r="150" spans="1:8" s="60" customFormat="1" x14ac:dyDescent="0.45">
      <c r="B150" s="112"/>
      <c r="C150" s="72"/>
      <c r="D150" s="72"/>
      <c r="E150" s="72"/>
      <c r="F150" s="72"/>
      <c r="G150" s="72"/>
    </row>
    <row r="151" spans="1:8" ht="15.4" customHeight="1" x14ac:dyDescent="0.45">
      <c r="A151" s="124" t="s">
        <v>446</v>
      </c>
      <c r="B151" s="125"/>
      <c r="C151" s="125"/>
      <c r="D151" s="125"/>
      <c r="E151" s="125"/>
      <c r="F151" s="125"/>
      <c r="G151" s="125"/>
      <c r="H151" s="126"/>
    </row>
    <row r="152" spans="1:8" ht="30" x14ac:dyDescent="0.45">
      <c r="A152" s="51" t="s">
        <v>21</v>
      </c>
      <c r="B152" s="51" t="s">
        <v>20</v>
      </c>
      <c r="C152" s="51" t="s">
        <v>19</v>
      </c>
      <c r="D152" s="51" t="s">
        <v>523</v>
      </c>
      <c r="E152" s="51" t="s">
        <v>524</v>
      </c>
      <c r="F152" s="51" t="s">
        <v>525</v>
      </c>
      <c r="G152" s="52" t="s">
        <v>18</v>
      </c>
      <c r="H152" s="52" t="s">
        <v>17</v>
      </c>
    </row>
    <row r="153" spans="1:8" ht="30.4" x14ac:dyDescent="0.45">
      <c r="A153" s="108">
        <v>1</v>
      </c>
      <c r="B153" s="12" t="s">
        <v>76</v>
      </c>
      <c r="C153" s="13">
        <v>2</v>
      </c>
      <c r="D153" s="13"/>
      <c r="E153" s="13"/>
      <c r="F153" s="13"/>
      <c r="G153" s="14"/>
      <c r="H153" s="14"/>
    </row>
    <row r="154" spans="1:8" ht="30.4" x14ac:dyDescent="0.45">
      <c r="A154" s="11">
        <v>2</v>
      </c>
      <c r="B154" s="12" t="s">
        <v>164</v>
      </c>
      <c r="C154" s="13">
        <v>1</v>
      </c>
      <c r="D154" s="13"/>
      <c r="E154" s="13"/>
      <c r="F154" s="13"/>
      <c r="G154" s="14"/>
      <c r="H154" s="14"/>
    </row>
    <row r="155" spans="1:8" ht="30.4" x14ac:dyDescent="0.45">
      <c r="A155" s="11">
        <v>3</v>
      </c>
      <c r="B155" s="12" t="s">
        <v>389</v>
      </c>
      <c r="C155" s="13">
        <v>1</v>
      </c>
      <c r="D155" s="13"/>
      <c r="E155" s="13"/>
      <c r="F155" s="13"/>
      <c r="G155" s="14"/>
      <c r="H155" s="14"/>
    </row>
    <row r="156" spans="1:8" ht="30.4" x14ac:dyDescent="0.45">
      <c r="A156" s="11">
        <v>4</v>
      </c>
      <c r="B156" s="12" t="s">
        <v>165</v>
      </c>
      <c r="C156" s="13">
        <v>1</v>
      </c>
      <c r="D156" s="13"/>
      <c r="E156" s="13"/>
      <c r="F156" s="13"/>
      <c r="G156" s="14"/>
      <c r="H156" s="14"/>
    </row>
    <row r="157" spans="1:8" ht="30.4" x14ac:dyDescent="0.45">
      <c r="A157" s="11">
        <v>5</v>
      </c>
      <c r="B157" s="12" t="s">
        <v>397</v>
      </c>
      <c r="C157" s="13">
        <v>1</v>
      </c>
      <c r="D157" s="13"/>
      <c r="E157" s="13"/>
      <c r="F157" s="13"/>
      <c r="G157" s="14"/>
      <c r="H157" s="14"/>
    </row>
    <row r="158" spans="1:8" ht="60.4" x14ac:dyDescent="0.45">
      <c r="A158" s="11">
        <v>6</v>
      </c>
      <c r="B158" s="12" t="s">
        <v>408</v>
      </c>
      <c r="C158" s="13">
        <v>1</v>
      </c>
      <c r="D158" s="13"/>
      <c r="E158" s="13"/>
      <c r="F158" s="13"/>
      <c r="G158" s="14"/>
      <c r="H158" s="14"/>
    </row>
    <row r="159" spans="1:8" ht="45.4" x14ac:dyDescent="0.45">
      <c r="A159" s="11">
        <v>7</v>
      </c>
      <c r="B159" s="12" t="s">
        <v>407</v>
      </c>
      <c r="C159" s="13">
        <v>1</v>
      </c>
      <c r="D159" s="13"/>
      <c r="E159" s="13"/>
      <c r="F159" s="13"/>
      <c r="G159" s="14"/>
      <c r="H159" s="14"/>
    </row>
    <row r="160" spans="1:8" ht="45.4" x14ac:dyDescent="0.45">
      <c r="A160" s="11">
        <v>8</v>
      </c>
      <c r="B160" s="12" t="s">
        <v>406</v>
      </c>
      <c r="C160" s="13">
        <v>1</v>
      </c>
      <c r="D160" s="13"/>
      <c r="E160" s="13"/>
      <c r="F160" s="13"/>
      <c r="G160" s="14"/>
      <c r="H160" s="14"/>
    </row>
    <row r="161" spans="1:8" ht="60.4" x14ac:dyDescent="0.45">
      <c r="A161" s="11">
        <v>9</v>
      </c>
      <c r="B161" s="12" t="s">
        <v>405</v>
      </c>
      <c r="C161" s="13">
        <v>1</v>
      </c>
      <c r="D161" s="13"/>
      <c r="E161" s="13"/>
      <c r="F161" s="13"/>
      <c r="G161" s="14"/>
      <c r="H161" s="14"/>
    </row>
    <row r="162" spans="1:8" ht="60.4" x14ac:dyDescent="0.45">
      <c r="A162" s="11">
        <v>10</v>
      </c>
      <c r="B162" s="12" t="s">
        <v>404</v>
      </c>
      <c r="C162" s="13">
        <v>1</v>
      </c>
      <c r="D162" s="13"/>
      <c r="E162" s="13"/>
      <c r="F162" s="13"/>
      <c r="G162" s="14"/>
      <c r="H162" s="14"/>
    </row>
    <row r="163" spans="1:8" ht="75.400000000000006" x14ac:dyDescent="0.45">
      <c r="A163" s="11">
        <v>11</v>
      </c>
      <c r="B163" s="12" t="s">
        <v>403</v>
      </c>
      <c r="C163" s="13">
        <v>1</v>
      </c>
      <c r="D163" s="13"/>
      <c r="E163" s="13"/>
      <c r="F163" s="13"/>
      <c r="G163" s="14"/>
      <c r="H163" s="14"/>
    </row>
    <row r="164" spans="1:8" ht="75.400000000000006" x14ac:dyDescent="0.45">
      <c r="A164" s="11">
        <v>12</v>
      </c>
      <c r="B164" s="12" t="s">
        <v>402</v>
      </c>
      <c r="C164" s="13">
        <v>1</v>
      </c>
      <c r="D164" s="13"/>
      <c r="E164" s="13"/>
      <c r="F164" s="13"/>
      <c r="G164" s="14"/>
      <c r="H164" s="14"/>
    </row>
    <row r="165" spans="1:8" ht="75.400000000000006" x14ac:dyDescent="0.45">
      <c r="A165" s="11">
        <v>13</v>
      </c>
      <c r="B165" s="12" t="s">
        <v>401</v>
      </c>
      <c r="C165" s="13">
        <v>1</v>
      </c>
      <c r="D165" s="13"/>
      <c r="E165" s="13"/>
      <c r="F165" s="13"/>
      <c r="G165" s="14"/>
      <c r="H165" s="14"/>
    </row>
    <row r="166" spans="1:8" ht="75.400000000000006" x14ac:dyDescent="0.45">
      <c r="A166" s="11">
        <v>14</v>
      </c>
      <c r="B166" s="12" t="s">
        <v>400</v>
      </c>
      <c r="C166" s="13">
        <v>1</v>
      </c>
      <c r="D166" s="13"/>
      <c r="E166" s="13"/>
      <c r="F166" s="13"/>
      <c r="G166" s="14"/>
      <c r="H166" s="14"/>
    </row>
    <row r="167" spans="1:8" ht="60.4" x14ac:dyDescent="0.45">
      <c r="A167" s="11">
        <v>15</v>
      </c>
      <c r="B167" s="12" t="s">
        <v>317</v>
      </c>
      <c r="C167" s="13">
        <v>1</v>
      </c>
      <c r="D167" s="13"/>
      <c r="E167" s="13"/>
      <c r="F167" s="13"/>
      <c r="G167" s="14"/>
      <c r="H167" s="14"/>
    </row>
    <row r="168" spans="1:8" ht="60.4" x14ac:dyDescent="0.45">
      <c r="A168" s="11">
        <v>16</v>
      </c>
      <c r="B168" s="12" t="s">
        <v>399</v>
      </c>
      <c r="C168" s="13">
        <v>1</v>
      </c>
      <c r="D168" s="13"/>
      <c r="E168" s="13"/>
      <c r="F168" s="13"/>
      <c r="G168" s="14"/>
      <c r="H168" s="14"/>
    </row>
    <row r="169" spans="1:8" ht="30.4" x14ac:dyDescent="0.45">
      <c r="A169" s="11">
        <v>17</v>
      </c>
      <c r="B169" s="12" t="s">
        <v>398</v>
      </c>
      <c r="C169" s="13">
        <v>1</v>
      </c>
      <c r="D169" s="13"/>
      <c r="E169" s="13"/>
      <c r="F169" s="13"/>
      <c r="G169" s="14"/>
      <c r="H169" s="14"/>
    </row>
    <row r="170" spans="1:8" ht="30.4" x14ac:dyDescent="0.45">
      <c r="A170" s="11">
        <v>18</v>
      </c>
      <c r="B170" s="12" t="s">
        <v>100</v>
      </c>
      <c r="C170" s="13">
        <v>1</v>
      </c>
      <c r="D170" s="13"/>
      <c r="E170" s="13"/>
      <c r="F170" s="13"/>
      <c r="G170" s="14"/>
      <c r="H170" s="14"/>
    </row>
    <row r="171" spans="1:8" ht="60.4" x14ac:dyDescent="0.45">
      <c r="A171" s="11">
        <v>19</v>
      </c>
      <c r="B171" s="12" t="s">
        <v>365</v>
      </c>
      <c r="C171" s="13">
        <v>1</v>
      </c>
      <c r="D171" s="13"/>
      <c r="E171" s="13"/>
      <c r="F171" s="13"/>
      <c r="G171" s="14"/>
      <c r="H171" s="14"/>
    </row>
    <row r="172" spans="1:8" ht="60.4" x14ac:dyDescent="0.45">
      <c r="A172" s="11">
        <v>20</v>
      </c>
      <c r="B172" s="12" t="s">
        <v>121</v>
      </c>
      <c r="C172" s="13">
        <v>1</v>
      </c>
      <c r="D172" s="13"/>
      <c r="E172" s="13"/>
      <c r="F172" s="13"/>
      <c r="G172" s="14"/>
      <c r="H172" s="14"/>
    </row>
    <row r="173" spans="1:8" ht="60.4" x14ac:dyDescent="0.45">
      <c r="A173" s="11">
        <v>21</v>
      </c>
      <c r="B173" s="12" t="s">
        <v>73</v>
      </c>
      <c r="C173" s="13">
        <v>1</v>
      </c>
      <c r="D173" s="13"/>
      <c r="E173" s="13"/>
      <c r="F173" s="13"/>
      <c r="G173" s="14"/>
      <c r="H173" s="14"/>
    </row>
    <row r="174" spans="1:8" ht="135.4" x14ac:dyDescent="0.45">
      <c r="A174" s="11">
        <v>22</v>
      </c>
      <c r="B174" s="12" t="s">
        <v>314</v>
      </c>
      <c r="C174" s="13">
        <v>1</v>
      </c>
      <c r="D174" s="13"/>
      <c r="E174" s="13"/>
      <c r="F174" s="13"/>
      <c r="G174" s="14"/>
      <c r="H174" s="14"/>
    </row>
    <row r="175" spans="1:8" s="60" customFormat="1" ht="15.4" x14ac:dyDescent="0.45">
      <c r="A175" s="15"/>
      <c r="B175" s="16"/>
      <c r="C175" s="17">
        <f>SUM(C153:C174)</f>
        <v>23</v>
      </c>
      <c r="D175" s="45"/>
      <c r="E175" s="45"/>
      <c r="F175" s="130" t="s">
        <v>17</v>
      </c>
      <c r="G175" s="131"/>
      <c r="H175" s="120"/>
    </row>
    <row r="176" spans="1:8" s="60" customFormat="1" ht="15.4" x14ac:dyDescent="0.45">
      <c r="A176" s="15"/>
      <c r="B176" s="19"/>
      <c r="C176" s="20"/>
      <c r="D176" s="20"/>
      <c r="E176" s="20"/>
      <c r="F176" s="20"/>
      <c r="G176" s="9"/>
      <c r="H176" s="9"/>
    </row>
    <row r="177" spans="1:8" ht="15.4" customHeight="1" x14ac:dyDescent="0.45">
      <c r="A177" s="124" t="s">
        <v>447</v>
      </c>
      <c r="B177" s="125"/>
      <c r="C177" s="125"/>
      <c r="D177" s="125"/>
      <c r="E177" s="125"/>
      <c r="F177" s="125"/>
      <c r="G177" s="125"/>
      <c r="H177" s="126"/>
    </row>
    <row r="178" spans="1:8" ht="30" x14ac:dyDescent="0.45">
      <c r="A178" s="51" t="s">
        <v>21</v>
      </c>
      <c r="B178" s="51" t="s">
        <v>20</v>
      </c>
      <c r="C178" s="51" t="s">
        <v>19</v>
      </c>
      <c r="D178" s="51" t="s">
        <v>523</v>
      </c>
      <c r="E178" s="51" t="s">
        <v>524</v>
      </c>
      <c r="F178" s="51" t="s">
        <v>525</v>
      </c>
      <c r="G178" s="52" t="s">
        <v>18</v>
      </c>
      <c r="H178" s="52" t="s">
        <v>17</v>
      </c>
    </row>
    <row r="179" spans="1:8" ht="30.4" x14ac:dyDescent="0.45">
      <c r="A179" s="11">
        <v>1</v>
      </c>
      <c r="B179" s="12" t="s">
        <v>76</v>
      </c>
      <c r="C179" s="13">
        <v>3</v>
      </c>
      <c r="D179" s="13"/>
      <c r="E179" s="13"/>
      <c r="F179" s="13"/>
      <c r="G179" s="14"/>
      <c r="H179" s="14"/>
    </row>
    <row r="180" spans="1:8" ht="30.4" x14ac:dyDescent="0.45">
      <c r="A180" s="11">
        <v>2</v>
      </c>
      <c r="B180" s="12" t="s">
        <v>397</v>
      </c>
      <c r="C180" s="13">
        <v>1</v>
      </c>
      <c r="D180" s="13"/>
      <c r="E180" s="13"/>
      <c r="F180" s="13"/>
      <c r="G180" s="14"/>
      <c r="H180" s="14"/>
    </row>
    <row r="181" spans="1:8" ht="30.4" x14ac:dyDescent="0.45">
      <c r="A181" s="11">
        <v>3</v>
      </c>
      <c r="B181" s="12" t="s">
        <v>100</v>
      </c>
      <c r="C181" s="13">
        <v>1</v>
      </c>
      <c r="D181" s="13"/>
      <c r="E181" s="13"/>
      <c r="F181" s="13"/>
      <c r="G181" s="14"/>
      <c r="H181" s="14"/>
    </row>
    <row r="182" spans="1:8" ht="60.4" x14ac:dyDescent="0.45">
      <c r="A182" s="11">
        <v>4</v>
      </c>
      <c r="B182" s="12" t="s">
        <v>396</v>
      </c>
      <c r="C182" s="13">
        <v>4</v>
      </c>
      <c r="D182" s="13"/>
      <c r="E182" s="13"/>
      <c r="F182" s="13"/>
      <c r="G182" s="14"/>
      <c r="H182" s="14"/>
    </row>
    <row r="183" spans="1:8" ht="60.4" x14ac:dyDescent="0.45">
      <c r="A183" s="11">
        <v>5</v>
      </c>
      <c r="B183" s="12" t="s">
        <v>366</v>
      </c>
      <c r="C183" s="13">
        <v>2</v>
      </c>
      <c r="D183" s="13"/>
      <c r="E183" s="13"/>
      <c r="F183" s="13"/>
      <c r="G183" s="14"/>
      <c r="H183" s="14"/>
    </row>
    <row r="184" spans="1:8" ht="45.4" x14ac:dyDescent="0.45">
      <c r="A184" s="11">
        <v>6</v>
      </c>
      <c r="B184" s="12" t="s">
        <v>72</v>
      </c>
      <c r="C184" s="13">
        <v>6</v>
      </c>
      <c r="D184" s="13"/>
      <c r="E184" s="13"/>
      <c r="F184" s="13"/>
      <c r="G184" s="14"/>
      <c r="H184" s="14"/>
    </row>
    <row r="185" spans="1:8" ht="60.4" x14ac:dyDescent="0.45">
      <c r="A185" s="11">
        <v>7</v>
      </c>
      <c r="B185" s="12" t="s">
        <v>70</v>
      </c>
      <c r="C185" s="13">
        <v>2</v>
      </c>
      <c r="D185" s="13"/>
      <c r="E185" s="13"/>
      <c r="F185" s="13"/>
      <c r="G185" s="14"/>
      <c r="H185" s="14"/>
    </row>
    <row r="186" spans="1:8" ht="60.4" x14ac:dyDescent="0.45">
      <c r="A186" s="11">
        <v>8</v>
      </c>
      <c r="B186" s="12" t="s">
        <v>365</v>
      </c>
      <c r="C186" s="13">
        <v>2</v>
      </c>
      <c r="D186" s="13"/>
      <c r="E186" s="13"/>
      <c r="F186" s="13"/>
      <c r="G186" s="14"/>
      <c r="H186" s="14"/>
    </row>
    <row r="187" spans="1:8" ht="60.4" x14ac:dyDescent="0.45">
      <c r="A187" s="11">
        <v>9</v>
      </c>
      <c r="B187" s="12" t="s">
        <v>395</v>
      </c>
      <c r="C187" s="13">
        <v>1</v>
      </c>
      <c r="D187" s="13"/>
      <c r="E187" s="13"/>
      <c r="F187" s="13"/>
      <c r="G187" s="14"/>
      <c r="H187" s="14"/>
    </row>
    <row r="188" spans="1:8" ht="60.4" x14ac:dyDescent="0.45">
      <c r="A188" s="11">
        <v>10</v>
      </c>
      <c r="B188" s="12" t="s">
        <v>121</v>
      </c>
      <c r="C188" s="13">
        <v>1</v>
      </c>
      <c r="D188" s="13"/>
      <c r="E188" s="13"/>
      <c r="F188" s="13"/>
      <c r="G188" s="14"/>
      <c r="H188" s="14"/>
    </row>
    <row r="189" spans="1:8" ht="60.4" x14ac:dyDescent="0.45">
      <c r="A189" s="11">
        <v>11</v>
      </c>
      <c r="B189" s="12" t="s">
        <v>379</v>
      </c>
      <c r="C189" s="13">
        <v>1</v>
      </c>
      <c r="D189" s="13"/>
      <c r="E189" s="13"/>
      <c r="F189" s="13"/>
      <c r="G189" s="14"/>
      <c r="H189" s="14"/>
    </row>
    <row r="190" spans="1:8" ht="30.4" x14ac:dyDescent="0.45">
      <c r="A190" s="11">
        <v>12</v>
      </c>
      <c r="B190" s="12" t="s">
        <v>92</v>
      </c>
      <c r="C190" s="13">
        <v>5</v>
      </c>
      <c r="D190" s="13"/>
      <c r="E190" s="13"/>
      <c r="F190" s="13"/>
      <c r="G190" s="14"/>
      <c r="H190" s="14"/>
    </row>
    <row r="191" spans="1:8" ht="60.4" x14ac:dyDescent="0.45">
      <c r="A191" s="11">
        <v>13</v>
      </c>
      <c r="B191" s="12" t="s">
        <v>73</v>
      </c>
      <c r="C191" s="13">
        <v>1</v>
      </c>
      <c r="D191" s="13"/>
      <c r="E191" s="13"/>
      <c r="F191" s="13"/>
      <c r="G191" s="14"/>
      <c r="H191" s="14"/>
    </row>
    <row r="192" spans="1:8" ht="45.4" x14ac:dyDescent="0.45">
      <c r="A192" s="11">
        <v>14</v>
      </c>
      <c r="B192" s="12" t="s">
        <v>64</v>
      </c>
      <c r="C192" s="13">
        <v>4</v>
      </c>
      <c r="D192" s="13"/>
      <c r="E192" s="13"/>
      <c r="F192" s="13"/>
      <c r="G192" s="14"/>
      <c r="H192" s="14"/>
    </row>
    <row r="193" spans="1:8" ht="45.4" x14ac:dyDescent="0.45">
      <c r="A193" s="11">
        <v>15</v>
      </c>
      <c r="B193" s="12" t="s">
        <v>117</v>
      </c>
      <c r="C193" s="13">
        <v>4</v>
      </c>
      <c r="D193" s="13"/>
      <c r="E193" s="13"/>
      <c r="F193" s="13"/>
      <c r="G193" s="14"/>
      <c r="H193" s="14"/>
    </row>
    <row r="194" spans="1:8" ht="45.4" x14ac:dyDescent="0.45">
      <c r="A194" s="11">
        <v>16</v>
      </c>
      <c r="B194" s="12" t="s">
        <v>63</v>
      </c>
      <c r="C194" s="13">
        <v>4</v>
      </c>
      <c r="D194" s="13"/>
      <c r="E194" s="13"/>
      <c r="F194" s="13"/>
      <c r="G194" s="14"/>
      <c r="H194" s="14"/>
    </row>
    <row r="195" spans="1:8" ht="75.400000000000006" x14ac:dyDescent="0.45">
      <c r="A195" s="11">
        <v>17</v>
      </c>
      <c r="B195" s="12" t="s">
        <v>394</v>
      </c>
      <c r="C195" s="13">
        <v>8</v>
      </c>
      <c r="D195" s="13"/>
      <c r="E195" s="13"/>
      <c r="F195" s="13"/>
      <c r="G195" s="14"/>
      <c r="H195" s="14"/>
    </row>
    <row r="196" spans="1:8" ht="60.4" x14ac:dyDescent="0.45">
      <c r="A196" s="11">
        <v>18</v>
      </c>
      <c r="B196" s="12" t="s">
        <v>393</v>
      </c>
      <c r="C196" s="13">
        <v>4</v>
      </c>
      <c r="D196" s="13"/>
      <c r="E196" s="13"/>
      <c r="F196" s="13"/>
      <c r="G196" s="14"/>
      <c r="H196" s="14"/>
    </row>
    <row r="197" spans="1:8" ht="60.4" x14ac:dyDescent="0.45">
      <c r="A197" s="11">
        <v>19</v>
      </c>
      <c r="B197" s="12" t="s">
        <v>392</v>
      </c>
      <c r="C197" s="13">
        <v>1</v>
      </c>
      <c r="D197" s="13"/>
      <c r="E197" s="13"/>
      <c r="F197" s="13"/>
      <c r="G197" s="14"/>
      <c r="H197" s="14"/>
    </row>
    <row r="198" spans="1:8" ht="45.4" x14ac:dyDescent="0.45">
      <c r="A198" s="11">
        <v>20</v>
      </c>
      <c r="B198" s="12" t="s">
        <v>350</v>
      </c>
      <c r="C198" s="13">
        <v>1</v>
      </c>
      <c r="D198" s="13"/>
      <c r="E198" s="13"/>
      <c r="F198" s="13"/>
      <c r="G198" s="14"/>
      <c r="H198" s="14"/>
    </row>
    <row r="199" spans="1:8" ht="45.4" x14ac:dyDescent="0.45">
      <c r="A199" s="11">
        <v>21</v>
      </c>
      <c r="B199" s="12" t="s">
        <v>358</v>
      </c>
      <c r="C199" s="13">
        <v>1</v>
      </c>
      <c r="D199" s="13"/>
      <c r="E199" s="13"/>
      <c r="F199" s="13"/>
      <c r="G199" s="14"/>
      <c r="H199" s="14"/>
    </row>
    <row r="200" spans="1:8" ht="30.4" x14ac:dyDescent="0.45">
      <c r="A200" s="11">
        <v>22</v>
      </c>
      <c r="B200" s="12" t="s">
        <v>165</v>
      </c>
      <c r="C200" s="13">
        <v>2</v>
      </c>
      <c r="D200" s="13"/>
      <c r="E200" s="13"/>
      <c r="F200" s="13"/>
      <c r="G200" s="14"/>
      <c r="H200" s="14"/>
    </row>
    <row r="201" spans="1:8" ht="60.4" x14ac:dyDescent="0.45">
      <c r="A201" s="11">
        <v>23</v>
      </c>
      <c r="B201" s="12" t="s">
        <v>58</v>
      </c>
      <c r="C201" s="13">
        <v>1</v>
      </c>
      <c r="D201" s="13"/>
      <c r="E201" s="13"/>
      <c r="F201" s="13"/>
      <c r="G201" s="14"/>
      <c r="H201" s="14"/>
    </row>
    <row r="202" spans="1:8" ht="60.4" x14ac:dyDescent="0.45">
      <c r="A202" s="11">
        <v>24</v>
      </c>
      <c r="B202" s="12" t="s">
        <v>316</v>
      </c>
      <c r="C202" s="13">
        <v>1</v>
      </c>
      <c r="D202" s="13"/>
      <c r="E202" s="13"/>
      <c r="F202" s="13"/>
      <c r="G202" s="14"/>
      <c r="H202" s="14"/>
    </row>
    <row r="203" spans="1:8" ht="60.4" x14ac:dyDescent="0.45">
      <c r="A203" s="11">
        <v>25</v>
      </c>
      <c r="B203" s="12" t="s">
        <v>83</v>
      </c>
      <c r="C203" s="13">
        <v>1</v>
      </c>
      <c r="D203" s="13"/>
      <c r="E203" s="13"/>
      <c r="F203" s="13"/>
      <c r="G203" s="14"/>
      <c r="H203" s="14"/>
    </row>
    <row r="204" spans="1:8" ht="60.4" x14ac:dyDescent="0.45">
      <c r="A204" s="11">
        <v>26</v>
      </c>
      <c r="B204" s="12" t="s">
        <v>112</v>
      </c>
      <c r="C204" s="13">
        <v>1</v>
      </c>
      <c r="D204" s="13"/>
      <c r="E204" s="13"/>
      <c r="F204" s="13"/>
      <c r="G204" s="14"/>
      <c r="H204" s="14"/>
    </row>
    <row r="205" spans="1:8" ht="75.400000000000006" x14ac:dyDescent="0.45">
      <c r="A205" s="11">
        <v>27</v>
      </c>
      <c r="B205" s="12" t="s">
        <v>319</v>
      </c>
      <c r="C205" s="13">
        <v>2</v>
      </c>
      <c r="D205" s="13"/>
      <c r="E205" s="13"/>
      <c r="F205" s="13"/>
      <c r="G205" s="14"/>
      <c r="H205" s="14"/>
    </row>
    <row r="206" spans="1:8" ht="75.400000000000006" x14ac:dyDescent="0.45">
      <c r="A206" s="11">
        <v>28</v>
      </c>
      <c r="B206" s="12" t="s">
        <v>385</v>
      </c>
      <c r="C206" s="13">
        <v>2</v>
      </c>
      <c r="D206" s="13"/>
      <c r="E206" s="13"/>
      <c r="F206" s="13"/>
      <c r="G206" s="14"/>
      <c r="H206" s="14"/>
    </row>
    <row r="207" spans="1:8" ht="45.4" x14ac:dyDescent="0.45">
      <c r="A207" s="11">
        <v>29</v>
      </c>
      <c r="B207" s="12" t="s">
        <v>391</v>
      </c>
      <c r="C207" s="13">
        <v>1</v>
      </c>
      <c r="D207" s="13"/>
      <c r="E207" s="13"/>
      <c r="F207" s="13"/>
      <c r="G207" s="14"/>
      <c r="H207" s="14"/>
    </row>
    <row r="208" spans="1:8" ht="30.4" x14ac:dyDescent="0.45">
      <c r="A208" s="11">
        <v>30</v>
      </c>
      <c r="B208" s="12" t="s">
        <v>390</v>
      </c>
      <c r="C208" s="13">
        <v>4</v>
      </c>
      <c r="D208" s="13"/>
      <c r="E208" s="13"/>
      <c r="F208" s="13"/>
      <c r="G208" s="14"/>
      <c r="H208" s="14"/>
    </row>
    <row r="209" spans="1:8" ht="30.4" x14ac:dyDescent="0.45">
      <c r="A209" s="11">
        <v>31</v>
      </c>
      <c r="B209" s="12" t="s">
        <v>389</v>
      </c>
      <c r="C209" s="13">
        <v>2</v>
      </c>
      <c r="D209" s="13"/>
      <c r="E209" s="13"/>
      <c r="F209" s="13"/>
      <c r="G209" s="14"/>
      <c r="H209" s="14"/>
    </row>
    <row r="210" spans="1:8" ht="75.400000000000006" x14ac:dyDescent="0.45">
      <c r="A210" s="11">
        <v>32</v>
      </c>
      <c r="B210" s="12" t="s">
        <v>388</v>
      </c>
      <c r="C210" s="13">
        <v>1</v>
      </c>
      <c r="D210" s="13"/>
      <c r="E210" s="13"/>
      <c r="F210" s="13"/>
      <c r="G210" s="14"/>
      <c r="H210" s="14"/>
    </row>
    <row r="211" spans="1:8" ht="45.4" x14ac:dyDescent="0.45">
      <c r="A211" s="11">
        <v>33</v>
      </c>
      <c r="B211" s="12" t="s">
        <v>387</v>
      </c>
      <c r="C211" s="13">
        <v>1</v>
      </c>
      <c r="D211" s="13"/>
      <c r="E211" s="13"/>
      <c r="F211" s="13"/>
      <c r="G211" s="14"/>
      <c r="H211" s="14"/>
    </row>
    <row r="212" spans="1:8" ht="30.4" x14ac:dyDescent="0.45">
      <c r="A212" s="11">
        <v>34</v>
      </c>
      <c r="B212" s="12" t="s">
        <v>165</v>
      </c>
      <c r="C212" s="13">
        <v>1</v>
      </c>
      <c r="D212" s="13"/>
      <c r="E212" s="13"/>
      <c r="F212" s="13"/>
      <c r="G212" s="14"/>
      <c r="H212" s="14"/>
    </row>
    <row r="213" spans="1:8" ht="45.4" x14ac:dyDescent="0.45">
      <c r="A213" s="11">
        <v>35</v>
      </c>
      <c r="B213" s="12" t="s">
        <v>386</v>
      </c>
      <c r="C213" s="13">
        <v>2</v>
      </c>
      <c r="D213" s="13"/>
      <c r="E213" s="13"/>
      <c r="F213" s="13"/>
      <c r="G213" s="14"/>
      <c r="H213" s="14"/>
    </row>
    <row r="214" spans="1:8" ht="75.400000000000006" x14ac:dyDescent="0.45">
      <c r="A214" s="11">
        <v>36</v>
      </c>
      <c r="B214" s="12" t="s">
        <v>385</v>
      </c>
      <c r="C214" s="13">
        <v>1</v>
      </c>
      <c r="D214" s="13"/>
      <c r="E214" s="13"/>
      <c r="F214" s="13"/>
      <c r="G214" s="14"/>
      <c r="H214" s="14"/>
    </row>
    <row r="215" spans="1:8" ht="150.4" x14ac:dyDescent="0.45">
      <c r="A215" s="11">
        <v>37</v>
      </c>
      <c r="B215" s="12" t="s">
        <v>0</v>
      </c>
      <c r="C215" s="13">
        <v>1</v>
      </c>
      <c r="D215" s="13"/>
      <c r="E215" s="13"/>
      <c r="F215" s="13"/>
      <c r="G215" s="14"/>
      <c r="H215" s="14"/>
    </row>
    <row r="216" spans="1:8" ht="15.4" x14ac:dyDescent="0.45">
      <c r="A216" s="15"/>
      <c r="B216" s="16"/>
      <c r="C216" s="17">
        <f>SUM(C179:C215)</f>
        <v>81</v>
      </c>
      <c r="D216" s="45"/>
      <c r="E216" s="45"/>
      <c r="F216" s="130" t="s">
        <v>17</v>
      </c>
      <c r="G216" s="131"/>
      <c r="H216" s="120"/>
    </row>
    <row r="217" spans="1:8" ht="15.4" x14ac:dyDescent="0.45">
      <c r="A217" s="15"/>
      <c r="B217" s="19"/>
      <c r="C217" s="20"/>
      <c r="D217" s="20"/>
      <c r="E217" s="20"/>
      <c r="F217" s="20"/>
      <c r="G217" s="9"/>
      <c r="H217" s="9"/>
    </row>
    <row r="218" spans="1:8" ht="15.4" customHeight="1" x14ac:dyDescent="0.45">
      <c r="A218" s="124" t="s">
        <v>448</v>
      </c>
      <c r="B218" s="125"/>
      <c r="C218" s="125"/>
      <c r="D218" s="125"/>
      <c r="E218" s="125"/>
      <c r="F218" s="125"/>
      <c r="G218" s="125"/>
      <c r="H218" s="126"/>
    </row>
    <row r="219" spans="1:8" ht="30" x14ac:dyDescent="0.45">
      <c r="A219" s="51" t="s">
        <v>21</v>
      </c>
      <c r="B219" s="51" t="s">
        <v>20</v>
      </c>
      <c r="C219" s="51" t="s">
        <v>19</v>
      </c>
      <c r="D219" s="51" t="s">
        <v>523</v>
      </c>
      <c r="E219" s="51" t="s">
        <v>524</v>
      </c>
      <c r="F219" s="51" t="s">
        <v>525</v>
      </c>
      <c r="G219" s="52" t="s">
        <v>18</v>
      </c>
      <c r="H219" s="52" t="s">
        <v>17</v>
      </c>
    </row>
    <row r="220" spans="1:8" ht="45.4" x14ac:dyDescent="0.45">
      <c r="A220" s="11">
        <v>1</v>
      </c>
      <c r="B220" s="12" t="s">
        <v>384</v>
      </c>
      <c r="C220" s="21">
        <v>1</v>
      </c>
      <c r="D220" s="21"/>
      <c r="E220" s="21"/>
      <c r="F220" s="21"/>
      <c r="G220" s="14"/>
      <c r="H220" s="14"/>
    </row>
    <row r="221" spans="1:8" ht="60.4" x14ac:dyDescent="0.45">
      <c r="A221" s="11">
        <v>2</v>
      </c>
      <c r="B221" s="12" t="s">
        <v>383</v>
      </c>
      <c r="C221" s="22">
        <v>1</v>
      </c>
      <c r="D221" s="22"/>
      <c r="E221" s="22"/>
      <c r="F221" s="22"/>
      <c r="G221" s="14"/>
      <c r="H221" s="14"/>
    </row>
    <row r="222" spans="1:8" ht="60.4" x14ac:dyDescent="0.45">
      <c r="A222" s="11">
        <v>3</v>
      </c>
      <c r="B222" s="12" t="s">
        <v>81</v>
      </c>
      <c r="C222" s="22">
        <v>1</v>
      </c>
      <c r="D222" s="22"/>
      <c r="E222" s="22"/>
      <c r="F222" s="22"/>
      <c r="G222" s="14"/>
      <c r="H222" s="14"/>
    </row>
    <row r="223" spans="1:8" ht="60.4" x14ac:dyDescent="0.45">
      <c r="A223" s="11">
        <v>4</v>
      </c>
      <c r="B223" s="12" t="s">
        <v>351</v>
      </c>
      <c r="C223" s="22">
        <v>2</v>
      </c>
      <c r="D223" s="22"/>
      <c r="E223" s="22"/>
      <c r="F223" s="22"/>
      <c r="G223" s="14"/>
      <c r="H223" s="14"/>
    </row>
    <row r="224" spans="1:8" ht="45.4" x14ac:dyDescent="0.45">
      <c r="A224" s="11">
        <v>5</v>
      </c>
      <c r="B224" s="12" t="s">
        <v>89</v>
      </c>
      <c r="C224" s="22">
        <v>2</v>
      </c>
      <c r="D224" s="22"/>
      <c r="E224" s="22"/>
      <c r="F224" s="22"/>
      <c r="G224" s="14"/>
      <c r="H224" s="14"/>
    </row>
    <row r="225" spans="1:8" ht="60.4" x14ac:dyDescent="0.45">
      <c r="A225" s="11">
        <v>6</v>
      </c>
      <c r="B225" s="12" t="s">
        <v>382</v>
      </c>
      <c r="C225" s="22">
        <v>2</v>
      </c>
      <c r="D225" s="22"/>
      <c r="E225" s="22"/>
      <c r="F225" s="22"/>
      <c r="G225" s="14"/>
      <c r="H225" s="14"/>
    </row>
    <row r="226" spans="1:8" ht="60.4" x14ac:dyDescent="0.45">
      <c r="A226" s="11">
        <v>7</v>
      </c>
      <c r="B226" s="12" t="s">
        <v>381</v>
      </c>
      <c r="C226" s="22">
        <v>1</v>
      </c>
      <c r="D226" s="22"/>
      <c r="E226" s="22"/>
      <c r="F226" s="22"/>
      <c r="G226" s="14"/>
      <c r="H226" s="14"/>
    </row>
    <row r="227" spans="1:8" ht="75.400000000000006" x14ac:dyDescent="0.45">
      <c r="A227" s="11">
        <v>8</v>
      </c>
      <c r="B227" s="12" t="s">
        <v>369</v>
      </c>
      <c r="C227" s="22">
        <v>1</v>
      </c>
      <c r="D227" s="22"/>
      <c r="E227" s="22"/>
      <c r="F227" s="22"/>
      <c r="G227" s="14"/>
      <c r="H227" s="14"/>
    </row>
    <row r="228" spans="1:8" ht="75.400000000000006" x14ac:dyDescent="0.45">
      <c r="A228" s="11">
        <v>9</v>
      </c>
      <c r="B228" s="12" t="s">
        <v>380</v>
      </c>
      <c r="C228" s="22">
        <v>1</v>
      </c>
      <c r="D228" s="22"/>
      <c r="E228" s="22"/>
      <c r="F228" s="22"/>
      <c r="G228" s="14"/>
      <c r="H228" s="14"/>
    </row>
    <row r="229" spans="1:8" ht="45.4" x14ac:dyDescent="0.45">
      <c r="A229" s="11">
        <v>10</v>
      </c>
      <c r="B229" s="12" t="s">
        <v>276</v>
      </c>
      <c r="C229" s="22">
        <v>2</v>
      </c>
      <c r="D229" s="22"/>
      <c r="E229" s="22"/>
      <c r="F229" s="22"/>
      <c r="G229" s="14"/>
      <c r="H229" s="14"/>
    </row>
    <row r="230" spans="1:8" ht="60.4" x14ac:dyDescent="0.45">
      <c r="A230" s="11">
        <v>11</v>
      </c>
      <c r="B230" s="12" t="s">
        <v>355</v>
      </c>
      <c r="C230" s="22">
        <v>1</v>
      </c>
      <c r="D230" s="22"/>
      <c r="E230" s="22"/>
      <c r="F230" s="22"/>
      <c r="G230" s="14"/>
      <c r="H230" s="14"/>
    </row>
    <row r="231" spans="1:8" ht="60.4" x14ac:dyDescent="0.45">
      <c r="A231" s="11">
        <v>12</v>
      </c>
      <c r="B231" s="12" t="s">
        <v>379</v>
      </c>
      <c r="C231" s="22">
        <v>2</v>
      </c>
      <c r="D231" s="22"/>
      <c r="E231" s="22"/>
      <c r="F231" s="22"/>
      <c r="G231" s="14"/>
      <c r="H231" s="14"/>
    </row>
    <row r="232" spans="1:8" ht="60.4" x14ac:dyDescent="0.45">
      <c r="A232" s="11">
        <v>13</v>
      </c>
      <c r="B232" s="12" t="s">
        <v>378</v>
      </c>
      <c r="C232" s="22">
        <v>1</v>
      </c>
      <c r="D232" s="22"/>
      <c r="E232" s="22"/>
      <c r="F232" s="22"/>
      <c r="G232" s="14"/>
      <c r="H232" s="14"/>
    </row>
    <row r="233" spans="1:8" ht="60.4" x14ac:dyDescent="0.45">
      <c r="A233" s="11">
        <v>14</v>
      </c>
      <c r="B233" s="12" t="s">
        <v>377</v>
      </c>
      <c r="C233" s="22">
        <v>1</v>
      </c>
      <c r="D233" s="22"/>
      <c r="E233" s="22"/>
      <c r="F233" s="22"/>
      <c r="G233" s="14"/>
      <c r="H233" s="14"/>
    </row>
    <row r="234" spans="1:8" ht="75.400000000000006" x14ac:dyDescent="0.45">
      <c r="A234" s="11">
        <v>15</v>
      </c>
      <c r="B234" s="12" t="s">
        <v>376</v>
      </c>
      <c r="C234" s="22">
        <v>1</v>
      </c>
      <c r="D234" s="22"/>
      <c r="E234" s="22"/>
      <c r="F234" s="22"/>
      <c r="G234" s="14"/>
      <c r="H234" s="14"/>
    </row>
    <row r="235" spans="1:8" ht="45.4" x14ac:dyDescent="0.45">
      <c r="A235" s="11">
        <v>16</v>
      </c>
      <c r="B235" s="12" t="s">
        <v>72</v>
      </c>
      <c r="C235" s="22">
        <v>6</v>
      </c>
      <c r="D235" s="22"/>
      <c r="E235" s="22"/>
      <c r="F235" s="22"/>
      <c r="G235" s="14"/>
      <c r="H235" s="14"/>
    </row>
    <row r="236" spans="1:8" ht="60.4" x14ac:dyDescent="0.45">
      <c r="A236" s="11">
        <v>17</v>
      </c>
      <c r="B236" s="12" t="s">
        <v>375</v>
      </c>
      <c r="C236" s="22">
        <v>2</v>
      </c>
      <c r="D236" s="22"/>
      <c r="E236" s="22"/>
      <c r="F236" s="22"/>
      <c r="G236" s="14"/>
      <c r="H236" s="14"/>
    </row>
    <row r="237" spans="1:8" ht="60.4" x14ac:dyDescent="0.45">
      <c r="A237" s="11">
        <v>18</v>
      </c>
      <c r="B237" s="12" t="s">
        <v>374</v>
      </c>
      <c r="C237" s="22">
        <v>1</v>
      </c>
      <c r="D237" s="22"/>
      <c r="E237" s="22"/>
      <c r="F237" s="22"/>
      <c r="G237" s="14"/>
      <c r="H237" s="14"/>
    </row>
    <row r="238" spans="1:8" ht="60.4" x14ac:dyDescent="0.45">
      <c r="A238" s="11">
        <v>19</v>
      </c>
      <c r="B238" s="12" t="s">
        <v>373</v>
      </c>
      <c r="C238" s="22">
        <v>2</v>
      </c>
      <c r="D238" s="22"/>
      <c r="E238" s="22"/>
      <c r="F238" s="22"/>
      <c r="G238" s="14"/>
      <c r="H238" s="14"/>
    </row>
    <row r="239" spans="1:8" ht="60.4" x14ac:dyDescent="0.45">
      <c r="A239" s="11">
        <v>20</v>
      </c>
      <c r="B239" s="12" t="s">
        <v>351</v>
      </c>
      <c r="C239" s="22">
        <v>5</v>
      </c>
      <c r="D239" s="22"/>
      <c r="E239" s="22"/>
      <c r="F239" s="22"/>
      <c r="G239" s="14"/>
      <c r="H239" s="14"/>
    </row>
    <row r="240" spans="1:8" ht="60.4" x14ac:dyDescent="0.45">
      <c r="A240" s="11">
        <v>21</v>
      </c>
      <c r="B240" s="12" t="s">
        <v>368</v>
      </c>
      <c r="C240" s="22">
        <v>2</v>
      </c>
      <c r="D240" s="22"/>
      <c r="E240" s="22"/>
      <c r="F240" s="22"/>
      <c r="G240" s="14"/>
      <c r="H240" s="14"/>
    </row>
    <row r="241" spans="1:8" ht="60.4" x14ac:dyDescent="0.45">
      <c r="A241" s="11">
        <v>22</v>
      </c>
      <c r="B241" s="12" t="s">
        <v>73</v>
      </c>
      <c r="C241" s="22">
        <v>1</v>
      </c>
      <c r="D241" s="22"/>
      <c r="E241" s="22"/>
      <c r="F241" s="22"/>
      <c r="G241" s="14"/>
      <c r="H241" s="14"/>
    </row>
    <row r="242" spans="1:8" ht="75.400000000000006" x14ac:dyDescent="0.45">
      <c r="A242" s="11">
        <v>23</v>
      </c>
      <c r="B242" s="12" t="s">
        <v>372</v>
      </c>
      <c r="C242" s="22">
        <v>1</v>
      </c>
      <c r="D242" s="22"/>
      <c r="E242" s="22"/>
      <c r="F242" s="22"/>
      <c r="G242" s="14"/>
      <c r="H242" s="14"/>
    </row>
    <row r="243" spans="1:8" ht="75.400000000000006" x14ac:dyDescent="0.45">
      <c r="A243" s="11">
        <v>24</v>
      </c>
      <c r="B243" s="12" t="s">
        <v>371</v>
      </c>
      <c r="C243" s="22">
        <v>1</v>
      </c>
      <c r="D243" s="22"/>
      <c r="E243" s="22"/>
      <c r="F243" s="22"/>
      <c r="G243" s="14"/>
      <c r="H243" s="14"/>
    </row>
    <row r="244" spans="1:8" ht="60.4" x14ac:dyDescent="0.45">
      <c r="A244" s="11">
        <v>25</v>
      </c>
      <c r="B244" s="12" t="s">
        <v>370</v>
      </c>
      <c r="C244" s="22">
        <v>2</v>
      </c>
      <c r="D244" s="22"/>
      <c r="E244" s="22"/>
      <c r="F244" s="22"/>
      <c r="G244" s="14"/>
      <c r="H244" s="14"/>
    </row>
    <row r="245" spans="1:8" ht="45.4" x14ac:dyDescent="0.45">
      <c r="A245" s="11">
        <v>26</v>
      </c>
      <c r="B245" s="12" t="s">
        <v>197</v>
      </c>
      <c r="C245" s="22">
        <v>4</v>
      </c>
      <c r="D245" s="22"/>
      <c r="E245" s="22"/>
      <c r="F245" s="22"/>
      <c r="G245" s="14"/>
      <c r="H245" s="14"/>
    </row>
    <row r="246" spans="1:8" ht="45.4" x14ac:dyDescent="0.45">
      <c r="A246" s="11">
        <v>27</v>
      </c>
      <c r="B246" s="12" t="s">
        <v>117</v>
      </c>
      <c r="C246" s="22">
        <v>4</v>
      </c>
      <c r="D246" s="22"/>
      <c r="E246" s="22"/>
      <c r="F246" s="22"/>
      <c r="G246" s="14"/>
      <c r="H246" s="14"/>
    </row>
    <row r="247" spans="1:8" ht="75.400000000000006" x14ac:dyDescent="0.45">
      <c r="A247" s="11">
        <v>28</v>
      </c>
      <c r="B247" s="12" t="s">
        <v>369</v>
      </c>
      <c r="C247" s="22">
        <v>3</v>
      </c>
      <c r="D247" s="22"/>
      <c r="E247" s="22"/>
      <c r="F247" s="22"/>
      <c r="G247" s="14"/>
      <c r="H247" s="14"/>
    </row>
    <row r="248" spans="1:8" ht="60.4" x14ac:dyDescent="0.45">
      <c r="A248" s="11">
        <v>29</v>
      </c>
      <c r="B248" s="12" t="s">
        <v>368</v>
      </c>
      <c r="C248" s="22">
        <v>6</v>
      </c>
      <c r="D248" s="22"/>
      <c r="E248" s="22"/>
      <c r="F248" s="22"/>
      <c r="G248" s="14"/>
      <c r="H248" s="14"/>
    </row>
    <row r="249" spans="1:8" ht="60.4" x14ac:dyDescent="0.45">
      <c r="A249" s="11">
        <v>30</v>
      </c>
      <c r="B249" s="12" t="s">
        <v>367</v>
      </c>
      <c r="C249" s="22">
        <v>2</v>
      </c>
      <c r="D249" s="22"/>
      <c r="E249" s="22"/>
      <c r="F249" s="22"/>
      <c r="G249" s="14"/>
      <c r="H249" s="14"/>
    </row>
    <row r="250" spans="1:8" ht="60.4" x14ac:dyDescent="0.45">
      <c r="A250" s="11">
        <v>31</v>
      </c>
      <c r="B250" s="12" t="s">
        <v>366</v>
      </c>
      <c r="C250" s="22">
        <v>1</v>
      </c>
      <c r="D250" s="22"/>
      <c r="E250" s="22"/>
      <c r="F250" s="22"/>
      <c r="G250" s="14"/>
      <c r="H250" s="14"/>
    </row>
    <row r="251" spans="1:8" ht="60.4" x14ac:dyDescent="0.45">
      <c r="A251" s="11">
        <v>32</v>
      </c>
      <c r="B251" s="12" t="s">
        <v>107</v>
      </c>
      <c r="C251" s="22">
        <v>1</v>
      </c>
      <c r="D251" s="22"/>
      <c r="E251" s="22"/>
      <c r="F251" s="22"/>
      <c r="G251" s="14"/>
      <c r="H251" s="14"/>
    </row>
    <row r="252" spans="1:8" ht="60.4" x14ac:dyDescent="0.45">
      <c r="A252" s="11">
        <v>33</v>
      </c>
      <c r="B252" s="12" t="s">
        <v>365</v>
      </c>
      <c r="C252" s="22">
        <v>1</v>
      </c>
      <c r="D252" s="22"/>
      <c r="E252" s="22"/>
      <c r="F252" s="22"/>
      <c r="G252" s="14"/>
      <c r="H252" s="14"/>
    </row>
    <row r="253" spans="1:8" ht="75.400000000000006" x14ac:dyDescent="0.45">
      <c r="A253" s="11">
        <v>34</v>
      </c>
      <c r="B253" s="12" t="s">
        <v>364</v>
      </c>
      <c r="C253" s="22">
        <v>3</v>
      </c>
      <c r="D253" s="22"/>
      <c r="E253" s="22"/>
      <c r="F253" s="22"/>
      <c r="G253" s="14"/>
      <c r="H253" s="14"/>
    </row>
    <row r="254" spans="1:8" ht="45.4" x14ac:dyDescent="0.45">
      <c r="A254" s="11">
        <v>35</v>
      </c>
      <c r="B254" s="12" t="s">
        <v>363</v>
      </c>
      <c r="C254" s="22">
        <v>1</v>
      </c>
      <c r="D254" s="22"/>
      <c r="E254" s="22"/>
      <c r="F254" s="22"/>
      <c r="G254" s="14"/>
      <c r="H254" s="14"/>
    </row>
    <row r="255" spans="1:8" ht="45.4" x14ac:dyDescent="0.45">
      <c r="A255" s="11">
        <v>36</v>
      </c>
      <c r="B255" s="12" t="s">
        <v>363</v>
      </c>
      <c r="C255" s="22">
        <v>1</v>
      </c>
      <c r="D255" s="22"/>
      <c r="E255" s="22"/>
      <c r="F255" s="22"/>
      <c r="G255" s="14"/>
      <c r="H255" s="14"/>
    </row>
    <row r="256" spans="1:8" ht="60.4" x14ac:dyDescent="0.45">
      <c r="A256" s="11">
        <v>37</v>
      </c>
      <c r="B256" s="12" t="s">
        <v>66</v>
      </c>
      <c r="C256" s="22">
        <v>2</v>
      </c>
      <c r="D256" s="22"/>
      <c r="E256" s="22"/>
      <c r="F256" s="22"/>
      <c r="G256" s="14"/>
      <c r="H256" s="14"/>
    </row>
    <row r="257" spans="1:8" ht="75.400000000000006" x14ac:dyDescent="0.45">
      <c r="A257" s="11">
        <v>38</v>
      </c>
      <c r="B257" s="12" t="s">
        <v>362</v>
      </c>
      <c r="C257" s="22">
        <v>1</v>
      </c>
      <c r="D257" s="22"/>
      <c r="E257" s="22"/>
      <c r="F257" s="22"/>
      <c r="G257" s="14"/>
      <c r="H257" s="14"/>
    </row>
    <row r="258" spans="1:8" ht="45.4" x14ac:dyDescent="0.45">
      <c r="A258" s="11">
        <v>39</v>
      </c>
      <c r="B258" s="12" t="s">
        <v>361</v>
      </c>
      <c r="C258" s="22">
        <v>2</v>
      </c>
      <c r="D258" s="22"/>
      <c r="E258" s="22"/>
      <c r="F258" s="22"/>
      <c r="G258" s="14"/>
      <c r="H258" s="14"/>
    </row>
    <row r="259" spans="1:8" ht="75.400000000000006" x14ac:dyDescent="0.45">
      <c r="A259" s="11">
        <v>40</v>
      </c>
      <c r="B259" s="12" t="s">
        <v>360</v>
      </c>
      <c r="C259" s="22">
        <v>1</v>
      </c>
      <c r="D259" s="22"/>
      <c r="E259" s="22"/>
      <c r="F259" s="22"/>
      <c r="G259" s="14"/>
      <c r="H259" s="14"/>
    </row>
    <row r="260" spans="1:8" ht="75.400000000000006" x14ac:dyDescent="0.45">
      <c r="A260" s="11">
        <v>41</v>
      </c>
      <c r="B260" s="12" t="s">
        <v>319</v>
      </c>
      <c r="C260" s="22">
        <v>1</v>
      </c>
      <c r="D260" s="22"/>
      <c r="E260" s="22"/>
      <c r="F260" s="22"/>
      <c r="G260" s="14"/>
      <c r="H260" s="14"/>
    </row>
    <row r="261" spans="1:8" ht="30.4" x14ac:dyDescent="0.45">
      <c r="A261" s="11">
        <v>42</v>
      </c>
      <c r="B261" s="12" t="s">
        <v>359</v>
      </c>
      <c r="C261" s="22">
        <v>1</v>
      </c>
      <c r="D261" s="22"/>
      <c r="E261" s="22"/>
      <c r="F261" s="22"/>
      <c r="G261" s="14"/>
      <c r="H261" s="14"/>
    </row>
    <row r="262" spans="1:8" ht="45.4" x14ac:dyDescent="0.45">
      <c r="A262" s="11">
        <v>43</v>
      </c>
      <c r="B262" s="12" t="s">
        <v>358</v>
      </c>
      <c r="C262" s="22">
        <v>1</v>
      </c>
      <c r="D262" s="22"/>
      <c r="E262" s="22"/>
      <c r="F262" s="22"/>
      <c r="G262" s="14"/>
      <c r="H262" s="14"/>
    </row>
    <row r="263" spans="1:8" ht="30.4" x14ac:dyDescent="0.45">
      <c r="A263" s="11">
        <v>44</v>
      </c>
      <c r="B263" s="12" t="s">
        <v>100</v>
      </c>
      <c r="C263" s="22">
        <v>1</v>
      </c>
      <c r="D263" s="22"/>
      <c r="E263" s="22"/>
      <c r="F263" s="22"/>
      <c r="G263" s="14"/>
      <c r="H263" s="14"/>
    </row>
    <row r="264" spans="1:8" ht="60.4" x14ac:dyDescent="0.45">
      <c r="A264" s="11">
        <v>45</v>
      </c>
      <c r="B264" s="12" t="s">
        <v>357</v>
      </c>
      <c r="C264" s="23">
        <v>2</v>
      </c>
      <c r="D264" s="23"/>
      <c r="E264" s="23"/>
      <c r="F264" s="23"/>
      <c r="G264" s="14"/>
      <c r="H264" s="14"/>
    </row>
    <row r="265" spans="1:8" ht="60.4" x14ac:dyDescent="0.45">
      <c r="A265" s="11">
        <v>46</v>
      </c>
      <c r="B265" s="12" t="s">
        <v>356</v>
      </c>
      <c r="C265" s="22">
        <v>2</v>
      </c>
      <c r="D265" s="22"/>
      <c r="E265" s="22"/>
      <c r="F265" s="22"/>
      <c r="G265" s="14"/>
      <c r="H265" s="14"/>
    </row>
    <row r="266" spans="1:8" ht="60.4" x14ac:dyDescent="0.45">
      <c r="A266" s="11">
        <v>47</v>
      </c>
      <c r="B266" s="12" t="s">
        <v>355</v>
      </c>
      <c r="C266" s="22">
        <v>2</v>
      </c>
      <c r="D266" s="22"/>
      <c r="E266" s="22"/>
      <c r="F266" s="22"/>
      <c r="G266" s="14"/>
      <c r="H266" s="14"/>
    </row>
    <row r="267" spans="1:8" ht="45.4" x14ac:dyDescent="0.45">
      <c r="A267" s="11">
        <v>48</v>
      </c>
      <c r="B267" s="12" t="s">
        <v>354</v>
      </c>
      <c r="C267" s="22">
        <v>2</v>
      </c>
      <c r="D267" s="22"/>
      <c r="E267" s="22"/>
      <c r="F267" s="22"/>
      <c r="G267" s="14"/>
      <c r="H267" s="14"/>
    </row>
    <row r="268" spans="1:8" ht="75.400000000000006" x14ac:dyDescent="0.45">
      <c r="A268" s="11">
        <v>49</v>
      </c>
      <c r="B268" s="12" t="s">
        <v>353</v>
      </c>
      <c r="C268" s="22">
        <v>2</v>
      </c>
      <c r="D268" s="22"/>
      <c r="E268" s="22"/>
      <c r="F268" s="22"/>
      <c r="G268" s="14"/>
      <c r="H268" s="14"/>
    </row>
    <row r="269" spans="1:8" ht="30.4" x14ac:dyDescent="0.45">
      <c r="A269" s="11">
        <v>50</v>
      </c>
      <c r="B269" s="12" t="s">
        <v>76</v>
      </c>
      <c r="C269" s="23">
        <v>4</v>
      </c>
      <c r="D269" s="23"/>
      <c r="E269" s="23"/>
      <c r="F269" s="23"/>
      <c r="G269" s="14"/>
      <c r="H269" s="14"/>
    </row>
    <row r="270" spans="1:8" ht="150.4" x14ac:dyDescent="0.45">
      <c r="A270" s="11">
        <v>51</v>
      </c>
      <c r="B270" s="12" t="s">
        <v>352</v>
      </c>
      <c r="C270" s="13">
        <v>1</v>
      </c>
      <c r="D270" s="13"/>
      <c r="E270" s="13"/>
      <c r="F270" s="13"/>
      <c r="G270" s="14"/>
      <c r="H270" s="14"/>
    </row>
    <row r="271" spans="1:8" ht="15.4" x14ac:dyDescent="0.45">
      <c r="A271" s="15"/>
      <c r="B271" s="16"/>
      <c r="C271" s="17">
        <f>SUM(C220:C270)</f>
        <v>95</v>
      </c>
      <c r="D271" s="45"/>
      <c r="E271" s="45"/>
      <c r="F271" s="130" t="s">
        <v>17</v>
      </c>
      <c r="G271" s="131"/>
      <c r="H271" s="120"/>
    </row>
    <row r="272" spans="1:8" ht="15.4" x14ac:dyDescent="0.45">
      <c r="A272" s="15"/>
      <c r="B272" s="19"/>
      <c r="C272" s="45"/>
      <c r="D272" s="45"/>
      <c r="E272" s="45"/>
      <c r="F272" s="45"/>
      <c r="G272" s="9"/>
      <c r="H272" s="9"/>
    </row>
    <row r="273" spans="1:8" ht="15.4" customHeight="1" x14ac:dyDescent="0.45">
      <c r="A273" s="124" t="s">
        <v>449</v>
      </c>
      <c r="B273" s="125"/>
      <c r="C273" s="125"/>
      <c r="D273" s="125"/>
      <c r="E273" s="125"/>
      <c r="F273" s="125"/>
      <c r="G273" s="125"/>
      <c r="H273" s="126"/>
    </row>
    <row r="274" spans="1:8" ht="30" x14ac:dyDescent="0.45">
      <c r="A274" s="51" t="s">
        <v>21</v>
      </c>
      <c r="B274" s="51" t="s">
        <v>20</v>
      </c>
      <c r="C274" s="51" t="s">
        <v>19</v>
      </c>
      <c r="D274" s="51" t="s">
        <v>523</v>
      </c>
      <c r="E274" s="51" t="s">
        <v>524</v>
      </c>
      <c r="F274" s="51" t="s">
        <v>525</v>
      </c>
      <c r="G274" s="52" t="s">
        <v>18</v>
      </c>
      <c r="H274" s="52" t="s">
        <v>17</v>
      </c>
    </row>
    <row r="275" spans="1:8" ht="60.4" x14ac:dyDescent="0.45">
      <c r="A275" s="11">
        <v>1</v>
      </c>
      <c r="B275" s="12" t="s">
        <v>107</v>
      </c>
      <c r="C275" s="13">
        <v>1</v>
      </c>
      <c r="D275" s="13"/>
      <c r="E275" s="13"/>
      <c r="F275" s="13"/>
      <c r="G275" s="14"/>
      <c r="H275" s="14"/>
    </row>
    <row r="276" spans="1:8" ht="30.4" x14ac:dyDescent="0.45">
      <c r="A276" s="11">
        <v>2</v>
      </c>
      <c r="B276" s="12" t="s">
        <v>100</v>
      </c>
      <c r="C276" s="13">
        <v>1</v>
      </c>
      <c r="D276" s="13"/>
      <c r="E276" s="13"/>
      <c r="F276" s="13"/>
      <c r="G276" s="14"/>
      <c r="H276" s="14"/>
    </row>
    <row r="277" spans="1:8" ht="60.4" x14ac:dyDescent="0.45">
      <c r="A277" s="11">
        <v>3</v>
      </c>
      <c r="B277" s="12" t="s">
        <v>73</v>
      </c>
      <c r="C277" s="13">
        <v>1</v>
      </c>
      <c r="D277" s="13"/>
      <c r="E277" s="13"/>
      <c r="F277" s="13"/>
      <c r="G277" s="14"/>
      <c r="H277" s="14"/>
    </row>
    <row r="278" spans="1:8" ht="60.4" x14ac:dyDescent="0.45">
      <c r="A278" s="11">
        <v>4</v>
      </c>
      <c r="B278" s="12" t="s">
        <v>351</v>
      </c>
      <c r="C278" s="13">
        <v>4</v>
      </c>
      <c r="D278" s="13"/>
      <c r="E278" s="13"/>
      <c r="F278" s="13"/>
      <c r="G278" s="14"/>
      <c r="H278" s="14"/>
    </row>
    <row r="279" spans="1:8" ht="45.4" x14ac:dyDescent="0.45">
      <c r="A279" s="11">
        <v>5</v>
      </c>
      <c r="B279" s="12" t="s">
        <v>72</v>
      </c>
      <c r="C279" s="13">
        <v>2</v>
      </c>
      <c r="D279" s="13"/>
      <c r="E279" s="13"/>
      <c r="F279" s="13"/>
      <c r="G279" s="14"/>
      <c r="H279" s="14"/>
    </row>
    <row r="280" spans="1:8" ht="45.4" x14ac:dyDescent="0.45">
      <c r="A280" s="11">
        <v>6</v>
      </c>
      <c r="B280" s="12" t="s">
        <v>63</v>
      </c>
      <c r="C280" s="13">
        <v>4</v>
      </c>
      <c r="D280" s="13"/>
      <c r="E280" s="13"/>
      <c r="F280" s="13"/>
      <c r="G280" s="14"/>
      <c r="H280" s="14"/>
    </row>
    <row r="281" spans="1:8" ht="60.4" x14ac:dyDescent="0.45">
      <c r="A281" s="11">
        <v>7</v>
      </c>
      <c r="B281" s="12" t="s">
        <v>62</v>
      </c>
      <c r="C281" s="13">
        <v>2</v>
      </c>
      <c r="D281" s="13"/>
      <c r="E281" s="13"/>
      <c r="F281" s="13"/>
      <c r="G281" s="14"/>
      <c r="H281" s="14"/>
    </row>
    <row r="282" spans="1:8" ht="60.4" x14ac:dyDescent="0.45">
      <c r="A282" s="11">
        <v>8</v>
      </c>
      <c r="B282" s="12" t="s">
        <v>316</v>
      </c>
      <c r="C282" s="13">
        <v>1</v>
      </c>
      <c r="D282" s="13"/>
      <c r="E282" s="13"/>
      <c r="F282" s="13"/>
      <c r="G282" s="14"/>
      <c r="H282" s="14"/>
    </row>
    <row r="283" spans="1:8" ht="45.4" x14ac:dyDescent="0.45">
      <c r="A283" s="11">
        <v>9</v>
      </c>
      <c r="B283" s="12" t="s">
        <v>350</v>
      </c>
      <c r="C283" s="13">
        <v>1</v>
      </c>
      <c r="D283" s="13"/>
      <c r="E283" s="13"/>
      <c r="F283" s="13"/>
      <c r="G283" s="14"/>
      <c r="H283" s="14"/>
    </row>
    <row r="284" spans="1:8" ht="60.4" x14ac:dyDescent="0.45">
      <c r="A284" s="11">
        <v>10</v>
      </c>
      <c r="B284" s="12" t="s">
        <v>122</v>
      </c>
      <c r="C284" s="13">
        <v>1</v>
      </c>
      <c r="D284" s="13"/>
      <c r="E284" s="13"/>
      <c r="F284" s="13"/>
      <c r="G284" s="14"/>
      <c r="H284" s="14"/>
    </row>
    <row r="285" spans="1:8" ht="60.4" x14ac:dyDescent="0.45">
      <c r="A285" s="11">
        <v>11</v>
      </c>
      <c r="B285" s="12" t="s">
        <v>123</v>
      </c>
      <c r="C285" s="13">
        <v>1</v>
      </c>
      <c r="D285" s="13"/>
      <c r="E285" s="13"/>
      <c r="F285" s="13"/>
      <c r="G285" s="14"/>
      <c r="H285" s="14"/>
    </row>
    <row r="286" spans="1:8" ht="30.4" x14ac:dyDescent="0.45">
      <c r="A286" s="11">
        <v>12</v>
      </c>
      <c r="B286" s="12" t="s">
        <v>76</v>
      </c>
      <c r="C286" s="13">
        <v>1</v>
      </c>
      <c r="D286" s="13"/>
      <c r="E286" s="13"/>
      <c r="F286" s="13"/>
      <c r="G286" s="14"/>
      <c r="H286" s="14"/>
    </row>
    <row r="287" spans="1:8" ht="150.4" x14ac:dyDescent="0.45">
      <c r="A287" s="13">
        <v>13</v>
      </c>
      <c r="B287" s="12" t="s">
        <v>349</v>
      </c>
      <c r="C287" s="13">
        <v>1</v>
      </c>
      <c r="D287" s="13"/>
      <c r="E287" s="13"/>
      <c r="F287" s="13"/>
      <c r="G287" s="14"/>
      <c r="H287" s="14"/>
    </row>
    <row r="288" spans="1:8" ht="15.4" x14ac:dyDescent="0.45">
      <c r="A288" s="15"/>
      <c r="B288" s="16"/>
      <c r="C288" s="17">
        <f>SUM(C275:C287)</f>
        <v>21</v>
      </c>
      <c r="D288" s="45"/>
      <c r="E288" s="45"/>
      <c r="F288" s="130" t="s">
        <v>17</v>
      </c>
      <c r="G288" s="131"/>
      <c r="H288" s="120"/>
    </row>
    <row r="289" spans="1:8" ht="15.4" x14ac:dyDescent="0.45">
      <c r="A289" s="15"/>
      <c r="B289" s="19"/>
      <c r="C289" s="45"/>
      <c r="D289" s="45"/>
      <c r="E289" s="45"/>
      <c r="F289" s="45"/>
      <c r="G289" s="9"/>
      <c r="H289" s="9"/>
    </row>
    <row r="290" spans="1:8" ht="15.4" customHeight="1" x14ac:dyDescent="0.45">
      <c r="A290" s="124" t="s">
        <v>450</v>
      </c>
      <c r="B290" s="125"/>
      <c r="C290" s="125"/>
      <c r="D290" s="125"/>
      <c r="E290" s="125"/>
      <c r="F290" s="125"/>
      <c r="G290" s="125"/>
      <c r="H290" s="126"/>
    </row>
    <row r="291" spans="1:8" ht="30" x14ac:dyDescent="0.45">
      <c r="A291" s="51" t="s">
        <v>21</v>
      </c>
      <c r="B291" s="51" t="s">
        <v>20</v>
      </c>
      <c r="C291" s="51" t="s">
        <v>19</v>
      </c>
      <c r="D291" s="51" t="s">
        <v>523</v>
      </c>
      <c r="E291" s="51" t="s">
        <v>524</v>
      </c>
      <c r="F291" s="51" t="s">
        <v>525</v>
      </c>
      <c r="G291" s="52" t="s">
        <v>18</v>
      </c>
      <c r="H291" s="52" t="s">
        <v>17</v>
      </c>
    </row>
    <row r="292" spans="1:8" ht="30.4" x14ac:dyDescent="0.45">
      <c r="A292" s="11">
        <v>1</v>
      </c>
      <c r="B292" s="12" t="s">
        <v>155</v>
      </c>
      <c r="C292" s="13">
        <v>1</v>
      </c>
      <c r="D292" s="13"/>
      <c r="E292" s="13"/>
      <c r="F292" s="13"/>
      <c r="G292" s="14"/>
      <c r="H292" s="14"/>
    </row>
    <row r="293" spans="1:8" ht="60.4" x14ac:dyDescent="0.45">
      <c r="A293" s="11">
        <v>2</v>
      </c>
      <c r="B293" s="12" t="s">
        <v>141</v>
      </c>
      <c r="C293" s="13">
        <v>1</v>
      </c>
      <c r="D293" s="13"/>
      <c r="E293" s="13"/>
      <c r="F293" s="13"/>
      <c r="G293" s="14"/>
      <c r="H293" s="14"/>
    </row>
    <row r="294" spans="1:8" ht="30.4" x14ac:dyDescent="0.45">
      <c r="A294" s="11">
        <v>3</v>
      </c>
      <c r="B294" s="12" t="s">
        <v>348</v>
      </c>
      <c r="C294" s="13">
        <v>1</v>
      </c>
      <c r="D294" s="13"/>
      <c r="E294" s="13"/>
      <c r="F294" s="13"/>
      <c r="G294" s="14"/>
      <c r="H294" s="14"/>
    </row>
    <row r="295" spans="1:8" ht="45.4" x14ac:dyDescent="0.45">
      <c r="A295" s="11">
        <v>4</v>
      </c>
      <c r="B295" s="12" t="s">
        <v>347</v>
      </c>
      <c r="C295" s="13">
        <v>1</v>
      </c>
      <c r="D295" s="13"/>
      <c r="E295" s="13"/>
      <c r="F295" s="13"/>
      <c r="G295" s="14"/>
      <c r="H295" s="14"/>
    </row>
    <row r="296" spans="1:8" ht="60.4" x14ac:dyDescent="0.45">
      <c r="A296" s="11">
        <v>5</v>
      </c>
      <c r="B296" s="12" t="s">
        <v>346</v>
      </c>
      <c r="C296" s="13">
        <v>1</v>
      </c>
      <c r="D296" s="13"/>
      <c r="E296" s="13"/>
      <c r="F296" s="13"/>
      <c r="G296" s="14"/>
      <c r="H296" s="14"/>
    </row>
    <row r="297" spans="1:8" ht="60.4" x14ac:dyDescent="0.45">
      <c r="A297" s="11">
        <v>6</v>
      </c>
      <c r="B297" s="12" t="s">
        <v>345</v>
      </c>
      <c r="C297" s="13">
        <v>1</v>
      </c>
      <c r="D297" s="13"/>
      <c r="E297" s="13"/>
      <c r="F297" s="13"/>
      <c r="G297" s="14"/>
      <c r="H297" s="14"/>
    </row>
    <row r="298" spans="1:8" ht="30.4" x14ac:dyDescent="0.45">
      <c r="A298" s="11">
        <v>7</v>
      </c>
      <c r="B298" s="12" t="s">
        <v>344</v>
      </c>
      <c r="C298" s="13">
        <v>1</v>
      </c>
      <c r="D298" s="13"/>
      <c r="E298" s="13"/>
      <c r="F298" s="13"/>
      <c r="G298" s="14"/>
      <c r="H298" s="14"/>
    </row>
    <row r="299" spans="1:8" ht="30.4" x14ac:dyDescent="0.45">
      <c r="A299" s="11">
        <v>8</v>
      </c>
      <c r="B299" s="12" t="s">
        <v>343</v>
      </c>
      <c r="C299" s="13">
        <v>1</v>
      </c>
      <c r="D299" s="13"/>
      <c r="E299" s="13"/>
      <c r="F299" s="13"/>
      <c r="G299" s="14"/>
      <c r="H299" s="14"/>
    </row>
    <row r="300" spans="1:8" ht="45.4" x14ac:dyDescent="0.45">
      <c r="A300" s="11">
        <v>9</v>
      </c>
      <c r="B300" s="12" t="s">
        <v>342</v>
      </c>
      <c r="C300" s="13">
        <v>1</v>
      </c>
      <c r="D300" s="13"/>
      <c r="E300" s="13"/>
      <c r="F300" s="13"/>
      <c r="G300" s="14"/>
      <c r="H300" s="14"/>
    </row>
    <row r="301" spans="1:8" ht="45.4" x14ac:dyDescent="0.45">
      <c r="A301" s="11">
        <v>10</v>
      </c>
      <c r="B301" s="12" t="s">
        <v>341</v>
      </c>
      <c r="C301" s="13">
        <v>1</v>
      </c>
      <c r="D301" s="13"/>
      <c r="E301" s="13"/>
      <c r="F301" s="13"/>
      <c r="G301" s="14"/>
      <c r="H301" s="14"/>
    </row>
    <row r="302" spans="1:8" ht="45.4" x14ac:dyDescent="0.45">
      <c r="A302" s="11">
        <v>11</v>
      </c>
      <c r="B302" s="12" t="s">
        <v>340</v>
      </c>
      <c r="C302" s="13">
        <v>1</v>
      </c>
      <c r="D302" s="13"/>
      <c r="E302" s="13"/>
      <c r="F302" s="13"/>
      <c r="G302" s="14"/>
      <c r="H302" s="14"/>
    </row>
    <row r="303" spans="1:8" ht="45.4" x14ac:dyDescent="0.45">
      <c r="A303" s="11">
        <v>12</v>
      </c>
      <c r="B303" s="12" t="s">
        <v>339</v>
      </c>
      <c r="C303" s="13">
        <v>1</v>
      </c>
      <c r="D303" s="13"/>
      <c r="E303" s="13"/>
      <c r="F303" s="13"/>
      <c r="G303" s="14"/>
      <c r="H303" s="14"/>
    </row>
    <row r="304" spans="1:8" ht="60.4" x14ac:dyDescent="0.45">
      <c r="A304" s="11">
        <v>13</v>
      </c>
      <c r="B304" s="12" t="s">
        <v>338</v>
      </c>
      <c r="C304" s="13">
        <v>1</v>
      </c>
      <c r="D304" s="13"/>
      <c r="E304" s="13"/>
      <c r="F304" s="13"/>
      <c r="G304" s="14"/>
      <c r="H304" s="14"/>
    </row>
    <row r="305" spans="1:8" ht="60.4" x14ac:dyDescent="0.45">
      <c r="A305" s="11">
        <v>14</v>
      </c>
      <c r="B305" s="12" t="s">
        <v>97</v>
      </c>
      <c r="C305" s="13">
        <v>1</v>
      </c>
      <c r="D305" s="13"/>
      <c r="E305" s="13"/>
      <c r="F305" s="13"/>
      <c r="G305" s="14"/>
      <c r="H305" s="14"/>
    </row>
    <row r="306" spans="1:8" ht="60.4" x14ac:dyDescent="0.45">
      <c r="A306" s="11">
        <v>15</v>
      </c>
      <c r="B306" s="12" t="s">
        <v>337</v>
      </c>
      <c r="C306" s="13">
        <v>2</v>
      </c>
      <c r="D306" s="13"/>
      <c r="E306" s="13"/>
      <c r="F306" s="13"/>
      <c r="G306" s="14"/>
      <c r="H306" s="14"/>
    </row>
    <row r="307" spans="1:8" ht="60.4" x14ac:dyDescent="0.45">
      <c r="A307" s="11">
        <v>16</v>
      </c>
      <c r="B307" s="12" t="s">
        <v>154</v>
      </c>
      <c r="C307" s="13">
        <v>1</v>
      </c>
      <c r="D307" s="13"/>
      <c r="E307" s="13"/>
      <c r="F307" s="13"/>
      <c r="G307" s="14"/>
      <c r="H307" s="14"/>
    </row>
    <row r="308" spans="1:8" ht="30.4" x14ac:dyDescent="0.45">
      <c r="A308" s="11">
        <v>17</v>
      </c>
      <c r="B308" s="12" t="s">
        <v>124</v>
      </c>
      <c r="C308" s="13">
        <v>1</v>
      </c>
      <c r="D308" s="13"/>
      <c r="E308" s="13"/>
      <c r="F308" s="13"/>
      <c r="G308" s="14"/>
      <c r="H308" s="14"/>
    </row>
    <row r="309" spans="1:8" ht="60.4" x14ac:dyDescent="0.45">
      <c r="A309" s="11">
        <v>18</v>
      </c>
      <c r="B309" s="12" t="s">
        <v>336</v>
      </c>
      <c r="C309" s="13">
        <v>2</v>
      </c>
      <c r="D309" s="13"/>
      <c r="E309" s="13"/>
      <c r="F309" s="13"/>
      <c r="G309" s="14"/>
      <c r="H309" s="14"/>
    </row>
    <row r="310" spans="1:8" ht="60.4" x14ac:dyDescent="0.45">
      <c r="A310" s="11">
        <v>19</v>
      </c>
      <c r="B310" s="12" t="s">
        <v>71</v>
      </c>
      <c r="C310" s="13">
        <v>1</v>
      </c>
      <c r="D310" s="13"/>
      <c r="E310" s="13"/>
      <c r="F310" s="13"/>
      <c r="G310" s="14"/>
      <c r="H310" s="14"/>
    </row>
    <row r="311" spans="1:8" ht="60.4" x14ac:dyDescent="0.45">
      <c r="A311" s="11">
        <v>20</v>
      </c>
      <c r="B311" s="12" t="s">
        <v>335</v>
      </c>
      <c r="C311" s="13">
        <v>1</v>
      </c>
      <c r="D311" s="13"/>
      <c r="E311" s="13"/>
      <c r="F311" s="13"/>
      <c r="G311" s="14"/>
      <c r="H311" s="14"/>
    </row>
    <row r="312" spans="1:8" ht="30.4" x14ac:dyDescent="0.45">
      <c r="A312" s="11">
        <v>21</v>
      </c>
      <c r="B312" s="12" t="s">
        <v>334</v>
      </c>
      <c r="C312" s="13">
        <v>1</v>
      </c>
      <c r="D312" s="13"/>
      <c r="E312" s="13"/>
      <c r="F312" s="13"/>
      <c r="G312" s="14"/>
      <c r="H312" s="14"/>
    </row>
    <row r="313" spans="1:8" ht="30.4" x14ac:dyDescent="0.45">
      <c r="A313" s="11">
        <v>22</v>
      </c>
      <c r="B313" s="12" t="s">
        <v>333</v>
      </c>
      <c r="C313" s="13">
        <v>1</v>
      </c>
      <c r="D313" s="13"/>
      <c r="E313" s="13"/>
      <c r="F313" s="13"/>
      <c r="G313" s="14"/>
      <c r="H313" s="14"/>
    </row>
    <row r="314" spans="1:8" ht="30.4" x14ac:dyDescent="0.45">
      <c r="A314" s="11">
        <v>23</v>
      </c>
      <c r="B314" s="12" t="s">
        <v>332</v>
      </c>
      <c r="C314" s="13">
        <v>1</v>
      </c>
      <c r="D314" s="13"/>
      <c r="E314" s="13"/>
      <c r="F314" s="13"/>
      <c r="G314" s="14"/>
      <c r="H314" s="14"/>
    </row>
    <row r="315" spans="1:8" ht="15.4" x14ac:dyDescent="0.45">
      <c r="A315" s="11">
        <v>24</v>
      </c>
      <c r="B315" s="12" t="s">
        <v>331</v>
      </c>
      <c r="C315" s="13">
        <v>1</v>
      </c>
      <c r="D315" s="13"/>
      <c r="E315" s="13"/>
      <c r="F315" s="13"/>
      <c r="G315" s="14"/>
      <c r="H315" s="14"/>
    </row>
    <row r="316" spans="1:8" ht="60.4" x14ac:dyDescent="0.45">
      <c r="A316" s="11">
        <v>25</v>
      </c>
      <c r="B316" s="12" t="s">
        <v>330</v>
      </c>
      <c r="C316" s="13">
        <v>1</v>
      </c>
      <c r="D316" s="13"/>
      <c r="E316" s="13"/>
      <c r="F316" s="13"/>
      <c r="G316" s="14"/>
      <c r="H316" s="14"/>
    </row>
    <row r="317" spans="1:8" ht="60.4" x14ac:dyDescent="0.45">
      <c r="A317" s="11">
        <v>26</v>
      </c>
      <c r="B317" s="12" t="s">
        <v>66</v>
      </c>
      <c r="C317" s="13">
        <v>1</v>
      </c>
      <c r="D317" s="13"/>
      <c r="E317" s="13"/>
      <c r="F317" s="13"/>
      <c r="G317" s="14"/>
      <c r="H317" s="14"/>
    </row>
    <row r="318" spans="1:8" ht="45.4" x14ac:dyDescent="0.45">
      <c r="A318" s="11">
        <v>27</v>
      </c>
      <c r="B318" s="12" t="s">
        <v>329</v>
      </c>
      <c r="C318" s="13">
        <v>1</v>
      </c>
      <c r="D318" s="13"/>
      <c r="E318" s="13"/>
      <c r="F318" s="13"/>
      <c r="G318" s="14"/>
      <c r="H318" s="14"/>
    </row>
    <row r="319" spans="1:8" ht="75.400000000000006" x14ac:dyDescent="0.45">
      <c r="A319" s="11">
        <v>28</v>
      </c>
      <c r="B319" s="12" t="s">
        <v>328</v>
      </c>
      <c r="C319" s="13">
        <v>1</v>
      </c>
      <c r="D319" s="13"/>
      <c r="E319" s="13"/>
      <c r="F319" s="13"/>
      <c r="G319" s="14"/>
      <c r="H319" s="14"/>
    </row>
    <row r="320" spans="1:8" ht="60.4" x14ac:dyDescent="0.45">
      <c r="A320" s="11">
        <v>29</v>
      </c>
      <c r="B320" s="12" t="s">
        <v>327</v>
      </c>
      <c r="C320" s="13">
        <v>1</v>
      </c>
      <c r="D320" s="13"/>
      <c r="E320" s="13"/>
      <c r="F320" s="13"/>
      <c r="G320" s="14"/>
      <c r="H320" s="14"/>
    </row>
    <row r="321" spans="1:8" ht="45.4" x14ac:dyDescent="0.45">
      <c r="A321" s="11">
        <v>30</v>
      </c>
      <c r="B321" s="12" t="s">
        <v>326</v>
      </c>
      <c r="C321" s="13">
        <v>1</v>
      </c>
      <c r="D321" s="13"/>
      <c r="E321" s="13"/>
      <c r="F321" s="13"/>
      <c r="G321" s="14"/>
      <c r="H321" s="14"/>
    </row>
    <row r="322" spans="1:8" ht="45.4" x14ac:dyDescent="0.45">
      <c r="A322" s="11">
        <v>31</v>
      </c>
      <c r="B322" s="12" t="s">
        <v>325</v>
      </c>
      <c r="C322" s="13">
        <v>1</v>
      </c>
      <c r="D322" s="13"/>
      <c r="E322" s="13"/>
      <c r="F322" s="13"/>
      <c r="G322" s="14"/>
      <c r="H322" s="14"/>
    </row>
    <row r="323" spans="1:8" ht="90.4" x14ac:dyDescent="0.45">
      <c r="A323" s="11">
        <v>32</v>
      </c>
      <c r="B323" s="12" t="s">
        <v>61</v>
      </c>
      <c r="C323" s="13">
        <v>1</v>
      </c>
      <c r="D323" s="13"/>
      <c r="E323" s="13"/>
      <c r="F323" s="13"/>
      <c r="G323" s="14"/>
      <c r="H323" s="14"/>
    </row>
    <row r="324" spans="1:8" ht="90.4" x14ac:dyDescent="0.45">
      <c r="A324" s="11">
        <v>33</v>
      </c>
      <c r="B324" s="12" t="s">
        <v>116</v>
      </c>
      <c r="C324" s="13">
        <v>1</v>
      </c>
      <c r="D324" s="13"/>
      <c r="E324" s="13"/>
      <c r="F324" s="13"/>
      <c r="G324" s="14"/>
      <c r="H324" s="14"/>
    </row>
    <row r="325" spans="1:8" ht="45.4" x14ac:dyDescent="0.45">
      <c r="A325" s="11">
        <v>34</v>
      </c>
      <c r="B325" s="12" t="s">
        <v>324</v>
      </c>
      <c r="C325" s="13">
        <v>1</v>
      </c>
      <c r="D325" s="13"/>
      <c r="E325" s="13"/>
      <c r="F325" s="13"/>
      <c r="G325" s="14"/>
      <c r="H325" s="14"/>
    </row>
    <row r="326" spans="1:8" ht="30.4" x14ac:dyDescent="0.45">
      <c r="A326" s="11">
        <v>35</v>
      </c>
      <c r="B326" s="12" t="s">
        <v>323</v>
      </c>
      <c r="C326" s="13">
        <v>1</v>
      </c>
      <c r="D326" s="13"/>
      <c r="E326" s="13"/>
      <c r="F326" s="13"/>
      <c r="G326" s="14"/>
      <c r="H326" s="14"/>
    </row>
    <row r="327" spans="1:8" ht="75.400000000000006" x14ac:dyDescent="0.45">
      <c r="A327" s="11">
        <v>36</v>
      </c>
      <c r="B327" s="12" t="s">
        <v>322</v>
      </c>
      <c r="C327" s="13">
        <v>1</v>
      </c>
      <c r="D327" s="13"/>
      <c r="E327" s="13"/>
      <c r="F327" s="13"/>
      <c r="G327" s="14"/>
      <c r="H327" s="14"/>
    </row>
    <row r="328" spans="1:8" ht="60.4" x14ac:dyDescent="0.45">
      <c r="A328" s="11">
        <v>37</v>
      </c>
      <c r="B328" s="12" t="s">
        <v>321</v>
      </c>
      <c r="C328" s="13">
        <v>1</v>
      </c>
      <c r="D328" s="13"/>
      <c r="E328" s="13"/>
      <c r="F328" s="13"/>
      <c r="G328" s="14"/>
      <c r="H328" s="14"/>
    </row>
    <row r="329" spans="1:8" ht="75.400000000000006" x14ac:dyDescent="0.45">
      <c r="A329" s="11">
        <v>38</v>
      </c>
      <c r="B329" s="12" t="s">
        <v>143</v>
      </c>
      <c r="C329" s="13">
        <v>1</v>
      </c>
      <c r="D329" s="13"/>
      <c r="E329" s="13"/>
      <c r="F329" s="13"/>
      <c r="G329" s="14"/>
      <c r="H329" s="14"/>
    </row>
    <row r="330" spans="1:8" ht="30.4" x14ac:dyDescent="0.45">
      <c r="A330" s="11">
        <v>39</v>
      </c>
      <c r="B330" s="12" t="s">
        <v>76</v>
      </c>
      <c r="C330" s="23">
        <v>3</v>
      </c>
      <c r="D330" s="23"/>
      <c r="E330" s="23"/>
      <c r="F330" s="23"/>
      <c r="G330" s="14"/>
      <c r="H330" s="14"/>
    </row>
    <row r="331" spans="1:8" ht="75.400000000000006" x14ac:dyDescent="0.45">
      <c r="A331" s="11">
        <v>40</v>
      </c>
      <c r="B331" s="12" t="s">
        <v>320</v>
      </c>
      <c r="C331" s="13">
        <v>1</v>
      </c>
      <c r="D331" s="13"/>
      <c r="E331" s="13"/>
      <c r="F331" s="13"/>
      <c r="G331" s="14"/>
      <c r="H331" s="14"/>
    </row>
    <row r="332" spans="1:8" ht="150.4" x14ac:dyDescent="0.45">
      <c r="A332" s="11">
        <v>41</v>
      </c>
      <c r="B332" s="12" t="s">
        <v>228</v>
      </c>
      <c r="C332" s="13">
        <v>1</v>
      </c>
      <c r="D332" s="13"/>
      <c r="E332" s="13"/>
      <c r="F332" s="13"/>
      <c r="G332" s="14"/>
      <c r="H332" s="14"/>
    </row>
    <row r="333" spans="1:8" ht="15.4" x14ac:dyDescent="0.45">
      <c r="A333" s="15"/>
      <c r="B333" s="16"/>
      <c r="C333" s="17">
        <f>SUM(C292:C332)</f>
        <v>45</v>
      </c>
      <c r="D333" s="45"/>
      <c r="E333" s="45"/>
      <c r="F333" s="130" t="s">
        <v>17</v>
      </c>
      <c r="G333" s="131"/>
      <c r="H333" s="120"/>
    </row>
    <row r="334" spans="1:8" x14ac:dyDescent="0.45">
      <c r="A334" s="25"/>
      <c r="B334" s="57"/>
      <c r="C334" s="10"/>
      <c r="D334" s="10"/>
      <c r="E334" s="10"/>
      <c r="F334" s="10"/>
      <c r="G334" s="10"/>
      <c r="H334" s="10"/>
    </row>
    <row r="335" spans="1:8" ht="15.4" customHeight="1" x14ac:dyDescent="0.45">
      <c r="A335" s="124" t="s">
        <v>451</v>
      </c>
      <c r="B335" s="125"/>
      <c r="C335" s="125"/>
      <c r="D335" s="125"/>
      <c r="E335" s="125"/>
      <c r="F335" s="125"/>
      <c r="G335" s="125"/>
      <c r="H335" s="126"/>
    </row>
    <row r="336" spans="1:8" ht="30" x14ac:dyDescent="0.45">
      <c r="A336" s="51" t="s">
        <v>21</v>
      </c>
      <c r="B336" s="51" t="s">
        <v>20</v>
      </c>
      <c r="C336" s="51" t="s">
        <v>19</v>
      </c>
      <c r="D336" s="51" t="s">
        <v>523</v>
      </c>
      <c r="E336" s="51" t="s">
        <v>524</v>
      </c>
      <c r="F336" s="51" t="s">
        <v>525</v>
      </c>
      <c r="G336" s="52" t="s">
        <v>18</v>
      </c>
      <c r="H336" s="52" t="s">
        <v>17</v>
      </c>
    </row>
    <row r="337" spans="1:8" ht="60.4" x14ac:dyDescent="0.45">
      <c r="A337" s="11">
        <v>1</v>
      </c>
      <c r="B337" s="12" t="s">
        <v>81</v>
      </c>
      <c r="C337" s="13">
        <v>1</v>
      </c>
      <c r="D337" s="13"/>
      <c r="E337" s="13"/>
      <c r="F337" s="13"/>
      <c r="G337" s="14"/>
      <c r="H337" s="14"/>
    </row>
    <row r="338" spans="1:8" ht="75.400000000000006" x14ac:dyDescent="0.45">
      <c r="A338" s="11">
        <v>2</v>
      </c>
      <c r="B338" s="12" t="s">
        <v>319</v>
      </c>
      <c r="C338" s="13">
        <v>1</v>
      </c>
      <c r="D338" s="13"/>
      <c r="E338" s="13"/>
      <c r="F338" s="13"/>
      <c r="G338" s="14"/>
      <c r="H338" s="14"/>
    </row>
    <row r="339" spans="1:8" ht="30.4" x14ac:dyDescent="0.45">
      <c r="A339" s="11">
        <v>3</v>
      </c>
      <c r="B339" s="12" t="s">
        <v>318</v>
      </c>
      <c r="C339" s="13">
        <v>1</v>
      </c>
      <c r="D339" s="13"/>
      <c r="E339" s="13"/>
      <c r="F339" s="13"/>
      <c r="G339" s="14"/>
      <c r="H339" s="14"/>
    </row>
    <row r="340" spans="1:8" ht="30.4" x14ac:dyDescent="0.45">
      <c r="A340" s="11">
        <v>4</v>
      </c>
      <c r="B340" s="12" t="s">
        <v>76</v>
      </c>
      <c r="C340" s="13">
        <v>2</v>
      </c>
      <c r="D340" s="13"/>
      <c r="E340" s="13"/>
      <c r="F340" s="13"/>
      <c r="G340" s="14"/>
      <c r="H340" s="14"/>
    </row>
    <row r="341" spans="1:8" ht="30.4" x14ac:dyDescent="0.45">
      <c r="A341" s="11">
        <v>5</v>
      </c>
      <c r="B341" s="12" t="s">
        <v>100</v>
      </c>
      <c r="C341" s="13">
        <v>1</v>
      </c>
      <c r="D341" s="13"/>
      <c r="E341" s="13"/>
      <c r="F341" s="13"/>
      <c r="G341" s="14"/>
      <c r="H341" s="14"/>
    </row>
    <row r="342" spans="1:8" ht="60.4" x14ac:dyDescent="0.45">
      <c r="A342" s="11">
        <v>6</v>
      </c>
      <c r="B342" s="12" t="s">
        <v>73</v>
      </c>
      <c r="C342" s="13">
        <v>1</v>
      </c>
      <c r="D342" s="13"/>
      <c r="E342" s="13"/>
      <c r="F342" s="13"/>
      <c r="G342" s="14"/>
      <c r="H342" s="14"/>
    </row>
    <row r="343" spans="1:8" ht="60.4" x14ac:dyDescent="0.45">
      <c r="A343" s="11">
        <v>7</v>
      </c>
      <c r="B343" s="12" t="s">
        <v>68</v>
      </c>
      <c r="C343" s="13">
        <v>1</v>
      </c>
      <c r="D343" s="13"/>
      <c r="E343" s="13"/>
      <c r="F343" s="13"/>
      <c r="G343" s="14"/>
      <c r="H343" s="14"/>
    </row>
    <row r="344" spans="1:8" ht="60.4" x14ac:dyDescent="0.45">
      <c r="A344" s="11">
        <v>8</v>
      </c>
      <c r="B344" s="12" t="s">
        <v>70</v>
      </c>
      <c r="C344" s="13">
        <v>1</v>
      </c>
      <c r="D344" s="13"/>
      <c r="E344" s="13"/>
      <c r="F344" s="13"/>
      <c r="G344" s="14"/>
      <c r="H344" s="14"/>
    </row>
    <row r="345" spans="1:8" ht="60.4" x14ac:dyDescent="0.45">
      <c r="A345" s="11">
        <v>9</v>
      </c>
      <c r="B345" s="12" t="s">
        <v>317</v>
      </c>
      <c r="C345" s="13">
        <v>1</v>
      </c>
      <c r="D345" s="13"/>
      <c r="E345" s="13"/>
      <c r="F345" s="13"/>
      <c r="G345" s="14"/>
      <c r="H345" s="14"/>
    </row>
    <row r="346" spans="1:8" ht="45.4" x14ac:dyDescent="0.45">
      <c r="A346" s="11">
        <v>10</v>
      </c>
      <c r="B346" s="12" t="s">
        <v>72</v>
      </c>
      <c r="C346" s="13">
        <v>4</v>
      </c>
      <c r="D346" s="13"/>
      <c r="E346" s="13"/>
      <c r="F346" s="13"/>
      <c r="G346" s="14"/>
      <c r="H346" s="14"/>
    </row>
    <row r="347" spans="1:8" ht="30.4" x14ac:dyDescent="0.45">
      <c r="A347" s="11">
        <v>11</v>
      </c>
      <c r="B347" s="12" t="s">
        <v>92</v>
      </c>
      <c r="C347" s="13">
        <v>6</v>
      </c>
      <c r="D347" s="13"/>
      <c r="E347" s="13"/>
      <c r="F347" s="13"/>
      <c r="G347" s="14"/>
      <c r="H347" s="14"/>
    </row>
    <row r="348" spans="1:8" ht="45.4" x14ac:dyDescent="0.45">
      <c r="A348" s="11">
        <v>12</v>
      </c>
      <c r="B348" s="12" t="s">
        <v>117</v>
      </c>
      <c r="C348" s="13">
        <v>4</v>
      </c>
      <c r="D348" s="13"/>
      <c r="E348" s="13"/>
      <c r="F348" s="13"/>
      <c r="G348" s="14"/>
      <c r="H348" s="14"/>
    </row>
    <row r="349" spans="1:8" ht="45.4" x14ac:dyDescent="0.45">
      <c r="A349" s="11">
        <v>13</v>
      </c>
      <c r="B349" s="12" t="s">
        <v>197</v>
      </c>
      <c r="C349" s="13">
        <v>2</v>
      </c>
      <c r="D349" s="13"/>
      <c r="E349" s="13"/>
      <c r="F349" s="13"/>
      <c r="G349" s="14"/>
      <c r="H349" s="14"/>
    </row>
    <row r="350" spans="1:8" ht="75.400000000000006" x14ac:dyDescent="0.45">
      <c r="A350" s="11">
        <v>14</v>
      </c>
      <c r="B350" s="12" t="s">
        <v>118</v>
      </c>
      <c r="C350" s="13">
        <v>2</v>
      </c>
      <c r="D350" s="13"/>
      <c r="E350" s="13"/>
      <c r="F350" s="13"/>
      <c r="G350" s="14"/>
      <c r="H350" s="14"/>
    </row>
    <row r="351" spans="1:8" ht="60.4" x14ac:dyDescent="0.45">
      <c r="A351" s="11">
        <v>15</v>
      </c>
      <c r="B351" s="12" t="s">
        <v>265</v>
      </c>
      <c r="C351" s="13">
        <v>2</v>
      </c>
      <c r="D351" s="13"/>
      <c r="E351" s="13"/>
      <c r="F351" s="13"/>
      <c r="G351" s="14"/>
      <c r="H351" s="14"/>
    </row>
    <row r="352" spans="1:8" ht="90.4" x14ac:dyDescent="0.45">
      <c r="A352" s="11">
        <v>16</v>
      </c>
      <c r="B352" s="12" t="s">
        <v>116</v>
      </c>
      <c r="C352" s="13">
        <v>2</v>
      </c>
      <c r="D352" s="13"/>
      <c r="E352" s="13"/>
      <c r="F352" s="13"/>
      <c r="G352" s="14"/>
      <c r="H352" s="14"/>
    </row>
    <row r="353" spans="1:8" ht="60.4" x14ac:dyDescent="0.45">
      <c r="A353" s="11">
        <v>17</v>
      </c>
      <c r="B353" s="12" t="s">
        <v>316</v>
      </c>
      <c r="C353" s="13">
        <v>2</v>
      </c>
      <c r="D353" s="13"/>
      <c r="E353" s="13"/>
      <c r="F353" s="13"/>
      <c r="G353" s="14"/>
      <c r="H353" s="14"/>
    </row>
    <row r="354" spans="1:8" ht="60.4" x14ac:dyDescent="0.45">
      <c r="A354" s="11">
        <v>18</v>
      </c>
      <c r="B354" s="12" t="s">
        <v>198</v>
      </c>
      <c r="C354" s="13">
        <v>1</v>
      </c>
      <c r="D354" s="13"/>
      <c r="E354" s="13"/>
      <c r="F354" s="13"/>
      <c r="G354" s="14"/>
      <c r="H354" s="14"/>
    </row>
    <row r="355" spans="1:8" ht="60.4" x14ac:dyDescent="0.45">
      <c r="A355" s="11">
        <v>19</v>
      </c>
      <c r="B355" s="12" t="s">
        <v>110</v>
      </c>
      <c r="C355" s="13">
        <v>1</v>
      </c>
      <c r="D355" s="13"/>
      <c r="E355" s="13"/>
      <c r="F355" s="13"/>
      <c r="G355" s="14"/>
      <c r="H355" s="14"/>
    </row>
    <row r="356" spans="1:8" ht="30.4" x14ac:dyDescent="0.45">
      <c r="A356" s="11">
        <v>20</v>
      </c>
      <c r="B356" s="12" t="s">
        <v>315</v>
      </c>
      <c r="C356" s="13">
        <v>1</v>
      </c>
      <c r="D356" s="13"/>
      <c r="E356" s="13"/>
      <c r="F356" s="13"/>
      <c r="G356" s="14"/>
      <c r="H356" s="14"/>
    </row>
    <row r="357" spans="1:8" ht="30.4" x14ac:dyDescent="0.45">
      <c r="A357" s="11">
        <v>21</v>
      </c>
      <c r="B357" s="12" t="s">
        <v>76</v>
      </c>
      <c r="C357" s="23">
        <v>3</v>
      </c>
      <c r="D357" s="23"/>
      <c r="E357" s="23"/>
      <c r="F357" s="23"/>
      <c r="G357" s="14"/>
      <c r="H357" s="14"/>
    </row>
    <row r="358" spans="1:8" ht="135.4" x14ac:dyDescent="0.45">
      <c r="A358" s="11">
        <v>22</v>
      </c>
      <c r="B358" s="12" t="s">
        <v>314</v>
      </c>
      <c r="C358" s="13">
        <v>1</v>
      </c>
      <c r="D358" s="13"/>
      <c r="E358" s="13"/>
      <c r="F358" s="13"/>
      <c r="G358" s="14"/>
      <c r="H358" s="14"/>
    </row>
    <row r="359" spans="1:8" ht="15.4" x14ac:dyDescent="0.45">
      <c r="A359" s="15"/>
      <c r="B359" s="16"/>
      <c r="C359" s="17">
        <f>SUM(C337:C358)</f>
        <v>41</v>
      </c>
      <c r="D359" s="45"/>
      <c r="E359" s="45"/>
      <c r="F359" s="45"/>
      <c r="G359" s="9"/>
      <c r="H359" s="18"/>
    </row>
    <row r="360" spans="1:8" ht="15.4" x14ac:dyDescent="0.45">
      <c r="A360" s="15"/>
      <c r="B360" s="19"/>
      <c r="C360" s="45"/>
      <c r="D360" s="45"/>
      <c r="E360" s="45"/>
      <c r="F360" s="45"/>
      <c r="G360" s="9"/>
      <c r="H360" s="9"/>
    </row>
    <row r="361" spans="1:8" ht="15.4" customHeight="1" x14ac:dyDescent="0.45">
      <c r="A361" s="124" t="s">
        <v>452</v>
      </c>
      <c r="B361" s="125"/>
      <c r="C361" s="125"/>
      <c r="D361" s="125"/>
      <c r="E361" s="125"/>
      <c r="F361" s="125"/>
      <c r="G361" s="125"/>
      <c r="H361" s="126"/>
    </row>
    <row r="362" spans="1:8" ht="30" x14ac:dyDescent="0.45">
      <c r="A362" s="51" t="s">
        <v>21</v>
      </c>
      <c r="B362" s="51" t="s">
        <v>20</v>
      </c>
      <c r="C362" s="51" t="s">
        <v>19</v>
      </c>
      <c r="D362" s="51" t="s">
        <v>523</v>
      </c>
      <c r="E362" s="51" t="s">
        <v>524</v>
      </c>
      <c r="F362" s="51" t="s">
        <v>525</v>
      </c>
      <c r="G362" s="52" t="s">
        <v>18</v>
      </c>
      <c r="H362" s="52" t="s">
        <v>17</v>
      </c>
    </row>
    <row r="363" spans="1:8" ht="30.4" x14ac:dyDescent="0.45">
      <c r="A363" s="11">
        <v>1</v>
      </c>
      <c r="B363" s="12" t="s">
        <v>100</v>
      </c>
      <c r="C363" s="13">
        <v>1</v>
      </c>
      <c r="D363" s="13"/>
      <c r="E363" s="13"/>
      <c r="F363" s="13"/>
      <c r="G363" s="14"/>
      <c r="H363" s="14"/>
    </row>
    <row r="364" spans="1:8" ht="60.4" x14ac:dyDescent="0.45">
      <c r="A364" s="11">
        <v>2</v>
      </c>
      <c r="B364" s="12" t="s">
        <v>73</v>
      </c>
      <c r="C364" s="13">
        <v>1</v>
      </c>
      <c r="D364" s="13"/>
      <c r="E364" s="13"/>
      <c r="F364" s="13"/>
      <c r="G364" s="14"/>
      <c r="H364" s="14"/>
    </row>
    <row r="365" spans="1:8" ht="60.4" x14ac:dyDescent="0.45">
      <c r="A365" s="11">
        <v>3</v>
      </c>
      <c r="B365" s="12" t="s">
        <v>70</v>
      </c>
      <c r="C365" s="13">
        <v>1</v>
      </c>
      <c r="D365" s="13"/>
      <c r="E365" s="13"/>
      <c r="F365" s="13"/>
      <c r="G365" s="14"/>
      <c r="H365" s="14"/>
    </row>
    <row r="366" spans="1:8" ht="45.4" x14ac:dyDescent="0.45">
      <c r="A366" s="11">
        <v>4</v>
      </c>
      <c r="B366" s="12" t="s">
        <v>313</v>
      </c>
      <c r="C366" s="13">
        <v>1</v>
      </c>
      <c r="D366" s="13"/>
      <c r="E366" s="13"/>
      <c r="F366" s="13"/>
      <c r="G366" s="14"/>
      <c r="H366" s="14"/>
    </row>
    <row r="367" spans="1:8" ht="45.4" x14ac:dyDescent="0.45">
      <c r="A367" s="11">
        <v>5</v>
      </c>
      <c r="B367" s="12" t="s">
        <v>63</v>
      </c>
      <c r="C367" s="13">
        <v>2</v>
      </c>
      <c r="D367" s="13"/>
      <c r="E367" s="13"/>
      <c r="F367" s="13"/>
      <c r="G367" s="14"/>
      <c r="H367" s="14"/>
    </row>
    <row r="368" spans="1:8" ht="45.4" x14ac:dyDescent="0.45">
      <c r="A368" s="11">
        <v>6</v>
      </c>
      <c r="B368" s="12" t="s">
        <v>312</v>
      </c>
      <c r="C368" s="13">
        <v>2</v>
      </c>
      <c r="D368" s="13"/>
      <c r="E368" s="13"/>
      <c r="F368" s="13"/>
      <c r="G368" s="14"/>
      <c r="H368" s="14"/>
    </row>
    <row r="369" spans="1:8" ht="90.4" x14ac:dyDescent="0.45">
      <c r="A369" s="11">
        <v>7</v>
      </c>
      <c r="B369" s="12" t="s">
        <v>116</v>
      </c>
      <c r="C369" s="13">
        <v>1</v>
      </c>
      <c r="D369" s="13"/>
      <c r="E369" s="13"/>
      <c r="F369" s="13"/>
      <c r="G369" s="14"/>
      <c r="H369" s="14"/>
    </row>
    <row r="370" spans="1:8" ht="60.4" x14ac:dyDescent="0.45">
      <c r="A370" s="11">
        <v>8</v>
      </c>
      <c r="B370" s="12" t="s">
        <v>198</v>
      </c>
      <c r="C370" s="13">
        <v>1</v>
      </c>
      <c r="D370" s="13"/>
      <c r="E370" s="13"/>
      <c r="F370" s="13"/>
      <c r="G370" s="14"/>
      <c r="H370" s="14"/>
    </row>
    <row r="371" spans="1:8" ht="30.4" x14ac:dyDescent="0.45">
      <c r="A371" s="11">
        <v>9</v>
      </c>
      <c r="B371" s="12" t="s">
        <v>76</v>
      </c>
      <c r="C371" s="23">
        <v>1</v>
      </c>
      <c r="D371" s="23"/>
      <c r="E371" s="23"/>
      <c r="F371" s="23"/>
      <c r="G371" s="14"/>
      <c r="H371" s="14"/>
    </row>
    <row r="372" spans="1:8" ht="105.4" x14ac:dyDescent="0.45">
      <c r="A372" s="13">
        <v>10</v>
      </c>
      <c r="B372" s="12" t="s">
        <v>163</v>
      </c>
      <c r="C372" s="13">
        <v>1</v>
      </c>
      <c r="D372" s="13"/>
      <c r="E372" s="13"/>
      <c r="F372" s="13"/>
      <c r="G372" s="14"/>
      <c r="H372" s="14"/>
    </row>
    <row r="373" spans="1:8" ht="15.4" x14ac:dyDescent="0.45">
      <c r="A373" s="15"/>
      <c r="B373" s="16"/>
      <c r="C373" s="17">
        <f>SUM(C363:C372)</f>
        <v>12</v>
      </c>
      <c r="D373" s="45"/>
      <c r="E373" s="45"/>
      <c r="F373" s="130" t="s">
        <v>17</v>
      </c>
      <c r="G373" s="131"/>
      <c r="H373" s="120"/>
    </row>
    <row r="374" spans="1:8" ht="15.4" x14ac:dyDescent="0.45">
      <c r="A374" s="15"/>
      <c r="B374" s="19"/>
      <c r="C374" s="45"/>
      <c r="D374" s="45"/>
      <c r="E374" s="45"/>
      <c r="F374" s="45"/>
      <c r="G374" s="9"/>
      <c r="H374" s="9"/>
    </row>
    <row r="375" spans="1:8" ht="15.4" customHeight="1" x14ac:dyDescent="0.45">
      <c r="A375" s="124" t="s">
        <v>453</v>
      </c>
      <c r="B375" s="125"/>
      <c r="C375" s="125"/>
      <c r="D375" s="125"/>
      <c r="E375" s="125"/>
      <c r="F375" s="125"/>
      <c r="G375" s="125"/>
      <c r="H375" s="126"/>
    </row>
    <row r="376" spans="1:8" ht="30" x14ac:dyDescent="0.45">
      <c r="A376" s="51" t="s">
        <v>21</v>
      </c>
      <c r="B376" s="51" t="s">
        <v>20</v>
      </c>
      <c r="C376" s="51" t="s">
        <v>19</v>
      </c>
      <c r="D376" s="51" t="s">
        <v>523</v>
      </c>
      <c r="E376" s="51" t="s">
        <v>524</v>
      </c>
      <c r="F376" s="51" t="s">
        <v>525</v>
      </c>
      <c r="G376" s="52" t="s">
        <v>18</v>
      </c>
      <c r="H376" s="52" t="s">
        <v>17</v>
      </c>
    </row>
    <row r="377" spans="1:8" ht="60.4" x14ac:dyDescent="0.45">
      <c r="A377" s="11">
        <v>1</v>
      </c>
      <c r="B377" s="12" t="s">
        <v>107</v>
      </c>
      <c r="C377" s="13">
        <v>1</v>
      </c>
      <c r="D377" s="13"/>
      <c r="E377" s="13"/>
      <c r="F377" s="13"/>
      <c r="G377" s="14"/>
      <c r="H377" s="14"/>
    </row>
    <row r="378" spans="1:8" ht="60.4" x14ac:dyDescent="0.45">
      <c r="A378" s="11">
        <v>2</v>
      </c>
      <c r="B378" s="12" t="s">
        <v>81</v>
      </c>
      <c r="C378" s="13">
        <v>1</v>
      </c>
      <c r="D378" s="13"/>
      <c r="E378" s="13"/>
      <c r="F378" s="13"/>
      <c r="G378" s="14"/>
      <c r="H378" s="14"/>
    </row>
    <row r="379" spans="1:8" ht="75.400000000000006" x14ac:dyDescent="0.45">
      <c r="A379" s="11">
        <v>3</v>
      </c>
      <c r="B379" s="12" t="s">
        <v>137</v>
      </c>
      <c r="C379" s="13">
        <v>1</v>
      </c>
      <c r="D379" s="13"/>
      <c r="E379" s="13"/>
      <c r="F379" s="13"/>
      <c r="G379" s="14"/>
      <c r="H379" s="14"/>
    </row>
    <row r="380" spans="1:8" ht="75.400000000000006" x14ac:dyDescent="0.45">
      <c r="A380" s="11">
        <v>4</v>
      </c>
      <c r="B380" s="12" t="s">
        <v>311</v>
      </c>
      <c r="C380" s="13">
        <v>1</v>
      </c>
      <c r="D380" s="13"/>
      <c r="E380" s="13"/>
      <c r="F380" s="13"/>
      <c r="G380" s="14"/>
      <c r="H380" s="14"/>
    </row>
    <row r="381" spans="1:8" ht="75.400000000000006" x14ac:dyDescent="0.45">
      <c r="A381" s="11">
        <v>5</v>
      </c>
      <c r="B381" s="12" t="s">
        <v>310</v>
      </c>
      <c r="C381" s="13">
        <v>1</v>
      </c>
      <c r="D381" s="13"/>
      <c r="E381" s="13"/>
      <c r="F381" s="13"/>
      <c r="G381" s="14"/>
      <c r="H381" s="14"/>
    </row>
    <row r="382" spans="1:8" ht="90.4" x14ac:dyDescent="0.45">
      <c r="A382" s="11">
        <v>6</v>
      </c>
      <c r="B382" s="12" t="s">
        <v>309</v>
      </c>
      <c r="C382" s="13">
        <v>1</v>
      </c>
      <c r="D382" s="13"/>
      <c r="E382" s="13"/>
      <c r="F382" s="13"/>
      <c r="G382" s="14"/>
      <c r="H382" s="14"/>
    </row>
    <row r="383" spans="1:8" ht="90.4" x14ac:dyDescent="0.45">
      <c r="A383" s="11">
        <v>7</v>
      </c>
      <c r="B383" s="12" t="s">
        <v>308</v>
      </c>
      <c r="C383" s="13">
        <v>1</v>
      </c>
      <c r="D383" s="13"/>
      <c r="E383" s="13"/>
      <c r="F383" s="13"/>
      <c r="G383" s="14"/>
      <c r="H383" s="14"/>
    </row>
    <row r="384" spans="1:8" ht="75.400000000000006" x14ac:dyDescent="0.45">
      <c r="A384" s="11">
        <v>8</v>
      </c>
      <c r="B384" s="12" t="s">
        <v>140</v>
      </c>
      <c r="C384" s="13">
        <v>2</v>
      </c>
      <c r="D384" s="13"/>
      <c r="E384" s="13"/>
      <c r="F384" s="13"/>
      <c r="G384" s="14"/>
      <c r="H384" s="14"/>
    </row>
    <row r="385" spans="1:8" ht="75.400000000000006" x14ac:dyDescent="0.45">
      <c r="A385" s="11">
        <v>9</v>
      </c>
      <c r="B385" s="12" t="s">
        <v>307</v>
      </c>
      <c r="C385" s="13">
        <v>2</v>
      </c>
      <c r="D385" s="13"/>
      <c r="E385" s="13"/>
      <c r="F385" s="13"/>
      <c r="G385" s="14"/>
      <c r="H385" s="14"/>
    </row>
    <row r="386" spans="1:8" ht="90.4" x14ac:dyDescent="0.45">
      <c r="A386" s="11">
        <v>10</v>
      </c>
      <c r="B386" s="12" t="s">
        <v>161</v>
      </c>
      <c r="C386" s="13">
        <v>1</v>
      </c>
      <c r="D386" s="13"/>
      <c r="E386" s="13"/>
      <c r="F386" s="13"/>
      <c r="G386" s="14"/>
      <c r="H386" s="14"/>
    </row>
    <row r="387" spans="1:8" ht="90.4" x14ac:dyDescent="0.45">
      <c r="A387" s="11">
        <v>11</v>
      </c>
      <c r="B387" s="12" t="s">
        <v>306</v>
      </c>
      <c r="C387" s="13">
        <v>1</v>
      </c>
      <c r="D387" s="13"/>
      <c r="E387" s="13"/>
      <c r="F387" s="13"/>
      <c r="G387" s="14"/>
      <c r="H387" s="14"/>
    </row>
    <row r="388" spans="1:8" ht="105.4" x14ac:dyDescent="0.45">
      <c r="A388" s="11">
        <v>12</v>
      </c>
      <c r="B388" s="12" t="s">
        <v>305</v>
      </c>
      <c r="C388" s="13">
        <v>1</v>
      </c>
      <c r="D388" s="13"/>
      <c r="E388" s="13"/>
      <c r="F388" s="13"/>
      <c r="G388" s="14"/>
      <c r="H388" s="14"/>
    </row>
    <row r="389" spans="1:8" ht="120.4" x14ac:dyDescent="0.45">
      <c r="A389" s="11">
        <v>13</v>
      </c>
      <c r="B389" s="12" t="s">
        <v>304</v>
      </c>
      <c r="C389" s="13">
        <v>1</v>
      </c>
      <c r="D389" s="13"/>
      <c r="E389" s="13"/>
      <c r="F389" s="13"/>
      <c r="G389" s="14"/>
      <c r="H389" s="14"/>
    </row>
    <row r="390" spans="1:8" ht="90.4" x14ac:dyDescent="0.45">
      <c r="A390" s="11">
        <v>14</v>
      </c>
      <c r="B390" s="12" t="s">
        <v>301</v>
      </c>
      <c r="C390" s="13">
        <v>1</v>
      </c>
      <c r="D390" s="13"/>
      <c r="E390" s="13"/>
      <c r="F390" s="13"/>
      <c r="G390" s="14"/>
      <c r="H390" s="14"/>
    </row>
    <row r="391" spans="1:8" ht="30.4" x14ac:dyDescent="0.45">
      <c r="A391" s="11">
        <v>15</v>
      </c>
      <c r="B391" s="12" t="s">
        <v>76</v>
      </c>
      <c r="C391" s="13">
        <v>4</v>
      </c>
      <c r="D391" s="13"/>
      <c r="E391" s="13"/>
      <c r="F391" s="13"/>
      <c r="G391" s="14"/>
      <c r="H391" s="14"/>
    </row>
    <row r="392" spans="1:8" ht="105.4" x14ac:dyDescent="0.45">
      <c r="A392" s="11">
        <v>16</v>
      </c>
      <c r="B392" s="12" t="s">
        <v>303</v>
      </c>
      <c r="C392" s="13">
        <v>1</v>
      </c>
      <c r="D392" s="13"/>
      <c r="E392" s="13"/>
      <c r="F392" s="13"/>
      <c r="G392" s="14"/>
      <c r="H392" s="14"/>
    </row>
    <row r="393" spans="1:8" ht="105.4" x14ac:dyDescent="0.45">
      <c r="A393" s="11">
        <v>17</v>
      </c>
      <c r="B393" s="12" t="s">
        <v>302</v>
      </c>
      <c r="C393" s="13">
        <v>1</v>
      </c>
      <c r="D393" s="13"/>
      <c r="E393" s="13"/>
      <c r="F393" s="13"/>
      <c r="G393" s="14"/>
      <c r="H393" s="14"/>
    </row>
    <row r="394" spans="1:8" ht="90.4" x14ac:dyDescent="0.45">
      <c r="A394" s="11">
        <v>18</v>
      </c>
      <c r="B394" s="12" t="s">
        <v>301</v>
      </c>
      <c r="C394" s="13">
        <v>1</v>
      </c>
      <c r="D394" s="13"/>
      <c r="E394" s="13"/>
      <c r="F394" s="13"/>
      <c r="G394" s="14"/>
      <c r="H394" s="14"/>
    </row>
    <row r="395" spans="1:8" ht="45.4" x14ac:dyDescent="0.45">
      <c r="A395" s="11">
        <v>19</v>
      </c>
      <c r="B395" s="12" t="s">
        <v>300</v>
      </c>
      <c r="C395" s="13">
        <v>2</v>
      </c>
      <c r="D395" s="13"/>
      <c r="E395" s="13"/>
      <c r="F395" s="13"/>
      <c r="G395" s="14"/>
      <c r="H395" s="14"/>
    </row>
    <row r="396" spans="1:8" ht="45.4" x14ac:dyDescent="0.45">
      <c r="A396" s="11">
        <v>20</v>
      </c>
      <c r="B396" s="12" t="s">
        <v>299</v>
      </c>
      <c r="C396" s="13">
        <v>1</v>
      </c>
      <c r="D396" s="13"/>
      <c r="E396" s="13"/>
      <c r="F396" s="13"/>
      <c r="G396" s="14"/>
      <c r="H396" s="14"/>
    </row>
    <row r="397" spans="1:8" ht="45.4" x14ac:dyDescent="0.45">
      <c r="A397" s="11">
        <v>21</v>
      </c>
      <c r="B397" s="12" t="s">
        <v>298</v>
      </c>
      <c r="C397" s="13">
        <v>1</v>
      </c>
      <c r="D397" s="13"/>
      <c r="E397" s="13"/>
      <c r="F397" s="13"/>
      <c r="G397" s="14"/>
      <c r="H397" s="14"/>
    </row>
    <row r="398" spans="1:8" ht="45.4" x14ac:dyDescent="0.45">
      <c r="A398" s="11">
        <v>22</v>
      </c>
      <c r="B398" s="12" t="s">
        <v>297</v>
      </c>
      <c r="C398" s="13">
        <v>1</v>
      </c>
      <c r="D398" s="13"/>
      <c r="E398" s="13"/>
      <c r="F398" s="13"/>
      <c r="G398" s="14"/>
      <c r="H398" s="14"/>
    </row>
    <row r="399" spans="1:8" ht="45.4" x14ac:dyDescent="0.45">
      <c r="A399" s="11">
        <v>23</v>
      </c>
      <c r="B399" s="12" t="s">
        <v>296</v>
      </c>
      <c r="C399" s="13">
        <v>1</v>
      </c>
      <c r="D399" s="13"/>
      <c r="E399" s="13"/>
      <c r="F399" s="13"/>
      <c r="G399" s="14"/>
      <c r="H399" s="14"/>
    </row>
    <row r="400" spans="1:8" ht="45.4" x14ac:dyDescent="0.45">
      <c r="A400" s="11">
        <v>24</v>
      </c>
      <c r="B400" s="12" t="s">
        <v>295</v>
      </c>
      <c r="C400" s="13">
        <v>1</v>
      </c>
      <c r="D400" s="13"/>
      <c r="E400" s="13"/>
      <c r="F400" s="13"/>
      <c r="G400" s="14"/>
      <c r="H400" s="14"/>
    </row>
    <row r="401" spans="1:8" ht="45.4" x14ac:dyDescent="0.45">
      <c r="A401" s="11">
        <v>25</v>
      </c>
      <c r="B401" s="12" t="s">
        <v>294</v>
      </c>
      <c r="C401" s="13">
        <v>1</v>
      </c>
      <c r="D401" s="13"/>
      <c r="E401" s="13"/>
      <c r="F401" s="13"/>
      <c r="G401" s="14"/>
      <c r="H401" s="14"/>
    </row>
    <row r="402" spans="1:8" ht="60.4" x14ac:dyDescent="0.45">
      <c r="A402" s="11">
        <v>26</v>
      </c>
      <c r="B402" s="12" t="s">
        <v>240</v>
      </c>
      <c r="C402" s="13">
        <v>2</v>
      </c>
      <c r="D402" s="13"/>
      <c r="E402" s="13"/>
      <c r="F402" s="13"/>
      <c r="G402" s="14"/>
      <c r="H402" s="14"/>
    </row>
    <row r="403" spans="1:8" ht="60.4" x14ac:dyDescent="0.45">
      <c r="A403" s="11">
        <v>27</v>
      </c>
      <c r="B403" s="12" t="s">
        <v>293</v>
      </c>
      <c r="C403" s="13">
        <v>2</v>
      </c>
      <c r="D403" s="13"/>
      <c r="E403" s="13"/>
      <c r="F403" s="13"/>
      <c r="G403" s="14"/>
      <c r="H403" s="14"/>
    </row>
    <row r="404" spans="1:8" ht="60.4" x14ac:dyDescent="0.45">
      <c r="A404" s="11">
        <v>28</v>
      </c>
      <c r="B404" s="12" t="s">
        <v>239</v>
      </c>
      <c r="C404" s="13">
        <v>2</v>
      </c>
      <c r="D404" s="13"/>
      <c r="E404" s="13"/>
      <c r="F404" s="13"/>
      <c r="G404" s="14"/>
      <c r="H404" s="14"/>
    </row>
    <row r="405" spans="1:8" ht="60.4" x14ac:dyDescent="0.45">
      <c r="A405" s="11">
        <v>29</v>
      </c>
      <c r="B405" s="12" t="s">
        <v>292</v>
      </c>
      <c r="C405" s="13">
        <v>1</v>
      </c>
      <c r="D405" s="13"/>
      <c r="E405" s="13"/>
      <c r="F405" s="13"/>
      <c r="G405" s="14"/>
      <c r="H405" s="14"/>
    </row>
    <row r="406" spans="1:8" ht="45.4" x14ac:dyDescent="0.45">
      <c r="A406" s="11">
        <v>30</v>
      </c>
      <c r="B406" s="12" t="s">
        <v>291</v>
      </c>
      <c r="C406" s="13">
        <v>1</v>
      </c>
      <c r="D406" s="13"/>
      <c r="E406" s="13"/>
      <c r="F406" s="13"/>
      <c r="G406" s="14"/>
      <c r="H406" s="14"/>
    </row>
    <row r="407" spans="1:8" ht="45.4" x14ac:dyDescent="0.45">
      <c r="A407" s="11">
        <v>31</v>
      </c>
      <c r="B407" s="12" t="s">
        <v>291</v>
      </c>
      <c r="C407" s="13">
        <v>1</v>
      </c>
      <c r="D407" s="13"/>
      <c r="E407" s="13"/>
      <c r="F407" s="13"/>
      <c r="G407" s="14"/>
      <c r="H407" s="14"/>
    </row>
    <row r="408" spans="1:8" ht="60.4" x14ac:dyDescent="0.45">
      <c r="A408" s="11">
        <v>32</v>
      </c>
      <c r="B408" s="12" t="s">
        <v>290</v>
      </c>
      <c r="C408" s="13">
        <v>1</v>
      </c>
      <c r="D408" s="13"/>
      <c r="E408" s="13"/>
      <c r="F408" s="13"/>
      <c r="G408" s="14"/>
      <c r="H408" s="14"/>
    </row>
    <row r="409" spans="1:8" ht="60.4" x14ac:dyDescent="0.45">
      <c r="A409" s="11">
        <v>33</v>
      </c>
      <c r="B409" s="12" t="s">
        <v>237</v>
      </c>
      <c r="C409" s="13">
        <v>8</v>
      </c>
      <c r="D409" s="13"/>
      <c r="E409" s="13"/>
      <c r="F409" s="13"/>
      <c r="G409" s="14"/>
      <c r="H409" s="14"/>
    </row>
    <row r="410" spans="1:8" ht="60.4" x14ac:dyDescent="0.45">
      <c r="A410" s="11">
        <v>34</v>
      </c>
      <c r="B410" s="12" t="s">
        <v>236</v>
      </c>
      <c r="C410" s="13">
        <v>8</v>
      </c>
      <c r="D410" s="13"/>
      <c r="E410" s="13"/>
      <c r="F410" s="13"/>
      <c r="G410" s="14"/>
      <c r="H410" s="14"/>
    </row>
    <row r="411" spans="1:8" ht="45.4" x14ac:dyDescent="0.45">
      <c r="A411" s="11">
        <v>35</v>
      </c>
      <c r="B411" s="12" t="s">
        <v>63</v>
      </c>
      <c r="C411" s="13">
        <v>4</v>
      </c>
      <c r="D411" s="13"/>
      <c r="E411" s="13"/>
      <c r="F411" s="13"/>
      <c r="G411" s="14"/>
      <c r="H411" s="14"/>
    </row>
    <row r="412" spans="1:8" ht="45.4" x14ac:dyDescent="0.45">
      <c r="A412" s="11">
        <v>36</v>
      </c>
      <c r="B412" s="12" t="s">
        <v>64</v>
      </c>
      <c r="C412" s="13">
        <v>4</v>
      </c>
      <c r="D412" s="13"/>
      <c r="E412" s="13"/>
      <c r="F412" s="13"/>
      <c r="G412" s="14"/>
      <c r="H412" s="14"/>
    </row>
    <row r="413" spans="1:8" ht="45.4" x14ac:dyDescent="0.45">
      <c r="A413" s="11">
        <v>37</v>
      </c>
      <c r="B413" s="12" t="s">
        <v>289</v>
      </c>
      <c r="C413" s="13">
        <v>4</v>
      </c>
      <c r="D413" s="13"/>
      <c r="E413" s="13"/>
      <c r="F413" s="13"/>
      <c r="G413" s="14"/>
      <c r="H413" s="14"/>
    </row>
    <row r="414" spans="1:8" ht="45.4" x14ac:dyDescent="0.45">
      <c r="A414" s="11">
        <v>38</v>
      </c>
      <c r="B414" s="12" t="s">
        <v>288</v>
      </c>
      <c r="C414" s="13">
        <v>2</v>
      </c>
      <c r="D414" s="13"/>
      <c r="E414" s="13"/>
      <c r="F414" s="13"/>
      <c r="G414" s="14"/>
      <c r="H414" s="14"/>
    </row>
    <row r="415" spans="1:8" ht="60.4" x14ac:dyDescent="0.45">
      <c r="A415" s="11">
        <v>39</v>
      </c>
      <c r="B415" s="12" t="s">
        <v>62</v>
      </c>
      <c r="C415" s="13">
        <v>4</v>
      </c>
      <c r="D415" s="13"/>
      <c r="E415" s="13"/>
      <c r="F415" s="13"/>
      <c r="G415" s="14"/>
      <c r="H415" s="14"/>
    </row>
    <row r="416" spans="1:8" ht="60.4" x14ac:dyDescent="0.45">
      <c r="A416" s="11">
        <v>40</v>
      </c>
      <c r="B416" s="12" t="s">
        <v>217</v>
      </c>
      <c r="C416" s="13">
        <v>1</v>
      </c>
      <c r="D416" s="13"/>
      <c r="E416" s="13"/>
      <c r="F416" s="13"/>
      <c r="G416" s="14"/>
      <c r="H416" s="14"/>
    </row>
    <row r="417" spans="1:8" ht="60.4" x14ac:dyDescent="0.45">
      <c r="A417" s="11">
        <v>41</v>
      </c>
      <c r="B417" s="12" t="s">
        <v>238</v>
      </c>
      <c r="C417" s="13">
        <v>1</v>
      </c>
      <c r="D417" s="13"/>
      <c r="E417" s="13"/>
      <c r="F417" s="13"/>
      <c r="G417" s="14"/>
      <c r="H417" s="14"/>
    </row>
    <row r="418" spans="1:8" ht="60.4" x14ac:dyDescent="0.45">
      <c r="A418" s="11">
        <v>42</v>
      </c>
      <c r="B418" s="12" t="s">
        <v>235</v>
      </c>
      <c r="C418" s="13">
        <v>6</v>
      </c>
      <c r="D418" s="13"/>
      <c r="E418" s="13"/>
      <c r="F418" s="13"/>
      <c r="G418" s="14"/>
      <c r="H418" s="14"/>
    </row>
    <row r="419" spans="1:8" ht="60.4" x14ac:dyDescent="0.45">
      <c r="A419" s="11">
        <v>43</v>
      </c>
      <c r="B419" s="12" t="s">
        <v>73</v>
      </c>
      <c r="C419" s="13">
        <v>2</v>
      </c>
      <c r="D419" s="13"/>
      <c r="E419" s="13"/>
      <c r="F419" s="13"/>
      <c r="G419" s="14"/>
      <c r="H419" s="14"/>
    </row>
    <row r="420" spans="1:8" ht="60.4" x14ac:dyDescent="0.45">
      <c r="A420" s="11">
        <v>44</v>
      </c>
      <c r="B420" s="12" t="s">
        <v>287</v>
      </c>
      <c r="C420" s="13">
        <v>1</v>
      </c>
      <c r="D420" s="13"/>
      <c r="E420" s="13"/>
      <c r="F420" s="13"/>
      <c r="G420" s="14"/>
      <c r="H420" s="14"/>
    </row>
    <row r="421" spans="1:8" ht="45.4" x14ac:dyDescent="0.45">
      <c r="A421" s="11">
        <v>45</v>
      </c>
      <c r="B421" s="12" t="s">
        <v>286</v>
      </c>
      <c r="C421" s="13">
        <v>1</v>
      </c>
      <c r="D421" s="13"/>
      <c r="E421" s="13"/>
      <c r="F421" s="13"/>
      <c r="G421" s="14"/>
      <c r="H421" s="14"/>
    </row>
    <row r="422" spans="1:8" ht="45.4" x14ac:dyDescent="0.45">
      <c r="A422" s="11">
        <v>46</v>
      </c>
      <c r="B422" s="12" t="s">
        <v>285</v>
      </c>
      <c r="C422" s="13">
        <v>1</v>
      </c>
      <c r="D422" s="13"/>
      <c r="E422" s="13"/>
      <c r="F422" s="13"/>
      <c r="G422" s="14"/>
      <c r="H422" s="14"/>
    </row>
    <row r="423" spans="1:8" ht="45.4" x14ac:dyDescent="0.45">
      <c r="A423" s="11">
        <v>47</v>
      </c>
      <c r="B423" s="12" t="s">
        <v>284</v>
      </c>
      <c r="C423" s="13">
        <v>1</v>
      </c>
      <c r="D423" s="13"/>
      <c r="E423" s="13"/>
      <c r="F423" s="13"/>
      <c r="G423" s="14"/>
      <c r="H423" s="14"/>
    </row>
    <row r="424" spans="1:8" ht="75.400000000000006" x14ac:dyDescent="0.45">
      <c r="A424" s="11">
        <v>48</v>
      </c>
      <c r="B424" s="12" t="s">
        <v>216</v>
      </c>
      <c r="C424" s="13">
        <v>1</v>
      </c>
      <c r="D424" s="13"/>
      <c r="E424" s="13"/>
      <c r="F424" s="13"/>
      <c r="G424" s="14"/>
      <c r="H424" s="14"/>
    </row>
    <row r="425" spans="1:8" ht="60.4" x14ac:dyDescent="0.45">
      <c r="A425" s="11">
        <v>49</v>
      </c>
      <c r="B425" s="12" t="s">
        <v>283</v>
      </c>
      <c r="C425" s="13">
        <v>1</v>
      </c>
      <c r="D425" s="13"/>
      <c r="E425" s="13"/>
      <c r="F425" s="13"/>
      <c r="G425" s="14"/>
      <c r="H425" s="14"/>
    </row>
    <row r="426" spans="1:8" ht="60.4" x14ac:dyDescent="0.45">
      <c r="A426" s="11">
        <v>50</v>
      </c>
      <c r="B426" s="12" t="s">
        <v>282</v>
      </c>
      <c r="C426" s="13">
        <v>1</v>
      </c>
      <c r="D426" s="13"/>
      <c r="E426" s="13"/>
      <c r="F426" s="13"/>
      <c r="G426" s="14"/>
      <c r="H426" s="14"/>
    </row>
    <row r="427" spans="1:8" ht="75.400000000000006" x14ac:dyDescent="0.45">
      <c r="A427" s="11">
        <v>51</v>
      </c>
      <c r="B427" s="12" t="s">
        <v>281</v>
      </c>
      <c r="C427" s="13">
        <v>1</v>
      </c>
      <c r="D427" s="13"/>
      <c r="E427" s="13"/>
      <c r="F427" s="13"/>
      <c r="G427" s="14"/>
      <c r="H427" s="14"/>
    </row>
    <row r="428" spans="1:8" ht="30.4" x14ac:dyDescent="0.45">
      <c r="A428" s="11">
        <v>52</v>
      </c>
      <c r="B428" s="12" t="s">
        <v>280</v>
      </c>
      <c r="C428" s="13">
        <v>1</v>
      </c>
      <c r="D428" s="13"/>
      <c r="E428" s="13"/>
      <c r="F428" s="13"/>
      <c r="G428" s="14"/>
      <c r="H428" s="14"/>
    </row>
    <row r="429" spans="1:8" ht="75.400000000000006" x14ac:dyDescent="0.45">
      <c r="A429" s="11">
        <v>53</v>
      </c>
      <c r="B429" s="12" t="s">
        <v>215</v>
      </c>
      <c r="C429" s="13">
        <v>1</v>
      </c>
      <c r="D429" s="13"/>
      <c r="E429" s="13"/>
      <c r="F429" s="13"/>
      <c r="G429" s="14"/>
      <c r="H429" s="14"/>
    </row>
    <row r="430" spans="1:8" ht="60.4" x14ac:dyDescent="0.45">
      <c r="A430" s="11">
        <v>54</v>
      </c>
      <c r="B430" s="12" t="s">
        <v>279</v>
      </c>
      <c r="C430" s="13">
        <v>2</v>
      </c>
      <c r="D430" s="13"/>
      <c r="E430" s="13"/>
      <c r="F430" s="13"/>
      <c r="G430" s="14"/>
      <c r="H430" s="14"/>
    </row>
    <row r="431" spans="1:8" ht="45.4" x14ac:dyDescent="0.45">
      <c r="A431" s="11">
        <v>55</v>
      </c>
      <c r="B431" s="12" t="s">
        <v>278</v>
      </c>
      <c r="C431" s="13">
        <v>1</v>
      </c>
      <c r="D431" s="13"/>
      <c r="E431" s="13"/>
      <c r="F431" s="13"/>
      <c r="G431" s="14"/>
      <c r="H431" s="14"/>
    </row>
    <row r="432" spans="1:8" ht="45.4" x14ac:dyDescent="0.45">
      <c r="A432" s="11">
        <v>56</v>
      </c>
      <c r="B432" s="12" t="s">
        <v>277</v>
      </c>
      <c r="C432" s="13">
        <v>1</v>
      </c>
      <c r="D432" s="13"/>
      <c r="E432" s="13"/>
      <c r="F432" s="13"/>
      <c r="G432" s="14"/>
      <c r="H432" s="14"/>
    </row>
    <row r="433" spans="1:8" ht="45.4" x14ac:dyDescent="0.45">
      <c r="A433" s="11">
        <v>57</v>
      </c>
      <c r="B433" s="12" t="s">
        <v>276</v>
      </c>
      <c r="C433" s="13">
        <v>2</v>
      </c>
      <c r="D433" s="13"/>
      <c r="E433" s="13"/>
      <c r="F433" s="13"/>
      <c r="G433" s="14"/>
      <c r="H433" s="14"/>
    </row>
    <row r="434" spans="1:8" ht="90.4" x14ac:dyDescent="0.45">
      <c r="A434" s="11">
        <v>58</v>
      </c>
      <c r="B434" s="12" t="s">
        <v>61</v>
      </c>
      <c r="C434" s="13">
        <v>2</v>
      </c>
      <c r="D434" s="13"/>
      <c r="E434" s="13"/>
      <c r="F434" s="13"/>
      <c r="G434" s="14"/>
      <c r="H434" s="14"/>
    </row>
    <row r="435" spans="1:8" ht="90.4" x14ac:dyDescent="0.45">
      <c r="A435" s="11">
        <v>59</v>
      </c>
      <c r="B435" s="12" t="s">
        <v>234</v>
      </c>
      <c r="C435" s="13">
        <v>1</v>
      </c>
      <c r="D435" s="13"/>
      <c r="E435" s="13"/>
      <c r="F435" s="13"/>
      <c r="G435" s="14"/>
      <c r="H435" s="14"/>
    </row>
    <row r="436" spans="1:8" ht="60.4" x14ac:dyDescent="0.45">
      <c r="A436" s="11">
        <v>60</v>
      </c>
      <c r="B436" s="12" t="s">
        <v>233</v>
      </c>
      <c r="C436" s="13">
        <v>1</v>
      </c>
      <c r="D436" s="13"/>
      <c r="E436" s="13"/>
      <c r="F436" s="13"/>
      <c r="G436" s="14"/>
      <c r="H436" s="14"/>
    </row>
    <row r="437" spans="1:8" ht="75.400000000000006" x14ac:dyDescent="0.45">
      <c r="A437" s="11">
        <v>61</v>
      </c>
      <c r="B437" s="12" t="s">
        <v>275</v>
      </c>
      <c r="C437" s="13">
        <v>1</v>
      </c>
      <c r="D437" s="13"/>
      <c r="E437" s="13"/>
      <c r="F437" s="13"/>
      <c r="G437" s="14"/>
      <c r="H437" s="14"/>
    </row>
    <row r="438" spans="1:8" ht="75.400000000000006" x14ac:dyDescent="0.45">
      <c r="A438" s="11">
        <v>62</v>
      </c>
      <c r="B438" s="12" t="s">
        <v>274</v>
      </c>
      <c r="C438" s="13">
        <v>1</v>
      </c>
      <c r="D438" s="13"/>
      <c r="E438" s="13"/>
      <c r="F438" s="13"/>
      <c r="G438" s="14"/>
      <c r="H438" s="14"/>
    </row>
    <row r="439" spans="1:8" ht="60.4" x14ac:dyDescent="0.45">
      <c r="A439" s="11">
        <v>63</v>
      </c>
      <c r="B439" s="12" t="s">
        <v>273</v>
      </c>
      <c r="C439" s="13">
        <v>1</v>
      </c>
      <c r="D439" s="13"/>
      <c r="E439" s="13"/>
      <c r="F439" s="13"/>
      <c r="G439" s="14"/>
      <c r="H439" s="14"/>
    </row>
    <row r="440" spans="1:8" ht="60.4" x14ac:dyDescent="0.45">
      <c r="A440" s="11">
        <v>64</v>
      </c>
      <c r="B440" s="12" t="s">
        <v>272</v>
      </c>
      <c r="C440" s="13">
        <v>1</v>
      </c>
      <c r="D440" s="13"/>
      <c r="E440" s="13"/>
      <c r="F440" s="13"/>
      <c r="G440" s="14"/>
      <c r="H440" s="14"/>
    </row>
    <row r="441" spans="1:8" ht="75.400000000000006" x14ac:dyDescent="0.45">
      <c r="A441" s="11">
        <v>65</v>
      </c>
      <c r="B441" s="12" t="s">
        <v>271</v>
      </c>
      <c r="C441" s="13">
        <v>1</v>
      </c>
      <c r="D441" s="13"/>
      <c r="E441" s="13"/>
      <c r="F441" s="13"/>
      <c r="G441" s="14"/>
      <c r="H441" s="14"/>
    </row>
    <row r="442" spans="1:8" ht="60.4" x14ac:dyDescent="0.45">
      <c r="A442" s="11">
        <v>66</v>
      </c>
      <c r="B442" s="12" t="s">
        <v>270</v>
      </c>
      <c r="C442" s="13">
        <v>1</v>
      </c>
      <c r="D442" s="13"/>
      <c r="E442" s="13"/>
      <c r="F442" s="13"/>
      <c r="G442" s="14"/>
      <c r="H442" s="14"/>
    </row>
    <row r="443" spans="1:8" ht="60.4" x14ac:dyDescent="0.45">
      <c r="A443" s="11">
        <v>67</v>
      </c>
      <c r="B443" s="12" t="s">
        <v>269</v>
      </c>
      <c r="C443" s="13">
        <v>1</v>
      </c>
      <c r="D443" s="13"/>
      <c r="E443" s="13"/>
      <c r="F443" s="13"/>
      <c r="G443" s="14"/>
      <c r="H443" s="14"/>
    </row>
    <row r="444" spans="1:8" ht="60.4" x14ac:dyDescent="0.45">
      <c r="A444" s="11">
        <v>68</v>
      </c>
      <c r="B444" s="12" t="s">
        <v>268</v>
      </c>
      <c r="C444" s="13">
        <v>1</v>
      </c>
      <c r="D444" s="13"/>
      <c r="E444" s="13"/>
      <c r="F444" s="13"/>
      <c r="G444" s="14"/>
      <c r="H444" s="14"/>
    </row>
    <row r="445" spans="1:8" ht="60.4" x14ac:dyDescent="0.45">
      <c r="A445" s="11">
        <v>69</v>
      </c>
      <c r="B445" s="12" t="s">
        <v>267</v>
      </c>
      <c r="C445" s="13">
        <v>1</v>
      </c>
      <c r="D445" s="13"/>
      <c r="E445" s="13"/>
      <c r="F445" s="13"/>
      <c r="G445" s="14"/>
      <c r="H445" s="14"/>
    </row>
    <row r="446" spans="1:8" ht="150.4" x14ac:dyDescent="0.45">
      <c r="A446" s="11">
        <v>70</v>
      </c>
      <c r="B446" s="12" t="s">
        <v>0</v>
      </c>
      <c r="C446" s="13">
        <v>2</v>
      </c>
      <c r="D446" s="13"/>
      <c r="E446" s="13"/>
      <c r="F446" s="13"/>
      <c r="G446" s="14"/>
      <c r="H446" s="14"/>
    </row>
    <row r="447" spans="1:8" ht="15.4" x14ac:dyDescent="0.45">
      <c r="A447" s="15"/>
      <c r="B447" s="16"/>
      <c r="C447" s="17">
        <f>SUM(C377:C446)</f>
        <v>116</v>
      </c>
      <c r="D447" s="45"/>
      <c r="E447" s="45"/>
      <c r="F447" s="130" t="s">
        <v>17</v>
      </c>
      <c r="G447" s="131"/>
      <c r="H447" s="120"/>
    </row>
    <row r="448" spans="1:8" ht="15.4" x14ac:dyDescent="0.45">
      <c r="A448" s="15"/>
      <c r="B448" s="19"/>
      <c r="C448" s="45"/>
      <c r="D448" s="45"/>
      <c r="E448" s="45"/>
      <c r="F448" s="45"/>
      <c r="G448" s="9"/>
      <c r="H448" s="9"/>
    </row>
    <row r="449" spans="1:8" ht="15.4" customHeight="1" x14ac:dyDescent="0.45">
      <c r="A449" s="124" t="s">
        <v>454</v>
      </c>
      <c r="B449" s="125"/>
      <c r="C449" s="125"/>
      <c r="D449" s="125"/>
      <c r="E449" s="125"/>
      <c r="F449" s="125"/>
      <c r="G449" s="125"/>
      <c r="H449" s="126"/>
    </row>
    <row r="450" spans="1:8" ht="30" x14ac:dyDescent="0.45">
      <c r="A450" s="51" t="s">
        <v>21</v>
      </c>
      <c r="B450" s="51" t="s">
        <v>20</v>
      </c>
      <c r="C450" s="51" t="s">
        <v>19</v>
      </c>
      <c r="D450" s="51" t="s">
        <v>523</v>
      </c>
      <c r="E450" s="51" t="s">
        <v>524</v>
      </c>
      <c r="F450" s="51" t="s">
        <v>525</v>
      </c>
      <c r="G450" s="52" t="s">
        <v>18</v>
      </c>
      <c r="H450" s="52" t="s">
        <v>17</v>
      </c>
    </row>
    <row r="451" spans="1:8" ht="60.4" x14ac:dyDescent="0.45">
      <c r="A451" s="11">
        <v>1</v>
      </c>
      <c r="B451" s="12" t="s">
        <v>107</v>
      </c>
      <c r="C451" s="13">
        <v>1</v>
      </c>
      <c r="D451" s="13"/>
      <c r="E451" s="13"/>
      <c r="F451" s="13"/>
      <c r="G451" s="14"/>
      <c r="H451" s="14"/>
    </row>
    <row r="452" spans="1:8" ht="30.4" x14ac:dyDescent="0.45">
      <c r="A452" s="11">
        <v>2</v>
      </c>
      <c r="B452" s="12" t="s">
        <v>76</v>
      </c>
      <c r="C452" s="13">
        <v>2</v>
      </c>
      <c r="D452" s="13"/>
      <c r="E452" s="13"/>
      <c r="F452" s="13"/>
      <c r="G452" s="14"/>
      <c r="H452" s="14"/>
    </row>
    <row r="453" spans="1:8" ht="30.4" x14ac:dyDescent="0.45">
      <c r="A453" s="11">
        <v>3</v>
      </c>
      <c r="B453" s="12" t="s">
        <v>100</v>
      </c>
      <c r="C453" s="13">
        <v>1</v>
      </c>
      <c r="D453" s="13"/>
      <c r="E453" s="13"/>
      <c r="F453" s="13"/>
      <c r="G453" s="14"/>
      <c r="H453" s="14"/>
    </row>
    <row r="454" spans="1:8" ht="45.4" x14ac:dyDescent="0.45">
      <c r="A454" s="11">
        <v>4</v>
      </c>
      <c r="B454" s="12" t="s">
        <v>77</v>
      </c>
      <c r="C454" s="13">
        <v>1</v>
      </c>
      <c r="D454" s="13"/>
      <c r="E454" s="13"/>
      <c r="F454" s="13"/>
      <c r="G454" s="14"/>
      <c r="H454" s="14"/>
    </row>
    <row r="455" spans="1:8" ht="30.4" x14ac:dyDescent="0.45">
      <c r="A455" s="11">
        <v>5</v>
      </c>
      <c r="B455" s="12" t="s">
        <v>78</v>
      </c>
      <c r="C455" s="13">
        <v>1</v>
      </c>
      <c r="D455" s="13"/>
      <c r="E455" s="13"/>
      <c r="F455" s="13"/>
      <c r="G455" s="14"/>
      <c r="H455" s="14"/>
    </row>
    <row r="456" spans="1:8" ht="30.4" x14ac:dyDescent="0.45">
      <c r="A456" s="11">
        <v>6</v>
      </c>
      <c r="B456" s="12" t="s">
        <v>92</v>
      </c>
      <c r="C456" s="13">
        <v>2</v>
      </c>
      <c r="D456" s="13"/>
      <c r="E456" s="13"/>
      <c r="F456" s="13"/>
      <c r="G456" s="14"/>
      <c r="H456" s="14"/>
    </row>
    <row r="457" spans="1:8" ht="60.4" x14ac:dyDescent="0.45">
      <c r="A457" s="11">
        <v>7</v>
      </c>
      <c r="B457" s="12" t="s">
        <v>73</v>
      </c>
      <c r="C457" s="13">
        <v>1</v>
      </c>
      <c r="D457" s="13"/>
      <c r="E457" s="13"/>
      <c r="F457" s="13"/>
      <c r="G457" s="14"/>
      <c r="H457" s="14"/>
    </row>
    <row r="458" spans="1:8" ht="45.4" x14ac:dyDescent="0.45">
      <c r="A458" s="11">
        <v>8</v>
      </c>
      <c r="B458" s="12" t="s">
        <v>72</v>
      </c>
      <c r="C458" s="13">
        <v>2</v>
      </c>
      <c r="D458" s="13"/>
      <c r="E458" s="13"/>
      <c r="F458" s="13"/>
      <c r="G458" s="14"/>
      <c r="H458" s="14"/>
    </row>
    <row r="459" spans="1:8" ht="60.4" x14ac:dyDescent="0.45">
      <c r="A459" s="11">
        <v>9</v>
      </c>
      <c r="B459" s="12" t="s">
        <v>71</v>
      </c>
      <c r="C459" s="13">
        <v>1</v>
      </c>
      <c r="D459" s="13"/>
      <c r="E459" s="13"/>
      <c r="F459" s="13"/>
      <c r="G459" s="14"/>
      <c r="H459" s="14"/>
    </row>
    <row r="460" spans="1:8" ht="60.4" x14ac:dyDescent="0.45">
      <c r="A460" s="11">
        <v>10</v>
      </c>
      <c r="B460" s="12" t="s">
        <v>123</v>
      </c>
      <c r="C460" s="13">
        <v>1</v>
      </c>
      <c r="D460" s="13"/>
      <c r="E460" s="13"/>
      <c r="F460" s="13"/>
      <c r="G460" s="14"/>
      <c r="H460" s="14"/>
    </row>
    <row r="461" spans="1:8" ht="60.4" x14ac:dyDescent="0.45">
      <c r="A461" s="11">
        <v>11</v>
      </c>
      <c r="B461" s="12" t="s">
        <v>69</v>
      </c>
      <c r="C461" s="13">
        <v>1</v>
      </c>
      <c r="D461" s="13"/>
      <c r="E461" s="13"/>
      <c r="F461" s="13"/>
      <c r="G461" s="14"/>
      <c r="H461" s="14"/>
    </row>
    <row r="462" spans="1:8" ht="60.4" x14ac:dyDescent="0.45">
      <c r="A462" s="11">
        <v>12</v>
      </c>
      <c r="B462" s="12" t="s">
        <v>266</v>
      </c>
      <c r="C462" s="13">
        <v>1</v>
      </c>
      <c r="D462" s="13"/>
      <c r="E462" s="13"/>
      <c r="F462" s="13"/>
      <c r="G462" s="14"/>
      <c r="H462" s="14"/>
    </row>
    <row r="463" spans="1:8" ht="60.4" x14ac:dyDescent="0.45">
      <c r="A463" s="11">
        <v>13</v>
      </c>
      <c r="B463" s="12" t="s">
        <v>66</v>
      </c>
      <c r="C463" s="13">
        <v>2</v>
      </c>
      <c r="D463" s="13"/>
      <c r="E463" s="13"/>
      <c r="F463" s="13"/>
      <c r="G463" s="14"/>
      <c r="H463" s="14"/>
    </row>
    <row r="464" spans="1:8" ht="60.4" x14ac:dyDescent="0.45">
      <c r="A464" s="11">
        <v>14</v>
      </c>
      <c r="B464" s="12" t="s">
        <v>65</v>
      </c>
      <c r="C464" s="13">
        <v>2</v>
      </c>
      <c r="D464" s="13"/>
      <c r="E464" s="13"/>
      <c r="F464" s="13"/>
      <c r="G464" s="14"/>
      <c r="H464" s="14"/>
    </row>
    <row r="465" spans="1:8" ht="45.4" x14ac:dyDescent="0.45">
      <c r="A465" s="11">
        <v>15</v>
      </c>
      <c r="B465" s="12" t="s">
        <v>64</v>
      </c>
      <c r="C465" s="13">
        <v>2</v>
      </c>
      <c r="D465" s="13"/>
      <c r="E465" s="13"/>
      <c r="F465" s="13"/>
      <c r="G465" s="14"/>
      <c r="H465" s="14"/>
    </row>
    <row r="466" spans="1:8" ht="45.4" x14ac:dyDescent="0.45">
      <c r="A466" s="11">
        <v>16</v>
      </c>
      <c r="B466" s="12" t="s">
        <v>63</v>
      </c>
      <c r="C466" s="13">
        <v>2</v>
      </c>
      <c r="D466" s="13"/>
      <c r="E466" s="13"/>
      <c r="F466" s="13"/>
      <c r="G466" s="14"/>
      <c r="H466" s="14"/>
    </row>
    <row r="467" spans="1:8" ht="45.4" x14ac:dyDescent="0.45">
      <c r="A467" s="11">
        <v>17</v>
      </c>
      <c r="B467" s="12" t="s">
        <v>197</v>
      </c>
      <c r="C467" s="13">
        <v>2</v>
      </c>
      <c r="D467" s="13"/>
      <c r="E467" s="13"/>
      <c r="F467" s="13"/>
      <c r="G467" s="14"/>
      <c r="H467" s="14"/>
    </row>
    <row r="468" spans="1:8" ht="60.4" x14ac:dyDescent="0.45">
      <c r="A468" s="11">
        <v>18</v>
      </c>
      <c r="B468" s="12" t="s">
        <v>62</v>
      </c>
      <c r="C468" s="13">
        <v>2</v>
      </c>
      <c r="D468" s="13"/>
      <c r="E468" s="13"/>
      <c r="F468" s="13"/>
      <c r="G468" s="14"/>
      <c r="H468" s="14"/>
    </row>
    <row r="469" spans="1:8" ht="60.4" x14ac:dyDescent="0.45">
      <c r="A469" s="11">
        <v>19</v>
      </c>
      <c r="B469" s="12" t="s">
        <v>265</v>
      </c>
      <c r="C469" s="13">
        <v>2</v>
      </c>
      <c r="D469" s="13"/>
      <c r="E469" s="13"/>
      <c r="F469" s="13"/>
      <c r="G469" s="14"/>
      <c r="H469" s="14"/>
    </row>
    <row r="470" spans="1:8" ht="90.4" x14ac:dyDescent="0.45">
      <c r="A470" s="11">
        <v>20</v>
      </c>
      <c r="B470" s="12" t="s">
        <v>234</v>
      </c>
      <c r="C470" s="13">
        <v>4</v>
      </c>
      <c r="D470" s="13"/>
      <c r="E470" s="13"/>
      <c r="F470" s="13"/>
      <c r="G470" s="14"/>
      <c r="H470" s="14"/>
    </row>
    <row r="471" spans="1:8" ht="90.4" x14ac:dyDescent="0.45">
      <c r="A471" s="11">
        <v>21</v>
      </c>
      <c r="B471" s="12" t="s">
        <v>61</v>
      </c>
      <c r="C471" s="13">
        <v>1</v>
      </c>
      <c r="D471" s="13"/>
      <c r="E471" s="13"/>
      <c r="F471" s="13"/>
      <c r="G471" s="14"/>
      <c r="H471" s="14"/>
    </row>
    <row r="472" spans="1:8" ht="60.4" x14ac:dyDescent="0.45">
      <c r="A472" s="11">
        <v>22</v>
      </c>
      <c r="B472" s="12" t="s">
        <v>91</v>
      </c>
      <c r="C472" s="13">
        <v>1</v>
      </c>
      <c r="D472" s="13"/>
      <c r="E472" s="13"/>
      <c r="F472" s="13"/>
      <c r="G472" s="14"/>
      <c r="H472" s="14"/>
    </row>
    <row r="473" spans="1:8" ht="60.4" x14ac:dyDescent="0.45">
      <c r="A473" s="11">
        <v>23</v>
      </c>
      <c r="B473" s="12" t="s">
        <v>138</v>
      </c>
      <c r="C473" s="13">
        <v>1</v>
      </c>
      <c r="D473" s="13"/>
      <c r="E473" s="13"/>
      <c r="F473" s="13"/>
      <c r="G473" s="14"/>
      <c r="H473" s="14"/>
    </row>
    <row r="474" spans="1:8" ht="150.4" x14ac:dyDescent="0.45">
      <c r="A474" s="11">
        <v>24</v>
      </c>
      <c r="B474" s="12" t="s">
        <v>264</v>
      </c>
      <c r="C474" s="13">
        <v>1</v>
      </c>
      <c r="D474" s="13"/>
      <c r="E474" s="13"/>
      <c r="F474" s="13"/>
      <c r="G474" s="14"/>
      <c r="H474" s="14"/>
    </row>
    <row r="475" spans="1:8" ht="15.4" x14ac:dyDescent="0.45">
      <c r="A475" s="15"/>
      <c r="B475" s="16"/>
      <c r="C475" s="17">
        <f>SUM(C451:C474)</f>
        <v>37</v>
      </c>
      <c r="D475" s="45"/>
      <c r="E475" s="45"/>
      <c r="F475" s="130" t="s">
        <v>17</v>
      </c>
      <c r="G475" s="131"/>
      <c r="H475" s="120"/>
    </row>
    <row r="476" spans="1:8" ht="15.4" x14ac:dyDescent="0.45">
      <c r="A476" s="15"/>
      <c r="B476" s="19"/>
      <c r="C476" s="45"/>
      <c r="D476" s="45"/>
      <c r="E476" s="45"/>
      <c r="F476" s="45"/>
      <c r="G476" s="9"/>
      <c r="H476" s="9"/>
    </row>
    <row r="477" spans="1:8" ht="15.4" customHeight="1" x14ac:dyDescent="0.45">
      <c r="A477" s="124" t="s">
        <v>455</v>
      </c>
      <c r="B477" s="125" t="s">
        <v>263</v>
      </c>
      <c r="C477" s="125"/>
      <c r="D477" s="125"/>
      <c r="E477" s="125"/>
      <c r="F477" s="125"/>
      <c r="G477" s="125"/>
      <c r="H477" s="126"/>
    </row>
    <row r="478" spans="1:8" ht="30" x14ac:dyDescent="0.45">
      <c r="A478" s="51" t="s">
        <v>21</v>
      </c>
      <c r="B478" s="51" t="s">
        <v>20</v>
      </c>
      <c r="C478" s="51" t="s">
        <v>19</v>
      </c>
      <c r="D478" s="51" t="s">
        <v>523</v>
      </c>
      <c r="E478" s="51" t="s">
        <v>524</v>
      </c>
      <c r="F478" s="51" t="s">
        <v>525</v>
      </c>
      <c r="G478" s="52" t="s">
        <v>18</v>
      </c>
      <c r="H478" s="52" t="s">
        <v>17</v>
      </c>
    </row>
    <row r="479" spans="1:8" ht="97.15" x14ac:dyDescent="0.45">
      <c r="A479" s="26">
        <v>1</v>
      </c>
      <c r="B479" s="27" t="s">
        <v>262</v>
      </c>
      <c r="C479" s="28">
        <v>1</v>
      </c>
      <c r="D479" s="28"/>
      <c r="E479" s="28"/>
      <c r="F479" s="28"/>
      <c r="G479" s="29"/>
      <c r="H479" s="29"/>
    </row>
    <row r="480" spans="1:8" ht="194.25" x14ac:dyDescent="0.45">
      <c r="A480" s="30">
        <v>2</v>
      </c>
      <c r="B480" s="31" t="s">
        <v>261</v>
      </c>
      <c r="C480" s="28">
        <v>1</v>
      </c>
      <c r="D480" s="28"/>
      <c r="E480" s="28"/>
      <c r="F480" s="28"/>
      <c r="G480" s="29"/>
      <c r="H480" s="29"/>
    </row>
    <row r="481" spans="1:8" ht="97.15" x14ac:dyDescent="0.45">
      <c r="A481" s="30">
        <v>3</v>
      </c>
      <c r="B481" s="31" t="s">
        <v>260</v>
      </c>
      <c r="C481" s="28">
        <v>1</v>
      </c>
      <c r="D481" s="28"/>
      <c r="E481" s="28"/>
      <c r="F481" s="28"/>
      <c r="G481" s="29"/>
      <c r="H481" s="29"/>
    </row>
    <row r="482" spans="1:8" ht="111" x14ac:dyDescent="0.45">
      <c r="A482" s="30">
        <v>4</v>
      </c>
      <c r="B482" s="27" t="s">
        <v>259</v>
      </c>
      <c r="C482" s="32">
        <v>1</v>
      </c>
      <c r="D482" s="32"/>
      <c r="E482" s="32"/>
      <c r="F482" s="32"/>
      <c r="G482" s="29"/>
      <c r="H482" s="29"/>
    </row>
    <row r="483" spans="1:8" ht="124.9" x14ac:dyDescent="0.45">
      <c r="A483" s="30">
        <v>6</v>
      </c>
      <c r="B483" s="27" t="s">
        <v>258</v>
      </c>
      <c r="C483" s="32">
        <v>1</v>
      </c>
      <c r="D483" s="32"/>
      <c r="E483" s="32"/>
      <c r="F483" s="32"/>
      <c r="G483" s="29"/>
      <c r="H483" s="29"/>
    </row>
    <row r="484" spans="1:8" ht="111" x14ac:dyDescent="0.45">
      <c r="A484" s="30">
        <v>7</v>
      </c>
      <c r="B484" s="27" t="s">
        <v>257</v>
      </c>
      <c r="C484" s="32">
        <v>1</v>
      </c>
      <c r="D484" s="32"/>
      <c r="E484" s="32"/>
      <c r="F484" s="32"/>
      <c r="G484" s="29"/>
      <c r="H484" s="29"/>
    </row>
    <row r="485" spans="1:8" ht="83.25" x14ac:dyDescent="0.45">
      <c r="A485" s="30">
        <v>8</v>
      </c>
      <c r="B485" s="27" t="s">
        <v>256</v>
      </c>
      <c r="C485" s="32">
        <v>1</v>
      </c>
      <c r="D485" s="32"/>
      <c r="E485" s="32"/>
      <c r="F485" s="32"/>
      <c r="G485" s="29"/>
      <c r="H485" s="29"/>
    </row>
    <row r="486" spans="1:8" ht="111" x14ac:dyDescent="0.45">
      <c r="A486" s="30">
        <v>9</v>
      </c>
      <c r="B486" s="27" t="s">
        <v>255</v>
      </c>
      <c r="C486" s="32">
        <v>1</v>
      </c>
      <c r="D486" s="32"/>
      <c r="E486" s="32"/>
      <c r="F486" s="32"/>
      <c r="G486" s="29"/>
      <c r="H486" s="29"/>
    </row>
    <row r="487" spans="1:8" ht="83.25" x14ac:dyDescent="0.45">
      <c r="A487" s="30">
        <v>10</v>
      </c>
      <c r="B487" s="27" t="s">
        <v>254</v>
      </c>
      <c r="C487" s="32">
        <v>1</v>
      </c>
      <c r="D487" s="32"/>
      <c r="E487" s="32"/>
      <c r="F487" s="32"/>
      <c r="G487" s="29"/>
      <c r="H487" s="29"/>
    </row>
    <row r="488" spans="1:8" ht="138.75" x14ac:dyDescent="0.45">
      <c r="A488" s="30">
        <v>11</v>
      </c>
      <c r="B488" s="31" t="s">
        <v>253</v>
      </c>
      <c r="C488" s="28">
        <v>1</v>
      </c>
      <c r="D488" s="28"/>
      <c r="E488" s="28"/>
      <c r="F488" s="28"/>
      <c r="G488" s="29"/>
      <c r="H488" s="29"/>
    </row>
    <row r="489" spans="1:8" ht="111" x14ac:dyDescent="0.45">
      <c r="A489" s="30">
        <v>12</v>
      </c>
      <c r="B489" s="33" t="s">
        <v>252</v>
      </c>
      <c r="C489" s="28">
        <v>1</v>
      </c>
      <c r="D489" s="28"/>
      <c r="E489" s="28"/>
      <c r="F489" s="28"/>
      <c r="G489" s="29"/>
      <c r="H489" s="29"/>
    </row>
    <row r="490" spans="1:8" ht="83.25" x14ac:dyDescent="0.45">
      <c r="A490" s="30">
        <v>13</v>
      </c>
      <c r="B490" s="27" t="s">
        <v>251</v>
      </c>
      <c r="C490" s="32">
        <v>1</v>
      </c>
      <c r="D490" s="32"/>
      <c r="E490" s="32"/>
      <c r="F490" s="32"/>
      <c r="G490" s="29"/>
      <c r="H490" s="29"/>
    </row>
    <row r="491" spans="1:8" ht="69.400000000000006" x14ac:dyDescent="0.45">
      <c r="A491" s="30">
        <v>14</v>
      </c>
      <c r="B491" s="27" t="s">
        <v>250</v>
      </c>
      <c r="C491" s="32">
        <v>1</v>
      </c>
      <c r="D491" s="32"/>
      <c r="E491" s="32"/>
      <c r="F491" s="32"/>
      <c r="G491" s="29"/>
      <c r="H491" s="29"/>
    </row>
    <row r="492" spans="1:8" ht="69.400000000000006" x14ac:dyDescent="0.45">
      <c r="A492" s="30">
        <v>15</v>
      </c>
      <c r="B492" s="27" t="s">
        <v>249</v>
      </c>
      <c r="C492" s="32">
        <v>1</v>
      </c>
      <c r="D492" s="32"/>
      <c r="E492" s="32"/>
      <c r="F492" s="32"/>
      <c r="G492" s="29"/>
      <c r="H492" s="29"/>
    </row>
    <row r="493" spans="1:8" ht="83.25" x14ac:dyDescent="0.45">
      <c r="A493" s="30">
        <v>16</v>
      </c>
      <c r="B493" s="27" t="s">
        <v>248</v>
      </c>
      <c r="C493" s="32">
        <v>1</v>
      </c>
      <c r="D493" s="32"/>
      <c r="E493" s="32"/>
      <c r="F493" s="32"/>
      <c r="G493" s="29"/>
      <c r="H493" s="29"/>
    </row>
    <row r="494" spans="1:8" ht="97.15" x14ac:dyDescent="0.45">
      <c r="A494" s="30">
        <v>17</v>
      </c>
      <c r="B494" s="27" t="s">
        <v>247</v>
      </c>
      <c r="C494" s="32">
        <v>1</v>
      </c>
      <c r="D494" s="32"/>
      <c r="E494" s="32"/>
      <c r="F494" s="32"/>
      <c r="G494" s="29"/>
      <c r="H494" s="29"/>
    </row>
    <row r="495" spans="1:8" ht="69.400000000000006" x14ac:dyDescent="0.45">
      <c r="A495" s="30">
        <v>18</v>
      </c>
      <c r="B495" s="27" t="s">
        <v>246</v>
      </c>
      <c r="C495" s="32">
        <v>1</v>
      </c>
      <c r="D495" s="32"/>
      <c r="E495" s="32"/>
      <c r="F495" s="32"/>
      <c r="G495" s="29"/>
      <c r="H495" s="29"/>
    </row>
    <row r="496" spans="1:8" ht="111" x14ac:dyDescent="0.45">
      <c r="A496" s="30">
        <v>19</v>
      </c>
      <c r="B496" s="34" t="s">
        <v>245</v>
      </c>
      <c r="C496" s="32">
        <v>1</v>
      </c>
      <c r="D496" s="32"/>
      <c r="E496" s="32"/>
      <c r="F496" s="32"/>
      <c r="G496" s="29"/>
      <c r="H496" s="29"/>
    </row>
    <row r="497" spans="1:8" ht="194.25" x14ac:dyDescent="0.45">
      <c r="A497" s="30">
        <v>20</v>
      </c>
      <c r="B497" s="27" t="s">
        <v>244</v>
      </c>
      <c r="C497" s="35">
        <v>1</v>
      </c>
      <c r="D497" s="35"/>
      <c r="E497" s="35"/>
      <c r="F497" s="35"/>
      <c r="G497" s="36"/>
      <c r="H497" s="36"/>
    </row>
    <row r="498" spans="1:8" s="60" customFormat="1" ht="15" x14ac:dyDescent="0.45">
      <c r="A498" s="113"/>
      <c r="B498" s="39"/>
      <c r="C498" s="114">
        <f>SUM(C479:C497)</f>
        <v>19</v>
      </c>
      <c r="D498" s="114"/>
      <c r="E498" s="114"/>
      <c r="F498" s="130" t="s">
        <v>17</v>
      </c>
      <c r="G498" s="131"/>
      <c r="H498" s="120"/>
    </row>
    <row r="499" spans="1:8" x14ac:dyDescent="0.45">
      <c r="A499" s="10"/>
      <c r="B499" s="57"/>
      <c r="C499" s="10"/>
      <c r="D499" s="10"/>
      <c r="E499" s="10"/>
      <c r="F499" s="10"/>
      <c r="G499" s="10"/>
      <c r="H499" s="10"/>
    </row>
    <row r="500" spans="1:8" ht="15.4" customHeight="1" x14ac:dyDescent="0.45">
      <c r="A500" s="124" t="s">
        <v>434</v>
      </c>
      <c r="B500" s="125"/>
      <c r="C500" s="125"/>
      <c r="D500" s="125"/>
      <c r="E500" s="125"/>
      <c r="F500" s="125"/>
      <c r="G500" s="125"/>
      <c r="H500" s="126"/>
    </row>
    <row r="501" spans="1:8" ht="30" x14ac:dyDescent="0.45">
      <c r="A501" s="51" t="s">
        <v>21</v>
      </c>
      <c r="B501" s="51" t="s">
        <v>20</v>
      </c>
      <c r="C501" s="51" t="s">
        <v>19</v>
      </c>
      <c r="D501" s="51" t="s">
        <v>523</v>
      </c>
      <c r="E501" s="51" t="s">
        <v>524</v>
      </c>
      <c r="F501" s="51" t="s">
        <v>525</v>
      </c>
      <c r="G501" s="52" t="s">
        <v>18</v>
      </c>
      <c r="H501" s="52" t="s">
        <v>17</v>
      </c>
    </row>
    <row r="502" spans="1:8" ht="120.4" x14ac:dyDescent="0.45">
      <c r="A502" s="11">
        <v>1</v>
      </c>
      <c r="B502" s="12" t="s">
        <v>243</v>
      </c>
      <c r="C502" s="13">
        <v>1</v>
      </c>
      <c r="D502" s="13"/>
      <c r="E502" s="13"/>
      <c r="F502" s="13"/>
      <c r="G502" s="14"/>
      <c r="H502" s="14"/>
    </row>
    <row r="503" spans="1:8" ht="90.4" x14ac:dyDescent="0.45">
      <c r="A503" s="11">
        <v>2</v>
      </c>
      <c r="B503" s="12" t="s">
        <v>242</v>
      </c>
      <c r="C503" s="13">
        <v>2</v>
      </c>
      <c r="D503" s="13"/>
      <c r="E503" s="13"/>
      <c r="F503" s="13"/>
      <c r="G503" s="14"/>
      <c r="H503" s="14"/>
    </row>
    <row r="504" spans="1:8" ht="60.4" x14ac:dyDescent="0.45">
      <c r="A504" s="11">
        <v>3</v>
      </c>
      <c r="B504" s="12" t="s">
        <v>107</v>
      </c>
      <c r="C504" s="13">
        <v>1</v>
      </c>
      <c r="D504" s="13"/>
      <c r="E504" s="13"/>
      <c r="F504" s="13"/>
      <c r="G504" s="14"/>
      <c r="H504" s="14"/>
    </row>
    <row r="505" spans="1:8" ht="60.4" x14ac:dyDescent="0.45">
      <c r="A505" s="11">
        <v>4</v>
      </c>
      <c r="B505" s="12" t="s">
        <v>81</v>
      </c>
      <c r="C505" s="13">
        <v>1</v>
      </c>
      <c r="D505" s="13"/>
      <c r="E505" s="13"/>
      <c r="F505" s="13"/>
      <c r="G505" s="14"/>
      <c r="H505" s="14"/>
    </row>
    <row r="506" spans="1:8" ht="30.4" x14ac:dyDescent="0.45">
      <c r="A506" s="11">
        <v>5</v>
      </c>
      <c r="B506" s="12" t="s">
        <v>76</v>
      </c>
      <c r="C506" s="13">
        <v>4</v>
      </c>
      <c r="D506" s="13"/>
      <c r="E506" s="13"/>
      <c r="F506" s="13"/>
      <c r="G506" s="14"/>
      <c r="H506" s="14"/>
    </row>
    <row r="507" spans="1:8" ht="285.39999999999998" x14ac:dyDescent="0.45">
      <c r="A507" s="11">
        <v>6</v>
      </c>
      <c r="B507" s="12" t="s">
        <v>241</v>
      </c>
      <c r="C507" s="13">
        <v>1</v>
      </c>
      <c r="D507" s="13"/>
      <c r="E507" s="13"/>
      <c r="F507" s="13"/>
      <c r="G507" s="14"/>
      <c r="H507" s="14"/>
    </row>
    <row r="508" spans="1:8" ht="60.4" x14ac:dyDescent="0.45">
      <c r="A508" s="11">
        <v>7</v>
      </c>
      <c r="B508" s="12" t="s">
        <v>240</v>
      </c>
      <c r="C508" s="13">
        <v>2</v>
      </c>
      <c r="D508" s="13"/>
      <c r="E508" s="13"/>
      <c r="F508" s="13"/>
      <c r="G508" s="14"/>
      <c r="H508" s="14"/>
    </row>
    <row r="509" spans="1:8" ht="60.4" x14ac:dyDescent="0.45">
      <c r="A509" s="11">
        <v>8</v>
      </c>
      <c r="B509" s="12" t="s">
        <v>239</v>
      </c>
      <c r="C509" s="13">
        <v>2</v>
      </c>
      <c r="D509" s="13"/>
      <c r="E509" s="13"/>
      <c r="F509" s="13"/>
      <c r="G509" s="14"/>
      <c r="H509" s="14"/>
    </row>
    <row r="510" spans="1:8" ht="60.4" x14ac:dyDescent="0.45">
      <c r="A510" s="11">
        <v>9</v>
      </c>
      <c r="B510" s="12" t="s">
        <v>71</v>
      </c>
      <c r="C510" s="13">
        <v>1</v>
      </c>
      <c r="D510" s="13"/>
      <c r="E510" s="13"/>
      <c r="F510" s="13"/>
      <c r="G510" s="14"/>
      <c r="H510" s="14"/>
    </row>
    <row r="511" spans="1:8" ht="60.4" x14ac:dyDescent="0.45">
      <c r="A511" s="11">
        <v>10</v>
      </c>
      <c r="B511" s="12" t="s">
        <v>69</v>
      </c>
      <c r="C511" s="13">
        <v>2</v>
      </c>
      <c r="D511" s="13"/>
      <c r="E511" s="13"/>
      <c r="F511" s="13"/>
      <c r="G511" s="14"/>
      <c r="H511" s="14"/>
    </row>
    <row r="512" spans="1:8" ht="60.4" x14ac:dyDescent="0.45">
      <c r="A512" s="11">
        <v>11</v>
      </c>
      <c r="B512" s="12" t="s">
        <v>238</v>
      </c>
      <c r="C512" s="13">
        <v>1</v>
      </c>
      <c r="D512" s="13"/>
      <c r="E512" s="13"/>
      <c r="F512" s="13"/>
      <c r="G512" s="14"/>
      <c r="H512" s="14"/>
    </row>
    <row r="513" spans="1:8" ht="60.4" x14ac:dyDescent="0.45">
      <c r="A513" s="11">
        <v>12</v>
      </c>
      <c r="B513" s="12" t="s">
        <v>217</v>
      </c>
      <c r="C513" s="13">
        <v>2</v>
      </c>
      <c r="D513" s="13"/>
      <c r="E513" s="13"/>
      <c r="F513" s="13"/>
      <c r="G513" s="14"/>
      <c r="H513" s="14"/>
    </row>
    <row r="514" spans="1:8" ht="60.4" x14ac:dyDescent="0.45">
      <c r="A514" s="11">
        <v>13</v>
      </c>
      <c r="B514" s="12" t="s">
        <v>237</v>
      </c>
      <c r="C514" s="13">
        <v>6</v>
      </c>
      <c r="D514" s="13"/>
      <c r="E514" s="13"/>
      <c r="F514" s="13"/>
      <c r="G514" s="14"/>
      <c r="H514" s="14"/>
    </row>
    <row r="515" spans="1:8" ht="60.4" x14ac:dyDescent="0.45">
      <c r="A515" s="11">
        <v>14</v>
      </c>
      <c r="B515" s="12" t="s">
        <v>236</v>
      </c>
      <c r="C515" s="13">
        <v>8</v>
      </c>
      <c r="D515" s="13"/>
      <c r="E515" s="13"/>
      <c r="F515" s="13"/>
      <c r="G515" s="14"/>
      <c r="H515" s="14"/>
    </row>
    <row r="516" spans="1:8" ht="45.4" x14ac:dyDescent="0.45">
      <c r="A516" s="11">
        <v>15</v>
      </c>
      <c r="B516" s="12" t="s">
        <v>63</v>
      </c>
      <c r="C516" s="13">
        <v>4</v>
      </c>
      <c r="D516" s="13"/>
      <c r="E516" s="13"/>
      <c r="F516" s="13"/>
      <c r="G516" s="14"/>
      <c r="H516" s="14"/>
    </row>
    <row r="517" spans="1:8" ht="45.4" x14ac:dyDescent="0.45">
      <c r="A517" s="11">
        <v>16</v>
      </c>
      <c r="B517" s="12" t="s">
        <v>64</v>
      </c>
      <c r="C517" s="13">
        <v>6</v>
      </c>
      <c r="D517" s="13"/>
      <c r="E517" s="13"/>
      <c r="F517" s="13"/>
      <c r="G517" s="14"/>
      <c r="H517" s="14"/>
    </row>
    <row r="518" spans="1:8" ht="60.4" x14ac:dyDescent="0.45">
      <c r="A518" s="11">
        <v>17</v>
      </c>
      <c r="B518" s="12" t="s">
        <v>73</v>
      </c>
      <c r="C518" s="13">
        <v>2</v>
      </c>
      <c r="D518" s="13"/>
      <c r="E518" s="13"/>
      <c r="F518" s="13"/>
      <c r="G518" s="14"/>
      <c r="H518" s="14"/>
    </row>
    <row r="519" spans="1:8" ht="60.4" x14ac:dyDescent="0.45">
      <c r="A519" s="11">
        <v>18</v>
      </c>
      <c r="B519" s="12" t="s">
        <v>235</v>
      </c>
      <c r="C519" s="13">
        <v>6</v>
      </c>
      <c r="D519" s="13"/>
      <c r="E519" s="13"/>
      <c r="F519" s="13"/>
      <c r="G519" s="14"/>
      <c r="H519" s="14"/>
    </row>
    <row r="520" spans="1:8" ht="90.4" x14ac:dyDescent="0.45">
      <c r="A520" s="11">
        <v>19</v>
      </c>
      <c r="B520" s="12" t="s">
        <v>61</v>
      </c>
      <c r="C520" s="13">
        <v>1</v>
      </c>
      <c r="D520" s="13"/>
      <c r="E520" s="13"/>
      <c r="F520" s="13"/>
      <c r="G520" s="14"/>
      <c r="H520" s="14"/>
    </row>
    <row r="521" spans="1:8" ht="90.4" x14ac:dyDescent="0.45">
      <c r="A521" s="11">
        <v>20</v>
      </c>
      <c r="B521" s="12" t="s">
        <v>234</v>
      </c>
      <c r="C521" s="13">
        <v>1</v>
      </c>
      <c r="D521" s="13"/>
      <c r="E521" s="13"/>
      <c r="F521" s="13"/>
      <c r="G521" s="14"/>
      <c r="H521" s="14"/>
    </row>
    <row r="522" spans="1:8" ht="60.4" x14ac:dyDescent="0.45">
      <c r="A522" s="11">
        <v>21</v>
      </c>
      <c r="B522" s="12" t="s">
        <v>233</v>
      </c>
      <c r="C522" s="13">
        <v>1</v>
      </c>
      <c r="D522" s="13"/>
      <c r="E522" s="13"/>
      <c r="F522" s="13"/>
      <c r="G522" s="14"/>
      <c r="H522" s="14"/>
    </row>
    <row r="523" spans="1:8" ht="60.4" x14ac:dyDescent="0.45">
      <c r="A523" s="11">
        <v>22</v>
      </c>
      <c r="B523" s="12" t="s">
        <v>232</v>
      </c>
      <c r="C523" s="13">
        <v>1</v>
      </c>
      <c r="D523" s="13"/>
      <c r="E523" s="13"/>
      <c r="F523" s="13"/>
      <c r="G523" s="14"/>
      <c r="H523" s="14"/>
    </row>
    <row r="524" spans="1:8" ht="60.4" x14ac:dyDescent="0.45">
      <c r="A524" s="11">
        <v>23</v>
      </c>
      <c r="B524" s="12" t="s">
        <v>231</v>
      </c>
      <c r="C524" s="13">
        <v>1</v>
      </c>
      <c r="D524" s="13"/>
      <c r="E524" s="13"/>
      <c r="F524" s="13"/>
      <c r="G524" s="14"/>
      <c r="H524" s="14"/>
    </row>
    <row r="525" spans="1:8" ht="60.4" x14ac:dyDescent="0.45">
      <c r="A525" s="11">
        <v>24</v>
      </c>
      <c r="B525" s="12" t="s">
        <v>82</v>
      </c>
      <c r="C525" s="13">
        <v>1</v>
      </c>
      <c r="D525" s="13"/>
      <c r="E525" s="13"/>
      <c r="F525" s="13"/>
      <c r="G525" s="14"/>
      <c r="H525" s="14"/>
    </row>
    <row r="526" spans="1:8" ht="60.4" x14ac:dyDescent="0.45">
      <c r="A526" s="11">
        <v>25</v>
      </c>
      <c r="B526" s="12" t="s">
        <v>230</v>
      </c>
      <c r="C526" s="13">
        <v>1</v>
      </c>
      <c r="D526" s="13"/>
      <c r="E526" s="13"/>
      <c r="F526" s="13"/>
      <c r="G526" s="14"/>
      <c r="H526" s="14"/>
    </row>
    <row r="527" spans="1:8" ht="60.4" x14ac:dyDescent="0.45">
      <c r="A527" s="11">
        <v>26</v>
      </c>
      <c r="B527" s="12" t="s">
        <v>229</v>
      </c>
      <c r="C527" s="13">
        <v>1</v>
      </c>
      <c r="D527" s="13"/>
      <c r="E527" s="13"/>
      <c r="F527" s="13"/>
      <c r="G527" s="14"/>
      <c r="H527" s="14"/>
    </row>
    <row r="528" spans="1:8" ht="150.4" x14ac:dyDescent="0.45">
      <c r="A528" s="11">
        <v>27</v>
      </c>
      <c r="B528" s="12" t="s">
        <v>228</v>
      </c>
      <c r="C528" s="13">
        <v>1</v>
      </c>
      <c r="D528" s="13"/>
      <c r="E528" s="13"/>
      <c r="F528" s="13"/>
      <c r="G528" s="14"/>
      <c r="H528" s="14"/>
    </row>
    <row r="529" spans="1:8" ht="15.4" x14ac:dyDescent="0.45">
      <c r="A529" s="15"/>
      <c r="B529" s="16"/>
      <c r="C529" s="17">
        <f>SUM(C502:C528)</f>
        <v>61</v>
      </c>
      <c r="D529" s="45"/>
      <c r="E529" s="45"/>
      <c r="F529" s="130" t="s">
        <v>17</v>
      </c>
      <c r="G529" s="131"/>
      <c r="H529" s="120"/>
    </row>
    <row r="530" spans="1:8" x14ac:dyDescent="0.45">
      <c r="A530" s="25"/>
      <c r="B530" s="57"/>
      <c r="C530" s="10"/>
      <c r="D530" s="10"/>
      <c r="E530" s="10"/>
      <c r="F530" s="10"/>
      <c r="G530" s="10"/>
      <c r="H530" s="10"/>
    </row>
    <row r="531" spans="1:8" ht="15.4" customHeight="1" x14ac:dyDescent="0.45">
      <c r="A531" s="124" t="s">
        <v>435</v>
      </c>
      <c r="B531" s="125"/>
      <c r="C531" s="125"/>
      <c r="D531" s="125"/>
      <c r="E531" s="125"/>
      <c r="F531" s="125"/>
      <c r="G531" s="125"/>
      <c r="H531" s="126"/>
    </row>
    <row r="532" spans="1:8" ht="30" x14ac:dyDescent="0.45">
      <c r="A532" s="51" t="s">
        <v>21</v>
      </c>
      <c r="B532" s="51" t="s">
        <v>20</v>
      </c>
      <c r="C532" s="51" t="s">
        <v>19</v>
      </c>
      <c r="D532" s="51" t="s">
        <v>523</v>
      </c>
      <c r="E532" s="51" t="s">
        <v>524</v>
      </c>
      <c r="F532" s="51" t="s">
        <v>525</v>
      </c>
      <c r="G532" s="52" t="s">
        <v>18</v>
      </c>
      <c r="H532" s="52" t="s">
        <v>17</v>
      </c>
    </row>
    <row r="533" spans="1:8" ht="90.4" x14ac:dyDescent="0.45">
      <c r="A533" s="11">
        <v>1</v>
      </c>
      <c r="B533" s="58" t="s">
        <v>227</v>
      </c>
      <c r="C533" s="13">
        <v>1</v>
      </c>
      <c r="D533" s="13"/>
      <c r="E533" s="13"/>
      <c r="F533" s="13"/>
      <c r="G533" s="14"/>
      <c r="H533" s="14"/>
    </row>
    <row r="534" spans="1:8" ht="150.4" x14ac:dyDescent="0.45">
      <c r="A534" s="11">
        <v>2</v>
      </c>
      <c r="B534" s="12" t="s">
        <v>226</v>
      </c>
      <c r="C534" s="13">
        <v>1</v>
      </c>
      <c r="D534" s="13"/>
      <c r="E534" s="13"/>
      <c r="F534" s="13"/>
      <c r="G534" s="14"/>
      <c r="H534" s="14"/>
    </row>
    <row r="535" spans="1:8" ht="45.4" x14ac:dyDescent="0.45">
      <c r="A535" s="11">
        <v>3</v>
      </c>
      <c r="B535" s="12" t="s">
        <v>225</v>
      </c>
      <c r="C535" s="13">
        <v>1</v>
      </c>
      <c r="D535" s="13"/>
      <c r="E535" s="13"/>
      <c r="F535" s="13"/>
      <c r="G535" s="14"/>
      <c r="H535" s="14"/>
    </row>
    <row r="536" spans="1:8" ht="45.4" x14ac:dyDescent="0.45">
      <c r="A536" s="11">
        <v>4</v>
      </c>
      <c r="B536" s="12" t="s">
        <v>224</v>
      </c>
      <c r="C536" s="13">
        <v>1</v>
      </c>
      <c r="D536" s="13"/>
      <c r="E536" s="13"/>
      <c r="F536" s="13"/>
      <c r="G536" s="14"/>
      <c r="H536" s="14"/>
    </row>
    <row r="537" spans="1:8" ht="60.4" x14ac:dyDescent="0.45">
      <c r="A537" s="11">
        <v>5</v>
      </c>
      <c r="B537" s="12" t="s">
        <v>223</v>
      </c>
      <c r="C537" s="13">
        <v>1</v>
      </c>
      <c r="D537" s="13"/>
      <c r="E537" s="13"/>
      <c r="F537" s="13"/>
      <c r="G537" s="14"/>
      <c r="H537" s="14"/>
    </row>
    <row r="538" spans="1:8" ht="45.4" x14ac:dyDescent="0.45">
      <c r="A538" s="11">
        <v>6</v>
      </c>
      <c r="B538" s="12" t="s">
        <v>222</v>
      </c>
      <c r="C538" s="13">
        <v>1</v>
      </c>
      <c r="D538" s="13"/>
      <c r="E538" s="13"/>
      <c r="F538" s="13"/>
      <c r="G538" s="14"/>
      <c r="H538" s="14"/>
    </row>
    <row r="539" spans="1:8" ht="60.4" x14ac:dyDescent="0.45">
      <c r="A539" s="11">
        <v>7</v>
      </c>
      <c r="B539" s="12" t="s">
        <v>71</v>
      </c>
      <c r="C539" s="13">
        <v>1</v>
      </c>
      <c r="D539" s="13"/>
      <c r="E539" s="13"/>
      <c r="F539" s="13"/>
      <c r="G539" s="14"/>
      <c r="H539" s="14"/>
    </row>
    <row r="540" spans="1:8" ht="60.4" x14ac:dyDescent="0.45">
      <c r="A540" s="11">
        <v>8</v>
      </c>
      <c r="B540" s="12" t="s">
        <v>69</v>
      </c>
      <c r="C540" s="13">
        <v>2</v>
      </c>
      <c r="D540" s="13"/>
      <c r="E540" s="13"/>
      <c r="F540" s="13"/>
      <c r="G540" s="14"/>
      <c r="H540" s="14"/>
    </row>
    <row r="541" spans="1:8" ht="75.400000000000006" x14ac:dyDescent="0.45">
      <c r="A541" s="11">
        <v>9</v>
      </c>
      <c r="B541" s="12" t="s">
        <v>221</v>
      </c>
      <c r="C541" s="13">
        <v>2</v>
      </c>
      <c r="D541" s="13"/>
      <c r="E541" s="13"/>
      <c r="F541" s="13"/>
      <c r="G541" s="14"/>
      <c r="H541" s="14"/>
    </row>
    <row r="542" spans="1:8" ht="45.4" x14ac:dyDescent="0.45">
      <c r="A542" s="11">
        <v>10</v>
      </c>
      <c r="B542" s="12" t="s">
        <v>220</v>
      </c>
      <c r="C542" s="13">
        <v>1</v>
      </c>
      <c r="D542" s="13"/>
      <c r="E542" s="13"/>
      <c r="F542" s="13"/>
      <c r="G542" s="14"/>
      <c r="H542" s="14"/>
    </row>
    <row r="543" spans="1:8" ht="45.4" x14ac:dyDescent="0.45">
      <c r="A543" s="11">
        <v>11</v>
      </c>
      <c r="B543" s="12" t="s">
        <v>219</v>
      </c>
      <c r="C543" s="13">
        <v>1</v>
      </c>
      <c r="D543" s="13"/>
      <c r="E543" s="13"/>
      <c r="F543" s="13"/>
      <c r="G543" s="14"/>
      <c r="H543" s="14"/>
    </row>
    <row r="544" spans="1:8" ht="45.4" x14ac:dyDescent="0.45">
      <c r="A544" s="11">
        <v>12</v>
      </c>
      <c r="B544" s="12" t="s">
        <v>218</v>
      </c>
      <c r="C544" s="13">
        <v>1</v>
      </c>
      <c r="D544" s="13"/>
      <c r="E544" s="13"/>
      <c r="F544" s="13"/>
      <c r="G544" s="14"/>
      <c r="H544" s="14"/>
    </row>
    <row r="545" spans="1:8" ht="60.4" x14ac:dyDescent="0.45">
      <c r="A545" s="11">
        <v>13</v>
      </c>
      <c r="B545" s="12" t="s">
        <v>217</v>
      </c>
      <c r="C545" s="13">
        <v>1</v>
      </c>
      <c r="D545" s="13"/>
      <c r="E545" s="13"/>
      <c r="F545" s="13"/>
      <c r="G545" s="14"/>
      <c r="H545" s="14"/>
    </row>
    <row r="546" spans="1:8" ht="75.400000000000006" x14ac:dyDescent="0.45">
      <c r="A546" s="11">
        <v>14</v>
      </c>
      <c r="B546" s="12" t="s">
        <v>216</v>
      </c>
      <c r="C546" s="13">
        <v>1</v>
      </c>
      <c r="D546" s="13"/>
      <c r="E546" s="13"/>
      <c r="F546" s="13"/>
      <c r="G546" s="14"/>
      <c r="H546" s="14"/>
    </row>
    <row r="547" spans="1:8" ht="75.400000000000006" x14ac:dyDescent="0.45">
      <c r="A547" s="11">
        <v>15</v>
      </c>
      <c r="B547" s="12" t="s">
        <v>215</v>
      </c>
      <c r="C547" s="13">
        <v>1</v>
      </c>
      <c r="D547" s="13"/>
      <c r="E547" s="13"/>
      <c r="F547" s="13"/>
      <c r="G547" s="14"/>
      <c r="H547" s="14"/>
    </row>
    <row r="548" spans="1:8" ht="30.4" x14ac:dyDescent="0.45">
      <c r="A548" s="11">
        <v>16</v>
      </c>
      <c r="B548" s="12" t="s">
        <v>214</v>
      </c>
      <c r="C548" s="13">
        <v>1</v>
      </c>
      <c r="D548" s="13"/>
      <c r="E548" s="13"/>
      <c r="F548" s="13"/>
      <c r="G548" s="14"/>
      <c r="H548" s="14"/>
    </row>
    <row r="549" spans="1:8" ht="45.4" x14ac:dyDescent="0.45">
      <c r="A549" s="11">
        <v>17</v>
      </c>
      <c r="B549" s="12" t="s">
        <v>213</v>
      </c>
      <c r="C549" s="13">
        <v>1</v>
      </c>
      <c r="D549" s="13"/>
      <c r="E549" s="13"/>
      <c r="F549" s="13"/>
      <c r="G549" s="14"/>
      <c r="H549" s="14"/>
    </row>
    <row r="550" spans="1:8" ht="75.400000000000006" x14ac:dyDescent="0.45">
      <c r="A550" s="11">
        <v>18</v>
      </c>
      <c r="B550" s="12" t="s">
        <v>212</v>
      </c>
      <c r="C550" s="13">
        <v>1</v>
      </c>
      <c r="D550" s="13"/>
      <c r="E550" s="13"/>
      <c r="F550" s="13"/>
      <c r="G550" s="14"/>
      <c r="H550" s="14"/>
    </row>
    <row r="551" spans="1:8" ht="90.4" x14ac:dyDescent="0.45">
      <c r="A551" s="11">
        <v>19</v>
      </c>
      <c r="B551" s="12" t="s">
        <v>85</v>
      </c>
      <c r="C551" s="13">
        <v>1</v>
      </c>
      <c r="D551" s="13"/>
      <c r="E551" s="13"/>
      <c r="F551" s="13"/>
      <c r="G551" s="14"/>
      <c r="H551" s="14"/>
    </row>
    <row r="552" spans="1:8" ht="45.4" x14ac:dyDescent="0.45">
      <c r="A552" s="11">
        <v>20</v>
      </c>
      <c r="B552" s="12" t="s">
        <v>211</v>
      </c>
      <c r="C552" s="13">
        <v>1</v>
      </c>
      <c r="D552" s="13"/>
      <c r="E552" s="13"/>
      <c r="F552" s="13"/>
      <c r="G552" s="14"/>
      <c r="H552" s="14"/>
    </row>
    <row r="553" spans="1:8" ht="45.4" x14ac:dyDescent="0.45">
      <c r="A553" s="11">
        <v>21</v>
      </c>
      <c r="B553" s="12" t="s">
        <v>210</v>
      </c>
      <c r="C553" s="13">
        <v>1</v>
      </c>
      <c r="D553" s="13"/>
      <c r="E553" s="13"/>
      <c r="F553" s="13"/>
      <c r="G553" s="14"/>
      <c r="H553" s="14"/>
    </row>
    <row r="554" spans="1:8" ht="45.4" x14ac:dyDescent="0.45">
      <c r="A554" s="11">
        <v>22</v>
      </c>
      <c r="B554" s="12" t="s">
        <v>209</v>
      </c>
      <c r="C554" s="13">
        <v>1</v>
      </c>
      <c r="D554" s="13"/>
      <c r="E554" s="13"/>
      <c r="F554" s="13"/>
      <c r="G554" s="14"/>
      <c r="H554" s="14"/>
    </row>
    <row r="555" spans="1:8" ht="30.4" x14ac:dyDescent="0.45">
      <c r="A555" s="11">
        <v>23</v>
      </c>
      <c r="B555" s="12" t="s">
        <v>76</v>
      </c>
      <c r="C555" s="13">
        <v>2</v>
      </c>
      <c r="D555" s="13"/>
      <c r="E555" s="13"/>
      <c r="F555" s="13"/>
      <c r="G555" s="14"/>
      <c r="H555" s="14"/>
    </row>
    <row r="556" spans="1:8" ht="180.4" x14ac:dyDescent="0.45">
      <c r="A556" s="11">
        <v>24</v>
      </c>
      <c r="B556" s="12" t="s">
        <v>611</v>
      </c>
      <c r="C556" s="13">
        <v>1</v>
      </c>
      <c r="D556" s="13"/>
      <c r="E556" s="13"/>
      <c r="F556" s="13"/>
      <c r="G556" s="14"/>
      <c r="H556" s="14"/>
    </row>
    <row r="557" spans="1:8" ht="15.4" x14ac:dyDescent="0.45">
      <c r="A557" s="15"/>
      <c r="B557" s="16"/>
      <c r="C557" s="17">
        <f>SUM(C533:C556)</f>
        <v>27</v>
      </c>
      <c r="D557" s="45"/>
      <c r="E557" s="45"/>
      <c r="F557" s="130" t="s">
        <v>17</v>
      </c>
      <c r="G557" s="131"/>
      <c r="H557" s="120"/>
    </row>
    <row r="558" spans="1:8" ht="15.4" x14ac:dyDescent="0.45">
      <c r="A558" s="15"/>
      <c r="B558" s="46"/>
      <c r="C558" s="47"/>
      <c r="D558" s="45"/>
      <c r="E558" s="45"/>
      <c r="F558" s="45"/>
      <c r="G558" s="9"/>
      <c r="H558" s="18"/>
    </row>
    <row r="559" spans="1:8" ht="15.4" customHeight="1" x14ac:dyDescent="0.45">
      <c r="A559" s="124" t="s">
        <v>545</v>
      </c>
      <c r="B559" s="125"/>
      <c r="C559" s="125"/>
      <c r="D559" s="125"/>
      <c r="E559" s="125"/>
      <c r="F559" s="125"/>
      <c r="G559" s="125"/>
      <c r="H559" s="126"/>
    </row>
    <row r="560" spans="1:8" ht="30" x14ac:dyDescent="0.45">
      <c r="A560" s="51" t="s">
        <v>21</v>
      </c>
      <c r="B560" s="51" t="s">
        <v>20</v>
      </c>
      <c r="C560" s="51" t="s">
        <v>19</v>
      </c>
      <c r="D560" s="51" t="s">
        <v>523</v>
      </c>
      <c r="E560" s="51" t="s">
        <v>524</v>
      </c>
      <c r="F560" s="51" t="s">
        <v>525</v>
      </c>
      <c r="G560" s="52" t="s">
        <v>18</v>
      </c>
      <c r="H560" s="52" t="s">
        <v>17</v>
      </c>
    </row>
    <row r="561" spans="1:8" ht="15.4" x14ac:dyDescent="0.45">
      <c r="A561" s="11">
        <v>1</v>
      </c>
      <c r="B561" s="58" t="s">
        <v>208</v>
      </c>
      <c r="C561" s="13">
        <v>1</v>
      </c>
      <c r="D561" s="13"/>
      <c r="E561" s="13"/>
      <c r="F561" s="13"/>
      <c r="G561" s="14"/>
      <c r="H561" s="14"/>
    </row>
    <row r="562" spans="1:8" ht="30.4" x14ac:dyDescent="0.45">
      <c r="A562" s="11">
        <v>2</v>
      </c>
      <c r="B562" s="12" t="s">
        <v>207</v>
      </c>
      <c r="C562" s="13">
        <v>1</v>
      </c>
      <c r="D562" s="13"/>
      <c r="E562" s="13"/>
      <c r="F562" s="13"/>
      <c r="G562" s="14"/>
      <c r="H562" s="14"/>
    </row>
    <row r="563" spans="1:8" ht="60.4" x14ac:dyDescent="0.45">
      <c r="A563" s="11">
        <v>3</v>
      </c>
      <c r="B563" s="12" t="s">
        <v>187</v>
      </c>
      <c r="C563" s="13">
        <v>1</v>
      </c>
      <c r="D563" s="13"/>
      <c r="E563" s="13"/>
      <c r="F563" s="13"/>
      <c r="G563" s="14"/>
      <c r="H563" s="14"/>
    </row>
    <row r="564" spans="1:8" ht="60.4" x14ac:dyDescent="0.45">
      <c r="A564" s="11">
        <v>4</v>
      </c>
      <c r="B564" s="12" t="s">
        <v>185</v>
      </c>
      <c r="C564" s="13">
        <v>1</v>
      </c>
      <c r="D564" s="13"/>
      <c r="E564" s="13"/>
      <c r="F564" s="13"/>
      <c r="G564" s="14"/>
      <c r="H564" s="14"/>
    </row>
    <row r="565" spans="1:8" ht="30.4" x14ac:dyDescent="0.45">
      <c r="A565" s="11">
        <v>5</v>
      </c>
      <c r="B565" s="12" t="s">
        <v>206</v>
      </c>
      <c r="C565" s="13">
        <v>4</v>
      </c>
      <c r="D565" s="13"/>
      <c r="E565" s="13"/>
      <c r="F565" s="13"/>
      <c r="G565" s="14"/>
      <c r="H565" s="14"/>
    </row>
    <row r="566" spans="1:8" ht="45.4" x14ac:dyDescent="0.45">
      <c r="A566" s="11">
        <v>6</v>
      </c>
      <c r="B566" s="12" t="s">
        <v>205</v>
      </c>
      <c r="C566" s="13">
        <v>1</v>
      </c>
      <c r="D566" s="13"/>
      <c r="E566" s="13"/>
      <c r="F566" s="13"/>
      <c r="G566" s="14"/>
      <c r="H566" s="14"/>
    </row>
    <row r="567" spans="1:8" ht="45.4" x14ac:dyDescent="0.45">
      <c r="A567" s="11">
        <v>7</v>
      </c>
      <c r="B567" s="12" t="s">
        <v>204</v>
      </c>
      <c r="C567" s="13">
        <v>1</v>
      </c>
      <c r="D567" s="13"/>
      <c r="E567" s="13"/>
      <c r="F567" s="13"/>
      <c r="G567" s="14"/>
      <c r="H567" s="14"/>
    </row>
    <row r="568" spans="1:8" ht="15.4" x14ac:dyDescent="0.45">
      <c r="A568" s="11">
        <v>8</v>
      </c>
      <c r="B568" s="12" t="s">
        <v>190</v>
      </c>
      <c r="C568" s="13">
        <v>1</v>
      </c>
      <c r="D568" s="13"/>
      <c r="E568" s="13"/>
      <c r="F568" s="13"/>
      <c r="G568" s="14"/>
      <c r="H568" s="14"/>
    </row>
    <row r="569" spans="1:8" ht="45.4" x14ac:dyDescent="0.45">
      <c r="A569" s="11">
        <v>9</v>
      </c>
      <c r="B569" s="12" t="s">
        <v>203</v>
      </c>
      <c r="C569" s="13">
        <v>1</v>
      </c>
      <c r="D569" s="13"/>
      <c r="E569" s="13"/>
      <c r="F569" s="13"/>
      <c r="G569" s="14"/>
      <c r="H569" s="14"/>
    </row>
    <row r="570" spans="1:8" ht="30.4" x14ac:dyDescent="0.45">
      <c r="A570" s="11">
        <v>10</v>
      </c>
      <c r="B570" s="12" t="s">
        <v>202</v>
      </c>
      <c r="C570" s="13">
        <v>1</v>
      </c>
      <c r="D570" s="13"/>
      <c r="E570" s="13"/>
      <c r="F570" s="13"/>
      <c r="G570" s="14"/>
      <c r="H570" s="14"/>
    </row>
    <row r="571" spans="1:8" ht="30.4" x14ac:dyDescent="0.45">
      <c r="A571" s="11">
        <v>11</v>
      </c>
      <c r="B571" s="12" t="s">
        <v>201</v>
      </c>
      <c r="C571" s="13">
        <v>1</v>
      </c>
      <c r="D571" s="13"/>
      <c r="E571" s="13"/>
      <c r="F571" s="13"/>
      <c r="G571" s="14"/>
      <c r="H571" s="14"/>
    </row>
    <row r="572" spans="1:8" ht="30.4" x14ac:dyDescent="0.45">
      <c r="A572" s="11">
        <v>12</v>
      </c>
      <c r="B572" s="12" t="s">
        <v>200</v>
      </c>
      <c r="C572" s="13">
        <v>1</v>
      </c>
      <c r="D572" s="13"/>
      <c r="E572" s="13"/>
      <c r="F572" s="13"/>
      <c r="G572" s="14"/>
      <c r="H572" s="14"/>
    </row>
    <row r="573" spans="1:8" ht="60.4" x14ac:dyDescent="0.45">
      <c r="A573" s="11">
        <v>13</v>
      </c>
      <c r="B573" s="12" t="s">
        <v>193</v>
      </c>
      <c r="C573" s="13">
        <v>1</v>
      </c>
      <c r="D573" s="13"/>
      <c r="E573" s="13"/>
      <c r="F573" s="13"/>
      <c r="G573" s="14"/>
      <c r="H573" s="14"/>
    </row>
    <row r="574" spans="1:8" ht="180.4" x14ac:dyDescent="0.45">
      <c r="A574" s="11">
        <v>14</v>
      </c>
      <c r="B574" s="12" t="s">
        <v>142</v>
      </c>
      <c r="C574" s="13">
        <v>1</v>
      </c>
      <c r="D574" s="13"/>
      <c r="E574" s="13"/>
      <c r="F574" s="13"/>
      <c r="G574" s="14"/>
      <c r="H574" s="14"/>
    </row>
    <row r="575" spans="1:8" s="60" customFormat="1" ht="15.4" x14ac:dyDescent="0.45">
      <c r="A575" s="115"/>
      <c r="B575" s="19"/>
      <c r="C575" s="15">
        <f>SUM(C561:C574)</f>
        <v>17</v>
      </c>
      <c r="D575" s="15"/>
      <c r="E575" s="15"/>
      <c r="F575" s="130" t="s">
        <v>17</v>
      </c>
      <c r="G575" s="131"/>
      <c r="H575" s="120"/>
    </row>
    <row r="576" spans="1:8" s="60" customFormat="1" ht="15.4" x14ac:dyDescent="0.45">
      <c r="A576" s="115"/>
      <c r="B576" s="19"/>
      <c r="C576" s="15"/>
      <c r="D576" s="15"/>
      <c r="E576" s="15"/>
      <c r="F576" s="15"/>
      <c r="G576" s="18"/>
      <c r="H576" s="18"/>
    </row>
    <row r="577" spans="1:8" ht="15.4" customHeight="1" x14ac:dyDescent="0.45">
      <c r="A577" s="124" t="s">
        <v>437</v>
      </c>
      <c r="B577" s="125"/>
      <c r="C577" s="125"/>
      <c r="D577" s="125"/>
      <c r="E577" s="125"/>
      <c r="F577" s="125"/>
      <c r="G577" s="125"/>
      <c r="H577" s="126"/>
    </row>
    <row r="578" spans="1:8" ht="30" x14ac:dyDescent="0.45">
      <c r="A578" s="51" t="s">
        <v>21</v>
      </c>
      <c r="B578" s="51" t="s">
        <v>20</v>
      </c>
      <c r="C578" s="51" t="s">
        <v>19</v>
      </c>
      <c r="D578" s="51" t="s">
        <v>523</v>
      </c>
      <c r="E578" s="51" t="s">
        <v>524</v>
      </c>
      <c r="F578" s="51" t="s">
        <v>525</v>
      </c>
      <c r="G578" s="52" t="s">
        <v>18</v>
      </c>
      <c r="H578" s="52" t="s">
        <v>17</v>
      </c>
    </row>
    <row r="579" spans="1:8" ht="30.4" x14ac:dyDescent="0.45">
      <c r="A579" s="11">
        <v>1</v>
      </c>
      <c r="B579" s="12" t="s">
        <v>100</v>
      </c>
      <c r="C579" s="13">
        <v>1</v>
      </c>
      <c r="D579" s="13"/>
      <c r="E579" s="13"/>
      <c r="F579" s="13"/>
      <c r="G579" s="14"/>
      <c r="H579" s="14"/>
    </row>
    <row r="580" spans="1:8" ht="60.4" x14ac:dyDescent="0.45">
      <c r="A580" s="11">
        <v>2</v>
      </c>
      <c r="B580" s="12" t="s">
        <v>70</v>
      </c>
      <c r="C580" s="13">
        <v>1</v>
      </c>
      <c r="D580" s="13"/>
      <c r="E580" s="13"/>
      <c r="F580" s="13"/>
      <c r="G580" s="14"/>
      <c r="H580" s="14"/>
    </row>
    <row r="581" spans="1:8" ht="45.4" x14ac:dyDescent="0.45">
      <c r="A581" s="11">
        <v>3</v>
      </c>
      <c r="B581" s="12" t="s">
        <v>199</v>
      </c>
      <c r="C581" s="13">
        <v>1</v>
      </c>
      <c r="D581" s="13"/>
      <c r="E581" s="13"/>
      <c r="F581" s="13"/>
      <c r="G581" s="14"/>
      <c r="H581" s="14"/>
    </row>
    <row r="582" spans="1:8" ht="60.4" x14ac:dyDescent="0.45">
      <c r="A582" s="11">
        <v>4</v>
      </c>
      <c r="B582" s="12" t="s">
        <v>198</v>
      </c>
      <c r="C582" s="13">
        <v>1</v>
      </c>
      <c r="D582" s="13"/>
      <c r="E582" s="13"/>
      <c r="F582" s="13"/>
      <c r="G582" s="14"/>
      <c r="H582" s="14"/>
    </row>
    <row r="583" spans="1:8" ht="45.4" x14ac:dyDescent="0.45">
      <c r="A583" s="11">
        <v>5</v>
      </c>
      <c r="B583" s="12" t="s">
        <v>197</v>
      </c>
      <c r="C583" s="13">
        <v>1</v>
      </c>
      <c r="D583" s="13"/>
      <c r="E583" s="13"/>
      <c r="F583" s="13"/>
      <c r="G583" s="14"/>
      <c r="H583" s="14"/>
    </row>
    <row r="584" spans="1:8" ht="90.4" x14ac:dyDescent="0.45">
      <c r="A584" s="13">
        <v>6</v>
      </c>
      <c r="B584" s="12" t="s">
        <v>61</v>
      </c>
      <c r="C584" s="11">
        <v>1</v>
      </c>
      <c r="D584" s="11"/>
      <c r="E584" s="11"/>
      <c r="F584" s="11"/>
      <c r="G584" s="14"/>
      <c r="H584" s="14"/>
    </row>
    <row r="585" spans="1:8" ht="15" x14ac:dyDescent="0.45">
      <c r="A585" s="13">
        <v>7</v>
      </c>
      <c r="B585" s="53" t="s">
        <v>440</v>
      </c>
      <c r="C585" s="11">
        <v>1</v>
      </c>
      <c r="D585" s="11"/>
      <c r="E585" s="11"/>
      <c r="F585" s="11"/>
      <c r="G585" s="59"/>
      <c r="H585" s="14"/>
    </row>
    <row r="586" spans="1:8" ht="15.4" x14ac:dyDescent="0.45">
      <c r="A586" s="15"/>
      <c r="B586" s="19"/>
      <c r="C586" s="45">
        <f>SUM(C579:C585)</f>
        <v>7</v>
      </c>
      <c r="D586" s="45"/>
      <c r="E586" s="45"/>
      <c r="F586" s="130" t="s">
        <v>17</v>
      </c>
      <c r="G586" s="131"/>
      <c r="H586" s="120"/>
    </row>
    <row r="587" spans="1:8" ht="15.4" x14ac:dyDescent="0.45">
      <c r="A587" s="15"/>
      <c r="B587" s="19"/>
      <c r="C587" s="45"/>
      <c r="D587" s="45"/>
      <c r="E587" s="45"/>
      <c r="F587" s="45"/>
      <c r="G587" s="9"/>
      <c r="H587" s="9"/>
    </row>
    <row r="588" spans="1:8" ht="15.4" customHeight="1" x14ac:dyDescent="0.45">
      <c r="A588" s="124" t="s">
        <v>438</v>
      </c>
      <c r="B588" s="125"/>
      <c r="C588" s="125"/>
      <c r="D588" s="125"/>
      <c r="E588" s="125"/>
      <c r="F588" s="125"/>
      <c r="G588" s="125"/>
      <c r="H588" s="126"/>
    </row>
    <row r="589" spans="1:8" ht="30" x14ac:dyDescent="0.45">
      <c r="A589" s="51" t="s">
        <v>21</v>
      </c>
      <c r="B589" s="51" t="s">
        <v>20</v>
      </c>
      <c r="C589" s="51" t="s">
        <v>19</v>
      </c>
      <c r="D589" s="51" t="s">
        <v>523</v>
      </c>
      <c r="E589" s="51" t="s">
        <v>524</v>
      </c>
      <c r="F589" s="51" t="s">
        <v>525</v>
      </c>
      <c r="G589" s="52" t="s">
        <v>18</v>
      </c>
      <c r="H589" s="52" t="s">
        <v>17</v>
      </c>
    </row>
    <row r="590" spans="1:8" ht="30.4" x14ac:dyDescent="0.45">
      <c r="A590" s="11">
        <v>1</v>
      </c>
      <c r="B590" s="12" t="s">
        <v>196</v>
      </c>
      <c r="C590" s="13">
        <v>1</v>
      </c>
      <c r="D590" s="13"/>
      <c r="E590" s="13"/>
      <c r="F590" s="13"/>
      <c r="G590" s="14"/>
      <c r="H590" s="14"/>
    </row>
    <row r="591" spans="1:8" ht="30.4" x14ac:dyDescent="0.45">
      <c r="A591" s="11">
        <v>2</v>
      </c>
      <c r="B591" s="12" t="s">
        <v>195</v>
      </c>
      <c r="C591" s="13">
        <v>1</v>
      </c>
      <c r="D591" s="13"/>
      <c r="E591" s="13"/>
      <c r="F591" s="13"/>
      <c r="G591" s="14"/>
      <c r="H591" s="14"/>
    </row>
    <row r="592" spans="1:8" ht="30.4" x14ac:dyDescent="0.45">
      <c r="A592" s="11">
        <v>3</v>
      </c>
      <c r="B592" s="12" t="s">
        <v>194</v>
      </c>
      <c r="C592" s="13">
        <v>1</v>
      </c>
      <c r="D592" s="13"/>
      <c r="E592" s="13"/>
      <c r="F592" s="13"/>
      <c r="G592" s="14"/>
      <c r="H592" s="14"/>
    </row>
    <row r="593" spans="1:8" ht="60.4" x14ac:dyDescent="0.45">
      <c r="A593" s="11">
        <v>4</v>
      </c>
      <c r="B593" s="12" t="s">
        <v>193</v>
      </c>
      <c r="C593" s="13">
        <v>4</v>
      </c>
      <c r="D593" s="13"/>
      <c r="E593" s="13"/>
      <c r="F593" s="13"/>
      <c r="G593" s="14"/>
      <c r="H593" s="14"/>
    </row>
    <row r="594" spans="1:8" ht="60.4" x14ac:dyDescent="0.45">
      <c r="A594" s="11">
        <v>5</v>
      </c>
      <c r="B594" s="12" t="s">
        <v>192</v>
      </c>
      <c r="C594" s="13">
        <v>1</v>
      </c>
      <c r="D594" s="13"/>
      <c r="E594" s="13"/>
      <c r="F594" s="13"/>
      <c r="G594" s="14"/>
      <c r="H594" s="14"/>
    </row>
    <row r="595" spans="1:8" ht="30.4" x14ac:dyDescent="0.45">
      <c r="A595" s="11">
        <v>6</v>
      </c>
      <c r="B595" s="12" t="s">
        <v>191</v>
      </c>
      <c r="C595" s="13">
        <v>10</v>
      </c>
      <c r="D595" s="13"/>
      <c r="E595" s="13"/>
      <c r="F595" s="13"/>
      <c r="G595" s="14"/>
      <c r="H595" s="14"/>
    </row>
    <row r="596" spans="1:8" ht="15.4" x14ac:dyDescent="0.45">
      <c r="A596" s="11">
        <v>7</v>
      </c>
      <c r="B596" s="12" t="s">
        <v>190</v>
      </c>
      <c r="C596" s="13">
        <v>1</v>
      </c>
      <c r="D596" s="13"/>
      <c r="E596" s="13"/>
      <c r="F596" s="13"/>
      <c r="G596" s="14"/>
      <c r="H596" s="14"/>
    </row>
    <row r="597" spans="1:8" ht="30.4" x14ac:dyDescent="0.45">
      <c r="A597" s="11">
        <v>8</v>
      </c>
      <c r="B597" s="12" t="s">
        <v>189</v>
      </c>
      <c r="C597" s="13">
        <v>2</v>
      </c>
      <c r="D597" s="13"/>
      <c r="E597" s="13"/>
      <c r="F597" s="13"/>
      <c r="G597" s="14"/>
      <c r="H597" s="14"/>
    </row>
    <row r="598" spans="1:8" ht="45.4" x14ac:dyDescent="0.45">
      <c r="A598" s="11">
        <v>9</v>
      </c>
      <c r="B598" s="12" t="s">
        <v>188</v>
      </c>
      <c r="C598" s="13">
        <v>2</v>
      </c>
      <c r="D598" s="13"/>
      <c r="E598" s="13"/>
      <c r="F598" s="13"/>
      <c r="G598" s="14"/>
      <c r="H598" s="14"/>
    </row>
    <row r="599" spans="1:8" ht="60.4" x14ac:dyDescent="0.45">
      <c r="A599" s="11">
        <v>10</v>
      </c>
      <c r="B599" s="12" t="s">
        <v>187</v>
      </c>
      <c r="C599" s="13">
        <v>1</v>
      </c>
      <c r="D599" s="13"/>
      <c r="E599" s="13"/>
      <c r="F599" s="13"/>
      <c r="G599" s="14"/>
      <c r="H599" s="14"/>
    </row>
    <row r="600" spans="1:8" ht="45.4" x14ac:dyDescent="0.45">
      <c r="A600" s="11">
        <v>11</v>
      </c>
      <c r="B600" s="12" t="s">
        <v>186</v>
      </c>
      <c r="C600" s="13">
        <v>2</v>
      </c>
      <c r="D600" s="13"/>
      <c r="E600" s="13"/>
      <c r="F600" s="13"/>
      <c r="G600" s="14"/>
      <c r="H600" s="14"/>
    </row>
    <row r="601" spans="1:8" ht="60.4" x14ac:dyDescent="0.45">
      <c r="A601" s="11">
        <v>12</v>
      </c>
      <c r="B601" s="12" t="s">
        <v>185</v>
      </c>
      <c r="C601" s="13">
        <v>1</v>
      </c>
      <c r="D601" s="13"/>
      <c r="E601" s="13"/>
      <c r="F601" s="13"/>
      <c r="G601" s="14"/>
      <c r="H601" s="14"/>
    </row>
    <row r="602" spans="1:8" ht="15.4" x14ac:dyDescent="0.45">
      <c r="A602" s="11">
        <v>13</v>
      </c>
      <c r="B602" s="12" t="s">
        <v>184</v>
      </c>
      <c r="C602" s="13">
        <v>2</v>
      </c>
      <c r="D602" s="13"/>
      <c r="E602" s="13"/>
      <c r="F602" s="13"/>
      <c r="G602" s="14"/>
      <c r="H602" s="14"/>
    </row>
    <row r="603" spans="1:8" ht="45.4" x14ac:dyDescent="0.45">
      <c r="A603" s="11">
        <v>14</v>
      </c>
      <c r="B603" s="12" t="s">
        <v>183</v>
      </c>
      <c r="C603" s="13">
        <v>6</v>
      </c>
      <c r="D603" s="13"/>
      <c r="E603" s="13"/>
      <c r="F603" s="13"/>
      <c r="G603" s="14"/>
      <c r="H603" s="14"/>
    </row>
    <row r="604" spans="1:8" ht="45.4" x14ac:dyDescent="0.45">
      <c r="A604" s="11">
        <v>15</v>
      </c>
      <c r="B604" s="12" t="s">
        <v>182</v>
      </c>
      <c r="C604" s="13">
        <v>4</v>
      </c>
      <c r="D604" s="13"/>
      <c r="E604" s="13"/>
      <c r="F604" s="13"/>
      <c r="G604" s="14"/>
      <c r="H604" s="14"/>
    </row>
    <row r="605" spans="1:8" ht="30.4" x14ac:dyDescent="0.45">
      <c r="A605" s="11">
        <v>16</v>
      </c>
      <c r="B605" s="12" t="s">
        <v>181</v>
      </c>
      <c r="C605" s="13">
        <v>6</v>
      </c>
      <c r="D605" s="13"/>
      <c r="E605" s="13"/>
      <c r="F605" s="13"/>
      <c r="G605" s="14"/>
      <c r="H605" s="14"/>
    </row>
    <row r="606" spans="1:8" ht="30.4" x14ac:dyDescent="0.45">
      <c r="A606" s="11">
        <v>17</v>
      </c>
      <c r="B606" s="12" t="s">
        <v>180</v>
      </c>
      <c r="C606" s="13">
        <v>4</v>
      </c>
      <c r="D606" s="13"/>
      <c r="E606" s="13"/>
      <c r="F606" s="13"/>
      <c r="G606" s="14"/>
      <c r="H606" s="14"/>
    </row>
    <row r="607" spans="1:8" ht="45.4" x14ac:dyDescent="0.45">
      <c r="A607" s="11">
        <v>18</v>
      </c>
      <c r="B607" s="12" t="s">
        <v>179</v>
      </c>
      <c r="C607" s="13">
        <v>2</v>
      </c>
      <c r="D607" s="13"/>
      <c r="E607" s="13"/>
      <c r="F607" s="13"/>
      <c r="G607" s="14"/>
      <c r="H607" s="14"/>
    </row>
    <row r="608" spans="1:8" ht="45.4" x14ac:dyDescent="0.45">
      <c r="A608" s="11">
        <v>19</v>
      </c>
      <c r="B608" s="12" t="s">
        <v>178</v>
      </c>
      <c r="C608" s="13">
        <v>1</v>
      </c>
      <c r="D608" s="13"/>
      <c r="E608" s="13"/>
      <c r="F608" s="13"/>
      <c r="G608" s="14"/>
      <c r="H608" s="14"/>
    </row>
    <row r="609" spans="1:8" ht="30.4" x14ac:dyDescent="0.45">
      <c r="A609" s="11">
        <v>20</v>
      </c>
      <c r="B609" s="12" t="s">
        <v>177</v>
      </c>
      <c r="C609" s="13">
        <v>1</v>
      </c>
      <c r="D609" s="13"/>
      <c r="E609" s="13"/>
      <c r="F609" s="13"/>
      <c r="G609" s="14"/>
      <c r="H609" s="14"/>
    </row>
    <row r="610" spans="1:8" ht="30.4" x14ac:dyDescent="0.45">
      <c r="A610" s="11">
        <v>21</v>
      </c>
      <c r="B610" s="12" t="s">
        <v>176</v>
      </c>
      <c r="C610" s="13">
        <v>1</v>
      </c>
      <c r="D610" s="13"/>
      <c r="E610" s="13"/>
      <c r="F610" s="13"/>
      <c r="G610" s="14"/>
      <c r="H610" s="14"/>
    </row>
    <row r="611" spans="1:8" ht="15.4" x14ac:dyDescent="0.45">
      <c r="A611" s="11">
        <v>22</v>
      </c>
      <c r="B611" s="12" t="s">
        <v>175</v>
      </c>
      <c r="C611" s="13">
        <v>1</v>
      </c>
      <c r="D611" s="13"/>
      <c r="E611" s="13"/>
      <c r="F611" s="13"/>
      <c r="G611" s="14"/>
      <c r="H611" s="14"/>
    </row>
    <row r="612" spans="1:8" ht="45.4" x14ac:dyDescent="0.45">
      <c r="A612" s="11">
        <v>23</v>
      </c>
      <c r="B612" s="12" t="s">
        <v>174</v>
      </c>
      <c r="C612" s="13">
        <v>1</v>
      </c>
      <c r="D612" s="13"/>
      <c r="E612" s="13"/>
      <c r="F612" s="13"/>
      <c r="G612" s="14"/>
      <c r="H612" s="14"/>
    </row>
    <row r="613" spans="1:8" ht="45.4" x14ac:dyDescent="0.45">
      <c r="A613" s="11">
        <v>24</v>
      </c>
      <c r="B613" s="12" t="s">
        <v>173</v>
      </c>
      <c r="C613" s="13">
        <v>1</v>
      </c>
      <c r="D613" s="13"/>
      <c r="E613" s="13"/>
      <c r="F613" s="13"/>
      <c r="G613" s="14"/>
      <c r="H613" s="14"/>
    </row>
    <row r="614" spans="1:8" ht="60.4" x14ac:dyDescent="0.45">
      <c r="A614" s="11">
        <v>25</v>
      </c>
      <c r="B614" s="12" t="s">
        <v>172</v>
      </c>
      <c r="C614" s="13">
        <v>2</v>
      </c>
      <c r="D614" s="13"/>
      <c r="E614" s="13"/>
      <c r="F614" s="13"/>
      <c r="G614" s="14"/>
      <c r="H614" s="14"/>
    </row>
    <row r="615" spans="1:8" ht="15.4" x14ac:dyDescent="0.45">
      <c r="A615" s="11">
        <v>26</v>
      </c>
      <c r="B615" s="12" t="s">
        <v>171</v>
      </c>
      <c r="C615" s="13">
        <v>1</v>
      </c>
      <c r="D615" s="13"/>
      <c r="E615" s="13"/>
      <c r="F615" s="13"/>
      <c r="G615" s="14"/>
      <c r="H615" s="14"/>
    </row>
    <row r="616" spans="1:8" ht="15.4" x14ac:dyDescent="0.45">
      <c r="A616" s="11">
        <v>27</v>
      </c>
      <c r="B616" s="12" t="s">
        <v>170</v>
      </c>
      <c r="C616" s="13">
        <v>1</v>
      </c>
      <c r="D616" s="13"/>
      <c r="E616" s="13"/>
      <c r="F616" s="13"/>
      <c r="G616" s="14"/>
      <c r="H616" s="14"/>
    </row>
    <row r="617" spans="1:8" ht="150.4" x14ac:dyDescent="0.45">
      <c r="A617" s="11">
        <v>14</v>
      </c>
      <c r="B617" s="12" t="s">
        <v>352</v>
      </c>
      <c r="C617" s="13">
        <v>1</v>
      </c>
      <c r="D617" s="13"/>
      <c r="E617" s="13"/>
      <c r="F617" s="13"/>
      <c r="G617" s="14"/>
      <c r="H617" s="14"/>
    </row>
    <row r="618" spans="1:8" s="60" customFormat="1" ht="15.4" x14ac:dyDescent="0.45">
      <c r="A618" s="115"/>
      <c r="B618" s="19"/>
      <c r="C618" s="15">
        <f>SUM(C590:C617)</f>
        <v>62</v>
      </c>
      <c r="D618" s="15"/>
      <c r="E618" s="15"/>
      <c r="F618" s="130" t="s">
        <v>17</v>
      </c>
      <c r="G618" s="131"/>
      <c r="H618" s="120"/>
    </row>
    <row r="619" spans="1:8" s="60" customFormat="1" ht="15.4" x14ac:dyDescent="0.45">
      <c r="A619" s="15"/>
      <c r="B619" s="19"/>
      <c r="C619" s="45"/>
      <c r="D619" s="45"/>
      <c r="E619" s="45"/>
      <c r="F619" s="45"/>
      <c r="G619" s="9"/>
      <c r="H619" s="9"/>
    </row>
    <row r="620" spans="1:8" ht="15.4" customHeight="1" x14ac:dyDescent="0.45">
      <c r="A620" s="124" t="s">
        <v>439</v>
      </c>
      <c r="B620" s="125"/>
      <c r="C620" s="125"/>
      <c r="D620" s="125"/>
      <c r="E620" s="125"/>
      <c r="F620" s="125"/>
      <c r="G620" s="125"/>
      <c r="H620" s="126"/>
    </row>
    <row r="621" spans="1:8" ht="30" x14ac:dyDescent="0.45">
      <c r="A621" s="51" t="s">
        <v>21</v>
      </c>
      <c r="B621" s="51" t="s">
        <v>20</v>
      </c>
      <c r="C621" s="51" t="s">
        <v>19</v>
      </c>
      <c r="D621" s="51" t="s">
        <v>523</v>
      </c>
      <c r="E621" s="51" t="s">
        <v>524</v>
      </c>
      <c r="F621" s="51" t="s">
        <v>525</v>
      </c>
      <c r="G621" s="52" t="s">
        <v>18</v>
      </c>
      <c r="H621" s="52" t="s">
        <v>17</v>
      </c>
    </row>
    <row r="622" spans="1:8" ht="45.4" x14ac:dyDescent="0.45">
      <c r="A622" s="11">
        <v>1</v>
      </c>
      <c r="B622" s="12" t="s">
        <v>162</v>
      </c>
      <c r="C622" s="13">
        <v>1</v>
      </c>
      <c r="D622" s="13"/>
      <c r="E622" s="13"/>
      <c r="F622" s="13"/>
      <c r="G622" s="14"/>
      <c r="H622" s="14"/>
    </row>
    <row r="623" spans="1:8" ht="90.4" x14ac:dyDescent="0.45">
      <c r="A623" s="11">
        <v>2</v>
      </c>
      <c r="B623" s="12" t="s">
        <v>161</v>
      </c>
      <c r="C623" s="13">
        <v>2</v>
      </c>
      <c r="D623" s="13"/>
      <c r="E623" s="13"/>
      <c r="F623" s="13"/>
      <c r="G623" s="14"/>
      <c r="H623" s="14"/>
    </row>
    <row r="624" spans="1:8" ht="30.4" x14ac:dyDescent="0.45">
      <c r="A624" s="11">
        <v>3</v>
      </c>
      <c r="B624" s="12" t="s">
        <v>160</v>
      </c>
      <c r="C624" s="13">
        <v>3</v>
      </c>
      <c r="D624" s="13"/>
      <c r="E624" s="13"/>
      <c r="F624" s="13"/>
      <c r="G624" s="14"/>
      <c r="H624" s="14"/>
    </row>
    <row r="625" spans="1:8" ht="30.4" x14ac:dyDescent="0.45">
      <c r="A625" s="11">
        <v>4</v>
      </c>
      <c r="B625" s="12" t="s">
        <v>159</v>
      </c>
      <c r="C625" s="13">
        <v>3</v>
      </c>
      <c r="D625" s="13"/>
      <c r="E625" s="13"/>
      <c r="F625" s="13"/>
      <c r="G625" s="14"/>
      <c r="H625" s="14"/>
    </row>
    <row r="626" spans="1:8" ht="30.4" x14ac:dyDescent="0.45">
      <c r="A626" s="11">
        <v>5</v>
      </c>
      <c r="B626" s="12" t="s">
        <v>158</v>
      </c>
      <c r="C626" s="13">
        <v>3</v>
      </c>
      <c r="D626" s="13"/>
      <c r="E626" s="13"/>
      <c r="F626" s="13"/>
      <c r="G626" s="14"/>
      <c r="H626" s="14"/>
    </row>
    <row r="627" spans="1:8" ht="30.4" x14ac:dyDescent="0.45">
      <c r="A627" s="11">
        <v>6</v>
      </c>
      <c r="B627" s="12" t="s">
        <v>157</v>
      </c>
      <c r="C627" s="13">
        <v>3</v>
      </c>
      <c r="D627" s="13"/>
      <c r="E627" s="13"/>
      <c r="F627" s="13"/>
      <c r="G627" s="14"/>
      <c r="H627" s="14"/>
    </row>
    <row r="628" spans="1:8" ht="30.4" x14ac:dyDescent="0.45">
      <c r="A628" s="11">
        <v>7</v>
      </c>
      <c r="B628" s="12" t="s">
        <v>156</v>
      </c>
      <c r="C628" s="13">
        <v>3</v>
      </c>
      <c r="D628" s="13"/>
      <c r="E628" s="13"/>
      <c r="F628" s="13"/>
      <c r="G628" s="14"/>
      <c r="H628" s="14"/>
    </row>
    <row r="629" spans="1:8" ht="30.4" x14ac:dyDescent="0.45">
      <c r="A629" s="11">
        <v>8</v>
      </c>
      <c r="B629" s="12" t="s">
        <v>155</v>
      </c>
      <c r="C629" s="13">
        <v>1</v>
      </c>
      <c r="D629" s="13"/>
      <c r="E629" s="13"/>
      <c r="F629" s="13"/>
      <c r="G629" s="14"/>
      <c r="H629" s="14"/>
    </row>
    <row r="630" spans="1:8" ht="60.4" x14ac:dyDescent="0.45">
      <c r="A630" s="11">
        <v>9</v>
      </c>
      <c r="B630" s="12" t="s">
        <v>154</v>
      </c>
      <c r="C630" s="13">
        <v>1</v>
      </c>
      <c r="D630" s="13"/>
      <c r="E630" s="13"/>
      <c r="F630" s="13"/>
      <c r="G630" s="14"/>
      <c r="H630" s="14"/>
    </row>
    <row r="631" spans="1:8" ht="60.4" x14ac:dyDescent="0.45">
      <c r="A631" s="11">
        <v>10</v>
      </c>
      <c r="B631" s="12" t="s">
        <v>71</v>
      </c>
      <c r="C631" s="13">
        <v>2</v>
      </c>
      <c r="D631" s="13"/>
      <c r="E631" s="13"/>
      <c r="F631" s="13"/>
      <c r="G631" s="14"/>
      <c r="H631" s="14"/>
    </row>
    <row r="632" spans="1:8" ht="60.4" x14ac:dyDescent="0.45">
      <c r="A632" s="11">
        <v>11</v>
      </c>
      <c r="B632" s="12" t="s">
        <v>69</v>
      </c>
      <c r="C632" s="13">
        <v>2</v>
      </c>
      <c r="D632" s="13"/>
      <c r="E632" s="13"/>
      <c r="F632" s="13"/>
      <c r="G632" s="14"/>
      <c r="H632" s="14"/>
    </row>
    <row r="633" spans="1:8" ht="45.4" x14ac:dyDescent="0.45">
      <c r="A633" s="11">
        <v>12</v>
      </c>
      <c r="B633" s="12" t="s">
        <v>153</v>
      </c>
      <c r="C633" s="13">
        <v>6</v>
      </c>
      <c r="D633" s="13"/>
      <c r="E633" s="13"/>
      <c r="F633" s="13"/>
      <c r="G633" s="14"/>
      <c r="H633" s="14"/>
    </row>
    <row r="634" spans="1:8" ht="45.4" x14ac:dyDescent="0.45">
      <c r="A634" s="11">
        <v>13</v>
      </c>
      <c r="B634" s="12" t="s">
        <v>152</v>
      </c>
      <c r="C634" s="13">
        <v>1</v>
      </c>
      <c r="D634" s="13"/>
      <c r="E634" s="13"/>
      <c r="F634" s="13"/>
      <c r="G634" s="14"/>
      <c r="H634" s="14"/>
    </row>
    <row r="635" spans="1:8" ht="60.4" x14ac:dyDescent="0.45">
      <c r="A635" s="11">
        <v>14</v>
      </c>
      <c r="B635" s="12" t="s">
        <v>151</v>
      </c>
      <c r="C635" s="13">
        <v>1</v>
      </c>
      <c r="D635" s="13"/>
      <c r="E635" s="13"/>
      <c r="F635" s="13"/>
      <c r="G635" s="14"/>
      <c r="H635" s="14"/>
    </row>
    <row r="636" spans="1:8" ht="45.4" x14ac:dyDescent="0.45">
      <c r="A636" s="11">
        <v>15</v>
      </c>
      <c r="B636" s="12" t="s">
        <v>64</v>
      </c>
      <c r="C636" s="13">
        <v>2</v>
      </c>
      <c r="D636" s="13"/>
      <c r="E636" s="13"/>
      <c r="F636" s="13"/>
      <c r="G636" s="14"/>
      <c r="H636" s="14"/>
    </row>
    <row r="637" spans="1:8" ht="45.4" x14ac:dyDescent="0.45">
      <c r="A637" s="11">
        <v>16</v>
      </c>
      <c r="B637" s="12" t="s">
        <v>63</v>
      </c>
      <c r="C637" s="13">
        <v>2</v>
      </c>
      <c r="D637" s="13"/>
      <c r="E637" s="13"/>
      <c r="F637" s="13"/>
      <c r="G637" s="14"/>
      <c r="H637" s="14"/>
    </row>
    <row r="638" spans="1:8" ht="90.4" x14ac:dyDescent="0.45">
      <c r="A638" s="11">
        <v>17</v>
      </c>
      <c r="B638" s="12" t="s">
        <v>150</v>
      </c>
      <c r="C638" s="13">
        <v>1</v>
      </c>
      <c r="D638" s="13"/>
      <c r="E638" s="13"/>
      <c r="F638" s="13"/>
      <c r="G638" s="14"/>
      <c r="H638" s="14"/>
    </row>
    <row r="639" spans="1:8" ht="30.4" x14ac:dyDescent="0.45">
      <c r="A639" s="11">
        <v>18</v>
      </c>
      <c r="B639" s="12" t="s">
        <v>149</v>
      </c>
      <c r="C639" s="13">
        <v>1</v>
      </c>
      <c r="D639" s="13"/>
      <c r="E639" s="13"/>
      <c r="F639" s="13"/>
      <c r="G639" s="14"/>
      <c r="H639" s="14"/>
    </row>
    <row r="640" spans="1:8" ht="45.4" x14ac:dyDescent="0.45">
      <c r="A640" s="11">
        <v>19</v>
      </c>
      <c r="B640" s="12" t="s">
        <v>148</v>
      </c>
      <c r="C640" s="13">
        <v>1</v>
      </c>
      <c r="D640" s="13"/>
      <c r="E640" s="13"/>
      <c r="F640" s="13"/>
      <c r="G640" s="14"/>
      <c r="H640" s="14"/>
    </row>
    <row r="641" spans="1:8" ht="90.4" x14ac:dyDescent="0.45">
      <c r="A641" s="11">
        <v>20</v>
      </c>
      <c r="B641" s="12" t="s">
        <v>61</v>
      </c>
      <c r="C641" s="13">
        <v>1</v>
      </c>
      <c r="D641" s="13"/>
      <c r="E641" s="13"/>
      <c r="F641" s="13"/>
      <c r="G641" s="14"/>
      <c r="H641" s="14"/>
    </row>
    <row r="642" spans="1:8" ht="30.4" x14ac:dyDescent="0.45">
      <c r="A642" s="11">
        <v>21</v>
      </c>
      <c r="B642" s="12" t="s">
        <v>147</v>
      </c>
      <c r="C642" s="13">
        <v>1</v>
      </c>
      <c r="D642" s="13"/>
      <c r="E642" s="13"/>
      <c r="F642" s="13"/>
      <c r="G642" s="14"/>
      <c r="H642" s="14"/>
    </row>
    <row r="643" spans="1:8" ht="75.400000000000006" x14ac:dyDescent="0.45">
      <c r="A643" s="11">
        <v>22</v>
      </c>
      <c r="B643" s="12" t="s">
        <v>146</v>
      </c>
      <c r="C643" s="13">
        <v>1</v>
      </c>
      <c r="D643" s="13"/>
      <c r="E643" s="13"/>
      <c r="F643" s="13"/>
      <c r="G643" s="14"/>
      <c r="H643" s="14"/>
    </row>
    <row r="644" spans="1:8" ht="75.400000000000006" x14ac:dyDescent="0.45">
      <c r="A644" s="11">
        <v>23</v>
      </c>
      <c r="B644" s="12" t="s">
        <v>145</v>
      </c>
      <c r="C644" s="13">
        <v>1</v>
      </c>
      <c r="D644" s="13"/>
      <c r="E644" s="13"/>
      <c r="F644" s="13"/>
      <c r="G644" s="14"/>
      <c r="H644" s="14"/>
    </row>
    <row r="645" spans="1:8" ht="90.4" x14ac:dyDescent="0.45">
      <c r="A645" s="11">
        <v>24</v>
      </c>
      <c r="B645" s="12" t="s">
        <v>144</v>
      </c>
      <c r="C645" s="13">
        <v>1</v>
      </c>
      <c r="D645" s="13"/>
      <c r="E645" s="13"/>
      <c r="F645" s="13"/>
      <c r="G645" s="14"/>
      <c r="H645" s="14"/>
    </row>
    <row r="646" spans="1:8" ht="75.400000000000006" x14ac:dyDescent="0.45">
      <c r="A646" s="11">
        <v>25</v>
      </c>
      <c r="B646" s="12" t="s">
        <v>143</v>
      </c>
      <c r="C646" s="13">
        <v>1</v>
      </c>
      <c r="D646" s="13"/>
      <c r="E646" s="13"/>
      <c r="F646" s="13"/>
      <c r="G646" s="14"/>
      <c r="H646" s="14"/>
    </row>
    <row r="647" spans="1:8" ht="60.4" x14ac:dyDescent="0.45">
      <c r="A647" s="11">
        <v>26</v>
      </c>
      <c r="B647" s="12" t="s">
        <v>141</v>
      </c>
      <c r="C647" s="13">
        <v>1</v>
      </c>
      <c r="D647" s="13"/>
      <c r="E647" s="13"/>
      <c r="F647" s="13"/>
      <c r="G647" s="14"/>
      <c r="H647" s="14"/>
    </row>
    <row r="648" spans="1:8" ht="180.4" x14ac:dyDescent="0.45">
      <c r="A648" s="11">
        <v>27</v>
      </c>
      <c r="B648" s="12" t="s">
        <v>142</v>
      </c>
      <c r="C648" s="13">
        <v>1</v>
      </c>
      <c r="D648" s="13"/>
      <c r="E648" s="13"/>
      <c r="F648" s="13"/>
      <c r="G648" s="14"/>
      <c r="H648" s="14"/>
    </row>
    <row r="649" spans="1:8" s="60" customFormat="1" ht="15.4" x14ac:dyDescent="0.45">
      <c r="A649" s="15"/>
      <c r="B649" s="16"/>
      <c r="C649" s="17">
        <f>SUM(C622:C648)</f>
        <v>47</v>
      </c>
      <c r="D649" s="45"/>
      <c r="E649" s="45"/>
      <c r="F649" s="130" t="s">
        <v>17</v>
      </c>
      <c r="G649" s="131"/>
      <c r="H649" s="120"/>
    </row>
    <row r="650" spans="1:8" s="60" customFormat="1" x14ac:dyDescent="0.45">
      <c r="B650" s="112"/>
      <c r="C650" s="72"/>
      <c r="D650" s="72"/>
      <c r="E650" s="72"/>
      <c r="F650" s="72"/>
      <c r="G650" s="72"/>
    </row>
    <row r="651" spans="1:8" ht="15.4" customHeight="1" x14ac:dyDescent="0.45">
      <c r="A651" s="124" t="s">
        <v>441</v>
      </c>
      <c r="B651" s="125"/>
      <c r="C651" s="125"/>
      <c r="D651" s="125"/>
      <c r="E651" s="125"/>
      <c r="F651" s="125"/>
      <c r="G651" s="125"/>
      <c r="H651" s="126"/>
    </row>
    <row r="652" spans="1:8" ht="30" x14ac:dyDescent="0.45">
      <c r="A652" s="51" t="s">
        <v>21</v>
      </c>
      <c r="B652" s="51" t="s">
        <v>20</v>
      </c>
      <c r="C652" s="51" t="s">
        <v>19</v>
      </c>
      <c r="D652" s="51" t="s">
        <v>523</v>
      </c>
      <c r="E652" s="51" t="s">
        <v>524</v>
      </c>
      <c r="F652" s="51" t="s">
        <v>525</v>
      </c>
      <c r="G652" s="52" t="s">
        <v>18</v>
      </c>
      <c r="H652" s="52" t="s">
        <v>17</v>
      </c>
    </row>
    <row r="653" spans="1:8" ht="75.400000000000006" x14ac:dyDescent="0.45">
      <c r="A653" s="13">
        <v>1</v>
      </c>
      <c r="B653" s="12" t="s">
        <v>16</v>
      </c>
      <c r="C653" s="22">
        <v>1</v>
      </c>
      <c r="D653" s="55"/>
      <c r="E653" s="55"/>
      <c r="F653" s="55"/>
      <c r="G653" s="49"/>
      <c r="H653" s="14"/>
    </row>
    <row r="654" spans="1:8" ht="75.400000000000006" x14ac:dyDescent="0.45">
      <c r="A654" s="13">
        <v>2</v>
      </c>
      <c r="B654" s="12" t="s">
        <v>15</v>
      </c>
      <c r="C654" s="22">
        <v>6</v>
      </c>
      <c r="D654" s="55"/>
      <c r="E654" s="55"/>
      <c r="F654" s="55"/>
      <c r="G654" s="49"/>
      <c r="H654" s="14"/>
    </row>
    <row r="655" spans="1:8" ht="75.400000000000006" x14ac:dyDescent="0.45">
      <c r="A655" s="13">
        <v>3</v>
      </c>
      <c r="B655" s="12" t="s">
        <v>14</v>
      </c>
      <c r="C655" s="22">
        <v>2</v>
      </c>
      <c r="D655" s="55"/>
      <c r="E655" s="55"/>
      <c r="F655" s="55"/>
      <c r="G655" s="49"/>
      <c r="H655" s="14"/>
    </row>
    <row r="656" spans="1:8" ht="75.400000000000006" x14ac:dyDescent="0.45">
      <c r="A656" s="13">
        <v>4</v>
      </c>
      <c r="B656" s="12" t="s">
        <v>13</v>
      </c>
      <c r="C656" s="22">
        <v>1</v>
      </c>
      <c r="D656" s="55"/>
      <c r="E656" s="55"/>
      <c r="F656" s="55"/>
      <c r="G656" s="49"/>
      <c r="H656" s="14"/>
    </row>
    <row r="657" spans="1:8" ht="75.400000000000006" x14ac:dyDescent="0.45">
      <c r="A657" s="13">
        <v>5</v>
      </c>
      <c r="B657" s="12" t="s">
        <v>12</v>
      </c>
      <c r="C657" s="22">
        <v>2</v>
      </c>
      <c r="D657" s="55"/>
      <c r="E657" s="55"/>
      <c r="F657" s="55"/>
      <c r="G657" s="49"/>
      <c r="H657" s="14"/>
    </row>
    <row r="658" spans="1:8" ht="75.400000000000006" x14ac:dyDescent="0.45">
      <c r="A658" s="13">
        <v>6</v>
      </c>
      <c r="B658" s="12" t="s">
        <v>11</v>
      </c>
      <c r="C658" s="22">
        <v>2</v>
      </c>
      <c r="D658" s="55"/>
      <c r="E658" s="55"/>
      <c r="F658" s="55"/>
      <c r="G658" s="49"/>
      <c r="H658" s="14"/>
    </row>
    <row r="659" spans="1:8" ht="105.4" x14ac:dyDescent="0.45">
      <c r="A659" s="13">
        <v>7</v>
      </c>
      <c r="B659" s="12" t="s">
        <v>10</v>
      </c>
      <c r="C659" s="22">
        <v>2</v>
      </c>
      <c r="D659" s="55"/>
      <c r="E659" s="55"/>
      <c r="F659" s="55"/>
      <c r="G659" s="49"/>
      <c r="H659" s="14"/>
    </row>
    <row r="660" spans="1:8" ht="75.400000000000006" x14ac:dyDescent="0.45">
      <c r="A660" s="13">
        <v>8</v>
      </c>
      <c r="B660" s="12" t="s">
        <v>9</v>
      </c>
      <c r="C660" s="22">
        <v>1</v>
      </c>
      <c r="D660" s="55"/>
      <c r="E660" s="55"/>
      <c r="F660" s="55"/>
      <c r="G660" s="49"/>
      <c r="H660" s="14"/>
    </row>
    <row r="661" spans="1:8" ht="75.400000000000006" x14ac:dyDescent="0.45">
      <c r="A661" s="13">
        <v>9</v>
      </c>
      <c r="B661" s="12" t="s">
        <v>8</v>
      </c>
      <c r="C661" s="22">
        <v>1</v>
      </c>
      <c r="D661" s="55"/>
      <c r="E661" s="55"/>
      <c r="F661" s="55"/>
      <c r="G661" s="49"/>
      <c r="H661" s="14"/>
    </row>
    <row r="662" spans="1:8" ht="90.4" x14ac:dyDescent="0.45">
      <c r="A662" s="13">
        <v>10</v>
      </c>
      <c r="B662" s="12" t="s">
        <v>7</v>
      </c>
      <c r="C662" s="22">
        <v>1</v>
      </c>
      <c r="D662" s="55"/>
      <c r="E662" s="55"/>
      <c r="F662" s="55"/>
      <c r="G662" s="49"/>
      <c r="H662" s="14"/>
    </row>
    <row r="663" spans="1:8" ht="75.400000000000006" x14ac:dyDescent="0.45">
      <c r="A663" s="13">
        <v>11</v>
      </c>
      <c r="B663" s="12" t="s">
        <v>6</v>
      </c>
      <c r="C663" s="22">
        <v>2</v>
      </c>
      <c r="D663" s="55"/>
      <c r="E663" s="55"/>
      <c r="F663" s="55"/>
      <c r="G663" s="49"/>
      <c r="H663" s="14"/>
    </row>
    <row r="664" spans="1:8" ht="75.400000000000006" x14ac:dyDescent="0.45">
      <c r="A664" s="13">
        <v>12</v>
      </c>
      <c r="B664" s="12" t="s">
        <v>5</v>
      </c>
      <c r="C664" s="22">
        <v>4</v>
      </c>
      <c r="D664" s="55"/>
      <c r="E664" s="55"/>
      <c r="F664" s="55"/>
      <c r="G664" s="49"/>
      <c r="H664" s="14"/>
    </row>
    <row r="665" spans="1:8" ht="60.4" x14ac:dyDescent="0.45">
      <c r="A665" s="13">
        <v>13</v>
      </c>
      <c r="B665" s="12" t="s">
        <v>4</v>
      </c>
      <c r="C665" s="22">
        <v>2</v>
      </c>
      <c r="D665" s="55"/>
      <c r="E665" s="55"/>
      <c r="F665" s="55"/>
      <c r="G665" s="49"/>
      <c r="H665" s="14"/>
    </row>
    <row r="666" spans="1:8" ht="60.4" x14ac:dyDescent="0.45">
      <c r="A666" s="13">
        <v>14</v>
      </c>
      <c r="B666" s="12" t="s">
        <v>3</v>
      </c>
      <c r="C666" s="22">
        <v>2</v>
      </c>
      <c r="D666" s="55"/>
      <c r="E666" s="55"/>
      <c r="F666" s="55"/>
      <c r="G666" s="49"/>
      <c r="H666" s="14"/>
    </row>
    <row r="667" spans="1:8" ht="75.400000000000006" x14ac:dyDescent="0.45">
      <c r="A667" s="13">
        <v>15</v>
      </c>
      <c r="B667" s="12" t="s">
        <v>2</v>
      </c>
      <c r="C667" s="22">
        <v>2</v>
      </c>
      <c r="D667" s="55"/>
      <c r="E667" s="55"/>
      <c r="F667" s="55"/>
      <c r="G667" s="49"/>
      <c r="H667" s="14"/>
    </row>
    <row r="668" spans="1:8" ht="60.4" x14ac:dyDescent="0.45">
      <c r="A668" s="13">
        <v>16</v>
      </c>
      <c r="B668" s="12" t="s">
        <v>1</v>
      </c>
      <c r="C668" s="22">
        <v>2</v>
      </c>
      <c r="D668" s="55"/>
      <c r="E668" s="55"/>
      <c r="F668" s="55"/>
      <c r="G668" s="49"/>
      <c r="H668" s="14"/>
    </row>
    <row r="669" spans="1:8" ht="150.4" x14ac:dyDescent="0.45">
      <c r="A669" s="13">
        <v>34</v>
      </c>
      <c r="B669" s="12" t="s">
        <v>0</v>
      </c>
      <c r="C669" s="22">
        <v>1</v>
      </c>
      <c r="D669" s="55"/>
      <c r="E669" s="55"/>
      <c r="F669" s="55"/>
      <c r="G669" s="14"/>
      <c r="H669" s="14"/>
    </row>
    <row r="670" spans="1:8" s="60" customFormat="1" ht="15.4" x14ac:dyDescent="0.45">
      <c r="A670" s="15"/>
      <c r="B670" s="19"/>
      <c r="C670" s="20">
        <f>SUM(C653:C669)</f>
        <v>34</v>
      </c>
      <c r="D670" s="20"/>
      <c r="E670" s="20"/>
      <c r="F670" s="130" t="s">
        <v>17</v>
      </c>
      <c r="G670" s="131"/>
      <c r="H670" s="120"/>
    </row>
    <row r="671" spans="1:8" s="60" customFormat="1" ht="15.4" x14ac:dyDescent="0.45">
      <c r="A671" s="15"/>
      <c r="B671" s="46"/>
      <c r="C671" s="47"/>
      <c r="D671" s="45"/>
      <c r="E671" s="45"/>
      <c r="F671" s="45"/>
      <c r="G671" s="9"/>
      <c r="H671" s="9"/>
    </row>
    <row r="672" spans="1:8" ht="15.4" customHeight="1" x14ac:dyDescent="0.45">
      <c r="A672" s="124" t="s">
        <v>459</v>
      </c>
      <c r="B672" s="125"/>
      <c r="C672" s="125"/>
      <c r="D672" s="125"/>
      <c r="E672" s="125"/>
      <c r="F672" s="125"/>
      <c r="G672" s="125"/>
      <c r="H672" s="126"/>
    </row>
    <row r="673" spans="1:8" ht="30" x14ac:dyDescent="0.45">
      <c r="A673" s="51" t="s">
        <v>21</v>
      </c>
      <c r="B673" s="51" t="s">
        <v>20</v>
      </c>
      <c r="C673" s="51" t="s">
        <v>19</v>
      </c>
      <c r="D673" s="51" t="s">
        <v>523</v>
      </c>
      <c r="E673" s="51" t="s">
        <v>524</v>
      </c>
      <c r="F673" s="51" t="s">
        <v>525</v>
      </c>
      <c r="G673" s="52" t="s">
        <v>18</v>
      </c>
      <c r="H673" s="52" t="s">
        <v>17</v>
      </c>
    </row>
    <row r="674" spans="1:8" ht="75.400000000000006" x14ac:dyDescent="0.45">
      <c r="A674" s="13">
        <v>1</v>
      </c>
      <c r="B674" s="12" t="s">
        <v>54</v>
      </c>
      <c r="C674" s="22">
        <v>2</v>
      </c>
      <c r="D674" s="55"/>
      <c r="E674" s="55"/>
      <c r="F674" s="55"/>
      <c r="G674" s="49"/>
      <c r="H674" s="14"/>
    </row>
    <row r="675" spans="1:8" ht="30.4" x14ac:dyDescent="0.45">
      <c r="A675" s="13">
        <v>2</v>
      </c>
      <c r="B675" s="12" t="s">
        <v>53</v>
      </c>
      <c r="C675" s="22">
        <v>1</v>
      </c>
      <c r="D675" s="55"/>
      <c r="E675" s="55"/>
      <c r="F675" s="55"/>
      <c r="G675" s="49"/>
      <c r="H675" s="14"/>
    </row>
    <row r="676" spans="1:8" ht="45.4" x14ac:dyDescent="0.45">
      <c r="A676" s="13">
        <v>3</v>
      </c>
      <c r="B676" s="12" t="s">
        <v>52</v>
      </c>
      <c r="C676" s="22">
        <v>1</v>
      </c>
      <c r="D676" s="55"/>
      <c r="E676" s="55"/>
      <c r="F676" s="55"/>
      <c r="G676" s="49"/>
      <c r="H676" s="14"/>
    </row>
    <row r="677" spans="1:8" ht="45.4" x14ac:dyDescent="0.45">
      <c r="A677" s="13">
        <v>4</v>
      </c>
      <c r="B677" s="12" t="s">
        <v>51</v>
      </c>
      <c r="C677" s="22">
        <v>2</v>
      </c>
      <c r="D677" s="55"/>
      <c r="E677" s="55"/>
      <c r="F677" s="55"/>
      <c r="G677" s="49"/>
      <c r="H677" s="14"/>
    </row>
    <row r="678" spans="1:8" ht="60.4" x14ac:dyDescent="0.45">
      <c r="A678" s="13">
        <v>5</v>
      </c>
      <c r="B678" s="12" t="s">
        <v>50</v>
      </c>
      <c r="C678" s="22">
        <v>2</v>
      </c>
      <c r="D678" s="55"/>
      <c r="E678" s="55"/>
      <c r="F678" s="55"/>
      <c r="G678" s="49"/>
      <c r="H678" s="14"/>
    </row>
    <row r="679" spans="1:8" ht="60.4" x14ac:dyDescent="0.45">
      <c r="A679" s="13">
        <v>6</v>
      </c>
      <c r="B679" s="12" t="s">
        <v>49</v>
      </c>
      <c r="C679" s="22">
        <v>1</v>
      </c>
      <c r="D679" s="55"/>
      <c r="E679" s="55"/>
      <c r="F679" s="55"/>
      <c r="G679" s="49"/>
      <c r="H679" s="14"/>
    </row>
    <row r="680" spans="1:8" ht="15.4" x14ac:dyDescent="0.45">
      <c r="A680" s="13">
        <v>7</v>
      </c>
      <c r="B680" s="12" t="s">
        <v>48</v>
      </c>
      <c r="C680" s="22">
        <v>1</v>
      </c>
      <c r="D680" s="55"/>
      <c r="E680" s="55"/>
      <c r="F680" s="55"/>
      <c r="G680" s="49"/>
      <c r="H680" s="14"/>
    </row>
    <row r="681" spans="1:8" ht="60.4" x14ac:dyDescent="0.45">
      <c r="A681" s="13">
        <v>8</v>
      </c>
      <c r="B681" s="12" t="s">
        <v>47</v>
      </c>
      <c r="C681" s="22">
        <v>1</v>
      </c>
      <c r="D681" s="55"/>
      <c r="E681" s="55"/>
      <c r="F681" s="55"/>
      <c r="G681" s="49"/>
      <c r="H681" s="14"/>
    </row>
    <row r="682" spans="1:8" ht="60.4" x14ac:dyDescent="0.45">
      <c r="A682" s="13">
        <v>9</v>
      </c>
      <c r="B682" s="12" t="s">
        <v>46</v>
      </c>
      <c r="C682" s="22">
        <v>1</v>
      </c>
      <c r="D682" s="55"/>
      <c r="E682" s="55"/>
      <c r="F682" s="55"/>
      <c r="G682" s="49"/>
      <c r="H682" s="14"/>
    </row>
    <row r="683" spans="1:8" ht="60.4" x14ac:dyDescent="0.45">
      <c r="A683" s="13">
        <v>10</v>
      </c>
      <c r="B683" s="12" t="s">
        <v>45</v>
      </c>
      <c r="C683" s="22">
        <v>1</v>
      </c>
      <c r="D683" s="55"/>
      <c r="E683" s="55"/>
      <c r="F683" s="55"/>
      <c r="G683" s="49"/>
      <c r="H683" s="14"/>
    </row>
    <row r="684" spans="1:8" ht="45.4" x14ac:dyDescent="0.45">
      <c r="A684" s="13">
        <v>11</v>
      </c>
      <c r="B684" s="12" t="s">
        <v>44</v>
      </c>
      <c r="C684" s="22">
        <v>1</v>
      </c>
      <c r="D684" s="55"/>
      <c r="E684" s="55"/>
      <c r="F684" s="55"/>
      <c r="G684" s="49"/>
      <c r="H684" s="14"/>
    </row>
    <row r="685" spans="1:8" ht="45.4" x14ac:dyDescent="0.45">
      <c r="A685" s="13">
        <v>12</v>
      </c>
      <c r="B685" s="12" t="s">
        <v>43</v>
      </c>
      <c r="C685" s="22">
        <v>4</v>
      </c>
      <c r="D685" s="55"/>
      <c r="E685" s="55"/>
      <c r="F685" s="55"/>
      <c r="G685" s="49"/>
      <c r="H685" s="14"/>
    </row>
    <row r="686" spans="1:8" ht="60.4" x14ac:dyDescent="0.45">
      <c r="A686" s="13">
        <v>13</v>
      </c>
      <c r="B686" s="12" t="s">
        <v>42</v>
      </c>
      <c r="C686" s="22">
        <v>2</v>
      </c>
      <c r="D686" s="55"/>
      <c r="E686" s="55"/>
      <c r="F686" s="55"/>
      <c r="G686" s="49"/>
      <c r="H686" s="14"/>
    </row>
    <row r="687" spans="1:8" ht="45.4" x14ac:dyDescent="0.45">
      <c r="A687" s="13">
        <v>14</v>
      </c>
      <c r="B687" s="12" t="s">
        <v>41</v>
      </c>
      <c r="C687" s="22">
        <v>2</v>
      </c>
      <c r="D687" s="55"/>
      <c r="E687" s="55"/>
      <c r="F687" s="55"/>
      <c r="G687" s="49"/>
      <c r="H687" s="14"/>
    </row>
    <row r="688" spans="1:8" ht="30.4" x14ac:dyDescent="0.45">
      <c r="A688" s="13">
        <v>15</v>
      </c>
      <c r="B688" s="12" t="s">
        <v>40</v>
      </c>
      <c r="C688" s="22">
        <v>6</v>
      </c>
      <c r="D688" s="55"/>
      <c r="E688" s="55"/>
      <c r="F688" s="55"/>
      <c r="G688" s="49"/>
      <c r="H688" s="14"/>
    </row>
    <row r="689" spans="1:8" ht="30.4" x14ac:dyDescent="0.45">
      <c r="A689" s="13">
        <v>16</v>
      </c>
      <c r="B689" s="12" t="s">
        <v>39</v>
      </c>
      <c r="C689" s="22">
        <v>1</v>
      </c>
      <c r="D689" s="55"/>
      <c r="E689" s="55"/>
      <c r="F689" s="55"/>
      <c r="G689" s="49"/>
      <c r="H689" s="14"/>
    </row>
    <row r="690" spans="1:8" ht="30.4" x14ac:dyDescent="0.45">
      <c r="A690" s="13">
        <v>17</v>
      </c>
      <c r="B690" s="12" t="s">
        <v>38</v>
      </c>
      <c r="C690" s="22">
        <v>1</v>
      </c>
      <c r="D690" s="55"/>
      <c r="E690" s="55"/>
      <c r="F690" s="55"/>
      <c r="G690" s="49"/>
      <c r="H690" s="14"/>
    </row>
    <row r="691" spans="1:8" ht="60.4" x14ac:dyDescent="0.45">
      <c r="A691" s="13">
        <v>18</v>
      </c>
      <c r="B691" s="12" t="s">
        <v>37</v>
      </c>
      <c r="C691" s="22">
        <v>6</v>
      </c>
      <c r="D691" s="55"/>
      <c r="E691" s="55"/>
      <c r="F691" s="55"/>
      <c r="G691" s="49"/>
      <c r="H691" s="14"/>
    </row>
    <row r="692" spans="1:8" ht="30.4" x14ac:dyDescent="0.45">
      <c r="A692" s="13">
        <v>19</v>
      </c>
      <c r="B692" s="12" t="s">
        <v>36</v>
      </c>
      <c r="C692" s="22">
        <v>6</v>
      </c>
      <c r="D692" s="55"/>
      <c r="E692" s="55"/>
      <c r="F692" s="55"/>
      <c r="G692" s="49"/>
      <c r="H692" s="14"/>
    </row>
    <row r="693" spans="1:8" ht="45.4" x14ac:dyDescent="0.45">
      <c r="A693" s="13">
        <v>20</v>
      </c>
      <c r="B693" s="12" t="s">
        <v>35</v>
      </c>
      <c r="C693" s="22">
        <v>2</v>
      </c>
      <c r="D693" s="55"/>
      <c r="E693" s="55"/>
      <c r="F693" s="55"/>
      <c r="G693" s="49"/>
      <c r="H693" s="14"/>
    </row>
    <row r="694" spans="1:8" ht="45.4" x14ac:dyDescent="0.45">
      <c r="A694" s="13">
        <v>21</v>
      </c>
      <c r="B694" s="12" t="s">
        <v>34</v>
      </c>
      <c r="C694" s="22">
        <v>2</v>
      </c>
      <c r="D694" s="55"/>
      <c r="E694" s="55"/>
      <c r="F694" s="55"/>
      <c r="G694" s="49"/>
      <c r="H694" s="14"/>
    </row>
    <row r="695" spans="1:8" ht="45.4" x14ac:dyDescent="0.45">
      <c r="A695" s="13">
        <v>22</v>
      </c>
      <c r="B695" s="12" t="s">
        <v>33</v>
      </c>
      <c r="C695" s="22">
        <v>4</v>
      </c>
      <c r="D695" s="55"/>
      <c r="E695" s="55"/>
      <c r="F695" s="55"/>
      <c r="G695" s="49"/>
      <c r="H695" s="14"/>
    </row>
    <row r="696" spans="1:8" ht="45.4" x14ac:dyDescent="0.45">
      <c r="A696" s="13">
        <v>23</v>
      </c>
      <c r="B696" s="12" t="s">
        <v>32</v>
      </c>
      <c r="C696" s="22">
        <v>4</v>
      </c>
      <c r="D696" s="55"/>
      <c r="E696" s="55"/>
      <c r="F696" s="55"/>
      <c r="G696" s="49"/>
      <c r="H696" s="14"/>
    </row>
    <row r="697" spans="1:8" ht="45.4" x14ac:dyDescent="0.45">
      <c r="A697" s="13">
        <v>24</v>
      </c>
      <c r="B697" s="12" t="s">
        <v>31</v>
      </c>
      <c r="C697" s="22">
        <v>1</v>
      </c>
      <c r="D697" s="55"/>
      <c r="E697" s="55"/>
      <c r="F697" s="55"/>
      <c r="G697" s="49"/>
      <c r="H697" s="14"/>
    </row>
    <row r="698" spans="1:8" ht="45.4" x14ac:dyDescent="0.45">
      <c r="A698" s="13">
        <v>25</v>
      </c>
      <c r="B698" s="12" t="s">
        <v>30</v>
      </c>
      <c r="C698" s="22">
        <v>1</v>
      </c>
      <c r="D698" s="55"/>
      <c r="E698" s="55"/>
      <c r="F698" s="55"/>
      <c r="G698" s="49"/>
      <c r="H698" s="14"/>
    </row>
    <row r="699" spans="1:8" ht="45.4" x14ac:dyDescent="0.45">
      <c r="A699" s="13">
        <v>26</v>
      </c>
      <c r="B699" s="12" t="s">
        <v>29</v>
      </c>
      <c r="C699" s="22">
        <v>1</v>
      </c>
      <c r="D699" s="55"/>
      <c r="E699" s="55"/>
      <c r="F699" s="55"/>
      <c r="G699" s="49"/>
      <c r="H699" s="14"/>
    </row>
    <row r="700" spans="1:8" ht="45.4" x14ac:dyDescent="0.45">
      <c r="A700" s="13">
        <v>27</v>
      </c>
      <c r="B700" s="12" t="s">
        <v>28</v>
      </c>
      <c r="C700" s="22">
        <v>1</v>
      </c>
      <c r="D700" s="55"/>
      <c r="E700" s="55"/>
      <c r="F700" s="55"/>
      <c r="G700" s="49"/>
      <c r="H700" s="14"/>
    </row>
    <row r="701" spans="1:8" ht="45.4" x14ac:dyDescent="0.45">
      <c r="A701" s="13">
        <v>28</v>
      </c>
      <c r="B701" s="12" t="s">
        <v>27</v>
      </c>
      <c r="C701" s="22">
        <v>1</v>
      </c>
      <c r="D701" s="55"/>
      <c r="E701" s="55"/>
      <c r="F701" s="55"/>
      <c r="G701" s="49"/>
      <c r="H701" s="14"/>
    </row>
    <row r="702" spans="1:8" ht="60.4" x14ac:dyDescent="0.45">
      <c r="A702" s="13">
        <v>29</v>
      </c>
      <c r="B702" s="12" t="s">
        <v>26</v>
      </c>
      <c r="C702" s="22">
        <v>1</v>
      </c>
      <c r="D702" s="55"/>
      <c r="E702" s="55"/>
      <c r="F702" s="55"/>
      <c r="G702" s="49"/>
      <c r="H702" s="14"/>
    </row>
    <row r="703" spans="1:8" ht="60.4" x14ac:dyDescent="0.45">
      <c r="A703" s="13">
        <v>30</v>
      </c>
      <c r="B703" s="12" t="s">
        <v>25</v>
      </c>
      <c r="C703" s="22">
        <v>1</v>
      </c>
      <c r="D703" s="55"/>
      <c r="E703" s="55"/>
      <c r="F703" s="55"/>
      <c r="G703" s="49"/>
      <c r="H703" s="14"/>
    </row>
    <row r="704" spans="1:8" ht="60.4" x14ac:dyDescent="0.45">
      <c r="A704" s="13">
        <v>31</v>
      </c>
      <c r="B704" s="12" t="s">
        <v>24</v>
      </c>
      <c r="C704" s="22">
        <v>1</v>
      </c>
      <c r="D704" s="55"/>
      <c r="E704" s="55"/>
      <c r="F704" s="55"/>
      <c r="G704" s="49"/>
      <c r="H704" s="14"/>
    </row>
    <row r="705" spans="1:8" ht="75.400000000000006" x14ac:dyDescent="0.45">
      <c r="A705" s="13">
        <v>32</v>
      </c>
      <c r="B705" s="12" t="s">
        <v>23</v>
      </c>
      <c r="C705" s="22">
        <v>1</v>
      </c>
      <c r="D705" s="55"/>
      <c r="E705" s="55"/>
      <c r="F705" s="55"/>
      <c r="G705" s="49"/>
      <c r="H705" s="14"/>
    </row>
    <row r="706" spans="1:8" ht="75.400000000000006" x14ac:dyDescent="0.45">
      <c r="A706" s="13">
        <v>33</v>
      </c>
      <c r="B706" s="12" t="s">
        <v>22</v>
      </c>
      <c r="C706" s="22">
        <v>1</v>
      </c>
      <c r="D706" s="55"/>
      <c r="E706" s="55"/>
      <c r="F706" s="55"/>
      <c r="G706" s="49"/>
      <c r="H706" s="14"/>
    </row>
    <row r="707" spans="1:8" ht="150.4" x14ac:dyDescent="0.45">
      <c r="A707" s="13">
        <v>34</v>
      </c>
      <c r="B707" s="12" t="s">
        <v>0</v>
      </c>
      <c r="C707" s="22">
        <v>1</v>
      </c>
      <c r="D707" s="55"/>
      <c r="E707" s="55"/>
      <c r="F707" s="55"/>
      <c r="G707" s="14"/>
      <c r="H707" s="14"/>
    </row>
    <row r="708" spans="1:8" s="60" customFormat="1" ht="15.4" x14ac:dyDescent="0.45">
      <c r="A708" s="15"/>
      <c r="B708" s="19"/>
      <c r="C708" s="20">
        <f>SUM(C674:C707)</f>
        <v>65</v>
      </c>
      <c r="D708" s="20"/>
      <c r="E708" s="20"/>
      <c r="F708" s="130" t="s">
        <v>17</v>
      </c>
      <c r="G708" s="131"/>
      <c r="H708" s="120"/>
    </row>
    <row r="709" spans="1:8" s="60" customFormat="1" ht="15.4" x14ac:dyDescent="0.45">
      <c r="A709" s="15"/>
      <c r="B709" s="46"/>
      <c r="C709" s="47"/>
      <c r="D709" s="45"/>
      <c r="E709" s="45"/>
      <c r="F709" s="45"/>
      <c r="G709" s="9"/>
      <c r="H709" s="9"/>
    </row>
    <row r="710" spans="1:8" ht="15.4" customHeight="1" x14ac:dyDescent="0.45">
      <c r="A710" s="124" t="s">
        <v>458</v>
      </c>
      <c r="B710" s="125"/>
      <c r="C710" s="125"/>
      <c r="D710" s="125"/>
      <c r="E710" s="125"/>
      <c r="F710" s="125"/>
      <c r="G710" s="125"/>
      <c r="H710" s="126"/>
    </row>
    <row r="711" spans="1:8" ht="30" x14ac:dyDescent="0.45">
      <c r="A711" s="51" t="s">
        <v>21</v>
      </c>
      <c r="B711" s="51" t="s">
        <v>20</v>
      </c>
      <c r="C711" s="51" t="s">
        <v>19</v>
      </c>
      <c r="D711" s="51" t="s">
        <v>523</v>
      </c>
      <c r="E711" s="51" t="s">
        <v>524</v>
      </c>
      <c r="F711" s="51" t="s">
        <v>525</v>
      </c>
      <c r="G711" s="52" t="s">
        <v>18</v>
      </c>
      <c r="H711" s="52" t="s">
        <v>17</v>
      </c>
    </row>
    <row r="712" spans="1:8" ht="75.400000000000006" x14ac:dyDescent="0.45">
      <c r="A712" s="11">
        <v>1</v>
      </c>
      <c r="B712" s="12" t="s">
        <v>108</v>
      </c>
      <c r="C712" s="13">
        <v>1</v>
      </c>
      <c r="D712" s="13"/>
      <c r="E712" s="13"/>
      <c r="F712" s="13"/>
      <c r="G712" s="14"/>
      <c r="H712" s="14"/>
    </row>
    <row r="713" spans="1:8" ht="60.4" x14ac:dyDescent="0.45">
      <c r="A713" s="11">
        <v>2</v>
      </c>
      <c r="B713" s="12" t="s">
        <v>107</v>
      </c>
      <c r="C713" s="13">
        <v>2</v>
      </c>
      <c r="D713" s="13"/>
      <c r="E713" s="13"/>
      <c r="F713" s="13"/>
      <c r="G713" s="14"/>
      <c r="H713" s="14"/>
    </row>
    <row r="714" spans="1:8" ht="30.4" x14ac:dyDescent="0.45">
      <c r="A714" s="11">
        <v>3</v>
      </c>
      <c r="B714" s="12" t="s">
        <v>76</v>
      </c>
      <c r="C714" s="13">
        <v>3</v>
      </c>
      <c r="D714" s="13"/>
      <c r="E714" s="13"/>
      <c r="F714" s="13"/>
      <c r="G714" s="14"/>
      <c r="H714" s="14"/>
    </row>
    <row r="715" spans="1:8" ht="30.4" x14ac:dyDescent="0.45">
      <c r="A715" s="11">
        <v>4</v>
      </c>
      <c r="B715" s="12" t="s">
        <v>106</v>
      </c>
      <c r="C715" s="13">
        <v>2</v>
      </c>
      <c r="D715" s="13"/>
      <c r="E715" s="13"/>
      <c r="F715" s="13"/>
      <c r="G715" s="14"/>
      <c r="H715" s="14"/>
    </row>
    <row r="716" spans="1:8" ht="75.400000000000006" x14ac:dyDescent="0.45">
      <c r="A716" s="11">
        <v>5</v>
      </c>
      <c r="B716" s="12" t="s">
        <v>105</v>
      </c>
      <c r="C716" s="13">
        <v>2</v>
      </c>
      <c r="D716" s="13"/>
      <c r="E716" s="13"/>
      <c r="F716" s="13"/>
      <c r="G716" s="14"/>
      <c r="H716" s="14"/>
    </row>
    <row r="717" spans="1:8" ht="90.4" x14ac:dyDescent="0.45">
      <c r="A717" s="11">
        <v>6</v>
      </c>
      <c r="B717" s="12" t="s">
        <v>104</v>
      </c>
      <c r="C717" s="13">
        <v>2</v>
      </c>
      <c r="D717" s="13"/>
      <c r="E717" s="13"/>
      <c r="F717" s="13"/>
      <c r="G717" s="14"/>
      <c r="H717" s="14"/>
    </row>
    <row r="718" spans="1:8" ht="45.4" x14ac:dyDescent="0.45">
      <c r="A718" s="11">
        <v>7</v>
      </c>
      <c r="B718" s="12" t="s">
        <v>103</v>
      </c>
      <c r="C718" s="13">
        <v>2</v>
      </c>
      <c r="D718" s="13"/>
      <c r="E718" s="13"/>
      <c r="F718" s="13"/>
      <c r="G718" s="14"/>
      <c r="H718" s="14"/>
    </row>
    <row r="719" spans="1:8" ht="45.4" x14ac:dyDescent="0.45">
      <c r="A719" s="11">
        <v>8</v>
      </c>
      <c r="B719" s="12" t="s">
        <v>102</v>
      </c>
      <c r="C719" s="13">
        <v>2</v>
      </c>
      <c r="D719" s="13"/>
      <c r="E719" s="13"/>
      <c r="F719" s="13"/>
      <c r="G719" s="14"/>
      <c r="H719" s="14"/>
    </row>
    <row r="720" spans="1:8" ht="45.4" x14ac:dyDescent="0.45">
      <c r="A720" s="11">
        <v>9</v>
      </c>
      <c r="B720" s="12" t="s">
        <v>77</v>
      </c>
      <c r="C720" s="13">
        <v>1</v>
      </c>
      <c r="D720" s="13"/>
      <c r="E720" s="13"/>
      <c r="F720" s="13"/>
      <c r="G720" s="14"/>
      <c r="H720" s="14"/>
    </row>
    <row r="721" spans="1:8" ht="30.4" x14ac:dyDescent="0.45">
      <c r="A721" s="11">
        <v>10</v>
      </c>
      <c r="B721" s="12" t="s">
        <v>78</v>
      </c>
      <c r="C721" s="13">
        <v>1</v>
      </c>
      <c r="D721" s="13"/>
      <c r="E721" s="13"/>
      <c r="F721" s="13"/>
      <c r="G721" s="14"/>
      <c r="H721" s="14"/>
    </row>
    <row r="722" spans="1:8" ht="30.4" x14ac:dyDescent="0.45">
      <c r="A722" s="11">
        <v>11</v>
      </c>
      <c r="B722" s="12" t="s">
        <v>101</v>
      </c>
      <c r="C722" s="13">
        <v>1</v>
      </c>
      <c r="D722" s="13"/>
      <c r="E722" s="13"/>
      <c r="F722" s="13"/>
      <c r="G722" s="14"/>
      <c r="H722" s="14"/>
    </row>
    <row r="723" spans="1:8" ht="30.4" x14ac:dyDescent="0.45">
      <c r="A723" s="11">
        <v>12</v>
      </c>
      <c r="B723" s="12" t="s">
        <v>100</v>
      </c>
      <c r="C723" s="13">
        <v>1</v>
      </c>
      <c r="D723" s="13"/>
      <c r="E723" s="13"/>
      <c r="F723" s="13"/>
      <c r="G723" s="14"/>
      <c r="H723" s="14"/>
    </row>
    <row r="724" spans="1:8" ht="45.4" x14ac:dyDescent="0.45">
      <c r="A724" s="11">
        <v>13</v>
      </c>
      <c r="B724" s="12" t="s">
        <v>99</v>
      </c>
      <c r="C724" s="13">
        <v>1</v>
      </c>
      <c r="D724" s="13"/>
      <c r="E724" s="13"/>
      <c r="F724" s="13"/>
      <c r="G724" s="14"/>
      <c r="H724" s="14"/>
    </row>
    <row r="725" spans="1:8" ht="45.4" x14ac:dyDescent="0.45">
      <c r="A725" s="11">
        <v>14</v>
      </c>
      <c r="B725" s="12" t="s">
        <v>98</v>
      </c>
      <c r="C725" s="13">
        <v>1</v>
      </c>
      <c r="D725" s="13"/>
      <c r="E725" s="13"/>
      <c r="F725" s="13"/>
      <c r="G725" s="14"/>
      <c r="H725" s="14"/>
    </row>
    <row r="726" spans="1:8" ht="60.4" x14ac:dyDescent="0.45">
      <c r="A726" s="11">
        <v>16</v>
      </c>
      <c r="B726" s="12" t="s">
        <v>97</v>
      </c>
      <c r="C726" s="13">
        <v>2</v>
      </c>
      <c r="D726" s="13"/>
      <c r="E726" s="13"/>
      <c r="F726" s="13"/>
      <c r="G726" s="14"/>
      <c r="H726" s="14"/>
    </row>
    <row r="727" spans="1:8" ht="90.4" x14ac:dyDescent="0.45">
      <c r="A727" s="11">
        <v>17</v>
      </c>
      <c r="B727" s="12" t="s">
        <v>96</v>
      </c>
      <c r="C727" s="13">
        <v>1</v>
      </c>
      <c r="D727" s="13"/>
      <c r="E727" s="13"/>
      <c r="F727" s="13"/>
      <c r="G727" s="14"/>
      <c r="H727" s="14"/>
    </row>
    <row r="728" spans="1:8" ht="45.4" x14ac:dyDescent="0.45">
      <c r="A728" s="11">
        <v>18</v>
      </c>
      <c r="B728" s="12" t="s">
        <v>95</v>
      </c>
      <c r="C728" s="13">
        <v>1</v>
      </c>
      <c r="D728" s="13"/>
      <c r="E728" s="13"/>
      <c r="F728" s="13"/>
      <c r="G728" s="14"/>
      <c r="H728" s="14"/>
    </row>
    <row r="729" spans="1:8" ht="45.4" x14ac:dyDescent="0.45">
      <c r="A729" s="11">
        <v>19</v>
      </c>
      <c r="B729" s="12" t="s">
        <v>94</v>
      </c>
      <c r="C729" s="13">
        <v>1</v>
      </c>
      <c r="D729" s="13"/>
      <c r="E729" s="13"/>
      <c r="F729" s="13"/>
      <c r="G729" s="14"/>
      <c r="H729" s="14"/>
    </row>
    <row r="730" spans="1:8" ht="45.4" x14ac:dyDescent="0.45">
      <c r="A730" s="11">
        <v>20</v>
      </c>
      <c r="B730" s="12" t="s">
        <v>93</v>
      </c>
      <c r="C730" s="13">
        <v>1</v>
      </c>
      <c r="D730" s="13"/>
      <c r="E730" s="13"/>
      <c r="F730" s="13"/>
      <c r="G730" s="14"/>
      <c r="H730" s="14"/>
    </row>
    <row r="731" spans="1:8" ht="60.4" x14ac:dyDescent="0.45">
      <c r="A731" s="11">
        <v>21</v>
      </c>
      <c r="B731" s="12" t="s">
        <v>71</v>
      </c>
      <c r="C731" s="13">
        <v>1</v>
      </c>
      <c r="D731" s="13"/>
      <c r="E731" s="13"/>
      <c r="F731" s="13"/>
      <c r="G731" s="14"/>
      <c r="H731" s="14"/>
    </row>
    <row r="732" spans="1:8" ht="60.4" x14ac:dyDescent="0.45">
      <c r="A732" s="11">
        <v>22</v>
      </c>
      <c r="B732" s="12" t="s">
        <v>69</v>
      </c>
      <c r="C732" s="13">
        <v>1</v>
      </c>
      <c r="D732" s="13"/>
      <c r="E732" s="13"/>
      <c r="F732" s="13"/>
      <c r="G732" s="14"/>
      <c r="H732" s="14"/>
    </row>
    <row r="733" spans="1:8" ht="45.4" x14ac:dyDescent="0.45">
      <c r="A733" s="11">
        <v>23</v>
      </c>
      <c r="B733" s="12" t="s">
        <v>72</v>
      </c>
      <c r="C733" s="13">
        <v>2</v>
      </c>
      <c r="D733" s="13"/>
      <c r="E733" s="13"/>
      <c r="F733" s="13"/>
      <c r="G733" s="14"/>
      <c r="H733" s="14"/>
    </row>
    <row r="734" spans="1:8" ht="30.4" x14ac:dyDescent="0.45">
      <c r="A734" s="11">
        <v>24</v>
      </c>
      <c r="B734" s="12" t="s">
        <v>92</v>
      </c>
      <c r="C734" s="13">
        <v>4</v>
      </c>
      <c r="D734" s="13"/>
      <c r="E734" s="13"/>
      <c r="F734" s="13"/>
      <c r="G734" s="14"/>
      <c r="H734" s="14"/>
    </row>
    <row r="735" spans="1:8" ht="60.4" x14ac:dyDescent="0.45">
      <c r="A735" s="11">
        <v>25</v>
      </c>
      <c r="B735" s="12" t="s">
        <v>66</v>
      </c>
      <c r="C735" s="13">
        <v>6</v>
      </c>
      <c r="D735" s="13"/>
      <c r="E735" s="13"/>
      <c r="F735" s="13"/>
      <c r="G735" s="14"/>
      <c r="H735" s="14"/>
    </row>
    <row r="736" spans="1:8" ht="60.4" x14ac:dyDescent="0.45">
      <c r="A736" s="11">
        <v>26</v>
      </c>
      <c r="B736" s="12" t="s">
        <v>65</v>
      </c>
      <c r="C736" s="13">
        <v>6</v>
      </c>
      <c r="D736" s="13"/>
      <c r="E736" s="13"/>
      <c r="F736" s="13"/>
      <c r="G736" s="14"/>
      <c r="H736" s="14"/>
    </row>
    <row r="737" spans="1:8" ht="60.4" x14ac:dyDescent="0.45">
      <c r="A737" s="11">
        <v>27</v>
      </c>
      <c r="B737" s="12" t="s">
        <v>91</v>
      </c>
      <c r="C737" s="13">
        <v>1</v>
      </c>
      <c r="D737" s="13"/>
      <c r="E737" s="13"/>
      <c r="F737" s="13"/>
      <c r="G737" s="14"/>
      <c r="H737" s="14"/>
    </row>
    <row r="738" spans="1:8" ht="45.4" x14ac:dyDescent="0.45">
      <c r="A738" s="11">
        <v>28</v>
      </c>
      <c r="B738" s="12" t="s">
        <v>64</v>
      </c>
      <c r="C738" s="13">
        <v>6</v>
      </c>
      <c r="D738" s="13"/>
      <c r="E738" s="13"/>
      <c r="F738" s="13"/>
      <c r="G738" s="14"/>
      <c r="H738" s="14"/>
    </row>
    <row r="739" spans="1:8" ht="60.4" x14ac:dyDescent="0.45">
      <c r="A739" s="11">
        <v>29</v>
      </c>
      <c r="B739" s="12" t="s">
        <v>62</v>
      </c>
      <c r="C739" s="13">
        <v>2</v>
      </c>
      <c r="D739" s="13"/>
      <c r="E739" s="13"/>
      <c r="F739" s="13"/>
      <c r="G739" s="14"/>
      <c r="H739" s="14"/>
    </row>
    <row r="740" spans="1:8" ht="30.4" x14ac:dyDescent="0.45">
      <c r="A740" s="11">
        <v>30</v>
      </c>
      <c r="B740" s="12" t="s">
        <v>90</v>
      </c>
      <c r="C740" s="13">
        <v>1</v>
      </c>
      <c r="D740" s="13"/>
      <c r="E740" s="13"/>
      <c r="F740" s="13"/>
      <c r="G740" s="14"/>
      <c r="H740" s="14"/>
    </row>
    <row r="741" spans="1:8" ht="45.4" x14ac:dyDescent="0.45">
      <c r="A741" s="11">
        <v>31</v>
      </c>
      <c r="B741" s="12" t="s">
        <v>89</v>
      </c>
      <c r="C741" s="13">
        <v>1</v>
      </c>
      <c r="D741" s="13"/>
      <c r="E741" s="13"/>
      <c r="F741" s="13"/>
      <c r="G741" s="14"/>
      <c r="H741" s="14"/>
    </row>
    <row r="742" spans="1:8" ht="45.4" x14ac:dyDescent="0.45">
      <c r="A742" s="11">
        <v>32</v>
      </c>
      <c r="B742" s="12" t="s">
        <v>89</v>
      </c>
      <c r="C742" s="13">
        <v>1</v>
      </c>
      <c r="D742" s="13"/>
      <c r="E742" s="13"/>
      <c r="F742" s="13"/>
      <c r="G742" s="14"/>
      <c r="H742" s="14"/>
    </row>
    <row r="743" spans="1:8" ht="45.4" x14ac:dyDescent="0.45">
      <c r="A743" s="11">
        <v>33</v>
      </c>
      <c r="B743" s="12" t="s">
        <v>88</v>
      </c>
      <c r="C743" s="13">
        <v>1</v>
      </c>
      <c r="D743" s="13"/>
      <c r="E743" s="13"/>
      <c r="F743" s="13"/>
      <c r="G743" s="14"/>
      <c r="H743" s="14"/>
    </row>
    <row r="744" spans="1:8" ht="30.4" x14ac:dyDescent="0.45">
      <c r="A744" s="11">
        <v>34</v>
      </c>
      <c r="B744" s="12" t="s">
        <v>87</v>
      </c>
      <c r="C744" s="13">
        <v>1</v>
      </c>
      <c r="D744" s="13"/>
      <c r="E744" s="13"/>
      <c r="F744" s="13"/>
      <c r="G744" s="14"/>
      <c r="H744" s="14"/>
    </row>
    <row r="745" spans="1:8" ht="30.4" x14ac:dyDescent="0.45">
      <c r="A745" s="11">
        <v>35</v>
      </c>
      <c r="B745" s="12" t="s">
        <v>87</v>
      </c>
      <c r="C745" s="13">
        <v>1</v>
      </c>
      <c r="D745" s="13"/>
      <c r="E745" s="13"/>
      <c r="F745" s="13"/>
      <c r="G745" s="14"/>
      <c r="H745" s="14"/>
    </row>
    <row r="746" spans="1:8" ht="45.4" x14ac:dyDescent="0.45">
      <c r="A746" s="11">
        <v>36</v>
      </c>
      <c r="B746" s="12" t="s">
        <v>86</v>
      </c>
      <c r="C746" s="13">
        <v>1</v>
      </c>
      <c r="D746" s="13"/>
      <c r="E746" s="13"/>
      <c r="F746" s="13"/>
      <c r="G746" s="14"/>
      <c r="H746" s="14"/>
    </row>
    <row r="747" spans="1:8" ht="90.4" x14ac:dyDescent="0.45">
      <c r="A747" s="11">
        <v>37</v>
      </c>
      <c r="B747" s="12" t="s">
        <v>85</v>
      </c>
      <c r="C747" s="13">
        <v>1</v>
      </c>
      <c r="D747" s="13"/>
      <c r="E747" s="13"/>
      <c r="F747" s="13"/>
      <c r="G747" s="14"/>
      <c r="H747" s="14"/>
    </row>
    <row r="748" spans="1:8" ht="90.4" x14ac:dyDescent="0.45">
      <c r="A748" s="11">
        <v>38</v>
      </c>
      <c r="B748" s="12" t="s">
        <v>84</v>
      </c>
      <c r="C748" s="13">
        <v>1</v>
      </c>
      <c r="D748" s="13"/>
      <c r="E748" s="13"/>
      <c r="F748" s="13"/>
      <c r="G748" s="14"/>
      <c r="H748" s="14"/>
    </row>
    <row r="749" spans="1:8" ht="60.4" x14ac:dyDescent="0.45">
      <c r="A749" s="11">
        <v>39</v>
      </c>
      <c r="B749" s="12" t="s">
        <v>83</v>
      </c>
      <c r="C749" s="13">
        <v>1</v>
      </c>
      <c r="D749" s="13"/>
      <c r="E749" s="13"/>
      <c r="F749" s="13"/>
      <c r="G749" s="14"/>
      <c r="H749" s="14"/>
    </row>
    <row r="750" spans="1:8" ht="60.4" x14ac:dyDescent="0.45">
      <c r="A750" s="11">
        <v>40</v>
      </c>
      <c r="B750" s="12" t="s">
        <v>82</v>
      </c>
      <c r="C750" s="13">
        <v>1</v>
      </c>
      <c r="D750" s="13"/>
      <c r="E750" s="13"/>
      <c r="F750" s="13"/>
      <c r="G750" s="14"/>
      <c r="H750" s="14"/>
    </row>
    <row r="751" spans="1:8" ht="150.4" x14ac:dyDescent="0.45">
      <c r="A751" s="11">
        <v>41</v>
      </c>
      <c r="B751" s="12" t="s">
        <v>0</v>
      </c>
      <c r="C751" s="13">
        <v>1</v>
      </c>
      <c r="D751" s="13"/>
      <c r="E751" s="13"/>
      <c r="F751" s="13"/>
      <c r="G751" s="14"/>
      <c r="H751" s="14"/>
    </row>
    <row r="752" spans="1:8" s="60" customFormat="1" ht="15.4" x14ac:dyDescent="0.45">
      <c r="A752" s="15"/>
      <c r="B752" s="16"/>
      <c r="C752" s="17">
        <f>SUM(C712:C751)</f>
        <v>69</v>
      </c>
      <c r="D752" s="45"/>
      <c r="E752" s="45"/>
      <c r="F752" s="130" t="s">
        <v>17</v>
      </c>
      <c r="G752" s="131"/>
      <c r="H752" s="120"/>
    </row>
    <row r="753" spans="1:8" s="60" customFormat="1" x14ac:dyDescent="0.45">
      <c r="B753" s="112"/>
      <c r="C753" s="72"/>
      <c r="D753" s="72"/>
      <c r="E753" s="72"/>
      <c r="F753" s="72"/>
      <c r="G753" s="72"/>
    </row>
    <row r="754" spans="1:8" ht="15.4" customHeight="1" x14ac:dyDescent="0.45">
      <c r="A754" s="124" t="s">
        <v>442</v>
      </c>
      <c r="B754" s="125"/>
      <c r="C754" s="125"/>
      <c r="D754" s="125"/>
      <c r="E754" s="125"/>
      <c r="F754" s="125"/>
      <c r="G754" s="125"/>
      <c r="H754" s="126"/>
    </row>
    <row r="755" spans="1:8" ht="30" x14ac:dyDescent="0.45">
      <c r="A755" s="51" t="s">
        <v>21</v>
      </c>
      <c r="B755" s="51" t="s">
        <v>20</v>
      </c>
      <c r="C755" s="51" t="s">
        <v>19</v>
      </c>
      <c r="D755" s="51" t="s">
        <v>523</v>
      </c>
      <c r="E755" s="51" t="s">
        <v>524</v>
      </c>
      <c r="F755" s="51" t="s">
        <v>525</v>
      </c>
      <c r="G755" s="52" t="s">
        <v>18</v>
      </c>
      <c r="H755" s="52" t="s">
        <v>17</v>
      </c>
    </row>
    <row r="756" spans="1:8" ht="60.4" x14ac:dyDescent="0.45">
      <c r="A756" s="11">
        <v>1</v>
      </c>
      <c r="B756" s="12" t="s">
        <v>81</v>
      </c>
      <c r="C756" s="13">
        <v>1</v>
      </c>
      <c r="D756" s="13"/>
      <c r="E756" s="13"/>
      <c r="F756" s="13"/>
      <c r="G756" s="14"/>
      <c r="H756" s="14"/>
    </row>
    <row r="757" spans="1:8" ht="15.4" x14ac:dyDescent="0.45">
      <c r="A757" s="11">
        <v>2</v>
      </c>
      <c r="B757" s="12" t="s">
        <v>80</v>
      </c>
      <c r="C757" s="13">
        <v>1</v>
      </c>
      <c r="D757" s="13"/>
      <c r="E757" s="13"/>
      <c r="F757" s="13"/>
      <c r="G757" s="14"/>
      <c r="H757" s="14"/>
    </row>
    <row r="758" spans="1:8" ht="15.4" x14ac:dyDescent="0.45">
      <c r="A758" s="11">
        <v>3</v>
      </c>
      <c r="B758" s="12" t="s">
        <v>79</v>
      </c>
      <c r="C758" s="13">
        <v>1</v>
      </c>
      <c r="D758" s="13"/>
      <c r="E758" s="13"/>
      <c r="F758" s="13"/>
      <c r="G758" s="14"/>
      <c r="H758" s="14"/>
    </row>
    <row r="759" spans="1:8" ht="30.4" x14ac:dyDescent="0.45">
      <c r="A759" s="11">
        <v>4</v>
      </c>
      <c r="B759" s="12" t="s">
        <v>78</v>
      </c>
      <c r="C759" s="13">
        <v>1</v>
      </c>
      <c r="D759" s="13"/>
      <c r="E759" s="13"/>
      <c r="F759" s="13"/>
      <c r="G759" s="14"/>
      <c r="H759" s="14"/>
    </row>
    <row r="760" spans="1:8" ht="45.4" x14ac:dyDescent="0.45">
      <c r="A760" s="11">
        <v>5</v>
      </c>
      <c r="B760" s="12" t="s">
        <v>77</v>
      </c>
      <c r="C760" s="13">
        <v>1</v>
      </c>
      <c r="D760" s="13"/>
      <c r="E760" s="13"/>
      <c r="F760" s="13"/>
      <c r="G760" s="14"/>
      <c r="H760" s="14"/>
    </row>
    <row r="761" spans="1:8" ht="30.4" x14ac:dyDescent="0.45">
      <c r="A761" s="11">
        <v>6</v>
      </c>
      <c r="B761" s="12" t="s">
        <v>76</v>
      </c>
      <c r="C761" s="13">
        <v>4</v>
      </c>
      <c r="D761" s="13"/>
      <c r="E761" s="13"/>
      <c r="F761" s="13"/>
      <c r="G761" s="14"/>
      <c r="H761" s="14"/>
    </row>
    <row r="762" spans="1:8" ht="75.400000000000006" x14ac:dyDescent="0.45">
      <c r="A762" s="11">
        <v>7</v>
      </c>
      <c r="B762" s="12" t="s">
        <v>75</v>
      </c>
      <c r="C762" s="13">
        <v>1</v>
      </c>
      <c r="D762" s="13"/>
      <c r="E762" s="13"/>
      <c r="F762" s="13"/>
      <c r="G762" s="14"/>
      <c r="H762" s="14"/>
    </row>
    <row r="763" spans="1:8" ht="60.4" x14ac:dyDescent="0.45">
      <c r="A763" s="11">
        <v>8</v>
      </c>
      <c r="B763" s="12" t="s">
        <v>74</v>
      </c>
      <c r="C763" s="13">
        <v>10</v>
      </c>
      <c r="D763" s="13"/>
      <c r="E763" s="13"/>
      <c r="F763" s="13"/>
      <c r="G763" s="14"/>
      <c r="H763" s="14"/>
    </row>
    <row r="764" spans="1:8" ht="60.4" x14ac:dyDescent="0.45">
      <c r="A764" s="11">
        <v>9</v>
      </c>
      <c r="B764" s="12" t="s">
        <v>73</v>
      </c>
      <c r="C764" s="13">
        <v>1</v>
      </c>
      <c r="D764" s="13"/>
      <c r="E764" s="13"/>
      <c r="F764" s="13"/>
      <c r="G764" s="14"/>
      <c r="H764" s="14"/>
    </row>
    <row r="765" spans="1:8" ht="45.4" x14ac:dyDescent="0.45">
      <c r="A765" s="11">
        <v>10</v>
      </c>
      <c r="B765" s="12" t="s">
        <v>72</v>
      </c>
      <c r="C765" s="13">
        <v>2</v>
      </c>
      <c r="D765" s="13"/>
      <c r="E765" s="13"/>
      <c r="F765" s="13"/>
      <c r="G765" s="14"/>
      <c r="H765" s="14"/>
    </row>
    <row r="766" spans="1:8" ht="60.4" x14ac:dyDescent="0.45">
      <c r="A766" s="11">
        <v>11</v>
      </c>
      <c r="B766" s="12" t="s">
        <v>71</v>
      </c>
      <c r="C766" s="13">
        <v>2</v>
      </c>
      <c r="D766" s="13"/>
      <c r="E766" s="13"/>
      <c r="F766" s="13"/>
      <c r="G766" s="14"/>
      <c r="H766" s="14"/>
    </row>
    <row r="767" spans="1:8" ht="60.4" x14ac:dyDescent="0.45">
      <c r="A767" s="11">
        <v>12</v>
      </c>
      <c r="B767" s="12" t="s">
        <v>70</v>
      </c>
      <c r="C767" s="13">
        <v>1</v>
      </c>
      <c r="D767" s="13"/>
      <c r="E767" s="13"/>
      <c r="F767" s="13"/>
      <c r="G767" s="14"/>
      <c r="H767" s="14"/>
    </row>
    <row r="768" spans="1:8" ht="60.4" x14ac:dyDescent="0.45">
      <c r="A768" s="11">
        <v>13</v>
      </c>
      <c r="B768" s="12" t="s">
        <v>69</v>
      </c>
      <c r="C768" s="13">
        <v>2</v>
      </c>
      <c r="D768" s="13"/>
      <c r="E768" s="13"/>
      <c r="F768" s="13"/>
      <c r="G768" s="14"/>
      <c r="H768" s="14"/>
    </row>
    <row r="769" spans="1:8" ht="60.4" x14ac:dyDescent="0.45">
      <c r="A769" s="11">
        <v>14</v>
      </c>
      <c r="B769" s="12" t="s">
        <v>68</v>
      </c>
      <c r="C769" s="13">
        <v>1</v>
      </c>
      <c r="D769" s="13"/>
      <c r="E769" s="13"/>
      <c r="F769" s="13"/>
      <c r="G769" s="14"/>
      <c r="H769" s="14"/>
    </row>
    <row r="770" spans="1:8" ht="45.4" x14ac:dyDescent="0.45">
      <c r="A770" s="11">
        <v>15</v>
      </c>
      <c r="B770" s="12" t="s">
        <v>67</v>
      </c>
      <c r="C770" s="13">
        <v>2</v>
      </c>
      <c r="D770" s="13"/>
      <c r="E770" s="13"/>
      <c r="F770" s="13"/>
      <c r="G770" s="14"/>
      <c r="H770" s="14"/>
    </row>
    <row r="771" spans="1:8" ht="60.4" x14ac:dyDescent="0.45">
      <c r="A771" s="11">
        <v>16</v>
      </c>
      <c r="B771" s="12" t="s">
        <v>66</v>
      </c>
      <c r="C771" s="13">
        <v>6</v>
      </c>
      <c r="D771" s="13"/>
      <c r="E771" s="13"/>
      <c r="F771" s="13"/>
      <c r="G771" s="14"/>
      <c r="H771" s="14"/>
    </row>
    <row r="772" spans="1:8" ht="60.4" x14ac:dyDescent="0.45">
      <c r="A772" s="11">
        <v>17</v>
      </c>
      <c r="B772" s="12" t="s">
        <v>65</v>
      </c>
      <c r="C772" s="13">
        <v>4</v>
      </c>
      <c r="D772" s="13"/>
      <c r="E772" s="13"/>
      <c r="F772" s="13"/>
      <c r="G772" s="14"/>
      <c r="H772" s="14"/>
    </row>
    <row r="773" spans="1:8" ht="45.4" x14ac:dyDescent="0.45">
      <c r="A773" s="11">
        <v>18</v>
      </c>
      <c r="B773" s="12" t="s">
        <v>64</v>
      </c>
      <c r="C773" s="13">
        <v>6</v>
      </c>
      <c r="D773" s="13"/>
      <c r="E773" s="13"/>
      <c r="F773" s="13"/>
      <c r="G773" s="14"/>
      <c r="H773" s="14"/>
    </row>
    <row r="774" spans="1:8" ht="45.4" x14ac:dyDescent="0.45">
      <c r="A774" s="11">
        <v>19</v>
      </c>
      <c r="B774" s="12" t="s">
        <v>63</v>
      </c>
      <c r="C774" s="13">
        <v>4</v>
      </c>
      <c r="D774" s="13"/>
      <c r="E774" s="13"/>
      <c r="F774" s="13"/>
      <c r="G774" s="14"/>
      <c r="H774" s="14"/>
    </row>
    <row r="775" spans="1:8" ht="60.4" x14ac:dyDescent="0.45">
      <c r="A775" s="11">
        <v>20</v>
      </c>
      <c r="B775" s="12" t="s">
        <v>62</v>
      </c>
      <c r="C775" s="13">
        <v>2</v>
      </c>
      <c r="D775" s="13"/>
      <c r="E775" s="13"/>
      <c r="F775" s="13"/>
      <c r="G775" s="14"/>
      <c r="H775" s="14"/>
    </row>
    <row r="776" spans="1:8" ht="90.4" x14ac:dyDescent="0.45">
      <c r="A776" s="11">
        <v>21</v>
      </c>
      <c r="B776" s="12" t="s">
        <v>61</v>
      </c>
      <c r="C776" s="13">
        <v>1</v>
      </c>
      <c r="D776" s="13"/>
      <c r="E776" s="13"/>
      <c r="F776" s="13"/>
      <c r="G776" s="14"/>
      <c r="H776" s="14"/>
    </row>
    <row r="777" spans="1:8" ht="60.4" x14ac:dyDescent="0.45">
      <c r="A777" s="11">
        <v>22</v>
      </c>
      <c r="B777" s="12" t="s">
        <v>60</v>
      </c>
      <c r="C777" s="13">
        <v>1</v>
      </c>
      <c r="D777" s="13"/>
      <c r="E777" s="13"/>
      <c r="F777" s="13"/>
      <c r="G777" s="14"/>
      <c r="H777" s="14"/>
    </row>
    <row r="778" spans="1:8" ht="60.4" x14ac:dyDescent="0.45">
      <c r="A778" s="11">
        <v>23</v>
      </c>
      <c r="B778" s="12" t="s">
        <v>59</v>
      </c>
      <c r="C778" s="13">
        <v>1</v>
      </c>
      <c r="D778" s="13"/>
      <c r="E778" s="13"/>
      <c r="F778" s="13"/>
      <c r="G778" s="14"/>
      <c r="H778" s="14"/>
    </row>
    <row r="779" spans="1:8" ht="60.4" x14ac:dyDescent="0.45">
      <c r="A779" s="11">
        <v>24</v>
      </c>
      <c r="B779" s="12" t="s">
        <v>58</v>
      </c>
      <c r="C779" s="13">
        <v>1</v>
      </c>
      <c r="D779" s="13"/>
      <c r="E779" s="13"/>
      <c r="F779" s="13"/>
      <c r="G779" s="14"/>
      <c r="H779" s="14"/>
    </row>
    <row r="780" spans="1:8" ht="60.4" x14ac:dyDescent="0.45">
      <c r="A780" s="11">
        <v>25</v>
      </c>
      <c r="B780" s="12" t="s">
        <v>57</v>
      </c>
      <c r="C780" s="13">
        <v>1</v>
      </c>
      <c r="D780" s="13"/>
      <c r="E780" s="13"/>
      <c r="F780" s="13"/>
      <c r="G780" s="14"/>
      <c r="H780" s="14"/>
    </row>
    <row r="781" spans="1:8" ht="60.4" x14ac:dyDescent="0.45">
      <c r="A781" s="11">
        <v>26</v>
      </c>
      <c r="B781" s="12" t="s">
        <v>56</v>
      </c>
      <c r="C781" s="13">
        <v>1</v>
      </c>
      <c r="D781" s="13"/>
      <c r="E781" s="13"/>
      <c r="F781" s="13"/>
      <c r="G781" s="14"/>
      <c r="H781" s="14"/>
    </row>
    <row r="782" spans="1:8" ht="60.4" x14ac:dyDescent="0.45">
      <c r="A782" s="11">
        <v>27</v>
      </c>
      <c r="B782" s="12" t="s">
        <v>55</v>
      </c>
      <c r="C782" s="13">
        <v>2</v>
      </c>
      <c r="D782" s="13"/>
      <c r="E782" s="13"/>
      <c r="F782" s="13"/>
      <c r="G782" s="14"/>
      <c r="H782" s="14"/>
    </row>
    <row r="783" spans="1:8" ht="150.4" x14ac:dyDescent="0.45">
      <c r="A783" s="11">
        <v>28</v>
      </c>
      <c r="B783" s="12" t="s">
        <v>0</v>
      </c>
      <c r="C783" s="13">
        <v>1</v>
      </c>
      <c r="D783" s="13"/>
      <c r="E783" s="13"/>
      <c r="F783" s="13"/>
      <c r="G783" s="14"/>
      <c r="H783" s="14"/>
    </row>
    <row r="784" spans="1:8" ht="15.4" x14ac:dyDescent="0.45">
      <c r="A784" s="15"/>
      <c r="B784" s="16"/>
      <c r="C784" s="17">
        <f>SUM(C756:C783)</f>
        <v>62</v>
      </c>
      <c r="D784" s="45"/>
      <c r="E784" s="45"/>
      <c r="F784" s="130" t="s">
        <v>17</v>
      </c>
      <c r="G784" s="131"/>
      <c r="H784" s="120"/>
    </row>
    <row r="785" spans="1:8" ht="15.4" x14ac:dyDescent="0.45">
      <c r="A785" s="15"/>
      <c r="B785" s="46"/>
      <c r="C785" s="47"/>
      <c r="D785" s="45"/>
      <c r="E785" s="45"/>
      <c r="F785" s="45"/>
      <c r="G785" s="9"/>
      <c r="H785" s="9"/>
    </row>
    <row r="786" spans="1:8" ht="15.4" customHeight="1" x14ac:dyDescent="0.45">
      <c r="A786" s="124" t="s">
        <v>460</v>
      </c>
      <c r="B786" s="125"/>
      <c r="C786" s="125"/>
      <c r="D786" s="125"/>
      <c r="E786" s="125"/>
      <c r="F786" s="125"/>
      <c r="G786" s="125"/>
      <c r="H786" s="126"/>
    </row>
    <row r="787" spans="1:8" ht="30" x14ac:dyDescent="0.45">
      <c r="A787" s="51" t="s">
        <v>21</v>
      </c>
      <c r="B787" s="51" t="s">
        <v>20</v>
      </c>
      <c r="C787" s="51" t="s">
        <v>19</v>
      </c>
      <c r="D787" s="51" t="s">
        <v>523</v>
      </c>
      <c r="E787" s="51" t="s">
        <v>524</v>
      </c>
      <c r="F787" s="51" t="s">
        <v>525</v>
      </c>
      <c r="G787" s="52" t="s">
        <v>18</v>
      </c>
      <c r="H787" s="52" t="s">
        <v>17</v>
      </c>
    </row>
    <row r="788" spans="1:8" ht="60.4" x14ac:dyDescent="0.45">
      <c r="A788" s="11">
        <v>1</v>
      </c>
      <c r="B788" s="12" t="s">
        <v>81</v>
      </c>
      <c r="C788" s="13">
        <v>2</v>
      </c>
      <c r="D788" s="13"/>
      <c r="E788" s="13"/>
      <c r="F788" s="13"/>
      <c r="G788" s="14"/>
      <c r="H788" s="14"/>
    </row>
    <row r="789" spans="1:8" ht="60.4" x14ac:dyDescent="0.45">
      <c r="A789" s="11">
        <v>2</v>
      </c>
      <c r="B789" s="12" t="s">
        <v>107</v>
      </c>
      <c r="C789" s="13">
        <v>2</v>
      </c>
      <c r="D789" s="13"/>
      <c r="E789" s="13"/>
      <c r="F789" s="13"/>
      <c r="G789" s="14"/>
      <c r="H789" s="14"/>
    </row>
    <row r="790" spans="1:8" ht="75.400000000000006" x14ac:dyDescent="0.45">
      <c r="A790" s="11">
        <v>3</v>
      </c>
      <c r="B790" s="12" t="s">
        <v>137</v>
      </c>
      <c r="C790" s="13">
        <v>2</v>
      </c>
      <c r="D790" s="13"/>
      <c r="E790" s="13"/>
      <c r="F790" s="13"/>
      <c r="G790" s="14"/>
      <c r="H790" s="14"/>
    </row>
    <row r="791" spans="1:8" ht="75.400000000000006" x14ac:dyDescent="0.45">
      <c r="A791" s="11">
        <v>4</v>
      </c>
      <c r="B791" s="12" t="s">
        <v>136</v>
      </c>
      <c r="C791" s="13">
        <v>1</v>
      </c>
      <c r="D791" s="13"/>
      <c r="E791" s="13"/>
      <c r="F791" s="13"/>
      <c r="G791" s="14"/>
      <c r="H791" s="14"/>
    </row>
    <row r="792" spans="1:8" ht="60.4" x14ac:dyDescent="0.45">
      <c r="A792" s="11">
        <v>5</v>
      </c>
      <c r="B792" s="12" t="s">
        <v>135</v>
      </c>
      <c r="C792" s="13">
        <v>1</v>
      </c>
      <c r="D792" s="13"/>
      <c r="E792" s="13"/>
      <c r="F792" s="13"/>
      <c r="G792" s="14"/>
      <c r="H792" s="14"/>
    </row>
    <row r="793" spans="1:8" ht="60.4" x14ac:dyDescent="0.45">
      <c r="A793" s="11">
        <v>6</v>
      </c>
      <c r="B793" s="12" t="s">
        <v>134</v>
      </c>
      <c r="C793" s="13">
        <v>1</v>
      </c>
      <c r="D793" s="13"/>
      <c r="E793" s="13"/>
      <c r="F793" s="13"/>
      <c r="G793" s="14"/>
      <c r="H793" s="14"/>
    </row>
    <row r="794" spans="1:8" ht="90.4" x14ac:dyDescent="0.45">
      <c r="A794" s="11">
        <v>7</v>
      </c>
      <c r="B794" s="12" t="s">
        <v>104</v>
      </c>
      <c r="C794" s="13">
        <v>2</v>
      </c>
      <c r="D794" s="13"/>
      <c r="E794" s="13"/>
      <c r="F794" s="13"/>
      <c r="G794" s="14"/>
      <c r="H794" s="14"/>
    </row>
    <row r="795" spans="1:8" ht="30.4" x14ac:dyDescent="0.45">
      <c r="A795" s="11">
        <v>8</v>
      </c>
      <c r="B795" s="12" t="s">
        <v>133</v>
      </c>
      <c r="C795" s="13">
        <v>1</v>
      </c>
      <c r="D795" s="13"/>
      <c r="E795" s="13"/>
      <c r="F795" s="13"/>
      <c r="G795" s="14"/>
      <c r="H795" s="14"/>
    </row>
    <row r="796" spans="1:8" ht="30.4" x14ac:dyDescent="0.45">
      <c r="A796" s="11">
        <v>9</v>
      </c>
      <c r="B796" s="12" t="s">
        <v>132</v>
      </c>
      <c r="C796" s="13">
        <v>1</v>
      </c>
      <c r="D796" s="13"/>
      <c r="E796" s="13"/>
      <c r="F796" s="13"/>
      <c r="G796" s="14"/>
      <c r="H796" s="14"/>
    </row>
    <row r="797" spans="1:8" ht="45.4" x14ac:dyDescent="0.45">
      <c r="A797" s="11">
        <v>10</v>
      </c>
      <c r="B797" s="12" t="s">
        <v>131</v>
      </c>
      <c r="C797" s="13">
        <v>1</v>
      </c>
      <c r="D797" s="13"/>
      <c r="E797" s="13"/>
      <c r="F797" s="13"/>
      <c r="G797" s="14"/>
      <c r="H797" s="14"/>
    </row>
    <row r="798" spans="1:8" ht="30.4" x14ac:dyDescent="0.45">
      <c r="A798" s="11">
        <v>11</v>
      </c>
      <c r="B798" s="12" t="s">
        <v>76</v>
      </c>
      <c r="C798" s="13">
        <v>3</v>
      </c>
      <c r="D798" s="13"/>
      <c r="E798" s="13"/>
      <c r="F798" s="13"/>
      <c r="G798" s="14"/>
      <c r="H798" s="14"/>
    </row>
    <row r="799" spans="1:8" ht="45.4" x14ac:dyDescent="0.45">
      <c r="A799" s="11">
        <v>12</v>
      </c>
      <c r="B799" s="12" t="s">
        <v>99</v>
      </c>
      <c r="C799" s="13">
        <v>1</v>
      </c>
      <c r="D799" s="13"/>
      <c r="E799" s="13"/>
      <c r="F799" s="13"/>
      <c r="G799" s="14"/>
      <c r="H799" s="14"/>
    </row>
    <row r="800" spans="1:8" ht="60.4" x14ac:dyDescent="0.45">
      <c r="A800" s="11">
        <v>13</v>
      </c>
      <c r="B800" s="12" t="s">
        <v>130</v>
      </c>
      <c r="C800" s="13">
        <v>1</v>
      </c>
      <c r="D800" s="13"/>
      <c r="E800" s="13"/>
      <c r="F800" s="13"/>
      <c r="G800" s="14"/>
      <c r="H800" s="14"/>
    </row>
    <row r="801" spans="1:8" ht="30.4" x14ac:dyDescent="0.45">
      <c r="A801" s="11">
        <v>14</v>
      </c>
      <c r="B801" s="12" t="s">
        <v>129</v>
      </c>
      <c r="C801" s="13">
        <v>1</v>
      </c>
      <c r="D801" s="13"/>
      <c r="E801" s="13"/>
      <c r="F801" s="13"/>
      <c r="G801" s="14"/>
      <c r="H801" s="14"/>
    </row>
    <row r="802" spans="1:8" ht="30.4" x14ac:dyDescent="0.45">
      <c r="A802" s="11">
        <v>15</v>
      </c>
      <c r="B802" s="12" t="s">
        <v>128</v>
      </c>
      <c r="C802" s="13">
        <v>1</v>
      </c>
      <c r="D802" s="13"/>
      <c r="E802" s="13"/>
      <c r="F802" s="13"/>
      <c r="G802" s="14"/>
      <c r="H802" s="14"/>
    </row>
    <row r="803" spans="1:8" ht="45.4" x14ac:dyDescent="0.45">
      <c r="A803" s="11">
        <v>16</v>
      </c>
      <c r="B803" s="12" t="s">
        <v>127</v>
      </c>
      <c r="C803" s="13">
        <v>1</v>
      </c>
      <c r="D803" s="13"/>
      <c r="E803" s="13"/>
      <c r="F803" s="13"/>
      <c r="G803" s="14"/>
      <c r="H803" s="14"/>
    </row>
    <row r="804" spans="1:8" ht="45.4" x14ac:dyDescent="0.45">
      <c r="A804" s="11">
        <v>17</v>
      </c>
      <c r="B804" s="12" t="s">
        <v>126</v>
      </c>
      <c r="C804" s="13">
        <v>1</v>
      </c>
      <c r="D804" s="13"/>
      <c r="E804" s="13"/>
      <c r="F804" s="13"/>
      <c r="G804" s="14"/>
      <c r="H804" s="14"/>
    </row>
    <row r="805" spans="1:8" ht="45.4" x14ac:dyDescent="0.45">
      <c r="A805" s="11">
        <v>18</v>
      </c>
      <c r="B805" s="12" t="s">
        <v>125</v>
      </c>
      <c r="C805" s="13">
        <v>1</v>
      </c>
      <c r="D805" s="13"/>
      <c r="E805" s="13"/>
      <c r="F805" s="13"/>
      <c r="G805" s="14"/>
      <c r="H805" s="14"/>
    </row>
    <row r="806" spans="1:8" ht="30.4" x14ac:dyDescent="0.45">
      <c r="A806" s="11">
        <v>19</v>
      </c>
      <c r="B806" s="12" t="s">
        <v>124</v>
      </c>
      <c r="C806" s="13">
        <v>1</v>
      </c>
      <c r="D806" s="13"/>
      <c r="E806" s="13"/>
      <c r="F806" s="13"/>
      <c r="G806" s="14"/>
      <c r="H806" s="14"/>
    </row>
    <row r="807" spans="1:8" ht="60.4" x14ac:dyDescent="0.45">
      <c r="A807" s="11">
        <v>20</v>
      </c>
      <c r="B807" s="12" t="s">
        <v>123</v>
      </c>
      <c r="C807" s="13">
        <v>2</v>
      </c>
      <c r="D807" s="13"/>
      <c r="E807" s="13"/>
      <c r="F807" s="13"/>
      <c r="G807" s="14"/>
      <c r="H807" s="14"/>
    </row>
    <row r="808" spans="1:8" ht="60.4" x14ac:dyDescent="0.45">
      <c r="A808" s="11">
        <v>21</v>
      </c>
      <c r="B808" s="12" t="s">
        <v>70</v>
      </c>
      <c r="C808" s="13">
        <v>2</v>
      </c>
      <c r="D808" s="13"/>
      <c r="E808" s="13"/>
      <c r="F808" s="13"/>
      <c r="G808" s="14"/>
      <c r="H808" s="14"/>
    </row>
    <row r="809" spans="1:8" ht="60.4" x14ac:dyDescent="0.45">
      <c r="A809" s="11">
        <v>22</v>
      </c>
      <c r="B809" s="12" t="s">
        <v>71</v>
      </c>
      <c r="C809" s="13">
        <v>1</v>
      </c>
      <c r="D809" s="13"/>
      <c r="E809" s="13"/>
      <c r="F809" s="13"/>
      <c r="G809" s="14"/>
      <c r="H809" s="14"/>
    </row>
    <row r="810" spans="1:8" ht="60.4" x14ac:dyDescent="0.45">
      <c r="A810" s="11">
        <v>23</v>
      </c>
      <c r="B810" s="12" t="s">
        <v>69</v>
      </c>
      <c r="C810" s="13">
        <v>1</v>
      </c>
      <c r="D810" s="13"/>
      <c r="E810" s="13"/>
      <c r="F810" s="13"/>
      <c r="G810" s="14"/>
      <c r="H810" s="14"/>
    </row>
    <row r="811" spans="1:8" ht="60.4" x14ac:dyDescent="0.45">
      <c r="A811" s="11">
        <v>24</v>
      </c>
      <c r="B811" s="12" t="s">
        <v>73</v>
      </c>
      <c r="C811" s="13">
        <v>1</v>
      </c>
      <c r="D811" s="13"/>
      <c r="E811" s="13"/>
      <c r="F811" s="13"/>
      <c r="G811" s="14"/>
      <c r="H811" s="14"/>
    </row>
    <row r="812" spans="1:8" ht="60.4" x14ac:dyDescent="0.45">
      <c r="A812" s="11">
        <v>25</v>
      </c>
      <c r="B812" s="12" t="s">
        <v>122</v>
      </c>
      <c r="C812" s="13">
        <v>2</v>
      </c>
      <c r="D812" s="13"/>
      <c r="E812" s="13"/>
      <c r="F812" s="13"/>
      <c r="G812" s="14"/>
      <c r="H812" s="14"/>
    </row>
    <row r="813" spans="1:8" ht="60.4" x14ac:dyDescent="0.45">
      <c r="A813" s="11">
        <v>26</v>
      </c>
      <c r="B813" s="12" t="s">
        <v>121</v>
      </c>
      <c r="C813" s="13">
        <v>2</v>
      </c>
      <c r="D813" s="13"/>
      <c r="E813" s="13"/>
      <c r="F813" s="13"/>
      <c r="G813" s="14"/>
      <c r="H813" s="14"/>
    </row>
    <row r="814" spans="1:8" ht="45.4" x14ac:dyDescent="0.45">
      <c r="A814" s="11">
        <v>27</v>
      </c>
      <c r="B814" s="12" t="s">
        <v>120</v>
      </c>
      <c r="C814" s="13">
        <v>1</v>
      </c>
      <c r="D814" s="13"/>
      <c r="E814" s="13"/>
      <c r="F814" s="13"/>
      <c r="G814" s="14"/>
      <c r="H814" s="14"/>
    </row>
    <row r="815" spans="1:8" ht="30.4" x14ac:dyDescent="0.45">
      <c r="A815" s="11">
        <v>28</v>
      </c>
      <c r="B815" s="12" t="s">
        <v>119</v>
      </c>
      <c r="C815" s="13">
        <v>1</v>
      </c>
      <c r="D815" s="13"/>
      <c r="E815" s="13"/>
      <c r="F815" s="13"/>
      <c r="G815" s="14"/>
      <c r="H815" s="14"/>
    </row>
    <row r="816" spans="1:8" ht="60.4" x14ac:dyDescent="0.45">
      <c r="A816" s="11">
        <v>29</v>
      </c>
      <c r="B816" s="12" t="s">
        <v>74</v>
      </c>
      <c r="C816" s="13">
        <v>2</v>
      </c>
      <c r="D816" s="13"/>
      <c r="E816" s="13"/>
      <c r="F816" s="13"/>
      <c r="G816" s="14"/>
      <c r="H816" s="14"/>
    </row>
    <row r="817" spans="1:8" ht="60.4" x14ac:dyDescent="0.45">
      <c r="A817" s="11">
        <v>30</v>
      </c>
      <c r="B817" s="12" t="s">
        <v>62</v>
      </c>
      <c r="C817" s="13">
        <v>2</v>
      </c>
      <c r="D817" s="13"/>
      <c r="E817" s="13"/>
      <c r="F817" s="13"/>
      <c r="G817" s="14"/>
      <c r="H817" s="14"/>
    </row>
    <row r="818" spans="1:8" ht="75.400000000000006" x14ac:dyDescent="0.45">
      <c r="A818" s="11">
        <v>31</v>
      </c>
      <c r="B818" s="12" t="s">
        <v>118</v>
      </c>
      <c r="C818" s="13">
        <v>2</v>
      </c>
      <c r="D818" s="13"/>
      <c r="E818" s="13"/>
      <c r="F818" s="13"/>
      <c r="G818" s="14"/>
      <c r="H818" s="14"/>
    </row>
    <row r="819" spans="1:8" ht="45.4" x14ac:dyDescent="0.45">
      <c r="A819" s="11">
        <v>32</v>
      </c>
      <c r="B819" s="12" t="s">
        <v>64</v>
      </c>
      <c r="C819" s="13">
        <v>5</v>
      </c>
      <c r="D819" s="13"/>
      <c r="E819" s="13"/>
      <c r="F819" s="13"/>
      <c r="G819" s="14"/>
      <c r="H819" s="14"/>
    </row>
    <row r="820" spans="1:8" ht="45.4" x14ac:dyDescent="0.45">
      <c r="A820" s="11">
        <v>33</v>
      </c>
      <c r="B820" s="12" t="s">
        <v>117</v>
      </c>
      <c r="C820" s="13">
        <v>5</v>
      </c>
      <c r="D820" s="13"/>
      <c r="E820" s="13"/>
      <c r="F820" s="13"/>
      <c r="G820" s="14"/>
      <c r="H820" s="14"/>
    </row>
    <row r="821" spans="1:8" ht="60.4" x14ac:dyDescent="0.45">
      <c r="A821" s="11">
        <v>34</v>
      </c>
      <c r="B821" s="12" t="s">
        <v>66</v>
      </c>
      <c r="C821" s="13">
        <v>5</v>
      </c>
      <c r="D821" s="13"/>
      <c r="E821" s="13"/>
      <c r="F821" s="13"/>
      <c r="G821" s="14"/>
      <c r="H821" s="14"/>
    </row>
    <row r="822" spans="1:8" ht="60.4" x14ac:dyDescent="0.45">
      <c r="A822" s="11">
        <v>35</v>
      </c>
      <c r="B822" s="12" t="s">
        <v>65</v>
      </c>
      <c r="C822" s="13">
        <v>5</v>
      </c>
      <c r="D822" s="13"/>
      <c r="E822" s="13"/>
      <c r="F822" s="13"/>
      <c r="G822" s="14"/>
      <c r="H822" s="14"/>
    </row>
    <row r="823" spans="1:8" ht="90.4" x14ac:dyDescent="0.45">
      <c r="A823" s="11">
        <v>36</v>
      </c>
      <c r="B823" s="12" t="s">
        <v>116</v>
      </c>
      <c r="C823" s="13">
        <v>1</v>
      </c>
      <c r="D823" s="13"/>
      <c r="E823" s="13"/>
      <c r="F823" s="13"/>
      <c r="G823" s="14"/>
      <c r="H823" s="14"/>
    </row>
    <row r="824" spans="1:8" ht="60.4" x14ac:dyDescent="0.45">
      <c r="A824" s="11">
        <v>37</v>
      </c>
      <c r="B824" s="12" t="s">
        <v>115</v>
      </c>
      <c r="C824" s="13">
        <v>1</v>
      </c>
      <c r="D824" s="13"/>
      <c r="E824" s="13"/>
      <c r="F824" s="13"/>
      <c r="G824" s="14"/>
      <c r="H824" s="14"/>
    </row>
    <row r="825" spans="1:8" ht="45.4" x14ac:dyDescent="0.45">
      <c r="A825" s="11">
        <v>38</v>
      </c>
      <c r="B825" s="12" t="s">
        <v>89</v>
      </c>
      <c r="C825" s="13">
        <v>1</v>
      </c>
      <c r="D825" s="13"/>
      <c r="E825" s="13"/>
      <c r="F825" s="13"/>
      <c r="G825" s="14"/>
      <c r="H825" s="14"/>
    </row>
    <row r="826" spans="1:8" ht="30.4" x14ac:dyDescent="0.45">
      <c r="A826" s="11">
        <v>39</v>
      </c>
      <c r="B826" s="12" t="s">
        <v>87</v>
      </c>
      <c r="C826" s="48">
        <v>1</v>
      </c>
      <c r="D826" s="48"/>
      <c r="E826" s="48"/>
      <c r="F826" s="48"/>
      <c r="G826" s="14"/>
      <c r="H826" s="14"/>
    </row>
    <row r="827" spans="1:8" ht="30.4" x14ac:dyDescent="0.45">
      <c r="A827" s="11">
        <v>40</v>
      </c>
      <c r="B827" s="12" t="s">
        <v>87</v>
      </c>
      <c r="C827" s="13">
        <v>1</v>
      </c>
      <c r="D827" s="13"/>
      <c r="E827" s="13"/>
      <c r="F827" s="13"/>
      <c r="G827" s="14"/>
      <c r="H827" s="14"/>
    </row>
    <row r="828" spans="1:8" ht="60.4" x14ac:dyDescent="0.45">
      <c r="A828" s="11">
        <v>41</v>
      </c>
      <c r="B828" s="12" t="s">
        <v>114</v>
      </c>
      <c r="C828" s="13">
        <v>1</v>
      </c>
      <c r="D828" s="13"/>
      <c r="E828" s="13"/>
      <c r="F828" s="13"/>
      <c r="G828" s="14"/>
      <c r="H828" s="14"/>
    </row>
    <row r="829" spans="1:8" ht="60.4" x14ac:dyDescent="0.45">
      <c r="A829" s="11">
        <v>42</v>
      </c>
      <c r="B829" s="12" t="s">
        <v>113</v>
      </c>
      <c r="C829" s="13">
        <v>1</v>
      </c>
      <c r="D829" s="13"/>
      <c r="E829" s="13"/>
      <c r="F829" s="13"/>
      <c r="G829" s="14"/>
      <c r="H829" s="14"/>
    </row>
    <row r="830" spans="1:8" ht="60.4" x14ac:dyDescent="0.45">
      <c r="A830" s="11">
        <v>43</v>
      </c>
      <c r="B830" s="12" t="s">
        <v>82</v>
      </c>
      <c r="C830" s="13">
        <v>1</v>
      </c>
      <c r="D830" s="13"/>
      <c r="E830" s="13"/>
      <c r="F830" s="13"/>
      <c r="G830" s="14"/>
      <c r="H830" s="14"/>
    </row>
    <row r="831" spans="1:8" ht="60.4" x14ac:dyDescent="0.45">
      <c r="A831" s="11">
        <v>44</v>
      </c>
      <c r="B831" s="12" t="s">
        <v>112</v>
      </c>
      <c r="C831" s="13">
        <v>1</v>
      </c>
      <c r="D831" s="13"/>
      <c r="E831" s="13"/>
      <c r="F831" s="13"/>
      <c r="G831" s="14"/>
      <c r="H831" s="14"/>
    </row>
    <row r="832" spans="1:8" ht="60.4" x14ac:dyDescent="0.45">
      <c r="A832" s="11">
        <v>45</v>
      </c>
      <c r="B832" s="12" t="s">
        <v>91</v>
      </c>
      <c r="C832" s="13">
        <v>1</v>
      </c>
      <c r="D832" s="13"/>
      <c r="E832" s="13"/>
      <c r="F832" s="13"/>
      <c r="G832" s="14"/>
      <c r="H832" s="14"/>
    </row>
    <row r="833" spans="1:8" ht="60.4" x14ac:dyDescent="0.45">
      <c r="A833" s="11">
        <v>46</v>
      </c>
      <c r="B833" s="12" t="s">
        <v>111</v>
      </c>
      <c r="C833" s="13">
        <v>1</v>
      </c>
      <c r="D833" s="13"/>
      <c r="E833" s="13"/>
      <c r="F833" s="13"/>
      <c r="G833" s="14"/>
      <c r="H833" s="14"/>
    </row>
    <row r="834" spans="1:8" ht="60.4" x14ac:dyDescent="0.45">
      <c r="A834" s="11">
        <v>47</v>
      </c>
      <c r="B834" s="12" t="s">
        <v>110</v>
      </c>
      <c r="C834" s="13">
        <v>1</v>
      </c>
      <c r="D834" s="13"/>
      <c r="E834" s="13"/>
      <c r="F834" s="13"/>
      <c r="G834" s="14"/>
      <c r="H834" s="14"/>
    </row>
    <row r="835" spans="1:8" ht="30.4" x14ac:dyDescent="0.45">
      <c r="A835" s="11">
        <v>48</v>
      </c>
      <c r="B835" s="12" t="s">
        <v>109</v>
      </c>
      <c r="C835" s="13">
        <v>1</v>
      </c>
      <c r="D835" s="13"/>
      <c r="E835" s="13"/>
      <c r="F835" s="13"/>
      <c r="G835" s="14"/>
      <c r="H835" s="14"/>
    </row>
    <row r="836" spans="1:8" ht="150.4" x14ac:dyDescent="0.45">
      <c r="A836" s="11">
        <v>49</v>
      </c>
      <c r="B836" s="12" t="s">
        <v>0</v>
      </c>
      <c r="C836" s="13">
        <v>1</v>
      </c>
      <c r="D836" s="13"/>
      <c r="E836" s="13"/>
      <c r="F836" s="13"/>
      <c r="G836" s="14"/>
      <c r="H836" s="14"/>
    </row>
    <row r="837" spans="1:8" ht="15.4" x14ac:dyDescent="0.45">
      <c r="A837" s="15"/>
      <c r="B837" s="16"/>
      <c r="C837" s="17">
        <f>SUM(C788:C836)</f>
        <v>78</v>
      </c>
      <c r="D837" s="45"/>
      <c r="E837" s="45"/>
      <c r="F837" s="130" t="s">
        <v>17</v>
      </c>
      <c r="G837" s="131"/>
      <c r="H837" s="120"/>
    </row>
    <row r="838" spans="1:8" ht="15.4" x14ac:dyDescent="0.45">
      <c r="A838" s="15"/>
      <c r="B838" s="19"/>
      <c r="C838" s="45"/>
      <c r="D838" s="45"/>
      <c r="E838" s="45"/>
      <c r="F838" s="45"/>
      <c r="G838" s="9"/>
      <c r="H838" s="9"/>
    </row>
    <row r="839" spans="1:8" ht="15.4" customHeight="1" x14ac:dyDescent="0.45">
      <c r="A839" s="124" t="s">
        <v>547</v>
      </c>
      <c r="B839" s="125"/>
      <c r="C839" s="125"/>
      <c r="D839" s="125"/>
      <c r="E839" s="125"/>
      <c r="F839" s="125"/>
      <c r="G839" s="125"/>
      <c r="H839" s="126"/>
    </row>
    <row r="840" spans="1:8" ht="30" x14ac:dyDescent="0.45">
      <c r="A840" s="51" t="s">
        <v>21</v>
      </c>
      <c r="B840" s="51" t="s">
        <v>20</v>
      </c>
      <c r="C840" s="51" t="s">
        <v>19</v>
      </c>
      <c r="D840" s="51" t="s">
        <v>523</v>
      </c>
      <c r="E840" s="51" t="s">
        <v>524</v>
      </c>
      <c r="F840" s="51" t="s">
        <v>525</v>
      </c>
      <c r="G840" s="52" t="s">
        <v>18</v>
      </c>
      <c r="H840" s="52" t="s">
        <v>17</v>
      </c>
    </row>
    <row r="841" spans="1:8" ht="30.4" x14ac:dyDescent="0.45">
      <c r="A841" s="13">
        <v>1</v>
      </c>
      <c r="B841" s="12" t="s">
        <v>549</v>
      </c>
      <c r="C841" s="13">
        <v>1</v>
      </c>
      <c r="D841" s="109"/>
      <c r="E841" s="22"/>
      <c r="F841" s="22"/>
      <c r="G841" s="110"/>
      <c r="H841" s="110"/>
    </row>
    <row r="842" spans="1:8" ht="30.4" x14ac:dyDescent="0.45">
      <c r="A842" s="13">
        <v>2</v>
      </c>
      <c r="B842" s="12" t="s">
        <v>550</v>
      </c>
      <c r="C842" s="13">
        <v>1</v>
      </c>
      <c r="D842" s="109"/>
      <c r="E842" s="22"/>
      <c r="F842" s="22"/>
      <c r="G842" s="110"/>
      <c r="H842" s="110"/>
    </row>
    <row r="843" spans="1:8" ht="30.4" x14ac:dyDescent="0.45">
      <c r="A843" s="13">
        <v>3</v>
      </c>
      <c r="B843" s="12" t="s">
        <v>551</v>
      </c>
      <c r="C843" s="13">
        <v>1</v>
      </c>
      <c r="D843" s="109"/>
      <c r="E843" s="22"/>
      <c r="F843" s="22"/>
      <c r="G843" s="110"/>
      <c r="H843" s="110"/>
    </row>
    <row r="844" spans="1:8" ht="30.4" x14ac:dyDescent="0.45">
      <c r="A844" s="13">
        <v>4</v>
      </c>
      <c r="B844" s="12" t="s">
        <v>552</v>
      </c>
      <c r="C844" s="13">
        <v>1</v>
      </c>
      <c r="D844" s="109"/>
      <c r="E844" s="22"/>
      <c r="F844" s="22"/>
      <c r="G844" s="110"/>
      <c r="H844" s="110"/>
    </row>
    <row r="845" spans="1:8" ht="30.4" x14ac:dyDescent="0.45">
      <c r="A845" s="13">
        <v>5</v>
      </c>
      <c r="B845" s="12" t="s">
        <v>553</v>
      </c>
      <c r="C845" s="13">
        <v>1</v>
      </c>
      <c r="D845" s="109"/>
      <c r="E845" s="22"/>
      <c r="F845" s="22"/>
      <c r="G845" s="110"/>
      <c r="H845" s="110"/>
    </row>
    <row r="846" spans="1:8" ht="30.4" x14ac:dyDescent="0.45">
      <c r="A846" s="13">
        <v>6</v>
      </c>
      <c r="B846" s="12" t="s">
        <v>554</v>
      </c>
      <c r="C846" s="13">
        <v>1</v>
      </c>
      <c r="D846" s="109"/>
      <c r="E846" s="22"/>
      <c r="F846" s="22"/>
      <c r="G846" s="110"/>
      <c r="H846" s="110"/>
    </row>
    <row r="847" spans="1:8" ht="30.4" x14ac:dyDescent="0.45">
      <c r="A847" s="13">
        <v>7</v>
      </c>
      <c r="B847" s="12" t="s">
        <v>555</v>
      </c>
      <c r="C847" s="13">
        <v>1</v>
      </c>
      <c r="D847" s="109"/>
      <c r="E847" s="22"/>
      <c r="F847" s="22"/>
      <c r="G847" s="110"/>
      <c r="H847" s="110"/>
    </row>
    <row r="848" spans="1:8" ht="30.4" x14ac:dyDescent="0.45">
      <c r="A848" s="13">
        <v>8</v>
      </c>
      <c r="B848" s="12" t="s">
        <v>556</v>
      </c>
      <c r="C848" s="13">
        <v>1</v>
      </c>
      <c r="D848" s="109"/>
      <c r="E848" s="22"/>
      <c r="F848" s="22"/>
      <c r="G848" s="110"/>
      <c r="H848" s="110"/>
    </row>
    <row r="849" spans="1:8" ht="30.4" x14ac:dyDescent="0.45">
      <c r="A849" s="13">
        <v>9</v>
      </c>
      <c r="B849" s="12" t="s">
        <v>557</v>
      </c>
      <c r="C849" s="13">
        <v>1</v>
      </c>
      <c r="D849" s="109"/>
      <c r="E849" s="22"/>
      <c r="F849" s="22"/>
      <c r="G849" s="110"/>
      <c r="H849" s="110"/>
    </row>
    <row r="850" spans="1:8" ht="30.4" x14ac:dyDescent="0.45">
      <c r="A850" s="13">
        <v>10</v>
      </c>
      <c r="B850" s="12" t="s">
        <v>558</v>
      </c>
      <c r="C850" s="13">
        <v>1</v>
      </c>
      <c r="D850" s="109"/>
      <c r="E850" s="22"/>
      <c r="F850" s="22"/>
      <c r="G850" s="110"/>
      <c r="H850" s="110"/>
    </row>
    <row r="851" spans="1:8" ht="30.4" x14ac:dyDescent="0.45">
      <c r="A851" s="13">
        <v>11</v>
      </c>
      <c r="B851" s="12" t="s">
        <v>559</v>
      </c>
      <c r="C851" s="13">
        <v>1</v>
      </c>
      <c r="D851" s="109"/>
      <c r="E851" s="22"/>
      <c r="F851" s="22"/>
      <c r="G851" s="110"/>
      <c r="H851" s="110"/>
    </row>
    <row r="852" spans="1:8" ht="30.4" x14ac:dyDescent="0.45">
      <c r="A852" s="13">
        <v>12</v>
      </c>
      <c r="B852" s="12" t="s">
        <v>560</v>
      </c>
      <c r="C852" s="13">
        <v>1</v>
      </c>
      <c r="D852" s="109"/>
      <c r="E852" s="22"/>
      <c r="F852" s="22"/>
      <c r="G852" s="110"/>
      <c r="H852" s="110"/>
    </row>
    <row r="853" spans="1:8" ht="30.4" x14ac:dyDescent="0.45">
      <c r="A853" s="13">
        <v>13</v>
      </c>
      <c r="B853" s="12" t="s">
        <v>561</v>
      </c>
      <c r="C853" s="13">
        <v>1</v>
      </c>
      <c r="D853" s="109"/>
      <c r="E853" s="22"/>
      <c r="F853" s="22"/>
      <c r="G853" s="110"/>
      <c r="H853" s="110"/>
    </row>
    <row r="854" spans="1:8" ht="30.4" x14ac:dyDescent="0.45">
      <c r="A854" s="13">
        <v>14</v>
      </c>
      <c r="B854" s="12" t="s">
        <v>562</v>
      </c>
      <c r="C854" s="13">
        <v>1</v>
      </c>
      <c r="D854" s="109"/>
      <c r="E854" s="22"/>
      <c r="F854" s="22"/>
      <c r="G854" s="110"/>
      <c r="H854" s="110"/>
    </row>
    <row r="855" spans="1:8" ht="30.4" x14ac:dyDescent="0.45">
      <c r="A855" s="13">
        <v>15</v>
      </c>
      <c r="B855" s="12" t="s">
        <v>563</v>
      </c>
      <c r="C855" s="13">
        <v>1</v>
      </c>
      <c r="D855" s="109"/>
      <c r="E855" s="22"/>
      <c r="F855" s="22"/>
      <c r="G855" s="110"/>
      <c r="H855" s="110"/>
    </row>
    <row r="856" spans="1:8" ht="30.4" x14ac:dyDescent="0.45">
      <c r="A856" s="13">
        <v>16</v>
      </c>
      <c r="B856" s="12" t="s">
        <v>564</v>
      </c>
      <c r="C856" s="13">
        <v>1</v>
      </c>
      <c r="D856" s="109"/>
      <c r="E856" s="22"/>
      <c r="F856" s="22"/>
      <c r="G856" s="110"/>
      <c r="H856" s="110"/>
    </row>
    <row r="857" spans="1:8" ht="30.4" x14ac:dyDescent="0.45">
      <c r="A857" s="13">
        <v>17</v>
      </c>
      <c r="B857" s="12" t="s">
        <v>565</v>
      </c>
      <c r="C857" s="13">
        <v>1</v>
      </c>
      <c r="D857" s="109"/>
      <c r="E857" s="22"/>
      <c r="F857" s="22"/>
      <c r="G857" s="110"/>
      <c r="H857" s="110"/>
    </row>
    <row r="858" spans="1:8" ht="30.4" x14ac:dyDescent="0.45">
      <c r="A858" s="13">
        <v>18</v>
      </c>
      <c r="B858" s="12" t="s">
        <v>566</v>
      </c>
      <c r="C858" s="13">
        <v>1</v>
      </c>
      <c r="D858" s="109"/>
      <c r="E858" s="22"/>
      <c r="F858" s="22"/>
      <c r="G858" s="110"/>
      <c r="H858" s="110"/>
    </row>
    <row r="859" spans="1:8" ht="30.4" x14ac:dyDescent="0.45">
      <c r="A859" s="13">
        <v>19</v>
      </c>
      <c r="B859" s="12" t="s">
        <v>567</v>
      </c>
      <c r="C859" s="13">
        <v>1</v>
      </c>
      <c r="D859" s="109"/>
      <c r="E859" s="22"/>
      <c r="F859" s="22"/>
      <c r="G859" s="110"/>
      <c r="H859" s="110"/>
    </row>
    <row r="860" spans="1:8" ht="30.4" x14ac:dyDescent="0.45">
      <c r="A860" s="13">
        <v>20</v>
      </c>
      <c r="B860" s="12" t="s">
        <v>568</v>
      </c>
      <c r="C860" s="13">
        <v>1</v>
      </c>
      <c r="D860" s="109"/>
      <c r="E860" s="22"/>
      <c r="F860" s="22"/>
      <c r="G860" s="110"/>
      <c r="H860" s="110"/>
    </row>
    <row r="861" spans="1:8" ht="30.4" x14ac:dyDescent="0.45">
      <c r="A861" s="13">
        <v>21</v>
      </c>
      <c r="B861" s="12" t="s">
        <v>569</v>
      </c>
      <c r="C861" s="13">
        <v>1</v>
      </c>
      <c r="D861" s="109"/>
      <c r="E861" s="22"/>
      <c r="F861" s="22"/>
      <c r="G861" s="110"/>
      <c r="H861" s="110"/>
    </row>
    <row r="862" spans="1:8" ht="30.4" x14ac:dyDescent="0.45">
      <c r="A862" s="13">
        <v>22</v>
      </c>
      <c r="B862" s="12" t="s">
        <v>570</v>
      </c>
      <c r="C862" s="13">
        <v>1</v>
      </c>
      <c r="D862" s="109"/>
      <c r="E862" s="22"/>
      <c r="F862" s="22"/>
      <c r="G862" s="110"/>
      <c r="H862" s="110"/>
    </row>
    <row r="863" spans="1:8" ht="30.4" x14ac:dyDescent="0.45">
      <c r="A863" s="13">
        <v>23</v>
      </c>
      <c r="B863" s="12" t="s">
        <v>571</v>
      </c>
      <c r="C863" s="13">
        <v>1</v>
      </c>
      <c r="D863" s="109"/>
      <c r="E863" s="22"/>
      <c r="F863" s="22"/>
      <c r="G863" s="110"/>
      <c r="H863" s="110"/>
    </row>
    <row r="864" spans="1:8" ht="30.4" x14ac:dyDescent="0.45">
      <c r="A864" s="13">
        <v>24</v>
      </c>
      <c r="B864" s="12" t="s">
        <v>572</v>
      </c>
      <c r="C864" s="13">
        <v>1</v>
      </c>
      <c r="D864" s="109"/>
      <c r="E864" s="22"/>
      <c r="F864" s="22"/>
      <c r="G864" s="110"/>
      <c r="H864" s="110"/>
    </row>
    <row r="865" spans="1:8" ht="30.4" x14ac:dyDescent="0.45">
      <c r="A865" s="13">
        <v>25</v>
      </c>
      <c r="B865" s="12" t="s">
        <v>573</v>
      </c>
      <c r="C865" s="13">
        <v>1</v>
      </c>
      <c r="D865" s="109"/>
      <c r="E865" s="22"/>
      <c r="F865" s="22"/>
      <c r="G865" s="110"/>
      <c r="H865" s="110"/>
    </row>
    <row r="866" spans="1:8" ht="30.4" x14ac:dyDescent="0.45">
      <c r="A866" s="13">
        <v>26</v>
      </c>
      <c r="B866" s="12" t="s">
        <v>574</v>
      </c>
      <c r="C866" s="13">
        <v>1</v>
      </c>
      <c r="D866" s="109"/>
      <c r="E866" s="22"/>
      <c r="F866" s="22"/>
      <c r="G866" s="110"/>
      <c r="H866" s="110"/>
    </row>
    <row r="867" spans="1:8" ht="30.4" x14ac:dyDescent="0.45">
      <c r="A867" s="13">
        <v>27</v>
      </c>
      <c r="B867" s="12" t="s">
        <v>575</v>
      </c>
      <c r="C867" s="13">
        <v>1</v>
      </c>
      <c r="D867" s="109"/>
      <c r="E867" s="22"/>
      <c r="F867" s="22"/>
      <c r="G867" s="110"/>
      <c r="H867" s="110"/>
    </row>
    <row r="868" spans="1:8" ht="30.4" x14ac:dyDescent="0.45">
      <c r="A868" s="13">
        <v>28</v>
      </c>
      <c r="B868" s="12" t="s">
        <v>576</v>
      </c>
      <c r="C868" s="13">
        <v>1</v>
      </c>
      <c r="D868" s="109"/>
      <c r="E868" s="22"/>
      <c r="F868" s="22"/>
      <c r="G868" s="110"/>
      <c r="H868" s="110"/>
    </row>
    <row r="869" spans="1:8" ht="30.4" x14ac:dyDescent="0.45">
      <c r="A869" s="13">
        <v>29</v>
      </c>
      <c r="B869" s="12" t="s">
        <v>577</v>
      </c>
      <c r="C869" s="13">
        <v>1</v>
      </c>
      <c r="D869" s="109"/>
      <c r="E869" s="22"/>
      <c r="F869" s="22"/>
      <c r="G869" s="110"/>
      <c r="H869" s="110"/>
    </row>
    <row r="870" spans="1:8" ht="30.4" x14ac:dyDescent="0.45">
      <c r="A870" s="13">
        <v>30</v>
      </c>
      <c r="B870" s="12" t="s">
        <v>578</v>
      </c>
      <c r="C870" s="13">
        <v>1</v>
      </c>
      <c r="D870" s="109"/>
      <c r="E870" s="22"/>
      <c r="F870" s="22"/>
      <c r="G870" s="110"/>
      <c r="H870" s="110"/>
    </row>
    <row r="871" spans="1:8" ht="30.4" x14ac:dyDescent="0.45">
      <c r="A871" s="13">
        <v>31</v>
      </c>
      <c r="B871" s="12" t="s">
        <v>579</v>
      </c>
      <c r="C871" s="13">
        <v>1</v>
      </c>
      <c r="D871" s="109"/>
      <c r="E871" s="22"/>
      <c r="F871" s="22"/>
      <c r="G871" s="110"/>
      <c r="H871" s="110"/>
    </row>
    <row r="872" spans="1:8" ht="30.4" x14ac:dyDescent="0.45">
      <c r="A872" s="13">
        <v>32</v>
      </c>
      <c r="B872" s="12" t="s">
        <v>565</v>
      </c>
      <c r="C872" s="13">
        <v>1</v>
      </c>
      <c r="D872" s="109"/>
      <c r="E872" s="22"/>
      <c r="F872" s="22"/>
      <c r="G872" s="110"/>
      <c r="H872" s="110"/>
    </row>
    <row r="873" spans="1:8" ht="150.4" x14ac:dyDescent="0.45">
      <c r="A873" s="13">
        <v>33</v>
      </c>
      <c r="B873" s="12" t="s">
        <v>264</v>
      </c>
      <c r="C873" s="11">
        <v>1</v>
      </c>
      <c r="D873" s="109"/>
      <c r="E873" s="13"/>
      <c r="F873" s="13"/>
      <c r="G873" s="14"/>
      <c r="H873" s="110"/>
    </row>
    <row r="874" spans="1:8" s="60" customFormat="1" ht="15.4" x14ac:dyDescent="0.45">
      <c r="A874" s="15"/>
      <c r="B874" s="19"/>
      <c r="C874" s="20">
        <f>SUM(C841:C873)</f>
        <v>33</v>
      </c>
      <c r="D874" s="20"/>
      <c r="E874" s="20"/>
      <c r="F874" s="130" t="s">
        <v>17</v>
      </c>
      <c r="G874" s="131"/>
      <c r="H874" s="120"/>
    </row>
    <row r="875" spans="1:8" s="60" customFormat="1" ht="15.4" x14ac:dyDescent="0.45">
      <c r="A875" s="15"/>
      <c r="B875" s="19"/>
      <c r="C875" s="20"/>
      <c r="D875" s="20"/>
      <c r="E875" s="20"/>
      <c r="F875" s="20"/>
      <c r="G875" s="9"/>
      <c r="H875" s="9"/>
    </row>
    <row r="876" spans="1:8" s="60" customFormat="1" ht="15.4" customHeight="1" x14ac:dyDescent="0.45">
      <c r="A876" s="124" t="s">
        <v>614</v>
      </c>
      <c r="B876" s="125"/>
      <c r="C876" s="125"/>
      <c r="D876" s="125"/>
      <c r="E876" s="125"/>
      <c r="F876" s="125"/>
      <c r="G876" s="125"/>
      <c r="H876" s="126"/>
    </row>
    <row r="877" spans="1:8" s="60" customFormat="1" ht="30" x14ac:dyDescent="0.45">
      <c r="A877" s="51" t="s">
        <v>21</v>
      </c>
      <c r="B877" s="51" t="s">
        <v>20</v>
      </c>
      <c r="C877" s="51" t="s">
        <v>19</v>
      </c>
      <c r="D877" s="51" t="s">
        <v>523</v>
      </c>
      <c r="E877" s="51" t="s">
        <v>524</v>
      </c>
      <c r="F877" s="51" t="s">
        <v>525</v>
      </c>
      <c r="G877" s="52" t="s">
        <v>18</v>
      </c>
      <c r="H877" s="52" t="s">
        <v>17</v>
      </c>
    </row>
    <row r="878" spans="1:8" s="60" customFormat="1" ht="30.4" x14ac:dyDescent="0.45">
      <c r="A878" s="118">
        <v>1</v>
      </c>
      <c r="B878" s="12" t="s">
        <v>526</v>
      </c>
      <c r="C878" s="116">
        <v>30</v>
      </c>
      <c r="D878" s="117"/>
      <c r="E878" s="117"/>
      <c r="F878" s="117"/>
      <c r="G878" s="110"/>
      <c r="H878" s="110"/>
    </row>
    <row r="879" spans="1:8" s="60" customFormat="1" ht="30.4" x14ac:dyDescent="0.45">
      <c r="A879" s="118">
        <v>2</v>
      </c>
      <c r="B879" s="12" t="s">
        <v>527</v>
      </c>
      <c r="C879" s="116">
        <v>30</v>
      </c>
      <c r="D879" s="117"/>
      <c r="E879" s="117"/>
      <c r="F879" s="117"/>
      <c r="G879" s="110"/>
      <c r="H879" s="110"/>
    </row>
    <row r="880" spans="1:8" s="60" customFormat="1" ht="30.4" x14ac:dyDescent="0.45">
      <c r="A880" s="118">
        <v>3</v>
      </c>
      <c r="B880" s="12" t="s">
        <v>532</v>
      </c>
      <c r="C880" s="116">
        <v>30</v>
      </c>
      <c r="D880" s="117"/>
      <c r="E880" s="117"/>
      <c r="F880" s="117"/>
      <c r="G880" s="110"/>
      <c r="H880" s="110"/>
    </row>
    <row r="881" spans="1:8" s="60" customFormat="1" ht="30.4" x14ac:dyDescent="0.45">
      <c r="A881" s="118">
        <v>4</v>
      </c>
      <c r="B881" s="12" t="s">
        <v>535</v>
      </c>
      <c r="C881" s="116">
        <v>30</v>
      </c>
      <c r="D881" s="117"/>
      <c r="E881" s="117"/>
      <c r="F881" s="117"/>
      <c r="G881" s="110"/>
      <c r="H881" s="110"/>
    </row>
    <row r="882" spans="1:8" s="60" customFormat="1" ht="30.4" x14ac:dyDescent="0.45">
      <c r="A882" s="118">
        <v>5</v>
      </c>
      <c r="B882" s="12" t="s">
        <v>537</v>
      </c>
      <c r="C882" s="116">
        <v>30</v>
      </c>
      <c r="D882" s="117"/>
      <c r="E882" s="117"/>
      <c r="F882" s="117"/>
      <c r="G882" s="110"/>
      <c r="H882" s="110"/>
    </row>
    <row r="883" spans="1:8" s="60" customFormat="1" ht="30.4" x14ac:dyDescent="0.45">
      <c r="A883" s="118">
        <v>6</v>
      </c>
      <c r="B883" s="12" t="s">
        <v>539</v>
      </c>
      <c r="C883" s="116">
        <v>30</v>
      </c>
      <c r="D883" s="117"/>
      <c r="E883" s="117"/>
      <c r="F883" s="117"/>
      <c r="G883" s="110"/>
      <c r="H883" s="110"/>
    </row>
    <row r="884" spans="1:8" s="60" customFormat="1" ht="15.4" x14ac:dyDescent="0.45">
      <c r="A884" s="118">
        <v>7</v>
      </c>
      <c r="B884" s="12" t="s">
        <v>441</v>
      </c>
      <c r="C884" s="116">
        <v>5</v>
      </c>
      <c r="D884" s="117"/>
      <c r="E884" s="117"/>
      <c r="F884" s="117"/>
      <c r="G884" s="110"/>
      <c r="H884" s="110"/>
    </row>
    <row r="885" spans="1:8" s="60" customFormat="1" ht="30.4" x14ac:dyDescent="0.45">
      <c r="A885" s="118">
        <v>8</v>
      </c>
      <c r="B885" s="12" t="s">
        <v>528</v>
      </c>
      <c r="C885" s="116">
        <v>10</v>
      </c>
      <c r="D885" s="117"/>
      <c r="E885" s="117"/>
      <c r="F885" s="117"/>
      <c r="G885" s="110"/>
      <c r="H885" s="110"/>
    </row>
    <row r="886" spans="1:8" s="60" customFormat="1" ht="15.4" x14ac:dyDescent="0.45">
      <c r="A886" s="118">
        <v>9</v>
      </c>
      <c r="B886" s="12" t="s">
        <v>529</v>
      </c>
      <c r="C886" s="116">
        <v>10</v>
      </c>
      <c r="D886" s="117"/>
      <c r="E886" s="117"/>
      <c r="F886" s="117"/>
      <c r="G886" s="110"/>
      <c r="H886" s="110"/>
    </row>
    <row r="887" spans="1:8" s="60" customFormat="1" ht="15.4" x14ac:dyDescent="0.45">
      <c r="A887" s="118">
        <v>10</v>
      </c>
      <c r="B887" s="12" t="s">
        <v>540</v>
      </c>
      <c r="C887" s="116">
        <v>10</v>
      </c>
      <c r="D887" s="117"/>
      <c r="E887" s="117"/>
      <c r="F887" s="117"/>
      <c r="G887" s="110"/>
      <c r="H887" s="110"/>
    </row>
    <row r="888" spans="1:8" s="60" customFormat="1" ht="32.25" customHeight="1" x14ac:dyDescent="0.45">
      <c r="A888" s="118">
        <v>11</v>
      </c>
      <c r="B888" s="119" t="s">
        <v>544</v>
      </c>
      <c r="C888" s="11">
        <v>20</v>
      </c>
      <c r="D888" s="117"/>
      <c r="E888" s="117"/>
      <c r="F888" s="117"/>
      <c r="G888" s="110"/>
      <c r="H888" s="110"/>
    </row>
    <row r="889" spans="1:8" s="60" customFormat="1" ht="15.4" x14ac:dyDescent="0.45">
      <c r="A889" s="15"/>
      <c r="B889" s="19"/>
      <c r="C889" s="20"/>
      <c r="D889" s="20"/>
      <c r="E889" s="20"/>
      <c r="F889" s="130" t="s">
        <v>17</v>
      </c>
      <c r="G889" s="131"/>
      <c r="H889" s="120"/>
    </row>
    <row r="890" spans="1:8" s="60" customFormat="1" ht="15.4" x14ac:dyDescent="0.45">
      <c r="A890" s="15"/>
      <c r="B890" s="19"/>
      <c r="C890" s="20"/>
      <c r="D890" s="20"/>
      <c r="E890" s="20"/>
      <c r="F890" s="20"/>
      <c r="G890" s="9"/>
      <c r="H890" s="9"/>
    </row>
    <row r="891" spans="1:8" s="60" customFormat="1" ht="15.4" x14ac:dyDescent="0.45">
      <c r="A891" s="15"/>
      <c r="B891" s="19"/>
      <c r="C891" s="20"/>
      <c r="D891" s="20"/>
      <c r="E891" s="20"/>
      <c r="F891" s="20"/>
      <c r="G891" s="9"/>
      <c r="H891" s="9"/>
    </row>
    <row r="892" spans="1:8" s="60" customFormat="1" ht="15.4" x14ac:dyDescent="0.45">
      <c r="A892" s="15"/>
      <c r="B892" s="19"/>
      <c r="C892" s="20"/>
      <c r="D892" s="20"/>
      <c r="E892" s="20"/>
      <c r="F892" s="20"/>
      <c r="G892" s="9"/>
      <c r="H892" s="9"/>
    </row>
    <row r="893" spans="1:8" s="60" customFormat="1" ht="15.4" x14ac:dyDescent="0.45">
      <c r="A893" s="15"/>
      <c r="B893" s="19"/>
      <c r="C893" s="20"/>
      <c r="D893" s="20"/>
      <c r="E893" s="20"/>
      <c r="F893" s="20"/>
      <c r="G893" s="9"/>
      <c r="H893" s="9"/>
    </row>
    <row r="894" spans="1:8" s="60" customFormat="1" ht="15.4" x14ac:dyDescent="0.45">
      <c r="A894" s="15"/>
      <c r="B894" s="19"/>
      <c r="C894" s="20"/>
      <c r="D894" s="20"/>
      <c r="E894" s="20"/>
      <c r="F894" s="20"/>
      <c r="G894" s="9"/>
      <c r="H894" s="9"/>
    </row>
    <row r="895" spans="1:8" s="60" customFormat="1" ht="15.4" x14ac:dyDescent="0.45">
      <c r="A895" s="15"/>
      <c r="B895" s="19"/>
      <c r="C895" s="20"/>
      <c r="D895" s="20"/>
      <c r="E895" s="20"/>
      <c r="F895" s="20"/>
      <c r="G895" s="9"/>
      <c r="H895" s="9"/>
    </row>
    <row r="896" spans="1:8" s="60" customFormat="1" ht="15.4" x14ac:dyDescent="0.45">
      <c r="A896" s="15"/>
      <c r="B896" s="19"/>
      <c r="C896" s="20"/>
      <c r="D896" s="20"/>
      <c r="E896" s="20"/>
      <c r="F896" s="20"/>
      <c r="G896" s="9"/>
      <c r="H896" s="9"/>
    </row>
    <row r="897" spans="1:8" s="60" customFormat="1" ht="15.4" x14ac:dyDescent="0.45">
      <c r="A897" s="15"/>
      <c r="B897" s="19"/>
      <c r="C897" s="20"/>
      <c r="D897" s="20"/>
      <c r="E897" s="20"/>
      <c r="F897" s="20"/>
      <c r="G897" s="9"/>
      <c r="H897" s="9"/>
    </row>
    <row r="898" spans="1:8" s="60" customFormat="1" x14ac:dyDescent="0.45">
      <c r="B898" s="112"/>
    </row>
    <row r="899" spans="1:8" s="60" customFormat="1" x14ac:dyDescent="0.45">
      <c r="B899" s="112"/>
    </row>
    <row r="900" spans="1:8" s="60" customFormat="1" x14ac:dyDescent="0.45">
      <c r="B900" s="112"/>
    </row>
    <row r="901" spans="1:8" s="60" customFormat="1" x14ac:dyDescent="0.45">
      <c r="B901" s="112"/>
    </row>
    <row r="902" spans="1:8" s="60" customFormat="1" x14ac:dyDescent="0.45">
      <c r="B902" s="112"/>
    </row>
    <row r="903" spans="1:8" s="60" customFormat="1" x14ac:dyDescent="0.45">
      <c r="B903" s="112"/>
    </row>
    <row r="904" spans="1:8" s="60" customFormat="1" x14ac:dyDescent="0.45">
      <c r="B904" s="112"/>
    </row>
    <row r="905" spans="1:8" s="60" customFormat="1" x14ac:dyDescent="0.45">
      <c r="B905" s="112"/>
    </row>
    <row r="906" spans="1:8" s="60" customFormat="1" x14ac:dyDescent="0.45">
      <c r="B906" s="112"/>
    </row>
    <row r="907" spans="1:8" s="60" customFormat="1" x14ac:dyDescent="0.45">
      <c r="B907" s="112"/>
    </row>
    <row r="908" spans="1:8" s="60" customFormat="1" x14ac:dyDescent="0.45">
      <c r="B908" s="112"/>
    </row>
    <row r="909" spans="1:8" s="60" customFormat="1" x14ac:dyDescent="0.45">
      <c r="B909" s="112"/>
    </row>
    <row r="910" spans="1:8" s="60" customFormat="1" x14ac:dyDescent="0.45">
      <c r="B910" s="112"/>
    </row>
    <row r="911" spans="1:8" s="60" customFormat="1" x14ac:dyDescent="0.45">
      <c r="B911" s="112"/>
    </row>
    <row r="912" spans="1:8" s="60" customFormat="1" x14ac:dyDescent="0.45">
      <c r="B912" s="112"/>
    </row>
    <row r="913" spans="2:2" s="60" customFormat="1" x14ac:dyDescent="0.45">
      <c r="B913" s="112"/>
    </row>
    <row r="914" spans="2:2" s="60" customFormat="1" x14ac:dyDescent="0.45">
      <c r="B914" s="112"/>
    </row>
    <row r="915" spans="2:2" s="60" customFormat="1" x14ac:dyDescent="0.45">
      <c r="B915" s="112"/>
    </row>
    <row r="916" spans="2:2" s="60" customFormat="1" x14ac:dyDescent="0.45">
      <c r="B916" s="112"/>
    </row>
    <row r="917" spans="2:2" s="60" customFormat="1" x14ac:dyDescent="0.45">
      <c r="B917" s="112"/>
    </row>
    <row r="918" spans="2:2" s="60" customFormat="1" x14ac:dyDescent="0.45">
      <c r="B918" s="112"/>
    </row>
    <row r="919" spans="2:2" s="60" customFormat="1" x14ac:dyDescent="0.45">
      <c r="B919" s="112"/>
    </row>
    <row r="920" spans="2:2" s="60" customFormat="1" x14ac:dyDescent="0.45">
      <c r="B920" s="112"/>
    </row>
    <row r="921" spans="2:2" s="60" customFormat="1" x14ac:dyDescent="0.45">
      <c r="B921" s="112"/>
    </row>
    <row r="922" spans="2:2" s="60" customFormat="1" x14ac:dyDescent="0.45">
      <c r="B922" s="112"/>
    </row>
    <row r="923" spans="2:2" s="60" customFormat="1" x14ac:dyDescent="0.45">
      <c r="B923" s="112"/>
    </row>
    <row r="924" spans="2:2" s="60" customFormat="1" x14ac:dyDescent="0.45">
      <c r="B924" s="112"/>
    </row>
    <row r="925" spans="2:2" s="60" customFormat="1" x14ac:dyDescent="0.45">
      <c r="B925" s="112"/>
    </row>
    <row r="926" spans="2:2" s="60" customFormat="1" x14ac:dyDescent="0.45">
      <c r="B926" s="112"/>
    </row>
    <row r="927" spans="2:2" s="60" customFormat="1" x14ac:dyDescent="0.45">
      <c r="B927" s="112"/>
    </row>
    <row r="928" spans="2:2" s="60" customFormat="1" x14ac:dyDescent="0.45">
      <c r="B928" s="112"/>
    </row>
    <row r="929" spans="2:2" s="60" customFormat="1" x14ac:dyDescent="0.45">
      <c r="B929" s="112"/>
    </row>
    <row r="930" spans="2:2" s="60" customFormat="1" x14ac:dyDescent="0.45">
      <c r="B930" s="112"/>
    </row>
    <row r="931" spans="2:2" s="60" customFormat="1" x14ac:dyDescent="0.45">
      <c r="B931" s="112"/>
    </row>
    <row r="932" spans="2:2" s="60" customFormat="1" x14ac:dyDescent="0.45">
      <c r="B932" s="112"/>
    </row>
    <row r="933" spans="2:2" s="60" customFormat="1" x14ac:dyDescent="0.45">
      <c r="B933" s="112"/>
    </row>
    <row r="934" spans="2:2" s="60" customFormat="1" x14ac:dyDescent="0.45">
      <c r="B934" s="112"/>
    </row>
    <row r="935" spans="2:2" s="60" customFormat="1" x14ac:dyDescent="0.45">
      <c r="B935" s="112"/>
    </row>
    <row r="936" spans="2:2" s="60" customFormat="1" x14ac:dyDescent="0.45">
      <c r="B936" s="112"/>
    </row>
    <row r="937" spans="2:2" s="60" customFormat="1" x14ac:dyDescent="0.45">
      <c r="B937" s="112"/>
    </row>
    <row r="938" spans="2:2" s="60" customFormat="1" x14ac:dyDescent="0.45">
      <c r="B938" s="112"/>
    </row>
    <row r="939" spans="2:2" s="60" customFormat="1" x14ac:dyDescent="0.45">
      <c r="B939" s="112"/>
    </row>
    <row r="940" spans="2:2" s="60" customFormat="1" x14ac:dyDescent="0.45">
      <c r="B940" s="112"/>
    </row>
    <row r="941" spans="2:2" s="60" customFormat="1" x14ac:dyDescent="0.45">
      <c r="B941" s="112"/>
    </row>
    <row r="942" spans="2:2" s="60" customFormat="1" x14ac:dyDescent="0.45">
      <c r="B942" s="112"/>
    </row>
    <row r="943" spans="2:2" s="60" customFormat="1" x14ac:dyDescent="0.45">
      <c r="B943" s="112"/>
    </row>
    <row r="944" spans="2:2" s="60" customFormat="1" x14ac:dyDescent="0.45">
      <c r="B944" s="112"/>
    </row>
    <row r="945" spans="2:2" s="60" customFormat="1" x14ac:dyDescent="0.45">
      <c r="B945" s="112"/>
    </row>
    <row r="946" spans="2:2" s="60" customFormat="1" x14ac:dyDescent="0.45">
      <c r="B946" s="112"/>
    </row>
    <row r="947" spans="2:2" s="60" customFormat="1" x14ac:dyDescent="0.45">
      <c r="B947" s="112"/>
    </row>
    <row r="948" spans="2:2" s="60" customFormat="1" x14ac:dyDescent="0.45">
      <c r="B948" s="112"/>
    </row>
    <row r="949" spans="2:2" s="60" customFormat="1" x14ac:dyDescent="0.45">
      <c r="B949" s="112"/>
    </row>
    <row r="950" spans="2:2" s="60" customFormat="1" x14ac:dyDescent="0.45">
      <c r="B950" s="112"/>
    </row>
    <row r="951" spans="2:2" s="60" customFormat="1" x14ac:dyDescent="0.45">
      <c r="B951" s="112"/>
    </row>
    <row r="952" spans="2:2" s="60" customFormat="1" x14ac:dyDescent="0.45">
      <c r="B952" s="112"/>
    </row>
    <row r="953" spans="2:2" s="60" customFormat="1" x14ac:dyDescent="0.45">
      <c r="B953" s="112"/>
    </row>
    <row r="954" spans="2:2" s="60" customFormat="1" x14ac:dyDescent="0.45">
      <c r="B954" s="112"/>
    </row>
    <row r="955" spans="2:2" s="60" customFormat="1" x14ac:dyDescent="0.45">
      <c r="B955" s="112"/>
    </row>
    <row r="956" spans="2:2" s="60" customFormat="1" x14ac:dyDescent="0.45">
      <c r="B956" s="112"/>
    </row>
    <row r="957" spans="2:2" s="60" customFormat="1" x14ac:dyDescent="0.45">
      <c r="B957" s="112"/>
    </row>
    <row r="958" spans="2:2" s="60" customFormat="1" x14ac:dyDescent="0.45">
      <c r="B958" s="112"/>
    </row>
    <row r="959" spans="2:2" s="60" customFormat="1" x14ac:dyDescent="0.45">
      <c r="B959" s="112"/>
    </row>
    <row r="960" spans="2:2" s="60" customFormat="1" x14ac:dyDescent="0.45">
      <c r="B960" s="112"/>
    </row>
    <row r="961" spans="2:2" s="60" customFormat="1" x14ac:dyDescent="0.45">
      <c r="B961" s="112"/>
    </row>
    <row r="962" spans="2:2" s="60" customFormat="1" x14ac:dyDescent="0.45">
      <c r="B962" s="112"/>
    </row>
    <row r="963" spans="2:2" s="60" customFormat="1" x14ac:dyDescent="0.45">
      <c r="B963" s="112"/>
    </row>
    <row r="964" spans="2:2" s="60" customFormat="1" x14ac:dyDescent="0.45">
      <c r="B964" s="112"/>
    </row>
    <row r="965" spans="2:2" s="60" customFormat="1" x14ac:dyDescent="0.45">
      <c r="B965" s="112"/>
    </row>
    <row r="966" spans="2:2" s="60" customFormat="1" x14ac:dyDescent="0.45">
      <c r="B966" s="112"/>
    </row>
    <row r="967" spans="2:2" s="60" customFormat="1" x14ac:dyDescent="0.45">
      <c r="B967" s="112"/>
    </row>
    <row r="968" spans="2:2" s="60" customFormat="1" x14ac:dyDescent="0.45">
      <c r="B968" s="112"/>
    </row>
    <row r="969" spans="2:2" s="60" customFormat="1" x14ac:dyDescent="0.45">
      <c r="B969" s="112"/>
    </row>
    <row r="970" spans="2:2" s="60" customFormat="1" x14ac:dyDescent="0.45">
      <c r="B970" s="112"/>
    </row>
    <row r="971" spans="2:2" s="60" customFormat="1" x14ac:dyDescent="0.45">
      <c r="B971" s="112"/>
    </row>
    <row r="972" spans="2:2" s="60" customFormat="1" x14ac:dyDescent="0.45">
      <c r="B972" s="112"/>
    </row>
    <row r="973" spans="2:2" s="60" customFormat="1" x14ac:dyDescent="0.45">
      <c r="B973" s="112"/>
    </row>
    <row r="974" spans="2:2" s="60" customFormat="1" x14ac:dyDescent="0.45">
      <c r="B974" s="112"/>
    </row>
    <row r="975" spans="2:2" s="60" customFormat="1" x14ac:dyDescent="0.45">
      <c r="B975" s="112"/>
    </row>
    <row r="976" spans="2:2" s="60" customFormat="1" x14ac:dyDescent="0.45">
      <c r="B976" s="112"/>
    </row>
    <row r="977" spans="2:2" s="60" customFormat="1" x14ac:dyDescent="0.45">
      <c r="B977" s="112"/>
    </row>
    <row r="978" spans="2:2" s="60" customFormat="1" x14ac:dyDescent="0.45">
      <c r="B978" s="112"/>
    </row>
    <row r="979" spans="2:2" s="60" customFormat="1" x14ac:dyDescent="0.45">
      <c r="B979" s="112"/>
    </row>
    <row r="980" spans="2:2" s="60" customFormat="1" x14ac:dyDescent="0.45">
      <c r="B980" s="112"/>
    </row>
    <row r="981" spans="2:2" s="60" customFormat="1" x14ac:dyDescent="0.45">
      <c r="B981" s="112"/>
    </row>
    <row r="982" spans="2:2" s="60" customFormat="1" x14ac:dyDescent="0.45">
      <c r="B982" s="112"/>
    </row>
    <row r="983" spans="2:2" s="60" customFormat="1" x14ac:dyDescent="0.45">
      <c r="B983" s="112"/>
    </row>
    <row r="984" spans="2:2" s="60" customFormat="1" x14ac:dyDescent="0.45">
      <c r="B984" s="112"/>
    </row>
    <row r="985" spans="2:2" s="60" customFormat="1" x14ac:dyDescent="0.45">
      <c r="B985" s="112"/>
    </row>
    <row r="986" spans="2:2" s="60" customFormat="1" x14ac:dyDescent="0.45">
      <c r="B986" s="112"/>
    </row>
    <row r="987" spans="2:2" s="60" customFormat="1" x14ac:dyDescent="0.45">
      <c r="B987" s="112"/>
    </row>
    <row r="988" spans="2:2" s="60" customFormat="1" x14ac:dyDescent="0.45">
      <c r="B988" s="112"/>
    </row>
  </sheetData>
  <mergeCells count="51">
    <mergeCell ref="F874:G874"/>
    <mergeCell ref="A876:H876"/>
    <mergeCell ref="F889:G889"/>
    <mergeCell ref="F752:G752"/>
    <mergeCell ref="A754:H754"/>
    <mergeCell ref="F784:G784"/>
    <mergeCell ref="A786:H786"/>
    <mergeCell ref="F837:G837"/>
    <mergeCell ref="A839:H839"/>
    <mergeCell ref="F649:G649"/>
    <mergeCell ref="A651:H651"/>
    <mergeCell ref="F670:G670"/>
    <mergeCell ref="A672:H672"/>
    <mergeCell ref="F708:G708"/>
    <mergeCell ref="A710:H710"/>
    <mergeCell ref="F575:G575"/>
    <mergeCell ref="A577:H577"/>
    <mergeCell ref="F586:G586"/>
    <mergeCell ref="A588:H588"/>
    <mergeCell ref="F618:G618"/>
    <mergeCell ref="A620:H620"/>
    <mergeCell ref="F498:G498"/>
    <mergeCell ref="A500:H500"/>
    <mergeCell ref="F529:G529"/>
    <mergeCell ref="A531:H531"/>
    <mergeCell ref="F557:G557"/>
    <mergeCell ref="A559:H559"/>
    <mergeCell ref="F373:G373"/>
    <mergeCell ref="A375:H375"/>
    <mergeCell ref="F447:G447"/>
    <mergeCell ref="A449:H449"/>
    <mergeCell ref="F475:G475"/>
    <mergeCell ref="A477:H477"/>
    <mergeCell ref="A273:H273"/>
    <mergeCell ref="F288:G288"/>
    <mergeCell ref="A290:H290"/>
    <mergeCell ref="F333:G333"/>
    <mergeCell ref="A335:H335"/>
    <mergeCell ref="A361:H361"/>
    <mergeCell ref="A151:H151"/>
    <mergeCell ref="F175:G175"/>
    <mergeCell ref="A177:H177"/>
    <mergeCell ref="F216:G216"/>
    <mergeCell ref="A218:H218"/>
    <mergeCell ref="F271:G271"/>
    <mergeCell ref="A2:H2"/>
    <mergeCell ref="F45:G45"/>
    <mergeCell ref="A47:H47"/>
    <mergeCell ref="F82:G82"/>
    <mergeCell ref="A84:H84"/>
    <mergeCell ref="F149:G14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87714-2D81-4FD6-8154-FBF2D5F2DC42}">
  <dimension ref="A1:E40"/>
  <sheetViews>
    <sheetView workbookViewId="0">
      <selection activeCell="F22" sqref="F22"/>
    </sheetView>
  </sheetViews>
  <sheetFormatPr defaultRowHeight="14.25" x14ac:dyDescent="0.45"/>
  <cols>
    <col min="1" max="1" width="4.86328125" style="7" bestFit="1" customWidth="1"/>
    <col min="2" max="2" width="75.3984375" bestFit="1" customWidth="1"/>
    <col min="3" max="3" width="4.3984375" bestFit="1" customWidth="1"/>
    <col min="4" max="4" width="17.86328125" style="8" customWidth="1"/>
    <col min="5" max="5" width="18.86328125" style="8" customWidth="1"/>
    <col min="6" max="6" width="64.265625" customWidth="1"/>
  </cols>
  <sheetData>
    <row r="1" spans="1:5" x14ac:dyDescent="0.45">
      <c r="A1" s="4" t="s">
        <v>21</v>
      </c>
      <c r="B1" s="4" t="s">
        <v>431</v>
      </c>
      <c r="C1" s="4" t="s">
        <v>19</v>
      </c>
      <c r="D1" s="5" t="s">
        <v>432</v>
      </c>
      <c r="E1" s="5" t="s">
        <v>433</v>
      </c>
    </row>
    <row r="2" spans="1:5" ht="15.4" x14ac:dyDescent="0.45">
      <c r="A2" s="6">
        <v>1</v>
      </c>
      <c r="B2" s="54" t="s">
        <v>443</v>
      </c>
      <c r="C2" s="6">
        <v>8</v>
      </c>
      <c r="D2" s="93">
        <f>'LISTAS PRECOS PARA PROPOSTA'!I44</f>
        <v>30924.919999999995</v>
      </c>
      <c r="E2" s="93">
        <f>D2*C2</f>
        <v>247399.35999999996</v>
      </c>
    </row>
    <row r="3" spans="1:5" ht="15.4" x14ac:dyDescent="0.45">
      <c r="A3" s="6">
        <v>2</v>
      </c>
      <c r="B3" s="54" t="s">
        <v>444</v>
      </c>
      <c r="C3" s="6">
        <v>4</v>
      </c>
      <c r="D3" s="93">
        <f>'LISTAS PRECOS PARA PROPOSTA'!I81</f>
        <v>18590.800000000003</v>
      </c>
      <c r="E3" s="93">
        <f t="shared" ref="E3:E24" si="0">D3*C3</f>
        <v>74363.200000000012</v>
      </c>
    </row>
    <row r="4" spans="1:5" ht="15.4" x14ac:dyDescent="0.45">
      <c r="A4" s="6">
        <v>3</v>
      </c>
      <c r="B4" s="54" t="s">
        <v>445</v>
      </c>
      <c r="C4" s="6">
        <v>4</v>
      </c>
      <c r="D4" s="93">
        <f>'LISTAS PRECOS PARA PROPOSTA'!I148</f>
        <v>43317.152000000002</v>
      </c>
      <c r="E4" s="93">
        <f t="shared" si="0"/>
        <v>173268.60800000001</v>
      </c>
    </row>
    <row r="5" spans="1:5" ht="15.4" x14ac:dyDescent="0.45">
      <c r="A5" s="6">
        <v>4</v>
      </c>
      <c r="B5" s="54" t="s">
        <v>446</v>
      </c>
      <c r="C5" s="6">
        <v>2</v>
      </c>
      <c r="D5" s="93">
        <f>'LISTAS PRECOS PARA PROPOSTA'!I174</f>
        <v>14944.880000000001</v>
      </c>
      <c r="E5" s="93">
        <f t="shared" si="0"/>
        <v>29889.760000000002</v>
      </c>
    </row>
    <row r="6" spans="1:5" ht="15.4" x14ac:dyDescent="0.45">
      <c r="A6" s="6">
        <v>5</v>
      </c>
      <c r="B6" s="54" t="s">
        <v>447</v>
      </c>
      <c r="C6" s="6">
        <v>4</v>
      </c>
      <c r="D6" s="93">
        <f>'LISTAS PRECOS PARA PROPOSTA'!I215</f>
        <v>33082.600000000006</v>
      </c>
      <c r="E6" s="93">
        <f t="shared" si="0"/>
        <v>132330.40000000002</v>
      </c>
    </row>
    <row r="7" spans="1:5" ht="15.4" x14ac:dyDescent="0.45">
      <c r="A7" s="6">
        <v>6</v>
      </c>
      <c r="B7" s="54" t="s">
        <v>448</v>
      </c>
      <c r="C7" s="6">
        <v>4</v>
      </c>
      <c r="D7" s="93">
        <f>'LISTAS PRECOS PARA PROPOSTA'!I270</f>
        <v>39320.840000000004</v>
      </c>
      <c r="E7" s="93">
        <f t="shared" si="0"/>
        <v>157283.36000000002</v>
      </c>
    </row>
    <row r="8" spans="1:5" ht="15.4" x14ac:dyDescent="0.45">
      <c r="A8" s="6">
        <v>7</v>
      </c>
      <c r="B8" s="54" t="s">
        <v>449</v>
      </c>
      <c r="C8" s="6">
        <v>4</v>
      </c>
      <c r="D8" s="93">
        <f>'LISTAS PRECOS PARA PROPOSTA'!I287</f>
        <v>12333.68</v>
      </c>
      <c r="E8" s="93">
        <f t="shared" si="0"/>
        <v>49334.720000000001</v>
      </c>
    </row>
    <row r="9" spans="1:5" ht="15.4" x14ac:dyDescent="0.45">
      <c r="A9" s="6">
        <v>8</v>
      </c>
      <c r="B9" s="54" t="s">
        <v>450</v>
      </c>
      <c r="C9" s="6">
        <v>2</v>
      </c>
      <c r="D9" s="93">
        <f>'LISTAS PRECOS PARA PROPOSTA'!I332</f>
        <v>49770.368000000009</v>
      </c>
      <c r="E9" s="93">
        <f t="shared" si="0"/>
        <v>99540.736000000019</v>
      </c>
    </row>
    <row r="10" spans="1:5" ht="15.4" x14ac:dyDescent="0.45">
      <c r="A10" s="6">
        <v>9</v>
      </c>
      <c r="B10" s="54" t="s">
        <v>451</v>
      </c>
      <c r="C10" s="6">
        <v>16</v>
      </c>
      <c r="D10" s="93">
        <f>'LISTAS PRECOS PARA PROPOSTA'!I358</f>
        <v>16622.64</v>
      </c>
      <c r="E10" s="93">
        <f t="shared" si="0"/>
        <v>265962.23999999999</v>
      </c>
    </row>
    <row r="11" spans="1:5" ht="15.4" x14ac:dyDescent="0.45">
      <c r="A11" s="6">
        <v>10</v>
      </c>
      <c r="B11" s="54" t="s">
        <v>456</v>
      </c>
      <c r="C11" s="6">
        <v>4</v>
      </c>
      <c r="D11" s="93">
        <f>'LISTAS PRECOS PARA PROPOSTA'!I372</f>
        <v>10397.36</v>
      </c>
      <c r="E11" s="93">
        <f t="shared" si="0"/>
        <v>41589.440000000002</v>
      </c>
    </row>
    <row r="12" spans="1:5" ht="15.4" x14ac:dyDescent="0.45">
      <c r="A12" s="6">
        <v>11</v>
      </c>
      <c r="B12" s="54" t="s">
        <v>453</v>
      </c>
      <c r="C12" s="6">
        <v>6</v>
      </c>
      <c r="D12" s="93">
        <f>'LISTAS PRECOS PARA PROPOSTA'!I446</f>
        <v>59102.359999999979</v>
      </c>
      <c r="E12" s="93">
        <f t="shared" si="0"/>
        <v>354614.15999999986</v>
      </c>
    </row>
    <row r="13" spans="1:5" ht="15.4" x14ac:dyDescent="0.45">
      <c r="A13" s="6">
        <v>12</v>
      </c>
      <c r="B13" s="54" t="s">
        <v>454</v>
      </c>
      <c r="C13" s="6">
        <v>3</v>
      </c>
      <c r="D13" s="93">
        <f>'LISTAS PRECOS PARA PROPOSTA'!I474</f>
        <v>13320.8</v>
      </c>
      <c r="E13" s="93">
        <f t="shared" si="0"/>
        <v>39962.399999999994</v>
      </c>
    </row>
    <row r="14" spans="1:5" ht="15.4" x14ac:dyDescent="0.45">
      <c r="A14" s="6">
        <v>13</v>
      </c>
      <c r="B14" s="54" t="s">
        <v>455</v>
      </c>
      <c r="C14" s="6">
        <v>12</v>
      </c>
      <c r="D14" s="93">
        <f>'LISTAS PRECOS PARA PROPOSTA'!I497</f>
        <v>26682.32661538462</v>
      </c>
      <c r="E14" s="93">
        <f t="shared" si="0"/>
        <v>320187.91938461544</v>
      </c>
    </row>
    <row r="15" spans="1:5" ht="15.4" x14ac:dyDescent="0.45">
      <c r="A15" s="6">
        <v>14</v>
      </c>
      <c r="B15" s="54" t="s">
        <v>434</v>
      </c>
      <c r="C15" s="6">
        <v>4</v>
      </c>
      <c r="D15" s="93">
        <f>'LISTAS PRECOS PARA PROPOSTA'!I528</f>
        <v>22615.4</v>
      </c>
      <c r="E15" s="93">
        <f t="shared" si="0"/>
        <v>90461.6</v>
      </c>
    </row>
    <row r="16" spans="1:5" ht="15.4" x14ac:dyDescent="0.45">
      <c r="A16" s="6">
        <v>15</v>
      </c>
      <c r="B16" s="54" t="s">
        <v>435</v>
      </c>
      <c r="C16" s="6">
        <v>4</v>
      </c>
      <c r="D16" s="93">
        <f>'LISTAS PRECOS PARA PROPOSTA'!I556</f>
        <v>11957.040000000003</v>
      </c>
      <c r="E16" s="93">
        <f t="shared" si="0"/>
        <v>47828.160000000011</v>
      </c>
    </row>
    <row r="17" spans="1:5" ht="15.4" x14ac:dyDescent="0.45">
      <c r="A17" s="6">
        <v>16</v>
      </c>
      <c r="B17" s="54" t="s">
        <v>545</v>
      </c>
      <c r="C17" s="6">
        <v>6</v>
      </c>
      <c r="D17" s="93">
        <f>'LISTAS PRECOS PARA PROPOSTA'!I574</f>
        <v>12234.44</v>
      </c>
      <c r="E17" s="93">
        <f t="shared" si="0"/>
        <v>73406.64</v>
      </c>
    </row>
    <row r="18" spans="1:5" ht="15.4" x14ac:dyDescent="0.45">
      <c r="A18" s="6">
        <v>17</v>
      </c>
      <c r="B18" s="54" t="s">
        <v>437</v>
      </c>
      <c r="C18" s="6">
        <v>20</v>
      </c>
      <c r="D18" s="93">
        <f>'LISTAS PRECOS PARA PROPOSTA'!I585</f>
        <v>1364.8799999999999</v>
      </c>
      <c r="E18" s="93">
        <f t="shared" si="0"/>
        <v>27297.599999999999</v>
      </c>
    </row>
    <row r="19" spans="1:5" ht="15.4" x14ac:dyDescent="0.45">
      <c r="A19" s="6">
        <v>18</v>
      </c>
      <c r="B19" s="54" t="s">
        <v>438</v>
      </c>
      <c r="C19" s="6">
        <v>4</v>
      </c>
      <c r="D19" s="93">
        <f>'LISTAS PRECOS PARA PROPOSTA'!I617</f>
        <v>18865.456000000002</v>
      </c>
      <c r="E19" s="93">
        <f t="shared" si="0"/>
        <v>75461.824000000008</v>
      </c>
    </row>
    <row r="20" spans="1:5" ht="15.4" x14ac:dyDescent="0.45">
      <c r="A20" s="6">
        <v>19</v>
      </c>
      <c r="B20" s="54" t="s">
        <v>439</v>
      </c>
      <c r="C20" s="6">
        <v>3</v>
      </c>
      <c r="D20" s="93">
        <f>'LISTAS PRECOS PARA PROPOSTA'!I648</f>
        <v>21892.184000000001</v>
      </c>
      <c r="E20" s="93">
        <f t="shared" si="0"/>
        <v>65676.551999999996</v>
      </c>
    </row>
    <row r="21" spans="1:5" ht="15.4" x14ac:dyDescent="0.45">
      <c r="A21" s="6">
        <v>28</v>
      </c>
      <c r="B21" s="54" t="s">
        <v>459</v>
      </c>
      <c r="C21" s="6">
        <v>12</v>
      </c>
      <c r="D21" s="93">
        <f>'LISTAS PRECOS PARA PROPOSTA'!I708</f>
        <v>25370.336000000003</v>
      </c>
      <c r="E21" s="93">
        <f t="shared" si="0"/>
        <v>304444.03200000001</v>
      </c>
    </row>
    <row r="22" spans="1:5" ht="15.4" x14ac:dyDescent="0.45">
      <c r="A22" s="6">
        <v>29</v>
      </c>
      <c r="B22" s="54" t="s">
        <v>458</v>
      </c>
      <c r="C22" s="6">
        <v>10</v>
      </c>
      <c r="D22" s="93">
        <f>'LISTAS PRECOS PARA PROPOSTA'!I752</f>
        <v>27586.263999999999</v>
      </c>
      <c r="E22" s="93">
        <f t="shared" si="0"/>
        <v>275862.64</v>
      </c>
    </row>
    <row r="23" spans="1:5" ht="15.4" x14ac:dyDescent="0.45">
      <c r="A23" s="6">
        <v>30</v>
      </c>
      <c r="B23" s="54" t="s">
        <v>442</v>
      </c>
      <c r="C23" s="6">
        <v>10</v>
      </c>
      <c r="D23" s="8">
        <f>'LISTAS PRECOS PARA PROPOSTA'!I784</f>
        <v>18575.239999999998</v>
      </c>
      <c r="E23" s="93">
        <f t="shared" si="0"/>
        <v>185752.39999999997</v>
      </c>
    </row>
    <row r="24" spans="1:5" ht="15.4" x14ac:dyDescent="0.45">
      <c r="A24" s="6">
        <v>31</v>
      </c>
      <c r="B24" s="54" t="s">
        <v>457</v>
      </c>
      <c r="C24" s="6">
        <v>4</v>
      </c>
      <c r="D24" s="93">
        <f>'LISTAS PRECOS PARA PROPOSTA'!I837</f>
        <v>36741.304000000004</v>
      </c>
      <c r="E24" s="93">
        <f t="shared" si="0"/>
        <v>146965.21600000001</v>
      </c>
    </row>
    <row r="25" spans="1:5" ht="15.4" x14ac:dyDescent="0.45">
      <c r="A25" s="6">
        <v>32</v>
      </c>
      <c r="B25" s="54" t="s">
        <v>612</v>
      </c>
      <c r="C25" s="6">
        <v>2</v>
      </c>
      <c r="D25" s="111"/>
      <c r="E25" s="111"/>
    </row>
    <row r="26" spans="1:5" ht="15.4" x14ac:dyDescent="0.45">
      <c r="A26" s="6">
        <v>33</v>
      </c>
      <c r="B26" s="54" t="s">
        <v>614</v>
      </c>
      <c r="C26" s="6">
        <v>1</v>
      </c>
      <c r="D26" s="111"/>
      <c r="E26" s="111"/>
    </row>
    <row r="27" spans="1:5" x14ac:dyDescent="0.45">
      <c r="E27" s="8">
        <f>SUM(E2:E25)</f>
        <v>3278882.9673846159</v>
      </c>
    </row>
    <row r="40" ht="14.65" customHeight="1" x14ac:dyDescent="0.45"/>
  </sheetData>
  <pageMargins left="0.511811024" right="0.511811024" top="0.78740157499999996" bottom="0.78740157499999996" header="0.31496062000000002" footer="0.31496062000000002"/>
  <ignoredErrors>
    <ignoredError sqref="E18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09548-B10C-46FB-9039-01F7E543E54A}">
  <dimension ref="A1:CY2914"/>
  <sheetViews>
    <sheetView showGridLines="0" topLeftCell="A611" workbookViewId="0">
      <selection activeCell="C739" sqref="C739:C740"/>
    </sheetView>
  </sheetViews>
  <sheetFormatPr defaultColWidth="9" defaultRowHeight="15.75" x14ac:dyDescent="0.5"/>
  <cols>
    <col min="1" max="1" width="5.59765625" style="60" customWidth="1"/>
    <col min="2" max="2" width="6.265625" style="87" bestFit="1" customWidth="1"/>
    <col min="3" max="3" width="51.265625" style="106" customWidth="1"/>
    <col min="4" max="4" width="5.86328125" style="91" customWidth="1"/>
    <col min="5" max="5" width="10" style="91" bestFit="1" customWidth="1"/>
    <col min="6" max="6" width="12" style="91" bestFit="1" customWidth="1"/>
    <col min="7" max="7" width="8.86328125" style="91" bestFit="1" customWidth="1"/>
    <col min="8" max="8" width="13.73046875" style="69" bestFit="1" customWidth="1"/>
    <col min="9" max="9" width="15.73046875" style="69" bestFit="1" customWidth="1"/>
    <col min="10" max="96" width="9" style="60"/>
  </cols>
  <sheetData>
    <row r="1" spans="2:9" s="60" customFormat="1" ht="15" customHeight="1" x14ac:dyDescent="0.5">
      <c r="B1" s="121" t="s">
        <v>443</v>
      </c>
      <c r="C1" s="122"/>
      <c r="D1" s="122"/>
      <c r="E1" s="122"/>
      <c r="F1" s="122"/>
      <c r="G1" s="122"/>
      <c r="H1" s="122"/>
      <c r="I1" s="123"/>
    </row>
    <row r="2" spans="2:9" s="60" customFormat="1" ht="31.5" x14ac:dyDescent="0.45">
      <c r="B2" s="61" t="s">
        <v>21</v>
      </c>
      <c r="C2" s="94" t="s">
        <v>20</v>
      </c>
      <c r="D2" s="61" t="s">
        <v>19</v>
      </c>
      <c r="E2" s="61" t="s">
        <v>523</v>
      </c>
      <c r="F2" s="61" t="s">
        <v>524</v>
      </c>
      <c r="G2" s="61" t="s">
        <v>525</v>
      </c>
      <c r="H2" s="62" t="s">
        <v>18</v>
      </c>
      <c r="I2" s="62" t="s">
        <v>17</v>
      </c>
    </row>
    <row r="3" spans="2:9" s="60" customFormat="1" ht="31.5" x14ac:dyDescent="0.45">
      <c r="B3" s="63">
        <v>1</v>
      </c>
      <c r="C3" s="95" t="s">
        <v>107</v>
      </c>
      <c r="D3" s="64">
        <v>1</v>
      </c>
      <c r="E3" s="64"/>
      <c r="F3" s="64"/>
      <c r="G3" s="64"/>
      <c r="H3" s="65"/>
      <c r="I3" s="65"/>
    </row>
    <row r="4" spans="2:9" s="60" customFormat="1" ht="31.5" x14ac:dyDescent="0.45">
      <c r="B4" s="63">
        <v>2</v>
      </c>
      <c r="C4" s="95" t="s">
        <v>81</v>
      </c>
      <c r="D4" s="64">
        <v>1</v>
      </c>
      <c r="E4" s="64"/>
      <c r="F4" s="64"/>
      <c r="G4" s="64"/>
      <c r="H4" s="65"/>
      <c r="I4" s="65"/>
    </row>
    <row r="5" spans="2:9" s="60" customFormat="1" x14ac:dyDescent="0.45">
      <c r="B5" s="63">
        <v>3</v>
      </c>
      <c r="C5" s="95" t="s">
        <v>76</v>
      </c>
      <c r="D5" s="64">
        <v>4</v>
      </c>
      <c r="E5" s="64"/>
      <c r="F5" s="64"/>
      <c r="G5" s="64"/>
      <c r="H5" s="65"/>
      <c r="I5" s="65"/>
    </row>
    <row r="6" spans="2:9" s="60" customFormat="1" ht="47.25" x14ac:dyDescent="0.45">
      <c r="B6" s="63">
        <v>4</v>
      </c>
      <c r="C6" s="95" t="s">
        <v>430</v>
      </c>
      <c r="D6" s="64">
        <v>1</v>
      </c>
      <c r="E6" s="64"/>
      <c r="F6" s="64"/>
      <c r="G6" s="64"/>
      <c r="H6" s="65"/>
      <c r="I6" s="65"/>
    </row>
    <row r="7" spans="2:9" s="60" customFormat="1" x14ac:dyDescent="0.45">
      <c r="B7" s="63">
        <v>5</v>
      </c>
      <c r="C7" s="95" t="s">
        <v>77</v>
      </c>
      <c r="D7" s="64">
        <v>1</v>
      </c>
      <c r="E7" s="64"/>
      <c r="F7" s="64"/>
      <c r="G7" s="64"/>
      <c r="H7" s="65"/>
      <c r="I7" s="65"/>
    </row>
    <row r="8" spans="2:9" s="60" customFormat="1" x14ac:dyDescent="0.45">
      <c r="B8" s="63">
        <v>6</v>
      </c>
      <c r="C8" s="95" t="s">
        <v>78</v>
      </c>
      <c r="D8" s="64">
        <v>1</v>
      </c>
      <c r="E8" s="64"/>
      <c r="F8" s="64"/>
      <c r="G8" s="64"/>
      <c r="H8" s="65"/>
      <c r="I8" s="65"/>
    </row>
    <row r="9" spans="2:9" s="60" customFormat="1" ht="47.25" x14ac:dyDescent="0.45">
      <c r="B9" s="63">
        <v>7</v>
      </c>
      <c r="C9" s="95" t="s">
        <v>429</v>
      </c>
      <c r="D9" s="64">
        <v>1</v>
      </c>
      <c r="E9" s="64"/>
      <c r="F9" s="64"/>
      <c r="G9" s="64"/>
      <c r="H9" s="65"/>
      <c r="I9" s="65"/>
    </row>
    <row r="10" spans="2:9" s="60" customFormat="1" x14ac:dyDescent="0.45">
      <c r="B10" s="63">
        <v>8</v>
      </c>
      <c r="C10" s="95" t="s">
        <v>72</v>
      </c>
      <c r="D10" s="64">
        <v>3</v>
      </c>
      <c r="E10" s="64"/>
      <c r="F10" s="64"/>
      <c r="G10" s="64"/>
      <c r="H10" s="65"/>
      <c r="I10" s="65"/>
    </row>
    <row r="11" spans="2:9" s="60" customFormat="1" x14ac:dyDescent="0.45">
      <c r="B11" s="63">
        <v>9</v>
      </c>
      <c r="C11" s="95" t="s">
        <v>276</v>
      </c>
      <c r="D11" s="64">
        <v>3</v>
      </c>
      <c r="E11" s="64"/>
      <c r="F11" s="64"/>
      <c r="G11" s="64"/>
      <c r="H11" s="65"/>
      <c r="I11" s="65"/>
    </row>
    <row r="12" spans="2:9" s="60" customFormat="1" ht="31.5" x14ac:dyDescent="0.45">
      <c r="B12" s="63">
        <v>10</v>
      </c>
      <c r="C12" s="95" t="s">
        <v>378</v>
      </c>
      <c r="D12" s="64">
        <v>2</v>
      </c>
      <c r="E12" s="64"/>
      <c r="F12" s="64"/>
      <c r="G12" s="64"/>
      <c r="H12" s="65"/>
      <c r="I12" s="65"/>
    </row>
    <row r="13" spans="2:9" s="60" customFormat="1" ht="31.5" x14ac:dyDescent="0.45">
      <c r="B13" s="63">
        <v>11</v>
      </c>
      <c r="C13" s="95" t="s">
        <v>423</v>
      </c>
      <c r="D13" s="64">
        <v>1</v>
      </c>
      <c r="E13" s="64"/>
      <c r="F13" s="64"/>
      <c r="G13" s="64"/>
      <c r="H13" s="65"/>
      <c r="I13" s="65"/>
    </row>
    <row r="14" spans="2:9" s="60" customFormat="1" x14ac:dyDescent="0.45">
      <c r="B14" s="63">
        <v>12</v>
      </c>
      <c r="C14" s="95" t="s">
        <v>92</v>
      </c>
      <c r="D14" s="64">
        <v>10</v>
      </c>
      <c r="E14" s="64"/>
      <c r="F14" s="64"/>
      <c r="G14" s="64"/>
      <c r="H14" s="65"/>
      <c r="I14" s="65"/>
    </row>
    <row r="15" spans="2:9" s="60" customFormat="1" ht="31.5" x14ac:dyDescent="0.45">
      <c r="B15" s="63">
        <v>13</v>
      </c>
      <c r="C15" s="95" t="s">
        <v>73</v>
      </c>
      <c r="D15" s="64">
        <v>1</v>
      </c>
      <c r="E15" s="64"/>
      <c r="F15" s="64"/>
      <c r="G15" s="64"/>
      <c r="H15" s="65"/>
      <c r="I15" s="65"/>
    </row>
    <row r="16" spans="2:9" s="60" customFormat="1" ht="31.5" x14ac:dyDescent="0.45">
      <c r="B16" s="63">
        <v>14</v>
      </c>
      <c r="C16" s="95" t="s">
        <v>66</v>
      </c>
      <c r="D16" s="64">
        <v>6</v>
      </c>
      <c r="E16" s="64"/>
      <c r="F16" s="64"/>
      <c r="G16" s="64"/>
      <c r="H16" s="65"/>
      <c r="I16" s="65"/>
    </row>
    <row r="17" spans="2:9" s="60" customFormat="1" ht="31.5" x14ac:dyDescent="0.45">
      <c r="B17" s="63">
        <v>15</v>
      </c>
      <c r="C17" s="95" t="s">
        <v>65</v>
      </c>
      <c r="D17" s="64">
        <v>6</v>
      </c>
      <c r="E17" s="64"/>
      <c r="F17" s="64"/>
      <c r="G17" s="64"/>
      <c r="H17" s="65"/>
      <c r="I17" s="65"/>
    </row>
    <row r="18" spans="2:9" s="60" customFormat="1" ht="31.5" x14ac:dyDescent="0.45">
      <c r="B18" s="63">
        <v>16</v>
      </c>
      <c r="C18" s="95" t="s">
        <v>117</v>
      </c>
      <c r="D18" s="64">
        <v>6</v>
      </c>
      <c r="E18" s="64"/>
      <c r="F18" s="64"/>
      <c r="G18" s="64"/>
      <c r="H18" s="65"/>
      <c r="I18" s="65"/>
    </row>
    <row r="19" spans="2:9" s="60" customFormat="1" x14ac:dyDescent="0.45">
      <c r="B19" s="63">
        <v>17</v>
      </c>
      <c r="C19" s="95" t="s">
        <v>197</v>
      </c>
      <c r="D19" s="64">
        <v>6</v>
      </c>
      <c r="E19" s="64"/>
      <c r="F19" s="64"/>
      <c r="G19" s="64"/>
      <c r="H19" s="65"/>
      <c r="I19" s="65"/>
    </row>
    <row r="20" spans="2:9" s="60" customFormat="1" ht="31.5" x14ac:dyDescent="0.45">
      <c r="B20" s="63">
        <v>18</v>
      </c>
      <c r="C20" s="95" t="s">
        <v>369</v>
      </c>
      <c r="D20" s="64">
        <v>2</v>
      </c>
      <c r="E20" s="64"/>
      <c r="F20" s="64"/>
      <c r="G20" s="64"/>
      <c r="H20" s="65"/>
      <c r="I20" s="65"/>
    </row>
    <row r="21" spans="2:9" s="60" customFormat="1" ht="31.5" x14ac:dyDescent="0.45">
      <c r="B21" s="63">
        <v>19</v>
      </c>
      <c r="C21" s="95" t="s">
        <v>370</v>
      </c>
      <c r="D21" s="64">
        <v>2</v>
      </c>
      <c r="E21" s="64"/>
      <c r="F21" s="64"/>
      <c r="G21" s="64"/>
      <c r="H21" s="65"/>
      <c r="I21" s="65"/>
    </row>
    <row r="22" spans="2:9" s="60" customFormat="1" x14ac:dyDescent="0.45">
      <c r="B22" s="63">
        <v>20</v>
      </c>
      <c r="C22" s="95" t="s">
        <v>278</v>
      </c>
      <c r="D22" s="64">
        <v>4</v>
      </c>
      <c r="E22" s="64"/>
      <c r="F22" s="64"/>
      <c r="G22" s="64"/>
      <c r="H22" s="65"/>
      <c r="I22" s="65"/>
    </row>
    <row r="23" spans="2:9" s="60" customFormat="1" x14ac:dyDescent="0.45">
      <c r="B23" s="63">
        <v>21</v>
      </c>
      <c r="C23" s="95" t="s">
        <v>428</v>
      </c>
      <c r="D23" s="64">
        <v>2</v>
      </c>
      <c r="E23" s="64"/>
      <c r="F23" s="64"/>
      <c r="G23" s="64"/>
      <c r="H23" s="65"/>
      <c r="I23" s="65"/>
    </row>
    <row r="24" spans="2:9" s="60" customFormat="1" ht="31.5" x14ac:dyDescent="0.45">
      <c r="B24" s="63">
        <v>22</v>
      </c>
      <c r="C24" s="95" t="s">
        <v>316</v>
      </c>
      <c r="D24" s="64">
        <v>1</v>
      </c>
      <c r="E24" s="64"/>
      <c r="F24" s="64"/>
      <c r="G24" s="64"/>
      <c r="H24" s="65"/>
      <c r="I24" s="65"/>
    </row>
    <row r="25" spans="2:9" s="60" customFormat="1" ht="31.5" x14ac:dyDescent="0.45">
      <c r="B25" s="63">
        <v>23</v>
      </c>
      <c r="C25" s="95" t="s">
        <v>198</v>
      </c>
      <c r="D25" s="64">
        <v>1</v>
      </c>
      <c r="E25" s="64"/>
      <c r="F25" s="64"/>
      <c r="G25" s="64"/>
      <c r="H25" s="65"/>
      <c r="I25" s="65"/>
    </row>
    <row r="26" spans="2:9" s="60" customFormat="1" ht="31.5" x14ac:dyDescent="0.45">
      <c r="B26" s="63">
        <v>24</v>
      </c>
      <c r="C26" s="95" t="s">
        <v>269</v>
      </c>
      <c r="D26" s="64">
        <v>2</v>
      </c>
      <c r="E26" s="64"/>
      <c r="F26" s="64"/>
      <c r="G26" s="64"/>
      <c r="H26" s="65"/>
      <c r="I26" s="65"/>
    </row>
    <row r="27" spans="2:9" s="60" customFormat="1" ht="31.5" x14ac:dyDescent="0.45">
      <c r="B27" s="63">
        <v>25</v>
      </c>
      <c r="C27" s="95" t="s">
        <v>427</v>
      </c>
      <c r="D27" s="64">
        <v>1</v>
      </c>
      <c r="E27" s="64"/>
      <c r="F27" s="64"/>
      <c r="G27" s="64"/>
      <c r="H27" s="65"/>
      <c r="I27" s="65"/>
    </row>
    <row r="28" spans="2:9" s="60" customFormat="1" ht="31.5" x14ac:dyDescent="0.45">
      <c r="B28" s="63">
        <v>26</v>
      </c>
      <c r="C28" s="95" t="s">
        <v>426</v>
      </c>
      <c r="D28" s="64">
        <v>1</v>
      </c>
      <c r="E28" s="64"/>
      <c r="F28" s="64"/>
      <c r="G28" s="64"/>
      <c r="H28" s="65"/>
      <c r="I28" s="65"/>
    </row>
    <row r="29" spans="2:9" s="60" customFormat="1" ht="31.5" x14ac:dyDescent="0.45">
      <c r="B29" s="63">
        <v>27</v>
      </c>
      <c r="C29" s="95" t="s">
        <v>425</v>
      </c>
      <c r="D29" s="64">
        <v>1</v>
      </c>
      <c r="E29" s="64"/>
      <c r="F29" s="64"/>
      <c r="G29" s="64"/>
      <c r="H29" s="65"/>
      <c r="I29" s="65"/>
    </row>
    <row r="30" spans="2:9" s="60" customFormat="1" ht="31.5" x14ac:dyDescent="0.45">
      <c r="B30" s="63">
        <v>28</v>
      </c>
      <c r="C30" s="95" t="s">
        <v>395</v>
      </c>
      <c r="D30" s="64">
        <v>2</v>
      </c>
      <c r="E30" s="64"/>
      <c r="F30" s="64"/>
      <c r="G30" s="64"/>
      <c r="H30" s="65"/>
      <c r="I30" s="65"/>
    </row>
    <row r="31" spans="2:9" s="60" customFormat="1" ht="31.5" x14ac:dyDescent="0.45">
      <c r="B31" s="63">
        <v>29</v>
      </c>
      <c r="C31" s="95" t="s">
        <v>424</v>
      </c>
      <c r="D31" s="64">
        <v>1</v>
      </c>
      <c r="E31" s="64"/>
      <c r="F31" s="64"/>
      <c r="G31" s="64"/>
      <c r="H31" s="65"/>
      <c r="I31" s="65"/>
    </row>
    <row r="32" spans="2:9" s="60" customFormat="1" ht="31.5" x14ac:dyDescent="0.45">
      <c r="B32" s="63">
        <v>30</v>
      </c>
      <c r="C32" s="95" t="s">
        <v>377</v>
      </c>
      <c r="D32" s="64">
        <v>1</v>
      </c>
      <c r="E32" s="64"/>
      <c r="F32" s="64"/>
      <c r="G32" s="64"/>
      <c r="H32" s="65"/>
      <c r="I32" s="65"/>
    </row>
    <row r="33" spans="2:9" s="60" customFormat="1" ht="31.5" x14ac:dyDescent="0.45">
      <c r="B33" s="63">
        <v>31</v>
      </c>
      <c r="C33" s="95" t="s">
        <v>423</v>
      </c>
      <c r="D33" s="64">
        <v>1</v>
      </c>
      <c r="E33" s="64"/>
      <c r="F33" s="64"/>
      <c r="G33" s="64"/>
      <c r="H33" s="65"/>
      <c r="I33" s="65"/>
    </row>
    <row r="34" spans="2:9" s="60" customFormat="1" ht="31.5" x14ac:dyDescent="0.45">
      <c r="B34" s="63">
        <v>32</v>
      </c>
      <c r="C34" s="95" t="s">
        <v>422</v>
      </c>
      <c r="D34" s="64">
        <v>2</v>
      </c>
      <c r="E34" s="64"/>
      <c r="F34" s="64"/>
      <c r="G34" s="64"/>
      <c r="H34" s="65"/>
      <c r="I34" s="65"/>
    </row>
    <row r="35" spans="2:9" s="60" customFormat="1" ht="31.5" x14ac:dyDescent="0.45">
      <c r="B35" s="63">
        <v>33</v>
      </c>
      <c r="C35" s="95" t="s">
        <v>367</v>
      </c>
      <c r="D35" s="64">
        <v>3</v>
      </c>
      <c r="E35" s="64"/>
      <c r="F35" s="64"/>
      <c r="G35" s="64"/>
      <c r="H35" s="65"/>
      <c r="I35" s="65"/>
    </row>
    <row r="36" spans="2:9" s="60" customFormat="1" ht="31.5" x14ac:dyDescent="0.45">
      <c r="B36" s="63">
        <v>34</v>
      </c>
      <c r="C36" s="95" t="s">
        <v>287</v>
      </c>
      <c r="D36" s="64">
        <v>2</v>
      </c>
      <c r="E36" s="64"/>
      <c r="F36" s="64"/>
      <c r="G36" s="64"/>
      <c r="H36" s="65"/>
      <c r="I36" s="65"/>
    </row>
    <row r="37" spans="2:9" s="60" customFormat="1" ht="31.5" x14ac:dyDescent="0.45">
      <c r="B37" s="63">
        <v>35</v>
      </c>
      <c r="C37" s="95" t="s">
        <v>421</v>
      </c>
      <c r="D37" s="64">
        <v>2</v>
      </c>
      <c r="E37" s="64"/>
      <c r="F37" s="64"/>
      <c r="G37" s="64"/>
      <c r="H37" s="65"/>
      <c r="I37" s="65"/>
    </row>
    <row r="38" spans="2:9" s="60" customFormat="1" ht="31.5" x14ac:dyDescent="0.45">
      <c r="B38" s="63">
        <v>36</v>
      </c>
      <c r="C38" s="95" t="s">
        <v>420</v>
      </c>
      <c r="D38" s="64">
        <v>2</v>
      </c>
      <c r="E38" s="64"/>
      <c r="F38" s="64"/>
      <c r="G38" s="64"/>
      <c r="H38" s="65"/>
      <c r="I38" s="65"/>
    </row>
    <row r="39" spans="2:9" s="60" customFormat="1" ht="31.5" x14ac:dyDescent="0.45">
      <c r="B39" s="63">
        <v>37</v>
      </c>
      <c r="C39" s="95" t="s">
        <v>419</v>
      </c>
      <c r="D39" s="64">
        <v>2</v>
      </c>
      <c r="E39" s="64"/>
      <c r="F39" s="64"/>
      <c r="G39" s="64"/>
      <c r="H39" s="65"/>
      <c r="I39" s="65"/>
    </row>
    <row r="40" spans="2:9" s="60" customFormat="1" x14ac:dyDescent="0.45">
      <c r="B40" s="63">
        <v>38</v>
      </c>
      <c r="C40" s="95" t="s">
        <v>418</v>
      </c>
      <c r="D40" s="64">
        <v>2</v>
      </c>
      <c r="E40" s="64"/>
      <c r="F40" s="64"/>
      <c r="G40" s="64"/>
      <c r="H40" s="65"/>
      <c r="I40" s="65"/>
    </row>
    <row r="41" spans="2:9" s="60" customFormat="1" x14ac:dyDescent="0.45">
      <c r="B41" s="63">
        <v>39</v>
      </c>
      <c r="C41" s="95" t="s">
        <v>417</v>
      </c>
      <c r="D41" s="64">
        <v>1</v>
      </c>
      <c r="E41" s="64"/>
      <c r="F41" s="64"/>
      <c r="G41" s="64"/>
      <c r="H41" s="65"/>
      <c r="I41" s="65"/>
    </row>
    <row r="42" spans="2:9" s="60" customFormat="1" x14ac:dyDescent="0.45">
      <c r="B42" s="63">
        <v>40</v>
      </c>
      <c r="C42" s="95" t="s">
        <v>358</v>
      </c>
      <c r="D42" s="64">
        <v>1</v>
      </c>
      <c r="E42" s="64"/>
      <c r="F42" s="64"/>
      <c r="G42" s="64"/>
      <c r="H42" s="65"/>
      <c r="I42" s="65"/>
    </row>
    <row r="43" spans="2:9" s="60" customFormat="1" ht="47.25" x14ac:dyDescent="0.45">
      <c r="B43" s="63">
        <v>41</v>
      </c>
      <c r="C43" s="95" t="s">
        <v>352</v>
      </c>
      <c r="D43" s="64">
        <v>1</v>
      </c>
      <c r="E43" s="64"/>
      <c r="F43" s="64"/>
      <c r="G43" s="64"/>
      <c r="H43" s="65"/>
      <c r="I43" s="65"/>
    </row>
    <row r="44" spans="2:9" s="60" customFormat="1" x14ac:dyDescent="0.5">
      <c r="B44" s="66"/>
      <c r="C44" s="96"/>
      <c r="D44" s="67">
        <f>SUM(D3:D43)</f>
        <v>94</v>
      </c>
      <c r="E44" s="68"/>
      <c r="F44" s="68"/>
      <c r="G44" s="68"/>
      <c r="H44" s="69"/>
      <c r="I44" s="70"/>
    </row>
    <row r="45" spans="2:9" s="60" customFormat="1" ht="15.75" customHeight="1" x14ac:dyDescent="0.5">
      <c r="B45" s="66"/>
      <c r="C45" s="97"/>
      <c r="D45" s="68"/>
      <c r="E45" s="68"/>
      <c r="F45" s="68"/>
      <c r="G45" s="68"/>
      <c r="H45" s="69"/>
      <c r="I45" s="69"/>
    </row>
    <row r="46" spans="2:9" s="60" customFormat="1" ht="15" customHeight="1" x14ac:dyDescent="0.5">
      <c r="B46" s="121" t="s">
        <v>444</v>
      </c>
      <c r="C46" s="122"/>
      <c r="D46" s="122"/>
      <c r="E46" s="122"/>
      <c r="F46" s="122"/>
      <c r="G46" s="122"/>
      <c r="H46" s="122"/>
      <c r="I46" s="123"/>
    </row>
    <row r="47" spans="2:9" s="60" customFormat="1" ht="31.5" x14ac:dyDescent="0.45">
      <c r="B47" s="61" t="s">
        <v>21</v>
      </c>
      <c r="C47" s="94" t="s">
        <v>20</v>
      </c>
      <c r="D47" s="61" t="s">
        <v>19</v>
      </c>
      <c r="E47" s="61" t="s">
        <v>523</v>
      </c>
      <c r="F47" s="61" t="s">
        <v>524</v>
      </c>
      <c r="G47" s="61" t="s">
        <v>525</v>
      </c>
      <c r="H47" s="62" t="s">
        <v>18</v>
      </c>
      <c r="I47" s="62" t="s">
        <v>17</v>
      </c>
    </row>
    <row r="48" spans="2:9" s="60" customFormat="1" x14ac:dyDescent="0.45">
      <c r="B48" s="63">
        <v>1</v>
      </c>
      <c r="C48" s="95" t="s">
        <v>100</v>
      </c>
      <c r="D48" s="64">
        <v>1</v>
      </c>
      <c r="E48" s="64"/>
      <c r="F48" s="64"/>
      <c r="G48" s="64"/>
      <c r="H48" s="65"/>
      <c r="I48" s="65"/>
    </row>
    <row r="49" spans="2:9" s="60" customFormat="1" x14ac:dyDescent="0.45">
      <c r="B49" s="63">
        <v>2</v>
      </c>
      <c r="C49" s="95" t="s">
        <v>416</v>
      </c>
      <c r="D49" s="64">
        <v>1</v>
      </c>
      <c r="E49" s="64"/>
      <c r="F49" s="64"/>
      <c r="G49" s="64"/>
      <c r="H49" s="65"/>
      <c r="I49" s="65"/>
    </row>
    <row r="50" spans="2:9" s="60" customFormat="1" ht="31.5" x14ac:dyDescent="0.45">
      <c r="B50" s="63">
        <v>3</v>
      </c>
      <c r="C50" s="95" t="s">
        <v>73</v>
      </c>
      <c r="D50" s="64">
        <v>1</v>
      </c>
      <c r="E50" s="64"/>
      <c r="F50" s="64"/>
      <c r="G50" s="64"/>
      <c r="H50" s="65"/>
      <c r="I50" s="65"/>
    </row>
    <row r="51" spans="2:9" s="60" customFormat="1" ht="31.5" x14ac:dyDescent="0.45">
      <c r="B51" s="63">
        <v>4</v>
      </c>
      <c r="C51" s="95" t="s">
        <v>366</v>
      </c>
      <c r="D51" s="64">
        <v>1</v>
      </c>
      <c r="E51" s="64"/>
      <c r="F51" s="64"/>
      <c r="G51" s="64"/>
      <c r="H51" s="65"/>
      <c r="I51" s="65"/>
    </row>
    <row r="52" spans="2:9" s="60" customFormat="1" ht="31.5" x14ac:dyDescent="0.45">
      <c r="B52" s="63">
        <v>5</v>
      </c>
      <c r="C52" s="95" t="s">
        <v>287</v>
      </c>
      <c r="D52" s="64">
        <v>1</v>
      </c>
      <c r="E52" s="64"/>
      <c r="F52" s="64"/>
      <c r="G52" s="64"/>
      <c r="H52" s="65"/>
      <c r="I52" s="65"/>
    </row>
    <row r="53" spans="2:9" s="60" customFormat="1" ht="31.5" x14ac:dyDescent="0.45">
      <c r="B53" s="63">
        <v>6</v>
      </c>
      <c r="C53" s="95" t="s">
        <v>70</v>
      </c>
      <c r="D53" s="64">
        <v>1</v>
      </c>
      <c r="E53" s="64"/>
      <c r="F53" s="64"/>
      <c r="G53" s="64"/>
      <c r="H53" s="65"/>
      <c r="I53" s="65"/>
    </row>
    <row r="54" spans="2:9" s="60" customFormat="1" ht="31.5" x14ac:dyDescent="0.45">
      <c r="B54" s="63">
        <v>7</v>
      </c>
      <c r="C54" s="95" t="s">
        <v>240</v>
      </c>
      <c r="D54" s="64">
        <v>1</v>
      </c>
      <c r="E54" s="64"/>
      <c r="F54" s="64"/>
      <c r="G54" s="64"/>
      <c r="H54" s="65"/>
      <c r="I54" s="65"/>
    </row>
    <row r="55" spans="2:9" s="60" customFormat="1" ht="31.5" x14ac:dyDescent="0.45">
      <c r="B55" s="63">
        <v>8</v>
      </c>
      <c r="C55" s="95" t="s">
        <v>123</v>
      </c>
      <c r="D55" s="64">
        <v>2</v>
      </c>
      <c r="E55" s="64"/>
      <c r="F55" s="64"/>
      <c r="G55" s="64"/>
      <c r="H55" s="65"/>
      <c r="I55" s="65"/>
    </row>
    <row r="56" spans="2:9" s="60" customFormat="1" ht="31.5" x14ac:dyDescent="0.45">
      <c r="B56" s="63">
        <v>9</v>
      </c>
      <c r="C56" s="95" t="s">
        <v>81</v>
      </c>
      <c r="D56" s="64">
        <v>1</v>
      </c>
      <c r="E56" s="64"/>
      <c r="F56" s="64"/>
      <c r="G56" s="64"/>
      <c r="H56" s="65"/>
      <c r="I56" s="65"/>
    </row>
    <row r="57" spans="2:9" s="60" customFormat="1" ht="31.5" x14ac:dyDescent="0.45">
      <c r="B57" s="63">
        <v>10</v>
      </c>
      <c r="C57" s="95" t="s">
        <v>107</v>
      </c>
      <c r="D57" s="64">
        <v>1</v>
      </c>
      <c r="E57" s="64"/>
      <c r="F57" s="64"/>
      <c r="G57" s="64"/>
      <c r="H57" s="65"/>
      <c r="I57" s="65"/>
    </row>
    <row r="58" spans="2:9" s="60" customFormat="1" ht="31.5" x14ac:dyDescent="0.45">
      <c r="B58" s="63">
        <v>11</v>
      </c>
      <c r="C58" s="95" t="s">
        <v>415</v>
      </c>
      <c r="D58" s="64">
        <v>1</v>
      </c>
      <c r="E58" s="64"/>
      <c r="F58" s="64"/>
      <c r="G58" s="64"/>
      <c r="H58" s="65"/>
      <c r="I58" s="65"/>
    </row>
    <row r="59" spans="2:9" s="60" customFormat="1" ht="31.5" x14ac:dyDescent="0.45">
      <c r="B59" s="63">
        <v>12</v>
      </c>
      <c r="C59" s="95" t="s">
        <v>414</v>
      </c>
      <c r="D59" s="64">
        <v>1</v>
      </c>
      <c r="E59" s="64"/>
      <c r="F59" s="64"/>
      <c r="G59" s="64"/>
      <c r="H59" s="65"/>
      <c r="I59" s="65"/>
    </row>
    <row r="60" spans="2:9" s="60" customFormat="1" ht="31.5" x14ac:dyDescent="0.45">
      <c r="B60" s="63">
        <v>13</v>
      </c>
      <c r="C60" s="95" t="s">
        <v>221</v>
      </c>
      <c r="D60" s="64">
        <v>1</v>
      </c>
      <c r="E60" s="64"/>
      <c r="F60" s="64"/>
      <c r="G60" s="64"/>
      <c r="H60" s="65"/>
      <c r="I60" s="65"/>
    </row>
    <row r="61" spans="2:9" s="60" customFormat="1" ht="31.5" x14ac:dyDescent="0.45">
      <c r="B61" s="63">
        <v>14</v>
      </c>
      <c r="C61" s="95" t="s">
        <v>139</v>
      </c>
      <c r="D61" s="64">
        <v>1</v>
      </c>
      <c r="E61" s="64"/>
      <c r="F61" s="64"/>
      <c r="G61" s="64"/>
      <c r="H61" s="65"/>
      <c r="I61" s="65"/>
    </row>
    <row r="62" spans="2:9" s="60" customFormat="1" ht="31.5" x14ac:dyDescent="0.45">
      <c r="B62" s="63">
        <v>15</v>
      </c>
      <c r="C62" s="95" t="s">
        <v>198</v>
      </c>
      <c r="D62" s="64">
        <v>1</v>
      </c>
      <c r="E62" s="64"/>
      <c r="F62" s="64"/>
      <c r="G62" s="64"/>
      <c r="H62" s="65"/>
      <c r="I62" s="65"/>
    </row>
    <row r="63" spans="2:9" s="60" customFormat="1" ht="31.5" x14ac:dyDescent="0.45">
      <c r="B63" s="63">
        <v>16</v>
      </c>
      <c r="C63" s="95" t="s">
        <v>111</v>
      </c>
      <c r="D63" s="64">
        <v>1</v>
      </c>
      <c r="E63" s="64"/>
      <c r="F63" s="64"/>
      <c r="G63" s="64"/>
      <c r="H63" s="65"/>
      <c r="I63" s="65"/>
    </row>
    <row r="64" spans="2:9" s="60" customFormat="1" ht="31.5" x14ac:dyDescent="0.45">
      <c r="B64" s="63">
        <v>17</v>
      </c>
      <c r="C64" s="95" t="s">
        <v>91</v>
      </c>
      <c r="D64" s="64">
        <v>1</v>
      </c>
      <c r="E64" s="64"/>
      <c r="F64" s="64"/>
      <c r="G64" s="64"/>
      <c r="H64" s="65"/>
      <c r="I64" s="65"/>
    </row>
    <row r="65" spans="2:9" s="60" customFormat="1" ht="31.5" x14ac:dyDescent="0.45">
      <c r="B65" s="63">
        <v>18</v>
      </c>
      <c r="C65" s="95" t="s">
        <v>61</v>
      </c>
      <c r="D65" s="64">
        <v>2</v>
      </c>
      <c r="E65" s="64"/>
      <c r="F65" s="64"/>
      <c r="G65" s="64"/>
      <c r="H65" s="65"/>
      <c r="I65" s="65"/>
    </row>
    <row r="66" spans="2:9" s="60" customFormat="1" x14ac:dyDescent="0.45">
      <c r="B66" s="63">
        <v>19</v>
      </c>
      <c r="C66" s="95" t="s">
        <v>413</v>
      </c>
      <c r="D66" s="64">
        <v>2</v>
      </c>
      <c r="E66" s="64"/>
      <c r="F66" s="64"/>
      <c r="G66" s="64"/>
      <c r="H66" s="65"/>
      <c r="I66" s="65"/>
    </row>
    <row r="67" spans="2:9" s="60" customFormat="1" x14ac:dyDescent="0.45">
      <c r="B67" s="63">
        <v>20</v>
      </c>
      <c r="C67" s="95" t="s">
        <v>412</v>
      </c>
      <c r="D67" s="64">
        <v>1</v>
      </c>
      <c r="E67" s="64"/>
      <c r="F67" s="64"/>
      <c r="G67" s="64"/>
      <c r="H67" s="65"/>
      <c r="I67" s="65"/>
    </row>
    <row r="68" spans="2:9" s="60" customFormat="1" x14ac:dyDescent="0.45">
      <c r="B68" s="63">
        <v>21</v>
      </c>
      <c r="C68" s="95" t="s">
        <v>72</v>
      </c>
      <c r="D68" s="64">
        <v>2</v>
      </c>
      <c r="E68" s="64"/>
      <c r="F68" s="64"/>
      <c r="G68" s="64"/>
      <c r="H68" s="65"/>
      <c r="I68" s="65"/>
    </row>
    <row r="69" spans="2:9" s="60" customFormat="1" x14ac:dyDescent="0.45">
      <c r="B69" s="63">
        <v>22</v>
      </c>
      <c r="C69" s="95" t="s">
        <v>63</v>
      </c>
      <c r="D69" s="64">
        <v>2</v>
      </c>
      <c r="E69" s="64"/>
      <c r="F69" s="64"/>
      <c r="G69" s="64"/>
      <c r="H69" s="65"/>
      <c r="I69" s="65"/>
    </row>
    <row r="70" spans="2:9" s="60" customFormat="1" x14ac:dyDescent="0.45">
      <c r="B70" s="63">
        <v>23</v>
      </c>
      <c r="C70" s="95" t="s">
        <v>64</v>
      </c>
      <c r="D70" s="64">
        <v>2</v>
      </c>
      <c r="E70" s="64"/>
      <c r="F70" s="64"/>
      <c r="G70" s="64"/>
      <c r="H70" s="65"/>
      <c r="I70" s="65"/>
    </row>
    <row r="71" spans="2:9" s="60" customFormat="1" ht="31.5" x14ac:dyDescent="0.45">
      <c r="B71" s="63">
        <v>24</v>
      </c>
      <c r="C71" s="95" t="s">
        <v>66</v>
      </c>
      <c r="D71" s="64">
        <v>4</v>
      </c>
      <c r="E71" s="64"/>
      <c r="F71" s="64"/>
      <c r="G71" s="64"/>
      <c r="H71" s="65"/>
      <c r="I71" s="65"/>
    </row>
    <row r="72" spans="2:9" s="60" customFormat="1" ht="31.5" x14ac:dyDescent="0.45">
      <c r="B72" s="63">
        <v>25</v>
      </c>
      <c r="C72" s="95" t="s">
        <v>65</v>
      </c>
      <c r="D72" s="64">
        <v>4</v>
      </c>
      <c r="E72" s="64"/>
      <c r="F72" s="64"/>
      <c r="G72" s="64"/>
      <c r="H72" s="65"/>
      <c r="I72" s="65"/>
    </row>
    <row r="73" spans="2:9" s="60" customFormat="1" ht="31.5" x14ac:dyDescent="0.45">
      <c r="B73" s="63">
        <v>26</v>
      </c>
      <c r="C73" s="95" t="s">
        <v>265</v>
      </c>
      <c r="D73" s="64">
        <v>2</v>
      </c>
      <c r="E73" s="64"/>
      <c r="F73" s="64"/>
      <c r="G73" s="64"/>
      <c r="H73" s="65"/>
      <c r="I73" s="65"/>
    </row>
    <row r="74" spans="2:9" s="60" customFormat="1" ht="31.5" x14ac:dyDescent="0.45">
      <c r="B74" s="63">
        <v>27</v>
      </c>
      <c r="C74" s="95" t="s">
        <v>118</v>
      </c>
      <c r="D74" s="64">
        <v>2</v>
      </c>
      <c r="E74" s="64"/>
      <c r="F74" s="64"/>
      <c r="G74" s="64"/>
      <c r="H74" s="65"/>
      <c r="I74" s="65"/>
    </row>
    <row r="75" spans="2:9" s="60" customFormat="1" ht="31.5" x14ac:dyDescent="0.45">
      <c r="B75" s="63">
        <v>28</v>
      </c>
      <c r="C75" s="95" t="s">
        <v>351</v>
      </c>
      <c r="D75" s="64">
        <v>6</v>
      </c>
      <c r="E75" s="64"/>
      <c r="F75" s="64"/>
      <c r="G75" s="64"/>
      <c r="H75" s="65"/>
      <c r="I75" s="65"/>
    </row>
    <row r="76" spans="2:9" s="60" customFormat="1" ht="31.5" x14ac:dyDescent="0.45">
      <c r="B76" s="63">
        <v>29</v>
      </c>
      <c r="C76" s="95" t="s">
        <v>217</v>
      </c>
      <c r="D76" s="64">
        <v>2</v>
      </c>
      <c r="E76" s="64"/>
      <c r="F76" s="64"/>
      <c r="G76" s="64"/>
      <c r="H76" s="65"/>
      <c r="I76" s="65"/>
    </row>
    <row r="77" spans="2:9" s="60" customFormat="1" ht="31.5" x14ac:dyDescent="0.45">
      <c r="B77" s="63">
        <v>30</v>
      </c>
      <c r="C77" s="95" t="s">
        <v>411</v>
      </c>
      <c r="D77" s="64">
        <v>1</v>
      </c>
      <c r="E77" s="64"/>
      <c r="F77" s="64"/>
      <c r="G77" s="64"/>
      <c r="H77" s="65"/>
      <c r="I77" s="65"/>
    </row>
    <row r="78" spans="2:9" s="60" customFormat="1" ht="31.5" x14ac:dyDescent="0.45">
      <c r="B78" s="63">
        <v>31</v>
      </c>
      <c r="C78" s="95" t="s">
        <v>410</v>
      </c>
      <c r="D78" s="64">
        <v>2</v>
      </c>
      <c r="E78" s="64"/>
      <c r="F78" s="64"/>
      <c r="G78" s="64"/>
      <c r="H78" s="65"/>
      <c r="I78" s="65"/>
    </row>
    <row r="79" spans="2:9" s="60" customFormat="1" ht="47.25" x14ac:dyDescent="0.45">
      <c r="B79" s="64">
        <v>32</v>
      </c>
      <c r="C79" s="95" t="s">
        <v>409</v>
      </c>
      <c r="D79" s="64">
        <v>1</v>
      </c>
      <c r="E79" s="64"/>
      <c r="F79" s="64"/>
      <c r="G79" s="64"/>
      <c r="H79" s="65"/>
      <c r="I79" s="65"/>
    </row>
    <row r="80" spans="2:9" s="60" customFormat="1" x14ac:dyDescent="0.5">
      <c r="B80" s="66"/>
      <c r="C80" s="97"/>
      <c r="D80" s="71">
        <f>SUM(D48:D79)</f>
        <v>53</v>
      </c>
      <c r="E80" s="71"/>
      <c r="F80" s="71"/>
      <c r="G80" s="71"/>
      <c r="H80" s="69"/>
      <c r="I80" s="70"/>
    </row>
    <row r="81" spans="2:9" s="60" customFormat="1" ht="15.75" customHeight="1" x14ac:dyDescent="0.5">
      <c r="B81" s="66"/>
      <c r="C81" s="97"/>
      <c r="D81" s="68"/>
      <c r="E81" s="68"/>
      <c r="F81" s="68"/>
      <c r="G81" s="68"/>
      <c r="H81" s="69"/>
      <c r="I81" s="69"/>
    </row>
    <row r="82" spans="2:9" s="60" customFormat="1" ht="15" customHeight="1" x14ac:dyDescent="0.5">
      <c r="B82" s="121" t="s">
        <v>445</v>
      </c>
      <c r="C82" s="122"/>
      <c r="D82" s="122"/>
      <c r="E82" s="122"/>
      <c r="F82" s="122"/>
      <c r="G82" s="122"/>
      <c r="H82" s="122"/>
      <c r="I82" s="123"/>
    </row>
    <row r="83" spans="2:9" s="60" customFormat="1" ht="31.5" x14ac:dyDescent="0.45">
      <c r="B83" s="61" t="s">
        <v>21</v>
      </c>
      <c r="C83" s="94" t="s">
        <v>20</v>
      </c>
      <c r="D83" s="61" t="s">
        <v>19</v>
      </c>
      <c r="E83" s="61" t="s">
        <v>523</v>
      </c>
      <c r="F83" s="61" t="s">
        <v>524</v>
      </c>
      <c r="G83" s="61" t="s">
        <v>525</v>
      </c>
      <c r="H83" s="62" t="s">
        <v>18</v>
      </c>
      <c r="I83" s="62" t="s">
        <v>17</v>
      </c>
    </row>
    <row r="84" spans="2:9" s="60" customFormat="1" x14ac:dyDescent="0.45">
      <c r="B84" s="63">
        <v>1</v>
      </c>
      <c r="C84" s="95" t="s">
        <v>461</v>
      </c>
      <c r="D84" s="64">
        <v>1</v>
      </c>
      <c r="E84" s="64"/>
      <c r="F84" s="64"/>
      <c r="G84" s="64"/>
      <c r="H84" s="65"/>
      <c r="I84" s="65"/>
    </row>
    <row r="85" spans="2:9" s="60" customFormat="1" x14ac:dyDescent="0.45">
      <c r="B85" s="63">
        <v>2</v>
      </c>
      <c r="C85" s="95" t="s">
        <v>462</v>
      </c>
      <c r="D85" s="64">
        <v>1</v>
      </c>
      <c r="E85" s="64"/>
      <c r="F85" s="64"/>
      <c r="G85" s="64"/>
      <c r="H85" s="65"/>
      <c r="I85" s="65"/>
    </row>
    <row r="86" spans="2:9" s="60" customFormat="1" x14ac:dyDescent="0.45">
      <c r="B86" s="63">
        <v>3</v>
      </c>
      <c r="C86" s="95" t="s">
        <v>463</v>
      </c>
      <c r="D86" s="64">
        <v>1</v>
      </c>
      <c r="E86" s="64"/>
      <c r="F86" s="64"/>
      <c r="G86" s="64"/>
      <c r="H86" s="65"/>
      <c r="I86" s="65"/>
    </row>
    <row r="87" spans="2:9" s="60" customFormat="1" x14ac:dyDescent="0.45">
      <c r="B87" s="63">
        <v>4</v>
      </c>
      <c r="C87" s="95" t="s">
        <v>464</v>
      </c>
      <c r="D87" s="64">
        <v>1</v>
      </c>
      <c r="E87" s="64"/>
      <c r="F87" s="64"/>
      <c r="G87" s="64"/>
      <c r="H87" s="65"/>
      <c r="I87" s="65"/>
    </row>
    <row r="88" spans="2:9" s="60" customFormat="1" x14ac:dyDescent="0.45">
      <c r="B88" s="63">
        <v>5</v>
      </c>
      <c r="C88" s="95" t="s">
        <v>465</v>
      </c>
      <c r="D88" s="64">
        <v>1</v>
      </c>
      <c r="E88" s="64"/>
      <c r="F88" s="64"/>
      <c r="G88" s="64"/>
      <c r="H88" s="65"/>
      <c r="I88" s="65"/>
    </row>
    <row r="89" spans="2:9" s="60" customFormat="1" x14ac:dyDescent="0.45">
      <c r="B89" s="63">
        <v>6</v>
      </c>
      <c r="C89" s="95" t="s">
        <v>466</v>
      </c>
      <c r="D89" s="64">
        <v>1</v>
      </c>
      <c r="E89" s="64"/>
      <c r="F89" s="64"/>
      <c r="G89" s="64"/>
      <c r="H89" s="65"/>
      <c r="I89" s="65"/>
    </row>
    <row r="90" spans="2:9" s="60" customFormat="1" x14ac:dyDescent="0.45">
      <c r="B90" s="63">
        <v>7</v>
      </c>
      <c r="C90" s="95" t="s">
        <v>467</v>
      </c>
      <c r="D90" s="64">
        <v>1</v>
      </c>
      <c r="E90" s="64"/>
      <c r="F90" s="64"/>
      <c r="G90" s="64"/>
      <c r="H90" s="65"/>
      <c r="I90" s="65"/>
    </row>
    <row r="91" spans="2:9" s="60" customFormat="1" x14ac:dyDescent="0.45">
      <c r="B91" s="63">
        <v>8</v>
      </c>
      <c r="C91" s="95" t="s">
        <v>468</v>
      </c>
      <c r="D91" s="64">
        <v>1</v>
      </c>
      <c r="E91" s="64"/>
      <c r="F91" s="64"/>
      <c r="G91" s="64"/>
      <c r="H91" s="65"/>
      <c r="I91" s="65"/>
    </row>
    <row r="92" spans="2:9" s="60" customFormat="1" x14ac:dyDescent="0.45">
      <c r="B92" s="63">
        <v>9</v>
      </c>
      <c r="C92" s="95" t="s">
        <v>469</v>
      </c>
      <c r="D92" s="64">
        <v>1</v>
      </c>
      <c r="E92" s="64"/>
      <c r="F92" s="64"/>
      <c r="G92" s="64"/>
      <c r="H92" s="65"/>
      <c r="I92" s="65"/>
    </row>
    <row r="93" spans="2:9" s="60" customFormat="1" x14ac:dyDescent="0.45">
      <c r="B93" s="63">
        <v>10</v>
      </c>
      <c r="C93" s="95" t="s">
        <v>470</v>
      </c>
      <c r="D93" s="64">
        <v>1</v>
      </c>
      <c r="E93" s="64"/>
      <c r="F93" s="64"/>
      <c r="G93" s="64"/>
      <c r="H93" s="65"/>
      <c r="I93" s="65"/>
    </row>
    <row r="94" spans="2:9" s="60" customFormat="1" x14ac:dyDescent="0.45">
      <c r="B94" s="63">
        <v>11</v>
      </c>
      <c r="C94" s="95" t="s">
        <v>471</v>
      </c>
      <c r="D94" s="64">
        <v>1</v>
      </c>
      <c r="E94" s="64"/>
      <c r="F94" s="64"/>
      <c r="G94" s="64"/>
      <c r="H94" s="65"/>
      <c r="I94" s="65"/>
    </row>
    <row r="95" spans="2:9" s="60" customFormat="1" x14ac:dyDescent="0.45">
      <c r="B95" s="63">
        <v>12</v>
      </c>
      <c r="C95" s="95" t="s">
        <v>472</v>
      </c>
      <c r="D95" s="64">
        <v>1</v>
      </c>
      <c r="E95" s="64"/>
      <c r="F95" s="64"/>
      <c r="G95" s="64"/>
      <c r="H95" s="65"/>
      <c r="I95" s="65"/>
    </row>
    <row r="96" spans="2:9" s="60" customFormat="1" x14ac:dyDescent="0.45">
      <c r="B96" s="63">
        <v>13</v>
      </c>
      <c r="C96" s="95" t="s">
        <v>473</v>
      </c>
      <c r="D96" s="64">
        <v>8</v>
      </c>
      <c r="E96" s="64"/>
      <c r="F96" s="64"/>
      <c r="G96" s="64"/>
      <c r="H96" s="65"/>
      <c r="I96" s="65"/>
    </row>
    <row r="97" spans="2:9" s="60" customFormat="1" x14ac:dyDescent="0.45">
      <c r="B97" s="63">
        <v>14</v>
      </c>
      <c r="C97" s="95" t="s">
        <v>474</v>
      </c>
      <c r="D97" s="64">
        <v>2</v>
      </c>
      <c r="E97" s="64"/>
      <c r="F97" s="64"/>
      <c r="G97" s="64"/>
      <c r="H97" s="65"/>
      <c r="I97" s="65"/>
    </row>
    <row r="98" spans="2:9" s="60" customFormat="1" x14ac:dyDescent="0.45">
      <c r="B98" s="63">
        <v>15</v>
      </c>
      <c r="C98" s="95" t="s">
        <v>475</v>
      </c>
      <c r="D98" s="64">
        <v>1</v>
      </c>
      <c r="E98" s="64"/>
      <c r="F98" s="64"/>
      <c r="G98" s="64"/>
      <c r="H98" s="65"/>
      <c r="I98" s="65"/>
    </row>
    <row r="99" spans="2:9" s="60" customFormat="1" x14ac:dyDescent="0.45">
      <c r="B99" s="63">
        <v>16</v>
      </c>
      <c r="C99" s="95" t="s">
        <v>476</v>
      </c>
      <c r="D99" s="64">
        <v>4</v>
      </c>
      <c r="E99" s="64"/>
      <c r="F99" s="64"/>
      <c r="G99" s="64"/>
      <c r="H99" s="65"/>
      <c r="I99" s="65"/>
    </row>
    <row r="100" spans="2:9" s="60" customFormat="1" x14ac:dyDescent="0.45">
      <c r="B100" s="63">
        <v>17</v>
      </c>
      <c r="C100" s="95" t="s">
        <v>477</v>
      </c>
      <c r="D100" s="64">
        <v>6</v>
      </c>
      <c r="E100" s="64"/>
      <c r="F100" s="64"/>
      <c r="G100" s="64"/>
      <c r="H100" s="65"/>
      <c r="I100" s="65"/>
    </row>
    <row r="101" spans="2:9" s="60" customFormat="1" x14ac:dyDescent="0.45">
      <c r="B101" s="63">
        <v>18</v>
      </c>
      <c r="C101" s="95" t="s">
        <v>478</v>
      </c>
      <c r="D101" s="64">
        <v>4</v>
      </c>
      <c r="E101" s="64"/>
      <c r="F101" s="64"/>
      <c r="G101" s="64"/>
      <c r="H101" s="65"/>
      <c r="I101" s="65"/>
    </row>
    <row r="102" spans="2:9" s="60" customFormat="1" x14ac:dyDescent="0.45">
      <c r="B102" s="63">
        <v>19</v>
      </c>
      <c r="C102" s="95" t="s">
        <v>479</v>
      </c>
      <c r="D102" s="64">
        <v>4</v>
      </c>
      <c r="E102" s="64"/>
      <c r="F102" s="64"/>
      <c r="G102" s="64"/>
      <c r="H102" s="65"/>
      <c r="I102" s="65"/>
    </row>
    <row r="103" spans="2:9" s="60" customFormat="1" x14ac:dyDescent="0.45">
      <c r="B103" s="63">
        <v>20</v>
      </c>
      <c r="C103" s="95" t="s">
        <v>480</v>
      </c>
      <c r="D103" s="64">
        <v>1</v>
      </c>
      <c r="E103" s="64"/>
      <c r="F103" s="64"/>
      <c r="G103" s="64"/>
      <c r="H103" s="65"/>
      <c r="I103" s="65"/>
    </row>
    <row r="104" spans="2:9" s="60" customFormat="1" x14ac:dyDescent="0.45">
      <c r="B104" s="63">
        <v>21</v>
      </c>
      <c r="C104" s="95" t="s">
        <v>481</v>
      </c>
      <c r="D104" s="64">
        <v>1</v>
      </c>
      <c r="E104" s="64"/>
      <c r="F104" s="64"/>
      <c r="G104" s="64"/>
      <c r="H104" s="65"/>
      <c r="I104" s="65"/>
    </row>
    <row r="105" spans="2:9" s="60" customFormat="1" x14ac:dyDescent="0.45">
      <c r="B105" s="63">
        <v>22</v>
      </c>
      <c r="C105" s="95" t="s">
        <v>482</v>
      </c>
      <c r="D105" s="64">
        <v>1</v>
      </c>
      <c r="E105" s="64"/>
      <c r="F105" s="64"/>
      <c r="G105" s="64"/>
      <c r="H105" s="65"/>
      <c r="I105" s="65"/>
    </row>
    <row r="106" spans="2:9" s="60" customFormat="1" x14ac:dyDescent="0.45">
      <c r="B106" s="63">
        <v>23</v>
      </c>
      <c r="C106" s="95" t="s">
        <v>483</v>
      </c>
      <c r="D106" s="64">
        <v>1</v>
      </c>
      <c r="E106" s="64"/>
      <c r="F106" s="64"/>
      <c r="G106" s="64"/>
      <c r="H106" s="65"/>
      <c r="I106" s="65"/>
    </row>
    <row r="107" spans="2:9" s="60" customFormat="1" x14ac:dyDescent="0.45">
      <c r="B107" s="63">
        <v>24</v>
      </c>
      <c r="C107" s="95" t="s">
        <v>484</v>
      </c>
      <c r="D107" s="64">
        <v>1</v>
      </c>
      <c r="E107" s="64"/>
      <c r="F107" s="64"/>
      <c r="G107" s="64"/>
      <c r="H107" s="65"/>
      <c r="I107" s="65"/>
    </row>
    <row r="108" spans="2:9" s="60" customFormat="1" x14ac:dyDescent="0.45">
      <c r="B108" s="63">
        <v>25</v>
      </c>
      <c r="C108" s="95" t="s">
        <v>485</v>
      </c>
      <c r="D108" s="64">
        <v>1</v>
      </c>
      <c r="E108" s="64"/>
      <c r="F108" s="64"/>
      <c r="G108" s="64"/>
      <c r="H108" s="65"/>
      <c r="I108" s="65"/>
    </row>
    <row r="109" spans="2:9" s="60" customFormat="1" x14ac:dyDescent="0.45">
      <c r="B109" s="63">
        <v>26</v>
      </c>
      <c r="C109" s="95" t="s">
        <v>486</v>
      </c>
      <c r="D109" s="64">
        <v>2</v>
      </c>
      <c r="E109" s="64"/>
      <c r="F109" s="64"/>
      <c r="G109" s="64"/>
      <c r="H109" s="65"/>
      <c r="I109" s="65"/>
    </row>
    <row r="110" spans="2:9" s="60" customFormat="1" x14ac:dyDescent="0.45">
      <c r="B110" s="63">
        <v>27</v>
      </c>
      <c r="C110" s="95" t="s">
        <v>487</v>
      </c>
      <c r="D110" s="64">
        <v>2</v>
      </c>
      <c r="E110" s="64"/>
      <c r="F110" s="64"/>
      <c r="G110" s="64"/>
      <c r="H110" s="65"/>
      <c r="I110" s="65"/>
    </row>
    <row r="111" spans="2:9" s="60" customFormat="1" x14ac:dyDescent="0.45">
      <c r="B111" s="63">
        <v>28</v>
      </c>
      <c r="C111" s="95" t="s">
        <v>488</v>
      </c>
      <c r="D111" s="64">
        <v>2</v>
      </c>
      <c r="E111" s="64"/>
      <c r="F111" s="64"/>
      <c r="G111" s="64"/>
      <c r="H111" s="65"/>
      <c r="I111" s="65"/>
    </row>
    <row r="112" spans="2:9" s="60" customFormat="1" x14ac:dyDescent="0.45">
      <c r="B112" s="63">
        <v>29</v>
      </c>
      <c r="C112" s="95" t="s">
        <v>489</v>
      </c>
      <c r="D112" s="64">
        <v>8</v>
      </c>
      <c r="E112" s="64"/>
      <c r="F112" s="64"/>
      <c r="G112" s="64"/>
      <c r="H112" s="65"/>
      <c r="I112" s="65"/>
    </row>
    <row r="113" spans="2:9" s="60" customFormat="1" x14ac:dyDescent="0.45">
      <c r="B113" s="63">
        <v>30</v>
      </c>
      <c r="C113" s="95" t="s">
        <v>490</v>
      </c>
      <c r="D113" s="64">
        <v>8</v>
      </c>
      <c r="E113" s="64"/>
      <c r="F113" s="64"/>
      <c r="G113" s="64"/>
      <c r="H113" s="65"/>
      <c r="I113" s="65"/>
    </row>
    <row r="114" spans="2:9" s="60" customFormat="1" x14ac:dyDescent="0.45">
      <c r="B114" s="63">
        <v>31</v>
      </c>
      <c r="C114" s="95" t="s">
        <v>491</v>
      </c>
      <c r="D114" s="64">
        <v>2</v>
      </c>
      <c r="E114" s="64"/>
      <c r="F114" s="64"/>
      <c r="G114" s="64"/>
      <c r="H114" s="65"/>
      <c r="I114" s="65"/>
    </row>
    <row r="115" spans="2:9" s="60" customFormat="1" x14ac:dyDescent="0.45">
      <c r="B115" s="63">
        <v>32</v>
      </c>
      <c r="C115" s="95" t="s">
        <v>492</v>
      </c>
      <c r="D115" s="64">
        <v>1</v>
      </c>
      <c r="E115" s="64"/>
      <c r="F115" s="64"/>
      <c r="G115" s="64"/>
      <c r="H115" s="65"/>
      <c r="I115" s="65"/>
    </row>
    <row r="116" spans="2:9" s="60" customFormat="1" ht="31.5" x14ac:dyDescent="0.45">
      <c r="B116" s="63">
        <v>33</v>
      </c>
      <c r="C116" s="95" t="s">
        <v>493</v>
      </c>
      <c r="D116" s="64">
        <v>2</v>
      </c>
      <c r="E116" s="64"/>
      <c r="F116" s="64"/>
      <c r="G116" s="64"/>
      <c r="H116" s="65"/>
      <c r="I116" s="65"/>
    </row>
    <row r="117" spans="2:9" s="60" customFormat="1" x14ac:dyDescent="0.45">
      <c r="B117" s="63">
        <v>34</v>
      </c>
      <c r="C117" s="95" t="s">
        <v>494</v>
      </c>
      <c r="D117" s="64">
        <v>1</v>
      </c>
      <c r="E117" s="64"/>
      <c r="F117" s="64"/>
      <c r="G117" s="64"/>
      <c r="H117" s="65"/>
      <c r="I117" s="65"/>
    </row>
    <row r="118" spans="2:9" s="60" customFormat="1" x14ac:dyDescent="0.45">
      <c r="B118" s="63">
        <v>35</v>
      </c>
      <c r="C118" s="95" t="s">
        <v>495</v>
      </c>
      <c r="D118" s="64">
        <v>1</v>
      </c>
      <c r="E118" s="64"/>
      <c r="F118" s="64"/>
      <c r="G118" s="64"/>
      <c r="H118" s="65"/>
      <c r="I118" s="65"/>
    </row>
    <row r="119" spans="2:9" s="60" customFormat="1" x14ac:dyDescent="0.45">
      <c r="B119" s="63">
        <v>36</v>
      </c>
      <c r="C119" s="95" t="s">
        <v>496</v>
      </c>
      <c r="D119" s="64">
        <v>2</v>
      </c>
      <c r="E119" s="64"/>
      <c r="F119" s="64"/>
      <c r="G119" s="64"/>
      <c r="H119" s="65"/>
      <c r="I119" s="65"/>
    </row>
    <row r="120" spans="2:9" s="60" customFormat="1" x14ac:dyDescent="0.45">
      <c r="B120" s="63">
        <v>37</v>
      </c>
      <c r="C120" s="95" t="s">
        <v>497</v>
      </c>
      <c r="D120" s="64">
        <v>10</v>
      </c>
      <c r="E120" s="64"/>
      <c r="F120" s="64"/>
      <c r="G120" s="64"/>
      <c r="H120" s="65"/>
      <c r="I120" s="65"/>
    </row>
    <row r="121" spans="2:9" s="60" customFormat="1" x14ac:dyDescent="0.45">
      <c r="B121" s="63">
        <v>38</v>
      </c>
      <c r="C121" s="95" t="s">
        <v>498</v>
      </c>
      <c r="D121" s="64">
        <v>8</v>
      </c>
      <c r="E121" s="64"/>
      <c r="F121" s="64"/>
      <c r="G121" s="64"/>
      <c r="H121" s="65"/>
      <c r="I121" s="65"/>
    </row>
    <row r="122" spans="2:9" s="60" customFormat="1" x14ac:dyDescent="0.45">
      <c r="B122" s="63">
        <v>39</v>
      </c>
      <c r="C122" s="95" t="s">
        <v>499</v>
      </c>
      <c r="D122" s="64">
        <v>10</v>
      </c>
      <c r="E122" s="64"/>
      <c r="F122" s="64"/>
      <c r="G122" s="64"/>
      <c r="H122" s="65"/>
      <c r="I122" s="65"/>
    </row>
    <row r="123" spans="2:9" s="60" customFormat="1" x14ac:dyDescent="0.45">
      <c r="B123" s="63">
        <v>40</v>
      </c>
      <c r="C123" s="95" t="s">
        <v>500</v>
      </c>
      <c r="D123" s="64">
        <v>6</v>
      </c>
      <c r="E123" s="64"/>
      <c r="F123" s="64"/>
      <c r="G123" s="64"/>
      <c r="H123" s="65"/>
      <c r="I123" s="65"/>
    </row>
    <row r="124" spans="2:9" s="60" customFormat="1" x14ac:dyDescent="0.45">
      <c r="B124" s="63">
        <v>41</v>
      </c>
      <c r="C124" s="95" t="s">
        <v>501</v>
      </c>
      <c r="D124" s="64">
        <v>4</v>
      </c>
      <c r="E124" s="64"/>
      <c r="F124" s="64"/>
      <c r="G124" s="64"/>
      <c r="H124" s="65"/>
      <c r="I124" s="65"/>
    </row>
    <row r="125" spans="2:9" s="60" customFormat="1" x14ac:dyDescent="0.45">
      <c r="B125" s="63">
        <v>42</v>
      </c>
      <c r="C125" s="95" t="s">
        <v>502</v>
      </c>
      <c r="D125" s="64">
        <v>6</v>
      </c>
      <c r="E125" s="64"/>
      <c r="F125" s="64"/>
      <c r="G125" s="64"/>
      <c r="H125" s="65"/>
      <c r="I125" s="65"/>
    </row>
    <row r="126" spans="2:9" s="60" customFormat="1" x14ac:dyDescent="0.45">
      <c r="B126" s="63">
        <v>43</v>
      </c>
      <c r="C126" s="95" t="s">
        <v>503</v>
      </c>
      <c r="D126" s="64">
        <v>4</v>
      </c>
      <c r="E126" s="64"/>
      <c r="F126" s="64"/>
      <c r="G126" s="64"/>
      <c r="H126" s="65"/>
      <c r="I126" s="65"/>
    </row>
    <row r="127" spans="2:9" s="60" customFormat="1" x14ac:dyDescent="0.45">
      <c r="B127" s="63">
        <v>44</v>
      </c>
      <c r="C127" s="95" t="s">
        <v>504</v>
      </c>
      <c r="D127" s="64">
        <v>2</v>
      </c>
      <c r="E127" s="64"/>
      <c r="F127" s="64"/>
      <c r="G127" s="64"/>
      <c r="H127" s="65"/>
      <c r="I127" s="65"/>
    </row>
    <row r="128" spans="2:9" s="60" customFormat="1" x14ac:dyDescent="0.45">
      <c r="B128" s="63">
        <v>45</v>
      </c>
      <c r="C128" s="95" t="s">
        <v>505</v>
      </c>
      <c r="D128" s="64">
        <v>1</v>
      </c>
      <c r="E128" s="64"/>
      <c r="F128" s="64"/>
      <c r="G128" s="64"/>
      <c r="H128" s="65"/>
      <c r="I128" s="65"/>
    </row>
    <row r="129" spans="2:9" s="60" customFormat="1" x14ac:dyDescent="0.45">
      <c r="B129" s="63">
        <v>46</v>
      </c>
      <c r="C129" s="95" t="s">
        <v>506</v>
      </c>
      <c r="D129" s="64">
        <v>2</v>
      </c>
      <c r="E129" s="64"/>
      <c r="F129" s="64"/>
      <c r="G129" s="64"/>
      <c r="H129" s="65"/>
      <c r="I129" s="65"/>
    </row>
    <row r="130" spans="2:9" s="60" customFormat="1" x14ac:dyDescent="0.45">
      <c r="B130" s="63">
        <v>47</v>
      </c>
      <c r="C130" s="95" t="s">
        <v>507</v>
      </c>
      <c r="D130" s="64">
        <v>2</v>
      </c>
      <c r="E130" s="64"/>
      <c r="F130" s="64"/>
      <c r="G130" s="64"/>
      <c r="H130" s="65"/>
      <c r="I130" s="65"/>
    </row>
    <row r="131" spans="2:9" s="60" customFormat="1" x14ac:dyDescent="0.45">
      <c r="B131" s="63">
        <v>48</v>
      </c>
      <c r="C131" s="95" t="s">
        <v>508</v>
      </c>
      <c r="D131" s="64">
        <v>1</v>
      </c>
      <c r="E131" s="64"/>
      <c r="F131" s="64"/>
      <c r="G131" s="64"/>
      <c r="H131" s="65"/>
      <c r="I131" s="65"/>
    </row>
    <row r="132" spans="2:9" s="60" customFormat="1" x14ac:dyDescent="0.45">
      <c r="B132" s="63">
        <v>49</v>
      </c>
      <c r="C132" s="95" t="s">
        <v>509</v>
      </c>
      <c r="D132" s="64">
        <v>1</v>
      </c>
      <c r="E132" s="64"/>
      <c r="F132" s="64"/>
      <c r="G132" s="64"/>
      <c r="H132" s="65"/>
      <c r="I132" s="65"/>
    </row>
    <row r="133" spans="2:9" s="60" customFormat="1" x14ac:dyDescent="0.45">
      <c r="B133" s="63">
        <v>50</v>
      </c>
      <c r="C133" s="95" t="s">
        <v>510</v>
      </c>
      <c r="D133" s="64">
        <v>1</v>
      </c>
      <c r="E133" s="64"/>
      <c r="F133" s="64"/>
      <c r="G133" s="64"/>
      <c r="H133" s="65"/>
      <c r="I133" s="65"/>
    </row>
    <row r="134" spans="2:9" s="60" customFormat="1" x14ac:dyDescent="0.45">
      <c r="B134" s="63">
        <v>51</v>
      </c>
      <c r="C134" s="95" t="s">
        <v>511</v>
      </c>
      <c r="D134" s="64">
        <v>2</v>
      </c>
      <c r="E134" s="64"/>
      <c r="F134" s="64"/>
      <c r="G134" s="64"/>
      <c r="H134" s="65"/>
      <c r="I134" s="65"/>
    </row>
    <row r="135" spans="2:9" s="60" customFormat="1" x14ac:dyDescent="0.45">
      <c r="B135" s="63">
        <v>52</v>
      </c>
      <c r="C135" s="95" t="s">
        <v>512</v>
      </c>
      <c r="D135" s="64">
        <v>1</v>
      </c>
      <c r="E135" s="64"/>
      <c r="F135" s="64"/>
      <c r="G135" s="64"/>
      <c r="H135" s="65"/>
      <c r="I135" s="65"/>
    </row>
    <row r="136" spans="2:9" s="60" customFormat="1" x14ac:dyDescent="0.45">
      <c r="B136" s="63">
        <v>53</v>
      </c>
      <c r="C136" s="95" t="s">
        <v>513</v>
      </c>
      <c r="D136" s="64">
        <v>1</v>
      </c>
      <c r="E136" s="64"/>
      <c r="F136" s="64"/>
      <c r="G136" s="64"/>
      <c r="H136" s="65"/>
      <c r="I136" s="65"/>
    </row>
    <row r="137" spans="2:9" s="60" customFormat="1" x14ac:dyDescent="0.45">
      <c r="B137" s="63">
        <v>54</v>
      </c>
      <c r="C137" s="95" t="s">
        <v>514</v>
      </c>
      <c r="D137" s="64">
        <v>1</v>
      </c>
      <c r="E137" s="64"/>
      <c r="F137" s="64"/>
      <c r="G137" s="64"/>
      <c r="H137" s="65"/>
      <c r="I137" s="65"/>
    </row>
    <row r="138" spans="2:9" s="60" customFormat="1" x14ac:dyDescent="0.45">
      <c r="B138" s="63">
        <v>55</v>
      </c>
      <c r="C138" s="95" t="s">
        <v>515</v>
      </c>
      <c r="D138" s="64">
        <v>1</v>
      </c>
      <c r="E138" s="64"/>
      <c r="F138" s="64"/>
      <c r="G138" s="64"/>
      <c r="H138" s="65"/>
      <c r="I138" s="65"/>
    </row>
    <row r="139" spans="2:9" s="60" customFormat="1" x14ac:dyDescent="0.45">
      <c r="B139" s="63">
        <v>56</v>
      </c>
      <c r="C139" s="95" t="s">
        <v>516</v>
      </c>
      <c r="D139" s="64">
        <v>1</v>
      </c>
      <c r="E139" s="64"/>
      <c r="F139" s="64"/>
      <c r="G139" s="64"/>
      <c r="H139" s="65"/>
      <c r="I139" s="65"/>
    </row>
    <row r="140" spans="2:9" s="60" customFormat="1" x14ac:dyDescent="0.45">
      <c r="B140" s="63">
        <v>57</v>
      </c>
      <c r="C140" s="95" t="s">
        <v>517</v>
      </c>
      <c r="D140" s="64">
        <v>2</v>
      </c>
      <c r="E140" s="64"/>
      <c r="F140" s="64"/>
      <c r="G140" s="64"/>
      <c r="H140" s="65"/>
      <c r="I140" s="65"/>
    </row>
    <row r="141" spans="2:9" s="60" customFormat="1" x14ac:dyDescent="0.45">
      <c r="B141" s="63">
        <v>58</v>
      </c>
      <c r="C141" s="95" t="s">
        <v>518</v>
      </c>
      <c r="D141" s="64">
        <v>1</v>
      </c>
      <c r="E141" s="64"/>
      <c r="F141" s="64"/>
      <c r="G141" s="64"/>
      <c r="H141" s="65"/>
      <c r="I141" s="65"/>
    </row>
    <row r="142" spans="2:9" s="60" customFormat="1" x14ac:dyDescent="0.45">
      <c r="B142" s="63">
        <v>59</v>
      </c>
      <c r="C142" s="95" t="s">
        <v>519</v>
      </c>
      <c r="D142" s="64">
        <v>1</v>
      </c>
      <c r="E142" s="64"/>
      <c r="F142" s="64"/>
      <c r="G142" s="64"/>
      <c r="H142" s="65"/>
      <c r="I142" s="65"/>
    </row>
    <row r="143" spans="2:9" s="60" customFormat="1" x14ac:dyDescent="0.45">
      <c r="B143" s="63">
        <v>60</v>
      </c>
      <c r="C143" s="95" t="s">
        <v>520</v>
      </c>
      <c r="D143" s="64">
        <v>1</v>
      </c>
      <c r="E143" s="64"/>
      <c r="F143" s="64"/>
      <c r="G143" s="64"/>
      <c r="H143" s="65"/>
      <c r="I143" s="65"/>
    </row>
    <row r="144" spans="2:9" s="60" customFormat="1" x14ac:dyDescent="0.45">
      <c r="B144" s="63">
        <v>61</v>
      </c>
      <c r="C144" s="95" t="s">
        <v>521</v>
      </c>
      <c r="D144" s="64">
        <v>1</v>
      </c>
      <c r="E144" s="64"/>
      <c r="F144" s="64"/>
      <c r="G144" s="64"/>
      <c r="H144" s="65"/>
      <c r="I144" s="65"/>
    </row>
    <row r="145" spans="1:9" s="60" customFormat="1" x14ac:dyDescent="0.45">
      <c r="B145" s="63">
        <v>62</v>
      </c>
      <c r="C145" s="95" t="s">
        <v>522</v>
      </c>
      <c r="D145" s="64">
        <v>1</v>
      </c>
      <c r="E145" s="64"/>
      <c r="F145" s="64"/>
      <c r="G145" s="64"/>
      <c r="H145" s="65"/>
      <c r="I145" s="65"/>
    </row>
    <row r="146" spans="1:9" s="60" customFormat="1" ht="47.25" x14ac:dyDescent="0.45">
      <c r="B146" s="63">
        <v>63</v>
      </c>
      <c r="C146" s="95" t="s">
        <v>314</v>
      </c>
      <c r="D146" s="64">
        <v>1</v>
      </c>
      <c r="E146" s="64"/>
      <c r="F146" s="64"/>
      <c r="G146" s="64"/>
      <c r="H146" s="65"/>
      <c r="I146" s="65"/>
    </row>
    <row r="147" spans="1:9" s="60" customFormat="1" x14ac:dyDescent="0.5">
      <c r="B147" s="66"/>
      <c r="C147" s="97"/>
      <c r="D147" s="71">
        <f>SUM(D116:D145)</f>
        <v>78</v>
      </c>
      <c r="E147" s="71"/>
      <c r="F147" s="71"/>
      <c r="G147" s="71"/>
      <c r="H147" s="69"/>
      <c r="I147" s="70"/>
    </row>
    <row r="148" spans="1:9" customFormat="1" ht="14.25" x14ac:dyDescent="0.45">
      <c r="A148" s="7"/>
      <c r="C148" s="98"/>
      <c r="D148" s="8"/>
      <c r="E148" s="8"/>
      <c r="F148" s="8"/>
      <c r="G148" s="8"/>
      <c r="H148" s="8"/>
    </row>
    <row r="149" spans="1:9" s="60" customFormat="1" ht="15" customHeight="1" x14ac:dyDescent="0.5">
      <c r="B149" s="121" t="s">
        <v>446</v>
      </c>
      <c r="C149" s="122"/>
      <c r="D149" s="122"/>
      <c r="E149" s="122"/>
      <c r="F149" s="122"/>
      <c r="G149" s="122"/>
      <c r="H149" s="122"/>
      <c r="I149" s="123"/>
    </row>
    <row r="150" spans="1:9" s="60" customFormat="1" ht="31.5" x14ac:dyDescent="0.45">
      <c r="B150" s="61" t="s">
        <v>21</v>
      </c>
      <c r="C150" s="94" t="s">
        <v>20</v>
      </c>
      <c r="D150" s="61" t="s">
        <v>19</v>
      </c>
      <c r="E150" s="61" t="s">
        <v>523</v>
      </c>
      <c r="F150" s="61" t="s">
        <v>524</v>
      </c>
      <c r="G150" s="61" t="s">
        <v>525</v>
      </c>
      <c r="H150" s="62" t="s">
        <v>18</v>
      </c>
      <c r="I150" s="62" t="s">
        <v>17</v>
      </c>
    </row>
    <row r="151" spans="1:9" s="60" customFormat="1" x14ac:dyDescent="0.45">
      <c r="B151" s="63">
        <v>1</v>
      </c>
      <c r="C151" s="95" t="s">
        <v>76</v>
      </c>
      <c r="D151" s="64">
        <v>2</v>
      </c>
      <c r="E151" s="64"/>
      <c r="F151" s="64"/>
      <c r="G151" s="64"/>
      <c r="H151" s="65"/>
      <c r="I151" s="65"/>
    </row>
    <row r="152" spans="1:9" s="60" customFormat="1" x14ac:dyDescent="0.45">
      <c r="B152" s="63">
        <v>2</v>
      </c>
      <c r="C152" s="95" t="s">
        <v>164</v>
      </c>
      <c r="D152" s="64">
        <v>1</v>
      </c>
      <c r="E152" s="64"/>
      <c r="F152" s="64"/>
      <c r="G152" s="64"/>
      <c r="H152" s="65"/>
      <c r="I152" s="65"/>
    </row>
    <row r="153" spans="1:9" s="60" customFormat="1" x14ac:dyDescent="0.45">
      <c r="B153" s="63">
        <v>3</v>
      </c>
      <c r="C153" s="95" t="s">
        <v>389</v>
      </c>
      <c r="D153" s="64">
        <v>1</v>
      </c>
      <c r="E153" s="64"/>
      <c r="F153" s="64"/>
      <c r="G153" s="64"/>
      <c r="H153" s="65"/>
      <c r="I153" s="65"/>
    </row>
    <row r="154" spans="1:9" s="60" customFormat="1" x14ac:dyDescent="0.45">
      <c r="B154" s="63">
        <v>4</v>
      </c>
      <c r="C154" s="95" t="s">
        <v>165</v>
      </c>
      <c r="D154" s="64">
        <v>1</v>
      </c>
      <c r="E154" s="64"/>
      <c r="F154" s="64"/>
      <c r="G154" s="64"/>
      <c r="H154" s="65"/>
      <c r="I154" s="65"/>
    </row>
    <row r="155" spans="1:9" s="60" customFormat="1" x14ac:dyDescent="0.45">
      <c r="B155" s="63">
        <v>5</v>
      </c>
      <c r="C155" s="95" t="s">
        <v>397</v>
      </c>
      <c r="D155" s="64">
        <v>1</v>
      </c>
      <c r="E155" s="64"/>
      <c r="F155" s="64"/>
      <c r="G155" s="64"/>
      <c r="H155" s="65"/>
      <c r="I155" s="65"/>
    </row>
    <row r="156" spans="1:9" s="60" customFormat="1" ht="31.5" x14ac:dyDescent="0.45">
      <c r="B156" s="63">
        <v>6</v>
      </c>
      <c r="C156" s="95" t="s">
        <v>408</v>
      </c>
      <c r="D156" s="64">
        <v>1</v>
      </c>
      <c r="E156" s="64"/>
      <c r="F156" s="64"/>
      <c r="G156" s="64"/>
      <c r="H156" s="65"/>
      <c r="I156" s="65"/>
    </row>
    <row r="157" spans="1:9" s="60" customFormat="1" ht="31.5" x14ac:dyDescent="0.45">
      <c r="B157" s="63">
        <v>7</v>
      </c>
      <c r="C157" s="95" t="s">
        <v>407</v>
      </c>
      <c r="D157" s="64">
        <v>1</v>
      </c>
      <c r="E157" s="64"/>
      <c r="F157" s="64"/>
      <c r="G157" s="64"/>
      <c r="H157" s="65"/>
      <c r="I157" s="65"/>
    </row>
    <row r="158" spans="1:9" s="60" customFormat="1" x14ac:dyDescent="0.45">
      <c r="B158" s="63">
        <v>8</v>
      </c>
      <c r="C158" s="95" t="s">
        <v>406</v>
      </c>
      <c r="D158" s="64">
        <v>1</v>
      </c>
      <c r="E158" s="64"/>
      <c r="F158" s="64"/>
      <c r="G158" s="64"/>
      <c r="H158" s="65"/>
      <c r="I158" s="65"/>
    </row>
    <row r="159" spans="1:9" s="60" customFormat="1" x14ac:dyDescent="0.45">
      <c r="B159" s="63">
        <v>9</v>
      </c>
      <c r="C159" s="95" t="s">
        <v>405</v>
      </c>
      <c r="D159" s="64">
        <v>1</v>
      </c>
      <c r="E159" s="64"/>
      <c r="F159" s="64"/>
      <c r="G159" s="64"/>
      <c r="H159" s="65"/>
      <c r="I159" s="65"/>
    </row>
    <row r="160" spans="1:9" s="60" customFormat="1" x14ac:dyDescent="0.45">
      <c r="B160" s="63">
        <v>10</v>
      </c>
      <c r="C160" s="95" t="s">
        <v>404</v>
      </c>
      <c r="D160" s="64">
        <v>1</v>
      </c>
      <c r="E160" s="64"/>
      <c r="F160" s="64"/>
      <c r="G160" s="64"/>
      <c r="H160" s="65"/>
      <c r="I160" s="65"/>
    </row>
    <row r="161" spans="2:9" s="60" customFormat="1" ht="31.5" x14ac:dyDescent="0.45">
      <c r="B161" s="63">
        <v>11</v>
      </c>
      <c r="C161" s="95" t="s">
        <v>403</v>
      </c>
      <c r="D161" s="64">
        <v>1</v>
      </c>
      <c r="E161" s="64"/>
      <c r="F161" s="64"/>
      <c r="G161" s="64"/>
      <c r="H161" s="65"/>
      <c r="I161" s="65"/>
    </row>
    <row r="162" spans="2:9" s="60" customFormat="1" ht="31.5" x14ac:dyDescent="0.45">
      <c r="B162" s="63">
        <v>12</v>
      </c>
      <c r="C162" s="95" t="s">
        <v>402</v>
      </c>
      <c r="D162" s="64">
        <v>1</v>
      </c>
      <c r="E162" s="64"/>
      <c r="F162" s="64"/>
      <c r="G162" s="64"/>
      <c r="H162" s="65"/>
      <c r="I162" s="65"/>
    </row>
    <row r="163" spans="2:9" s="60" customFormat="1" ht="31.5" x14ac:dyDescent="0.45">
      <c r="B163" s="63">
        <v>13</v>
      </c>
      <c r="C163" s="95" t="s">
        <v>401</v>
      </c>
      <c r="D163" s="64">
        <v>1</v>
      </c>
      <c r="E163" s="64"/>
      <c r="F163" s="64"/>
      <c r="G163" s="64"/>
      <c r="H163" s="65"/>
      <c r="I163" s="65"/>
    </row>
    <row r="164" spans="2:9" s="60" customFormat="1" ht="31.5" x14ac:dyDescent="0.45">
      <c r="B164" s="63">
        <v>14</v>
      </c>
      <c r="C164" s="95" t="s">
        <v>400</v>
      </c>
      <c r="D164" s="64">
        <v>1</v>
      </c>
      <c r="E164" s="64"/>
      <c r="F164" s="64"/>
      <c r="G164" s="64"/>
      <c r="H164" s="65"/>
      <c r="I164" s="65"/>
    </row>
    <row r="165" spans="2:9" s="60" customFormat="1" ht="31.5" x14ac:dyDescent="0.45">
      <c r="B165" s="63">
        <v>15</v>
      </c>
      <c r="C165" s="95" t="s">
        <v>317</v>
      </c>
      <c r="D165" s="64">
        <v>1</v>
      </c>
      <c r="E165" s="64"/>
      <c r="F165" s="64"/>
      <c r="G165" s="64"/>
      <c r="H165" s="65"/>
      <c r="I165" s="65"/>
    </row>
    <row r="166" spans="2:9" s="60" customFormat="1" ht="31.5" x14ac:dyDescent="0.45">
      <c r="B166" s="63">
        <v>16</v>
      </c>
      <c r="C166" s="95" t="s">
        <v>399</v>
      </c>
      <c r="D166" s="64">
        <v>1</v>
      </c>
      <c r="E166" s="64"/>
      <c r="F166" s="64"/>
      <c r="G166" s="64"/>
      <c r="H166" s="65"/>
      <c r="I166" s="65"/>
    </row>
    <row r="167" spans="2:9" s="60" customFormat="1" x14ac:dyDescent="0.45">
      <c r="B167" s="63">
        <v>17</v>
      </c>
      <c r="C167" s="95" t="s">
        <v>398</v>
      </c>
      <c r="D167" s="64">
        <v>1</v>
      </c>
      <c r="E167" s="64"/>
      <c r="F167" s="64"/>
      <c r="G167" s="64"/>
      <c r="H167" s="65"/>
      <c r="I167" s="65"/>
    </row>
    <row r="168" spans="2:9" s="60" customFormat="1" x14ac:dyDescent="0.45">
      <c r="B168" s="63">
        <v>18</v>
      </c>
      <c r="C168" s="95" t="s">
        <v>100</v>
      </c>
      <c r="D168" s="64">
        <v>1</v>
      </c>
      <c r="E168" s="64"/>
      <c r="F168" s="64"/>
      <c r="G168" s="64"/>
      <c r="H168" s="65"/>
      <c r="I168" s="65"/>
    </row>
    <row r="169" spans="2:9" s="60" customFormat="1" ht="31.5" x14ac:dyDescent="0.45">
      <c r="B169" s="63">
        <v>19</v>
      </c>
      <c r="C169" s="95" t="s">
        <v>365</v>
      </c>
      <c r="D169" s="64">
        <v>1</v>
      </c>
      <c r="E169" s="64"/>
      <c r="F169" s="64"/>
      <c r="G169" s="64"/>
      <c r="H169" s="65"/>
      <c r="I169" s="65"/>
    </row>
    <row r="170" spans="2:9" s="60" customFormat="1" ht="31.5" x14ac:dyDescent="0.45">
      <c r="B170" s="63">
        <v>20</v>
      </c>
      <c r="C170" s="95" t="s">
        <v>121</v>
      </c>
      <c r="D170" s="64">
        <v>1</v>
      </c>
      <c r="E170" s="64"/>
      <c r="F170" s="64"/>
      <c r="G170" s="64"/>
      <c r="H170" s="65"/>
      <c r="I170" s="65"/>
    </row>
    <row r="171" spans="2:9" s="60" customFormat="1" ht="31.5" x14ac:dyDescent="0.45">
      <c r="B171" s="63">
        <v>21</v>
      </c>
      <c r="C171" s="95" t="s">
        <v>73</v>
      </c>
      <c r="D171" s="64">
        <v>1</v>
      </c>
      <c r="E171" s="64"/>
      <c r="F171" s="64"/>
      <c r="G171" s="64"/>
      <c r="H171" s="65"/>
      <c r="I171" s="65"/>
    </row>
    <row r="172" spans="2:9" s="60" customFormat="1" ht="47.25" x14ac:dyDescent="0.45">
      <c r="B172" s="63">
        <v>22</v>
      </c>
      <c r="C172" s="95" t="s">
        <v>314</v>
      </c>
      <c r="D172" s="64">
        <v>1</v>
      </c>
      <c r="E172" s="64"/>
      <c r="F172" s="64"/>
      <c r="G172" s="64"/>
      <c r="H172" s="65"/>
      <c r="I172" s="65"/>
    </row>
    <row r="173" spans="2:9" s="60" customFormat="1" x14ac:dyDescent="0.5">
      <c r="B173" s="66"/>
      <c r="C173" s="96"/>
      <c r="D173" s="67">
        <f>SUM(D151:D172)</f>
        <v>23</v>
      </c>
      <c r="E173" s="68"/>
      <c r="F173" s="68"/>
      <c r="G173" s="68"/>
      <c r="H173" s="69"/>
      <c r="I173" s="70"/>
    </row>
    <row r="175" spans="2:9" s="60" customFormat="1" ht="15" customHeight="1" x14ac:dyDescent="0.5">
      <c r="B175" s="121" t="s">
        <v>447</v>
      </c>
      <c r="C175" s="122"/>
      <c r="D175" s="122"/>
      <c r="E175" s="122"/>
      <c r="F175" s="122"/>
      <c r="G175" s="122"/>
      <c r="H175" s="122"/>
      <c r="I175" s="123"/>
    </row>
    <row r="176" spans="2:9" s="60" customFormat="1" ht="31.5" x14ac:dyDescent="0.45">
      <c r="B176" s="61" t="s">
        <v>21</v>
      </c>
      <c r="C176" s="94" t="s">
        <v>20</v>
      </c>
      <c r="D176" s="61" t="s">
        <v>19</v>
      </c>
      <c r="E176" s="61" t="s">
        <v>523</v>
      </c>
      <c r="F176" s="61" t="s">
        <v>524</v>
      </c>
      <c r="G176" s="61" t="s">
        <v>525</v>
      </c>
      <c r="H176" s="62" t="s">
        <v>18</v>
      </c>
      <c r="I176" s="62" t="s">
        <v>17</v>
      </c>
    </row>
    <row r="177" spans="2:9" s="60" customFormat="1" x14ac:dyDescent="0.45">
      <c r="B177" s="63">
        <v>1</v>
      </c>
      <c r="C177" s="95" t="s">
        <v>76</v>
      </c>
      <c r="D177" s="64">
        <v>3</v>
      </c>
      <c r="E177" s="64"/>
      <c r="F177" s="64"/>
      <c r="G177" s="64"/>
      <c r="H177" s="65"/>
      <c r="I177" s="65"/>
    </row>
    <row r="178" spans="2:9" s="60" customFormat="1" x14ac:dyDescent="0.45">
      <c r="B178" s="63">
        <v>2</v>
      </c>
      <c r="C178" s="95" t="s">
        <v>397</v>
      </c>
      <c r="D178" s="64">
        <v>1</v>
      </c>
      <c r="E178" s="64"/>
      <c r="F178" s="64"/>
      <c r="G178" s="64"/>
      <c r="H178" s="65"/>
      <c r="I178" s="65"/>
    </row>
    <row r="179" spans="2:9" s="60" customFormat="1" x14ac:dyDescent="0.45">
      <c r="B179" s="63">
        <v>3</v>
      </c>
      <c r="C179" s="95" t="s">
        <v>100</v>
      </c>
      <c r="D179" s="64">
        <v>1</v>
      </c>
      <c r="E179" s="64"/>
      <c r="F179" s="64"/>
      <c r="G179" s="64"/>
      <c r="H179" s="65"/>
      <c r="I179" s="65"/>
    </row>
    <row r="180" spans="2:9" s="60" customFormat="1" ht="31.5" x14ac:dyDescent="0.45">
      <c r="B180" s="63">
        <v>4</v>
      </c>
      <c r="C180" s="95" t="s">
        <v>396</v>
      </c>
      <c r="D180" s="64">
        <v>4</v>
      </c>
      <c r="E180" s="64"/>
      <c r="F180" s="64"/>
      <c r="G180" s="64"/>
      <c r="H180" s="65"/>
      <c r="I180" s="65"/>
    </row>
    <row r="181" spans="2:9" s="60" customFormat="1" ht="31.5" x14ac:dyDescent="0.45">
      <c r="B181" s="63">
        <v>5</v>
      </c>
      <c r="C181" s="95" t="s">
        <v>366</v>
      </c>
      <c r="D181" s="64">
        <v>2</v>
      </c>
      <c r="E181" s="64"/>
      <c r="F181" s="64"/>
      <c r="G181" s="64"/>
      <c r="H181" s="65"/>
      <c r="I181" s="65"/>
    </row>
    <row r="182" spans="2:9" s="60" customFormat="1" x14ac:dyDescent="0.45">
      <c r="B182" s="63">
        <v>6</v>
      </c>
      <c r="C182" s="95" t="s">
        <v>72</v>
      </c>
      <c r="D182" s="64">
        <v>6</v>
      </c>
      <c r="E182" s="64"/>
      <c r="F182" s="64"/>
      <c r="G182" s="64"/>
      <c r="H182" s="65"/>
      <c r="I182" s="65"/>
    </row>
    <row r="183" spans="2:9" s="60" customFormat="1" ht="31.5" x14ac:dyDescent="0.45">
      <c r="B183" s="63">
        <v>7</v>
      </c>
      <c r="C183" s="95" t="s">
        <v>70</v>
      </c>
      <c r="D183" s="64">
        <v>2</v>
      </c>
      <c r="E183" s="64"/>
      <c r="F183" s="64"/>
      <c r="G183" s="64"/>
      <c r="H183" s="65"/>
      <c r="I183" s="65"/>
    </row>
    <row r="184" spans="2:9" s="60" customFormat="1" ht="31.5" x14ac:dyDescent="0.45">
      <c r="B184" s="63">
        <v>8</v>
      </c>
      <c r="C184" s="95" t="s">
        <v>365</v>
      </c>
      <c r="D184" s="64">
        <v>2</v>
      </c>
      <c r="E184" s="64"/>
      <c r="F184" s="64"/>
      <c r="G184" s="64"/>
      <c r="H184" s="65"/>
      <c r="I184" s="65"/>
    </row>
    <row r="185" spans="2:9" s="60" customFormat="1" ht="31.5" x14ac:dyDescent="0.45">
      <c r="B185" s="63">
        <v>9</v>
      </c>
      <c r="C185" s="95" t="s">
        <v>395</v>
      </c>
      <c r="D185" s="64">
        <v>1</v>
      </c>
      <c r="E185" s="64"/>
      <c r="F185" s="64"/>
      <c r="G185" s="64"/>
      <c r="H185" s="65"/>
      <c r="I185" s="65"/>
    </row>
    <row r="186" spans="2:9" s="60" customFormat="1" ht="31.5" x14ac:dyDescent="0.45">
      <c r="B186" s="63">
        <v>10</v>
      </c>
      <c r="C186" s="95" t="s">
        <v>121</v>
      </c>
      <c r="D186" s="64">
        <v>1</v>
      </c>
      <c r="E186" s="64"/>
      <c r="F186" s="64"/>
      <c r="G186" s="64"/>
      <c r="H186" s="65"/>
      <c r="I186" s="65"/>
    </row>
    <row r="187" spans="2:9" s="60" customFormat="1" ht="31.5" x14ac:dyDescent="0.45">
      <c r="B187" s="63">
        <v>11</v>
      </c>
      <c r="C187" s="95" t="s">
        <v>379</v>
      </c>
      <c r="D187" s="64">
        <v>1</v>
      </c>
      <c r="E187" s="64"/>
      <c r="F187" s="64"/>
      <c r="G187" s="64"/>
      <c r="H187" s="65"/>
      <c r="I187" s="65"/>
    </row>
    <row r="188" spans="2:9" s="60" customFormat="1" x14ac:dyDescent="0.45">
      <c r="B188" s="63">
        <v>12</v>
      </c>
      <c r="C188" s="95" t="s">
        <v>92</v>
      </c>
      <c r="D188" s="64">
        <v>5</v>
      </c>
      <c r="E188" s="64"/>
      <c r="F188" s="64"/>
      <c r="G188" s="64"/>
      <c r="H188" s="65"/>
      <c r="I188" s="65"/>
    </row>
    <row r="189" spans="2:9" s="60" customFormat="1" ht="31.5" x14ac:dyDescent="0.45">
      <c r="B189" s="63">
        <v>13</v>
      </c>
      <c r="C189" s="95" t="s">
        <v>73</v>
      </c>
      <c r="D189" s="64">
        <v>1</v>
      </c>
      <c r="E189" s="64"/>
      <c r="F189" s="64"/>
      <c r="G189" s="64"/>
      <c r="H189" s="65"/>
      <c r="I189" s="65"/>
    </row>
    <row r="190" spans="2:9" s="60" customFormat="1" x14ac:dyDescent="0.45">
      <c r="B190" s="63">
        <v>14</v>
      </c>
      <c r="C190" s="95" t="s">
        <v>64</v>
      </c>
      <c r="D190" s="64">
        <v>4</v>
      </c>
      <c r="E190" s="64"/>
      <c r="F190" s="64"/>
      <c r="G190" s="64"/>
      <c r="H190" s="65"/>
      <c r="I190" s="65"/>
    </row>
    <row r="191" spans="2:9" s="60" customFormat="1" ht="31.5" x14ac:dyDescent="0.45">
      <c r="B191" s="63">
        <v>15</v>
      </c>
      <c r="C191" s="95" t="s">
        <v>117</v>
      </c>
      <c r="D191" s="64">
        <v>4</v>
      </c>
      <c r="E191" s="64"/>
      <c r="F191" s="64"/>
      <c r="G191" s="64"/>
      <c r="H191" s="65"/>
      <c r="I191" s="65"/>
    </row>
    <row r="192" spans="2:9" s="60" customFormat="1" x14ac:dyDescent="0.45">
      <c r="B192" s="63">
        <v>16</v>
      </c>
      <c r="C192" s="95" t="s">
        <v>63</v>
      </c>
      <c r="D192" s="64">
        <v>4</v>
      </c>
      <c r="E192" s="64"/>
      <c r="F192" s="64"/>
      <c r="G192" s="64"/>
      <c r="H192" s="65"/>
      <c r="I192" s="65"/>
    </row>
    <row r="193" spans="2:9" s="60" customFormat="1" ht="31.5" x14ac:dyDescent="0.45">
      <c r="B193" s="63">
        <v>17</v>
      </c>
      <c r="C193" s="95" t="s">
        <v>394</v>
      </c>
      <c r="D193" s="64">
        <v>8</v>
      </c>
      <c r="E193" s="64"/>
      <c r="F193" s="64"/>
      <c r="G193" s="64"/>
      <c r="H193" s="65"/>
      <c r="I193" s="65"/>
    </row>
    <row r="194" spans="2:9" s="60" customFormat="1" ht="31.5" x14ac:dyDescent="0.45">
      <c r="B194" s="63">
        <v>18</v>
      </c>
      <c r="C194" s="95" t="s">
        <v>393</v>
      </c>
      <c r="D194" s="64">
        <v>4</v>
      </c>
      <c r="E194" s="64"/>
      <c r="F194" s="64"/>
      <c r="G194" s="64"/>
      <c r="H194" s="65"/>
      <c r="I194" s="65"/>
    </row>
    <row r="195" spans="2:9" s="60" customFormat="1" ht="31.5" x14ac:dyDescent="0.45">
      <c r="B195" s="63">
        <v>19</v>
      </c>
      <c r="C195" s="95" t="s">
        <v>392</v>
      </c>
      <c r="D195" s="64">
        <v>1</v>
      </c>
      <c r="E195" s="64"/>
      <c r="F195" s="64"/>
      <c r="G195" s="64"/>
      <c r="H195" s="65"/>
      <c r="I195" s="65"/>
    </row>
    <row r="196" spans="2:9" s="60" customFormat="1" x14ac:dyDescent="0.45">
      <c r="B196" s="63">
        <v>20</v>
      </c>
      <c r="C196" s="95" t="s">
        <v>350</v>
      </c>
      <c r="D196" s="64">
        <v>1</v>
      </c>
      <c r="E196" s="64"/>
      <c r="F196" s="64"/>
      <c r="G196" s="64"/>
      <c r="H196" s="65"/>
      <c r="I196" s="65"/>
    </row>
    <row r="197" spans="2:9" s="60" customFormat="1" x14ac:dyDescent="0.45">
      <c r="B197" s="63">
        <v>21</v>
      </c>
      <c r="C197" s="95" t="s">
        <v>358</v>
      </c>
      <c r="D197" s="64">
        <v>1</v>
      </c>
      <c r="E197" s="64"/>
      <c r="F197" s="64"/>
      <c r="G197" s="64"/>
      <c r="H197" s="65"/>
      <c r="I197" s="65"/>
    </row>
    <row r="198" spans="2:9" s="60" customFormat="1" x14ac:dyDescent="0.45">
      <c r="B198" s="63">
        <v>22</v>
      </c>
      <c r="C198" s="95" t="s">
        <v>165</v>
      </c>
      <c r="D198" s="64">
        <v>2</v>
      </c>
      <c r="E198" s="64"/>
      <c r="F198" s="64"/>
      <c r="G198" s="64"/>
      <c r="H198" s="65"/>
      <c r="I198" s="65"/>
    </row>
    <row r="199" spans="2:9" s="60" customFormat="1" ht="31.5" x14ac:dyDescent="0.45">
      <c r="B199" s="63">
        <v>23</v>
      </c>
      <c r="C199" s="95" t="s">
        <v>58</v>
      </c>
      <c r="D199" s="64">
        <v>1</v>
      </c>
      <c r="E199" s="64"/>
      <c r="F199" s="64"/>
      <c r="G199" s="64"/>
      <c r="H199" s="65"/>
      <c r="I199" s="65"/>
    </row>
    <row r="200" spans="2:9" s="60" customFormat="1" ht="31.5" x14ac:dyDescent="0.45">
      <c r="B200" s="63">
        <v>24</v>
      </c>
      <c r="C200" s="95" t="s">
        <v>316</v>
      </c>
      <c r="D200" s="64">
        <v>1</v>
      </c>
      <c r="E200" s="64"/>
      <c r="F200" s="64"/>
      <c r="G200" s="64"/>
      <c r="H200" s="65"/>
      <c r="I200" s="65"/>
    </row>
    <row r="201" spans="2:9" s="60" customFormat="1" ht="31.5" x14ac:dyDescent="0.45">
      <c r="B201" s="63">
        <v>25</v>
      </c>
      <c r="C201" s="95" t="s">
        <v>83</v>
      </c>
      <c r="D201" s="64">
        <v>1</v>
      </c>
      <c r="E201" s="64"/>
      <c r="F201" s="64"/>
      <c r="G201" s="64"/>
      <c r="H201" s="65"/>
      <c r="I201" s="65"/>
    </row>
    <row r="202" spans="2:9" s="60" customFormat="1" ht="31.5" x14ac:dyDescent="0.45">
      <c r="B202" s="63">
        <v>26</v>
      </c>
      <c r="C202" s="95" t="s">
        <v>112</v>
      </c>
      <c r="D202" s="64">
        <v>1</v>
      </c>
      <c r="E202" s="64"/>
      <c r="F202" s="64"/>
      <c r="G202" s="64"/>
      <c r="H202" s="65"/>
      <c r="I202" s="65"/>
    </row>
    <row r="203" spans="2:9" s="60" customFormat="1" ht="31.5" x14ac:dyDescent="0.45">
      <c r="B203" s="63">
        <v>27</v>
      </c>
      <c r="C203" s="95" t="s">
        <v>319</v>
      </c>
      <c r="D203" s="64">
        <v>2</v>
      </c>
      <c r="E203" s="64"/>
      <c r="F203" s="64"/>
      <c r="G203" s="64"/>
      <c r="H203" s="65"/>
      <c r="I203" s="65"/>
    </row>
    <row r="204" spans="2:9" s="60" customFormat="1" ht="31.5" x14ac:dyDescent="0.45">
      <c r="B204" s="63">
        <v>28</v>
      </c>
      <c r="C204" s="95" t="s">
        <v>385</v>
      </c>
      <c r="D204" s="64">
        <v>2</v>
      </c>
      <c r="E204" s="64"/>
      <c r="F204" s="64"/>
      <c r="G204" s="64"/>
      <c r="H204" s="65"/>
      <c r="I204" s="65"/>
    </row>
    <row r="205" spans="2:9" s="60" customFormat="1" x14ac:dyDescent="0.45">
      <c r="B205" s="63">
        <v>29</v>
      </c>
      <c r="C205" s="95" t="s">
        <v>391</v>
      </c>
      <c r="D205" s="64">
        <v>1</v>
      </c>
      <c r="E205" s="64"/>
      <c r="F205" s="64"/>
      <c r="G205" s="64"/>
      <c r="H205" s="65"/>
      <c r="I205" s="65"/>
    </row>
    <row r="206" spans="2:9" s="60" customFormat="1" x14ac:dyDescent="0.45">
      <c r="B206" s="63">
        <v>30</v>
      </c>
      <c r="C206" s="95" t="s">
        <v>390</v>
      </c>
      <c r="D206" s="64">
        <v>4</v>
      </c>
      <c r="E206" s="64"/>
      <c r="F206" s="64"/>
      <c r="G206" s="64"/>
      <c r="H206" s="65"/>
      <c r="I206" s="65"/>
    </row>
    <row r="207" spans="2:9" s="60" customFormat="1" x14ac:dyDescent="0.45">
      <c r="B207" s="63">
        <v>31</v>
      </c>
      <c r="C207" s="95" t="s">
        <v>389</v>
      </c>
      <c r="D207" s="64">
        <v>2</v>
      </c>
      <c r="E207" s="64"/>
      <c r="F207" s="64"/>
      <c r="G207" s="64"/>
      <c r="H207" s="65"/>
      <c r="I207" s="65"/>
    </row>
    <row r="208" spans="2:9" s="60" customFormat="1" ht="31.5" x14ac:dyDescent="0.45">
      <c r="B208" s="63">
        <v>32</v>
      </c>
      <c r="C208" s="95" t="s">
        <v>388</v>
      </c>
      <c r="D208" s="64">
        <v>1</v>
      </c>
      <c r="E208" s="64"/>
      <c r="F208" s="64"/>
      <c r="G208" s="64"/>
      <c r="H208" s="65"/>
      <c r="I208" s="65"/>
    </row>
    <row r="209" spans="2:9" s="60" customFormat="1" x14ac:dyDescent="0.45">
      <c r="B209" s="63">
        <v>33</v>
      </c>
      <c r="C209" s="95" t="s">
        <v>387</v>
      </c>
      <c r="D209" s="64">
        <v>1</v>
      </c>
      <c r="E209" s="64"/>
      <c r="F209" s="64"/>
      <c r="G209" s="64"/>
      <c r="H209" s="65"/>
      <c r="I209" s="65"/>
    </row>
    <row r="210" spans="2:9" s="60" customFormat="1" x14ac:dyDescent="0.45">
      <c r="B210" s="63">
        <v>34</v>
      </c>
      <c r="C210" s="95" t="s">
        <v>165</v>
      </c>
      <c r="D210" s="64">
        <v>1</v>
      </c>
      <c r="E210" s="64"/>
      <c r="F210" s="64"/>
      <c r="G210" s="64"/>
      <c r="H210" s="65"/>
      <c r="I210" s="65"/>
    </row>
    <row r="211" spans="2:9" s="60" customFormat="1" x14ac:dyDescent="0.45">
      <c r="B211" s="63">
        <v>35</v>
      </c>
      <c r="C211" s="95" t="s">
        <v>386</v>
      </c>
      <c r="D211" s="64">
        <v>2</v>
      </c>
      <c r="E211" s="64"/>
      <c r="F211" s="64"/>
      <c r="G211" s="64"/>
      <c r="H211" s="65"/>
      <c r="I211" s="65"/>
    </row>
    <row r="212" spans="2:9" s="60" customFormat="1" ht="31.5" x14ac:dyDescent="0.45">
      <c r="B212" s="63">
        <v>36</v>
      </c>
      <c r="C212" s="95" t="s">
        <v>385</v>
      </c>
      <c r="D212" s="64">
        <v>1</v>
      </c>
      <c r="E212" s="64"/>
      <c r="F212" s="64"/>
      <c r="G212" s="64"/>
      <c r="H212" s="65"/>
      <c r="I212" s="65"/>
    </row>
    <row r="213" spans="2:9" s="60" customFormat="1" ht="47.25" x14ac:dyDescent="0.45">
      <c r="B213" s="63">
        <v>37</v>
      </c>
      <c r="C213" s="95" t="s">
        <v>0</v>
      </c>
      <c r="D213" s="64">
        <v>1</v>
      </c>
      <c r="E213" s="64"/>
      <c r="F213" s="64"/>
      <c r="G213" s="64"/>
      <c r="H213" s="65"/>
      <c r="I213" s="65"/>
    </row>
    <row r="214" spans="2:9" s="60" customFormat="1" x14ac:dyDescent="0.5">
      <c r="B214" s="66"/>
      <c r="C214" s="96"/>
      <c r="D214" s="67">
        <f>SUM(D177:D213)</f>
        <v>81</v>
      </c>
      <c r="E214" s="68"/>
      <c r="F214" s="68"/>
      <c r="G214" s="68"/>
      <c r="H214" s="69"/>
      <c r="I214" s="70"/>
    </row>
    <row r="215" spans="2:9" s="60" customFormat="1" x14ac:dyDescent="0.5">
      <c r="B215" s="66"/>
      <c r="C215" s="97"/>
      <c r="D215" s="71"/>
      <c r="E215" s="71"/>
      <c r="F215" s="71"/>
      <c r="G215" s="71"/>
      <c r="H215" s="69"/>
      <c r="I215" s="69"/>
    </row>
    <row r="216" spans="2:9" s="60" customFormat="1" ht="15" customHeight="1" x14ac:dyDescent="0.5">
      <c r="B216" s="121" t="s">
        <v>448</v>
      </c>
      <c r="C216" s="122"/>
      <c r="D216" s="122"/>
      <c r="E216" s="122"/>
      <c r="F216" s="122"/>
      <c r="G216" s="122"/>
      <c r="H216" s="122"/>
      <c r="I216" s="123"/>
    </row>
    <row r="217" spans="2:9" s="60" customFormat="1" ht="31.5" x14ac:dyDescent="0.45">
      <c r="B217" s="61" t="s">
        <v>21</v>
      </c>
      <c r="C217" s="94" t="s">
        <v>20</v>
      </c>
      <c r="D217" s="61" t="s">
        <v>19</v>
      </c>
      <c r="E217" s="61" t="s">
        <v>523</v>
      </c>
      <c r="F217" s="61" t="s">
        <v>524</v>
      </c>
      <c r="G217" s="61" t="s">
        <v>525</v>
      </c>
      <c r="H217" s="62" t="s">
        <v>18</v>
      </c>
      <c r="I217" s="62" t="s">
        <v>17</v>
      </c>
    </row>
    <row r="218" spans="2:9" s="60" customFormat="1" x14ac:dyDescent="0.45">
      <c r="B218" s="63">
        <v>1</v>
      </c>
      <c r="C218" s="95" t="s">
        <v>384</v>
      </c>
      <c r="D218" s="3">
        <v>1</v>
      </c>
      <c r="E218" s="3"/>
      <c r="F218" s="3"/>
      <c r="G218" s="3"/>
      <c r="H218" s="65"/>
      <c r="I218" s="65"/>
    </row>
    <row r="219" spans="2:9" s="60" customFormat="1" ht="31.5" x14ac:dyDescent="0.5">
      <c r="B219" s="63">
        <v>2</v>
      </c>
      <c r="C219" s="95" t="s">
        <v>383</v>
      </c>
      <c r="D219" s="2">
        <v>1</v>
      </c>
      <c r="E219" s="2"/>
      <c r="F219" s="2"/>
      <c r="G219" s="2"/>
      <c r="H219" s="65"/>
      <c r="I219" s="65"/>
    </row>
    <row r="220" spans="2:9" s="60" customFormat="1" ht="31.5" x14ac:dyDescent="0.5">
      <c r="B220" s="63">
        <v>3</v>
      </c>
      <c r="C220" s="95" t="s">
        <v>81</v>
      </c>
      <c r="D220" s="2">
        <v>1</v>
      </c>
      <c r="E220" s="2"/>
      <c r="F220" s="2"/>
      <c r="G220" s="2"/>
      <c r="H220" s="65"/>
      <c r="I220" s="65"/>
    </row>
    <row r="221" spans="2:9" s="60" customFormat="1" ht="31.5" x14ac:dyDescent="0.5">
      <c r="B221" s="63">
        <v>4</v>
      </c>
      <c r="C221" s="95" t="s">
        <v>351</v>
      </c>
      <c r="D221" s="2">
        <v>2</v>
      </c>
      <c r="E221" s="2"/>
      <c r="F221" s="2"/>
      <c r="G221" s="2"/>
      <c r="H221" s="65"/>
      <c r="I221" s="65"/>
    </row>
    <row r="222" spans="2:9" s="60" customFormat="1" x14ac:dyDescent="0.5">
      <c r="B222" s="63">
        <v>5</v>
      </c>
      <c r="C222" s="95" t="s">
        <v>89</v>
      </c>
      <c r="D222" s="2">
        <v>2</v>
      </c>
      <c r="E222" s="2"/>
      <c r="F222" s="2"/>
      <c r="G222" s="2"/>
      <c r="H222" s="65"/>
      <c r="I222" s="65"/>
    </row>
    <row r="223" spans="2:9" s="60" customFormat="1" ht="31.5" x14ac:dyDescent="0.5">
      <c r="B223" s="63">
        <v>6</v>
      </c>
      <c r="C223" s="95" t="s">
        <v>382</v>
      </c>
      <c r="D223" s="2">
        <v>2</v>
      </c>
      <c r="E223" s="2"/>
      <c r="F223" s="2"/>
      <c r="G223" s="2"/>
      <c r="H223" s="65"/>
      <c r="I223" s="65"/>
    </row>
    <row r="224" spans="2:9" s="60" customFormat="1" ht="31.5" x14ac:dyDescent="0.5">
      <c r="B224" s="63">
        <v>7</v>
      </c>
      <c r="C224" s="95" t="s">
        <v>381</v>
      </c>
      <c r="D224" s="2">
        <v>1</v>
      </c>
      <c r="E224" s="2"/>
      <c r="F224" s="2"/>
      <c r="G224" s="2"/>
      <c r="H224" s="65"/>
      <c r="I224" s="65"/>
    </row>
    <row r="225" spans="2:9" s="60" customFormat="1" ht="31.5" x14ac:dyDescent="0.5">
      <c r="B225" s="63">
        <v>8</v>
      </c>
      <c r="C225" s="95" t="s">
        <v>369</v>
      </c>
      <c r="D225" s="2">
        <v>1</v>
      </c>
      <c r="E225" s="2"/>
      <c r="F225" s="2"/>
      <c r="G225" s="2"/>
      <c r="H225" s="65"/>
      <c r="I225" s="65"/>
    </row>
    <row r="226" spans="2:9" s="60" customFormat="1" ht="31.5" x14ac:dyDescent="0.5">
      <c r="B226" s="63">
        <v>9</v>
      </c>
      <c r="C226" s="95" t="s">
        <v>380</v>
      </c>
      <c r="D226" s="2">
        <v>1</v>
      </c>
      <c r="E226" s="2"/>
      <c r="F226" s="2"/>
      <c r="G226" s="2"/>
      <c r="H226" s="65"/>
      <c r="I226" s="65"/>
    </row>
    <row r="227" spans="2:9" s="60" customFormat="1" x14ac:dyDescent="0.5">
      <c r="B227" s="63">
        <v>10</v>
      </c>
      <c r="C227" s="95" t="s">
        <v>276</v>
      </c>
      <c r="D227" s="2">
        <v>2</v>
      </c>
      <c r="E227" s="2"/>
      <c r="F227" s="2"/>
      <c r="G227" s="2"/>
      <c r="H227" s="65"/>
      <c r="I227" s="65"/>
    </row>
    <row r="228" spans="2:9" s="60" customFormat="1" ht="31.5" x14ac:dyDescent="0.5">
      <c r="B228" s="63">
        <v>11</v>
      </c>
      <c r="C228" s="95" t="s">
        <v>355</v>
      </c>
      <c r="D228" s="2">
        <v>1</v>
      </c>
      <c r="E228" s="2"/>
      <c r="F228" s="2"/>
      <c r="G228" s="2"/>
      <c r="H228" s="65"/>
      <c r="I228" s="65"/>
    </row>
    <row r="229" spans="2:9" s="60" customFormat="1" ht="31.5" x14ac:dyDescent="0.5">
      <c r="B229" s="63">
        <v>12</v>
      </c>
      <c r="C229" s="95" t="s">
        <v>379</v>
      </c>
      <c r="D229" s="2">
        <v>2</v>
      </c>
      <c r="E229" s="2"/>
      <c r="F229" s="2"/>
      <c r="G229" s="2"/>
      <c r="H229" s="65"/>
      <c r="I229" s="65"/>
    </row>
    <row r="230" spans="2:9" s="60" customFormat="1" ht="31.5" x14ac:dyDescent="0.5">
      <c r="B230" s="63">
        <v>13</v>
      </c>
      <c r="C230" s="95" t="s">
        <v>378</v>
      </c>
      <c r="D230" s="2">
        <v>1</v>
      </c>
      <c r="E230" s="2"/>
      <c r="F230" s="2"/>
      <c r="G230" s="2"/>
      <c r="H230" s="65"/>
      <c r="I230" s="65"/>
    </row>
    <row r="231" spans="2:9" s="60" customFormat="1" ht="31.5" x14ac:dyDescent="0.5">
      <c r="B231" s="63">
        <v>14</v>
      </c>
      <c r="C231" s="95" t="s">
        <v>377</v>
      </c>
      <c r="D231" s="2">
        <v>1</v>
      </c>
      <c r="E231" s="2"/>
      <c r="F231" s="2"/>
      <c r="G231" s="2"/>
      <c r="H231" s="65"/>
      <c r="I231" s="65"/>
    </row>
    <row r="232" spans="2:9" s="60" customFormat="1" ht="31.5" x14ac:dyDescent="0.5">
      <c r="B232" s="63">
        <v>15</v>
      </c>
      <c r="C232" s="95" t="s">
        <v>376</v>
      </c>
      <c r="D232" s="2">
        <v>1</v>
      </c>
      <c r="E232" s="2"/>
      <c r="F232" s="2"/>
      <c r="G232" s="2"/>
      <c r="H232" s="65"/>
      <c r="I232" s="65"/>
    </row>
    <row r="233" spans="2:9" s="60" customFormat="1" x14ac:dyDescent="0.5">
      <c r="B233" s="63">
        <v>16</v>
      </c>
      <c r="C233" s="95" t="s">
        <v>72</v>
      </c>
      <c r="D233" s="2">
        <v>6</v>
      </c>
      <c r="E233" s="2"/>
      <c r="F233" s="2"/>
      <c r="G233" s="2"/>
      <c r="H233" s="65"/>
      <c r="I233" s="65"/>
    </row>
    <row r="234" spans="2:9" s="60" customFormat="1" ht="31.5" x14ac:dyDescent="0.5">
      <c r="B234" s="63">
        <v>17</v>
      </c>
      <c r="C234" s="95" t="s">
        <v>375</v>
      </c>
      <c r="D234" s="2">
        <v>2</v>
      </c>
      <c r="E234" s="2"/>
      <c r="F234" s="2"/>
      <c r="G234" s="2"/>
      <c r="H234" s="65"/>
      <c r="I234" s="65"/>
    </row>
    <row r="235" spans="2:9" s="60" customFormat="1" ht="31.5" x14ac:dyDescent="0.5">
      <c r="B235" s="63">
        <v>18</v>
      </c>
      <c r="C235" s="95" t="s">
        <v>374</v>
      </c>
      <c r="D235" s="2">
        <v>1</v>
      </c>
      <c r="E235" s="2"/>
      <c r="F235" s="2"/>
      <c r="G235" s="2"/>
      <c r="H235" s="65"/>
      <c r="I235" s="65"/>
    </row>
    <row r="236" spans="2:9" s="60" customFormat="1" ht="31.5" x14ac:dyDescent="0.5">
      <c r="B236" s="63">
        <v>19</v>
      </c>
      <c r="C236" s="95" t="s">
        <v>373</v>
      </c>
      <c r="D236" s="2">
        <v>2</v>
      </c>
      <c r="E236" s="2"/>
      <c r="F236" s="2"/>
      <c r="G236" s="2"/>
      <c r="H236" s="65"/>
      <c r="I236" s="65"/>
    </row>
    <row r="237" spans="2:9" s="60" customFormat="1" ht="31.5" x14ac:dyDescent="0.5">
      <c r="B237" s="63">
        <v>20</v>
      </c>
      <c r="C237" s="95" t="s">
        <v>351</v>
      </c>
      <c r="D237" s="2">
        <v>5</v>
      </c>
      <c r="E237" s="2"/>
      <c r="F237" s="2"/>
      <c r="G237" s="2"/>
      <c r="H237" s="65"/>
      <c r="I237" s="65"/>
    </row>
    <row r="238" spans="2:9" s="60" customFormat="1" ht="31.5" x14ac:dyDescent="0.5">
      <c r="B238" s="63">
        <v>21</v>
      </c>
      <c r="C238" s="95" t="s">
        <v>368</v>
      </c>
      <c r="D238" s="2">
        <v>2</v>
      </c>
      <c r="E238" s="2"/>
      <c r="F238" s="2"/>
      <c r="G238" s="2"/>
      <c r="H238" s="65"/>
      <c r="I238" s="65"/>
    </row>
    <row r="239" spans="2:9" s="60" customFormat="1" ht="31.5" x14ac:dyDescent="0.5">
      <c r="B239" s="63">
        <v>22</v>
      </c>
      <c r="C239" s="95" t="s">
        <v>73</v>
      </c>
      <c r="D239" s="2">
        <v>1</v>
      </c>
      <c r="E239" s="2"/>
      <c r="F239" s="2"/>
      <c r="G239" s="2"/>
      <c r="H239" s="65"/>
      <c r="I239" s="65"/>
    </row>
    <row r="240" spans="2:9" s="60" customFormat="1" ht="31.5" x14ac:dyDescent="0.5">
      <c r="B240" s="63">
        <v>23</v>
      </c>
      <c r="C240" s="95" t="s">
        <v>372</v>
      </c>
      <c r="D240" s="2">
        <v>1</v>
      </c>
      <c r="E240" s="2"/>
      <c r="F240" s="2"/>
      <c r="G240" s="2"/>
      <c r="H240" s="65"/>
      <c r="I240" s="65"/>
    </row>
    <row r="241" spans="2:9" s="60" customFormat="1" ht="31.5" x14ac:dyDescent="0.5">
      <c r="B241" s="63">
        <v>24</v>
      </c>
      <c r="C241" s="95" t="s">
        <v>371</v>
      </c>
      <c r="D241" s="2">
        <v>1</v>
      </c>
      <c r="E241" s="2"/>
      <c r="F241" s="2"/>
      <c r="G241" s="2"/>
      <c r="H241" s="65"/>
      <c r="I241" s="65"/>
    </row>
    <row r="242" spans="2:9" s="60" customFormat="1" ht="31.5" x14ac:dyDescent="0.5">
      <c r="B242" s="63">
        <v>25</v>
      </c>
      <c r="C242" s="95" t="s">
        <v>370</v>
      </c>
      <c r="D242" s="2">
        <v>2</v>
      </c>
      <c r="E242" s="2"/>
      <c r="F242" s="2"/>
      <c r="G242" s="2"/>
      <c r="H242" s="65"/>
      <c r="I242" s="65"/>
    </row>
    <row r="243" spans="2:9" s="60" customFormat="1" x14ac:dyDescent="0.5">
      <c r="B243" s="63">
        <v>26</v>
      </c>
      <c r="C243" s="95" t="s">
        <v>197</v>
      </c>
      <c r="D243" s="2">
        <v>4</v>
      </c>
      <c r="E243" s="2"/>
      <c r="F243" s="2"/>
      <c r="G243" s="2"/>
      <c r="H243" s="65"/>
      <c r="I243" s="65"/>
    </row>
    <row r="244" spans="2:9" s="60" customFormat="1" ht="31.5" x14ac:dyDescent="0.5">
      <c r="B244" s="63">
        <v>27</v>
      </c>
      <c r="C244" s="95" t="s">
        <v>117</v>
      </c>
      <c r="D244" s="2">
        <v>4</v>
      </c>
      <c r="E244" s="2"/>
      <c r="F244" s="2"/>
      <c r="G244" s="2"/>
      <c r="H244" s="65"/>
      <c r="I244" s="65"/>
    </row>
    <row r="245" spans="2:9" s="60" customFormat="1" ht="31.5" x14ac:dyDescent="0.5">
      <c r="B245" s="63">
        <v>28</v>
      </c>
      <c r="C245" s="95" t="s">
        <v>369</v>
      </c>
      <c r="D245" s="2">
        <v>3</v>
      </c>
      <c r="E245" s="2"/>
      <c r="F245" s="2"/>
      <c r="G245" s="2"/>
      <c r="H245" s="65"/>
      <c r="I245" s="65"/>
    </row>
    <row r="246" spans="2:9" s="60" customFormat="1" ht="31.5" x14ac:dyDescent="0.5">
      <c r="B246" s="63">
        <v>29</v>
      </c>
      <c r="C246" s="95" t="s">
        <v>368</v>
      </c>
      <c r="D246" s="2">
        <v>6</v>
      </c>
      <c r="E246" s="2"/>
      <c r="F246" s="2"/>
      <c r="G246" s="2"/>
      <c r="H246" s="65"/>
      <c r="I246" s="65"/>
    </row>
    <row r="247" spans="2:9" s="60" customFormat="1" ht="31.5" x14ac:dyDescent="0.5">
      <c r="B247" s="63">
        <v>30</v>
      </c>
      <c r="C247" s="95" t="s">
        <v>367</v>
      </c>
      <c r="D247" s="2">
        <v>2</v>
      </c>
      <c r="E247" s="2"/>
      <c r="F247" s="2"/>
      <c r="G247" s="2"/>
      <c r="H247" s="65"/>
      <c r="I247" s="65"/>
    </row>
    <row r="248" spans="2:9" s="60" customFormat="1" ht="31.5" x14ac:dyDescent="0.5">
      <c r="B248" s="63">
        <v>31</v>
      </c>
      <c r="C248" s="95" t="s">
        <v>366</v>
      </c>
      <c r="D248" s="2">
        <v>1</v>
      </c>
      <c r="E248" s="2"/>
      <c r="F248" s="2"/>
      <c r="G248" s="2"/>
      <c r="H248" s="65"/>
      <c r="I248" s="65"/>
    </row>
    <row r="249" spans="2:9" s="60" customFormat="1" ht="31.5" x14ac:dyDescent="0.5">
      <c r="B249" s="63">
        <v>32</v>
      </c>
      <c r="C249" s="95" t="s">
        <v>107</v>
      </c>
      <c r="D249" s="2">
        <v>1</v>
      </c>
      <c r="E249" s="2"/>
      <c r="F249" s="2"/>
      <c r="G249" s="2"/>
      <c r="H249" s="65"/>
      <c r="I249" s="65"/>
    </row>
    <row r="250" spans="2:9" s="60" customFormat="1" ht="31.5" x14ac:dyDescent="0.5">
      <c r="B250" s="63">
        <v>33</v>
      </c>
      <c r="C250" s="95" t="s">
        <v>365</v>
      </c>
      <c r="D250" s="2">
        <v>1</v>
      </c>
      <c r="E250" s="2"/>
      <c r="F250" s="2"/>
      <c r="G250" s="2"/>
      <c r="H250" s="65"/>
      <c r="I250" s="65"/>
    </row>
    <row r="251" spans="2:9" s="60" customFormat="1" ht="31.5" x14ac:dyDescent="0.5">
      <c r="B251" s="63">
        <v>34</v>
      </c>
      <c r="C251" s="95" t="s">
        <v>364</v>
      </c>
      <c r="D251" s="2">
        <v>3</v>
      </c>
      <c r="E251" s="2"/>
      <c r="F251" s="2"/>
      <c r="G251" s="2"/>
      <c r="H251" s="65"/>
      <c r="I251" s="65"/>
    </row>
    <row r="252" spans="2:9" s="60" customFormat="1" x14ac:dyDescent="0.5">
      <c r="B252" s="63">
        <v>35</v>
      </c>
      <c r="C252" s="95" t="s">
        <v>363</v>
      </c>
      <c r="D252" s="2">
        <v>1</v>
      </c>
      <c r="E252" s="2"/>
      <c r="F252" s="2"/>
      <c r="G252" s="2"/>
      <c r="H252" s="65"/>
      <c r="I252" s="65"/>
    </row>
    <row r="253" spans="2:9" s="60" customFormat="1" x14ac:dyDescent="0.5">
      <c r="B253" s="63">
        <v>36</v>
      </c>
      <c r="C253" s="95" t="s">
        <v>363</v>
      </c>
      <c r="D253" s="2">
        <v>1</v>
      </c>
      <c r="E253" s="2"/>
      <c r="F253" s="2"/>
      <c r="G253" s="2"/>
      <c r="H253" s="65"/>
      <c r="I253" s="65"/>
    </row>
    <row r="254" spans="2:9" s="60" customFormat="1" ht="31.5" x14ac:dyDescent="0.5">
      <c r="B254" s="63">
        <v>37</v>
      </c>
      <c r="C254" s="95" t="s">
        <v>66</v>
      </c>
      <c r="D254" s="2">
        <v>2</v>
      </c>
      <c r="E254" s="2"/>
      <c r="F254" s="2"/>
      <c r="G254" s="2"/>
      <c r="H254" s="65"/>
      <c r="I254" s="65"/>
    </row>
    <row r="255" spans="2:9" s="60" customFormat="1" ht="31.5" x14ac:dyDescent="0.5">
      <c r="B255" s="63">
        <v>38</v>
      </c>
      <c r="C255" s="95" t="s">
        <v>362</v>
      </c>
      <c r="D255" s="2">
        <v>1</v>
      </c>
      <c r="E255" s="2"/>
      <c r="F255" s="2"/>
      <c r="G255" s="2"/>
      <c r="H255" s="65"/>
      <c r="I255" s="65"/>
    </row>
    <row r="256" spans="2:9" s="60" customFormat="1" x14ac:dyDescent="0.5">
      <c r="B256" s="63">
        <v>39</v>
      </c>
      <c r="C256" s="95" t="s">
        <v>361</v>
      </c>
      <c r="D256" s="2">
        <v>2</v>
      </c>
      <c r="E256" s="2"/>
      <c r="F256" s="2"/>
      <c r="G256" s="2"/>
      <c r="H256" s="65"/>
      <c r="I256" s="65"/>
    </row>
    <row r="257" spans="2:9" s="60" customFormat="1" ht="31.5" x14ac:dyDescent="0.5">
      <c r="B257" s="63">
        <v>40</v>
      </c>
      <c r="C257" s="95" t="s">
        <v>360</v>
      </c>
      <c r="D257" s="2">
        <v>1</v>
      </c>
      <c r="E257" s="2"/>
      <c r="F257" s="2"/>
      <c r="G257" s="2"/>
      <c r="H257" s="65"/>
      <c r="I257" s="65"/>
    </row>
    <row r="258" spans="2:9" s="60" customFormat="1" ht="31.5" x14ac:dyDescent="0.5">
      <c r="B258" s="63">
        <v>41</v>
      </c>
      <c r="C258" s="95" t="s">
        <v>319</v>
      </c>
      <c r="D258" s="2">
        <v>1</v>
      </c>
      <c r="E258" s="2"/>
      <c r="F258" s="2"/>
      <c r="G258" s="2"/>
      <c r="H258" s="65"/>
      <c r="I258" s="65"/>
    </row>
    <row r="259" spans="2:9" s="60" customFormat="1" x14ac:dyDescent="0.5">
      <c r="B259" s="63">
        <v>42</v>
      </c>
      <c r="C259" s="95" t="s">
        <v>359</v>
      </c>
      <c r="D259" s="2">
        <v>1</v>
      </c>
      <c r="E259" s="2"/>
      <c r="F259" s="2"/>
      <c r="G259" s="2"/>
      <c r="H259" s="65"/>
      <c r="I259" s="65"/>
    </row>
    <row r="260" spans="2:9" s="60" customFormat="1" x14ac:dyDescent="0.5">
      <c r="B260" s="63">
        <v>43</v>
      </c>
      <c r="C260" s="95" t="s">
        <v>358</v>
      </c>
      <c r="D260" s="2">
        <v>1</v>
      </c>
      <c r="E260" s="2"/>
      <c r="F260" s="2"/>
      <c r="G260" s="2"/>
      <c r="H260" s="65"/>
      <c r="I260" s="65"/>
    </row>
    <row r="261" spans="2:9" s="60" customFormat="1" x14ac:dyDescent="0.5">
      <c r="B261" s="63">
        <v>44</v>
      </c>
      <c r="C261" s="95" t="s">
        <v>100</v>
      </c>
      <c r="D261" s="2">
        <v>1</v>
      </c>
      <c r="E261" s="2"/>
      <c r="F261" s="2"/>
      <c r="G261" s="2"/>
      <c r="H261" s="65"/>
      <c r="I261" s="65"/>
    </row>
    <row r="262" spans="2:9" s="60" customFormat="1" ht="31.5" x14ac:dyDescent="0.5">
      <c r="B262" s="63">
        <v>45</v>
      </c>
      <c r="C262" s="95" t="s">
        <v>357</v>
      </c>
      <c r="D262" s="1">
        <v>2</v>
      </c>
      <c r="E262" s="1"/>
      <c r="F262" s="1"/>
      <c r="G262" s="1"/>
      <c r="H262" s="65"/>
      <c r="I262" s="65"/>
    </row>
    <row r="263" spans="2:9" s="60" customFormat="1" ht="31.5" x14ac:dyDescent="0.5">
      <c r="B263" s="63">
        <v>46</v>
      </c>
      <c r="C263" s="95" t="s">
        <v>356</v>
      </c>
      <c r="D263" s="2">
        <v>2</v>
      </c>
      <c r="E263" s="2"/>
      <c r="F263" s="2"/>
      <c r="G263" s="2"/>
      <c r="H263" s="65"/>
      <c r="I263" s="65"/>
    </row>
    <row r="264" spans="2:9" s="60" customFormat="1" ht="31.5" x14ac:dyDescent="0.5">
      <c r="B264" s="63">
        <v>47</v>
      </c>
      <c r="C264" s="95" t="s">
        <v>355</v>
      </c>
      <c r="D264" s="2">
        <v>2</v>
      </c>
      <c r="E264" s="2"/>
      <c r="F264" s="2"/>
      <c r="G264" s="2"/>
      <c r="H264" s="65"/>
      <c r="I264" s="65"/>
    </row>
    <row r="265" spans="2:9" s="60" customFormat="1" x14ac:dyDescent="0.5">
      <c r="B265" s="63">
        <v>48</v>
      </c>
      <c r="C265" s="95" t="s">
        <v>354</v>
      </c>
      <c r="D265" s="2">
        <v>2</v>
      </c>
      <c r="E265" s="2"/>
      <c r="F265" s="2"/>
      <c r="G265" s="2"/>
      <c r="H265" s="65"/>
      <c r="I265" s="65"/>
    </row>
    <row r="266" spans="2:9" s="60" customFormat="1" ht="31.5" x14ac:dyDescent="0.5">
      <c r="B266" s="63">
        <v>49</v>
      </c>
      <c r="C266" s="95" t="s">
        <v>353</v>
      </c>
      <c r="D266" s="2">
        <v>2</v>
      </c>
      <c r="E266" s="2"/>
      <c r="F266" s="2"/>
      <c r="G266" s="2"/>
      <c r="H266" s="65"/>
      <c r="I266" s="65"/>
    </row>
    <row r="267" spans="2:9" s="60" customFormat="1" x14ac:dyDescent="0.5">
      <c r="B267" s="63">
        <v>50</v>
      </c>
      <c r="C267" s="95" t="s">
        <v>76</v>
      </c>
      <c r="D267" s="1">
        <v>4</v>
      </c>
      <c r="E267" s="1"/>
      <c r="F267" s="1"/>
      <c r="G267" s="1"/>
      <c r="H267" s="65"/>
      <c r="I267" s="65"/>
    </row>
    <row r="268" spans="2:9" s="60" customFormat="1" ht="47.25" x14ac:dyDescent="0.45">
      <c r="B268" s="63">
        <v>51</v>
      </c>
      <c r="C268" s="95" t="s">
        <v>352</v>
      </c>
      <c r="D268" s="64">
        <v>1</v>
      </c>
      <c r="E268" s="64"/>
      <c r="F268" s="64"/>
      <c r="G268" s="64"/>
      <c r="H268" s="65"/>
      <c r="I268" s="65"/>
    </row>
    <row r="269" spans="2:9" s="60" customFormat="1" x14ac:dyDescent="0.5">
      <c r="B269" s="66"/>
      <c r="C269" s="96"/>
      <c r="D269" s="67">
        <f>SUM(D218:D268)</f>
        <v>95</v>
      </c>
      <c r="E269" s="68"/>
      <c r="F269" s="68"/>
      <c r="G269" s="68"/>
      <c r="H269" s="69"/>
      <c r="I269" s="70"/>
    </row>
    <row r="270" spans="2:9" s="60" customFormat="1" ht="15.75" customHeight="1" x14ac:dyDescent="0.5">
      <c r="B270" s="66"/>
      <c r="C270" s="97"/>
      <c r="D270" s="68"/>
      <c r="E270" s="68"/>
      <c r="F270" s="68"/>
      <c r="G270" s="68"/>
      <c r="H270" s="69"/>
      <c r="I270" s="69"/>
    </row>
    <row r="271" spans="2:9" s="60" customFormat="1" ht="15" customHeight="1" x14ac:dyDescent="0.5">
      <c r="B271" s="121" t="s">
        <v>449</v>
      </c>
      <c r="C271" s="122"/>
      <c r="D271" s="122"/>
      <c r="E271" s="122"/>
      <c r="F271" s="122"/>
      <c r="G271" s="122"/>
      <c r="H271" s="122"/>
      <c r="I271" s="123"/>
    </row>
    <row r="272" spans="2:9" s="60" customFormat="1" ht="31.5" x14ac:dyDescent="0.45">
      <c r="B272" s="61" t="s">
        <v>21</v>
      </c>
      <c r="C272" s="94" t="s">
        <v>20</v>
      </c>
      <c r="D272" s="61" t="s">
        <v>19</v>
      </c>
      <c r="E272" s="61" t="s">
        <v>523</v>
      </c>
      <c r="F272" s="61" t="s">
        <v>524</v>
      </c>
      <c r="G272" s="61" t="s">
        <v>525</v>
      </c>
      <c r="H272" s="62" t="s">
        <v>18</v>
      </c>
      <c r="I272" s="62" t="s">
        <v>17</v>
      </c>
    </row>
    <row r="273" spans="2:9" s="60" customFormat="1" ht="31.5" x14ac:dyDescent="0.45">
      <c r="B273" s="63">
        <v>1</v>
      </c>
      <c r="C273" s="95" t="s">
        <v>107</v>
      </c>
      <c r="D273" s="64">
        <v>1</v>
      </c>
      <c r="E273" s="64"/>
      <c r="F273" s="64"/>
      <c r="G273" s="64"/>
      <c r="H273" s="65"/>
      <c r="I273" s="65"/>
    </row>
    <row r="274" spans="2:9" s="60" customFormat="1" x14ac:dyDescent="0.45">
      <c r="B274" s="63">
        <v>2</v>
      </c>
      <c r="C274" s="95" t="s">
        <v>100</v>
      </c>
      <c r="D274" s="64">
        <v>1</v>
      </c>
      <c r="E274" s="64"/>
      <c r="F274" s="64"/>
      <c r="G274" s="64"/>
      <c r="H274" s="65"/>
      <c r="I274" s="65"/>
    </row>
    <row r="275" spans="2:9" s="60" customFormat="1" ht="31.5" x14ac:dyDescent="0.45">
      <c r="B275" s="63">
        <v>3</v>
      </c>
      <c r="C275" s="95" t="s">
        <v>73</v>
      </c>
      <c r="D275" s="64">
        <v>1</v>
      </c>
      <c r="E275" s="64"/>
      <c r="F275" s="64"/>
      <c r="G275" s="64"/>
      <c r="H275" s="65"/>
      <c r="I275" s="65"/>
    </row>
    <row r="276" spans="2:9" s="60" customFormat="1" ht="31.5" x14ac:dyDescent="0.45">
      <c r="B276" s="63">
        <v>4</v>
      </c>
      <c r="C276" s="95" t="s">
        <v>351</v>
      </c>
      <c r="D276" s="64">
        <v>4</v>
      </c>
      <c r="E276" s="64"/>
      <c r="F276" s="64"/>
      <c r="G276" s="64"/>
      <c r="H276" s="65"/>
      <c r="I276" s="65"/>
    </row>
    <row r="277" spans="2:9" s="60" customFormat="1" x14ac:dyDescent="0.45">
      <c r="B277" s="63">
        <v>5</v>
      </c>
      <c r="C277" s="95" t="s">
        <v>72</v>
      </c>
      <c r="D277" s="64">
        <v>2</v>
      </c>
      <c r="E277" s="64"/>
      <c r="F277" s="64"/>
      <c r="G277" s="64"/>
      <c r="H277" s="65"/>
      <c r="I277" s="65"/>
    </row>
    <row r="278" spans="2:9" s="60" customFormat="1" x14ac:dyDescent="0.45">
      <c r="B278" s="63">
        <v>6</v>
      </c>
      <c r="C278" s="95" t="s">
        <v>63</v>
      </c>
      <c r="D278" s="64">
        <v>4</v>
      </c>
      <c r="E278" s="64"/>
      <c r="F278" s="64"/>
      <c r="G278" s="64"/>
      <c r="H278" s="65"/>
      <c r="I278" s="65"/>
    </row>
    <row r="279" spans="2:9" s="60" customFormat="1" ht="31.5" x14ac:dyDescent="0.45">
      <c r="B279" s="63">
        <v>7</v>
      </c>
      <c r="C279" s="95" t="s">
        <v>62</v>
      </c>
      <c r="D279" s="64">
        <v>2</v>
      </c>
      <c r="E279" s="64"/>
      <c r="F279" s="64"/>
      <c r="G279" s="64"/>
      <c r="H279" s="65"/>
      <c r="I279" s="65"/>
    </row>
    <row r="280" spans="2:9" s="60" customFormat="1" ht="31.5" x14ac:dyDescent="0.45">
      <c r="B280" s="63">
        <v>8</v>
      </c>
      <c r="C280" s="95" t="s">
        <v>316</v>
      </c>
      <c r="D280" s="64">
        <v>1</v>
      </c>
      <c r="E280" s="64"/>
      <c r="F280" s="64"/>
      <c r="G280" s="64"/>
      <c r="H280" s="65"/>
      <c r="I280" s="65"/>
    </row>
    <row r="281" spans="2:9" s="60" customFormat="1" x14ac:dyDescent="0.45">
      <c r="B281" s="63">
        <v>9</v>
      </c>
      <c r="C281" s="95" t="s">
        <v>350</v>
      </c>
      <c r="D281" s="64">
        <v>1</v>
      </c>
      <c r="E281" s="64"/>
      <c r="F281" s="64"/>
      <c r="G281" s="64"/>
      <c r="H281" s="65"/>
      <c r="I281" s="65"/>
    </row>
    <row r="282" spans="2:9" s="60" customFormat="1" ht="31.5" x14ac:dyDescent="0.45">
      <c r="B282" s="63">
        <v>10</v>
      </c>
      <c r="C282" s="95" t="s">
        <v>122</v>
      </c>
      <c r="D282" s="64">
        <v>1</v>
      </c>
      <c r="E282" s="64"/>
      <c r="F282" s="64"/>
      <c r="G282" s="64"/>
      <c r="H282" s="65"/>
      <c r="I282" s="65"/>
    </row>
    <row r="283" spans="2:9" s="60" customFormat="1" ht="31.5" x14ac:dyDescent="0.45">
      <c r="B283" s="63">
        <v>11</v>
      </c>
      <c r="C283" s="95" t="s">
        <v>123</v>
      </c>
      <c r="D283" s="64">
        <v>1</v>
      </c>
      <c r="E283" s="64"/>
      <c r="F283" s="64"/>
      <c r="G283" s="64"/>
      <c r="H283" s="65"/>
      <c r="I283" s="65"/>
    </row>
    <row r="284" spans="2:9" s="60" customFormat="1" x14ac:dyDescent="0.45">
      <c r="B284" s="63">
        <v>12</v>
      </c>
      <c r="C284" s="95" t="s">
        <v>76</v>
      </c>
      <c r="D284" s="64">
        <v>1</v>
      </c>
      <c r="E284" s="64"/>
      <c r="F284" s="64"/>
      <c r="G284" s="64"/>
      <c r="H284" s="65"/>
      <c r="I284" s="65"/>
    </row>
    <row r="285" spans="2:9" s="60" customFormat="1" ht="47.25" x14ac:dyDescent="0.45">
      <c r="B285" s="64">
        <v>13</v>
      </c>
      <c r="C285" s="95" t="s">
        <v>349</v>
      </c>
      <c r="D285" s="64">
        <v>1</v>
      </c>
      <c r="E285" s="64"/>
      <c r="F285" s="64"/>
      <c r="G285" s="64"/>
      <c r="H285" s="65"/>
      <c r="I285" s="65"/>
    </row>
    <row r="286" spans="2:9" s="60" customFormat="1" x14ac:dyDescent="0.5">
      <c r="B286" s="66"/>
      <c r="C286" s="96"/>
      <c r="D286" s="67">
        <f>SUM(D273:D285)</f>
        <v>21</v>
      </c>
      <c r="E286" s="68"/>
      <c r="F286" s="68"/>
      <c r="G286" s="68"/>
      <c r="H286" s="69"/>
      <c r="I286" s="70"/>
    </row>
    <row r="287" spans="2:9" s="60" customFormat="1" ht="15.75" customHeight="1" x14ac:dyDescent="0.5">
      <c r="B287" s="66"/>
      <c r="C287" s="97"/>
      <c r="D287" s="68"/>
      <c r="E287" s="68"/>
      <c r="F287" s="68"/>
      <c r="G287" s="68"/>
      <c r="H287" s="69"/>
      <c r="I287" s="69"/>
    </row>
    <row r="288" spans="2:9" s="60" customFormat="1" ht="15" customHeight="1" x14ac:dyDescent="0.5">
      <c r="B288" s="121" t="s">
        <v>450</v>
      </c>
      <c r="C288" s="122"/>
      <c r="D288" s="122"/>
      <c r="E288" s="122"/>
      <c r="F288" s="122"/>
      <c r="G288" s="122"/>
      <c r="H288" s="122"/>
      <c r="I288" s="123"/>
    </row>
    <row r="289" spans="2:9" s="60" customFormat="1" ht="31.5" x14ac:dyDescent="0.45">
      <c r="B289" s="61" t="s">
        <v>21</v>
      </c>
      <c r="C289" s="94" t="s">
        <v>20</v>
      </c>
      <c r="D289" s="61" t="s">
        <v>19</v>
      </c>
      <c r="E289" s="61" t="s">
        <v>523</v>
      </c>
      <c r="F289" s="61" t="s">
        <v>524</v>
      </c>
      <c r="G289" s="61" t="s">
        <v>525</v>
      </c>
      <c r="H289" s="62" t="s">
        <v>18</v>
      </c>
      <c r="I289" s="62" t="s">
        <v>17</v>
      </c>
    </row>
    <row r="290" spans="2:9" s="60" customFormat="1" x14ac:dyDescent="0.45">
      <c r="B290" s="63">
        <v>1</v>
      </c>
      <c r="C290" s="95" t="s">
        <v>155</v>
      </c>
      <c r="D290" s="64">
        <v>1</v>
      </c>
      <c r="E290" s="64"/>
      <c r="F290" s="64"/>
      <c r="G290" s="64"/>
      <c r="H290" s="65"/>
      <c r="I290" s="65"/>
    </row>
    <row r="291" spans="2:9" s="60" customFormat="1" ht="31.5" x14ac:dyDescent="0.45">
      <c r="B291" s="63">
        <v>2</v>
      </c>
      <c r="C291" s="95" t="s">
        <v>141</v>
      </c>
      <c r="D291" s="64">
        <v>1</v>
      </c>
      <c r="E291" s="64"/>
      <c r="F291" s="64"/>
      <c r="G291" s="64"/>
      <c r="H291" s="65"/>
      <c r="I291" s="65"/>
    </row>
    <row r="292" spans="2:9" s="60" customFormat="1" x14ac:dyDescent="0.45">
      <c r="B292" s="63">
        <v>3</v>
      </c>
      <c r="C292" s="95" t="s">
        <v>348</v>
      </c>
      <c r="D292" s="64">
        <v>1</v>
      </c>
      <c r="E292" s="64"/>
      <c r="F292" s="64"/>
      <c r="G292" s="64"/>
      <c r="H292" s="65"/>
      <c r="I292" s="65"/>
    </row>
    <row r="293" spans="2:9" s="60" customFormat="1" x14ac:dyDescent="0.45">
      <c r="B293" s="63">
        <v>4</v>
      </c>
      <c r="C293" s="95" t="s">
        <v>347</v>
      </c>
      <c r="D293" s="64">
        <v>1</v>
      </c>
      <c r="E293" s="64"/>
      <c r="F293" s="64"/>
      <c r="G293" s="64"/>
      <c r="H293" s="65"/>
      <c r="I293" s="65"/>
    </row>
    <row r="294" spans="2:9" s="60" customFormat="1" ht="31.5" x14ac:dyDescent="0.45">
      <c r="B294" s="63">
        <v>5</v>
      </c>
      <c r="C294" s="95" t="s">
        <v>346</v>
      </c>
      <c r="D294" s="64">
        <v>1</v>
      </c>
      <c r="E294" s="64"/>
      <c r="F294" s="64"/>
      <c r="G294" s="64"/>
      <c r="H294" s="65"/>
      <c r="I294" s="65"/>
    </row>
    <row r="295" spans="2:9" s="60" customFormat="1" ht="31.5" x14ac:dyDescent="0.45">
      <c r="B295" s="63">
        <v>6</v>
      </c>
      <c r="C295" s="95" t="s">
        <v>345</v>
      </c>
      <c r="D295" s="64">
        <v>1</v>
      </c>
      <c r="E295" s="64"/>
      <c r="F295" s="64"/>
      <c r="G295" s="64"/>
      <c r="H295" s="65"/>
      <c r="I295" s="65"/>
    </row>
    <row r="296" spans="2:9" s="60" customFormat="1" x14ac:dyDescent="0.45">
      <c r="B296" s="63">
        <v>7</v>
      </c>
      <c r="C296" s="95" t="s">
        <v>344</v>
      </c>
      <c r="D296" s="64">
        <v>1</v>
      </c>
      <c r="E296" s="64"/>
      <c r="F296" s="64"/>
      <c r="G296" s="64"/>
      <c r="H296" s="65"/>
      <c r="I296" s="65"/>
    </row>
    <row r="297" spans="2:9" s="60" customFormat="1" x14ac:dyDescent="0.45">
      <c r="B297" s="63">
        <v>8</v>
      </c>
      <c r="C297" s="95" t="s">
        <v>343</v>
      </c>
      <c r="D297" s="64">
        <v>1</v>
      </c>
      <c r="E297" s="64"/>
      <c r="F297" s="64"/>
      <c r="G297" s="64"/>
      <c r="H297" s="65"/>
      <c r="I297" s="65"/>
    </row>
    <row r="298" spans="2:9" s="60" customFormat="1" x14ac:dyDescent="0.45">
      <c r="B298" s="63">
        <v>9</v>
      </c>
      <c r="C298" s="95" t="s">
        <v>342</v>
      </c>
      <c r="D298" s="64">
        <v>1</v>
      </c>
      <c r="E298" s="64"/>
      <c r="F298" s="64"/>
      <c r="G298" s="64"/>
      <c r="H298" s="65"/>
      <c r="I298" s="65"/>
    </row>
    <row r="299" spans="2:9" s="60" customFormat="1" x14ac:dyDescent="0.45">
      <c r="B299" s="63">
        <v>10</v>
      </c>
      <c r="C299" s="95" t="s">
        <v>341</v>
      </c>
      <c r="D299" s="64">
        <v>1</v>
      </c>
      <c r="E299" s="64"/>
      <c r="F299" s="64"/>
      <c r="G299" s="64"/>
      <c r="H299" s="65"/>
      <c r="I299" s="65"/>
    </row>
    <row r="300" spans="2:9" s="60" customFormat="1" x14ac:dyDescent="0.45">
      <c r="B300" s="63">
        <v>11</v>
      </c>
      <c r="C300" s="95" t="s">
        <v>340</v>
      </c>
      <c r="D300" s="64">
        <v>1</v>
      </c>
      <c r="E300" s="64"/>
      <c r="F300" s="64"/>
      <c r="G300" s="64"/>
      <c r="H300" s="65"/>
      <c r="I300" s="65"/>
    </row>
    <row r="301" spans="2:9" s="60" customFormat="1" x14ac:dyDescent="0.45">
      <c r="B301" s="63">
        <v>12</v>
      </c>
      <c r="C301" s="95" t="s">
        <v>339</v>
      </c>
      <c r="D301" s="64">
        <v>1</v>
      </c>
      <c r="E301" s="64"/>
      <c r="F301" s="64"/>
      <c r="G301" s="64"/>
      <c r="H301" s="65"/>
      <c r="I301" s="65"/>
    </row>
    <row r="302" spans="2:9" s="60" customFormat="1" x14ac:dyDescent="0.45">
      <c r="B302" s="63">
        <v>13</v>
      </c>
      <c r="C302" s="95" t="s">
        <v>338</v>
      </c>
      <c r="D302" s="64">
        <v>1</v>
      </c>
      <c r="E302" s="64"/>
      <c r="F302" s="64"/>
      <c r="G302" s="64"/>
      <c r="H302" s="65"/>
      <c r="I302" s="65"/>
    </row>
    <row r="303" spans="2:9" s="60" customFormat="1" ht="31.5" x14ac:dyDescent="0.45">
      <c r="B303" s="63">
        <v>14</v>
      </c>
      <c r="C303" s="95" t="s">
        <v>97</v>
      </c>
      <c r="D303" s="64">
        <v>1</v>
      </c>
      <c r="E303" s="64"/>
      <c r="F303" s="64"/>
      <c r="G303" s="64"/>
      <c r="H303" s="65"/>
      <c r="I303" s="65"/>
    </row>
    <row r="304" spans="2:9" s="60" customFormat="1" ht="31.5" x14ac:dyDescent="0.45">
      <c r="B304" s="63">
        <v>15</v>
      </c>
      <c r="C304" s="95" t="s">
        <v>337</v>
      </c>
      <c r="D304" s="64">
        <v>2</v>
      </c>
      <c r="E304" s="64"/>
      <c r="F304" s="64"/>
      <c r="G304" s="64"/>
      <c r="H304" s="65"/>
      <c r="I304" s="65"/>
    </row>
    <row r="305" spans="2:9" s="60" customFormat="1" ht="31.5" x14ac:dyDescent="0.45">
      <c r="B305" s="63">
        <v>16</v>
      </c>
      <c r="C305" s="95" t="s">
        <v>154</v>
      </c>
      <c r="D305" s="64">
        <v>1</v>
      </c>
      <c r="E305" s="64"/>
      <c r="F305" s="64"/>
      <c r="G305" s="64"/>
      <c r="H305" s="65"/>
      <c r="I305" s="65"/>
    </row>
    <row r="306" spans="2:9" s="60" customFormat="1" x14ac:dyDescent="0.45">
      <c r="B306" s="63">
        <v>17</v>
      </c>
      <c r="C306" s="95" t="s">
        <v>124</v>
      </c>
      <c r="D306" s="64">
        <v>1</v>
      </c>
      <c r="E306" s="64"/>
      <c r="F306" s="64"/>
      <c r="G306" s="64"/>
      <c r="H306" s="65"/>
      <c r="I306" s="65"/>
    </row>
    <row r="307" spans="2:9" s="60" customFormat="1" ht="31.5" x14ac:dyDescent="0.45">
      <c r="B307" s="63">
        <v>18</v>
      </c>
      <c r="C307" s="95" t="s">
        <v>336</v>
      </c>
      <c r="D307" s="64">
        <v>2</v>
      </c>
      <c r="E307" s="64"/>
      <c r="F307" s="64"/>
      <c r="G307" s="64"/>
      <c r="H307" s="65"/>
      <c r="I307" s="65"/>
    </row>
    <row r="308" spans="2:9" s="60" customFormat="1" ht="31.5" x14ac:dyDescent="0.45">
      <c r="B308" s="63">
        <v>19</v>
      </c>
      <c r="C308" s="95" t="s">
        <v>71</v>
      </c>
      <c r="D308" s="64">
        <v>1</v>
      </c>
      <c r="E308" s="64"/>
      <c r="F308" s="64"/>
      <c r="G308" s="64"/>
      <c r="H308" s="65"/>
      <c r="I308" s="65"/>
    </row>
    <row r="309" spans="2:9" s="60" customFormat="1" ht="31.5" x14ac:dyDescent="0.45">
      <c r="B309" s="63">
        <v>20</v>
      </c>
      <c r="C309" s="95" t="s">
        <v>335</v>
      </c>
      <c r="D309" s="64">
        <v>1</v>
      </c>
      <c r="E309" s="64"/>
      <c r="F309" s="64"/>
      <c r="G309" s="64"/>
      <c r="H309" s="65"/>
      <c r="I309" s="65"/>
    </row>
    <row r="310" spans="2:9" s="60" customFormat="1" x14ac:dyDescent="0.45">
      <c r="B310" s="63">
        <v>21</v>
      </c>
      <c r="C310" s="95" t="s">
        <v>334</v>
      </c>
      <c r="D310" s="64">
        <v>1</v>
      </c>
      <c r="E310" s="64"/>
      <c r="F310" s="64"/>
      <c r="G310" s="64"/>
      <c r="H310" s="65"/>
      <c r="I310" s="65"/>
    </row>
    <row r="311" spans="2:9" s="60" customFormat="1" x14ac:dyDescent="0.45">
      <c r="B311" s="63">
        <v>22</v>
      </c>
      <c r="C311" s="95" t="s">
        <v>333</v>
      </c>
      <c r="D311" s="64">
        <v>1</v>
      </c>
      <c r="E311" s="64"/>
      <c r="F311" s="64"/>
      <c r="G311" s="64"/>
      <c r="H311" s="65"/>
      <c r="I311" s="65"/>
    </row>
    <row r="312" spans="2:9" s="60" customFormat="1" x14ac:dyDescent="0.45">
      <c r="B312" s="63">
        <v>23</v>
      </c>
      <c r="C312" s="95" t="s">
        <v>332</v>
      </c>
      <c r="D312" s="64">
        <v>1</v>
      </c>
      <c r="E312" s="64"/>
      <c r="F312" s="64"/>
      <c r="G312" s="64"/>
      <c r="H312" s="65"/>
      <c r="I312" s="65"/>
    </row>
    <row r="313" spans="2:9" s="60" customFormat="1" x14ac:dyDescent="0.45">
      <c r="B313" s="63">
        <v>24</v>
      </c>
      <c r="C313" s="95" t="s">
        <v>331</v>
      </c>
      <c r="D313" s="64">
        <v>1</v>
      </c>
      <c r="E313" s="64"/>
      <c r="F313" s="64"/>
      <c r="G313" s="64"/>
      <c r="H313" s="65"/>
      <c r="I313" s="65"/>
    </row>
    <row r="314" spans="2:9" s="60" customFormat="1" ht="31.5" x14ac:dyDescent="0.45">
      <c r="B314" s="63">
        <v>25</v>
      </c>
      <c r="C314" s="95" t="s">
        <v>330</v>
      </c>
      <c r="D314" s="64">
        <v>1</v>
      </c>
      <c r="E314" s="64"/>
      <c r="F314" s="64"/>
      <c r="G314" s="64"/>
      <c r="H314" s="65"/>
      <c r="I314" s="65"/>
    </row>
    <row r="315" spans="2:9" s="60" customFormat="1" ht="31.5" x14ac:dyDescent="0.45">
      <c r="B315" s="63">
        <v>26</v>
      </c>
      <c r="C315" s="95" t="s">
        <v>66</v>
      </c>
      <c r="D315" s="64">
        <v>1</v>
      </c>
      <c r="E315" s="64"/>
      <c r="F315" s="64"/>
      <c r="G315" s="64"/>
      <c r="H315" s="65"/>
      <c r="I315" s="65"/>
    </row>
    <row r="316" spans="2:9" s="60" customFormat="1" ht="31.5" x14ac:dyDescent="0.45">
      <c r="B316" s="63">
        <v>27</v>
      </c>
      <c r="C316" s="95" t="s">
        <v>329</v>
      </c>
      <c r="D316" s="64">
        <v>1</v>
      </c>
      <c r="E316" s="64"/>
      <c r="F316" s="64"/>
      <c r="G316" s="64"/>
      <c r="H316" s="65"/>
      <c r="I316" s="65"/>
    </row>
    <row r="317" spans="2:9" s="60" customFormat="1" ht="31.5" x14ac:dyDescent="0.45">
      <c r="B317" s="63">
        <v>28</v>
      </c>
      <c r="C317" s="95" t="s">
        <v>328</v>
      </c>
      <c r="D317" s="64">
        <v>1</v>
      </c>
      <c r="E317" s="64"/>
      <c r="F317" s="64"/>
      <c r="G317" s="64"/>
      <c r="H317" s="65"/>
      <c r="I317" s="65"/>
    </row>
    <row r="318" spans="2:9" s="60" customFormat="1" ht="31.5" x14ac:dyDescent="0.45">
      <c r="B318" s="63">
        <v>29</v>
      </c>
      <c r="C318" s="95" t="s">
        <v>327</v>
      </c>
      <c r="D318" s="64">
        <v>1</v>
      </c>
      <c r="E318" s="64"/>
      <c r="F318" s="64"/>
      <c r="G318" s="64"/>
      <c r="H318" s="65"/>
      <c r="I318" s="65"/>
    </row>
    <row r="319" spans="2:9" s="60" customFormat="1" x14ac:dyDescent="0.45">
      <c r="B319" s="63">
        <v>30</v>
      </c>
      <c r="C319" s="95" t="s">
        <v>326</v>
      </c>
      <c r="D319" s="64">
        <v>1</v>
      </c>
      <c r="E319" s="64"/>
      <c r="F319" s="64"/>
      <c r="G319" s="64"/>
      <c r="H319" s="65"/>
      <c r="I319" s="65"/>
    </row>
    <row r="320" spans="2:9" s="60" customFormat="1" x14ac:dyDescent="0.45">
      <c r="B320" s="63">
        <v>31</v>
      </c>
      <c r="C320" s="95" t="s">
        <v>325</v>
      </c>
      <c r="D320" s="64">
        <v>1</v>
      </c>
      <c r="E320" s="64"/>
      <c r="F320" s="64"/>
      <c r="G320" s="64"/>
      <c r="H320" s="65"/>
      <c r="I320" s="65"/>
    </row>
    <row r="321" spans="2:9" s="60" customFormat="1" ht="31.5" x14ac:dyDescent="0.45">
      <c r="B321" s="63">
        <v>32</v>
      </c>
      <c r="C321" s="95" t="s">
        <v>61</v>
      </c>
      <c r="D321" s="64">
        <v>1</v>
      </c>
      <c r="E321" s="64"/>
      <c r="F321" s="64"/>
      <c r="G321" s="64"/>
      <c r="H321" s="65"/>
      <c r="I321" s="65"/>
    </row>
    <row r="322" spans="2:9" s="60" customFormat="1" ht="31.5" x14ac:dyDescent="0.45">
      <c r="B322" s="63">
        <v>33</v>
      </c>
      <c r="C322" s="95" t="s">
        <v>116</v>
      </c>
      <c r="D322" s="64">
        <v>1</v>
      </c>
      <c r="E322" s="64"/>
      <c r="F322" s="64"/>
      <c r="G322" s="64"/>
      <c r="H322" s="65"/>
      <c r="I322" s="65"/>
    </row>
    <row r="323" spans="2:9" s="60" customFormat="1" x14ac:dyDescent="0.45">
      <c r="B323" s="63">
        <v>34</v>
      </c>
      <c r="C323" s="95" t="s">
        <v>324</v>
      </c>
      <c r="D323" s="64">
        <v>1</v>
      </c>
      <c r="E323" s="64"/>
      <c r="F323" s="64"/>
      <c r="G323" s="64"/>
      <c r="H323" s="65"/>
      <c r="I323" s="65"/>
    </row>
    <row r="324" spans="2:9" s="60" customFormat="1" x14ac:dyDescent="0.45">
      <c r="B324" s="63">
        <v>35</v>
      </c>
      <c r="C324" s="95" t="s">
        <v>323</v>
      </c>
      <c r="D324" s="64">
        <v>1</v>
      </c>
      <c r="E324" s="64"/>
      <c r="F324" s="64"/>
      <c r="G324" s="64"/>
      <c r="H324" s="65"/>
      <c r="I324" s="65"/>
    </row>
    <row r="325" spans="2:9" s="60" customFormat="1" ht="31.5" x14ac:dyDescent="0.45">
      <c r="B325" s="63">
        <v>36</v>
      </c>
      <c r="C325" s="95" t="s">
        <v>322</v>
      </c>
      <c r="D325" s="64">
        <v>1</v>
      </c>
      <c r="E325" s="64"/>
      <c r="F325" s="64"/>
      <c r="G325" s="64"/>
      <c r="H325" s="65"/>
      <c r="I325" s="65"/>
    </row>
    <row r="326" spans="2:9" s="60" customFormat="1" ht="31.5" x14ac:dyDescent="0.45">
      <c r="B326" s="63">
        <v>37</v>
      </c>
      <c r="C326" s="95" t="s">
        <v>321</v>
      </c>
      <c r="D326" s="64">
        <v>1</v>
      </c>
      <c r="E326" s="64"/>
      <c r="F326" s="64"/>
      <c r="G326" s="64"/>
      <c r="H326" s="65"/>
      <c r="I326" s="65"/>
    </row>
    <row r="327" spans="2:9" s="60" customFormat="1" ht="31.5" x14ac:dyDescent="0.45">
      <c r="B327" s="63">
        <v>38</v>
      </c>
      <c r="C327" s="95" t="s">
        <v>143</v>
      </c>
      <c r="D327" s="64">
        <v>1</v>
      </c>
      <c r="E327" s="64"/>
      <c r="F327" s="64"/>
      <c r="G327" s="64"/>
      <c r="H327" s="65"/>
      <c r="I327" s="65"/>
    </row>
    <row r="328" spans="2:9" s="60" customFormat="1" ht="31.5" x14ac:dyDescent="0.45">
      <c r="B328" s="63">
        <v>39</v>
      </c>
      <c r="C328" s="95" t="s">
        <v>320</v>
      </c>
      <c r="D328" s="64">
        <v>1</v>
      </c>
      <c r="E328" s="64"/>
      <c r="F328" s="64"/>
      <c r="G328" s="64"/>
      <c r="H328" s="65"/>
      <c r="I328" s="65"/>
    </row>
    <row r="329" spans="2:9" s="60" customFormat="1" ht="47.25" x14ac:dyDescent="0.45">
      <c r="B329" s="63">
        <v>40</v>
      </c>
      <c r="C329" s="95" t="s">
        <v>228</v>
      </c>
      <c r="D329" s="64">
        <v>1</v>
      </c>
      <c r="E329" s="64"/>
      <c r="F329" s="64"/>
      <c r="G329" s="64"/>
      <c r="H329" s="65"/>
      <c r="I329" s="65"/>
    </row>
    <row r="330" spans="2:9" s="60" customFormat="1" x14ac:dyDescent="0.5">
      <c r="B330" s="66"/>
      <c r="C330" s="96"/>
      <c r="D330" s="67">
        <f>SUM(D290:D329)</f>
        <v>42</v>
      </c>
      <c r="E330" s="68"/>
      <c r="F330" s="68"/>
      <c r="G330" s="68"/>
      <c r="I330" s="72"/>
    </row>
    <row r="331" spans="2:9" s="60" customFormat="1" ht="14.25" x14ac:dyDescent="0.45">
      <c r="B331" s="73"/>
      <c r="C331" s="99"/>
    </row>
    <row r="332" spans="2:9" s="60" customFormat="1" ht="15" customHeight="1" x14ac:dyDescent="0.5">
      <c r="B332" s="121" t="s">
        <v>451</v>
      </c>
      <c r="C332" s="122"/>
      <c r="D332" s="122"/>
      <c r="E332" s="122"/>
      <c r="F332" s="122"/>
      <c r="G332" s="122"/>
      <c r="H332" s="122"/>
      <c r="I332" s="123"/>
    </row>
    <row r="333" spans="2:9" s="60" customFormat="1" ht="31.5" x14ac:dyDescent="0.45">
      <c r="B333" s="61" t="s">
        <v>21</v>
      </c>
      <c r="C333" s="94" t="s">
        <v>20</v>
      </c>
      <c r="D333" s="61" t="s">
        <v>19</v>
      </c>
      <c r="E333" s="61" t="s">
        <v>523</v>
      </c>
      <c r="F333" s="61" t="s">
        <v>524</v>
      </c>
      <c r="G333" s="61" t="s">
        <v>525</v>
      </c>
      <c r="H333" s="62" t="s">
        <v>18</v>
      </c>
      <c r="I333" s="62" t="s">
        <v>17</v>
      </c>
    </row>
    <row r="334" spans="2:9" s="60" customFormat="1" ht="31.5" x14ac:dyDescent="0.45">
      <c r="B334" s="63">
        <v>1</v>
      </c>
      <c r="C334" s="95" t="s">
        <v>81</v>
      </c>
      <c r="D334" s="64">
        <v>1</v>
      </c>
      <c r="E334" s="64"/>
      <c r="F334" s="64"/>
      <c r="G334" s="64"/>
      <c r="H334" s="65"/>
      <c r="I334" s="65"/>
    </row>
    <row r="335" spans="2:9" s="60" customFormat="1" ht="31.5" x14ac:dyDescent="0.45">
      <c r="B335" s="63">
        <v>2</v>
      </c>
      <c r="C335" s="95" t="s">
        <v>319</v>
      </c>
      <c r="D335" s="64">
        <v>1</v>
      </c>
      <c r="E335" s="64"/>
      <c r="F335" s="64"/>
      <c r="G335" s="64"/>
      <c r="H335" s="65"/>
      <c r="I335" s="65"/>
    </row>
    <row r="336" spans="2:9" s="60" customFormat="1" x14ac:dyDescent="0.45">
      <c r="B336" s="63">
        <v>3</v>
      </c>
      <c r="C336" s="95" t="s">
        <v>318</v>
      </c>
      <c r="D336" s="64">
        <v>1</v>
      </c>
      <c r="E336" s="64"/>
      <c r="F336" s="64"/>
      <c r="G336" s="64"/>
      <c r="H336" s="65"/>
      <c r="I336" s="65"/>
    </row>
    <row r="337" spans="2:9" s="60" customFormat="1" x14ac:dyDescent="0.45">
      <c r="B337" s="63">
        <v>4</v>
      </c>
      <c r="C337" s="95" t="s">
        <v>76</v>
      </c>
      <c r="D337" s="64">
        <v>2</v>
      </c>
      <c r="E337" s="64"/>
      <c r="F337" s="64"/>
      <c r="G337" s="64"/>
      <c r="H337" s="65"/>
      <c r="I337" s="65"/>
    </row>
    <row r="338" spans="2:9" s="60" customFormat="1" x14ac:dyDescent="0.45">
      <c r="B338" s="63">
        <v>5</v>
      </c>
      <c r="C338" s="95" t="s">
        <v>100</v>
      </c>
      <c r="D338" s="64">
        <v>1</v>
      </c>
      <c r="E338" s="64"/>
      <c r="F338" s="64"/>
      <c r="G338" s="64"/>
      <c r="H338" s="65"/>
      <c r="I338" s="65"/>
    </row>
    <row r="339" spans="2:9" s="60" customFormat="1" ht="31.5" x14ac:dyDescent="0.45">
      <c r="B339" s="63">
        <v>6</v>
      </c>
      <c r="C339" s="95" t="s">
        <v>73</v>
      </c>
      <c r="D339" s="64">
        <v>1</v>
      </c>
      <c r="E339" s="64"/>
      <c r="F339" s="64"/>
      <c r="G339" s="64"/>
      <c r="H339" s="65"/>
      <c r="I339" s="65"/>
    </row>
    <row r="340" spans="2:9" s="60" customFormat="1" ht="31.5" x14ac:dyDescent="0.45">
      <c r="B340" s="63">
        <v>7</v>
      </c>
      <c r="C340" s="95" t="s">
        <v>68</v>
      </c>
      <c r="D340" s="64">
        <v>1</v>
      </c>
      <c r="E340" s="64"/>
      <c r="F340" s="64"/>
      <c r="G340" s="64"/>
      <c r="H340" s="65"/>
      <c r="I340" s="65"/>
    </row>
    <row r="341" spans="2:9" s="60" customFormat="1" ht="31.5" x14ac:dyDescent="0.45">
      <c r="B341" s="63">
        <v>8</v>
      </c>
      <c r="C341" s="95" t="s">
        <v>70</v>
      </c>
      <c r="D341" s="64">
        <v>1</v>
      </c>
      <c r="E341" s="64"/>
      <c r="F341" s="64"/>
      <c r="G341" s="64"/>
      <c r="H341" s="65"/>
      <c r="I341" s="65"/>
    </row>
    <row r="342" spans="2:9" s="60" customFormat="1" ht="31.5" x14ac:dyDescent="0.45">
      <c r="B342" s="63">
        <v>9</v>
      </c>
      <c r="C342" s="95" t="s">
        <v>317</v>
      </c>
      <c r="D342" s="64">
        <v>1</v>
      </c>
      <c r="E342" s="64"/>
      <c r="F342" s="64"/>
      <c r="G342" s="64"/>
      <c r="H342" s="65"/>
      <c r="I342" s="65"/>
    </row>
    <row r="343" spans="2:9" s="60" customFormat="1" x14ac:dyDescent="0.45">
      <c r="B343" s="63">
        <v>10</v>
      </c>
      <c r="C343" s="95" t="s">
        <v>72</v>
      </c>
      <c r="D343" s="64">
        <v>4</v>
      </c>
      <c r="E343" s="64"/>
      <c r="F343" s="64"/>
      <c r="G343" s="64"/>
      <c r="H343" s="65"/>
      <c r="I343" s="65"/>
    </row>
    <row r="344" spans="2:9" s="60" customFormat="1" x14ac:dyDescent="0.45">
      <c r="B344" s="63">
        <v>11</v>
      </c>
      <c r="C344" s="95" t="s">
        <v>92</v>
      </c>
      <c r="D344" s="64">
        <v>6</v>
      </c>
      <c r="E344" s="64"/>
      <c r="F344" s="64"/>
      <c r="G344" s="64"/>
      <c r="H344" s="65"/>
      <c r="I344" s="65"/>
    </row>
    <row r="345" spans="2:9" s="60" customFormat="1" ht="31.5" x14ac:dyDescent="0.45">
      <c r="B345" s="63">
        <v>12</v>
      </c>
      <c r="C345" s="95" t="s">
        <v>117</v>
      </c>
      <c r="D345" s="64">
        <v>4</v>
      </c>
      <c r="E345" s="64"/>
      <c r="F345" s="64"/>
      <c r="G345" s="64"/>
      <c r="H345" s="65"/>
      <c r="I345" s="65"/>
    </row>
    <row r="346" spans="2:9" s="60" customFormat="1" x14ac:dyDescent="0.45">
      <c r="B346" s="63">
        <v>13</v>
      </c>
      <c r="C346" s="95" t="s">
        <v>197</v>
      </c>
      <c r="D346" s="64">
        <v>2</v>
      </c>
      <c r="E346" s="64"/>
      <c r="F346" s="64"/>
      <c r="G346" s="64"/>
      <c r="H346" s="65"/>
      <c r="I346" s="65"/>
    </row>
    <row r="347" spans="2:9" s="60" customFormat="1" ht="31.5" x14ac:dyDescent="0.45">
      <c r="B347" s="63">
        <v>14</v>
      </c>
      <c r="C347" s="95" t="s">
        <v>118</v>
      </c>
      <c r="D347" s="64">
        <v>2</v>
      </c>
      <c r="E347" s="64"/>
      <c r="F347" s="64"/>
      <c r="G347" s="64"/>
      <c r="H347" s="65"/>
      <c r="I347" s="65"/>
    </row>
    <row r="348" spans="2:9" s="60" customFormat="1" ht="31.5" x14ac:dyDescent="0.45">
      <c r="B348" s="63">
        <v>15</v>
      </c>
      <c r="C348" s="95" t="s">
        <v>265</v>
      </c>
      <c r="D348" s="64">
        <v>2</v>
      </c>
      <c r="E348" s="64"/>
      <c r="F348" s="64"/>
      <c r="G348" s="64"/>
      <c r="H348" s="65"/>
      <c r="I348" s="65"/>
    </row>
    <row r="349" spans="2:9" s="60" customFormat="1" ht="31.5" x14ac:dyDescent="0.45">
      <c r="B349" s="63">
        <v>16</v>
      </c>
      <c r="C349" s="95" t="s">
        <v>116</v>
      </c>
      <c r="D349" s="64">
        <v>2</v>
      </c>
      <c r="E349" s="64"/>
      <c r="F349" s="64"/>
      <c r="G349" s="64"/>
      <c r="H349" s="65"/>
      <c r="I349" s="65"/>
    </row>
    <row r="350" spans="2:9" s="60" customFormat="1" ht="31.5" x14ac:dyDescent="0.45">
      <c r="B350" s="63">
        <v>17</v>
      </c>
      <c r="C350" s="95" t="s">
        <v>316</v>
      </c>
      <c r="D350" s="64">
        <v>2</v>
      </c>
      <c r="E350" s="64"/>
      <c r="F350" s="64"/>
      <c r="G350" s="64"/>
      <c r="H350" s="65"/>
      <c r="I350" s="65"/>
    </row>
    <row r="351" spans="2:9" s="60" customFormat="1" ht="31.5" x14ac:dyDescent="0.45">
      <c r="B351" s="63">
        <v>18</v>
      </c>
      <c r="C351" s="95" t="s">
        <v>198</v>
      </c>
      <c r="D351" s="64">
        <v>1</v>
      </c>
      <c r="E351" s="64"/>
      <c r="F351" s="64"/>
      <c r="G351" s="64"/>
      <c r="H351" s="65"/>
      <c r="I351" s="65"/>
    </row>
    <row r="352" spans="2:9" s="60" customFormat="1" ht="31.5" x14ac:dyDescent="0.45">
      <c r="B352" s="63">
        <v>19</v>
      </c>
      <c r="C352" s="95" t="s">
        <v>110</v>
      </c>
      <c r="D352" s="64">
        <v>1</v>
      </c>
      <c r="E352" s="64"/>
      <c r="F352" s="64"/>
      <c r="G352" s="64"/>
      <c r="H352" s="65"/>
      <c r="I352" s="65"/>
    </row>
    <row r="353" spans="2:9" s="60" customFormat="1" x14ac:dyDescent="0.45">
      <c r="B353" s="63">
        <v>20</v>
      </c>
      <c r="C353" s="95" t="s">
        <v>315</v>
      </c>
      <c r="D353" s="64">
        <v>1</v>
      </c>
      <c r="E353" s="64"/>
      <c r="F353" s="64"/>
      <c r="G353" s="64"/>
      <c r="H353" s="65"/>
      <c r="I353" s="65"/>
    </row>
    <row r="354" spans="2:9" s="60" customFormat="1" ht="47.25" x14ac:dyDescent="0.45">
      <c r="B354" s="63">
        <v>21</v>
      </c>
      <c r="C354" s="95" t="s">
        <v>314</v>
      </c>
      <c r="D354" s="64">
        <v>1</v>
      </c>
      <c r="E354" s="64"/>
      <c r="F354" s="64"/>
      <c r="G354" s="64"/>
      <c r="H354" s="65"/>
      <c r="I354" s="65"/>
    </row>
    <row r="355" spans="2:9" s="60" customFormat="1" x14ac:dyDescent="0.5">
      <c r="B355" s="66"/>
      <c r="C355" s="96"/>
      <c r="D355" s="67">
        <f>SUM(D334:D354)</f>
        <v>38</v>
      </c>
      <c r="E355" s="68"/>
      <c r="F355" s="68"/>
      <c r="G355" s="68"/>
      <c r="H355" s="69"/>
      <c r="I355" s="70"/>
    </row>
    <row r="356" spans="2:9" s="60" customFormat="1" ht="15.75" customHeight="1" x14ac:dyDescent="0.5">
      <c r="B356" s="66"/>
      <c r="C356" s="97"/>
      <c r="D356" s="68"/>
      <c r="E356" s="68"/>
      <c r="F356" s="68"/>
      <c r="G356" s="68"/>
      <c r="H356" s="69"/>
      <c r="I356" s="69"/>
    </row>
    <row r="357" spans="2:9" s="60" customFormat="1" ht="15" customHeight="1" x14ac:dyDescent="0.5">
      <c r="B357" s="121" t="s">
        <v>452</v>
      </c>
      <c r="C357" s="122"/>
      <c r="D357" s="122"/>
      <c r="E357" s="122"/>
      <c r="F357" s="122"/>
      <c r="G357" s="122"/>
      <c r="H357" s="122"/>
      <c r="I357" s="123"/>
    </row>
    <row r="358" spans="2:9" s="60" customFormat="1" ht="31.5" x14ac:dyDescent="0.45">
      <c r="B358" s="61" t="s">
        <v>21</v>
      </c>
      <c r="C358" s="94" t="s">
        <v>20</v>
      </c>
      <c r="D358" s="61" t="s">
        <v>19</v>
      </c>
      <c r="E358" s="61" t="s">
        <v>523</v>
      </c>
      <c r="F358" s="61" t="s">
        <v>524</v>
      </c>
      <c r="G358" s="61" t="s">
        <v>525</v>
      </c>
      <c r="H358" s="62" t="s">
        <v>18</v>
      </c>
      <c r="I358" s="62" t="s">
        <v>17</v>
      </c>
    </row>
    <row r="359" spans="2:9" s="60" customFormat="1" x14ac:dyDescent="0.45">
      <c r="B359" s="63">
        <v>1</v>
      </c>
      <c r="C359" s="95" t="s">
        <v>100</v>
      </c>
      <c r="D359" s="64">
        <v>1</v>
      </c>
      <c r="E359" s="64"/>
      <c r="F359" s="64"/>
      <c r="G359" s="64"/>
      <c r="H359" s="65"/>
      <c r="I359" s="65"/>
    </row>
    <row r="360" spans="2:9" s="60" customFormat="1" ht="31.5" x14ac:dyDescent="0.45">
      <c r="B360" s="63">
        <v>2</v>
      </c>
      <c r="C360" s="95" t="s">
        <v>73</v>
      </c>
      <c r="D360" s="64">
        <v>1</v>
      </c>
      <c r="E360" s="64"/>
      <c r="F360" s="64"/>
      <c r="G360" s="64"/>
      <c r="H360" s="65"/>
      <c r="I360" s="65"/>
    </row>
    <row r="361" spans="2:9" s="60" customFormat="1" ht="31.5" x14ac:dyDescent="0.45">
      <c r="B361" s="63">
        <v>3</v>
      </c>
      <c r="C361" s="95" t="s">
        <v>70</v>
      </c>
      <c r="D361" s="64">
        <v>1</v>
      </c>
      <c r="E361" s="64"/>
      <c r="F361" s="64"/>
      <c r="G361" s="64"/>
      <c r="H361" s="65"/>
      <c r="I361" s="65"/>
    </row>
    <row r="362" spans="2:9" s="60" customFormat="1" x14ac:dyDescent="0.45">
      <c r="B362" s="63">
        <v>4</v>
      </c>
      <c r="C362" s="95" t="s">
        <v>313</v>
      </c>
      <c r="D362" s="64">
        <v>1</v>
      </c>
      <c r="E362" s="64"/>
      <c r="F362" s="64"/>
      <c r="G362" s="64"/>
      <c r="H362" s="65"/>
      <c r="I362" s="65"/>
    </row>
    <row r="363" spans="2:9" s="60" customFormat="1" x14ac:dyDescent="0.45">
      <c r="B363" s="63">
        <v>5</v>
      </c>
      <c r="C363" s="95" t="s">
        <v>63</v>
      </c>
      <c r="D363" s="64">
        <v>2</v>
      </c>
      <c r="E363" s="64"/>
      <c r="F363" s="64"/>
      <c r="G363" s="64"/>
      <c r="H363" s="65"/>
      <c r="I363" s="65"/>
    </row>
    <row r="364" spans="2:9" s="60" customFormat="1" x14ac:dyDescent="0.45">
      <c r="B364" s="63">
        <v>6</v>
      </c>
      <c r="C364" s="95" t="s">
        <v>312</v>
      </c>
      <c r="D364" s="64">
        <v>2</v>
      </c>
      <c r="E364" s="64"/>
      <c r="F364" s="64"/>
      <c r="G364" s="64"/>
      <c r="H364" s="65"/>
      <c r="I364" s="65"/>
    </row>
    <row r="365" spans="2:9" s="60" customFormat="1" ht="31.5" x14ac:dyDescent="0.45">
      <c r="B365" s="63">
        <v>7</v>
      </c>
      <c r="C365" s="95" t="s">
        <v>116</v>
      </c>
      <c r="D365" s="64">
        <v>1</v>
      </c>
      <c r="E365" s="64"/>
      <c r="F365" s="64"/>
      <c r="G365" s="64"/>
      <c r="H365" s="65"/>
      <c r="I365" s="65"/>
    </row>
    <row r="366" spans="2:9" s="60" customFormat="1" ht="31.5" x14ac:dyDescent="0.45">
      <c r="B366" s="63">
        <v>8</v>
      </c>
      <c r="C366" s="95" t="s">
        <v>198</v>
      </c>
      <c r="D366" s="64">
        <v>1</v>
      </c>
      <c r="E366" s="64"/>
      <c r="F366" s="64"/>
      <c r="G366" s="64"/>
      <c r="H366" s="65"/>
      <c r="I366" s="65"/>
    </row>
    <row r="367" spans="2:9" s="60" customFormat="1" ht="47.25" x14ac:dyDescent="0.45">
      <c r="B367" s="64">
        <v>9</v>
      </c>
      <c r="C367" s="95" t="s">
        <v>163</v>
      </c>
      <c r="D367" s="64">
        <v>1</v>
      </c>
      <c r="E367" s="64"/>
      <c r="F367" s="64"/>
      <c r="G367" s="64"/>
      <c r="H367" s="65"/>
      <c r="I367" s="65"/>
    </row>
    <row r="368" spans="2:9" s="60" customFormat="1" x14ac:dyDescent="0.5">
      <c r="B368" s="66"/>
      <c r="C368" s="96"/>
      <c r="D368" s="67">
        <f>SUM(D359:D367)</f>
        <v>11</v>
      </c>
      <c r="E368" s="68"/>
      <c r="F368" s="68"/>
      <c r="G368" s="68"/>
      <c r="H368" s="69"/>
      <c r="I368" s="70"/>
    </row>
    <row r="369" spans="2:9" s="60" customFormat="1" ht="15.75" customHeight="1" x14ac:dyDescent="0.5">
      <c r="B369" s="66"/>
      <c r="C369" s="97"/>
      <c r="D369" s="68"/>
      <c r="E369" s="68"/>
      <c r="F369" s="68"/>
      <c r="G369" s="68"/>
      <c r="H369" s="69"/>
      <c r="I369" s="69"/>
    </row>
    <row r="370" spans="2:9" s="60" customFormat="1" ht="15" customHeight="1" x14ac:dyDescent="0.5">
      <c r="B370" s="121" t="s">
        <v>453</v>
      </c>
      <c r="C370" s="122"/>
      <c r="D370" s="122"/>
      <c r="E370" s="122"/>
      <c r="F370" s="122"/>
      <c r="G370" s="122"/>
      <c r="H370" s="122"/>
      <c r="I370" s="123"/>
    </row>
    <row r="371" spans="2:9" s="60" customFormat="1" ht="31.5" x14ac:dyDescent="0.45">
      <c r="B371" s="61" t="s">
        <v>21</v>
      </c>
      <c r="C371" s="94" t="s">
        <v>20</v>
      </c>
      <c r="D371" s="61" t="s">
        <v>19</v>
      </c>
      <c r="E371" s="61" t="s">
        <v>523</v>
      </c>
      <c r="F371" s="61" t="s">
        <v>524</v>
      </c>
      <c r="G371" s="61" t="s">
        <v>525</v>
      </c>
      <c r="H371" s="62" t="s">
        <v>18</v>
      </c>
      <c r="I371" s="62" t="s">
        <v>17</v>
      </c>
    </row>
    <row r="372" spans="2:9" s="60" customFormat="1" ht="31.5" x14ac:dyDescent="0.45">
      <c r="B372" s="63">
        <v>1</v>
      </c>
      <c r="C372" s="95" t="s">
        <v>107</v>
      </c>
      <c r="D372" s="64">
        <v>1</v>
      </c>
      <c r="E372" s="64"/>
      <c r="F372" s="64"/>
      <c r="G372" s="64"/>
      <c r="H372" s="65"/>
      <c r="I372" s="65"/>
    </row>
    <row r="373" spans="2:9" s="60" customFormat="1" ht="31.5" x14ac:dyDescent="0.45">
      <c r="B373" s="63">
        <v>2</v>
      </c>
      <c r="C373" s="95" t="s">
        <v>81</v>
      </c>
      <c r="D373" s="64">
        <v>1</v>
      </c>
      <c r="E373" s="64"/>
      <c r="F373" s="64"/>
      <c r="G373" s="64"/>
      <c r="H373" s="65"/>
      <c r="I373" s="65"/>
    </row>
    <row r="374" spans="2:9" s="60" customFormat="1" ht="31.5" x14ac:dyDescent="0.45">
      <c r="B374" s="63">
        <v>3</v>
      </c>
      <c r="C374" s="95" t="s">
        <v>137</v>
      </c>
      <c r="D374" s="64">
        <v>1</v>
      </c>
      <c r="E374" s="64"/>
      <c r="F374" s="64"/>
      <c r="G374" s="64"/>
      <c r="H374" s="65"/>
      <c r="I374" s="65"/>
    </row>
    <row r="375" spans="2:9" s="60" customFormat="1" ht="31.5" x14ac:dyDescent="0.45">
      <c r="B375" s="63">
        <v>4</v>
      </c>
      <c r="C375" s="95" t="s">
        <v>311</v>
      </c>
      <c r="D375" s="64">
        <v>1</v>
      </c>
      <c r="E375" s="64"/>
      <c r="F375" s="64"/>
      <c r="G375" s="64"/>
      <c r="H375" s="65"/>
      <c r="I375" s="65"/>
    </row>
    <row r="376" spans="2:9" s="60" customFormat="1" ht="31.5" x14ac:dyDescent="0.45">
      <c r="B376" s="63">
        <v>5</v>
      </c>
      <c r="C376" s="95" t="s">
        <v>310</v>
      </c>
      <c r="D376" s="64">
        <v>1</v>
      </c>
      <c r="E376" s="64"/>
      <c r="F376" s="64"/>
      <c r="G376" s="64"/>
      <c r="H376" s="65"/>
      <c r="I376" s="65"/>
    </row>
    <row r="377" spans="2:9" s="60" customFormat="1" ht="47.25" x14ac:dyDescent="0.45">
      <c r="B377" s="63">
        <v>6</v>
      </c>
      <c r="C377" s="95" t="s">
        <v>309</v>
      </c>
      <c r="D377" s="64">
        <v>1</v>
      </c>
      <c r="E377" s="64"/>
      <c r="F377" s="64"/>
      <c r="G377" s="64"/>
      <c r="H377" s="65"/>
      <c r="I377" s="65"/>
    </row>
    <row r="378" spans="2:9" s="60" customFormat="1" ht="31.5" x14ac:dyDescent="0.45">
      <c r="B378" s="63">
        <v>7</v>
      </c>
      <c r="C378" s="95" t="s">
        <v>308</v>
      </c>
      <c r="D378" s="64">
        <v>1</v>
      </c>
      <c r="E378" s="64"/>
      <c r="F378" s="64"/>
      <c r="G378" s="64"/>
      <c r="H378" s="65"/>
      <c r="I378" s="65"/>
    </row>
    <row r="379" spans="2:9" s="60" customFormat="1" ht="31.5" x14ac:dyDescent="0.45">
      <c r="B379" s="63">
        <v>8</v>
      </c>
      <c r="C379" s="95" t="s">
        <v>140</v>
      </c>
      <c r="D379" s="64">
        <v>2</v>
      </c>
      <c r="E379" s="64"/>
      <c r="F379" s="64"/>
      <c r="G379" s="64"/>
      <c r="H379" s="65"/>
      <c r="I379" s="65"/>
    </row>
    <row r="380" spans="2:9" s="60" customFormat="1" ht="31.5" x14ac:dyDescent="0.45">
      <c r="B380" s="63">
        <v>9</v>
      </c>
      <c r="C380" s="95" t="s">
        <v>307</v>
      </c>
      <c r="D380" s="64">
        <v>2</v>
      </c>
      <c r="E380" s="64"/>
      <c r="F380" s="64"/>
      <c r="G380" s="64"/>
      <c r="H380" s="65"/>
      <c r="I380" s="65"/>
    </row>
    <row r="381" spans="2:9" s="60" customFormat="1" ht="31.5" x14ac:dyDescent="0.45">
      <c r="B381" s="63">
        <v>10</v>
      </c>
      <c r="C381" s="95" t="s">
        <v>161</v>
      </c>
      <c r="D381" s="64">
        <v>1</v>
      </c>
      <c r="E381" s="64"/>
      <c r="F381" s="64"/>
      <c r="G381" s="64"/>
      <c r="H381" s="65"/>
      <c r="I381" s="65"/>
    </row>
    <row r="382" spans="2:9" s="60" customFormat="1" ht="31.5" x14ac:dyDescent="0.45">
      <c r="B382" s="63">
        <v>11</v>
      </c>
      <c r="C382" s="95" t="s">
        <v>306</v>
      </c>
      <c r="D382" s="64">
        <v>1</v>
      </c>
      <c r="E382" s="64"/>
      <c r="F382" s="64"/>
      <c r="G382" s="64"/>
      <c r="H382" s="65"/>
      <c r="I382" s="65"/>
    </row>
    <row r="383" spans="2:9" s="60" customFormat="1" ht="31.5" x14ac:dyDescent="0.45">
      <c r="B383" s="63">
        <v>12</v>
      </c>
      <c r="C383" s="95" t="s">
        <v>305</v>
      </c>
      <c r="D383" s="64">
        <v>1</v>
      </c>
      <c r="E383" s="64"/>
      <c r="F383" s="64"/>
      <c r="G383" s="64"/>
      <c r="H383" s="65"/>
      <c r="I383" s="65"/>
    </row>
    <row r="384" spans="2:9" s="60" customFormat="1" ht="47.25" x14ac:dyDescent="0.45">
      <c r="B384" s="63">
        <v>13</v>
      </c>
      <c r="C384" s="95" t="s">
        <v>304</v>
      </c>
      <c r="D384" s="64">
        <v>1</v>
      </c>
      <c r="E384" s="64"/>
      <c r="F384" s="64"/>
      <c r="G384" s="64"/>
      <c r="H384" s="65"/>
      <c r="I384" s="65"/>
    </row>
    <row r="385" spans="2:9" s="60" customFormat="1" ht="31.5" x14ac:dyDescent="0.45">
      <c r="B385" s="63">
        <v>14</v>
      </c>
      <c r="C385" s="95" t="s">
        <v>301</v>
      </c>
      <c r="D385" s="64">
        <v>1</v>
      </c>
      <c r="E385" s="64"/>
      <c r="F385" s="64"/>
      <c r="G385" s="64"/>
      <c r="H385" s="65"/>
      <c r="I385" s="65"/>
    </row>
    <row r="386" spans="2:9" s="60" customFormat="1" x14ac:dyDescent="0.45">
      <c r="B386" s="63">
        <v>15</v>
      </c>
      <c r="C386" s="95" t="s">
        <v>76</v>
      </c>
      <c r="D386" s="64">
        <v>4</v>
      </c>
      <c r="E386" s="64"/>
      <c r="F386" s="64"/>
      <c r="G386" s="64"/>
      <c r="H386" s="65"/>
      <c r="I386" s="65"/>
    </row>
    <row r="387" spans="2:9" s="60" customFormat="1" ht="47.25" x14ac:dyDescent="0.45">
      <c r="B387" s="63">
        <v>16</v>
      </c>
      <c r="C387" s="95" t="s">
        <v>303</v>
      </c>
      <c r="D387" s="64">
        <v>1</v>
      </c>
      <c r="E387" s="64"/>
      <c r="F387" s="64"/>
      <c r="G387" s="64"/>
      <c r="H387" s="65"/>
      <c r="I387" s="65"/>
    </row>
    <row r="388" spans="2:9" s="60" customFormat="1" ht="47.25" x14ac:dyDescent="0.45">
      <c r="B388" s="63">
        <v>17</v>
      </c>
      <c r="C388" s="95" t="s">
        <v>302</v>
      </c>
      <c r="D388" s="64">
        <v>1</v>
      </c>
      <c r="E388" s="64"/>
      <c r="F388" s="64"/>
      <c r="G388" s="64"/>
      <c r="H388" s="65"/>
      <c r="I388" s="65"/>
    </row>
    <row r="389" spans="2:9" s="60" customFormat="1" ht="31.5" x14ac:dyDescent="0.45">
      <c r="B389" s="63">
        <v>18</v>
      </c>
      <c r="C389" s="95" t="s">
        <v>301</v>
      </c>
      <c r="D389" s="64">
        <v>1</v>
      </c>
      <c r="E389" s="64"/>
      <c r="F389" s="64"/>
      <c r="G389" s="64"/>
      <c r="H389" s="65"/>
      <c r="I389" s="65"/>
    </row>
    <row r="390" spans="2:9" s="60" customFormat="1" x14ac:dyDescent="0.45">
      <c r="B390" s="63">
        <v>19</v>
      </c>
      <c r="C390" s="95" t="s">
        <v>300</v>
      </c>
      <c r="D390" s="64">
        <v>2</v>
      </c>
      <c r="E390" s="64"/>
      <c r="F390" s="64"/>
      <c r="G390" s="64"/>
      <c r="H390" s="65"/>
      <c r="I390" s="65"/>
    </row>
    <row r="391" spans="2:9" s="60" customFormat="1" x14ac:dyDescent="0.45">
      <c r="B391" s="63">
        <v>20</v>
      </c>
      <c r="C391" s="95" t="s">
        <v>299</v>
      </c>
      <c r="D391" s="64">
        <v>1</v>
      </c>
      <c r="E391" s="64"/>
      <c r="F391" s="64"/>
      <c r="G391" s="64"/>
      <c r="H391" s="65"/>
      <c r="I391" s="65"/>
    </row>
    <row r="392" spans="2:9" s="60" customFormat="1" x14ac:dyDescent="0.45">
      <c r="B392" s="63">
        <v>21</v>
      </c>
      <c r="C392" s="95" t="s">
        <v>298</v>
      </c>
      <c r="D392" s="64">
        <v>1</v>
      </c>
      <c r="E392" s="64"/>
      <c r="F392" s="64"/>
      <c r="G392" s="64"/>
      <c r="H392" s="65"/>
      <c r="I392" s="65"/>
    </row>
    <row r="393" spans="2:9" s="60" customFormat="1" x14ac:dyDescent="0.45">
      <c r="B393" s="63">
        <v>22</v>
      </c>
      <c r="C393" s="95" t="s">
        <v>297</v>
      </c>
      <c r="D393" s="64">
        <v>1</v>
      </c>
      <c r="E393" s="64"/>
      <c r="F393" s="64"/>
      <c r="G393" s="64"/>
      <c r="H393" s="65"/>
      <c r="I393" s="65"/>
    </row>
    <row r="394" spans="2:9" s="60" customFormat="1" x14ac:dyDescent="0.45">
      <c r="B394" s="63">
        <v>23</v>
      </c>
      <c r="C394" s="95" t="s">
        <v>296</v>
      </c>
      <c r="D394" s="64">
        <v>1</v>
      </c>
      <c r="E394" s="64"/>
      <c r="F394" s="64"/>
      <c r="G394" s="64"/>
      <c r="H394" s="65"/>
      <c r="I394" s="65"/>
    </row>
    <row r="395" spans="2:9" s="60" customFormat="1" x14ac:dyDescent="0.45">
      <c r="B395" s="63">
        <v>24</v>
      </c>
      <c r="C395" s="95" t="s">
        <v>295</v>
      </c>
      <c r="D395" s="64">
        <v>1</v>
      </c>
      <c r="E395" s="64"/>
      <c r="F395" s="64"/>
      <c r="G395" s="64"/>
      <c r="H395" s="65"/>
      <c r="I395" s="65"/>
    </row>
    <row r="396" spans="2:9" s="60" customFormat="1" x14ac:dyDescent="0.45">
      <c r="B396" s="63">
        <v>25</v>
      </c>
      <c r="C396" s="95" t="s">
        <v>294</v>
      </c>
      <c r="D396" s="64">
        <v>1</v>
      </c>
      <c r="E396" s="64"/>
      <c r="F396" s="64"/>
      <c r="G396" s="64"/>
      <c r="H396" s="65"/>
      <c r="I396" s="65"/>
    </row>
    <row r="397" spans="2:9" s="60" customFormat="1" ht="31.5" x14ac:dyDescent="0.45">
      <c r="B397" s="63">
        <v>26</v>
      </c>
      <c r="C397" s="95" t="s">
        <v>240</v>
      </c>
      <c r="D397" s="64">
        <v>2</v>
      </c>
      <c r="E397" s="64"/>
      <c r="F397" s="64"/>
      <c r="G397" s="64"/>
      <c r="H397" s="65"/>
      <c r="I397" s="65"/>
    </row>
    <row r="398" spans="2:9" s="60" customFormat="1" ht="31.5" x14ac:dyDescent="0.45">
      <c r="B398" s="63">
        <v>27</v>
      </c>
      <c r="C398" s="95" t="s">
        <v>293</v>
      </c>
      <c r="D398" s="64">
        <v>2</v>
      </c>
      <c r="E398" s="64"/>
      <c r="F398" s="64"/>
      <c r="G398" s="64"/>
      <c r="H398" s="65"/>
      <c r="I398" s="65"/>
    </row>
    <row r="399" spans="2:9" s="60" customFormat="1" ht="31.5" x14ac:dyDescent="0.45">
      <c r="B399" s="63">
        <v>28</v>
      </c>
      <c r="C399" s="95" t="s">
        <v>239</v>
      </c>
      <c r="D399" s="64">
        <v>2</v>
      </c>
      <c r="E399" s="64"/>
      <c r="F399" s="64"/>
      <c r="G399" s="64"/>
      <c r="H399" s="65"/>
      <c r="I399" s="65"/>
    </row>
    <row r="400" spans="2:9" s="60" customFormat="1" ht="31.5" x14ac:dyDescent="0.45">
      <c r="B400" s="63">
        <v>29</v>
      </c>
      <c r="C400" s="95" t="s">
        <v>292</v>
      </c>
      <c r="D400" s="64">
        <v>1</v>
      </c>
      <c r="E400" s="64"/>
      <c r="F400" s="64"/>
      <c r="G400" s="64"/>
      <c r="H400" s="65"/>
      <c r="I400" s="65"/>
    </row>
    <row r="401" spans="2:9" s="60" customFormat="1" x14ac:dyDescent="0.45">
      <c r="B401" s="63">
        <v>30</v>
      </c>
      <c r="C401" s="95" t="s">
        <v>291</v>
      </c>
      <c r="D401" s="64">
        <v>1</v>
      </c>
      <c r="E401" s="64"/>
      <c r="F401" s="64"/>
      <c r="G401" s="64"/>
      <c r="H401" s="65"/>
      <c r="I401" s="65"/>
    </row>
    <row r="402" spans="2:9" s="60" customFormat="1" x14ac:dyDescent="0.45">
      <c r="B402" s="63">
        <v>31</v>
      </c>
      <c r="C402" s="95" t="s">
        <v>291</v>
      </c>
      <c r="D402" s="64">
        <v>1</v>
      </c>
      <c r="E402" s="64"/>
      <c r="F402" s="64"/>
      <c r="G402" s="64"/>
      <c r="H402" s="65"/>
      <c r="I402" s="65"/>
    </row>
    <row r="403" spans="2:9" s="60" customFormat="1" ht="31.5" x14ac:dyDescent="0.45">
      <c r="B403" s="63">
        <v>32</v>
      </c>
      <c r="C403" s="95" t="s">
        <v>290</v>
      </c>
      <c r="D403" s="64">
        <v>1</v>
      </c>
      <c r="E403" s="64"/>
      <c r="F403" s="64"/>
      <c r="G403" s="64"/>
      <c r="H403" s="65"/>
      <c r="I403" s="65"/>
    </row>
    <row r="404" spans="2:9" s="60" customFormat="1" ht="31.5" x14ac:dyDescent="0.45">
      <c r="B404" s="63">
        <v>33</v>
      </c>
      <c r="C404" s="95" t="s">
        <v>237</v>
      </c>
      <c r="D404" s="64">
        <v>8</v>
      </c>
      <c r="E404" s="64"/>
      <c r="F404" s="64"/>
      <c r="G404" s="64"/>
      <c r="H404" s="65"/>
      <c r="I404" s="65"/>
    </row>
    <row r="405" spans="2:9" s="60" customFormat="1" ht="31.5" x14ac:dyDescent="0.45">
      <c r="B405" s="63">
        <v>34</v>
      </c>
      <c r="C405" s="95" t="s">
        <v>236</v>
      </c>
      <c r="D405" s="64">
        <v>8</v>
      </c>
      <c r="E405" s="64"/>
      <c r="F405" s="64"/>
      <c r="G405" s="64"/>
      <c r="H405" s="65"/>
      <c r="I405" s="65"/>
    </row>
    <row r="406" spans="2:9" s="60" customFormat="1" x14ac:dyDescent="0.45">
      <c r="B406" s="63">
        <v>35</v>
      </c>
      <c r="C406" s="95" t="s">
        <v>63</v>
      </c>
      <c r="D406" s="64">
        <v>4</v>
      </c>
      <c r="E406" s="64"/>
      <c r="F406" s="64"/>
      <c r="G406" s="64"/>
      <c r="H406" s="65"/>
      <c r="I406" s="65"/>
    </row>
    <row r="407" spans="2:9" s="60" customFormat="1" x14ac:dyDescent="0.45">
      <c r="B407" s="63">
        <v>36</v>
      </c>
      <c r="C407" s="95" t="s">
        <v>64</v>
      </c>
      <c r="D407" s="64">
        <v>4</v>
      </c>
      <c r="E407" s="64"/>
      <c r="F407" s="64"/>
      <c r="G407" s="64"/>
      <c r="H407" s="65"/>
      <c r="I407" s="65"/>
    </row>
    <row r="408" spans="2:9" s="60" customFormat="1" x14ac:dyDescent="0.45">
      <c r="B408" s="63">
        <v>37</v>
      </c>
      <c r="C408" s="95" t="s">
        <v>289</v>
      </c>
      <c r="D408" s="64">
        <v>4</v>
      </c>
      <c r="E408" s="64"/>
      <c r="F408" s="64"/>
      <c r="G408" s="64"/>
      <c r="H408" s="65"/>
      <c r="I408" s="65"/>
    </row>
    <row r="409" spans="2:9" s="60" customFormat="1" x14ac:dyDescent="0.45">
      <c r="B409" s="63">
        <v>38</v>
      </c>
      <c r="C409" s="95" t="s">
        <v>288</v>
      </c>
      <c r="D409" s="64">
        <v>2</v>
      </c>
      <c r="E409" s="64"/>
      <c r="F409" s="64"/>
      <c r="G409" s="64"/>
      <c r="H409" s="65"/>
      <c r="I409" s="65"/>
    </row>
    <row r="410" spans="2:9" s="60" customFormat="1" ht="31.5" x14ac:dyDescent="0.45">
      <c r="B410" s="63">
        <v>39</v>
      </c>
      <c r="C410" s="95" t="s">
        <v>62</v>
      </c>
      <c r="D410" s="64">
        <v>4</v>
      </c>
      <c r="E410" s="64"/>
      <c r="F410" s="64"/>
      <c r="G410" s="64"/>
      <c r="H410" s="65"/>
      <c r="I410" s="65"/>
    </row>
    <row r="411" spans="2:9" s="60" customFormat="1" ht="31.5" x14ac:dyDescent="0.45">
      <c r="B411" s="63">
        <v>40</v>
      </c>
      <c r="C411" s="95" t="s">
        <v>217</v>
      </c>
      <c r="D411" s="64">
        <v>1</v>
      </c>
      <c r="E411" s="64"/>
      <c r="F411" s="64"/>
      <c r="G411" s="64"/>
      <c r="H411" s="65"/>
      <c r="I411" s="65"/>
    </row>
    <row r="412" spans="2:9" s="60" customFormat="1" ht="31.5" x14ac:dyDescent="0.45">
      <c r="B412" s="63">
        <v>41</v>
      </c>
      <c r="C412" s="95" t="s">
        <v>238</v>
      </c>
      <c r="D412" s="64">
        <v>1</v>
      </c>
      <c r="E412" s="64"/>
      <c r="F412" s="64"/>
      <c r="G412" s="64"/>
      <c r="H412" s="65"/>
      <c r="I412" s="65"/>
    </row>
    <row r="413" spans="2:9" s="60" customFormat="1" ht="31.5" x14ac:dyDescent="0.45">
      <c r="B413" s="63">
        <v>42</v>
      </c>
      <c r="C413" s="95" t="s">
        <v>235</v>
      </c>
      <c r="D413" s="64">
        <v>6</v>
      </c>
      <c r="E413" s="64"/>
      <c r="F413" s="64"/>
      <c r="G413" s="64"/>
      <c r="H413" s="65"/>
      <c r="I413" s="65"/>
    </row>
    <row r="414" spans="2:9" s="60" customFormat="1" ht="31.5" x14ac:dyDescent="0.45">
      <c r="B414" s="63">
        <v>43</v>
      </c>
      <c r="C414" s="95" t="s">
        <v>73</v>
      </c>
      <c r="D414" s="64">
        <v>2</v>
      </c>
      <c r="E414" s="64"/>
      <c r="F414" s="64"/>
      <c r="G414" s="64"/>
      <c r="H414" s="65"/>
      <c r="I414" s="65"/>
    </row>
    <row r="415" spans="2:9" s="60" customFormat="1" ht="31.5" x14ac:dyDescent="0.45">
      <c r="B415" s="63">
        <v>44</v>
      </c>
      <c r="C415" s="95" t="s">
        <v>287</v>
      </c>
      <c r="D415" s="64">
        <v>1</v>
      </c>
      <c r="E415" s="64"/>
      <c r="F415" s="64"/>
      <c r="G415" s="64"/>
      <c r="H415" s="65"/>
      <c r="I415" s="65"/>
    </row>
    <row r="416" spans="2:9" s="60" customFormat="1" x14ac:dyDescent="0.45">
      <c r="B416" s="63">
        <v>45</v>
      </c>
      <c r="C416" s="95" t="s">
        <v>286</v>
      </c>
      <c r="D416" s="64">
        <v>1</v>
      </c>
      <c r="E416" s="64"/>
      <c r="F416" s="64"/>
      <c r="G416" s="64"/>
      <c r="H416" s="65"/>
      <c r="I416" s="65"/>
    </row>
    <row r="417" spans="2:9" s="60" customFormat="1" x14ac:dyDescent="0.45">
      <c r="B417" s="63">
        <v>46</v>
      </c>
      <c r="C417" s="95" t="s">
        <v>285</v>
      </c>
      <c r="D417" s="64">
        <v>1</v>
      </c>
      <c r="E417" s="64"/>
      <c r="F417" s="64"/>
      <c r="G417" s="64"/>
      <c r="H417" s="65"/>
      <c r="I417" s="65"/>
    </row>
    <row r="418" spans="2:9" s="60" customFormat="1" x14ac:dyDescent="0.45">
      <c r="B418" s="63">
        <v>47</v>
      </c>
      <c r="C418" s="95" t="s">
        <v>284</v>
      </c>
      <c r="D418" s="64">
        <v>1</v>
      </c>
      <c r="E418" s="64"/>
      <c r="F418" s="64"/>
      <c r="G418" s="64"/>
      <c r="H418" s="65"/>
      <c r="I418" s="65"/>
    </row>
    <row r="419" spans="2:9" s="60" customFormat="1" ht="31.5" x14ac:dyDescent="0.45">
      <c r="B419" s="63">
        <v>48</v>
      </c>
      <c r="C419" s="95" t="s">
        <v>216</v>
      </c>
      <c r="D419" s="64">
        <v>1</v>
      </c>
      <c r="E419" s="64"/>
      <c r="F419" s="64"/>
      <c r="G419" s="64"/>
      <c r="H419" s="65"/>
      <c r="I419" s="65"/>
    </row>
    <row r="420" spans="2:9" s="60" customFormat="1" ht="31.5" x14ac:dyDescent="0.45">
      <c r="B420" s="63">
        <v>49</v>
      </c>
      <c r="C420" s="95" t="s">
        <v>283</v>
      </c>
      <c r="D420" s="64">
        <v>1</v>
      </c>
      <c r="E420" s="64"/>
      <c r="F420" s="64"/>
      <c r="G420" s="64"/>
      <c r="H420" s="65"/>
      <c r="I420" s="65"/>
    </row>
    <row r="421" spans="2:9" s="60" customFormat="1" ht="31.5" x14ac:dyDescent="0.45">
      <c r="B421" s="63">
        <v>50</v>
      </c>
      <c r="C421" s="95" t="s">
        <v>282</v>
      </c>
      <c r="D421" s="64">
        <v>1</v>
      </c>
      <c r="E421" s="64"/>
      <c r="F421" s="64"/>
      <c r="G421" s="64"/>
      <c r="H421" s="65"/>
      <c r="I421" s="65"/>
    </row>
    <row r="422" spans="2:9" s="60" customFormat="1" ht="31.5" x14ac:dyDescent="0.45">
      <c r="B422" s="63">
        <v>51</v>
      </c>
      <c r="C422" s="95" t="s">
        <v>281</v>
      </c>
      <c r="D422" s="64">
        <v>1</v>
      </c>
      <c r="E422" s="64"/>
      <c r="F422" s="64"/>
      <c r="G422" s="64"/>
      <c r="H422" s="65"/>
      <c r="I422" s="65"/>
    </row>
    <row r="423" spans="2:9" s="60" customFormat="1" x14ac:dyDescent="0.45">
      <c r="B423" s="63">
        <v>52</v>
      </c>
      <c r="C423" s="95" t="s">
        <v>280</v>
      </c>
      <c r="D423" s="64">
        <v>1</v>
      </c>
      <c r="E423" s="64"/>
      <c r="F423" s="64"/>
      <c r="G423" s="64"/>
      <c r="H423" s="65"/>
      <c r="I423" s="65"/>
    </row>
    <row r="424" spans="2:9" s="60" customFormat="1" ht="31.5" x14ac:dyDescent="0.45">
      <c r="B424" s="63">
        <v>53</v>
      </c>
      <c r="C424" s="95" t="s">
        <v>215</v>
      </c>
      <c r="D424" s="64">
        <v>1</v>
      </c>
      <c r="E424" s="64"/>
      <c r="F424" s="64"/>
      <c r="G424" s="64"/>
      <c r="H424" s="65"/>
      <c r="I424" s="65"/>
    </row>
    <row r="425" spans="2:9" s="60" customFormat="1" ht="31.5" x14ac:dyDescent="0.45">
      <c r="B425" s="63">
        <v>54</v>
      </c>
      <c r="C425" s="95" t="s">
        <v>279</v>
      </c>
      <c r="D425" s="64">
        <v>2</v>
      </c>
      <c r="E425" s="64"/>
      <c r="F425" s="64"/>
      <c r="G425" s="64"/>
      <c r="H425" s="65"/>
      <c r="I425" s="65"/>
    </row>
    <row r="426" spans="2:9" s="60" customFormat="1" x14ac:dyDescent="0.45">
      <c r="B426" s="63">
        <v>55</v>
      </c>
      <c r="C426" s="95" t="s">
        <v>278</v>
      </c>
      <c r="D426" s="64">
        <v>1</v>
      </c>
      <c r="E426" s="64"/>
      <c r="F426" s="64"/>
      <c r="G426" s="64"/>
      <c r="H426" s="65"/>
      <c r="I426" s="65"/>
    </row>
    <row r="427" spans="2:9" s="60" customFormat="1" ht="31.5" x14ac:dyDescent="0.45">
      <c r="B427" s="63">
        <v>56</v>
      </c>
      <c r="C427" s="95" t="s">
        <v>277</v>
      </c>
      <c r="D427" s="64">
        <v>1</v>
      </c>
      <c r="E427" s="64"/>
      <c r="F427" s="64"/>
      <c r="G427" s="64"/>
      <c r="H427" s="65"/>
      <c r="I427" s="65"/>
    </row>
    <row r="428" spans="2:9" s="60" customFormat="1" x14ac:dyDescent="0.45">
      <c r="B428" s="63">
        <v>57</v>
      </c>
      <c r="C428" s="95" t="s">
        <v>276</v>
      </c>
      <c r="D428" s="64">
        <v>2</v>
      </c>
      <c r="E428" s="64"/>
      <c r="F428" s="64"/>
      <c r="G428" s="64"/>
      <c r="H428" s="65"/>
      <c r="I428" s="65"/>
    </row>
    <row r="429" spans="2:9" s="60" customFormat="1" ht="31.5" x14ac:dyDescent="0.45">
      <c r="B429" s="63">
        <v>58</v>
      </c>
      <c r="C429" s="95" t="s">
        <v>61</v>
      </c>
      <c r="D429" s="64">
        <v>2</v>
      </c>
      <c r="E429" s="64"/>
      <c r="F429" s="64"/>
      <c r="G429" s="64"/>
      <c r="H429" s="65"/>
      <c r="I429" s="65"/>
    </row>
    <row r="430" spans="2:9" s="60" customFormat="1" ht="31.5" x14ac:dyDescent="0.45">
      <c r="B430" s="63">
        <v>59</v>
      </c>
      <c r="C430" s="95" t="s">
        <v>234</v>
      </c>
      <c r="D430" s="64">
        <v>1</v>
      </c>
      <c r="E430" s="64"/>
      <c r="F430" s="64"/>
      <c r="G430" s="64"/>
      <c r="H430" s="65"/>
      <c r="I430" s="65"/>
    </row>
    <row r="431" spans="2:9" s="60" customFormat="1" ht="31.5" x14ac:dyDescent="0.45">
      <c r="B431" s="63">
        <v>60</v>
      </c>
      <c r="C431" s="95" t="s">
        <v>233</v>
      </c>
      <c r="D431" s="64">
        <v>1</v>
      </c>
      <c r="E431" s="64"/>
      <c r="F431" s="64"/>
      <c r="G431" s="64"/>
      <c r="H431" s="65"/>
      <c r="I431" s="65"/>
    </row>
    <row r="432" spans="2:9" s="60" customFormat="1" ht="31.5" x14ac:dyDescent="0.45">
      <c r="B432" s="63">
        <v>61</v>
      </c>
      <c r="C432" s="95" t="s">
        <v>275</v>
      </c>
      <c r="D432" s="64">
        <v>1</v>
      </c>
      <c r="E432" s="64"/>
      <c r="F432" s="64"/>
      <c r="G432" s="64"/>
      <c r="H432" s="65"/>
      <c r="I432" s="65"/>
    </row>
    <row r="433" spans="2:9" s="60" customFormat="1" ht="15.75" customHeight="1" x14ac:dyDescent="0.45">
      <c r="B433" s="63">
        <v>62</v>
      </c>
      <c r="C433" s="95" t="s">
        <v>274</v>
      </c>
      <c r="D433" s="64">
        <v>1</v>
      </c>
      <c r="E433" s="64"/>
      <c r="F433" s="64"/>
      <c r="G433" s="64"/>
      <c r="H433" s="65"/>
      <c r="I433" s="65"/>
    </row>
    <row r="434" spans="2:9" s="60" customFormat="1" ht="31.5" x14ac:dyDescent="0.45">
      <c r="B434" s="63">
        <v>63</v>
      </c>
      <c r="C434" s="95" t="s">
        <v>273</v>
      </c>
      <c r="D434" s="64">
        <v>1</v>
      </c>
      <c r="E434" s="64"/>
      <c r="F434" s="64"/>
      <c r="G434" s="64"/>
      <c r="H434" s="65"/>
      <c r="I434" s="65"/>
    </row>
    <row r="435" spans="2:9" s="60" customFormat="1" ht="31.5" x14ac:dyDescent="0.45">
      <c r="B435" s="63">
        <v>64</v>
      </c>
      <c r="C435" s="95" t="s">
        <v>272</v>
      </c>
      <c r="D435" s="64">
        <v>1</v>
      </c>
      <c r="E435" s="64"/>
      <c r="F435" s="64"/>
      <c r="G435" s="64"/>
      <c r="H435" s="65"/>
      <c r="I435" s="65"/>
    </row>
    <row r="436" spans="2:9" s="60" customFormat="1" ht="31.5" x14ac:dyDescent="0.45">
      <c r="B436" s="63">
        <v>65</v>
      </c>
      <c r="C436" s="95" t="s">
        <v>271</v>
      </c>
      <c r="D436" s="64">
        <v>1</v>
      </c>
      <c r="E436" s="64"/>
      <c r="F436" s="64"/>
      <c r="G436" s="64"/>
      <c r="H436" s="65"/>
      <c r="I436" s="65"/>
    </row>
    <row r="437" spans="2:9" s="60" customFormat="1" ht="31.5" x14ac:dyDescent="0.45">
      <c r="B437" s="63">
        <v>66</v>
      </c>
      <c r="C437" s="95" t="s">
        <v>270</v>
      </c>
      <c r="D437" s="64">
        <v>1</v>
      </c>
      <c r="E437" s="64"/>
      <c r="F437" s="64"/>
      <c r="G437" s="64"/>
      <c r="H437" s="65"/>
      <c r="I437" s="65"/>
    </row>
    <row r="438" spans="2:9" s="60" customFormat="1" ht="31.5" x14ac:dyDescent="0.45">
      <c r="B438" s="63">
        <v>67</v>
      </c>
      <c r="C438" s="95" t="s">
        <v>269</v>
      </c>
      <c r="D438" s="64">
        <v>1</v>
      </c>
      <c r="E438" s="64"/>
      <c r="F438" s="64"/>
      <c r="G438" s="64"/>
      <c r="H438" s="65"/>
      <c r="I438" s="65"/>
    </row>
    <row r="439" spans="2:9" s="60" customFormat="1" ht="31.5" x14ac:dyDescent="0.45">
      <c r="B439" s="63">
        <v>68</v>
      </c>
      <c r="C439" s="95" t="s">
        <v>268</v>
      </c>
      <c r="D439" s="64">
        <v>1</v>
      </c>
      <c r="E439" s="64"/>
      <c r="F439" s="64"/>
      <c r="G439" s="64"/>
      <c r="H439" s="65"/>
      <c r="I439" s="65"/>
    </row>
    <row r="440" spans="2:9" s="60" customFormat="1" ht="31.5" x14ac:dyDescent="0.45">
      <c r="B440" s="63">
        <v>69</v>
      </c>
      <c r="C440" s="95" t="s">
        <v>267</v>
      </c>
      <c r="D440" s="64">
        <v>1</v>
      </c>
      <c r="E440" s="64"/>
      <c r="F440" s="64"/>
      <c r="G440" s="64"/>
      <c r="H440" s="65"/>
      <c r="I440" s="65"/>
    </row>
    <row r="441" spans="2:9" s="60" customFormat="1" ht="47.25" x14ac:dyDescent="0.45">
      <c r="B441" s="63">
        <v>70</v>
      </c>
      <c r="C441" s="95" t="s">
        <v>0</v>
      </c>
      <c r="D441" s="64">
        <v>2</v>
      </c>
      <c r="E441" s="64"/>
      <c r="F441" s="64"/>
      <c r="G441" s="64"/>
      <c r="H441" s="65"/>
      <c r="I441" s="65"/>
    </row>
    <row r="442" spans="2:9" s="60" customFormat="1" x14ac:dyDescent="0.5">
      <c r="B442" s="66"/>
      <c r="C442" s="96"/>
      <c r="D442" s="67">
        <f>SUM(D372:D441)</f>
        <v>116</v>
      </c>
      <c r="E442" s="68"/>
      <c r="F442" s="68"/>
      <c r="G442" s="68"/>
      <c r="H442" s="69"/>
      <c r="I442" s="70"/>
    </row>
    <row r="443" spans="2:9" s="60" customFormat="1" ht="15.75" customHeight="1" x14ac:dyDescent="0.5">
      <c r="B443" s="66"/>
      <c r="C443" s="97"/>
      <c r="D443" s="68"/>
      <c r="E443" s="68"/>
      <c r="F443" s="68"/>
      <c r="G443" s="68"/>
      <c r="H443" s="69"/>
      <c r="I443" s="69"/>
    </row>
    <row r="444" spans="2:9" s="60" customFormat="1" ht="15" customHeight="1" x14ac:dyDescent="0.5">
      <c r="B444" s="121" t="s">
        <v>454</v>
      </c>
      <c r="C444" s="122"/>
      <c r="D444" s="122"/>
      <c r="E444" s="122"/>
      <c r="F444" s="122"/>
      <c r="G444" s="122"/>
      <c r="H444" s="122"/>
      <c r="I444" s="123"/>
    </row>
    <row r="445" spans="2:9" s="60" customFormat="1" ht="31.5" x14ac:dyDescent="0.45">
      <c r="B445" s="61" t="s">
        <v>21</v>
      </c>
      <c r="C445" s="94" t="s">
        <v>20</v>
      </c>
      <c r="D445" s="61" t="s">
        <v>19</v>
      </c>
      <c r="E445" s="61" t="s">
        <v>523</v>
      </c>
      <c r="F445" s="61" t="s">
        <v>524</v>
      </c>
      <c r="G445" s="61" t="s">
        <v>525</v>
      </c>
      <c r="H445" s="62" t="s">
        <v>18</v>
      </c>
      <c r="I445" s="62" t="s">
        <v>17</v>
      </c>
    </row>
    <row r="446" spans="2:9" s="60" customFormat="1" ht="31.5" x14ac:dyDescent="0.45">
      <c r="B446" s="63">
        <v>1</v>
      </c>
      <c r="C446" s="95" t="s">
        <v>107</v>
      </c>
      <c r="D446" s="64">
        <v>1</v>
      </c>
      <c r="E446" s="64"/>
      <c r="F446" s="64"/>
      <c r="G446" s="64"/>
      <c r="H446" s="65"/>
      <c r="I446" s="65"/>
    </row>
    <row r="447" spans="2:9" s="60" customFormat="1" x14ac:dyDescent="0.45">
      <c r="B447" s="63">
        <v>2</v>
      </c>
      <c r="C447" s="95" t="s">
        <v>76</v>
      </c>
      <c r="D447" s="64">
        <v>2</v>
      </c>
      <c r="E447" s="64"/>
      <c r="F447" s="64"/>
      <c r="G447" s="64"/>
      <c r="H447" s="65"/>
      <c r="I447" s="65"/>
    </row>
    <row r="448" spans="2:9" s="60" customFormat="1" x14ac:dyDescent="0.45">
      <c r="B448" s="63">
        <v>3</v>
      </c>
      <c r="C448" s="95" t="s">
        <v>100</v>
      </c>
      <c r="D448" s="64">
        <v>1</v>
      </c>
      <c r="E448" s="64"/>
      <c r="F448" s="64"/>
      <c r="G448" s="64"/>
      <c r="H448" s="65"/>
      <c r="I448" s="65"/>
    </row>
    <row r="449" spans="2:9" s="60" customFormat="1" x14ac:dyDescent="0.45">
      <c r="B449" s="63">
        <v>4</v>
      </c>
      <c r="C449" s="95" t="s">
        <v>77</v>
      </c>
      <c r="D449" s="64">
        <v>1</v>
      </c>
      <c r="E449" s="64"/>
      <c r="F449" s="64"/>
      <c r="G449" s="64"/>
      <c r="H449" s="65"/>
      <c r="I449" s="65"/>
    </row>
    <row r="450" spans="2:9" s="60" customFormat="1" x14ac:dyDescent="0.45">
      <c r="B450" s="63">
        <v>5</v>
      </c>
      <c r="C450" s="95" t="s">
        <v>78</v>
      </c>
      <c r="D450" s="64">
        <v>1</v>
      </c>
      <c r="E450" s="64"/>
      <c r="F450" s="64"/>
      <c r="G450" s="64"/>
      <c r="H450" s="65"/>
      <c r="I450" s="65"/>
    </row>
    <row r="451" spans="2:9" s="60" customFormat="1" x14ac:dyDescent="0.45">
      <c r="B451" s="63">
        <v>6</v>
      </c>
      <c r="C451" s="95" t="s">
        <v>92</v>
      </c>
      <c r="D451" s="64">
        <v>2</v>
      </c>
      <c r="E451" s="64"/>
      <c r="F451" s="64"/>
      <c r="G451" s="64"/>
      <c r="H451" s="65"/>
      <c r="I451" s="65"/>
    </row>
    <row r="452" spans="2:9" s="60" customFormat="1" ht="31.5" x14ac:dyDescent="0.45">
      <c r="B452" s="63">
        <v>7</v>
      </c>
      <c r="C452" s="95" t="s">
        <v>73</v>
      </c>
      <c r="D452" s="64">
        <v>1</v>
      </c>
      <c r="E452" s="64"/>
      <c r="F452" s="64"/>
      <c r="G452" s="64"/>
      <c r="H452" s="65"/>
      <c r="I452" s="65"/>
    </row>
    <row r="453" spans="2:9" s="60" customFormat="1" x14ac:dyDescent="0.45">
      <c r="B453" s="63">
        <v>8</v>
      </c>
      <c r="C453" s="95" t="s">
        <v>72</v>
      </c>
      <c r="D453" s="64">
        <v>2</v>
      </c>
      <c r="E453" s="64"/>
      <c r="F453" s="64"/>
      <c r="G453" s="64"/>
      <c r="H453" s="65"/>
      <c r="I453" s="65"/>
    </row>
    <row r="454" spans="2:9" s="60" customFormat="1" ht="31.5" x14ac:dyDescent="0.45">
      <c r="B454" s="63">
        <v>9</v>
      </c>
      <c r="C454" s="95" t="s">
        <v>71</v>
      </c>
      <c r="D454" s="64">
        <v>1</v>
      </c>
      <c r="E454" s="64"/>
      <c r="F454" s="64"/>
      <c r="G454" s="64"/>
      <c r="H454" s="65"/>
      <c r="I454" s="65"/>
    </row>
    <row r="455" spans="2:9" s="60" customFormat="1" ht="31.5" x14ac:dyDescent="0.45">
      <c r="B455" s="63">
        <v>10</v>
      </c>
      <c r="C455" s="95" t="s">
        <v>123</v>
      </c>
      <c r="D455" s="64">
        <v>1</v>
      </c>
      <c r="E455" s="64"/>
      <c r="F455" s="64"/>
      <c r="G455" s="64"/>
      <c r="H455" s="65"/>
      <c r="I455" s="65"/>
    </row>
    <row r="456" spans="2:9" s="60" customFormat="1" ht="31.5" x14ac:dyDescent="0.45">
      <c r="B456" s="63">
        <v>11</v>
      </c>
      <c r="C456" s="95" t="s">
        <v>69</v>
      </c>
      <c r="D456" s="64">
        <v>1</v>
      </c>
      <c r="E456" s="64"/>
      <c r="F456" s="64"/>
      <c r="G456" s="64"/>
      <c r="H456" s="65"/>
      <c r="I456" s="65"/>
    </row>
    <row r="457" spans="2:9" s="60" customFormat="1" ht="31.5" x14ac:dyDescent="0.45">
      <c r="B457" s="63">
        <v>12</v>
      </c>
      <c r="C457" s="95" t="s">
        <v>266</v>
      </c>
      <c r="D457" s="64">
        <v>1</v>
      </c>
      <c r="E457" s="64"/>
      <c r="F457" s="64"/>
      <c r="G457" s="64"/>
      <c r="H457" s="65"/>
      <c r="I457" s="65"/>
    </row>
    <row r="458" spans="2:9" s="60" customFormat="1" ht="31.5" x14ac:dyDescent="0.45">
      <c r="B458" s="63">
        <v>13</v>
      </c>
      <c r="C458" s="95" t="s">
        <v>66</v>
      </c>
      <c r="D458" s="64">
        <v>2</v>
      </c>
      <c r="E458" s="64"/>
      <c r="F458" s="64"/>
      <c r="G458" s="64"/>
      <c r="H458" s="65"/>
      <c r="I458" s="65"/>
    </row>
    <row r="459" spans="2:9" s="60" customFormat="1" ht="31.5" x14ac:dyDescent="0.45">
      <c r="B459" s="63">
        <v>14</v>
      </c>
      <c r="C459" s="95" t="s">
        <v>65</v>
      </c>
      <c r="D459" s="64">
        <v>2</v>
      </c>
      <c r="E459" s="64"/>
      <c r="F459" s="64"/>
      <c r="G459" s="64"/>
      <c r="H459" s="65"/>
      <c r="I459" s="65"/>
    </row>
    <row r="460" spans="2:9" s="60" customFormat="1" x14ac:dyDescent="0.45">
      <c r="B460" s="63">
        <v>15</v>
      </c>
      <c r="C460" s="95" t="s">
        <v>64</v>
      </c>
      <c r="D460" s="64">
        <v>2</v>
      </c>
      <c r="E460" s="64"/>
      <c r="F460" s="64"/>
      <c r="G460" s="64"/>
      <c r="H460" s="65"/>
      <c r="I460" s="65"/>
    </row>
    <row r="461" spans="2:9" s="60" customFormat="1" x14ac:dyDescent="0.45">
      <c r="B461" s="63">
        <v>16</v>
      </c>
      <c r="C461" s="95" t="s">
        <v>63</v>
      </c>
      <c r="D461" s="64">
        <v>2</v>
      </c>
      <c r="E461" s="64"/>
      <c r="F461" s="64"/>
      <c r="G461" s="64"/>
      <c r="H461" s="65"/>
      <c r="I461" s="65"/>
    </row>
    <row r="462" spans="2:9" s="60" customFormat="1" x14ac:dyDescent="0.45">
      <c r="B462" s="63">
        <v>17</v>
      </c>
      <c r="C462" s="95" t="s">
        <v>197</v>
      </c>
      <c r="D462" s="64">
        <v>2</v>
      </c>
      <c r="E462" s="64"/>
      <c r="F462" s="64"/>
      <c r="G462" s="64"/>
      <c r="H462" s="65"/>
      <c r="I462" s="65"/>
    </row>
    <row r="463" spans="2:9" s="60" customFormat="1" ht="31.5" x14ac:dyDescent="0.45">
      <c r="B463" s="63">
        <v>18</v>
      </c>
      <c r="C463" s="95" t="s">
        <v>62</v>
      </c>
      <c r="D463" s="64">
        <v>2</v>
      </c>
      <c r="E463" s="64"/>
      <c r="F463" s="64"/>
      <c r="G463" s="64"/>
      <c r="H463" s="65"/>
      <c r="I463" s="65"/>
    </row>
    <row r="464" spans="2:9" s="60" customFormat="1" ht="31.5" x14ac:dyDescent="0.45">
      <c r="B464" s="63">
        <v>19</v>
      </c>
      <c r="C464" s="95" t="s">
        <v>265</v>
      </c>
      <c r="D464" s="64">
        <v>2</v>
      </c>
      <c r="E464" s="64"/>
      <c r="F464" s="64"/>
      <c r="G464" s="64"/>
      <c r="H464" s="65"/>
      <c r="I464" s="65"/>
    </row>
    <row r="465" spans="2:9" s="60" customFormat="1" ht="31.5" x14ac:dyDescent="0.45">
      <c r="B465" s="63">
        <v>20</v>
      </c>
      <c r="C465" s="95" t="s">
        <v>234</v>
      </c>
      <c r="D465" s="64">
        <v>4</v>
      </c>
      <c r="E465" s="64"/>
      <c r="F465" s="64"/>
      <c r="G465" s="64"/>
      <c r="H465" s="65"/>
      <c r="I465" s="65"/>
    </row>
    <row r="466" spans="2:9" s="60" customFormat="1" ht="31.5" x14ac:dyDescent="0.45">
      <c r="B466" s="63">
        <v>21</v>
      </c>
      <c r="C466" s="95" t="s">
        <v>61</v>
      </c>
      <c r="D466" s="64">
        <v>1</v>
      </c>
      <c r="E466" s="64"/>
      <c r="F466" s="64"/>
      <c r="G466" s="64"/>
      <c r="H466" s="65"/>
      <c r="I466" s="65"/>
    </row>
    <row r="467" spans="2:9" s="60" customFormat="1" ht="31.5" x14ac:dyDescent="0.45">
      <c r="B467" s="63">
        <v>22</v>
      </c>
      <c r="C467" s="95" t="s">
        <v>91</v>
      </c>
      <c r="D467" s="64">
        <v>1</v>
      </c>
      <c r="E467" s="64"/>
      <c r="F467" s="64"/>
      <c r="G467" s="64"/>
      <c r="H467" s="65"/>
      <c r="I467" s="65"/>
    </row>
    <row r="468" spans="2:9" s="60" customFormat="1" ht="31.5" x14ac:dyDescent="0.45">
      <c r="B468" s="63">
        <v>23</v>
      </c>
      <c r="C468" s="95" t="s">
        <v>138</v>
      </c>
      <c r="D468" s="64">
        <v>1</v>
      </c>
      <c r="E468" s="64"/>
      <c r="F468" s="64"/>
      <c r="G468" s="64"/>
      <c r="H468" s="65"/>
      <c r="I468" s="65"/>
    </row>
    <row r="469" spans="2:9" s="60" customFormat="1" ht="47.25" x14ac:dyDescent="0.45">
      <c r="B469" s="63">
        <v>24</v>
      </c>
      <c r="C469" s="95" t="s">
        <v>264</v>
      </c>
      <c r="D469" s="64">
        <v>1</v>
      </c>
      <c r="E469" s="64"/>
      <c r="F469" s="64"/>
      <c r="G469" s="64"/>
      <c r="H469" s="65"/>
      <c r="I469" s="65"/>
    </row>
    <row r="470" spans="2:9" s="60" customFormat="1" x14ac:dyDescent="0.5">
      <c r="B470" s="66"/>
      <c r="C470" s="96"/>
      <c r="D470" s="67">
        <f>SUM(D446:D469)</f>
        <v>37</v>
      </c>
      <c r="E470" s="68"/>
      <c r="F470" s="68"/>
      <c r="G470" s="68"/>
      <c r="I470" s="72"/>
    </row>
    <row r="471" spans="2:9" s="60" customFormat="1" ht="15.75" customHeight="1" x14ac:dyDescent="0.5">
      <c r="B471" s="66"/>
      <c r="C471" s="97"/>
      <c r="D471" s="68"/>
      <c r="E471" s="68"/>
      <c r="F471" s="68"/>
      <c r="G471" s="68"/>
      <c r="H471" s="69"/>
      <c r="I471" s="69"/>
    </row>
    <row r="472" spans="2:9" s="60" customFormat="1" x14ac:dyDescent="0.5">
      <c r="B472" s="121" t="s">
        <v>455</v>
      </c>
      <c r="C472" s="122" t="s">
        <v>263</v>
      </c>
      <c r="D472" s="122"/>
      <c r="E472" s="122"/>
      <c r="F472" s="122"/>
      <c r="G472" s="122"/>
      <c r="H472" s="122"/>
      <c r="I472" s="123"/>
    </row>
    <row r="473" spans="2:9" s="60" customFormat="1" ht="31.5" x14ac:dyDescent="0.45">
      <c r="B473" s="61" t="s">
        <v>21</v>
      </c>
      <c r="C473" s="94" t="s">
        <v>20</v>
      </c>
      <c r="D473" s="61" t="s">
        <v>19</v>
      </c>
      <c r="E473" s="61" t="s">
        <v>523</v>
      </c>
      <c r="F473" s="61" t="s">
        <v>524</v>
      </c>
      <c r="G473" s="61" t="s">
        <v>525</v>
      </c>
      <c r="H473" s="62" t="s">
        <v>18</v>
      </c>
      <c r="I473" s="62" t="s">
        <v>17</v>
      </c>
    </row>
    <row r="474" spans="2:9" s="60" customFormat="1" ht="42.75" x14ac:dyDescent="0.45">
      <c r="B474" s="74">
        <v>1</v>
      </c>
      <c r="C474" s="100" t="s">
        <v>262</v>
      </c>
      <c r="D474" s="75">
        <v>1</v>
      </c>
      <c r="E474" s="75"/>
      <c r="F474" s="75"/>
      <c r="G474" s="75"/>
      <c r="H474" s="76"/>
      <c r="I474" s="76"/>
    </row>
    <row r="475" spans="2:9" s="60" customFormat="1" ht="71.25" x14ac:dyDescent="0.45">
      <c r="B475" s="77">
        <v>2</v>
      </c>
      <c r="C475" s="101" t="s">
        <v>261</v>
      </c>
      <c r="D475" s="75">
        <v>1</v>
      </c>
      <c r="E475" s="75"/>
      <c r="F475" s="75"/>
      <c r="G475" s="75"/>
      <c r="H475" s="76"/>
      <c r="I475" s="76"/>
    </row>
    <row r="476" spans="2:9" s="60" customFormat="1" ht="42.75" x14ac:dyDescent="0.45">
      <c r="B476" s="77">
        <v>3</v>
      </c>
      <c r="C476" s="101" t="s">
        <v>260</v>
      </c>
      <c r="D476" s="75">
        <v>1</v>
      </c>
      <c r="E476" s="75"/>
      <c r="F476" s="75"/>
      <c r="G476" s="75"/>
      <c r="H476" s="76"/>
      <c r="I476" s="76"/>
    </row>
    <row r="477" spans="2:9" s="60" customFormat="1" ht="42.75" x14ac:dyDescent="0.45">
      <c r="B477" s="77">
        <v>4</v>
      </c>
      <c r="C477" s="100" t="s">
        <v>259</v>
      </c>
      <c r="D477" s="78">
        <v>1</v>
      </c>
      <c r="E477" s="78"/>
      <c r="F477" s="78"/>
      <c r="G477" s="78"/>
      <c r="H477" s="76"/>
      <c r="I477" s="76"/>
    </row>
    <row r="478" spans="2:9" s="60" customFormat="1" ht="57" x14ac:dyDescent="0.45">
      <c r="B478" s="77">
        <v>6</v>
      </c>
      <c r="C478" s="100" t="s">
        <v>258</v>
      </c>
      <c r="D478" s="78">
        <v>1</v>
      </c>
      <c r="E478" s="78"/>
      <c r="F478" s="78"/>
      <c r="G478" s="78"/>
      <c r="H478" s="76"/>
      <c r="I478" s="76"/>
    </row>
    <row r="479" spans="2:9" s="60" customFormat="1" ht="42.75" x14ac:dyDescent="0.45">
      <c r="B479" s="77">
        <v>7</v>
      </c>
      <c r="C479" s="100" t="s">
        <v>257</v>
      </c>
      <c r="D479" s="78">
        <v>1</v>
      </c>
      <c r="E479" s="78"/>
      <c r="F479" s="78"/>
      <c r="G479" s="78"/>
      <c r="H479" s="76"/>
      <c r="I479" s="76"/>
    </row>
    <row r="480" spans="2:9" s="60" customFormat="1" ht="28.5" x14ac:dyDescent="0.45">
      <c r="B480" s="77">
        <v>8</v>
      </c>
      <c r="C480" s="100" t="s">
        <v>256</v>
      </c>
      <c r="D480" s="78">
        <v>1</v>
      </c>
      <c r="E480" s="78"/>
      <c r="F480" s="78"/>
      <c r="G480" s="78"/>
      <c r="H480" s="76"/>
      <c r="I480" s="76"/>
    </row>
    <row r="481" spans="2:103" s="60" customFormat="1" ht="42.75" x14ac:dyDescent="0.45">
      <c r="B481" s="77">
        <v>9</v>
      </c>
      <c r="C481" s="100" t="s">
        <v>255</v>
      </c>
      <c r="D481" s="78">
        <v>1</v>
      </c>
      <c r="E481" s="78"/>
      <c r="F481" s="78"/>
      <c r="G481" s="78"/>
      <c r="H481" s="76"/>
      <c r="I481" s="76"/>
    </row>
    <row r="482" spans="2:103" s="60" customFormat="1" ht="42.75" x14ac:dyDescent="0.45">
      <c r="B482" s="77">
        <v>10</v>
      </c>
      <c r="C482" s="100" t="s">
        <v>254</v>
      </c>
      <c r="D482" s="78">
        <v>1</v>
      </c>
      <c r="E482" s="78"/>
      <c r="F482" s="78"/>
      <c r="G482" s="78"/>
      <c r="H482" s="76"/>
      <c r="I482" s="76"/>
    </row>
    <row r="483" spans="2:103" s="60" customFormat="1" ht="57" x14ac:dyDescent="0.45">
      <c r="B483" s="77">
        <v>11</v>
      </c>
      <c r="C483" s="101" t="s">
        <v>253</v>
      </c>
      <c r="D483" s="75">
        <v>1</v>
      </c>
      <c r="E483" s="75"/>
      <c r="F483" s="75"/>
      <c r="G483" s="75"/>
      <c r="H483" s="76"/>
      <c r="I483" s="76"/>
    </row>
    <row r="484" spans="2:103" s="60" customFormat="1" ht="42.75" x14ac:dyDescent="0.45">
      <c r="B484" s="77">
        <v>12</v>
      </c>
      <c r="C484" s="79" t="s">
        <v>252</v>
      </c>
      <c r="D484" s="75">
        <v>1</v>
      </c>
      <c r="E484" s="75"/>
      <c r="F484" s="75"/>
      <c r="G484" s="75"/>
      <c r="H484" s="76"/>
      <c r="I484" s="76"/>
    </row>
    <row r="485" spans="2:103" s="60" customFormat="1" ht="42.75" x14ac:dyDescent="0.45">
      <c r="B485" s="77">
        <v>13</v>
      </c>
      <c r="C485" s="100" t="s">
        <v>251</v>
      </c>
      <c r="D485" s="78">
        <v>1</v>
      </c>
      <c r="E485" s="78"/>
      <c r="F485" s="78"/>
      <c r="G485" s="78"/>
      <c r="H485" s="76"/>
      <c r="I485" s="76"/>
    </row>
    <row r="486" spans="2:103" s="60" customFormat="1" ht="28.5" x14ac:dyDescent="0.45">
      <c r="B486" s="77">
        <v>14</v>
      </c>
      <c r="C486" s="100" t="s">
        <v>250</v>
      </c>
      <c r="D486" s="78">
        <v>1</v>
      </c>
      <c r="E486" s="78"/>
      <c r="F486" s="78"/>
      <c r="G486" s="78"/>
      <c r="H486" s="76"/>
      <c r="I486" s="76"/>
    </row>
    <row r="487" spans="2:103" s="60" customFormat="1" ht="28.5" x14ac:dyDescent="0.45">
      <c r="B487" s="77">
        <v>15</v>
      </c>
      <c r="C487" s="100" t="s">
        <v>249</v>
      </c>
      <c r="D487" s="78">
        <v>1</v>
      </c>
      <c r="E487" s="78"/>
      <c r="F487" s="78"/>
      <c r="G487" s="78"/>
      <c r="H487" s="76"/>
      <c r="I487" s="76"/>
    </row>
    <row r="488" spans="2:103" s="60" customFormat="1" ht="28.5" x14ac:dyDescent="0.45">
      <c r="B488" s="77">
        <v>16</v>
      </c>
      <c r="C488" s="100" t="s">
        <v>248</v>
      </c>
      <c r="D488" s="78">
        <v>1</v>
      </c>
      <c r="E488" s="78"/>
      <c r="F488" s="78"/>
      <c r="G488" s="78"/>
      <c r="H488" s="76"/>
      <c r="I488" s="76"/>
    </row>
    <row r="489" spans="2:103" s="60" customFormat="1" ht="42.75" x14ac:dyDescent="0.45">
      <c r="B489" s="77">
        <v>17</v>
      </c>
      <c r="C489" s="100" t="s">
        <v>247</v>
      </c>
      <c r="D489" s="78">
        <v>1</v>
      </c>
      <c r="E489" s="78"/>
      <c r="F489" s="78"/>
      <c r="G489" s="78"/>
      <c r="H489" s="76"/>
      <c r="I489" s="76"/>
    </row>
    <row r="490" spans="2:103" s="60" customFormat="1" ht="28.5" x14ac:dyDescent="0.45">
      <c r="B490" s="77">
        <v>18</v>
      </c>
      <c r="C490" s="100" t="s">
        <v>246</v>
      </c>
      <c r="D490" s="78">
        <v>1</v>
      </c>
      <c r="E490" s="78"/>
      <c r="F490" s="78"/>
      <c r="G490" s="78"/>
      <c r="H490" s="76"/>
      <c r="I490" s="76"/>
    </row>
    <row r="491" spans="2:103" s="60" customFormat="1" ht="42.75" x14ac:dyDescent="0.45">
      <c r="B491" s="77">
        <v>19</v>
      </c>
      <c r="C491" s="102" t="s">
        <v>245</v>
      </c>
      <c r="D491" s="78">
        <v>1</v>
      </c>
      <c r="E491" s="78"/>
      <c r="F491" s="78"/>
      <c r="G491" s="78"/>
      <c r="H491" s="76"/>
      <c r="I491" s="76"/>
    </row>
    <row r="492" spans="2:103" s="60" customFormat="1" ht="71.25" x14ac:dyDescent="0.45">
      <c r="B492" s="77">
        <v>20</v>
      </c>
      <c r="C492" s="100" t="s">
        <v>244</v>
      </c>
      <c r="D492" s="80">
        <v>1</v>
      </c>
      <c r="E492" s="80"/>
      <c r="F492" s="80"/>
      <c r="G492" s="80"/>
      <c r="H492" s="81"/>
      <c r="I492" s="81"/>
      <c r="CS492"/>
      <c r="CT492"/>
      <c r="CU492"/>
      <c r="CV492"/>
      <c r="CW492"/>
      <c r="CX492"/>
      <c r="CY492"/>
    </row>
    <row r="493" spans="2:103" s="60" customFormat="1" ht="14.25" x14ac:dyDescent="0.45">
      <c r="B493" s="82"/>
      <c r="C493" s="103"/>
      <c r="D493" s="83">
        <f>SUM(D474:D492)</f>
        <v>19</v>
      </c>
      <c r="E493" s="83"/>
      <c r="F493" s="83"/>
      <c r="G493" s="83"/>
      <c r="H493" s="84"/>
      <c r="I493" s="84"/>
      <c r="CS493"/>
      <c r="CT493"/>
      <c r="CU493"/>
      <c r="CV493"/>
      <c r="CW493"/>
      <c r="CX493"/>
      <c r="CY493"/>
    </row>
    <row r="494" spans="2:103" s="60" customFormat="1" ht="14.25" x14ac:dyDescent="0.45">
      <c r="C494" s="99"/>
    </row>
    <row r="495" spans="2:103" s="60" customFormat="1" ht="15" customHeight="1" x14ac:dyDescent="0.5">
      <c r="B495" s="121" t="s">
        <v>434</v>
      </c>
      <c r="C495" s="122"/>
      <c r="D495" s="122"/>
      <c r="E495" s="122"/>
      <c r="F495" s="122"/>
      <c r="G495" s="122"/>
      <c r="H495" s="122"/>
      <c r="I495" s="123"/>
    </row>
    <row r="496" spans="2:103" s="60" customFormat="1" ht="31.5" x14ac:dyDescent="0.45">
      <c r="B496" s="61" t="s">
        <v>21</v>
      </c>
      <c r="C496" s="94" t="s">
        <v>20</v>
      </c>
      <c r="D496" s="61" t="s">
        <v>19</v>
      </c>
      <c r="E496" s="61" t="s">
        <v>523</v>
      </c>
      <c r="F496" s="61" t="s">
        <v>524</v>
      </c>
      <c r="G496" s="61" t="s">
        <v>525</v>
      </c>
      <c r="H496" s="62" t="s">
        <v>18</v>
      </c>
      <c r="I496" s="62" t="s">
        <v>17</v>
      </c>
    </row>
    <row r="497" spans="2:9" s="60" customFormat="1" ht="47.25" x14ac:dyDescent="0.45">
      <c r="B497" s="63">
        <v>1</v>
      </c>
      <c r="C497" s="95" t="s">
        <v>243</v>
      </c>
      <c r="D497" s="64">
        <v>1</v>
      </c>
      <c r="E497" s="64"/>
      <c r="F497" s="64"/>
      <c r="G497" s="64"/>
      <c r="H497" s="65"/>
      <c r="I497" s="65"/>
    </row>
    <row r="498" spans="2:9" s="60" customFormat="1" ht="31.5" x14ac:dyDescent="0.45">
      <c r="B498" s="63">
        <v>2</v>
      </c>
      <c r="C498" s="95" t="s">
        <v>242</v>
      </c>
      <c r="D498" s="64">
        <v>2</v>
      </c>
      <c r="E498" s="64"/>
      <c r="F498" s="64"/>
      <c r="G498" s="64"/>
      <c r="H498" s="65"/>
      <c r="I498" s="65"/>
    </row>
    <row r="499" spans="2:9" s="60" customFormat="1" ht="31.5" x14ac:dyDescent="0.45">
      <c r="B499" s="63">
        <v>3</v>
      </c>
      <c r="C499" s="95" t="s">
        <v>107</v>
      </c>
      <c r="D499" s="64">
        <v>1</v>
      </c>
      <c r="E499" s="64"/>
      <c r="F499" s="64"/>
      <c r="G499" s="64"/>
      <c r="H499" s="65"/>
      <c r="I499" s="65"/>
    </row>
    <row r="500" spans="2:9" s="60" customFormat="1" ht="31.5" x14ac:dyDescent="0.45">
      <c r="B500" s="63">
        <v>4</v>
      </c>
      <c r="C500" s="95" t="s">
        <v>81</v>
      </c>
      <c r="D500" s="64">
        <v>1</v>
      </c>
      <c r="E500" s="64"/>
      <c r="F500" s="64"/>
      <c r="G500" s="64"/>
      <c r="H500" s="65"/>
      <c r="I500" s="65"/>
    </row>
    <row r="501" spans="2:9" s="60" customFormat="1" x14ac:dyDescent="0.45">
      <c r="B501" s="63">
        <v>5</v>
      </c>
      <c r="C501" s="95" t="s">
        <v>76</v>
      </c>
      <c r="D501" s="64">
        <v>4</v>
      </c>
      <c r="E501" s="64"/>
      <c r="F501" s="64"/>
      <c r="G501" s="64"/>
      <c r="H501" s="65"/>
      <c r="I501" s="65"/>
    </row>
    <row r="502" spans="2:9" s="60" customFormat="1" ht="62.25" customHeight="1" x14ac:dyDescent="0.45">
      <c r="B502" s="63">
        <v>6</v>
      </c>
      <c r="C502" s="95" t="s">
        <v>241</v>
      </c>
      <c r="D502" s="64">
        <v>1</v>
      </c>
      <c r="E502" s="64"/>
      <c r="F502" s="64"/>
      <c r="G502" s="64"/>
      <c r="H502" s="65"/>
      <c r="I502" s="65"/>
    </row>
    <row r="503" spans="2:9" s="60" customFormat="1" ht="31.5" x14ac:dyDescent="0.45">
      <c r="B503" s="63">
        <v>7</v>
      </c>
      <c r="C503" s="95" t="s">
        <v>240</v>
      </c>
      <c r="D503" s="64">
        <v>2</v>
      </c>
      <c r="E503" s="64"/>
      <c r="F503" s="64"/>
      <c r="G503" s="64"/>
      <c r="H503" s="65"/>
      <c r="I503" s="65"/>
    </row>
    <row r="504" spans="2:9" s="60" customFormat="1" ht="31.5" x14ac:dyDescent="0.45">
      <c r="B504" s="63">
        <v>8</v>
      </c>
      <c r="C504" s="95" t="s">
        <v>239</v>
      </c>
      <c r="D504" s="64">
        <v>2</v>
      </c>
      <c r="E504" s="64"/>
      <c r="F504" s="64"/>
      <c r="G504" s="64"/>
      <c r="H504" s="65"/>
      <c r="I504" s="65"/>
    </row>
    <row r="505" spans="2:9" s="60" customFormat="1" ht="31.5" x14ac:dyDescent="0.45">
      <c r="B505" s="63">
        <v>9</v>
      </c>
      <c r="C505" s="95" t="s">
        <v>71</v>
      </c>
      <c r="D505" s="64">
        <v>1</v>
      </c>
      <c r="E505" s="64"/>
      <c r="F505" s="64"/>
      <c r="G505" s="64"/>
      <c r="H505" s="65"/>
      <c r="I505" s="65"/>
    </row>
    <row r="506" spans="2:9" s="60" customFormat="1" ht="31.5" x14ac:dyDescent="0.45">
      <c r="B506" s="63">
        <v>10</v>
      </c>
      <c r="C506" s="95" t="s">
        <v>69</v>
      </c>
      <c r="D506" s="64">
        <v>2</v>
      </c>
      <c r="E506" s="64"/>
      <c r="F506" s="64"/>
      <c r="G506" s="64"/>
      <c r="H506" s="65"/>
      <c r="I506" s="65"/>
    </row>
    <row r="507" spans="2:9" s="60" customFormat="1" ht="31.5" x14ac:dyDescent="0.45">
      <c r="B507" s="63">
        <v>11</v>
      </c>
      <c r="C507" s="95" t="s">
        <v>238</v>
      </c>
      <c r="D507" s="64">
        <v>1</v>
      </c>
      <c r="E507" s="64"/>
      <c r="F507" s="64"/>
      <c r="G507" s="64"/>
      <c r="H507" s="65"/>
      <c r="I507" s="65"/>
    </row>
    <row r="508" spans="2:9" s="60" customFormat="1" ht="31.5" x14ac:dyDescent="0.45">
      <c r="B508" s="63">
        <v>12</v>
      </c>
      <c r="C508" s="95" t="s">
        <v>217</v>
      </c>
      <c r="D508" s="64">
        <v>2</v>
      </c>
      <c r="E508" s="64"/>
      <c r="F508" s="64"/>
      <c r="G508" s="64"/>
      <c r="H508" s="65"/>
      <c r="I508" s="65"/>
    </row>
    <row r="509" spans="2:9" s="60" customFormat="1" ht="31.5" x14ac:dyDescent="0.45">
      <c r="B509" s="63">
        <v>13</v>
      </c>
      <c r="C509" s="95" t="s">
        <v>237</v>
      </c>
      <c r="D509" s="64">
        <v>6</v>
      </c>
      <c r="E509" s="64"/>
      <c r="F509" s="64"/>
      <c r="G509" s="64"/>
      <c r="H509" s="65"/>
      <c r="I509" s="65"/>
    </row>
    <row r="510" spans="2:9" s="60" customFormat="1" ht="31.5" x14ac:dyDescent="0.45">
      <c r="B510" s="63">
        <v>14</v>
      </c>
      <c r="C510" s="95" t="s">
        <v>236</v>
      </c>
      <c r="D510" s="64">
        <v>8</v>
      </c>
      <c r="E510" s="64"/>
      <c r="F510" s="64"/>
      <c r="G510" s="64"/>
      <c r="H510" s="65"/>
      <c r="I510" s="65"/>
    </row>
    <row r="511" spans="2:9" s="60" customFormat="1" x14ac:dyDescent="0.45">
      <c r="B511" s="63">
        <v>15</v>
      </c>
      <c r="C511" s="95" t="s">
        <v>63</v>
      </c>
      <c r="D511" s="64">
        <v>4</v>
      </c>
      <c r="E511" s="64"/>
      <c r="F511" s="64"/>
      <c r="G511" s="64"/>
      <c r="H511" s="65"/>
      <c r="I511" s="65"/>
    </row>
    <row r="512" spans="2:9" s="60" customFormat="1" x14ac:dyDescent="0.45">
      <c r="B512" s="63">
        <v>16</v>
      </c>
      <c r="C512" s="95" t="s">
        <v>64</v>
      </c>
      <c r="D512" s="64">
        <v>6</v>
      </c>
      <c r="E512" s="64"/>
      <c r="F512" s="64"/>
      <c r="G512" s="64"/>
      <c r="H512" s="65"/>
      <c r="I512" s="65"/>
    </row>
    <row r="513" spans="2:9" s="60" customFormat="1" ht="31.5" x14ac:dyDescent="0.45">
      <c r="B513" s="63">
        <v>17</v>
      </c>
      <c r="C513" s="95" t="s">
        <v>73</v>
      </c>
      <c r="D513" s="64">
        <v>2</v>
      </c>
      <c r="E513" s="64"/>
      <c r="F513" s="64"/>
      <c r="G513" s="64"/>
      <c r="H513" s="65"/>
      <c r="I513" s="65"/>
    </row>
    <row r="514" spans="2:9" s="60" customFormat="1" ht="31.5" x14ac:dyDescent="0.45">
      <c r="B514" s="63">
        <v>18</v>
      </c>
      <c r="C514" s="95" t="s">
        <v>235</v>
      </c>
      <c r="D514" s="64">
        <v>6</v>
      </c>
      <c r="E514" s="64"/>
      <c r="F514" s="64"/>
      <c r="G514" s="64"/>
      <c r="H514" s="65"/>
      <c r="I514" s="65"/>
    </row>
    <row r="515" spans="2:9" s="60" customFormat="1" ht="31.5" x14ac:dyDescent="0.45">
      <c r="B515" s="63">
        <v>19</v>
      </c>
      <c r="C515" s="95" t="s">
        <v>61</v>
      </c>
      <c r="D515" s="64">
        <v>1</v>
      </c>
      <c r="E515" s="64"/>
      <c r="F515" s="64"/>
      <c r="G515" s="64"/>
      <c r="H515" s="65"/>
      <c r="I515" s="65"/>
    </row>
    <row r="516" spans="2:9" s="60" customFormat="1" ht="31.5" x14ac:dyDescent="0.45">
      <c r="B516" s="63">
        <v>20</v>
      </c>
      <c r="C516" s="95" t="s">
        <v>234</v>
      </c>
      <c r="D516" s="64">
        <v>1</v>
      </c>
      <c r="E516" s="64"/>
      <c r="F516" s="64"/>
      <c r="G516" s="64"/>
      <c r="H516" s="65"/>
      <c r="I516" s="65"/>
    </row>
    <row r="517" spans="2:9" s="60" customFormat="1" ht="31.5" x14ac:dyDescent="0.45">
      <c r="B517" s="63">
        <v>21</v>
      </c>
      <c r="C517" s="95" t="s">
        <v>233</v>
      </c>
      <c r="D517" s="64">
        <v>1</v>
      </c>
      <c r="E517" s="64"/>
      <c r="F517" s="64"/>
      <c r="G517" s="64"/>
      <c r="H517" s="65"/>
      <c r="I517" s="65"/>
    </row>
    <row r="518" spans="2:9" s="60" customFormat="1" ht="31.5" x14ac:dyDescent="0.45">
      <c r="B518" s="63">
        <v>22</v>
      </c>
      <c r="C518" s="95" t="s">
        <v>232</v>
      </c>
      <c r="D518" s="64">
        <v>1</v>
      </c>
      <c r="E518" s="64"/>
      <c r="F518" s="64"/>
      <c r="G518" s="64"/>
      <c r="H518" s="65"/>
      <c r="I518" s="65"/>
    </row>
    <row r="519" spans="2:9" s="60" customFormat="1" ht="31.5" x14ac:dyDescent="0.45">
      <c r="B519" s="63">
        <v>23</v>
      </c>
      <c r="C519" s="95" t="s">
        <v>231</v>
      </c>
      <c r="D519" s="64">
        <v>1</v>
      </c>
      <c r="E519" s="64"/>
      <c r="F519" s="64"/>
      <c r="G519" s="64"/>
      <c r="H519" s="65"/>
      <c r="I519" s="65"/>
    </row>
    <row r="520" spans="2:9" s="60" customFormat="1" ht="31.5" x14ac:dyDescent="0.45">
      <c r="B520" s="63">
        <v>24</v>
      </c>
      <c r="C520" s="95" t="s">
        <v>82</v>
      </c>
      <c r="D520" s="64">
        <v>1</v>
      </c>
      <c r="E520" s="64"/>
      <c r="F520" s="64"/>
      <c r="G520" s="64"/>
      <c r="H520" s="65"/>
      <c r="I520" s="65"/>
    </row>
    <row r="521" spans="2:9" s="60" customFormat="1" ht="31.5" x14ac:dyDescent="0.45">
      <c r="B521" s="63">
        <v>25</v>
      </c>
      <c r="C521" s="95" t="s">
        <v>230</v>
      </c>
      <c r="D521" s="64">
        <v>1</v>
      </c>
      <c r="E521" s="64"/>
      <c r="F521" s="64"/>
      <c r="G521" s="64"/>
      <c r="H521" s="65"/>
      <c r="I521" s="65"/>
    </row>
    <row r="522" spans="2:9" s="60" customFormat="1" ht="31.5" x14ac:dyDescent="0.45">
      <c r="B522" s="63">
        <v>26</v>
      </c>
      <c r="C522" s="95" t="s">
        <v>229</v>
      </c>
      <c r="D522" s="64">
        <v>1</v>
      </c>
      <c r="E522" s="64"/>
      <c r="F522" s="64"/>
      <c r="G522" s="64"/>
      <c r="H522" s="65"/>
      <c r="I522" s="65"/>
    </row>
    <row r="523" spans="2:9" s="60" customFormat="1" ht="47.25" x14ac:dyDescent="0.45">
      <c r="B523" s="63">
        <v>27</v>
      </c>
      <c r="C523" s="95" t="s">
        <v>228</v>
      </c>
      <c r="D523" s="64">
        <v>1</v>
      </c>
      <c r="E523" s="64"/>
      <c r="F523" s="64"/>
      <c r="G523" s="64"/>
      <c r="H523" s="65"/>
      <c r="I523" s="65"/>
    </row>
    <row r="524" spans="2:9" s="60" customFormat="1" x14ac:dyDescent="0.5">
      <c r="B524" s="66"/>
      <c r="C524" s="96"/>
      <c r="D524" s="67">
        <f>SUM(D497:D523)</f>
        <v>61</v>
      </c>
      <c r="E524" s="68"/>
      <c r="F524" s="68"/>
      <c r="G524" s="68"/>
      <c r="H524" s="69"/>
      <c r="I524" s="70"/>
    </row>
    <row r="525" spans="2:9" s="60" customFormat="1" ht="14.25" x14ac:dyDescent="0.45">
      <c r="B525" s="73"/>
      <c r="C525" s="99"/>
    </row>
    <row r="526" spans="2:9" s="60" customFormat="1" ht="15" customHeight="1" x14ac:dyDescent="0.5">
      <c r="B526" s="121" t="s">
        <v>435</v>
      </c>
      <c r="C526" s="122"/>
      <c r="D526" s="122"/>
      <c r="E526" s="122"/>
      <c r="F526" s="122"/>
      <c r="G526" s="122"/>
      <c r="H526" s="122"/>
      <c r="I526" s="123"/>
    </row>
    <row r="527" spans="2:9" s="60" customFormat="1" ht="31.5" x14ac:dyDescent="0.45">
      <c r="B527" s="61" t="s">
        <v>21</v>
      </c>
      <c r="C527" s="94" t="s">
        <v>20</v>
      </c>
      <c r="D527" s="61" t="s">
        <v>19</v>
      </c>
      <c r="E527" s="61" t="s">
        <v>523</v>
      </c>
      <c r="F527" s="61" t="s">
        <v>524</v>
      </c>
      <c r="G527" s="61" t="s">
        <v>525</v>
      </c>
      <c r="H527" s="62" t="s">
        <v>18</v>
      </c>
      <c r="I527" s="62" t="s">
        <v>17</v>
      </c>
    </row>
    <row r="528" spans="2:9" s="60" customFormat="1" ht="31.5" x14ac:dyDescent="0.45">
      <c r="B528" s="63">
        <v>1</v>
      </c>
      <c r="C528" s="104" t="s">
        <v>227</v>
      </c>
      <c r="D528" s="64">
        <v>1</v>
      </c>
      <c r="E528" s="64"/>
      <c r="F528" s="64"/>
      <c r="G528" s="64"/>
      <c r="H528" s="65"/>
      <c r="I528" s="65"/>
    </row>
    <row r="529" spans="2:9" s="60" customFormat="1" ht="63" x14ac:dyDescent="0.45">
      <c r="B529" s="63">
        <v>2</v>
      </c>
      <c r="C529" s="95" t="s">
        <v>226</v>
      </c>
      <c r="D529" s="64">
        <v>1</v>
      </c>
      <c r="E529" s="64"/>
      <c r="F529" s="64"/>
      <c r="G529" s="64"/>
      <c r="H529" s="65"/>
      <c r="I529" s="65"/>
    </row>
    <row r="530" spans="2:9" s="60" customFormat="1" x14ac:dyDescent="0.45">
      <c r="B530" s="63">
        <v>3</v>
      </c>
      <c r="C530" s="95" t="s">
        <v>225</v>
      </c>
      <c r="D530" s="64">
        <v>1</v>
      </c>
      <c r="E530" s="64"/>
      <c r="F530" s="64"/>
      <c r="G530" s="64"/>
      <c r="H530" s="65"/>
      <c r="I530" s="65"/>
    </row>
    <row r="531" spans="2:9" s="60" customFormat="1" x14ac:dyDescent="0.45">
      <c r="B531" s="63">
        <v>4</v>
      </c>
      <c r="C531" s="95" t="s">
        <v>224</v>
      </c>
      <c r="D531" s="64">
        <v>1</v>
      </c>
      <c r="E531" s="64"/>
      <c r="F531" s="64"/>
      <c r="G531" s="64"/>
      <c r="H531" s="65"/>
      <c r="I531" s="65"/>
    </row>
    <row r="532" spans="2:9" s="60" customFormat="1" x14ac:dyDescent="0.45">
      <c r="B532" s="63">
        <v>5</v>
      </c>
      <c r="C532" s="95" t="s">
        <v>223</v>
      </c>
      <c r="D532" s="64">
        <v>1</v>
      </c>
      <c r="E532" s="64"/>
      <c r="F532" s="64"/>
      <c r="G532" s="64"/>
      <c r="H532" s="65"/>
      <c r="I532" s="65"/>
    </row>
    <row r="533" spans="2:9" s="60" customFormat="1" x14ac:dyDescent="0.45">
      <c r="B533" s="63">
        <v>6</v>
      </c>
      <c r="C533" s="95" t="s">
        <v>222</v>
      </c>
      <c r="D533" s="64">
        <v>1</v>
      </c>
      <c r="E533" s="64"/>
      <c r="F533" s="64"/>
      <c r="G533" s="64"/>
      <c r="H533" s="65"/>
      <c r="I533" s="65"/>
    </row>
    <row r="534" spans="2:9" s="60" customFormat="1" ht="31.5" x14ac:dyDescent="0.45">
      <c r="B534" s="63">
        <v>7</v>
      </c>
      <c r="C534" s="95" t="s">
        <v>71</v>
      </c>
      <c r="D534" s="64">
        <v>1</v>
      </c>
      <c r="E534" s="64"/>
      <c r="F534" s="64"/>
      <c r="G534" s="64"/>
      <c r="H534" s="65"/>
      <c r="I534" s="65"/>
    </row>
    <row r="535" spans="2:9" s="60" customFormat="1" ht="31.5" x14ac:dyDescent="0.45">
      <c r="B535" s="63">
        <v>8</v>
      </c>
      <c r="C535" s="95" t="s">
        <v>69</v>
      </c>
      <c r="D535" s="64">
        <v>2</v>
      </c>
      <c r="E535" s="64"/>
      <c r="F535" s="64"/>
      <c r="G535" s="64"/>
      <c r="H535" s="65"/>
      <c r="I535" s="65"/>
    </row>
    <row r="536" spans="2:9" s="60" customFormat="1" ht="31.5" x14ac:dyDescent="0.45">
      <c r="B536" s="63">
        <v>9</v>
      </c>
      <c r="C536" s="95" t="s">
        <v>221</v>
      </c>
      <c r="D536" s="64">
        <v>2</v>
      </c>
      <c r="E536" s="64"/>
      <c r="F536" s="64"/>
      <c r="G536" s="64"/>
      <c r="H536" s="65"/>
      <c r="I536" s="65"/>
    </row>
    <row r="537" spans="2:9" s="60" customFormat="1" x14ac:dyDescent="0.45">
      <c r="B537" s="63">
        <v>10</v>
      </c>
      <c r="C537" s="95" t="s">
        <v>220</v>
      </c>
      <c r="D537" s="64">
        <v>1</v>
      </c>
      <c r="E537" s="64"/>
      <c r="F537" s="64"/>
      <c r="G537" s="64"/>
      <c r="H537" s="65"/>
      <c r="I537" s="65"/>
    </row>
    <row r="538" spans="2:9" s="60" customFormat="1" x14ac:dyDescent="0.45">
      <c r="B538" s="63">
        <v>11</v>
      </c>
      <c r="C538" s="95" t="s">
        <v>219</v>
      </c>
      <c r="D538" s="64">
        <v>1</v>
      </c>
      <c r="E538" s="64"/>
      <c r="F538" s="64"/>
      <c r="G538" s="64"/>
      <c r="H538" s="65"/>
      <c r="I538" s="65"/>
    </row>
    <row r="539" spans="2:9" s="60" customFormat="1" x14ac:dyDescent="0.45">
      <c r="B539" s="63">
        <v>12</v>
      </c>
      <c r="C539" s="95" t="s">
        <v>218</v>
      </c>
      <c r="D539" s="64">
        <v>1</v>
      </c>
      <c r="E539" s="64"/>
      <c r="F539" s="64"/>
      <c r="G539" s="64"/>
      <c r="H539" s="65"/>
      <c r="I539" s="65"/>
    </row>
    <row r="540" spans="2:9" s="60" customFormat="1" ht="31.5" x14ac:dyDescent="0.45">
      <c r="B540" s="63">
        <v>13</v>
      </c>
      <c r="C540" s="95" t="s">
        <v>217</v>
      </c>
      <c r="D540" s="64">
        <v>1</v>
      </c>
      <c r="E540" s="64"/>
      <c r="F540" s="64"/>
      <c r="G540" s="64"/>
      <c r="H540" s="65"/>
      <c r="I540" s="65"/>
    </row>
    <row r="541" spans="2:9" s="60" customFormat="1" ht="31.5" x14ac:dyDescent="0.45">
      <c r="B541" s="63">
        <v>14</v>
      </c>
      <c r="C541" s="95" t="s">
        <v>216</v>
      </c>
      <c r="D541" s="64">
        <v>1</v>
      </c>
      <c r="E541" s="64"/>
      <c r="F541" s="64"/>
      <c r="G541" s="64"/>
      <c r="H541" s="65"/>
      <c r="I541" s="65"/>
    </row>
    <row r="542" spans="2:9" s="60" customFormat="1" ht="31.5" x14ac:dyDescent="0.45">
      <c r="B542" s="63">
        <v>15</v>
      </c>
      <c r="C542" s="95" t="s">
        <v>215</v>
      </c>
      <c r="D542" s="64">
        <v>1</v>
      </c>
      <c r="E542" s="64"/>
      <c r="F542" s="64"/>
      <c r="G542" s="64"/>
      <c r="H542" s="65"/>
      <c r="I542" s="65"/>
    </row>
    <row r="543" spans="2:9" s="60" customFormat="1" x14ac:dyDescent="0.45">
      <c r="B543" s="63">
        <v>16</v>
      </c>
      <c r="C543" s="95" t="s">
        <v>214</v>
      </c>
      <c r="D543" s="64">
        <v>1</v>
      </c>
      <c r="E543" s="64"/>
      <c r="F543" s="64"/>
      <c r="G543" s="64"/>
      <c r="H543" s="65"/>
      <c r="I543" s="65"/>
    </row>
    <row r="544" spans="2:9" s="60" customFormat="1" x14ac:dyDescent="0.45">
      <c r="B544" s="63">
        <v>17</v>
      </c>
      <c r="C544" s="95" t="s">
        <v>213</v>
      </c>
      <c r="D544" s="64">
        <v>1</v>
      </c>
      <c r="E544" s="64"/>
      <c r="F544" s="64"/>
      <c r="G544" s="64"/>
      <c r="H544" s="65"/>
      <c r="I544" s="65"/>
    </row>
    <row r="545" spans="2:9" s="60" customFormat="1" ht="31.5" x14ac:dyDescent="0.45">
      <c r="B545" s="63">
        <v>18</v>
      </c>
      <c r="C545" s="95" t="s">
        <v>212</v>
      </c>
      <c r="D545" s="64">
        <v>1</v>
      </c>
      <c r="E545" s="64"/>
      <c r="F545" s="64"/>
      <c r="G545" s="64"/>
      <c r="H545" s="65"/>
      <c r="I545" s="65"/>
    </row>
    <row r="546" spans="2:9" s="60" customFormat="1" ht="31.5" x14ac:dyDescent="0.45">
      <c r="B546" s="63">
        <v>19</v>
      </c>
      <c r="C546" s="95" t="s">
        <v>85</v>
      </c>
      <c r="D546" s="64">
        <v>1</v>
      </c>
      <c r="E546" s="64"/>
      <c r="F546" s="64"/>
      <c r="G546" s="64"/>
      <c r="H546" s="65"/>
      <c r="I546" s="65"/>
    </row>
    <row r="547" spans="2:9" s="60" customFormat="1" x14ac:dyDescent="0.45">
      <c r="B547" s="63">
        <v>20</v>
      </c>
      <c r="C547" s="95" t="s">
        <v>211</v>
      </c>
      <c r="D547" s="64">
        <v>1</v>
      </c>
      <c r="E547" s="64"/>
      <c r="F547" s="64"/>
      <c r="G547" s="64"/>
      <c r="H547" s="65"/>
      <c r="I547" s="65"/>
    </row>
    <row r="548" spans="2:9" s="60" customFormat="1" x14ac:dyDescent="0.45">
      <c r="B548" s="63">
        <v>21</v>
      </c>
      <c r="C548" s="95" t="s">
        <v>210</v>
      </c>
      <c r="D548" s="64">
        <v>1</v>
      </c>
      <c r="E548" s="64"/>
      <c r="F548" s="64"/>
      <c r="G548" s="64"/>
      <c r="H548" s="65"/>
      <c r="I548" s="65"/>
    </row>
    <row r="549" spans="2:9" s="60" customFormat="1" x14ac:dyDescent="0.45">
      <c r="B549" s="63">
        <v>22</v>
      </c>
      <c r="C549" s="95" t="s">
        <v>209</v>
      </c>
      <c r="D549" s="64">
        <v>1</v>
      </c>
      <c r="E549" s="64"/>
      <c r="F549" s="64"/>
      <c r="G549" s="64"/>
      <c r="H549" s="65"/>
      <c r="I549" s="65"/>
    </row>
    <row r="550" spans="2:9" s="60" customFormat="1" ht="63" x14ac:dyDescent="0.45">
      <c r="B550" s="63">
        <v>23</v>
      </c>
      <c r="C550" s="95" t="s">
        <v>142</v>
      </c>
      <c r="D550" s="64">
        <v>1</v>
      </c>
      <c r="E550" s="64"/>
      <c r="F550" s="64"/>
      <c r="G550" s="64"/>
      <c r="H550" s="65"/>
      <c r="I550" s="65"/>
    </row>
    <row r="551" spans="2:9" s="60" customFormat="1" x14ac:dyDescent="0.5">
      <c r="B551" s="66"/>
      <c r="C551" s="96"/>
      <c r="D551" s="67">
        <f>SUM(D528:D550)</f>
        <v>25</v>
      </c>
      <c r="E551" s="68"/>
      <c r="F551" s="68"/>
      <c r="G551" s="68"/>
      <c r="H551" s="69"/>
      <c r="I551" s="70"/>
    </row>
    <row r="552" spans="2:9" s="60" customFormat="1" x14ac:dyDescent="0.5">
      <c r="B552" s="66"/>
      <c r="C552" s="105"/>
      <c r="D552" s="85"/>
      <c r="E552" s="68"/>
      <c r="F552" s="68"/>
      <c r="G552" s="68"/>
      <c r="H552" s="69"/>
      <c r="I552" s="70"/>
    </row>
    <row r="553" spans="2:9" s="60" customFormat="1" ht="15" customHeight="1" x14ac:dyDescent="0.5">
      <c r="B553" s="121" t="s">
        <v>436</v>
      </c>
      <c r="C553" s="122"/>
      <c r="D553" s="122"/>
      <c r="E553" s="122"/>
      <c r="F553" s="122"/>
      <c r="G553" s="122"/>
      <c r="H553" s="122"/>
      <c r="I553" s="123"/>
    </row>
    <row r="554" spans="2:9" s="60" customFormat="1" ht="31.5" x14ac:dyDescent="0.45">
      <c r="B554" s="61" t="s">
        <v>21</v>
      </c>
      <c r="C554" s="94" t="s">
        <v>20</v>
      </c>
      <c r="D554" s="61" t="s">
        <v>19</v>
      </c>
      <c r="E554" s="61" t="s">
        <v>523</v>
      </c>
      <c r="F554" s="61" t="s">
        <v>524</v>
      </c>
      <c r="G554" s="61" t="s">
        <v>525</v>
      </c>
      <c r="H554" s="62" t="s">
        <v>18</v>
      </c>
      <c r="I554" s="62" t="s">
        <v>17</v>
      </c>
    </row>
    <row r="555" spans="2:9" s="60" customFormat="1" x14ac:dyDescent="0.45">
      <c r="B555" s="63">
        <v>1</v>
      </c>
      <c r="C555" s="104" t="s">
        <v>208</v>
      </c>
      <c r="D555" s="64">
        <v>1</v>
      </c>
      <c r="E555" s="64"/>
      <c r="F555" s="64"/>
      <c r="G555" s="64"/>
      <c r="H555" s="65"/>
      <c r="I555" s="65"/>
    </row>
    <row r="556" spans="2:9" s="60" customFormat="1" x14ac:dyDescent="0.45">
      <c r="B556" s="63">
        <v>2</v>
      </c>
      <c r="C556" s="95" t="s">
        <v>207</v>
      </c>
      <c r="D556" s="64">
        <v>1</v>
      </c>
      <c r="E556" s="64"/>
      <c r="F556" s="64"/>
      <c r="G556" s="64"/>
      <c r="H556" s="65"/>
      <c r="I556" s="65"/>
    </row>
    <row r="557" spans="2:9" s="60" customFormat="1" ht="31.5" x14ac:dyDescent="0.45">
      <c r="B557" s="63">
        <v>3</v>
      </c>
      <c r="C557" s="95" t="s">
        <v>187</v>
      </c>
      <c r="D557" s="64">
        <v>1</v>
      </c>
      <c r="E557" s="64"/>
      <c r="F557" s="64"/>
      <c r="G557" s="64"/>
      <c r="H557" s="65"/>
      <c r="I557" s="65"/>
    </row>
    <row r="558" spans="2:9" s="60" customFormat="1" ht="31.5" x14ac:dyDescent="0.45">
      <c r="B558" s="63">
        <v>4</v>
      </c>
      <c r="C558" s="95" t="s">
        <v>185</v>
      </c>
      <c r="D558" s="64">
        <v>1</v>
      </c>
      <c r="E558" s="64"/>
      <c r="F558" s="64"/>
      <c r="G558" s="64"/>
      <c r="H558" s="65"/>
      <c r="I558" s="65"/>
    </row>
    <row r="559" spans="2:9" s="60" customFormat="1" x14ac:dyDescent="0.45">
      <c r="B559" s="63">
        <v>5</v>
      </c>
      <c r="C559" s="95" t="s">
        <v>206</v>
      </c>
      <c r="D559" s="64">
        <v>4</v>
      </c>
      <c r="E559" s="64"/>
      <c r="F559" s="64"/>
      <c r="G559" s="64"/>
      <c r="H559" s="65"/>
      <c r="I559" s="65"/>
    </row>
    <row r="560" spans="2:9" s="60" customFormat="1" x14ac:dyDescent="0.45">
      <c r="B560" s="63">
        <v>6</v>
      </c>
      <c r="C560" s="95" t="s">
        <v>205</v>
      </c>
      <c r="D560" s="64">
        <v>1</v>
      </c>
      <c r="E560" s="64"/>
      <c r="F560" s="64"/>
      <c r="G560" s="64"/>
      <c r="H560" s="65"/>
      <c r="I560" s="65"/>
    </row>
    <row r="561" spans="2:9" s="60" customFormat="1" x14ac:dyDescent="0.45">
      <c r="B561" s="63">
        <v>7</v>
      </c>
      <c r="C561" s="95" t="s">
        <v>204</v>
      </c>
      <c r="D561" s="64">
        <v>1</v>
      </c>
      <c r="E561" s="64"/>
      <c r="F561" s="64"/>
      <c r="G561" s="64"/>
      <c r="H561" s="65"/>
      <c r="I561" s="65"/>
    </row>
    <row r="562" spans="2:9" s="60" customFormat="1" x14ac:dyDescent="0.45">
      <c r="B562" s="63">
        <v>8</v>
      </c>
      <c r="C562" s="95" t="s">
        <v>190</v>
      </c>
      <c r="D562" s="64">
        <v>1</v>
      </c>
      <c r="E562" s="64"/>
      <c r="F562" s="64"/>
      <c r="G562" s="64"/>
      <c r="H562" s="65"/>
      <c r="I562" s="65"/>
    </row>
    <row r="563" spans="2:9" s="60" customFormat="1" x14ac:dyDescent="0.45">
      <c r="B563" s="63">
        <v>9</v>
      </c>
      <c r="C563" s="95" t="s">
        <v>203</v>
      </c>
      <c r="D563" s="64">
        <v>1</v>
      </c>
      <c r="E563" s="64"/>
      <c r="F563" s="64"/>
      <c r="G563" s="64"/>
      <c r="H563" s="65"/>
      <c r="I563" s="65"/>
    </row>
    <row r="564" spans="2:9" s="60" customFormat="1" x14ac:dyDescent="0.45">
      <c r="B564" s="63">
        <v>10</v>
      </c>
      <c r="C564" s="95" t="s">
        <v>202</v>
      </c>
      <c r="D564" s="64">
        <v>1</v>
      </c>
      <c r="E564" s="64"/>
      <c r="F564" s="64"/>
      <c r="G564" s="64"/>
      <c r="H564" s="65"/>
      <c r="I564" s="65"/>
    </row>
    <row r="565" spans="2:9" s="60" customFormat="1" x14ac:dyDescent="0.45">
      <c r="B565" s="63">
        <v>11</v>
      </c>
      <c r="C565" s="95" t="s">
        <v>201</v>
      </c>
      <c r="D565" s="64">
        <v>1</v>
      </c>
      <c r="E565" s="64"/>
      <c r="F565" s="64"/>
      <c r="G565" s="64"/>
      <c r="H565" s="65"/>
      <c r="I565" s="65"/>
    </row>
    <row r="566" spans="2:9" s="60" customFormat="1" x14ac:dyDescent="0.45">
      <c r="B566" s="63">
        <v>12</v>
      </c>
      <c r="C566" s="95" t="s">
        <v>200</v>
      </c>
      <c r="D566" s="64">
        <v>1</v>
      </c>
      <c r="E566" s="64"/>
      <c r="F566" s="64"/>
      <c r="G566" s="64"/>
      <c r="H566" s="65"/>
      <c r="I566" s="65"/>
    </row>
    <row r="567" spans="2:9" s="60" customFormat="1" ht="31.5" x14ac:dyDescent="0.45">
      <c r="B567" s="63">
        <v>13</v>
      </c>
      <c r="C567" s="95" t="s">
        <v>193</v>
      </c>
      <c r="D567" s="64">
        <v>1</v>
      </c>
      <c r="E567" s="64"/>
      <c r="F567" s="64"/>
      <c r="G567" s="64"/>
      <c r="H567" s="65"/>
      <c r="I567" s="65"/>
    </row>
    <row r="568" spans="2:9" s="60" customFormat="1" ht="63" x14ac:dyDescent="0.45">
      <c r="B568" s="63">
        <v>14</v>
      </c>
      <c r="C568" s="95" t="s">
        <v>142</v>
      </c>
      <c r="D568" s="64">
        <v>1</v>
      </c>
      <c r="E568" s="64"/>
      <c r="F568" s="64"/>
      <c r="G568" s="64"/>
      <c r="H568" s="65"/>
      <c r="I568" s="65"/>
    </row>
    <row r="569" spans="2:9" s="60" customFormat="1" x14ac:dyDescent="0.45">
      <c r="B569" s="86"/>
      <c r="C569" s="106"/>
      <c r="D569" s="87">
        <f>SUM(D555:D568)</f>
        <v>17</v>
      </c>
      <c r="E569" s="87"/>
      <c r="F569" s="87"/>
      <c r="G569" s="87"/>
      <c r="H569" s="70"/>
      <c r="I569" s="70"/>
    </row>
    <row r="570" spans="2:9" s="60" customFormat="1" x14ac:dyDescent="0.45">
      <c r="B570" s="86"/>
      <c r="C570" s="106"/>
      <c r="D570" s="87"/>
      <c r="E570" s="87"/>
      <c r="F570" s="87"/>
      <c r="G570" s="87"/>
      <c r="H570" s="70"/>
      <c r="I570" s="70"/>
    </row>
    <row r="571" spans="2:9" s="60" customFormat="1" ht="15.75" customHeight="1" x14ac:dyDescent="0.5">
      <c r="B571" s="121" t="s">
        <v>437</v>
      </c>
      <c r="C571" s="122"/>
      <c r="D571" s="122"/>
      <c r="E571" s="122"/>
      <c r="F571" s="122"/>
      <c r="G571" s="122"/>
      <c r="H571" s="122"/>
      <c r="I571" s="123"/>
    </row>
    <row r="572" spans="2:9" s="60" customFormat="1" ht="31.5" x14ac:dyDescent="0.45">
      <c r="B572" s="61" t="s">
        <v>21</v>
      </c>
      <c r="C572" s="94" t="s">
        <v>20</v>
      </c>
      <c r="D572" s="61" t="s">
        <v>19</v>
      </c>
      <c r="E572" s="61" t="s">
        <v>523</v>
      </c>
      <c r="F572" s="61" t="s">
        <v>524</v>
      </c>
      <c r="G572" s="61" t="s">
        <v>525</v>
      </c>
      <c r="H572" s="62" t="s">
        <v>18</v>
      </c>
      <c r="I572" s="62" t="s">
        <v>17</v>
      </c>
    </row>
    <row r="573" spans="2:9" s="60" customFormat="1" x14ac:dyDescent="0.45">
      <c r="B573" s="63">
        <v>1</v>
      </c>
      <c r="C573" s="95" t="s">
        <v>100</v>
      </c>
      <c r="D573" s="64">
        <v>1</v>
      </c>
      <c r="E573" s="64"/>
      <c r="F573" s="64"/>
      <c r="G573" s="64"/>
      <c r="H573" s="65"/>
      <c r="I573" s="65"/>
    </row>
    <row r="574" spans="2:9" s="60" customFormat="1" ht="31.5" x14ac:dyDescent="0.45">
      <c r="B574" s="63">
        <v>2</v>
      </c>
      <c r="C574" s="95" t="s">
        <v>70</v>
      </c>
      <c r="D574" s="64">
        <v>1</v>
      </c>
      <c r="E574" s="64"/>
      <c r="F574" s="64"/>
      <c r="G574" s="64"/>
      <c r="H574" s="65"/>
      <c r="I574" s="65"/>
    </row>
    <row r="575" spans="2:9" s="60" customFormat="1" x14ac:dyDescent="0.45">
      <c r="B575" s="63">
        <v>3</v>
      </c>
      <c r="C575" s="95" t="s">
        <v>199</v>
      </c>
      <c r="D575" s="64">
        <v>1</v>
      </c>
      <c r="E575" s="64"/>
      <c r="F575" s="64"/>
      <c r="G575" s="64"/>
      <c r="H575" s="65"/>
      <c r="I575" s="65"/>
    </row>
    <row r="576" spans="2:9" s="60" customFormat="1" ht="31.5" x14ac:dyDescent="0.45">
      <c r="B576" s="63">
        <v>4</v>
      </c>
      <c r="C576" s="95" t="s">
        <v>198</v>
      </c>
      <c r="D576" s="64">
        <v>1</v>
      </c>
      <c r="E576" s="64"/>
      <c r="F576" s="64"/>
      <c r="G576" s="64"/>
      <c r="H576" s="65"/>
      <c r="I576" s="65"/>
    </row>
    <row r="577" spans="2:9" s="60" customFormat="1" x14ac:dyDescent="0.45">
      <c r="B577" s="63">
        <v>5</v>
      </c>
      <c r="C577" s="95" t="s">
        <v>197</v>
      </c>
      <c r="D577" s="64">
        <v>1</v>
      </c>
      <c r="E577" s="64"/>
      <c r="F577" s="64"/>
      <c r="G577" s="64"/>
      <c r="H577" s="65"/>
      <c r="I577" s="65"/>
    </row>
    <row r="578" spans="2:9" s="60" customFormat="1" ht="31.5" x14ac:dyDescent="0.45">
      <c r="B578" s="64">
        <v>6</v>
      </c>
      <c r="C578" s="95" t="s">
        <v>61</v>
      </c>
      <c r="D578" s="63">
        <v>1</v>
      </c>
      <c r="E578" s="63"/>
      <c r="F578" s="63"/>
      <c r="G578" s="63"/>
      <c r="H578" s="65"/>
      <c r="I578" s="65"/>
    </row>
    <row r="579" spans="2:9" s="60" customFormat="1" ht="20.25" customHeight="1" x14ac:dyDescent="0.45">
      <c r="B579" s="64">
        <v>7</v>
      </c>
      <c r="C579" s="95" t="s">
        <v>440</v>
      </c>
      <c r="D579" s="63">
        <v>1</v>
      </c>
      <c r="E579" s="63"/>
      <c r="F579" s="63"/>
      <c r="G579" s="63"/>
      <c r="H579" s="88"/>
      <c r="I579" s="88"/>
    </row>
    <row r="580" spans="2:9" s="60" customFormat="1" x14ac:dyDescent="0.5">
      <c r="B580" s="66"/>
      <c r="C580" s="97"/>
      <c r="D580" s="68">
        <f>SUM(D573:D579)</f>
        <v>7</v>
      </c>
      <c r="E580" s="68"/>
      <c r="F580" s="68"/>
      <c r="G580" s="68"/>
      <c r="H580" s="69"/>
      <c r="I580" s="70"/>
    </row>
    <row r="581" spans="2:9" s="60" customFormat="1" ht="15.75" customHeight="1" x14ac:dyDescent="0.5">
      <c r="B581" s="66"/>
      <c r="C581" s="97"/>
      <c r="D581" s="68"/>
      <c r="E581" s="68"/>
      <c r="F581" s="68"/>
      <c r="G581" s="68"/>
      <c r="H581" s="69"/>
      <c r="I581" s="69"/>
    </row>
    <row r="582" spans="2:9" s="60" customFormat="1" ht="15" customHeight="1" x14ac:dyDescent="0.5">
      <c r="B582" s="121" t="s">
        <v>438</v>
      </c>
      <c r="C582" s="122"/>
      <c r="D582" s="122"/>
      <c r="E582" s="122"/>
      <c r="F582" s="122"/>
      <c r="G582" s="122"/>
      <c r="H582" s="122"/>
      <c r="I582" s="123"/>
    </row>
    <row r="583" spans="2:9" s="60" customFormat="1" ht="31.5" x14ac:dyDescent="0.45">
      <c r="B583" s="61" t="s">
        <v>21</v>
      </c>
      <c r="C583" s="94" t="s">
        <v>20</v>
      </c>
      <c r="D583" s="61" t="s">
        <v>19</v>
      </c>
      <c r="E583" s="61" t="s">
        <v>523</v>
      </c>
      <c r="F583" s="61" t="s">
        <v>524</v>
      </c>
      <c r="G583" s="61" t="s">
        <v>525</v>
      </c>
      <c r="H583" s="62" t="s">
        <v>18</v>
      </c>
      <c r="I583" s="62" t="s">
        <v>17</v>
      </c>
    </row>
    <row r="584" spans="2:9" s="60" customFormat="1" x14ac:dyDescent="0.45">
      <c r="B584" s="63">
        <v>1</v>
      </c>
      <c r="C584" s="95" t="s">
        <v>196</v>
      </c>
      <c r="D584" s="64">
        <v>1</v>
      </c>
      <c r="E584" s="64"/>
      <c r="F584" s="64"/>
      <c r="G584" s="64"/>
      <c r="H584" s="65"/>
      <c r="I584" s="65"/>
    </row>
    <row r="585" spans="2:9" s="60" customFormat="1" x14ac:dyDescent="0.45">
      <c r="B585" s="63">
        <v>2</v>
      </c>
      <c r="C585" s="95" t="s">
        <v>195</v>
      </c>
      <c r="D585" s="64">
        <v>1</v>
      </c>
      <c r="E585" s="64"/>
      <c r="F585" s="64"/>
      <c r="G585" s="64"/>
      <c r="H585" s="65"/>
      <c r="I585" s="65"/>
    </row>
    <row r="586" spans="2:9" s="60" customFormat="1" x14ac:dyDescent="0.45">
      <c r="B586" s="63">
        <v>3</v>
      </c>
      <c r="C586" s="95" t="s">
        <v>194</v>
      </c>
      <c r="D586" s="64">
        <v>1</v>
      </c>
      <c r="E586" s="64"/>
      <c r="F586" s="64"/>
      <c r="G586" s="64"/>
      <c r="H586" s="65"/>
      <c r="I586" s="65"/>
    </row>
    <row r="587" spans="2:9" s="60" customFormat="1" ht="31.5" x14ac:dyDescent="0.45">
      <c r="B587" s="63">
        <v>4</v>
      </c>
      <c r="C587" s="95" t="s">
        <v>193</v>
      </c>
      <c r="D587" s="64">
        <v>4</v>
      </c>
      <c r="E587" s="64"/>
      <c r="F587" s="64"/>
      <c r="G587" s="64"/>
      <c r="H587" s="65"/>
      <c r="I587" s="65"/>
    </row>
    <row r="588" spans="2:9" s="60" customFormat="1" x14ac:dyDescent="0.45">
      <c r="B588" s="63">
        <v>5</v>
      </c>
      <c r="C588" s="95" t="s">
        <v>192</v>
      </c>
      <c r="D588" s="64">
        <v>1</v>
      </c>
      <c r="E588" s="64"/>
      <c r="F588" s="64"/>
      <c r="G588" s="64"/>
      <c r="H588" s="65"/>
      <c r="I588" s="65"/>
    </row>
    <row r="589" spans="2:9" s="60" customFormat="1" x14ac:dyDescent="0.45">
      <c r="B589" s="63">
        <v>6</v>
      </c>
      <c r="C589" s="95" t="s">
        <v>191</v>
      </c>
      <c r="D589" s="64">
        <v>10</v>
      </c>
      <c r="E589" s="64"/>
      <c r="F589" s="64"/>
      <c r="G589" s="64"/>
      <c r="H589" s="65"/>
      <c r="I589" s="65"/>
    </row>
    <row r="590" spans="2:9" s="60" customFormat="1" x14ac:dyDescent="0.45">
      <c r="B590" s="63">
        <v>7</v>
      </c>
      <c r="C590" s="95" t="s">
        <v>190</v>
      </c>
      <c r="D590" s="64">
        <v>1</v>
      </c>
      <c r="E590" s="64"/>
      <c r="F590" s="64"/>
      <c r="G590" s="64"/>
      <c r="H590" s="65"/>
      <c r="I590" s="65"/>
    </row>
    <row r="591" spans="2:9" s="60" customFormat="1" x14ac:dyDescent="0.45">
      <c r="B591" s="63">
        <v>8</v>
      </c>
      <c r="C591" s="95" t="s">
        <v>189</v>
      </c>
      <c r="D591" s="64">
        <v>2</v>
      </c>
      <c r="E591" s="64"/>
      <c r="F591" s="64"/>
      <c r="G591" s="64"/>
      <c r="H591" s="65"/>
      <c r="I591" s="65"/>
    </row>
    <row r="592" spans="2:9" s="60" customFormat="1" x14ac:dyDescent="0.45">
      <c r="B592" s="63">
        <v>9</v>
      </c>
      <c r="C592" s="95" t="s">
        <v>188</v>
      </c>
      <c r="D592" s="64">
        <v>2</v>
      </c>
      <c r="E592" s="64"/>
      <c r="F592" s="64"/>
      <c r="G592" s="64"/>
      <c r="H592" s="65"/>
      <c r="I592" s="65"/>
    </row>
    <row r="593" spans="2:9" s="60" customFormat="1" ht="31.5" x14ac:dyDescent="0.45">
      <c r="B593" s="63">
        <v>10</v>
      </c>
      <c r="C593" s="95" t="s">
        <v>187</v>
      </c>
      <c r="D593" s="64">
        <v>1</v>
      </c>
      <c r="E593" s="64"/>
      <c r="F593" s="64"/>
      <c r="G593" s="64"/>
      <c r="H593" s="65"/>
      <c r="I593" s="65"/>
    </row>
    <row r="594" spans="2:9" s="60" customFormat="1" x14ac:dyDescent="0.45">
      <c r="B594" s="63">
        <v>11</v>
      </c>
      <c r="C594" s="95" t="s">
        <v>186</v>
      </c>
      <c r="D594" s="64">
        <v>2</v>
      </c>
      <c r="E594" s="64"/>
      <c r="F594" s="64"/>
      <c r="G594" s="64"/>
      <c r="H594" s="65"/>
      <c r="I594" s="65"/>
    </row>
    <row r="595" spans="2:9" s="60" customFormat="1" ht="31.5" x14ac:dyDescent="0.45">
      <c r="B595" s="63">
        <v>12</v>
      </c>
      <c r="C595" s="95" t="s">
        <v>185</v>
      </c>
      <c r="D595" s="64">
        <v>1</v>
      </c>
      <c r="E595" s="64"/>
      <c r="F595" s="64"/>
      <c r="G595" s="64"/>
      <c r="H595" s="65"/>
      <c r="I595" s="65"/>
    </row>
    <row r="596" spans="2:9" s="60" customFormat="1" x14ac:dyDescent="0.45">
      <c r="B596" s="63">
        <v>13</v>
      </c>
      <c r="C596" s="95" t="s">
        <v>184</v>
      </c>
      <c r="D596" s="64">
        <v>2</v>
      </c>
      <c r="E596" s="64"/>
      <c r="F596" s="64"/>
      <c r="G596" s="64"/>
      <c r="H596" s="65"/>
      <c r="I596" s="65"/>
    </row>
    <row r="597" spans="2:9" s="60" customFormat="1" x14ac:dyDescent="0.45">
      <c r="B597" s="63">
        <v>14</v>
      </c>
      <c r="C597" s="95" t="s">
        <v>183</v>
      </c>
      <c r="D597" s="64">
        <v>6</v>
      </c>
      <c r="E597" s="64"/>
      <c r="F597" s="64"/>
      <c r="G597" s="64"/>
      <c r="H597" s="65"/>
      <c r="I597" s="65"/>
    </row>
    <row r="598" spans="2:9" s="60" customFormat="1" x14ac:dyDescent="0.45">
      <c r="B598" s="63">
        <v>15</v>
      </c>
      <c r="C598" s="95" t="s">
        <v>182</v>
      </c>
      <c r="D598" s="64">
        <v>4</v>
      </c>
      <c r="E598" s="64"/>
      <c r="F598" s="64"/>
      <c r="G598" s="64"/>
      <c r="H598" s="65"/>
      <c r="I598" s="65"/>
    </row>
    <row r="599" spans="2:9" s="60" customFormat="1" x14ac:dyDescent="0.45">
      <c r="B599" s="63">
        <v>16</v>
      </c>
      <c r="C599" s="95" t="s">
        <v>181</v>
      </c>
      <c r="D599" s="64">
        <v>6</v>
      </c>
      <c r="E599" s="64"/>
      <c r="F599" s="64"/>
      <c r="G599" s="64"/>
      <c r="H599" s="65"/>
      <c r="I599" s="65"/>
    </row>
    <row r="600" spans="2:9" s="60" customFormat="1" x14ac:dyDescent="0.45">
      <c r="B600" s="63">
        <v>17</v>
      </c>
      <c r="C600" s="95" t="s">
        <v>180</v>
      </c>
      <c r="D600" s="64">
        <v>4</v>
      </c>
      <c r="E600" s="64"/>
      <c r="F600" s="64"/>
      <c r="G600" s="64"/>
      <c r="H600" s="65"/>
      <c r="I600" s="65"/>
    </row>
    <row r="601" spans="2:9" s="60" customFormat="1" x14ac:dyDescent="0.45">
      <c r="B601" s="63">
        <v>18</v>
      </c>
      <c r="C601" s="95" t="s">
        <v>179</v>
      </c>
      <c r="D601" s="64">
        <v>2</v>
      </c>
      <c r="E601" s="64"/>
      <c r="F601" s="64"/>
      <c r="G601" s="64"/>
      <c r="H601" s="65"/>
      <c r="I601" s="65"/>
    </row>
    <row r="602" spans="2:9" s="60" customFormat="1" x14ac:dyDescent="0.45">
      <c r="B602" s="63">
        <v>19</v>
      </c>
      <c r="C602" s="95" t="s">
        <v>178</v>
      </c>
      <c r="D602" s="64">
        <v>1</v>
      </c>
      <c r="E602" s="64"/>
      <c r="F602" s="64"/>
      <c r="G602" s="64"/>
      <c r="H602" s="65"/>
      <c r="I602" s="65"/>
    </row>
    <row r="603" spans="2:9" s="60" customFormat="1" x14ac:dyDescent="0.45">
      <c r="B603" s="63">
        <v>20</v>
      </c>
      <c r="C603" s="95" t="s">
        <v>177</v>
      </c>
      <c r="D603" s="64">
        <v>1</v>
      </c>
      <c r="E603" s="64"/>
      <c r="F603" s="64"/>
      <c r="G603" s="64"/>
      <c r="H603" s="65"/>
      <c r="I603" s="65"/>
    </row>
    <row r="604" spans="2:9" s="60" customFormat="1" x14ac:dyDescent="0.45">
      <c r="B604" s="63">
        <v>21</v>
      </c>
      <c r="C604" s="95" t="s">
        <v>176</v>
      </c>
      <c r="D604" s="64">
        <v>1</v>
      </c>
      <c r="E604" s="64"/>
      <c r="F604" s="64"/>
      <c r="G604" s="64"/>
      <c r="H604" s="65"/>
      <c r="I604" s="65"/>
    </row>
    <row r="605" spans="2:9" s="60" customFormat="1" x14ac:dyDescent="0.45">
      <c r="B605" s="63">
        <v>22</v>
      </c>
      <c r="C605" s="95" t="s">
        <v>175</v>
      </c>
      <c r="D605" s="64">
        <v>1</v>
      </c>
      <c r="E605" s="64"/>
      <c r="F605" s="64"/>
      <c r="G605" s="64"/>
      <c r="H605" s="65"/>
      <c r="I605" s="65"/>
    </row>
    <row r="606" spans="2:9" s="60" customFormat="1" ht="31.5" x14ac:dyDescent="0.45">
      <c r="B606" s="63">
        <v>23</v>
      </c>
      <c r="C606" s="95" t="s">
        <v>174</v>
      </c>
      <c r="D606" s="64">
        <v>1</v>
      </c>
      <c r="E606" s="64"/>
      <c r="F606" s="64"/>
      <c r="G606" s="64"/>
      <c r="H606" s="65"/>
      <c r="I606" s="65"/>
    </row>
    <row r="607" spans="2:9" s="60" customFormat="1" x14ac:dyDescent="0.45">
      <c r="B607" s="63">
        <v>24</v>
      </c>
      <c r="C607" s="95" t="s">
        <v>173</v>
      </c>
      <c r="D607" s="64">
        <v>1</v>
      </c>
      <c r="E607" s="64"/>
      <c r="F607" s="64"/>
      <c r="G607" s="64"/>
      <c r="H607" s="65"/>
      <c r="I607" s="65"/>
    </row>
    <row r="608" spans="2:9" s="60" customFormat="1" ht="31.5" x14ac:dyDescent="0.45">
      <c r="B608" s="63">
        <v>25</v>
      </c>
      <c r="C608" s="95" t="s">
        <v>172</v>
      </c>
      <c r="D608" s="64">
        <v>2</v>
      </c>
      <c r="E608" s="64"/>
      <c r="F608" s="64"/>
      <c r="G608" s="64"/>
      <c r="H608" s="65"/>
      <c r="I608" s="65"/>
    </row>
    <row r="609" spans="2:9" s="60" customFormat="1" x14ac:dyDescent="0.45">
      <c r="B609" s="63">
        <v>26</v>
      </c>
      <c r="C609" s="95" t="s">
        <v>171</v>
      </c>
      <c r="D609" s="64">
        <v>1</v>
      </c>
      <c r="E609" s="64"/>
      <c r="F609" s="64"/>
      <c r="G609" s="64"/>
      <c r="H609" s="65"/>
      <c r="I609" s="65"/>
    </row>
    <row r="610" spans="2:9" s="60" customFormat="1" x14ac:dyDescent="0.45">
      <c r="B610" s="63">
        <v>27</v>
      </c>
      <c r="C610" s="95" t="s">
        <v>170</v>
      </c>
      <c r="D610" s="64">
        <v>1</v>
      </c>
      <c r="E610" s="64"/>
      <c r="F610" s="64"/>
      <c r="G610" s="64"/>
      <c r="H610" s="65"/>
      <c r="I610" s="65"/>
    </row>
    <row r="611" spans="2:9" s="60" customFormat="1" ht="31.5" x14ac:dyDescent="0.45">
      <c r="B611" s="63">
        <v>28</v>
      </c>
      <c r="C611" s="95" t="s">
        <v>169</v>
      </c>
      <c r="D611" s="64">
        <v>1</v>
      </c>
      <c r="E611" s="64"/>
      <c r="F611" s="64"/>
      <c r="G611" s="64"/>
      <c r="H611" s="65"/>
      <c r="I611" s="65"/>
    </row>
    <row r="612" spans="2:9" s="60" customFormat="1" x14ac:dyDescent="0.45">
      <c r="B612" s="63">
        <v>29</v>
      </c>
      <c r="C612" s="95" t="s">
        <v>168</v>
      </c>
      <c r="D612" s="64">
        <v>1</v>
      </c>
      <c r="E612" s="64"/>
      <c r="F612" s="64"/>
      <c r="G612" s="64"/>
      <c r="H612" s="65"/>
      <c r="I612" s="65"/>
    </row>
    <row r="613" spans="2:9" s="60" customFormat="1" ht="47.25" x14ac:dyDescent="0.45">
      <c r="B613" s="63">
        <v>30</v>
      </c>
      <c r="C613" s="95" t="s">
        <v>167</v>
      </c>
      <c r="D613" s="64">
        <v>1</v>
      </c>
      <c r="E613" s="64"/>
      <c r="F613" s="64"/>
      <c r="G613" s="64"/>
      <c r="H613" s="65"/>
      <c r="I613" s="65"/>
    </row>
    <row r="614" spans="2:9" s="60" customFormat="1" x14ac:dyDescent="0.45">
      <c r="B614" s="63">
        <v>31</v>
      </c>
      <c r="C614" s="95" t="s">
        <v>166</v>
      </c>
      <c r="D614" s="64">
        <v>2</v>
      </c>
      <c r="E614" s="64"/>
      <c r="F614" s="64"/>
      <c r="G614" s="64"/>
      <c r="H614" s="65"/>
      <c r="I614" s="65"/>
    </row>
    <row r="615" spans="2:9" s="60" customFormat="1" x14ac:dyDescent="0.45">
      <c r="B615" s="86"/>
      <c r="C615" s="106"/>
      <c r="D615" s="87">
        <f>SUM(D584:D614)</f>
        <v>66</v>
      </c>
      <c r="E615" s="87"/>
      <c r="F615" s="87"/>
      <c r="G615" s="87"/>
      <c r="H615" s="70"/>
      <c r="I615" s="70"/>
    </row>
    <row r="616" spans="2:9" s="60" customFormat="1" ht="15.75" customHeight="1" x14ac:dyDescent="0.5">
      <c r="B616" s="66"/>
      <c r="C616" s="97"/>
      <c r="D616" s="68"/>
      <c r="E616" s="68"/>
      <c r="F616" s="68"/>
      <c r="G616" s="68"/>
      <c r="H616" s="69"/>
      <c r="I616" s="69"/>
    </row>
    <row r="617" spans="2:9" s="60" customFormat="1" ht="15.75" customHeight="1" x14ac:dyDescent="0.5">
      <c r="B617" s="121" t="s">
        <v>439</v>
      </c>
      <c r="C617" s="122"/>
      <c r="D617" s="122"/>
      <c r="E617" s="122"/>
      <c r="F617" s="122"/>
      <c r="G617" s="122"/>
      <c r="H617" s="122"/>
      <c r="I617" s="123"/>
    </row>
    <row r="618" spans="2:9" s="60" customFormat="1" ht="31.5" x14ac:dyDescent="0.45">
      <c r="B618" s="61" t="s">
        <v>21</v>
      </c>
      <c r="C618" s="94" t="s">
        <v>20</v>
      </c>
      <c r="D618" s="61" t="s">
        <v>19</v>
      </c>
      <c r="E618" s="61" t="s">
        <v>523</v>
      </c>
      <c r="F618" s="61" t="s">
        <v>524</v>
      </c>
      <c r="G618" s="61" t="s">
        <v>525</v>
      </c>
      <c r="H618" s="62" t="s">
        <v>18</v>
      </c>
      <c r="I618" s="62" t="s">
        <v>17</v>
      </c>
    </row>
    <row r="619" spans="2:9" s="60" customFormat="1" x14ac:dyDescent="0.45">
      <c r="B619" s="63">
        <v>1</v>
      </c>
      <c r="C619" s="95" t="s">
        <v>162</v>
      </c>
      <c r="D619" s="64">
        <v>1</v>
      </c>
      <c r="E619" s="64"/>
      <c r="F619" s="64"/>
      <c r="G619" s="64"/>
      <c r="H619" s="65"/>
      <c r="I619" s="65"/>
    </row>
    <row r="620" spans="2:9" s="60" customFormat="1" ht="31.5" x14ac:dyDescent="0.45">
      <c r="B620" s="63">
        <v>2</v>
      </c>
      <c r="C620" s="95" t="s">
        <v>161</v>
      </c>
      <c r="D620" s="64">
        <v>2</v>
      </c>
      <c r="E620" s="64"/>
      <c r="F620" s="64"/>
      <c r="G620" s="64"/>
      <c r="H620" s="65"/>
      <c r="I620" s="65"/>
    </row>
    <row r="621" spans="2:9" s="60" customFormat="1" x14ac:dyDescent="0.45">
      <c r="B621" s="63">
        <v>3</v>
      </c>
      <c r="C621" s="95" t="s">
        <v>160</v>
      </c>
      <c r="D621" s="64">
        <v>3</v>
      </c>
      <c r="E621" s="64"/>
      <c r="F621" s="64"/>
      <c r="G621" s="64"/>
      <c r="H621" s="65"/>
      <c r="I621" s="65"/>
    </row>
    <row r="622" spans="2:9" s="60" customFormat="1" x14ac:dyDescent="0.45">
      <c r="B622" s="63">
        <v>4</v>
      </c>
      <c r="C622" s="95" t="s">
        <v>159</v>
      </c>
      <c r="D622" s="64">
        <v>3</v>
      </c>
      <c r="E622" s="64"/>
      <c r="F622" s="64"/>
      <c r="G622" s="64"/>
      <c r="H622" s="65"/>
      <c r="I622" s="65"/>
    </row>
    <row r="623" spans="2:9" s="60" customFormat="1" x14ac:dyDescent="0.45">
      <c r="B623" s="63">
        <v>5</v>
      </c>
      <c r="C623" s="95" t="s">
        <v>158</v>
      </c>
      <c r="D623" s="64">
        <v>3</v>
      </c>
      <c r="E623" s="64"/>
      <c r="F623" s="64"/>
      <c r="G623" s="64"/>
      <c r="H623" s="65"/>
      <c r="I623" s="65"/>
    </row>
    <row r="624" spans="2:9" s="60" customFormat="1" x14ac:dyDescent="0.45">
      <c r="B624" s="63">
        <v>6</v>
      </c>
      <c r="C624" s="95" t="s">
        <v>157</v>
      </c>
      <c r="D624" s="64">
        <v>3</v>
      </c>
      <c r="E624" s="64"/>
      <c r="F624" s="64"/>
      <c r="G624" s="64"/>
      <c r="H624" s="65"/>
      <c r="I624" s="65"/>
    </row>
    <row r="625" spans="2:9" s="60" customFormat="1" x14ac:dyDescent="0.45">
      <c r="B625" s="63">
        <v>7</v>
      </c>
      <c r="C625" s="95" t="s">
        <v>156</v>
      </c>
      <c r="D625" s="64">
        <v>3</v>
      </c>
      <c r="E625" s="64"/>
      <c r="F625" s="64"/>
      <c r="G625" s="64"/>
      <c r="H625" s="65"/>
      <c r="I625" s="65"/>
    </row>
    <row r="626" spans="2:9" s="60" customFormat="1" x14ac:dyDescent="0.45">
      <c r="B626" s="63">
        <v>8</v>
      </c>
      <c r="C626" s="95" t="s">
        <v>155</v>
      </c>
      <c r="D626" s="64">
        <v>1</v>
      </c>
      <c r="E626" s="64"/>
      <c r="F626" s="64"/>
      <c r="G626" s="64"/>
      <c r="H626" s="65"/>
      <c r="I626" s="65"/>
    </row>
    <row r="627" spans="2:9" s="60" customFormat="1" ht="31.5" x14ac:dyDescent="0.45">
      <c r="B627" s="63">
        <v>9</v>
      </c>
      <c r="C627" s="95" t="s">
        <v>154</v>
      </c>
      <c r="D627" s="64">
        <v>1</v>
      </c>
      <c r="E627" s="64"/>
      <c r="F627" s="64"/>
      <c r="G627" s="64"/>
      <c r="H627" s="65"/>
      <c r="I627" s="65"/>
    </row>
    <row r="628" spans="2:9" s="60" customFormat="1" ht="31.5" x14ac:dyDescent="0.45">
      <c r="B628" s="63">
        <v>10</v>
      </c>
      <c r="C628" s="95" t="s">
        <v>71</v>
      </c>
      <c r="D628" s="64">
        <v>2</v>
      </c>
      <c r="E628" s="64"/>
      <c r="F628" s="64"/>
      <c r="G628" s="64"/>
      <c r="H628" s="65"/>
      <c r="I628" s="65"/>
    </row>
    <row r="629" spans="2:9" s="60" customFormat="1" ht="31.5" x14ac:dyDescent="0.45">
      <c r="B629" s="63">
        <v>11</v>
      </c>
      <c r="C629" s="95" t="s">
        <v>69</v>
      </c>
      <c r="D629" s="64">
        <v>2</v>
      </c>
      <c r="E629" s="64"/>
      <c r="F629" s="64"/>
      <c r="G629" s="64"/>
      <c r="H629" s="65"/>
      <c r="I629" s="65"/>
    </row>
    <row r="630" spans="2:9" s="60" customFormat="1" x14ac:dyDescent="0.45">
      <c r="B630" s="63">
        <v>12</v>
      </c>
      <c r="C630" s="95" t="s">
        <v>153</v>
      </c>
      <c r="D630" s="64">
        <v>6</v>
      </c>
      <c r="E630" s="64"/>
      <c r="F630" s="64"/>
      <c r="G630" s="64"/>
      <c r="H630" s="65"/>
      <c r="I630" s="65"/>
    </row>
    <row r="631" spans="2:9" s="60" customFormat="1" x14ac:dyDescent="0.45">
      <c r="B631" s="63">
        <v>13</v>
      </c>
      <c r="C631" s="95" t="s">
        <v>152</v>
      </c>
      <c r="D631" s="64">
        <v>1</v>
      </c>
      <c r="E631" s="64"/>
      <c r="F631" s="64"/>
      <c r="G631" s="64"/>
      <c r="H631" s="65"/>
      <c r="I631" s="65"/>
    </row>
    <row r="632" spans="2:9" s="60" customFormat="1" ht="31.5" x14ac:dyDescent="0.45">
      <c r="B632" s="63">
        <v>14</v>
      </c>
      <c r="C632" s="95" t="s">
        <v>151</v>
      </c>
      <c r="D632" s="64">
        <v>1</v>
      </c>
      <c r="E632" s="64"/>
      <c r="F632" s="64"/>
      <c r="G632" s="64"/>
      <c r="H632" s="65"/>
      <c r="I632" s="65"/>
    </row>
    <row r="633" spans="2:9" s="60" customFormat="1" x14ac:dyDescent="0.45">
      <c r="B633" s="63">
        <v>15</v>
      </c>
      <c r="C633" s="95" t="s">
        <v>64</v>
      </c>
      <c r="D633" s="64">
        <v>2</v>
      </c>
      <c r="E633" s="64"/>
      <c r="F633" s="64"/>
      <c r="G633" s="64"/>
      <c r="H633" s="65"/>
      <c r="I633" s="65"/>
    </row>
    <row r="634" spans="2:9" s="60" customFormat="1" x14ac:dyDescent="0.45">
      <c r="B634" s="63">
        <v>16</v>
      </c>
      <c r="C634" s="95" t="s">
        <v>63</v>
      </c>
      <c r="D634" s="64">
        <v>2</v>
      </c>
      <c r="E634" s="64"/>
      <c r="F634" s="64"/>
      <c r="G634" s="64"/>
      <c r="H634" s="65"/>
      <c r="I634" s="65"/>
    </row>
    <row r="635" spans="2:9" s="60" customFormat="1" ht="31.5" x14ac:dyDescent="0.45">
      <c r="B635" s="63">
        <v>17</v>
      </c>
      <c r="C635" s="95" t="s">
        <v>150</v>
      </c>
      <c r="D635" s="64">
        <v>1</v>
      </c>
      <c r="E635" s="64"/>
      <c r="F635" s="64"/>
      <c r="G635" s="64"/>
      <c r="H635" s="65"/>
      <c r="I635" s="65"/>
    </row>
    <row r="636" spans="2:9" s="60" customFormat="1" x14ac:dyDescent="0.45">
      <c r="B636" s="63">
        <v>18</v>
      </c>
      <c r="C636" s="95" t="s">
        <v>149</v>
      </c>
      <c r="D636" s="64">
        <v>1</v>
      </c>
      <c r="E636" s="64"/>
      <c r="F636" s="64"/>
      <c r="G636" s="64"/>
      <c r="H636" s="65"/>
      <c r="I636" s="65"/>
    </row>
    <row r="637" spans="2:9" s="60" customFormat="1" x14ac:dyDescent="0.45">
      <c r="B637" s="63">
        <v>19</v>
      </c>
      <c r="C637" s="95" t="s">
        <v>148</v>
      </c>
      <c r="D637" s="64">
        <v>1</v>
      </c>
      <c r="E637" s="64"/>
      <c r="F637" s="64"/>
      <c r="G637" s="64"/>
      <c r="H637" s="65"/>
      <c r="I637" s="65"/>
    </row>
    <row r="638" spans="2:9" s="60" customFormat="1" ht="31.5" x14ac:dyDescent="0.45">
      <c r="B638" s="63">
        <v>20</v>
      </c>
      <c r="C638" s="95" t="s">
        <v>61</v>
      </c>
      <c r="D638" s="64">
        <v>1</v>
      </c>
      <c r="E638" s="64"/>
      <c r="F638" s="64"/>
      <c r="G638" s="64"/>
      <c r="H638" s="65"/>
      <c r="I638" s="65"/>
    </row>
    <row r="639" spans="2:9" s="60" customFormat="1" x14ac:dyDescent="0.45">
      <c r="B639" s="63">
        <v>21</v>
      </c>
      <c r="C639" s="95" t="s">
        <v>147</v>
      </c>
      <c r="D639" s="64">
        <v>1</v>
      </c>
      <c r="E639" s="64"/>
      <c r="F639" s="64"/>
      <c r="G639" s="64"/>
      <c r="H639" s="65"/>
      <c r="I639" s="65"/>
    </row>
    <row r="640" spans="2:9" s="60" customFormat="1" ht="31.5" x14ac:dyDescent="0.45">
      <c r="B640" s="63">
        <v>22</v>
      </c>
      <c r="C640" s="95" t="s">
        <v>146</v>
      </c>
      <c r="D640" s="64">
        <v>1</v>
      </c>
      <c r="E640" s="64"/>
      <c r="F640" s="64"/>
      <c r="G640" s="64"/>
      <c r="H640" s="65"/>
      <c r="I640" s="65"/>
    </row>
    <row r="641" spans="1:9" s="60" customFormat="1" ht="31.5" x14ac:dyDescent="0.45">
      <c r="B641" s="63">
        <v>23</v>
      </c>
      <c r="C641" s="95" t="s">
        <v>145</v>
      </c>
      <c r="D641" s="64">
        <v>1</v>
      </c>
      <c r="E641" s="64"/>
      <c r="F641" s="64"/>
      <c r="G641" s="64"/>
      <c r="H641" s="65"/>
      <c r="I641" s="65"/>
    </row>
    <row r="642" spans="1:9" s="60" customFormat="1" ht="31.5" x14ac:dyDescent="0.45">
      <c r="B642" s="63">
        <v>24</v>
      </c>
      <c r="C642" s="95" t="s">
        <v>144</v>
      </c>
      <c r="D642" s="64">
        <v>1</v>
      </c>
      <c r="E642" s="64"/>
      <c r="F642" s="64"/>
      <c r="G642" s="64"/>
      <c r="H642" s="65"/>
      <c r="I642" s="65"/>
    </row>
    <row r="643" spans="1:9" s="60" customFormat="1" ht="31.5" x14ac:dyDescent="0.45">
      <c r="B643" s="63">
        <v>25</v>
      </c>
      <c r="C643" s="95" t="s">
        <v>143</v>
      </c>
      <c r="D643" s="64">
        <v>1</v>
      </c>
      <c r="E643" s="64"/>
      <c r="F643" s="64"/>
      <c r="G643" s="64"/>
      <c r="H643" s="65"/>
      <c r="I643" s="65"/>
    </row>
    <row r="644" spans="1:9" s="60" customFormat="1" ht="31.5" x14ac:dyDescent="0.45">
      <c r="B644" s="63">
        <v>26</v>
      </c>
      <c r="C644" s="95" t="s">
        <v>141</v>
      </c>
      <c r="D644" s="64">
        <v>1</v>
      </c>
      <c r="E644" s="64"/>
      <c r="F644" s="64"/>
      <c r="G644" s="64"/>
      <c r="H644" s="65"/>
      <c r="I644" s="65"/>
    </row>
    <row r="645" spans="1:9" s="60" customFormat="1" ht="63" x14ac:dyDescent="0.45">
      <c r="B645" s="63">
        <v>27</v>
      </c>
      <c r="C645" s="95" t="s">
        <v>142</v>
      </c>
      <c r="D645" s="64">
        <v>1</v>
      </c>
      <c r="E645" s="64"/>
      <c r="F645" s="64"/>
      <c r="G645" s="64"/>
      <c r="H645" s="65"/>
      <c r="I645" s="65"/>
    </row>
    <row r="646" spans="1:9" s="60" customFormat="1" x14ac:dyDescent="0.5">
      <c r="B646" s="66"/>
      <c r="C646" s="96"/>
      <c r="D646" s="67">
        <f>SUM(D619:D645)</f>
        <v>47</v>
      </c>
      <c r="E646" s="68"/>
      <c r="F646" s="68"/>
      <c r="G646" s="68"/>
      <c r="H646" s="69"/>
      <c r="I646" s="70"/>
    </row>
    <row r="647" spans="1:9" customFormat="1" ht="14.65" customHeight="1" x14ac:dyDescent="0.45">
      <c r="A647" s="7"/>
      <c r="C647" s="98"/>
      <c r="D647" s="8"/>
      <c r="E647" s="8"/>
      <c r="F647" s="8"/>
      <c r="G647" s="8"/>
      <c r="H647" s="8"/>
    </row>
    <row r="648" spans="1:9" customFormat="1" ht="14.65" customHeight="1" x14ac:dyDescent="0.45">
      <c r="A648" s="7"/>
      <c r="C648" s="98"/>
      <c r="D648" s="8"/>
      <c r="E648" s="8"/>
      <c r="F648" s="8"/>
      <c r="G648" s="8"/>
      <c r="H648" s="8"/>
    </row>
    <row r="649" spans="1:9" s="60" customFormat="1" ht="15.75" customHeight="1" x14ac:dyDescent="0.5">
      <c r="B649" s="121" t="s">
        <v>441</v>
      </c>
      <c r="C649" s="122"/>
      <c r="D649" s="122"/>
      <c r="E649" s="122"/>
      <c r="F649" s="122"/>
      <c r="G649" s="122"/>
      <c r="H649" s="122"/>
      <c r="I649" s="123"/>
    </row>
    <row r="650" spans="1:9" s="60" customFormat="1" ht="31.5" x14ac:dyDescent="0.45">
      <c r="B650" s="61" t="s">
        <v>21</v>
      </c>
      <c r="C650" s="94" t="s">
        <v>20</v>
      </c>
      <c r="D650" s="61" t="s">
        <v>19</v>
      </c>
      <c r="E650" s="61" t="s">
        <v>523</v>
      </c>
      <c r="F650" s="61" t="s">
        <v>524</v>
      </c>
      <c r="G650" s="61" t="s">
        <v>525</v>
      </c>
      <c r="H650" s="62" t="s">
        <v>18</v>
      </c>
      <c r="I650" s="62" t="s">
        <v>17</v>
      </c>
    </row>
    <row r="651" spans="1:9" s="60" customFormat="1" ht="31.5" x14ac:dyDescent="0.5">
      <c r="B651" s="64">
        <v>1</v>
      </c>
      <c r="C651" s="95" t="s">
        <v>16</v>
      </c>
      <c r="D651" s="2">
        <v>1</v>
      </c>
      <c r="E651" s="89"/>
      <c r="F651" s="89"/>
      <c r="G651" s="89"/>
      <c r="H651" s="90"/>
      <c r="I651" s="65"/>
    </row>
    <row r="652" spans="1:9" s="60" customFormat="1" ht="31.5" x14ac:dyDescent="0.5">
      <c r="B652" s="64">
        <v>2</v>
      </c>
      <c r="C652" s="95" t="s">
        <v>15</v>
      </c>
      <c r="D652" s="2">
        <v>6</v>
      </c>
      <c r="E652" s="89"/>
      <c r="F652" s="89"/>
      <c r="G652" s="89"/>
      <c r="H652" s="90"/>
      <c r="I652" s="65"/>
    </row>
    <row r="653" spans="1:9" s="60" customFormat="1" ht="31.5" x14ac:dyDescent="0.5">
      <c r="B653" s="64">
        <v>3</v>
      </c>
      <c r="C653" s="95" t="s">
        <v>14</v>
      </c>
      <c r="D653" s="2">
        <v>2</v>
      </c>
      <c r="E653" s="89"/>
      <c r="F653" s="89"/>
      <c r="G653" s="89"/>
      <c r="H653" s="90"/>
      <c r="I653" s="65"/>
    </row>
    <row r="654" spans="1:9" s="60" customFormat="1" ht="31.5" x14ac:dyDescent="0.5">
      <c r="B654" s="64">
        <v>4</v>
      </c>
      <c r="C654" s="95" t="s">
        <v>13</v>
      </c>
      <c r="D654" s="2">
        <v>1</v>
      </c>
      <c r="E654" s="89"/>
      <c r="F654" s="89"/>
      <c r="G654" s="89"/>
      <c r="H654" s="90"/>
      <c r="I654" s="65"/>
    </row>
    <row r="655" spans="1:9" s="60" customFormat="1" ht="31.5" x14ac:dyDescent="0.5">
      <c r="B655" s="64">
        <v>5</v>
      </c>
      <c r="C655" s="95" t="s">
        <v>12</v>
      </c>
      <c r="D655" s="2">
        <v>2</v>
      </c>
      <c r="E655" s="89"/>
      <c r="F655" s="89"/>
      <c r="G655" s="89"/>
      <c r="H655" s="90"/>
      <c r="I655" s="65"/>
    </row>
    <row r="656" spans="1:9" s="60" customFormat="1" ht="31.5" x14ac:dyDescent="0.5">
      <c r="B656" s="64">
        <v>6</v>
      </c>
      <c r="C656" s="95" t="s">
        <v>11</v>
      </c>
      <c r="D656" s="2">
        <v>2</v>
      </c>
      <c r="E656" s="89"/>
      <c r="F656" s="89"/>
      <c r="G656" s="89"/>
      <c r="H656" s="90"/>
      <c r="I656" s="65"/>
    </row>
    <row r="657" spans="2:9" s="60" customFormat="1" ht="47.25" x14ac:dyDescent="0.5">
      <c r="B657" s="64">
        <v>7</v>
      </c>
      <c r="C657" s="95" t="s">
        <v>10</v>
      </c>
      <c r="D657" s="2">
        <v>2</v>
      </c>
      <c r="E657" s="89"/>
      <c r="F657" s="89"/>
      <c r="G657" s="89"/>
      <c r="H657" s="90"/>
      <c r="I657" s="65"/>
    </row>
    <row r="658" spans="2:9" s="60" customFormat="1" ht="31.5" x14ac:dyDescent="0.5">
      <c r="B658" s="64">
        <v>8</v>
      </c>
      <c r="C658" s="95" t="s">
        <v>9</v>
      </c>
      <c r="D658" s="2">
        <v>1</v>
      </c>
      <c r="E658" s="89"/>
      <c r="F658" s="89"/>
      <c r="G658" s="89"/>
      <c r="H658" s="90"/>
      <c r="I658" s="65"/>
    </row>
    <row r="659" spans="2:9" s="60" customFormat="1" ht="31.5" x14ac:dyDescent="0.5">
      <c r="B659" s="64">
        <v>9</v>
      </c>
      <c r="C659" s="95" t="s">
        <v>8</v>
      </c>
      <c r="D659" s="2">
        <v>1</v>
      </c>
      <c r="E659" s="89"/>
      <c r="F659" s="89"/>
      <c r="G659" s="89"/>
      <c r="H659" s="90"/>
      <c r="I659" s="65"/>
    </row>
    <row r="660" spans="2:9" s="60" customFormat="1" ht="31.5" x14ac:dyDescent="0.5">
      <c r="B660" s="64">
        <v>10</v>
      </c>
      <c r="C660" s="95" t="s">
        <v>7</v>
      </c>
      <c r="D660" s="2">
        <v>1</v>
      </c>
      <c r="E660" s="89"/>
      <c r="F660" s="89"/>
      <c r="G660" s="89"/>
      <c r="H660" s="90"/>
      <c r="I660" s="65"/>
    </row>
    <row r="661" spans="2:9" s="60" customFormat="1" ht="31.5" x14ac:dyDescent="0.5">
      <c r="B661" s="64">
        <v>11</v>
      </c>
      <c r="C661" s="95" t="s">
        <v>6</v>
      </c>
      <c r="D661" s="2">
        <v>2</v>
      </c>
      <c r="E661" s="89"/>
      <c r="F661" s="89"/>
      <c r="G661" s="89"/>
      <c r="H661" s="90"/>
      <c r="I661" s="65"/>
    </row>
    <row r="662" spans="2:9" s="60" customFormat="1" ht="31.5" x14ac:dyDescent="0.5">
      <c r="B662" s="64">
        <v>12</v>
      </c>
      <c r="C662" s="95" t="s">
        <v>5</v>
      </c>
      <c r="D662" s="2">
        <v>4</v>
      </c>
      <c r="E662" s="89"/>
      <c r="F662" s="89"/>
      <c r="G662" s="89"/>
      <c r="H662" s="90"/>
      <c r="I662" s="65"/>
    </row>
    <row r="663" spans="2:9" s="60" customFormat="1" ht="31.5" x14ac:dyDescent="0.5">
      <c r="B663" s="64">
        <v>13</v>
      </c>
      <c r="C663" s="95" t="s">
        <v>4</v>
      </c>
      <c r="D663" s="2">
        <v>2</v>
      </c>
      <c r="E663" s="89"/>
      <c r="F663" s="89"/>
      <c r="G663" s="89"/>
      <c r="H663" s="90"/>
      <c r="I663" s="65"/>
    </row>
    <row r="664" spans="2:9" s="60" customFormat="1" ht="31.5" x14ac:dyDescent="0.5">
      <c r="B664" s="64">
        <v>14</v>
      </c>
      <c r="C664" s="95" t="s">
        <v>3</v>
      </c>
      <c r="D664" s="2">
        <v>2</v>
      </c>
      <c r="E664" s="89"/>
      <c r="F664" s="89"/>
      <c r="G664" s="89"/>
      <c r="H664" s="90"/>
      <c r="I664" s="65"/>
    </row>
    <row r="665" spans="2:9" s="60" customFormat="1" ht="31.5" x14ac:dyDescent="0.5">
      <c r="B665" s="64">
        <v>15</v>
      </c>
      <c r="C665" s="95" t="s">
        <v>2</v>
      </c>
      <c r="D665" s="2">
        <v>2</v>
      </c>
      <c r="E665" s="89"/>
      <c r="F665" s="89"/>
      <c r="G665" s="89"/>
      <c r="H665" s="90"/>
      <c r="I665" s="65"/>
    </row>
    <row r="666" spans="2:9" s="60" customFormat="1" ht="31.5" x14ac:dyDescent="0.5">
      <c r="B666" s="64">
        <v>16</v>
      </c>
      <c r="C666" s="95" t="s">
        <v>1</v>
      </c>
      <c r="D666" s="2">
        <v>2</v>
      </c>
      <c r="E666" s="89"/>
      <c r="F666" s="89"/>
      <c r="G666" s="89"/>
      <c r="H666" s="90"/>
      <c r="I666" s="65"/>
    </row>
    <row r="667" spans="2:9" s="60" customFormat="1" ht="47.25" x14ac:dyDescent="0.5">
      <c r="B667" s="64">
        <v>34</v>
      </c>
      <c r="C667" s="95" t="s">
        <v>0</v>
      </c>
      <c r="D667" s="2">
        <v>1</v>
      </c>
      <c r="E667" s="89"/>
      <c r="F667" s="89"/>
      <c r="G667" s="89"/>
      <c r="H667" s="90"/>
      <c r="I667" s="65"/>
    </row>
    <row r="668" spans="2:9" s="60" customFormat="1" x14ac:dyDescent="0.5">
      <c r="B668" s="87"/>
      <c r="C668" s="106"/>
      <c r="D668" s="91">
        <f>SUM(D651:D667)</f>
        <v>34</v>
      </c>
      <c r="E668" s="91"/>
      <c r="F668" s="91"/>
      <c r="G668" s="91"/>
      <c r="H668" s="70"/>
      <c r="I668" s="70"/>
    </row>
    <row r="669" spans="2:9" s="60" customFormat="1" x14ac:dyDescent="0.5">
      <c r="B669" s="66"/>
      <c r="C669" s="105"/>
      <c r="D669" s="85"/>
      <c r="E669" s="68"/>
      <c r="F669" s="68"/>
      <c r="G669" s="68"/>
      <c r="H669" s="69"/>
      <c r="I669" s="69"/>
    </row>
    <row r="670" spans="2:9" s="60" customFormat="1" ht="15.75" customHeight="1" x14ac:dyDescent="0.5">
      <c r="B670" s="121" t="s">
        <v>459</v>
      </c>
      <c r="C670" s="122"/>
      <c r="D670" s="122"/>
      <c r="E670" s="122"/>
      <c r="F670" s="122"/>
      <c r="G670" s="122"/>
      <c r="H670" s="122"/>
      <c r="I670" s="123"/>
    </row>
    <row r="671" spans="2:9" s="60" customFormat="1" ht="31.5" x14ac:dyDescent="0.45">
      <c r="B671" s="61" t="s">
        <v>21</v>
      </c>
      <c r="C671" s="94" t="s">
        <v>20</v>
      </c>
      <c r="D671" s="61" t="s">
        <v>19</v>
      </c>
      <c r="E671" s="61" t="s">
        <v>523</v>
      </c>
      <c r="F671" s="61" t="s">
        <v>524</v>
      </c>
      <c r="G671" s="61" t="s">
        <v>525</v>
      </c>
      <c r="H671" s="62" t="s">
        <v>18</v>
      </c>
      <c r="I671" s="62" t="s">
        <v>17</v>
      </c>
    </row>
    <row r="672" spans="2:9" s="60" customFormat="1" ht="31.5" x14ac:dyDescent="0.5">
      <c r="B672" s="64">
        <v>1</v>
      </c>
      <c r="C672" s="95" t="s">
        <v>54</v>
      </c>
      <c r="D672" s="2">
        <v>2</v>
      </c>
      <c r="E672" s="89"/>
      <c r="F672" s="89"/>
      <c r="G672" s="89"/>
      <c r="H672" s="90"/>
      <c r="I672" s="65"/>
    </row>
    <row r="673" spans="2:9" s="60" customFormat="1" x14ac:dyDescent="0.5">
      <c r="B673" s="64">
        <v>2</v>
      </c>
      <c r="C673" s="95" t="s">
        <v>53</v>
      </c>
      <c r="D673" s="2">
        <v>1</v>
      </c>
      <c r="E673" s="89"/>
      <c r="F673" s="89"/>
      <c r="G673" s="89"/>
      <c r="H673" s="90"/>
      <c r="I673" s="65"/>
    </row>
    <row r="674" spans="2:9" s="60" customFormat="1" x14ac:dyDescent="0.5">
      <c r="B674" s="64">
        <v>3</v>
      </c>
      <c r="C674" s="95" t="s">
        <v>52</v>
      </c>
      <c r="D674" s="2">
        <v>1</v>
      </c>
      <c r="E674" s="89"/>
      <c r="F674" s="89"/>
      <c r="G674" s="89"/>
      <c r="H674" s="90"/>
      <c r="I674" s="65"/>
    </row>
    <row r="675" spans="2:9" s="60" customFormat="1" x14ac:dyDescent="0.5">
      <c r="B675" s="64">
        <v>4</v>
      </c>
      <c r="C675" s="95" t="s">
        <v>51</v>
      </c>
      <c r="D675" s="2">
        <v>2</v>
      </c>
      <c r="E675" s="89"/>
      <c r="F675" s="89"/>
      <c r="G675" s="89"/>
      <c r="H675" s="90"/>
      <c r="I675" s="65"/>
    </row>
    <row r="676" spans="2:9" s="60" customFormat="1" ht="31.5" x14ac:dyDescent="0.5">
      <c r="B676" s="64">
        <v>5</v>
      </c>
      <c r="C676" s="95" t="s">
        <v>50</v>
      </c>
      <c r="D676" s="2">
        <v>2</v>
      </c>
      <c r="E676" s="89"/>
      <c r="F676" s="89"/>
      <c r="G676" s="89"/>
      <c r="H676" s="90"/>
      <c r="I676" s="65"/>
    </row>
    <row r="677" spans="2:9" s="60" customFormat="1" ht="31.5" x14ac:dyDescent="0.5">
      <c r="B677" s="64">
        <v>6</v>
      </c>
      <c r="C677" s="95" t="s">
        <v>49</v>
      </c>
      <c r="D677" s="2">
        <v>1</v>
      </c>
      <c r="E677" s="89"/>
      <c r="F677" s="89"/>
      <c r="G677" s="89"/>
      <c r="H677" s="90"/>
      <c r="I677" s="65"/>
    </row>
    <row r="678" spans="2:9" s="60" customFormat="1" x14ac:dyDescent="0.5">
      <c r="B678" s="64">
        <v>7</v>
      </c>
      <c r="C678" s="95" t="s">
        <v>48</v>
      </c>
      <c r="D678" s="2">
        <v>1</v>
      </c>
      <c r="E678" s="89"/>
      <c r="F678" s="89"/>
      <c r="G678" s="89"/>
      <c r="H678" s="90"/>
      <c r="I678" s="65"/>
    </row>
    <row r="679" spans="2:9" s="60" customFormat="1" ht="31.5" x14ac:dyDescent="0.5">
      <c r="B679" s="64">
        <v>8</v>
      </c>
      <c r="C679" s="95" t="s">
        <v>47</v>
      </c>
      <c r="D679" s="2">
        <v>1</v>
      </c>
      <c r="E679" s="89"/>
      <c r="F679" s="89"/>
      <c r="G679" s="89"/>
      <c r="H679" s="90"/>
      <c r="I679" s="65"/>
    </row>
    <row r="680" spans="2:9" s="60" customFormat="1" ht="31.5" x14ac:dyDescent="0.5">
      <c r="B680" s="64">
        <v>9</v>
      </c>
      <c r="C680" s="95" t="s">
        <v>46</v>
      </c>
      <c r="D680" s="2">
        <v>1</v>
      </c>
      <c r="E680" s="89"/>
      <c r="F680" s="89"/>
      <c r="G680" s="89"/>
      <c r="H680" s="90"/>
      <c r="I680" s="65"/>
    </row>
    <row r="681" spans="2:9" s="60" customFormat="1" ht="31.5" x14ac:dyDescent="0.5">
      <c r="B681" s="64">
        <v>10</v>
      </c>
      <c r="C681" s="95" t="s">
        <v>45</v>
      </c>
      <c r="D681" s="2">
        <v>1</v>
      </c>
      <c r="E681" s="89"/>
      <c r="F681" s="89"/>
      <c r="G681" s="89"/>
      <c r="H681" s="90"/>
      <c r="I681" s="65"/>
    </row>
    <row r="682" spans="2:9" s="60" customFormat="1" x14ac:dyDescent="0.5">
      <c r="B682" s="64">
        <v>11</v>
      </c>
      <c r="C682" s="95" t="s">
        <v>44</v>
      </c>
      <c r="D682" s="2">
        <v>1</v>
      </c>
      <c r="E682" s="89"/>
      <c r="F682" s="89"/>
      <c r="G682" s="89"/>
      <c r="H682" s="90"/>
      <c r="I682" s="65"/>
    </row>
    <row r="683" spans="2:9" s="60" customFormat="1" x14ac:dyDescent="0.5">
      <c r="B683" s="64">
        <v>12</v>
      </c>
      <c r="C683" s="95" t="s">
        <v>43</v>
      </c>
      <c r="D683" s="2">
        <v>4</v>
      </c>
      <c r="E683" s="89"/>
      <c r="F683" s="89"/>
      <c r="G683" s="89"/>
      <c r="H683" s="90"/>
      <c r="I683" s="65"/>
    </row>
    <row r="684" spans="2:9" s="60" customFormat="1" ht="31.5" x14ac:dyDescent="0.5">
      <c r="B684" s="64">
        <v>13</v>
      </c>
      <c r="C684" s="95" t="s">
        <v>42</v>
      </c>
      <c r="D684" s="2">
        <v>2</v>
      </c>
      <c r="E684" s="89"/>
      <c r="F684" s="89"/>
      <c r="G684" s="89"/>
      <c r="H684" s="90"/>
      <c r="I684" s="65"/>
    </row>
    <row r="685" spans="2:9" s="60" customFormat="1" ht="31.5" x14ac:dyDescent="0.5">
      <c r="B685" s="64">
        <v>14</v>
      </c>
      <c r="C685" s="95" t="s">
        <v>41</v>
      </c>
      <c r="D685" s="2">
        <v>2</v>
      </c>
      <c r="E685" s="89"/>
      <c r="F685" s="89"/>
      <c r="G685" s="89"/>
      <c r="H685" s="90"/>
      <c r="I685" s="65"/>
    </row>
    <row r="686" spans="2:9" s="60" customFormat="1" x14ac:dyDescent="0.5">
      <c r="B686" s="64">
        <v>15</v>
      </c>
      <c r="C686" s="95" t="s">
        <v>40</v>
      </c>
      <c r="D686" s="2">
        <v>6</v>
      </c>
      <c r="E686" s="89"/>
      <c r="F686" s="89"/>
      <c r="G686" s="89"/>
      <c r="H686" s="90"/>
      <c r="I686" s="65"/>
    </row>
    <row r="687" spans="2:9" s="60" customFormat="1" x14ac:dyDescent="0.5">
      <c r="B687" s="64">
        <v>16</v>
      </c>
      <c r="C687" s="95" t="s">
        <v>39</v>
      </c>
      <c r="D687" s="2">
        <v>1</v>
      </c>
      <c r="E687" s="89"/>
      <c r="F687" s="89"/>
      <c r="G687" s="89"/>
      <c r="H687" s="90"/>
      <c r="I687" s="65"/>
    </row>
    <row r="688" spans="2:9" s="60" customFormat="1" x14ac:dyDescent="0.5">
      <c r="B688" s="64">
        <v>17</v>
      </c>
      <c r="C688" s="95" t="s">
        <v>38</v>
      </c>
      <c r="D688" s="2">
        <v>1</v>
      </c>
      <c r="E688" s="89"/>
      <c r="F688" s="89"/>
      <c r="G688" s="89"/>
      <c r="H688" s="90"/>
      <c r="I688" s="65"/>
    </row>
    <row r="689" spans="2:9" s="60" customFormat="1" ht="31.5" x14ac:dyDescent="0.5">
      <c r="B689" s="64">
        <v>18</v>
      </c>
      <c r="C689" s="95" t="s">
        <v>37</v>
      </c>
      <c r="D689" s="2">
        <v>6</v>
      </c>
      <c r="E689" s="89"/>
      <c r="F689" s="89"/>
      <c r="G689" s="89"/>
      <c r="H689" s="90"/>
      <c r="I689" s="65"/>
    </row>
    <row r="690" spans="2:9" s="60" customFormat="1" x14ac:dyDescent="0.5">
      <c r="B690" s="64">
        <v>19</v>
      </c>
      <c r="C690" s="95" t="s">
        <v>36</v>
      </c>
      <c r="D690" s="2">
        <v>6</v>
      </c>
      <c r="E690" s="89"/>
      <c r="F690" s="89"/>
      <c r="G690" s="89"/>
      <c r="H690" s="90"/>
      <c r="I690" s="65"/>
    </row>
    <row r="691" spans="2:9" s="60" customFormat="1" x14ac:dyDescent="0.5">
      <c r="B691" s="64">
        <v>20</v>
      </c>
      <c r="C691" s="95" t="s">
        <v>35</v>
      </c>
      <c r="D691" s="2">
        <v>2</v>
      </c>
      <c r="E691" s="89"/>
      <c r="F691" s="89"/>
      <c r="G691" s="89"/>
      <c r="H691" s="90"/>
      <c r="I691" s="65"/>
    </row>
    <row r="692" spans="2:9" s="60" customFormat="1" x14ac:dyDescent="0.5">
      <c r="B692" s="64">
        <v>21</v>
      </c>
      <c r="C692" s="95" t="s">
        <v>34</v>
      </c>
      <c r="D692" s="2">
        <v>2</v>
      </c>
      <c r="E692" s="89"/>
      <c r="F692" s="89"/>
      <c r="G692" s="89"/>
      <c r="H692" s="90"/>
      <c r="I692" s="65"/>
    </row>
    <row r="693" spans="2:9" s="60" customFormat="1" x14ac:dyDescent="0.5">
      <c r="B693" s="64">
        <v>22</v>
      </c>
      <c r="C693" s="95" t="s">
        <v>33</v>
      </c>
      <c r="D693" s="2">
        <v>4</v>
      </c>
      <c r="E693" s="89"/>
      <c r="F693" s="89"/>
      <c r="G693" s="89"/>
      <c r="H693" s="90"/>
      <c r="I693" s="65"/>
    </row>
    <row r="694" spans="2:9" s="60" customFormat="1" x14ac:dyDescent="0.5">
      <c r="B694" s="64">
        <v>23</v>
      </c>
      <c r="C694" s="95" t="s">
        <v>32</v>
      </c>
      <c r="D694" s="2">
        <v>4</v>
      </c>
      <c r="E694" s="89"/>
      <c r="F694" s="89"/>
      <c r="G694" s="89"/>
      <c r="H694" s="90"/>
      <c r="I694" s="65"/>
    </row>
    <row r="695" spans="2:9" s="60" customFormat="1" x14ac:dyDescent="0.5">
      <c r="B695" s="64">
        <v>24</v>
      </c>
      <c r="C695" s="95" t="s">
        <v>31</v>
      </c>
      <c r="D695" s="2">
        <v>1</v>
      </c>
      <c r="E695" s="89"/>
      <c r="F695" s="89"/>
      <c r="G695" s="89"/>
      <c r="H695" s="90"/>
      <c r="I695" s="65"/>
    </row>
    <row r="696" spans="2:9" s="60" customFormat="1" x14ac:dyDescent="0.5">
      <c r="B696" s="64">
        <v>25</v>
      </c>
      <c r="C696" s="95" t="s">
        <v>30</v>
      </c>
      <c r="D696" s="2">
        <v>1</v>
      </c>
      <c r="E696" s="89"/>
      <c r="F696" s="89"/>
      <c r="G696" s="89"/>
      <c r="H696" s="90"/>
      <c r="I696" s="65"/>
    </row>
    <row r="697" spans="2:9" s="60" customFormat="1" x14ac:dyDescent="0.5">
      <c r="B697" s="64">
        <v>26</v>
      </c>
      <c r="C697" s="95" t="s">
        <v>29</v>
      </c>
      <c r="D697" s="2">
        <v>1</v>
      </c>
      <c r="E697" s="89"/>
      <c r="F697" s="89"/>
      <c r="G697" s="89"/>
      <c r="H697" s="90"/>
      <c r="I697" s="65"/>
    </row>
    <row r="698" spans="2:9" s="60" customFormat="1" ht="31.5" x14ac:dyDescent="0.5">
      <c r="B698" s="64">
        <v>27</v>
      </c>
      <c r="C698" s="95" t="s">
        <v>28</v>
      </c>
      <c r="D698" s="2">
        <v>1</v>
      </c>
      <c r="E698" s="89"/>
      <c r="F698" s="89"/>
      <c r="G698" s="89"/>
      <c r="H698" s="90"/>
      <c r="I698" s="65"/>
    </row>
    <row r="699" spans="2:9" s="60" customFormat="1" ht="31.5" x14ac:dyDescent="0.5">
      <c r="B699" s="64">
        <v>28</v>
      </c>
      <c r="C699" s="95" t="s">
        <v>27</v>
      </c>
      <c r="D699" s="2">
        <v>1</v>
      </c>
      <c r="E699" s="89"/>
      <c r="F699" s="89"/>
      <c r="G699" s="89"/>
      <c r="H699" s="90"/>
      <c r="I699" s="65"/>
    </row>
    <row r="700" spans="2:9" s="60" customFormat="1" ht="31.5" x14ac:dyDescent="0.5">
      <c r="B700" s="64">
        <v>29</v>
      </c>
      <c r="C700" s="95" t="s">
        <v>26</v>
      </c>
      <c r="D700" s="2">
        <v>1</v>
      </c>
      <c r="E700" s="89"/>
      <c r="F700" s="89"/>
      <c r="G700" s="89"/>
      <c r="H700" s="90"/>
      <c r="I700" s="65"/>
    </row>
    <row r="701" spans="2:9" s="60" customFormat="1" ht="31.5" x14ac:dyDescent="0.5">
      <c r="B701" s="64">
        <v>30</v>
      </c>
      <c r="C701" s="95" t="s">
        <v>25</v>
      </c>
      <c r="D701" s="2">
        <v>1</v>
      </c>
      <c r="E701" s="89"/>
      <c r="F701" s="89"/>
      <c r="G701" s="89"/>
      <c r="H701" s="90"/>
      <c r="I701" s="65"/>
    </row>
    <row r="702" spans="2:9" s="60" customFormat="1" ht="31.5" x14ac:dyDescent="0.5">
      <c r="B702" s="64">
        <v>31</v>
      </c>
      <c r="C702" s="95" t="s">
        <v>24</v>
      </c>
      <c r="D702" s="2">
        <v>1</v>
      </c>
      <c r="E702" s="89"/>
      <c r="F702" s="89"/>
      <c r="G702" s="89"/>
      <c r="H702" s="90"/>
      <c r="I702" s="65"/>
    </row>
    <row r="703" spans="2:9" s="60" customFormat="1" ht="31.5" x14ac:dyDescent="0.5">
      <c r="B703" s="64">
        <v>32</v>
      </c>
      <c r="C703" s="95" t="s">
        <v>23</v>
      </c>
      <c r="D703" s="2">
        <v>1</v>
      </c>
      <c r="E703" s="89"/>
      <c r="F703" s="89"/>
      <c r="G703" s="89"/>
      <c r="H703" s="90"/>
      <c r="I703" s="65"/>
    </row>
    <row r="704" spans="2:9" s="60" customFormat="1" ht="31.5" x14ac:dyDescent="0.5">
      <c r="B704" s="64">
        <v>33</v>
      </c>
      <c r="C704" s="95" t="s">
        <v>22</v>
      </c>
      <c r="D704" s="2">
        <v>1</v>
      </c>
      <c r="E704" s="89"/>
      <c r="F704" s="89"/>
      <c r="G704" s="89"/>
      <c r="H704" s="90"/>
      <c r="I704" s="65"/>
    </row>
    <row r="705" spans="2:9" s="60" customFormat="1" ht="47.25" x14ac:dyDescent="0.5">
      <c r="B705" s="64">
        <v>34</v>
      </c>
      <c r="C705" s="95" t="s">
        <v>0</v>
      </c>
      <c r="D705" s="2">
        <v>1</v>
      </c>
      <c r="E705" s="89"/>
      <c r="F705" s="89"/>
      <c r="G705" s="89"/>
      <c r="H705" s="90"/>
      <c r="I705" s="65"/>
    </row>
    <row r="706" spans="2:9" s="60" customFormat="1" x14ac:dyDescent="0.5">
      <c r="B706" s="87"/>
      <c r="C706" s="106"/>
      <c r="D706" s="91">
        <f>SUM(D672:D705)</f>
        <v>65</v>
      </c>
      <c r="E706" s="91"/>
      <c r="F706" s="91"/>
      <c r="G706" s="91"/>
      <c r="H706" s="70"/>
      <c r="I706" s="70"/>
    </row>
    <row r="707" spans="2:9" s="60" customFormat="1" x14ac:dyDescent="0.5">
      <c r="B707" s="66"/>
      <c r="C707" s="105"/>
      <c r="D707" s="85"/>
      <c r="E707" s="68"/>
      <c r="F707" s="68"/>
      <c r="G707" s="68"/>
      <c r="H707" s="69"/>
      <c r="I707" s="69"/>
    </row>
    <row r="708" spans="2:9" s="60" customFormat="1" ht="15.75" customHeight="1" x14ac:dyDescent="0.5">
      <c r="B708" s="121" t="s">
        <v>458</v>
      </c>
      <c r="C708" s="122"/>
      <c r="D708" s="122"/>
      <c r="E708" s="122"/>
      <c r="F708" s="122"/>
      <c r="G708" s="122"/>
      <c r="H708" s="122"/>
      <c r="I708" s="123"/>
    </row>
    <row r="709" spans="2:9" s="60" customFormat="1" ht="31.5" x14ac:dyDescent="0.45">
      <c r="B709" s="61" t="s">
        <v>21</v>
      </c>
      <c r="C709" s="94" t="s">
        <v>20</v>
      </c>
      <c r="D709" s="61" t="s">
        <v>19</v>
      </c>
      <c r="E709" s="61" t="s">
        <v>523</v>
      </c>
      <c r="F709" s="61" t="s">
        <v>524</v>
      </c>
      <c r="G709" s="61" t="s">
        <v>525</v>
      </c>
      <c r="H709" s="62" t="s">
        <v>18</v>
      </c>
      <c r="I709" s="62" t="s">
        <v>17</v>
      </c>
    </row>
    <row r="710" spans="2:9" s="60" customFormat="1" ht="31.5" x14ac:dyDescent="0.45">
      <c r="B710" s="63">
        <v>1</v>
      </c>
      <c r="C710" s="95" t="s">
        <v>108</v>
      </c>
      <c r="D710" s="64">
        <v>1</v>
      </c>
      <c r="E710" s="64"/>
      <c r="F710" s="64"/>
      <c r="G710" s="64"/>
      <c r="H710" s="65"/>
      <c r="I710" s="65"/>
    </row>
    <row r="711" spans="2:9" s="60" customFormat="1" ht="31.5" x14ac:dyDescent="0.45">
      <c r="B711" s="63">
        <v>2</v>
      </c>
      <c r="C711" s="95" t="s">
        <v>107</v>
      </c>
      <c r="D711" s="64">
        <v>2</v>
      </c>
      <c r="E711" s="64"/>
      <c r="F711" s="64"/>
      <c r="G711" s="64"/>
      <c r="H711" s="65"/>
      <c r="I711" s="65"/>
    </row>
    <row r="712" spans="2:9" s="60" customFormat="1" x14ac:dyDescent="0.45">
      <c r="B712" s="63">
        <v>3</v>
      </c>
      <c r="C712" s="95" t="s">
        <v>76</v>
      </c>
      <c r="D712" s="64">
        <v>3</v>
      </c>
      <c r="E712" s="64"/>
      <c r="F712" s="64"/>
      <c r="G712" s="64"/>
      <c r="H712" s="65"/>
      <c r="I712" s="65"/>
    </row>
    <row r="713" spans="2:9" s="60" customFormat="1" x14ac:dyDescent="0.45">
      <c r="B713" s="63">
        <v>4</v>
      </c>
      <c r="C713" s="95" t="s">
        <v>106</v>
      </c>
      <c r="D713" s="64">
        <v>2</v>
      </c>
      <c r="E713" s="64"/>
      <c r="F713" s="64"/>
      <c r="G713" s="64"/>
      <c r="H713" s="65"/>
      <c r="I713" s="65"/>
    </row>
    <row r="714" spans="2:9" s="60" customFormat="1" ht="31.5" x14ac:dyDescent="0.45">
      <c r="B714" s="63">
        <v>5</v>
      </c>
      <c r="C714" s="95" t="s">
        <v>105</v>
      </c>
      <c r="D714" s="64">
        <v>2</v>
      </c>
      <c r="E714" s="64"/>
      <c r="F714" s="64"/>
      <c r="G714" s="64"/>
      <c r="H714" s="65"/>
      <c r="I714" s="65"/>
    </row>
    <row r="715" spans="2:9" s="60" customFormat="1" ht="31.5" customHeight="1" x14ac:dyDescent="0.45">
      <c r="B715" s="63">
        <v>6</v>
      </c>
      <c r="C715" s="95" t="s">
        <v>104</v>
      </c>
      <c r="D715" s="64">
        <v>2</v>
      </c>
      <c r="E715" s="64"/>
      <c r="F715" s="64"/>
      <c r="G715" s="64"/>
      <c r="H715" s="65"/>
      <c r="I715" s="65"/>
    </row>
    <row r="716" spans="2:9" s="60" customFormat="1" x14ac:dyDescent="0.45">
      <c r="B716" s="63">
        <v>7</v>
      </c>
      <c r="C716" s="95" t="s">
        <v>103</v>
      </c>
      <c r="D716" s="64">
        <v>2</v>
      </c>
      <c r="E716" s="64"/>
      <c r="F716" s="64"/>
      <c r="G716" s="64"/>
      <c r="H716" s="65"/>
      <c r="I716" s="65"/>
    </row>
    <row r="717" spans="2:9" s="60" customFormat="1" x14ac:dyDescent="0.45">
      <c r="B717" s="63">
        <v>8</v>
      </c>
      <c r="C717" s="95" t="s">
        <v>102</v>
      </c>
      <c r="D717" s="64">
        <v>2</v>
      </c>
      <c r="E717" s="64"/>
      <c r="F717" s="64"/>
      <c r="G717" s="64"/>
      <c r="H717" s="65"/>
      <c r="I717" s="65"/>
    </row>
    <row r="718" spans="2:9" s="60" customFormat="1" x14ac:dyDescent="0.45">
      <c r="B718" s="63">
        <v>9</v>
      </c>
      <c r="C718" s="95" t="s">
        <v>77</v>
      </c>
      <c r="D718" s="64">
        <v>1</v>
      </c>
      <c r="E718" s="64"/>
      <c r="F718" s="64"/>
      <c r="G718" s="64"/>
      <c r="H718" s="65"/>
      <c r="I718" s="65"/>
    </row>
    <row r="719" spans="2:9" s="60" customFormat="1" x14ac:dyDescent="0.45">
      <c r="B719" s="63">
        <v>10</v>
      </c>
      <c r="C719" s="95" t="s">
        <v>78</v>
      </c>
      <c r="D719" s="64">
        <v>1</v>
      </c>
      <c r="E719" s="64"/>
      <c r="F719" s="64"/>
      <c r="G719" s="64"/>
      <c r="H719" s="65"/>
      <c r="I719" s="65"/>
    </row>
    <row r="720" spans="2:9" s="60" customFormat="1" x14ac:dyDescent="0.45">
      <c r="B720" s="63">
        <v>11</v>
      </c>
      <c r="C720" s="95" t="s">
        <v>101</v>
      </c>
      <c r="D720" s="64">
        <v>1</v>
      </c>
      <c r="E720" s="64"/>
      <c r="F720" s="64"/>
      <c r="G720" s="64"/>
      <c r="H720" s="65"/>
      <c r="I720" s="65"/>
    </row>
    <row r="721" spans="2:9" s="60" customFormat="1" x14ac:dyDescent="0.45">
      <c r="B721" s="63">
        <v>12</v>
      </c>
      <c r="C721" s="95" t="s">
        <v>100</v>
      </c>
      <c r="D721" s="64">
        <v>1</v>
      </c>
      <c r="E721" s="64"/>
      <c r="F721" s="64"/>
      <c r="G721" s="64"/>
      <c r="H721" s="65"/>
      <c r="I721" s="65"/>
    </row>
    <row r="722" spans="2:9" s="60" customFormat="1" x14ac:dyDescent="0.45">
      <c r="B722" s="63">
        <v>13</v>
      </c>
      <c r="C722" s="95" t="s">
        <v>99</v>
      </c>
      <c r="D722" s="64">
        <v>1</v>
      </c>
      <c r="E722" s="64"/>
      <c r="F722" s="64"/>
      <c r="G722" s="64"/>
      <c r="H722" s="65"/>
      <c r="I722" s="65"/>
    </row>
    <row r="723" spans="2:9" s="60" customFormat="1" x14ac:dyDescent="0.45">
      <c r="B723" s="63">
        <v>14</v>
      </c>
      <c r="C723" s="95" t="s">
        <v>98</v>
      </c>
      <c r="D723" s="64">
        <v>1</v>
      </c>
      <c r="E723" s="64"/>
      <c r="F723" s="64"/>
      <c r="G723" s="64"/>
      <c r="H723" s="65"/>
      <c r="I723" s="65"/>
    </row>
    <row r="724" spans="2:9" s="60" customFormat="1" ht="31.5" x14ac:dyDescent="0.45">
      <c r="B724" s="63">
        <v>16</v>
      </c>
      <c r="C724" s="95" t="s">
        <v>97</v>
      </c>
      <c r="D724" s="64">
        <v>2</v>
      </c>
      <c r="E724" s="64"/>
      <c r="F724" s="64"/>
      <c r="G724" s="64"/>
      <c r="H724" s="65"/>
      <c r="I724" s="65"/>
    </row>
    <row r="725" spans="2:9" s="60" customFormat="1" ht="31.5" x14ac:dyDescent="0.45">
      <c r="B725" s="63">
        <v>17</v>
      </c>
      <c r="C725" s="95" t="s">
        <v>96</v>
      </c>
      <c r="D725" s="64">
        <v>1</v>
      </c>
      <c r="E725" s="64"/>
      <c r="F725" s="64"/>
      <c r="G725" s="64"/>
      <c r="H725" s="65"/>
      <c r="I725" s="65"/>
    </row>
    <row r="726" spans="2:9" s="60" customFormat="1" x14ac:dyDescent="0.45">
      <c r="B726" s="63">
        <v>18</v>
      </c>
      <c r="C726" s="95" t="s">
        <v>95</v>
      </c>
      <c r="D726" s="64">
        <v>1</v>
      </c>
      <c r="E726" s="64"/>
      <c r="F726" s="64"/>
      <c r="G726" s="64"/>
      <c r="H726" s="65"/>
      <c r="I726" s="65"/>
    </row>
    <row r="727" spans="2:9" s="60" customFormat="1" x14ac:dyDescent="0.45">
      <c r="B727" s="63">
        <v>19</v>
      </c>
      <c r="C727" s="95" t="s">
        <v>94</v>
      </c>
      <c r="D727" s="64">
        <v>1</v>
      </c>
      <c r="E727" s="64"/>
      <c r="F727" s="64"/>
      <c r="G727" s="64"/>
      <c r="H727" s="65"/>
      <c r="I727" s="65"/>
    </row>
    <row r="728" spans="2:9" s="60" customFormat="1" x14ac:dyDescent="0.45">
      <c r="B728" s="63">
        <v>20</v>
      </c>
      <c r="C728" s="95" t="s">
        <v>93</v>
      </c>
      <c r="D728" s="64">
        <v>1</v>
      </c>
      <c r="E728" s="64"/>
      <c r="F728" s="64"/>
      <c r="G728" s="64"/>
      <c r="H728" s="65"/>
      <c r="I728" s="65"/>
    </row>
    <row r="729" spans="2:9" s="60" customFormat="1" ht="31.5" x14ac:dyDescent="0.45">
      <c r="B729" s="63">
        <v>21</v>
      </c>
      <c r="C729" s="95" t="s">
        <v>71</v>
      </c>
      <c r="D729" s="64">
        <v>1</v>
      </c>
      <c r="E729" s="64"/>
      <c r="F729" s="64"/>
      <c r="G729" s="64"/>
      <c r="H729" s="65"/>
      <c r="I729" s="65"/>
    </row>
    <row r="730" spans="2:9" s="60" customFormat="1" ht="31.5" x14ac:dyDescent="0.45">
      <c r="B730" s="63">
        <v>22</v>
      </c>
      <c r="C730" s="95" t="s">
        <v>69</v>
      </c>
      <c r="D730" s="64">
        <v>1</v>
      </c>
      <c r="E730" s="64"/>
      <c r="F730" s="64"/>
      <c r="G730" s="64"/>
      <c r="H730" s="65"/>
      <c r="I730" s="65"/>
    </row>
    <row r="731" spans="2:9" s="60" customFormat="1" x14ac:dyDescent="0.45">
      <c r="B731" s="63">
        <v>23</v>
      </c>
      <c r="C731" s="95" t="s">
        <v>72</v>
      </c>
      <c r="D731" s="64">
        <v>2</v>
      </c>
      <c r="E731" s="64"/>
      <c r="F731" s="64"/>
      <c r="G731" s="64"/>
      <c r="H731" s="65"/>
      <c r="I731" s="65"/>
    </row>
    <row r="732" spans="2:9" s="60" customFormat="1" x14ac:dyDescent="0.45">
      <c r="B732" s="63">
        <v>24</v>
      </c>
      <c r="C732" s="95" t="s">
        <v>92</v>
      </c>
      <c r="D732" s="64">
        <v>4</v>
      </c>
      <c r="E732" s="64"/>
      <c r="F732" s="64"/>
      <c r="G732" s="64"/>
      <c r="H732" s="65"/>
      <c r="I732" s="65"/>
    </row>
    <row r="733" spans="2:9" s="60" customFormat="1" ht="31.5" x14ac:dyDescent="0.45">
      <c r="B733" s="63">
        <v>25</v>
      </c>
      <c r="C733" s="95" t="s">
        <v>66</v>
      </c>
      <c r="D733" s="64">
        <v>6</v>
      </c>
      <c r="E733" s="64"/>
      <c r="F733" s="64"/>
      <c r="G733" s="64"/>
      <c r="H733" s="65"/>
      <c r="I733" s="65"/>
    </row>
    <row r="734" spans="2:9" s="60" customFormat="1" ht="31.5" x14ac:dyDescent="0.45">
      <c r="B734" s="63">
        <v>26</v>
      </c>
      <c r="C734" s="95" t="s">
        <v>65</v>
      </c>
      <c r="D734" s="64">
        <v>6</v>
      </c>
      <c r="E734" s="64"/>
      <c r="F734" s="64"/>
      <c r="G734" s="64"/>
      <c r="H734" s="65"/>
      <c r="I734" s="65"/>
    </row>
    <row r="735" spans="2:9" s="60" customFormat="1" ht="31.5" x14ac:dyDescent="0.45">
      <c r="B735" s="63">
        <v>27</v>
      </c>
      <c r="C735" s="95" t="s">
        <v>91</v>
      </c>
      <c r="D735" s="64">
        <v>1</v>
      </c>
      <c r="E735" s="64"/>
      <c r="F735" s="64"/>
      <c r="G735" s="64"/>
      <c r="H735" s="65"/>
      <c r="I735" s="65"/>
    </row>
    <row r="736" spans="2:9" s="60" customFormat="1" x14ac:dyDescent="0.45">
      <c r="B736" s="63">
        <v>28</v>
      </c>
      <c r="C736" s="95" t="s">
        <v>64</v>
      </c>
      <c r="D736" s="64">
        <v>6</v>
      </c>
      <c r="E736" s="64"/>
      <c r="F736" s="64"/>
      <c r="G736" s="64"/>
      <c r="H736" s="65"/>
      <c r="I736" s="65"/>
    </row>
    <row r="737" spans="1:9" s="60" customFormat="1" ht="31.5" x14ac:dyDescent="0.45">
      <c r="B737" s="63">
        <v>29</v>
      </c>
      <c r="C737" s="95" t="s">
        <v>62</v>
      </c>
      <c r="D737" s="64">
        <v>2</v>
      </c>
      <c r="E737" s="64"/>
      <c r="F737" s="64"/>
      <c r="G737" s="64"/>
      <c r="H737" s="65"/>
      <c r="I737" s="65"/>
    </row>
    <row r="738" spans="1:9" s="60" customFormat="1" x14ac:dyDescent="0.45">
      <c r="B738" s="63">
        <v>30</v>
      </c>
      <c r="C738" s="95" t="s">
        <v>90</v>
      </c>
      <c r="D738" s="64">
        <v>1</v>
      </c>
      <c r="E738" s="64"/>
      <c r="F738" s="64"/>
      <c r="G738" s="64"/>
      <c r="H738" s="65"/>
      <c r="I738" s="65"/>
    </row>
    <row r="739" spans="1:9" s="60" customFormat="1" x14ac:dyDescent="0.45">
      <c r="B739" s="63">
        <v>31</v>
      </c>
      <c r="C739" s="107" t="s">
        <v>89</v>
      </c>
      <c r="D739" s="64">
        <v>1</v>
      </c>
      <c r="E739" s="64"/>
      <c r="F739" s="64"/>
      <c r="G739" s="64"/>
      <c r="H739" s="65"/>
      <c r="I739" s="65"/>
    </row>
    <row r="740" spans="1:9" s="60" customFormat="1" x14ac:dyDescent="0.45">
      <c r="B740" s="63">
        <v>32</v>
      </c>
      <c r="C740" s="107" t="s">
        <v>89</v>
      </c>
      <c r="D740" s="64">
        <v>1</v>
      </c>
      <c r="E740" s="64"/>
      <c r="F740" s="64"/>
      <c r="G740" s="64"/>
      <c r="H740" s="65"/>
      <c r="I740" s="65"/>
    </row>
    <row r="741" spans="1:9" s="60" customFormat="1" x14ac:dyDescent="0.45">
      <c r="B741" s="63">
        <v>33</v>
      </c>
      <c r="C741" s="95" t="s">
        <v>88</v>
      </c>
      <c r="D741" s="64">
        <v>1</v>
      </c>
      <c r="E741" s="64"/>
      <c r="F741" s="64"/>
      <c r="G741" s="64"/>
      <c r="H741" s="65"/>
      <c r="I741" s="65"/>
    </row>
    <row r="742" spans="1:9" s="60" customFormat="1" x14ac:dyDescent="0.45">
      <c r="B742" s="63">
        <v>34</v>
      </c>
      <c r="C742" s="95" t="s">
        <v>87</v>
      </c>
      <c r="D742" s="64">
        <v>1</v>
      </c>
      <c r="E742" s="64"/>
      <c r="F742" s="64"/>
      <c r="G742" s="64"/>
      <c r="H742" s="65"/>
      <c r="I742" s="65"/>
    </row>
    <row r="743" spans="1:9" s="60" customFormat="1" x14ac:dyDescent="0.45">
      <c r="B743" s="63">
        <v>35</v>
      </c>
      <c r="C743" s="95" t="s">
        <v>87</v>
      </c>
      <c r="D743" s="64">
        <v>1</v>
      </c>
      <c r="E743" s="64"/>
      <c r="F743" s="64"/>
      <c r="G743" s="64"/>
      <c r="H743" s="65"/>
      <c r="I743" s="65"/>
    </row>
    <row r="744" spans="1:9" s="60" customFormat="1" x14ac:dyDescent="0.45">
      <c r="B744" s="63">
        <v>36</v>
      </c>
      <c r="C744" s="95" t="s">
        <v>86</v>
      </c>
      <c r="D744" s="64">
        <v>1</v>
      </c>
      <c r="E744" s="64"/>
      <c r="F744" s="64"/>
      <c r="G744" s="64"/>
      <c r="H744" s="65"/>
      <c r="I744" s="65"/>
    </row>
    <row r="745" spans="1:9" s="60" customFormat="1" ht="31.5" x14ac:dyDescent="0.45">
      <c r="B745" s="63">
        <v>37</v>
      </c>
      <c r="C745" s="95" t="s">
        <v>85</v>
      </c>
      <c r="D745" s="64">
        <v>1</v>
      </c>
      <c r="E745" s="64"/>
      <c r="F745" s="64"/>
      <c r="G745" s="64"/>
      <c r="H745" s="65"/>
      <c r="I745" s="65"/>
    </row>
    <row r="746" spans="1:9" s="60" customFormat="1" ht="31.5" x14ac:dyDescent="0.45">
      <c r="B746" s="63">
        <v>38</v>
      </c>
      <c r="C746" s="95" t="s">
        <v>84</v>
      </c>
      <c r="D746" s="64">
        <v>1</v>
      </c>
      <c r="E746" s="64"/>
      <c r="F746" s="64"/>
      <c r="G746" s="64"/>
      <c r="H746" s="65"/>
      <c r="I746" s="65"/>
    </row>
    <row r="747" spans="1:9" s="60" customFormat="1" ht="31.5" x14ac:dyDescent="0.45">
      <c r="B747" s="63">
        <v>39</v>
      </c>
      <c r="C747" s="95" t="s">
        <v>83</v>
      </c>
      <c r="D747" s="64">
        <v>1</v>
      </c>
      <c r="E747" s="64"/>
      <c r="F747" s="64"/>
      <c r="G747" s="64"/>
      <c r="H747" s="65"/>
      <c r="I747" s="65"/>
    </row>
    <row r="748" spans="1:9" s="60" customFormat="1" ht="31.5" x14ac:dyDescent="0.45">
      <c r="B748" s="63">
        <v>40</v>
      </c>
      <c r="C748" s="95" t="s">
        <v>82</v>
      </c>
      <c r="D748" s="64">
        <v>1</v>
      </c>
      <c r="E748" s="64"/>
      <c r="F748" s="64"/>
      <c r="G748" s="64"/>
      <c r="H748" s="65"/>
      <c r="I748" s="65"/>
    </row>
    <row r="749" spans="1:9" s="60" customFormat="1" ht="47.25" x14ac:dyDescent="0.45">
      <c r="B749" s="63">
        <v>41</v>
      </c>
      <c r="C749" s="95" t="s">
        <v>0</v>
      </c>
      <c r="D749" s="64">
        <v>1</v>
      </c>
      <c r="E749" s="64"/>
      <c r="F749" s="64"/>
      <c r="G749" s="64"/>
      <c r="H749" s="65"/>
      <c r="I749" s="65"/>
    </row>
    <row r="750" spans="1:9" s="60" customFormat="1" x14ac:dyDescent="0.5">
      <c r="B750" s="66"/>
      <c r="C750" s="96"/>
      <c r="D750" s="67">
        <f>SUM(D710:D749)</f>
        <v>69</v>
      </c>
      <c r="E750" s="68"/>
      <c r="F750" s="68"/>
      <c r="G750" s="68"/>
      <c r="H750" s="69"/>
      <c r="I750" s="70"/>
    </row>
    <row r="751" spans="1:9" customFormat="1" ht="14.25" x14ac:dyDescent="0.45">
      <c r="A751" s="7"/>
      <c r="C751" s="98"/>
      <c r="D751" s="8"/>
      <c r="E751" s="8"/>
      <c r="F751" s="8"/>
      <c r="G751" s="8"/>
      <c r="H751" s="8"/>
    </row>
    <row r="752" spans="1:9" s="60" customFormat="1" ht="15.75" customHeight="1" x14ac:dyDescent="0.5">
      <c r="B752" s="121" t="s">
        <v>442</v>
      </c>
      <c r="C752" s="122"/>
      <c r="D752" s="122"/>
      <c r="E752" s="122"/>
      <c r="F752" s="122"/>
      <c r="G752" s="122"/>
      <c r="H752" s="122"/>
      <c r="I752" s="123"/>
    </row>
    <row r="753" spans="2:9" s="60" customFormat="1" ht="31.5" x14ac:dyDescent="0.45">
      <c r="B753" s="61" t="s">
        <v>21</v>
      </c>
      <c r="C753" s="94" t="s">
        <v>20</v>
      </c>
      <c r="D753" s="61" t="s">
        <v>19</v>
      </c>
      <c r="E753" s="61" t="s">
        <v>523</v>
      </c>
      <c r="F753" s="61" t="s">
        <v>524</v>
      </c>
      <c r="G753" s="61" t="s">
        <v>525</v>
      </c>
      <c r="H753" s="62" t="s">
        <v>18</v>
      </c>
      <c r="I753" s="62" t="s">
        <v>17</v>
      </c>
    </row>
    <row r="754" spans="2:9" s="60" customFormat="1" ht="31.5" x14ac:dyDescent="0.45">
      <c r="B754" s="63">
        <v>1</v>
      </c>
      <c r="C754" s="95" t="s">
        <v>81</v>
      </c>
      <c r="D754" s="64">
        <v>1</v>
      </c>
      <c r="E754" s="64"/>
      <c r="F754" s="64"/>
      <c r="G754" s="64"/>
      <c r="H754" s="65"/>
      <c r="I754" s="65"/>
    </row>
    <row r="755" spans="2:9" s="60" customFormat="1" x14ac:dyDescent="0.45">
      <c r="B755" s="63">
        <v>2</v>
      </c>
      <c r="C755" s="95" t="s">
        <v>80</v>
      </c>
      <c r="D755" s="64">
        <v>1</v>
      </c>
      <c r="E755" s="64"/>
      <c r="F755" s="64"/>
      <c r="G755" s="64"/>
      <c r="H755" s="65"/>
      <c r="I755" s="65"/>
    </row>
    <row r="756" spans="2:9" s="60" customFormat="1" x14ac:dyDescent="0.45">
      <c r="B756" s="63">
        <v>3</v>
      </c>
      <c r="C756" s="95" t="s">
        <v>79</v>
      </c>
      <c r="D756" s="64">
        <v>1</v>
      </c>
      <c r="E756" s="64"/>
      <c r="F756" s="64"/>
      <c r="G756" s="64"/>
      <c r="H756" s="65"/>
      <c r="I756" s="65"/>
    </row>
    <row r="757" spans="2:9" s="60" customFormat="1" x14ac:dyDescent="0.45">
      <c r="B757" s="63">
        <v>4</v>
      </c>
      <c r="C757" s="95" t="s">
        <v>78</v>
      </c>
      <c r="D757" s="64">
        <v>1</v>
      </c>
      <c r="E757" s="64"/>
      <c r="F757" s="64"/>
      <c r="G757" s="64"/>
      <c r="H757" s="65"/>
      <c r="I757" s="65"/>
    </row>
    <row r="758" spans="2:9" s="60" customFormat="1" x14ac:dyDescent="0.45">
      <c r="B758" s="63">
        <v>5</v>
      </c>
      <c r="C758" s="95" t="s">
        <v>77</v>
      </c>
      <c r="D758" s="64">
        <v>1</v>
      </c>
      <c r="E758" s="64"/>
      <c r="F758" s="64"/>
      <c r="G758" s="64"/>
      <c r="H758" s="65"/>
      <c r="I758" s="65"/>
    </row>
    <row r="759" spans="2:9" s="60" customFormat="1" x14ac:dyDescent="0.45">
      <c r="B759" s="63">
        <v>6</v>
      </c>
      <c r="C759" s="95" t="s">
        <v>76</v>
      </c>
      <c r="D759" s="64">
        <v>4</v>
      </c>
      <c r="E759" s="64"/>
      <c r="F759" s="64"/>
      <c r="G759" s="64"/>
      <c r="H759" s="65"/>
      <c r="I759" s="65"/>
    </row>
    <row r="760" spans="2:9" s="60" customFormat="1" ht="31.5" x14ac:dyDescent="0.45">
      <c r="B760" s="63">
        <v>7</v>
      </c>
      <c r="C760" s="95" t="s">
        <v>75</v>
      </c>
      <c r="D760" s="64">
        <v>1</v>
      </c>
      <c r="E760" s="64"/>
      <c r="F760" s="64"/>
      <c r="G760" s="64"/>
      <c r="H760" s="65"/>
      <c r="I760" s="65"/>
    </row>
    <row r="761" spans="2:9" s="60" customFormat="1" ht="31.5" x14ac:dyDescent="0.45">
      <c r="B761" s="63">
        <v>8</v>
      </c>
      <c r="C761" s="95" t="s">
        <v>74</v>
      </c>
      <c r="D761" s="64">
        <v>10</v>
      </c>
      <c r="E761" s="64"/>
      <c r="F761" s="64"/>
      <c r="G761" s="64"/>
      <c r="H761" s="65"/>
      <c r="I761" s="65"/>
    </row>
    <row r="762" spans="2:9" s="60" customFormat="1" ht="31.5" x14ac:dyDescent="0.45">
      <c r="B762" s="63">
        <v>9</v>
      </c>
      <c r="C762" s="95" t="s">
        <v>73</v>
      </c>
      <c r="D762" s="64">
        <v>1</v>
      </c>
      <c r="E762" s="64"/>
      <c r="F762" s="64"/>
      <c r="G762" s="64"/>
      <c r="H762" s="65"/>
      <c r="I762" s="65"/>
    </row>
    <row r="763" spans="2:9" s="60" customFormat="1" ht="15.75" customHeight="1" x14ac:dyDescent="0.45">
      <c r="B763" s="63">
        <v>10</v>
      </c>
      <c r="C763" s="95" t="s">
        <v>72</v>
      </c>
      <c r="D763" s="64">
        <v>2</v>
      </c>
      <c r="E763" s="64"/>
      <c r="F763" s="64"/>
      <c r="G763" s="64"/>
      <c r="H763" s="65"/>
      <c r="I763" s="65"/>
    </row>
    <row r="764" spans="2:9" s="60" customFormat="1" ht="31.5" x14ac:dyDescent="0.45">
      <c r="B764" s="63">
        <v>11</v>
      </c>
      <c r="C764" s="95" t="s">
        <v>71</v>
      </c>
      <c r="D764" s="64">
        <v>2</v>
      </c>
      <c r="E764" s="64"/>
      <c r="F764" s="64"/>
      <c r="G764" s="64"/>
      <c r="H764" s="65"/>
      <c r="I764" s="65"/>
    </row>
    <row r="765" spans="2:9" s="60" customFormat="1" ht="31.5" x14ac:dyDescent="0.45">
      <c r="B765" s="63">
        <v>12</v>
      </c>
      <c r="C765" s="95" t="s">
        <v>70</v>
      </c>
      <c r="D765" s="64">
        <v>1</v>
      </c>
      <c r="E765" s="64"/>
      <c r="F765" s="64"/>
      <c r="G765" s="64"/>
      <c r="H765" s="65"/>
      <c r="I765" s="65"/>
    </row>
    <row r="766" spans="2:9" s="60" customFormat="1" ht="31.5" x14ac:dyDescent="0.45">
      <c r="B766" s="63">
        <v>13</v>
      </c>
      <c r="C766" s="95" t="s">
        <v>69</v>
      </c>
      <c r="D766" s="64">
        <v>2</v>
      </c>
      <c r="E766" s="64"/>
      <c r="F766" s="64"/>
      <c r="G766" s="64"/>
      <c r="H766" s="65"/>
      <c r="I766" s="65"/>
    </row>
    <row r="767" spans="2:9" s="60" customFormat="1" ht="31.5" x14ac:dyDescent="0.45">
      <c r="B767" s="63">
        <v>14</v>
      </c>
      <c r="C767" s="95" t="s">
        <v>68</v>
      </c>
      <c r="D767" s="64">
        <v>1</v>
      </c>
      <c r="E767" s="64"/>
      <c r="F767" s="64"/>
      <c r="G767" s="64"/>
      <c r="H767" s="65"/>
      <c r="I767" s="65"/>
    </row>
    <row r="768" spans="2:9" s="60" customFormat="1" x14ac:dyDescent="0.45">
      <c r="B768" s="63">
        <v>15</v>
      </c>
      <c r="C768" s="95" t="s">
        <v>67</v>
      </c>
      <c r="D768" s="64">
        <v>2</v>
      </c>
      <c r="E768" s="64"/>
      <c r="F768" s="64"/>
      <c r="G768" s="64"/>
      <c r="H768" s="65"/>
      <c r="I768" s="65"/>
    </row>
    <row r="769" spans="2:9" s="60" customFormat="1" ht="31.5" x14ac:dyDescent="0.45">
      <c r="B769" s="63">
        <v>16</v>
      </c>
      <c r="C769" s="95" t="s">
        <v>66</v>
      </c>
      <c r="D769" s="64">
        <v>6</v>
      </c>
      <c r="E769" s="64"/>
      <c r="F769" s="64"/>
      <c r="G769" s="64"/>
      <c r="H769" s="65"/>
      <c r="I769" s="65"/>
    </row>
    <row r="770" spans="2:9" s="60" customFormat="1" ht="31.5" x14ac:dyDescent="0.45">
      <c r="B770" s="63">
        <v>17</v>
      </c>
      <c r="C770" s="95" t="s">
        <v>65</v>
      </c>
      <c r="D770" s="64">
        <v>4</v>
      </c>
      <c r="E770" s="64"/>
      <c r="F770" s="64"/>
      <c r="G770" s="64"/>
      <c r="H770" s="65"/>
      <c r="I770" s="65"/>
    </row>
    <row r="771" spans="2:9" s="60" customFormat="1" x14ac:dyDescent="0.45">
      <c r="B771" s="63">
        <v>18</v>
      </c>
      <c r="C771" s="95" t="s">
        <v>64</v>
      </c>
      <c r="D771" s="64">
        <v>6</v>
      </c>
      <c r="E771" s="64"/>
      <c r="F771" s="64"/>
      <c r="G771" s="64"/>
      <c r="H771" s="65"/>
      <c r="I771" s="65"/>
    </row>
    <row r="772" spans="2:9" s="60" customFormat="1" x14ac:dyDescent="0.45">
      <c r="B772" s="63">
        <v>19</v>
      </c>
      <c r="C772" s="95" t="s">
        <v>63</v>
      </c>
      <c r="D772" s="64">
        <v>4</v>
      </c>
      <c r="E772" s="64"/>
      <c r="F772" s="64"/>
      <c r="G772" s="64"/>
      <c r="H772" s="65"/>
      <c r="I772" s="65"/>
    </row>
    <row r="773" spans="2:9" s="60" customFormat="1" ht="31.5" x14ac:dyDescent="0.45">
      <c r="B773" s="63">
        <v>20</v>
      </c>
      <c r="C773" s="95" t="s">
        <v>62</v>
      </c>
      <c r="D773" s="64">
        <v>2</v>
      </c>
      <c r="E773" s="64"/>
      <c r="F773" s="64"/>
      <c r="G773" s="64"/>
      <c r="H773" s="65"/>
      <c r="I773" s="65"/>
    </row>
    <row r="774" spans="2:9" s="60" customFormat="1" ht="31.5" x14ac:dyDescent="0.45">
      <c r="B774" s="63">
        <v>21</v>
      </c>
      <c r="C774" s="95" t="s">
        <v>61</v>
      </c>
      <c r="D774" s="64">
        <v>1</v>
      </c>
      <c r="E774" s="64"/>
      <c r="F774" s="64"/>
      <c r="G774" s="64"/>
      <c r="H774" s="65"/>
      <c r="I774" s="65"/>
    </row>
    <row r="775" spans="2:9" s="60" customFormat="1" ht="31.5" x14ac:dyDescent="0.45">
      <c r="B775" s="63">
        <v>22</v>
      </c>
      <c r="C775" s="95" t="s">
        <v>60</v>
      </c>
      <c r="D775" s="64">
        <v>1</v>
      </c>
      <c r="E775" s="64"/>
      <c r="F775" s="64"/>
      <c r="G775" s="64"/>
      <c r="H775" s="65"/>
      <c r="I775" s="65"/>
    </row>
    <row r="776" spans="2:9" s="60" customFormat="1" ht="31.5" x14ac:dyDescent="0.45">
      <c r="B776" s="63">
        <v>23</v>
      </c>
      <c r="C776" s="95" t="s">
        <v>59</v>
      </c>
      <c r="D776" s="64">
        <v>1</v>
      </c>
      <c r="E776" s="64"/>
      <c r="F776" s="64"/>
      <c r="G776" s="64"/>
      <c r="H776" s="65"/>
      <c r="I776" s="65"/>
    </row>
    <row r="777" spans="2:9" s="60" customFormat="1" ht="31.5" x14ac:dyDescent="0.45">
      <c r="B777" s="63">
        <v>24</v>
      </c>
      <c r="C777" s="95" t="s">
        <v>58</v>
      </c>
      <c r="D777" s="64">
        <v>1</v>
      </c>
      <c r="E777" s="64"/>
      <c r="F777" s="64"/>
      <c r="G777" s="64"/>
      <c r="H777" s="65"/>
      <c r="I777" s="65"/>
    </row>
    <row r="778" spans="2:9" s="60" customFormat="1" ht="31.5" x14ac:dyDescent="0.45">
      <c r="B778" s="63">
        <v>25</v>
      </c>
      <c r="C778" s="95" t="s">
        <v>57</v>
      </c>
      <c r="D778" s="64">
        <v>1</v>
      </c>
      <c r="E778" s="64"/>
      <c r="F778" s="64"/>
      <c r="G778" s="64"/>
      <c r="H778" s="65"/>
      <c r="I778" s="65"/>
    </row>
    <row r="779" spans="2:9" s="60" customFormat="1" ht="31.5" x14ac:dyDescent="0.45">
      <c r="B779" s="63">
        <v>26</v>
      </c>
      <c r="C779" s="95" t="s">
        <v>56</v>
      </c>
      <c r="D779" s="64">
        <v>1</v>
      </c>
      <c r="E779" s="64"/>
      <c r="F779" s="64"/>
      <c r="G779" s="64"/>
      <c r="H779" s="65"/>
      <c r="I779" s="65"/>
    </row>
    <row r="780" spans="2:9" s="60" customFormat="1" ht="31.5" x14ac:dyDescent="0.45">
      <c r="B780" s="63">
        <v>27</v>
      </c>
      <c r="C780" s="95" t="s">
        <v>55</v>
      </c>
      <c r="D780" s="64">
        <v>2</v>
      </c>
      <c r="E780" s="64"/>
      <c r="F780" s="64"/>
      <c r="G780" s="64"/>
      <c r="H780" s="65"/>
      <c r="I780" s="65"/>
    </row>
    <row r="781" spans="2:9" s="60" customFormat="1" ht="47.25" x14ac:dyDescent="0.45">
      <c r="B781" s="63">
        <v>28</v>
      </c>
      <c r="C781" s="95" t="s">
        <v>0</v>
      </c>
      <c r="D781" s="64">
        <v>1</v>
      </c>
      <c r="E781" s="64"/>
      <c r="F781" s="64"/>
      <c r="G781" s="64"/>
      <c r="H781" s="65"/>
      <c r="I781" s="65"/>
    </row>
    <row r="782" spans="2:9" s="60" customFormat="1" ht="15.75" customHeight="1" x14ac:dyDescent="0.5">
      <c r="B782" s="66"/>
      <c r="C782" s="96"/>
      <c r="D782" s="67">
        <f>SUM(D754:D781)</f>
        <v>62</v>
      </c>
      <c r="E782" s="68"/>
      <c r="F782" s="68"/>
      <c r="G782" s="68"/>
      <c r="H782" s="69"/>
      <c r="I782" s="70"/>
    </row>
    <row r="783" spans="2:9" s="60" customFormat="1" x14ac:dyDescent="0.5">
      <c r="B783" s="66"/>
      <c r="C783" s="105"/>
      <c r="D783" s="85"/>
      <c r="E783" s="68"/>
      <c r="F783" s="68"/>
      <c r="G783" s="68"/>
      <c r="H783" s="69"/>
      <c r="I783" s="69"/>
    </row>
    <row r="784" spans="2:9" s="60" customFormat="1" ht="15.75" customHeight="1" x14ac:dyDescent="0.5">
      <c r="B784" s="121" t="s">
        <v>460</v>
      </c>
      <c r="C784" s="122"/>
      <c r="D784" s="122"/>
      <c r="E784" s="122"/>
      <c r="F784" s="122"/>
      <c r="G784" s="122"/>
      <c r="H784" s="122"/>
      <c r="I784" s="123"/>
    </row>
    <row r="785" spans="2:9" s="60" customFormat="1" ht="31.5" x14ac:dyDescent="0.45">
      <c r="B785" s="61" t="s">
        <v>21</v>
      </c>
      <c r="C785" s="94" t="s">
        <v>20</v>
      </c>
      <c r="D785" s="61" t="s">
        <v>19</v>
      </c>
      <c r="E785" s="61" t="s">
        <v>523</v>
      </c>
      <c r="F785" s="61" t="s">
        <v>524</v>
      </c>
      <c r="G785" s="61" t="s">
        <v>525</v>
      </c>
      <c r="H785" s="62" t="s">
        <v>18</v>
      </c>
      <c r="I785" s="62" t="s">
        <v>17</v>
      </c>
    </row>
    <row r="786" spans="2:9" s="60" customFormat="1" ht="31.5" x14ac:dyDescent="0.45">
      <c r="B786" s="63">
        <v>1</v>
      </c>
      <c r="C786" s="95" t="s">
        <v>81</v>
      </c>
      <c r="D786" s="64">
        <v>2</v>
      </c>
      <c r="E786" s="64"/>
      <c r="F786" s="64"/>
      <c r="G786" s="64"/>
      <c r="H786" s="65"/>
      <c r="I786" s="65"/>
    </row>
    <row r="787" spans="2:9" s="60" customFormat="1" ht="31.5" x14ac:dyDescent="0.45">
      <c r="B787" s="63">
        <v>2</v>
      </c>
      <c r="C787" s="95" t="s">
        <v>107</v>
      </c>
      <c r="D787" s="64">
        <v>2</v>
      </c>
      <c r="E787" s="64"/>
      <c r="F787" s="64"/>
      <c r="G787" s="64"/>
      <c r="H787" s="65"/>
      <c r="I787" s="65"/>
    </row>
    <row r="788" spans="2:9" s="60" customFormat="1" ht="15.75" customHeight="1" x14ac:dyDescent="0.45">
      <c r="B788" s="63">
        <v>3</v>
      </c>
      <c r="C788" s="95" t="s">
        <v>137</v>
      </c>
      <c r="D788" s="64">
        <v>2</v>
      </c>
      <c r="E788" s="64"/>
      <c r="F788" s="64"/>
      <c r="G788" s="64"/>
      <c r="H788" s="65"/>
      <c r="I788" s="65"/>
    </row>
    <row r="789" spans="2:9" s="60" customFormat="1" ht="31.5" x14ac:dyDescent="0.45">
      <c r="B789" s="63">
        <v>4</v>
      </c>
      <c r="C789" s="95" t="s">
        <v>136</v>
      </c>
      <c r="D789" s="64">
        <v>1</v>
      </c>
      <c r="E789" s="64"/>
      <c r="F789" s="64"/>
      <c r="G789" s="64"/>
      <c r="H789" s="65"/>
      <c r="I789" s="65"/>
    </row>
    <row r="790" spans="2:9" s="60" customFormat="1" ht="31.5" x14ac:dyDescent="0.45">
      <c r="B790" s="63">
        <v>5</v>
      </c>
      <c r="C790" s="95" t="s">
        <v>135</v>
      </c>
      <c r="D790" s="64">
        <v>1</v>
      </c>
      <c r="E790" s="64"/>
      <c r="F790" s="64"/>
      <c r="G790" s="64"/>
      <c r="H790" s="65"/>
      <c r="I790" s="65"/>
    </row>
    <row r="791" spans="2:9" s="60" customFormat="1" ht="31.5" x14ac:dyDescent="0.45">
      <c r="B791" s="63">
        <v>6</v>
      </c>
      <c r="C791" s="95" t="s">
        <v>134</v>
      </c>
      <c r="D791" s="64">
        <v>1</v>
      </c>
      <c r="E791" s="64"/>
      <c r="F791" s="64"/>
      <c r="G791" s="64"/>
      <c r="H791" s="65"/>
      <c r="I791" s="65"/>
    </row>
    <row r="792" spans="2:9" s="60" customFormat="1" ht="33.75" customHeight="1" x14ac:dyDescent="0.45">
      <c r="B792" s="63">
        <v>7</v>
      </c>
      <c r="C792" s="95" t="s">
        <v>104</v>
      </c>
      <c r="D792" s="64">
        <v>2</v>
      </c>
      <c r="E792" s="64"/>
      <c r="F792" s="64"/>
      <c r="G792" s="64"/>
      <c r="H792" s="65"/>
      <c r="I792" s="65"/>
    </row>
    <row r="793" spans="2:9" s="60" customFormat="1" x14ac:dyDescent="0.45">
      <c r="B793" s="63">
        <v>8</v>
      </c>
      <c r="C793" s="95" t="s">
        <v>133</v>
      </c>
      <c r="D793" s="64">
        <v>1</v>
      </c>
      <c r="E793" s="64"/>
      <c r="F793" s="64"/>
      <c r="G793" s="64"/>
      <c r="H793" s="65"/>
      <c r="I793" s="65"/>
    </row>
    <row r="794" spans="2:9" s="60" customFormat="1" x14ac:dyDescent="0.45">
      <c r="B794" s="63">
        <v>9</v>
      </c>
      <c r="C794" s="95" t="s">
        <v>132</v>
      </c>
      <c r="D794" s="64">
        <v>1</v>
      </c>
      <c r="E794" s="64"/>
      <c r="F794" s="64"/>
      <c r="G794" s="64"/>
      <c r="H794" s="65"/>
      <c r="I794" s="65"/>
    </row>
    <row r="795" spans="2:9" s="60" customFormat="1" x14ac:dyDescent="0.45">
      <c r="B795" s="63">
        <v>10</v>
      </c>
      <c r="C795" s="95" t="s">
        <v>131</v>
      </c>
      <c r="D795" s="64">
        <v>1</v>
      </c>
      <c r="E795" s="64"/>
      <c r="F795" s="64"/>
      <c r="G795" s="64"/>
      <c r="H795" s="65"/>
      <c r="I795" s="65"/>
    </row>
    <row r="796" spans="2:9" s="60" customFormat="1" x14ac:dyDescent="0.45">
      <c r="B796" s="63">
        <v>11</v>
      </c>
      <c r="C796" s="95" t="s">
        <v>76</v>
      </c>
      <c r="D796" s="64">
        <v>3</v>
      </c>
      <c r="E796" s="64"/>
      <c r="F796" s="64"/>
      <c r="G796" s="64"/>
      <c r="H796" s="65"/>
      <c r="I796" s="65"/>
    </row>
    <row r="797" spans="2:9" s="60" customFormat="1" x14ac:dyDescent="0.45">
      <c r="B797" s="63">
        <v>12</v>
      </c>
      <c r="C797" s="95" t="s">
        <v>99</v>
      </c>
      <c r="D797" s="64">
        <v>1</v>
      </c>
      <c r="E797" s="64"/>
      <c r="F797" s="64"/>
      <c r="G797" s="64"/>
      <c r="H797" s="65"/>
      <c r="I797" s="65"/>
    </row>
    <row r="798" spans="2:9" s="60" customFormat="1" ht="31.5" x14ac:dyDescent="0.45">
      <c r="B798" s="63">
        <v>13</v>
      </c>
      <c r="C798" s="95" t="s">
        <v>130</v>
      </c>
      <c r="D798" s="64">
        <v>1</v>
      </c>
      <c r="E798" s="64"/>
      <c r="F798" s="64"/>
      <c r="G798" s="64"/>
      <c r="H798" s="65"/>
      <c r="I798" s="65"/>
    </row>
    <row r="799" spans="2:9" s="60" customFormat="1" x14ac:dyDescent="0.45">
      <c r="B799" s="63">
        <v>14</v>
      </c>
      <c r="C799" s="95" t="s">
        <v>129</v>
      </c>
      <c r="D799" s="64">
        <v>1</v>
      </c>
      <c r="E799" s="64"/>
      <c r="F799" s="64"/>
      <c r="G799" s="64"/>
      <c r="H799" s="65"/>
      <c r="I799" s="65"/>
    </row>
    <row r="800" spans="2:9" s="60" customFormat="1" x14ac:dyDescent="0.45">
      <c r="B800" s="63">
        <v>15</v>
      </c>
      <c r="C800" s="95" t="s">
        <v>128</v>
      </c>
      <c r="D800" s="64">
        <v>1</v>
      </c>
      <c r="E800" s="64"/>
      <c r="F800" s="64"/>
      <c r="G800" s="64"/>
      <c r="H800" s="65"/>
      <c r="I800" s="65"/>
    </row>
    <row r="801" spans="2:9" s="60" customFormat="1" x14ac:dyDescent="0.45">
      <c r="B801" s="63">
        <v>16</v>
      </c>
      <c r="C801" s="95" t="s">
        <v>127</v>
      </c>
      <c r="D801" s="64">
        <v>1</v>
      </c>
      <c r="E801" s="64"/>
      <c r="F801" s="64"/>
      <c r="G801" s="64"/>
      <c r="H801" s="65"/>
      <c r="I801" s="65"/>
    </row>
    <row r="802" spans="2:9" s="60" customFormat="1" x14ac:dyDescent="0.45">
      <c r="B802" s="63">
        <v>17</v>
      </c>
      <c r="C802" s="95" t="s">
        <v>126</v>
      </c>
      <c r="D802" s="64">
        <v>1</v>
      </c>
      <c r="E802" s="64"/>
      <c r="F802" s="64"/>
      <c r="G802" s="64"/>
      <c r="H802" s="65"/>
      <c r="I802" s="65"/>
    </row>
    <row r="803" spans="2:9" s="60" customFormat="1" x14ac:dyDescent="0.45">
      <c r="B803" s="63">
        <v>18</v>
      </c>
      <c r="C803" s="95" t="s">
        <v>125</v>
      </c>
      <c r="D803" s="64">
        <v>1</v>
      </c>
      <c r="E803" s="64"/>
      <c r="F803" s="64"/>
      <c r="G803" s="64"/>
      <c r="H803" s="65"/>
      <c r="I803" s="65"/>
    </row>
    <row r="804" spans="2:9" s="60" customFormat="1" x14ac:dyDescent="0.45">
      <c r="B804" s="63">
        <v>19</v>
      </c>
      <c r="C804" s="95" t="s">
        <v>124</v>
      </c>
      <c r="D804" s="64">
        <v>1</v>
      </c>
      <c r="E804" s="64"/>
      <c r="F804" s="64"/>
      <c r="G804" s="64"/>
      <c r="H804" s="65"/>
      <c r="I804" s="65"/>
    </row>
    <row r="805" spans="2:9" s="60" customFormat="1" ht="31.5" x14ac:dyDescent="0.45">
      <c r="B805" s="63">
        <v>20</v>
      </c>
      <c r="C805" s="95" t="s">
        <v>123</v>
      </c>
      <c r="D805" s="64">
        <v>2</v>
      </c>
      <c r="E805" s="64"/>
      <c r="F805" s="64"/>
      <c r="G805" s="64"/>
      <c r="H805" s="65"/>
      <c r="I805" s="65"/>
    </row>
    <row r="806" spans="2:9" s="60" customFormat="1" ht="31.5" x14ac:dyDescent="0.45">
      <c r="B806" s="63">
        <v>21</v>
      </c>
      <c r="C806" s="95" t="s">
        <v>70</v>
      </c>
      <c r="D806" s="64">
        <v>2</v>
      </c>
      <c r="E806" s="64"/>
      <c r="F806" s="64"/>
      <c r="G806" s="64"/>
      <c r="H806" s="65"/>
      <c r="I806" s="65"/>
    </row>
    <row r="807" spans="2:9" s="60" customFormat="1" ht="31.5" x14ac:dyDescent="0.45">
      <c r="B807" s="63">
        <v>22</v>
      </c>
      <c r="C807" s="95" t="s">
        <v>71</v>
      </c>
      <c r="D807" s="64">
        <v>1</v>
      </c>
      <c r="E807" s="64"/>
      <c r="F807" s="64"/>
      <c r="G807" s="64"/>
      <c r="H807" s="65"/>
      <c r="I807" s="65"/>
    </row>
    <row r="808" spans="2:9" s="60" customFormat="1" ht="31.5" x14ac:dyDescent="0.45">
      <c r="B808" s="63">
        <v>23</v>
      </c>
      <c r="C808" s="95" t="s">
        <v>69</v>
      </c>
      <c r="D808" s="64">
        <v>1</v>
      </c>
      <c r="E808" s="64"/>
      <c r="F808" s="64"/>
      <c r="G808" s="64"/>
      <c r="H808" s="65"/>
      <c r="I808" s="65"/>
    </row>
    <row r="809" spans="2:9" s="60" customFormat="1" ht="31.5" x14ac:dyDescent="0.45">
      <c r="B809" s="63">
        <v>24</v>
      </c>
      <c r="C809" s="95" t="s">
        <v>73</v>
      </c>
      <c r="D809" s="64">
        <v>1</v>
      </c>
      <c r="E809" s="64"/>
      <c r="F809" s="64"/>
      <c r="G809" s="64"/>
      <c r="H809" s="65"/>
      <c r="I809" s="65"/>
    </row>
    <row r="810" spans="2:9" s="60" customFormat="1" ht="31.5" x14ac:dyDescent="0.45">
      <c r="B810" s="63">
        <v>25</v>
      </c>
      <c r="C810" s="95" t="s">
        <v>122</v>
      </c>
      <c r="D810" s="64">
        <v>2</v>
      </c>
      <c r="E810" s="64"/>
      <c r="F810" s="64"/>
      <c r="G810" s="64"/>
      <c r="H810" s="65"/>
      <c r="I810" s="65"/>
    </row>
    <row r="811" spans="2:9" s="60" customFormat="1" ht="31.5" x14ac:dyDescent="0.45">
      <c r="B811" s="63">
        <v>26</v>
      </c>
      <c r="C811" s="95" t="s">
        <v>121</v>
      </c>
      <c r="D811" s="64">
        <v>2</v>
      </c>
      <c r="E811" s="64"/>
      <c r="F811" s="64"/>
      <c r="G811" s="64"/>
      <c r="H811" s="65"/>
      <c r="I811" s="65"/>
    </row>
    <row r="812" spans="2:9" s="60" customFormat="1" x14ac:dyDescent="0.45">
      <c r="B812" s="63">
        <v>27</v>
      </c>
      <c r="C812" s="95" t="s">
        <v>120</v>
      </c>
      <c r="D812" s="64">
        <v>1</v>
      </c>
      <c r="E812" s="64"/>
      <c r="F812" s="64"/>
      <c r="G812" s="64"/>
      <c r="H812" s="65"/>
      <c r="I812" s="65"/>
    </row>
    <row r="813" spans="2:9" s="60" customFormat="1" x14ac:dyDescent="0.45">
      <c r="B813" s="63">
        <v>28</v>
      </c>
      <c r="C813" s="95" t="s">
        <v>119</v>
      </c>
      <c r="D813" s="64">
        <v>1</v>
      </c>
      <c r="E813" s="64"/>
      <c r="F813" s="64"/>
      <c r="G813" s="64"/>
      <c r="H813" s="65"/>
      <c r="I813" s="65"/>
    </row>
    <row r="814" spans="2:9" s="60" customFormat="1" ht="31.5" x14ac:dyDescent="0.45">
      <c r="B814" s="63">
        <v>29</v>
      </c>
      <c r="C814" s="95" t="s">
        <v>74</v>
      </c>
      <c r="D814" s="64">
        <v>2</v>
      </c>
      <c r="E814" s="64"/>
      <c r="F814" s="64"/>
      <c r="G814" s="64"/>
      <c r="H814" s="65"/>
      <c r="I814" s="65"/>
    </row>
    <row r="815" spans="2:9" s="60" customFormat="1" ht="31.5" x14ac:dyDescent="0.45">
      <c r="B815" s="63">
        <v>30</v>
      </c>
      <c r="C815" s="95" t="s">
        <v>62</v>
      </c>
      <c r="D815" s="64">
        <v>2</v>
      </c>
      <c r="E815" s="64"/>
      <c r="F815" s="64"/>
      <c r="G815" s="64"/>
      <c r="H815" s="65"/>
      <c r="I815" s="65"/>
    </row>
    <row r="816" spans="2:9" s="60" customFormat="1" ht="31.5" x14ac:dyDescent="0.45">
      <c r="B816" s="63">
        <v>31</v>
      </c>
      <c r="C816" s="95" t="s">
        <v>118</v>
      </c>
      <c r="D816" s="64">
        <v>2</v>
      </c>
      <c r="E816" s="64"/>
      <c r="F816" s="64"/>
      <c r="G816" s="64"/>
      <c r="H816" s="65"/>
      <c r="I816" s="65"/>
    </row>
    <row r="817" spans="2:9" s="60" customFormat="1" x14ac:dyDescent="0.45">
      <c r="B817" s="63">
        <v>32</v>
      </c>
      <c r="C817" s="95" t="s">
        <v>64</v>
      </c>
      <c r="D817" s="64">
        <v>5</v>
      </c>
      <c r="E817" s="64"/>
      <c r="F817" s="64"/>
      <c r="G817" s="64"/>
      <c r="H817" s="65"/>
      <c r="I817" s="65"/>
    </row>
    <row r="818" spans="2:9" s="60" customFormat="1" ht="31.5" x14ac:dyDescent="0.45">
      <c r="B818" s="63">
        <v>33</v>
      </c>
      <c r="C818" s="95" t="s">
        <v>117</v>
      </c>
      <c r="D818" s="64">
        <v>5</v>
      </c>
      <c r="E818" s="64"/>
      <c r="F818" s="64"/>
      <c r="G818" s="64"/>
      <c r="H818" s="65"/>
      <c r="I818" s="65"/>
    </row>
    <row r="819" spans="2:9" s="60" customFormat="1" ht="31.5" x14ac:dyDescent="0.45">
      <c r="B819" s="63">
        <v>34</v>
      </c>
      <c r="C819" s="95" t="s">
        <v>66</v>
      </c>
      <c r="D819" s="64">
        <v>5</v>
      </c>
      <c r="E819" s="64"/>
      <c r="F819" s="64"/>
      <c r="G819" s="64"/>
      <c r="H819" s="65"/>
      <c r="I819" s="65"/>
    </row>
    <row r="820" spans="2:9" s="60" customFormat="1" ht="31.5" x14ac:dyDescent="0.45">
      <c r="B820" s="63">
        <v>35</v>
      </c>
      <c r="C820" s="95" t="s">
        <v>65</v>
      </c>
      <c r="D820" s="64">
        <v>5</v>
      </c>
      <c r="E820" s="64"/>
      <c r="F820" s="64"/>
      <c r="G820" s="64"/>
      <c r="H820" s="65"/>
      <c r="I820" s="65"/>
    </row>
    <row r="821" spans="2:9" s="60" customFormat="1" ht="31.5" x14ac:dyDescent="0.45">
      <c r="B821" s="63">
        <v>36</v>
      </c>
      <c r="C821" s="95" t="s">
        <v>116</v>
      </c>
      <c r="D821" s="64">
        <v>1</v>
      </c>
      <c r="E821" s="64"/>
      <c r="F821" s="64"/>
      <c r="G821" s="64"/>
      <c r="H821" s="65"/>
      <c r="I821" s="65"/>
    </row>
    <row r="822" spans="2:9" s="60" customFormat="1" ht="31.5" x14ac:dyDescent="0.45">
      <c r="B822" s="63">
        <v>37</v>
      </c>
      <c r="C822" s="95" t="s">
        <v>115</v>
      </c>
      <c r="D822" s="64">
        <v>1</v>
      </c>
      <c r="E822" s="64"/>
      <c r="F822" s="64"/>
      <c r="G822" s="64"/>
      <c r="H822" s="65"/>
      <c r="I822" s="65"/>
    </row>
    <row r="823" spans="2:9" s="60" customFormat="1" x14ac:dyDescent="0.45">
      <c r="B823" s="63">
        <v>38</v>
      </c>
      <c r="C823" s="95" t="s">
        <v>89</v>
      </c>
      <c r="D823" s="64">
        <v>1</v>
      </c>
      <c r="E823" s="64"/>
      <c r="F823" s="64"/>
      <c r="G823" s="64"/>
      <c r="H823" s="65"/>
      <c r="I823" s="65"/>
    </row>
    <row r="824" spans="2:9" s="60" customFormat="1" x14ac:dyDescent="0.45">
      <c r="B824" s="63">
        <v>39</v>
      </c>
      <c r="C824" s="95" t="s">
        <v>87</v>
      </c>
      <c r="D824" s="92">
        <v>1</v>
      </c>
      <c r="E824" s="92"/>
      <c r="F824" s="92"/>
      <c r="G824" s="92"/>
      <c r="H824" s="65"/>
      <c r="I824" s="65"/>
    </row>
    <row r="825" spans="2:9" s="60" customFormat="1" x14ac:dyDescent="0.45">
      <c r="B825" s="63">
        <v>40</v>
      </c>
      <c r="C825" s="95" t="s">
        <v>87</v>
      </c>
      <c r="D825" s="64">
        <v>1</v>
      </c>
      <c r="E825" s="64"/>
      <c r="F825" s="64"/>
      <c r="G825" s="64"/>
      <c r="H825" s="65"/>
      <c r="I825" s="65"/>
    </row>
    <row r="826" spans="2:9" s="60" customFormat="1" ht="31.5" x14ac:dyDescent="0.45">
      <c r="B826" s="63">
        <v>41</v>
      </c>
      <c r="C826" s="95" t="s">
        <v>114</v>
      </c>
      <c r="D826" s="64">
        <v>1</v>
      </c>
      <c r="E826" s="64"/>
      <c r="F826" s="64"/>
      <c r="G826" s="64"/>
      <c r="H826" s="65"/>
      <c r="I826" s="65"/>
    </row>
    <row r="827" spans="2:9" s="60" customFormat="1" ht="15.75" customHeight="1" x14ac:dyDescent="0.45">
      <c r="B827" s="63">
        <v>42</v>
      </c>
      <c r="C827" s="95" t="s">
        <v>113</v>
      </c>
      <c r="D827" s="64">
        <v>1</v>
      </c>
      <c r="E827" s="64"/>
      <c r="F827" s="64"/>
      <c r="G827" s="64"/>
      <c r="H827" s="65"/>
      <c r="I827" s="65"/>
    </row>
    <row r="828" spans="2:9" s="60" customFormat="1" ht="31.5" x14ac:dyDescent="0.45">
      <c r="B828" s="63">
        <v>43</v>
      </c>
      <c r="C828" s="95" t="s">
        <v>82</v>
      </c>
      <c r="D828" s="64">
        <v>1</v>
      </c>
      <c r="E828" s="64"/>
      <c r="F828" s="64"/>
      <c r="G828" s="64"/>
      <c r="H828" s="65"/>
      <c r="I828" s="65"/>
    </row>
    <row r="829" spans="2:9" s="60" customFormat="1" ht="31.5" x14ac:dyDescent="0.45">
      <c r="B829" s="63">
        <v>44</v>
      </c>
      <c r="C829" s="95" t="s">
        <v>112</v>
      </c>
      <c r="D829" s="64">
        <v>1</v>
      </c>
      <c r="E829" s="64"/>
      <c r="F829" s="64"/>
      <c r="G829" s="64"/>
      <c r="H829" s="65"/>
      <c r="I829" s="65"/>
    </row>
    <row r="830" spans="2:9" s="60" customFormat="1" ht="31.5" x14ac:dyDescent="0.45">
      <c r="B830" s="63">
        <v>45</v>
      </c>
      <c r="C830" s="95" t="s">
        <v>91</v>
      </c>
      <c r="D830" s="64">
        <v>1</v>
      </c>
      <c r="E830" s="64"/>
      <c r="F830" s="64"/>
      <c r="G830" s="64"/>
      <c r="H830" s="65"/>
      <c r="I830" s="65"/>
    </row>
    <row r="831" spans="2:9" s="60" customFormat="1" ht="31.5" x14ac:dyDescent="0.45">
      <c r="B831" s="63">
        <v>46</v>
      </c>
      <c r="C831" s="95" t="s">
        <v>111</v>
      </c>
      <c r="D831" s="64">
        <v>1</v>
      </c>
      <c r="E831" s="64"/>
      <c r="F831" s="64"/>
      <c r="G831" s="64"/>
      <c r="H831" s="65"/>
      <c r="I831" s="65"/>
    </row>
    <row r="832" spans="2:9" s="60" customFormat="1" ht="31.5" x14ac:dyDescent="0.45">
      <c r="B832" s="63">
        <v>47</v>
      </c>
      <c r="C832" s="95" t="s">
        <v>110</v>
      </c>
      <c r="D832" s="64">
        <v>1</v>
      </c>
      <c r="E832" s="64"/>
      <c r="F832" s="64"/>
      <c r="G832" s="64"/>
      <c r="H832" s="65"/>
      <c r="I832" s="65"/>
    </row>
    <row r="833" spans="2:9" s="60" customFormat="1" x14ac:dyDescent="0.45">
      <c r="B833" s="63">
        <v>48</v>
      </c>
      <c r="C833" s="95" t="s">
        <v>109</v>
      </c>
      <c r="D833" s="64">
        <v>1</v>
      </c>
      <c r="E833" s="64"/>
      <c r="F833" s="64"/>
      <c r="G833" s="64"/>
      <c r="H833" s="65"/>
      <c r="I833" s="65"/>
    </row>
    <row r="834" spans="2:9" s="60" customFormat="1" ht="47.25" x14ac:dyDescent="0.45">
      <c r="B834" s="63">
        <v>49</v>
      </c>
      <c r="C834" s="95" t="s">
        <v>0</v>
      </c>
      <c r="D834" s="64">
        <v>1</v>
      </c>
      <c r="E834" s="64"/>
      <c r="F834" s="64"/>
      <c r="G834" s="64"/>
      <c r="H834" s="65"/>
      <c r="I834" s="65"/>
    </row>
    <row r="835" spans="2:9" s="60" customFormat="1" x14ac:dyDescent="0.5">
      <c r="B835" s="66"/>
      <c r="C835" s="96"/>
      <c r="D835" s="67">
        <f>SUM(D786:D834)</f>
        <v>78</v>
      </c>
      <c r="E835" s="68"/>
      <c r="F835" s="68"/>
      <c r="G835" s="68"/>
      <c r="H835" s="69"/>
      <c r="I835" s="70"/>
    </row>
    <row r="836" spans="2:9" s="60" customFormat="1" ht="15.75" customHeight="1" x14ac:dyDescent="0.5">
      <c r="B836" s="66"/>
      <c r="C836" s="97"/>
      <c r="D836" s="68"/>
      <c r="E836" s="68"/>
      <c r="F836" s="68"/>
      <c r="G836" s="68"/>
      <c r="H836" s="69"/>
      <c r="I836" s="69"/>
    </row>
    <row r="837" spans="2:9" s="60" customFormat="1" x14ac:dyDescent="0.5">
      <c r="B837" s="66"/>
      <c r="C837" s="97"/>
      <c r="D837" s="71"/>
      <c r="E837" s="71"/>
      <c r="F837" s="71"/>
      <c r="G837" s="71"/>
      <c r="H837" s="69"/>
      <c r="I837" s="69"/>
    </row>
    <row r="874" spans="2:103" s="60" customFormat="1" x14ac:dyDescent="0.5">
      <c r="B874" s="87"/>
      <c r="C874" s="106"/>
      <c r="D874" s="91"/>
      <c r="E874" s="91"/>
      <c r="F874" s="91"/>
      <c r="G874" s="91"/>
      <c r="H874" s="69"/>
      <c r="I874" s="69"/>
      <c r="CS874"/>
      <c r="CT874"/>
      <c r="CU874"/>
      <c r="CV874"/>
      <c r="CW874"/>
      <c r="CX874"/>
      <c r="CY874"/>
    </row>
    <row r="875" spans="2:103" s="60" customFormat="1" x14ac:dyDescent="0.5">
      <c r="B875" s="87"/>
      <c r="C875" s="106"/>
      <c r="D875" s="91"/>
      <c r="E875" s="91"/>
      <c r="F875" s="91"/>
      <c r="G875" s="91"/>
      <c r="H875" s="69"/>
      <c r="I875" s="69"/>
      <c r="CS875"/>
      <c r="CT875"/>
      <c r="CU875"/>
      <c r="CV875"/>
      <c r="CW875"/>
      <c r="CX875"/>
      <c r="CY875"/>
    </row>
    <row r="876" spans="2:103" s="60" customFormat="1" x14ac:dyDescent="0.5">
      <c r="B876" s="87"/>
      <c r="C876" s="106"/>
      <c r="D876" s="91"/>
      <c r="E876" s="91"/>
      <c r="F876" s="91"/>
      <c r="G876" s="91"/>
      <c r="H876" s="69"/>
      <c r="I876" s="69"/>
      <c r="CS876"/>
      <c r="CT876"/>
      <c r="CU876"/>
      <c r="CV876"/>
      <c r="CW876"/>
      <c r="CX876"/>
      <c r="CY876"/>
    </row>
    <row r="877" spans="2:103" s="60" customFormat="1" x14ac:dyDescent="0.5">
      <c r="B877" s="87"/>
      <c r="C877" s="106"/>
      <c r="D877" s="91"/>
      <c r="E877" s="91"/>
      <c r="F877" s="91"/>
      <c r="G877" s="91"/>
      <c r="H877" s="69"/>
      <c r="I877" s="69"/>
      <c r="CS877"/>
      <c r="CT877"/>
      <c r="CU877"/>
      <c r="CV877"/>
      <c r="CW877"/>
      <c r="CX877"/>
      <c r="CY877"/>
    </row>
    <row r="878" spans="2:103" s="60" customFormat="1" x14ac:dyDescent="0.5">
      <c r="B878" s="87"/>
      <c r="C878" s="106"/>
      <c r="D878" s="91"/>
      <c r="E878" s="91"/>
      <c r="F878" s="91"/>
      <c r="G878" s="91"/>
      <c r="H878" s="69"/>
      <c r="I878" s="69"/>
      <c r="CS878"/>
      <c r="CT878"/>
      <c r="CU878"/>
      <c r="CV878"/>
      <c r="CW878"/>
      <c r="CX878"/>
      <c r="CY878"/>
    </row>
    <row r="879" spans="2:103" s="60" customFormat="1" x14ac:dyDescent="0.5">
      <c r="B879" s="87"/>
      <c r="C879" s="106"/>
      <c r="D879" s="91"/>
      <c r="E879" s="91"/>
      <c r="F879" s="91"/>
      <c r="G879" s="91"/>
      <c r="H879" s="69"/>
      <c r="I879" s="69"/>
      <c r="CS879"/>
      <c r="CT879"/>
      <c r="CU879"/>
      <c r="CV879"/>
      <c r="CW879"/>
      <c r="CX879"/>
      <c r="CY879"/>
    </row>
    <row r="880" spans="2:103" s="60" customFormat="1" x14ac:dyDescent="0.5">
      <c r="B880" s="87"/>
      <c r="C880" s="106"/>
      <c r="D880" s="91"/>
      <c r="E880" s="91"/>
      <c r="F880" s="91"/>
      <c r="G880" s="91"/>
      <c r="H880" s="69"/>
      <c r="I880" s="69"/>
      <c r="CS880"/>
      <c r="CT880"/>
      <c r="CU880"/>
      <c r="CV880"/>
      <c r="CW880"/>
      <c r="CX880"/>
      <c r="CY880"/>
    </row>
    <row r="881" spans="2:103" s="60" customFormat="1" x14ac:dyDescent="0.5">
      <c r="B881" s="87"/>
      <c r="C881" s="106"/>
      <c r="D881" s="91"/>
      <c r="E881" s="91"/>
      <c r="F881" s="91"/>
      <c r="G881" s="91"/>
      <c r="H881" s="69"/>
      <c r="I881" s="69"/>
      <c r="CS881"/>
      <c r="CT881"/>
      <c r="CU881"/>
      <c r="CV881"/>
      <c r="CW881"/>
      <c r="CX881"/>
      <c r="CY881"/>
    </row>
    <row r="882" spans="2:103" s="60" customFormat="1" x14ac:dyDescent="0.5">
      <c r="B882" s="87"/>
      <c r="C882" s="106"/>
      <c r="D882" s="91"/>
      <c r="E882" s="91"/>
      <c r="F882" s="91"/>
      <c r="G882" s="91"/>
      <c r="H882" s="69"/>
      <c r="I882" s="69"/>
      <c r="CS882"/>
      <c r="CT882"/>
      <c r="CU882"/>
      <c r="CV882"/>
      <c r="CW882"/>
      <c r="CX882"/>
      <c r="CY882"/>
    </row>
    <row r="883" spans="2:103" s="60" customFormat="1" x14ac:dyDescent="0.5">
      <c r="B883" s="87"/>
      <c r="C883" s="106"/>
      <c r="D883" s="91"/>
      <c r="E883" s="91"/>
      <c r="F883" s="91"/>
      <c r="G883" s="91"/>
      <c r="H883" s="69"/>
      <c r="I883" s="69"/>
      <c r="CS883"/>
      <c r="CT883"/>
      <c r="CU883"/>
      <c r="CV883"/>
      <c r="CW883"/>
      <c r="CX883"/>
      <c r="CY883"/>
    </row>
    <row r="884" spans="2:103" s="60" customFormat="1" x14ac:dyDescent="0.5">
      <c r="B884" s="87"/>
      <c r="C884" s="106"/>
      <c r="D884" s="91"/>
      <c r="E884" s="91"/>
      <c r="F884" s="91"/>
      <c r="G884" s="91"/>
      <c r="H884" s="69"/>
      <c r="I884" s="69"/>
      <c r="CS884"/>
      <c r="CT884"/>
      <c r="CU884"/>
      <c r="CV884"/>
      <c r="CW884"/>
      <c r="CX884"/>
      <c r="CY884"/>
    </row>
    <row r="885" spans="2:103" s="60" customFormat="1" x14ac:dyDescent="0.5">
      <c r="B885" s="87"/>
      <c r="C885" s="106"/>
      <c r="D885" s="91"/>
      <c r="E885" s="91"/>
      <c r="F885" s="91"/>
      <c r="G885" s="91"/>
      <c r="H885" s="69"/>
      <c r="I885" s="69"/>
      <c r="CS885"/>
      <c r="CT885"/>
      <c r="CU885"/>
      <c r="CV885"/>
      <c r="CW885"/>
      <c r="CX885"/>
      <c r="CY885"/>
    </row>
    <row r="886" spans="2:103" s="60" customFormat="1" x14ac:dyDescent="0.5">
      <c r="B886" s="87"/>
      <c r="C886" s="106"/>
      <c r="D886" s="91"/>
      <c r="E886" s="91"/>
      <c r="F886" s="91"/>
      <c r="G886" s="91"/>
      <c r="H886" s="69"/>
      <c r="I886" s="69"/>
      <c r="CS886"/>
      <c r="CT886"/>
      <c r="CU886"/>
      <c r="CV886"/>
      <c r="CW886"/>
      <c r="CX886"/>
      <c r="CY886"/>
    </row>
    <row r="887" spans="2:103" s="60" customFormat="1" x14ac:dyDescent="0.5">
      <c r="B887" s="87"/>
      <c r="C887" s="106"/>
      <c r="D887" s="91"/>
      <c r="E887" s="91"/>
      <c r="F887" s="91"/>
      <c r="G887" s="91"/>
      <c r="H887" s="69"/>
      <c r="I887" s="69"/>
      <c r="CS887"/>
      <c r="CT887"/>
      <c r="CU887"/>
      <c r="CV887"/>
      <c r="CW887"/>
      <c r="CX887"/>
      <c r="CY887"/>
    </row>
    <row r="888" spans="2:103" s="60" customFormat="1" x14ac:dyDescent="0.5">
      <c r="B888" s="87"/>
      <c r="C888" s="106"/>
      <c r="D888" s="91"/>
      <c r="E888" s="91"/>
      <c r="F888" s="91"/>
      <c r="G888" s="91"/>
      <c r="H888" s="69"/>
      <c r="I888" s="69"/>
      <c r="CS888"/>
      <c r="CT888"/>
      <c r="CU888"/>
      <c r="CV888"/>
      <c r="CW888"/>
      <c r="CX888"/>
      <c r="CY888"/>
    </row>
    <row r="889" spans="2:103" s="60" customFormat="1" x14ac:dyDescent="0.5">
      <c r="B889" s="87"/>
      <c r="C889" s="106"/>
      <c r="D889" s="91"/>
      <c r="E889" s="91"/>
      <c r="F889" s="91"/>
      <c r="G889" s="91"/>
      <c r="H889" s="69"/>
      <c r="I889" s="69"/>
      <c r="CS889"/>
      <c r="CT889"/>
      <c r="CU889"/>
      <c r="CV889"/>
      <c r="CW889"/>
      <c r="CX889"/>
      <c r="CY889"/>
    </row>
    <row r="890" spans="2:103" s="60" customFormat="1" x14ac:dyDescent="0.5">
      <c r="B890" s="87"/>
      <c r="C890" s="106"/>
      <c r="D890" s="91"/>
      <c r="E890" s="91"/>
      <c r="F890" s="91"/>
      <c r="G890" s="91"/>
      <c r="H890" s="69"/>
      <c r="I890" s="69"/>
      <c r="CS890"/>
      <c r="CT890"/>
      <c r="CU890"/>
      <c r="CV890"/>
      <c r="CW890"/>
      <c r="CX890"/>
      <c r="CY890"/>
    </row>
    <row r="891" spans="2:103" s="60" customFormat="1" x14ac:dyDescent="0.5">
      <c r="B891" s="87"/>
      <c r="C891" s="106"/>
      <c r="D891" s="91"/>
      <c r="E891" s="91"/>
      <c r="F891" s="91"/>
      <c r="G891" s="91"/>
      <c r="H891" s="69"/>
      <c r="I891" s="69"/>
      <c r="CS891"/>
      <c r="CT891"/>
      <c r="CU891"/>
      <c r="CV891"/>
      <c r="CW891"/>
      <c r="CX891"/>
      <c r="CY891"/>
    </row>
    <row r="892" spans="2:103" s="60" customFormat="1" x14ac:dyDescent="0.5">
      <c r="B892" s="87"/>
      <c r="C892" s="106"/>
      <c r="D892" s="91"/>
      <c r="E892" s="91"/>
      <c r="F892" s="91"/>
      <c r="G892" s="91"/>
      <c r="H892" s="69"/>
      <c r="I892" s="69"/>
      <c r="CS892"/>
      <c r="CT892"/>
      <c r="CU892"/>
      <c r="CV892"/>
      <c r="CW892"/>
      <c r="CX892"/>
      <c r="CY892"/>
    </row>
    <row r="893" spans="2:103" s="60" customFormat="1" x14ac:dyDescent="0.5">
      <c r="B893" s="87"/>
      <c r="C893" s="106"/>
      <c r="D893" s="91"/>
      <c r="E893" s="91"/>
      <c r="F893" s="91"/>
      <c r="G893" s="91"/>
      <c r="H893" s="69"/>
      <c r="I893" s="69"/>
      <c r="CS893"/>
      <c r="CT893"/>
      <c r="CU893"/>
      <c r="CV893"/>
      <c r="CW893"/>
      <c r="CX893"/>
      <c r="CY893"/>
    </row>
    <row r="894" spans="2:103" s="60" customFormat="1" x14ac:dyDescent="0.5">
      <c r="B894" s="87"/>
      <c r="C894" s="106"/>
      <c r="D894" s="91"/>
      <c r="E894" s="91"/>
      <c r="F894" s="91"/>
      <c r="G894" s="91"/>
      <c r="H894" s="69"/>
      <c r="I894" s="69"/>
      <c r="CS894"/>
      <c r="CT894"/>
      <c r="CU894"/>
      <c r="CV894"/>
      <c r="CW894"/>
      <c r="CX894"/>
      <c r="CY894"/>
    </row>
    <row r="895" spans="2:103" s="60" customFormat="1" x14ac:dyDescent="0.5">
      <c r="B895" s="87"/>
      <c r="C895" s="106"/>
      <c r="D895" s="91"/>
      <c r="E895" s="91"/>
      <c r="F895" s="91"/>
      <c r="G895" s="91"/>
      <c r="H895" s="69"/>
      <c r="I895" s="69"/>
      <c r="CS895"/>
      <c r="CT895"/>
      <c r="CU895"/>
      <c r="CV895"/>
      <c r="CW895"/>
      <c r="CX895"/>
      <c r="CY895"/>
    </row>
    <row r="896" spans="2:103" s="60" customFormat="1" x14ac:dyDescent="0.5">
      <c r="B896" s="87"/>
      <c r="C896" s="106"/>
      <c r="D896" s="91"/>
      <c r="E896" s="91"/>
      <c r="F896" s="91"/>
      <c r="G896" s="91"/>
      <c r="H896" s="69"/>
      <c r="I896" s="69"/>
      <c r="CS896"/>
      <c r="CT896"/>
      <c r="CU896"/>
      <c r="CV896"/>
      <c r="CW896"/>
      <c r="CX896"/>
      <c r="CY896"/>
    </row>
    <row r="897" spans="2:103" s="60" customFormat="1" x14ac:dyDescent="0.5">
      <c r="B897" s="87"/>
      <c r="C897" s="106"/>
      <c r="D897" s="91"/>
      <c r="E897" s="91"/>
      <c r="F897" s="91"/>
      <c r="G897" s="91"/>
      <c r="H897" s="69"/>
      <c r="I897" s="69"/>
      <c r="CS897"/>
      <c r="CT897"/>
      <c r="CU897"/>
      <c r="CV897"/>
      <c r="CW897"/>
      <c r="CX897"/>
      <c r="CY897"/>
    </row>
    <row r="898" spans="2:103" s="60" customFormat="1" x14ac:dyDescent="0.5">
      <c r="B898" s="87"/>
      <c r="C898" s="106"/>
      <c r="D898" s="91"/>
      <c r="E898" s="91"/>
      <c r="F898" s="91"/>
      <c r="G898" s="91"/>
      <c r="H898" s="69"/>
      <c r="I898" s="69"/>
      <c r="CS898"/>
      <c r="CT898"/>
      <c r="CU898"/>
      <c r="CV898"/>
      <c r="CW898"/>
      <c r="CX898"/>
      <c r="CY898"/>
    </row>
    <row r="899" spans="2:103" s="60" customFormat="1" x14ac:dyDescent="0.5">
      <c r="B899" s="87"/>
      <c r="C899" s="106"/>
      <c r="D899" s="91"/>
      <c r="E899" s="91"/>
      <c r="F899" s="91"/>
      <c r="G899" s="91"/>
      <c r="H899" s="69"/>
      <c r="I899" s="69"/>
      <c r="CS899"/>
      <c r="CT899"/>
      <c r="CU899"/>
      <c r="CV899"/>
      <c r="CW899"/>
      <c r="CX899"/>
      <c r="CY899"/>
    </row>
    <row r="900" spans="2:103" s="60" customFormat="1" x14ac:dyDescent="0.5">
      <c r="B900" s="87"/>
      <c r="C900" s="106"/>
      <c r="D900" s="91"/>
      <c r="E900" s="91"/>
      <c r="F900" s="91"/>
      <c r="G900" s="91"/>
      <c r="H900" s="69"/>
      <c r="I900" s="69"/>
      <c r="CS900"/>
      <c r="CT900"/>
      <c r="CU900"/>
      <c r="CV900"/>
      <c r="CW900"/>
      <c r="CX900"/>
      <c r="CY900"/>
    </row>
    <row r="901" spans="2:103" s="60" customFormat="1" x14ac:dyDescent="0.5">
      <c r="B901" s="87"/>
      <c r="C901" s="106"/>
      <c r="D901" s="91"/>
      <c r="E901" s="91"/>
      <c r="F901" s="91"/>
      <c r="G901" s="91"/>
      <c r="H901" s="69"/>
      <c r="I901" s="69"/>
      <c r="CS901"/>
      <c r="CT901"/>
      <c r="CU901"/>
      <c r="CV901"/>
      <c r="CW901"/>
      <c r="CX901"/>
      <c r="CY901"/>
    </row>
    <row r="902" spans="2:103" s="60" customFormat="1" x14ac:dyDescent="0.5">
      <c r="B902" s="87"/>
      <c r="C902" s="106"/>
      <c r="D902" s="91"/>
      <c r="E902" s="91"/>
      <c r="F902" s="91"/>
      <c r="G902" s="91"/>
      <c r="H902" s="69"/>
      <c r="I902" s="69"/>
      <c r="CS902"/>
      <c r="CT902"/>
      <c r="CU902"/>
      <c r="CV902"/>
      <c r="CW902"/>
      <c r="CX902"/>
      <c r="CY902"/>
    </row>
    <row r="903" spans="2:103" s="60" customFormat="1" x14ac:dyDescent="0.5">
      <c r="B903" s="87"/>
      <c r="C903" s="106"/>
      <c r="D903" s="91"/>
      <c r="E903" s="91"/>
      <c r="F903" s="91"/>
      <c r="G903" s="91"/>
      <c r="H903" s="69"/>
      <c r="I903" s="69"/>
      <c r="CS903"/>
      <c r="CT903"/>
      <c r="CU903"/>
      <c r="CV903"/>
      <c r="CW903"/>
      <c r="CX903"/>
      <c r="CY903"/>
    </row>
    <row r="904" spans="2:103" s="60" customFormat="1" x14ac:dyDescent="0.5">
      <c r="B904" s="87"/>
      <c r="C904" s="106"/>
      <c r="D904" s="91"/>
      <c r="E904" s="91"/>
      <c r="F904" s="91"/>
      <c r="G904" s="91"/>
      <c r="H904" s="69"/>
      <c r="I904" s="69"/>
      <c r="CS904"/>
      <c r="CT904"/>
      <c r="CU904"/>
      <c r="CV904"/>
      <c r="CW904"/>
      <c r="CX904"/>
      <c r="CY904"/>
    </row>
    <row r="905" spans="2:103" s="60" customFormat="1" x14ac:dyDescent="0.5">
      <c r="B905" s="87"/>
      <c r="C905" s="106"/>
      <c r="D905" s="91"/>
      <c r="E905" s="91"/>
      <c r="F905" s="91"/>
      <c r="G905" s="91"/>
      <c r="H905" s="69"/>
      <c r="I905" s="69"/>
      <c r="CS905"/>
      <c r="CT905"/>
      <c r="CU905"/>
      <c r="CV905"/>
      <c r="CW905"/>
      <c r="CX905"/>
      <c r="CY905"/>
    </row>
    <row r="906" spans="2:103" s="60" customFormat="1" x14ac:dyDescent="0.5">
      <c r="B906" s="87"/>
      <c r="C906" s="106"/>
      <c r="D906" s="91"/>
      <c r="E906" s="91"/>
      <c r="F906" s="91"/>
      <c r="G906" s="91"/>
      <c r="H906" s="69"/>
      <c r="I906" s="69"/>
      <c r="CS906"/>
      <c r="CT906"/>
      <c r="CU906"/>
      <c r="CV906"/>
      <c r="CW906"/>
      <c r="CX906"/>
      <c r="CY906"/>
    </row>
    <row r="907" spans="2:103" s="60" customFormat="1" x14ac:dyDescent="0.5">
      <c r="B907" s="87"/>
      <c r="C907" s="106"/>
      <c r="D907" s="91"/>
      <c r="E907" s="91"/>
      <c r="F907" s="91"/>
      <c r="G907" s="91"/>
      <c r="H907" s="69"/>
      <c r="I907" s="69"/>
      <c r="CS907"/>
      <c r="CT907"/>
      <c r="CU907"/>
      <c r="CV907"/>
      <c r="CW907"/>
      <c r="CX907"/>
      <c r="CY907"/>
    </row>
    <row r="908" spans="2:103" s="60" customFormat="1" x14ac:dyDescent="0.5">
      <c r="B908" s="87"/>
      <c r="C908" s="106"/>
      <c r="D908" s="91"/>
      <c r="E908" s="91"/>
      <c r="F908" s="91"/>
      <c r="G908" s="91"/>
      <c r="H908" s="69"/>
      <c r="I908" s="69"/>
      <c r="CS908"/>
      <c r="CT908"/>
      <c r="CU908"/>
      <c r="CV908"/>
      <c r="CW908"/>
      <c r="CX908"/>
      <c r="CY908"/>
    </row>
    <row r="909" spans="2:103" s="60" customFormat="1" x14ac:dyDescent="0.5">
      <c r="B909" s="87"/>
      <c r="C909" s="106"/>
      <c r="D909" s="91"/>
      <c r="E909" s="91"/>
      <c r="F909" s="91"/>
      <c r="G909" s="91"/>
      <c r="H909" s="69"/>
      <c r="I909" s="69"/>
      <c r="CS909"/>
      <c r="CT909"/>
      <c r="CU909"/>
      <c r="CV909"/>
      <c r="CW909"/>
      <c r="CX909"/>
      <c r="CY909"/>
    </row>
    <row r="910" spans="2:103" s="60" customFormat="1" x14ac:dyDescent="0.5">
      <c r="B910" s="87"/>
      <c r="C910" s="106"/>
      <c r="D910" s="91"/>
      <c r="E910" s="91"/>
      <c r="F910" s="91"/>
      <c r="G910" s="91"/>
      <c r="H910" s="69"/>
      <c r="I910" s="69"/>
      <c r="CS910"/>
      <c r="CT910"/>
      <c r="CU910"/>
      <c r="CV910"/>
      <c r="CW910"/>
      <c r="CX910"/>
      <c r="CY910"/>
    </row>
    <row r="911" spans="2:103" s="60" customFormat="1" x14ac:dyDescent="0.5">
      <c r="B911" s="87"/>
      <c r="C911" s="106"/>
      <c r="D911" s="91"/>
      <c r="E911" s="91"/>
      <c r="F911" s="91"/>
      <c r="G911" s="91"/>
      <c r="H911" s="69"/>
      <c r="I911" s="69"/>
      <c r="CS911"/>
      <c r="CT911"/>
      <c r="CU911"/>
      <c r="CV911"/>
      <c r="CW911"/>
      <c r="CX911"/>
      <c r="CY911"/>
    </row>
    <row r="912" spans="2:103" s="60" customFormat="1" x14ac:dyDescent="0.5">
      <c r="B912" s="87"/>
      <c r="C912" s="106"/>
      <c r="D912" s="91"/>
      <c r="E912" s="91"/>
      <c r="F912" s="91"/>
      <c r="G912" s="91"/>
      <c r="H912" s="69"/>
      <c r="I912" s="69"/>
      <c r="CS912"/>
      <c r="CT912"/>
      <c r="CU912"/>
      <c r="CV912"/>
      <c r="CW912"/>
      <c r="CX912"/>
      <c r="CY912"/>
    </row>
    <row r="913" spans="2:103" s="60" customFormat="1" x14ac:dyDescent="0.5">
      <c r="B913" s="87"/>
      <c r="C913" s="106"/>
      <c r="D913" s="91"/>
      <c r="E913" s="91"/>
      <c r="F913" s="91"/>
      <c r="G913" s="91"/>
      <c r="H913" s="69"/>
      <c r="I913" s="69"/>
      <c r="CS913"/>
      <c r="CT913"/>
      <c r="CU913"/>
      <c r="CV913"/>
      <c r="CW913"/>
      <c r="CX913"/>
      <c r="CY913"/>
    </row>
    <row r="914" spans="2:103" s="60" customFormat="1" x14ac:dyDescent="0.5">
      <c r="B914" s="87"/>
      <c r="C914" s="106"/>
      <c r="D914" s="91"/>
      <c r="E914" s="91"/>
      <c r="F914" s="91"/>
      <c r="G914" s="91"/>
      <c r="H914" s="69"/>
      <c r="I914" s="69"/>
      <c r="CS914"/>
      <c r="CT914"/>
      <c r="CU914"/>
      <c r="CV914"/>
      <c r="CW914"/>
      <c r="CX914"/>
      <c r="CY914"/>
    </row>
    <row r="915" spans="2:103" s="60" customFormat="1" x14ac:dyDescent="0.5">
      <c r="B915" s="87"/>
      <c r="C915" s="106"/>
      <c r="D915" s="91"/>
      <c r="E915" s="91"/>
      <c r="F915" s="91"/>
      <c r="G915" s="91"/>
      <c r="H915" s="69"/>
      <c r="I915" s="69"/>
      <c r="CS915"/>
      <c r="CT915"/>
      <c r="CU915"/>
      <c r="CV915"/>
      <c r="CW915"/>
      <c r="CX915"/>
      <c r="CY915"/>
    </row>
    <row r="916" spans="2:103" s="60" customFormat="1" x14ac:dyDescent="0.5">
      <c r="B916" s="87"/>
      <c r="C916" s="106"/>
      <c r="D916" s="91"/>
      <c r="E916" s="91"/>
      <c r="F916" s="91"/>
      <c r="G916" s="91"/>
      <c r="H916" s="69"/>
      <c r="I916" s="69"/>
      <c r="CS916"/>
      <c r="CT916"/>
      <c r="CU916"/>
      <c r="CV916"/>
      <c r="CW916"/>
      <c r="CX916"/>
      <c r="CY916"/>
    </row>
    <row r="917" spans="2:103" s="60" customFormat="1" x14ac:dyDescent="0.5">
      <c r="B917" s="87"/>
      <c r="C917" s="106"/>
      <c r="D917" s="91"/>
      <c r="E917" s="91"/>
      <c r="F917" s="91"/>
      <c r="G917" s="91"/>
      <c r="H917" s="69"/>
      <c r="I917" s="69"/>
      <c r="CS917"/>
      <c r="CT917"/>
      <c r="CU917"/>
      <c r="CV917"/>
      <c r="CW917"/>
      <c r="CX917"/>
      <c r="CY917"/>
    </row>
    <row r="918" spans="2:103" s="60" customFormat="1" x14ac:dyDescent="0.5">
      <c r="B918" s="87"/>
      <c r="C918" s="106"/>
      <c r="D918" s="91"/>
      <c r="E918" s="91"/>
      <c r="F918" s="91"/>
      <c r="G918" s="91"/>
      <c r="H918" s="69"/>
      <c r="I918" s="69"/>
      <c r="CS918"/>
      <c r="CT918"/>
      <c r="CU918"/>
      <c r="CV918"/>
      <c r="CW918"/>
      <c r="CX918"/>
      <c r="CY918"/>
    </row>
    <row r="919" spans="2:103" s="60" customFormat="1" x14ac:dyDescent="0.5">
      <c r="B919" s="87"/>
      <c r="C919" s="106"/>
      <c r="D919" s="91"/>
      <c r="E919" s="91"/>
      <c r="F919" s="91"/>
      <c r="G919" s="91"/>
      <c r="H919" s="69"/>
      <c r="I919" s="69"/>
      <c r="CS919"/>
      <c r="CT919"/>
      <c r="CU919"/>
      <c r="CV919"/>
      <c r="CW919"/>
      <c r="CX919"/>
      <c r="CY919"/>
    </row>
    <row r="920" spans="2:103" s="60" customFormat="1" x14ac:dyDescent="0.5">
      <c r="B920" s="87"/>
      <c r="C920" s="106"/>
      <c r="D920" s="91"/>
      <c r="E920" s="91"/>
      <c r="F920" s="91"/>
      <c r="G920" s="91"/>
      <c r="H920" s="69"/>
      <c r="I920" s="69"/>
      <c r="CS920"/>
      <c r="CT920"/>
      <c r="CU920"/>
      <c r="CV920"/>
      <c r="CW920"/>
      <c r="CX920"/>
      <c r="CY920"/>
    </row>
    <row r="921" spans="2:103" s="60" customFormat="1" x14ac:dyDescent="0.5">
      <c r="B921" s="87"/>
      <c r="C921" s="106"/>
      <c r="D921" s="91"/>
      <c r="E921" s="91"/>
      <c r="F921" s="91"/>
      <c r="G921" s="91"/>
      <c r="H921" s="69"/>
      <c r="I921" s="69"/>
      <c r="CS921"/>
      <c r="CT921"/>
      <c r="CU921"/>
      <c r="CV921"/>
      <c r="CW921"/>
      <c r="CX921"/>
      <c r="CY921"/>
    </row>
    <row r="922" spans="2:103" s="60" customFormat="1" x14ac:dyDescent="0.5">
      <c r="B922" s="87"/>
      <c r="C922" s="106"/>
      <c r="D922" s="91"/>
      <c r="E922" s="91"/>
      <c r="F922" s="91"/>
      <c r="G922" s="91"/>
      <c r="H922" s="69"/>
      <c r="I922" s="69"/>
      <c r="CS922"/>
      <c r="CT922"/>
      <c r="CU922"/>
      <c r="CV922"/>
      <c r="CW922"/>
      <c r="CX922"/>
      <c r="CY922"/>
    </row>
    <row r="923" spans="2:103" s="60" customFormat="1" x14ac:dyDescent="0.5">
      <c r="B923" s="87"/>
      <c r="C923" s="106"/>
      <c r="D923" s="91"/>
      <c r="E923" s="91"/>
      <c r="F923" s="91"/>
      <c r="G923" s="91"/>
      <c r="H923" s="69"/>
      <c r="I923" s="69"/>
      <c r="CS923"/>
      <c r="CT923"/>
      <c r="CU923"/>
      <c r="CV923"/>
      <c r="CW923"/>
      <c r="CX923"/>
      <c r="CY923"/>
    </row>
    <row r="924" spans="2:103" s="60" customFormat="1" x14ac:dyDescent="0.5">
      <c r="B924" s="87"/>
      <c r="C924" s="106"/>
      <c r="D924" s="91"/>
      <c r="E924" s="91"/>
      <c r="F924" s="91"/>
      <c r="G924" s="91"/>
      <c r="H924" s="69"/>
      <c r="I924" s="69"/>
      <c r="CS924"/>
      <c r="CT924"/>
      <c r="CU924"/>
      <c r="CV924"/>
      <c r="CW924"/>
      <c r="CX924"/>
      <c r="CY924"/>
    </row>
    <row r="925" spans="2:103" s="60" customFormat="1" x14ac:dyDescent="0.5">
      <c r="B925" s="87"/>
      <c r="C925" s="106"/>
      <c r="D925" s="91"/>
      <c r="E925" s="91"/>
      <c r="F925" s="91"/>
      <c r="G925" s="91"/>
      <c r="H925" s="69"/>
      <c r="I925" s="69"/>
      <c r="CS925"/>
      <c r="CT925"/>
      <c r="CU925"/>
      <c r="CV925"/>
      <c r="CW925"/>
      <c r="CX925"/>
      <c r="CY925"/>
    </row>
    <row r="926" spans="2:103" s="60" customFormat="1" x14ac:dyDescent="0.5">
      <c r="B926" s="87"/>
      <c r="C926" s="106"/>
      <c r="D926" s="91"/>
      <c r="E926" s="91"/>
      <c r="F926" s="91"/>
      <c r="G926" s="91"/>
      <c r="H926" s="69"/>
      <c r="I926" s="69"/>
      <c r="CS926"/>
      <c r="CT926"/>
      <c r="CU926"/>
      <c r="CV926"/>
      <c r="CW926"/>
      <c r="CX926"/>
      <c r="CY926"/>
    </row>
    <row r="927" spans="2:103" s="60" customFormat="1" x14ac:dyDescent="0.5">
      <c r="B927" s="87"/>
      <c r="C927" s="106"/>
      <c r="D927" s="91"/>
      <c r="E927" s="91"/>
      <c r="F927" s="91"/>
      <c r="G927" s="91"/>
      <c r="H927" s="69"/>
      <c r="I927" s="69"/>
      <c r="CS927"/>
      <c r="CT927"/>
      <c r="CU927"/>
      <c r="CV927"/>
      <c r="CW927"/>
      <c r="CX927"/>
      <c r="CY927"/>
    </row>
    <row r="928" spans="2:103" s="60" customFormat="1" x14ac:dyDescent="0.5">
      <c r="B928" s="87"/>
      <c r="C928" s="106"/>
      <c r="D928" s="91"/>
      <c r="E928" s="91"/>
      <c r="F928" s="91"/>
      <c r="G928" s="91"/>
      <c r="H928" s="69"/>
      <c r="I928" s="69"/>
      <c r="CS928"/>
      <c r="CT928"/>
      <c r="CU928"/>
      <c r="CV928"/>
      <c r="CW928"/>
      <c r="CX928"/>
      <c r="CY928"/>
    </row>
    <row r="929" spans="2:103" s="60" customFormat="1" x14ac:dyDescent="0.5">
      <c r="B929" s="87"/>
      <c r="C929" s="106"/>
      <c r="D929" s="91"/>
      <c r="E929" s="91"/>
      <c r="F929" s="91"/>
      <c r="G929" s="91"/>
      <c r="H929" s="69"/>
      <c r="I929" s="69"/>
      <c r="CS929"/>
      <c r="CT929"/>
      <c r="CU929"/>
      <c r="CV929"/>
      <c r="CW929"/>
      <c r="CX929"/>
      <c r="CY929"/>
    </row>
    <row r="930" spans="2:103" s="60" customFormat="1" x14ac:dyDescent="0.5">
      <c r="B930" s="87"/>
      <c r="C930" s="106"/>
      <c r="D930" s="91"/>
      <c r="E930" s="91"/>
      <c r="F930" s="91"/>
      <c r="G930" s="91"/>
      <c r="H930" s="69"/>
      <c r="I930" s="69"/>
      <c r="CS930"/>
      <c r="CT930"/>
      <c r="CU930"/>
      <c r="CV930"/>
      <c r="CW930"/>
      <c r="CX930"/>
      <c r="CY930"/>
    </row>
    <row r="931" spans="2:103" s="60" customFormat="1" x14ac:dyDescent="0.5">
      <c r="B931" s="87"/>
      <c r="C931" s="106"/>
      <c r="D931" s="91"/>
      <c r="E931" s="91"/>
      <c r="F931" s="91"/>
      <c r="G931" s="91"/>
      <c r="H931" s="69"/>
      <c r="I931" s="69"/>
      <c r="CS931"/>
      <c r="CT931"/>
      <c r="CU931"/>
      <c r="CV931"/>
      <c r="CW931"/>
      <c r="CX931"/>
      <c r="CY931"/>
    </row>
    <row r="932" spans="2:103" s="60" customFormat="1" x14ac:dyDescent="0.5">
      <c r="B932" s="87"/>
      <c r="C932" s="106"/>
      <c r="D932" s="91"/>
      <c r="E932" s="91"/>
      <c r="F932" s="91"/>
      <c r="G932" s="91"/>
      <c r="H932" s="69"/>
      <c r="I932" s="69"/>
      <c r="CS932"/>
      <c r="CT932"/>
      <c r="CU932"/>
      <c r="CV932"/>
      <c r="CW932"/>
      <c r="CX932"/>
      <c r="CY932"/>
    </row>
    <row r="933" spans="2:103" s="60" customFormat="1" x14ac:dyDescent="0.5">
      <c r="B933" s="87"/>
      <c r="C933" s="106"/>
      <c r="D933" s="91"/>
      <c r="E933" s="91"/>
      <c r="F933" s="91"/>
      <c r="G933" s="91"/>
      <c r="H933" s="69"/>
      <c r="I933" s="69"/>
      <c r="CS933"/>
      <c r="CT933"/>
      <c r="CU933"/>
      <c r="CV933"/>
      <c r="CW933"/>
      <c r="CX933"/>
      <c r="CY933"/>
    </row>
    <row r="934" spans="2:103" s="60" customFormat="1" x14ac:dyDescent="0.5">
      <c r="B934" s="87"/>
      <c r="C934" s="106"/>
      <c r="D934" s="91"/>
      <c r="E934" s="91"/>
      <c r="F934" s="91"/>
      <c r="G934" s="91"/>
      <c r="H934" s="69"/>
      <c r="I934" s="69"/>
      <c r="CS934"/>
      <c r="CT934"/>
      <c r="CU934"/>
      <c r="CV934"/>
      <c r="CW934"/>
      <c r="CX934"/>
      <c r="CY934"/>
    </row>
    <row r="935" spans="2:103" s="60" customFormat="1" x14ac:dyDescent="0.5">
      <c r="B935" s="87"/>
      <c r="C935" s="106"/>
      <c r="D935" s="91"/>
      <c r="E935" s="91"/>
      <c r="F935" s="91"/>
      <c r="G935" s="91"/>
      <c r="H935" s="69"/>
      <c r="I935" s="69"/>
      <c r="CS935"/>
      <c r="CT935"/>
      <c r="CU935"/>
      <c r="CV935"/>
      <c r="CW935"/>
      <c r="CX935"/>
      <c r="CY935"/>
    </row>
    <row r="936" spans="2:103" s="60" customFormat="1" x14ac:dyDescent="0.5">
      <c r="B936" s="87"/>
      <c r="C936" s="106"/>
      <c r="D936" s="91"/>
      <c r="E936" s="91"/>
      <c r="F936" s="91"/>
      <c r="G936" s="91"/>
      <c r="H936" s="69"/>
      <c r="I936" s="69"/>
      <c r="CS936"/>
      <c r="CT936"/>
      <c r="CU936"/>
      <c r="CV936"/>
      <c r="CW936"/>
      <c r="CX936"/>
      <c r="CY936"/>
    </row>
    <row r="937" spans="2:103" s="60" customFormat="1" x14ac:dyDescent="0.5">
      <c r="B937" s="87"/>
      <c r="C937" s="106"/>
      <c r="D937" s="91"/>
      <c r="E937" s="91"/>
      <c r="F937" s="91"/>
      <c r="G937" s="91"/>
      <c r="H937" s="69"/>
      <c r="I937" s="69"/>
      <c r="CS937"/>
      <c r="CT937"/>
      <c r="CU937"/>
      <c r="CV937"/>
      <c r="CW937"/>
      <c r="CX937"/>
      <c r="CY937"/>
    </row>
    <row r="938" spans="2:103" s="60" customFormat="1" x14ac:dyDescent="0.5">
      <c r="B938" s="87"/>
      <c r="C938" s="106"/>
      <c r="D938" s="91"/>
      <c r="E938" s="91"/>
      <c r="F938" s="91"/>
      <c r="G938" s="91"/>
      <c r="H938" s="69"/>
      <c r="I938" s="69"/>
      <c r="CS938"/>
      <c r="CT938"/>
      <c r="CU938"/>
      <c r="CV938"/>
      <c r="CW938"/>
      <c r="CX938"/>
      <c r="CY938"/>
    </row>
    <row r="939" spans="2:103" s="60" customFormat="1" x14ac:dyDescent="0.5">
      <c r="B939" s="87"/>
      <c r="C939" s="106"/>
      <c r="D939" s="91"/>
      <c r="E939" s="91"/>
      <c r="F939" s="91"/>
      <c r="G939" s="91"/>
      <c r="H939" s="69"/>
      <c r="I939" s="69"/>
      <c r="CS939"/>
      <c r="CT939"/>
      <c r="CU939"/>
      <c r="CV939"/>
      <c r="CW939"/>
      <c r="CX939"/>
      <c r="CY939"/>
    </row>
    <row r="940" spans="2:103" s="60" customFormat="1" x14ac:dyDescent="0.5">
      <c r="B940" s="87"/>
      <c r="C940" s="106"/>
      <c r="D940" s="91"/>
      <c r="E940" s="91"/>
      <c r="F940" s="91"/>
      <c r="G940" s="91"/>
      <c r="H940" s="69"/>
      <c r="I940" s="69"/>
      <c r="CS940"/>
      <c r="CT940"/>
      <c r="CU940"/>
      <c r="CV940"/>
      <c r="CW940"/>
      <c r="CX940"/>
      <c r="CY940"/>
    </row>
    <row r="941" spans="2:103" s="60" customFormat="1" x14ac:dyDescent="0.5">
      <c r="B941" s="87"/>
      <c r="C941" s="106"/>
      <c r="D941" s="91"/>
      <c r="E941" s="91"/>
      <c r="F941" s="91"/>
      <c r="G941" s="91"/>
      <c r="H941" s="69"/>
      <c r="I941" s="69"/>
      <c r="CS941"/>
      <c r="CT941"/>
      <c r="CU941"/>
      <c r="CV941"/>
      <c r="CW941"/>
      <c r="CX941"/>
      <c r="CY941"/>
    </row>
    <row r="942" spans="2:103" s="60" customFormat="1" x14ac:dyDescent="0.5">
      <c r="B942" s="87"/>
      <c r="C942" s="106"/>
      <c r="D942" s="91"/>
      <c r="E942" s="91"/>
      <c r="F942" s="91"/>
      <c r="G942" s="91"/>
      <c r="H942" s="69"/>
      <c r="I942" s="69"/>
      <c r="CS942"/>
      <c r="CT942"/>
      <c r="CU942"/>
      <c r="CV942"/>
      <c r="CW942"/>
      <c r="CX942"/>
      <c r="CY942"/>
    </row>
    <row r="943" spans="2:103" s="60" customFormat="1" x14ac:dyDescent="0.5">
      <c r="B943" s="87"/>
      <c r="C943" s="106"/>
      <c r="D943" s="91"/>
      <c r="E943" s="91"/>
      <c r="F943" s="91"/>
      <c r="G943" s="91"/>
      <c r="H943" s="69"/>
      <c r="I943" s="69"/>
      <c r="CS943"/>
      <c r="CT943"/>
      <c r="CU943"/>
      <c r="CV943"/>
      <c r="CW943"/>
      <c r="CX943"/>
      <c r="CY943"/>
    </row>
    <row r="944" spans="2:103" s="60" customFormat="1" x14ac:dyDescent="0.5">
      <c r="B944" s="87"/>
      <c r="C944" s="106"/>
      <c r="D944" s="91"/>
      <c r="E944" s="91"/>
      <c r="F944" s="91"/>
      <c r="G944" s="91"/>
      <c r="H944" s="69"/>
      <c r="I944" s="69"/>
      <c r="CS944"/>
      <c r="CT944"/>
      <c r="CU944"/>
      <c r="CV944"/>
      <c r="CW944"/>
      <c r="CX944"/>
      <c r="CY944"/>
    </row>
    <row r="945" spans="2:103" s="60" customFormat="1" x14ac:dyDescent="0.5">
      <c r="B945" s="87"/>
      <c r="C945" s="106"/>
      <c r="D945" s="91"/>
      <c r="E945" s="91"/>
      <c r="F945" s="91"/>
      <c r="G945" s="91"/>
      <c r="H945" s="69"/>
      <c r="I945" s="69"/>
      <c r="CS945"/>
      <c r="CT945"/>
      <c r="CU945"/>
      <c r="CV945"/>
      <c r="CW945"/>
      <c r="CX945"/>
      <c r="CY945"/>
    </row>
    <row r="946" spans="2:103" s="60" customFormat="1" x14ac:dyDescent="0.5">
      <c r="B946" s="87"/>
      <c r="C946" s="106"/>
      <c r="D946" s="91"/>
      <c r="E946" s="91"/>
      <c r="F946" s="91"/>
      <c r="G946" s="91"/>
      <c r="H946" s="69"/>
      <c r="I946" s="69"/>
      <c r="CS946"/>
      <c r="CT946"/>
      <c r="CU946"/>
      <c r="CV946"/>
      <c r="CW946"/>
      <c r="CX946"/>
      <c r="CY946"/>
    </row>
    <row r="947" spans="2:103" s="60" customFormat="1" x14ac:dyDescent="0.5">
      <c r="B947" s="87"/>
      <c r="C947" s="106"/>
      <c r="D947" s="91"/>
      <c r="E947" s="91"/>
      <c r="F947" s="91"/>
      <c r="G947" s="91"/>
      <c r="H947" s="69"/>
      <c r="I947" s="69"/>
      <c r="CS947"/>
      <c r="CT947"/>
      <c r="CU947"/>
      <c r="CV947"/>
      <c r="CW947"/>
      <c r="CX947"/>
      <c r="CY947"/>
    </row>
    <row r="948" spans="2:103" s="60" customFormat="1" x14ac:dyDescent="0.5">
      <c r="B948" s="87"/>
      <c r="C948" s="106"/>
      <c r="D948" s="91"/>
      <c r="E948" s="91"/>
      <c r="F948" s="91"/>
      <c r="G948" s="91"/>
      <c r="H948" s="69"/>
      <c r="I948" s="69"/>
      <c r="CS948"/>
      <c r="CT948"/>
      <c r="CU948"/>
      <c r="CV948"/>
      <c r="CW948"/>
      <c r="CX948"/>
      <c r="CY948"/>
    </row>
    <row r="949" spans="2:103" s="60" customFormat="1" x14ac:dyDescent="0.5">
      <c r="B949" s="87"/>
      <c r="C949" s="106"/>
      <c r="D949" s="91"/>
      <c r="E949" s="91"/>
      <c r="F949" s="91"/>
      <c r="G949" s="91"/>
      <c r="H949" s="69"/>
      <c r="I949" s="69"/>
      <c r="CS949"/>
      <c r="CT949"/>
      <c r="CU949"/>
      <c r="CV949"/>
      <c r="CW949"/>
      <c r="CX949"/>
      <c r="CY949"/>
    </row>
    <row r="950" spans="2:103" s="60" customFormat="1" x14ac:dyDescent="0.5">
      <c r="B950" s="87"/>
      <c r="C950" s="106"/>
      <c r="D950" s="91"/>
      <c r="E950" s="91"/>
      <c r="F950" s="91"/>
      <c r="G950" s="91"/>
      <c r="H950" s="69"/>
      <c r="I950" s="69"/>
      <c r="CS950"/>
      <c r="CT950"/>
      <c r="CU950"/>
      <c r="CV950"/>
      <c r="CW950"/>
      <c r="CX950"/>
      <c r="CY950"/>
    </row>
    <row r="951" spans="2:103" s="60" customFormat="1" x14ac:dyDescent="0.5">
      <c r="B951" s="87"/>
      <c r="C951" s="106"/>
      <c r="D951" s="91"/>
      <c r="E951" s="91"/>
      <c r="F951" s="91"/>
      <c r="G951" s="91"/>
      <c r="H951" s="69"/>
      <c r="I951" s="69"/>
      <c r="CS951"/>
      <c r="CT951"/>
      <c r="CU951"/>
      <c r="CV951"/>
      <c r="CW951"/>
      <c r="CX951"/>
      <c r="CY951"/>
    </row>
    <row r="952" spans="2:103" s="60" customFormat="1" x14ac:dyDescent="0.5">
      <c r="B952" s="87"/>
      <c r="C952" s="106"/>
      <c r="D952" s="91"/>
      <c r="E952" s="91"/>
      <c r="F952" s="91"/>
      <c r="G952" s="91"/>
      <c r="H952" s="69"/>
      <c r="I952" s="69"/>
      <c r="CS952"/>
      <c r="CT952"/>
      <c r="CU952"/>
      <c r="CV952"/>
      <c r="CW952"/>
      <c r="CX952"/>
      <c r="CY952"/>
    </row>
    <row r="953" spans="2:103" s="60" customFormat="1" x14ac:dyDescent="0.5">
      <c r="B953" s="87"/>
      <c r="C953" s="106"/>
      <c r="D953" s="91"/>
      <c r="E953" s="91"/>
      <c r="F953" s="91"/>
      <c r="G953" s="91"/>
      <c r="H953" s="69"/>
      <c r="I953" s="69"/>
      <c r="CS953"/>
      <c r="CT953"/>
      <c r="CU953"/>
      <c r="CV953"/>
      <c r="CW953"/>
      <c r="CX953"/>
      <c r="CY953"/>
    </row>
    <row r="954" spans="2:103" s="60" customFormat="1" x14ac:dyDescent="0.5">
      <c r="B954" s="87"/>
      <c r="C954" s="106"/>
      <c r="D954" s="91"/>
      <c r="E954" s="91"/>
      <c r="F954" s="91"/>
      <c r="G954" s="91"/>
      <c r="H954" s="69"/>
      <c r="I954" s="69"/>
      <c r="CS954"/>
      <c r="CT954"/>
      <c r="CU954"/>
      <c r="CV954"/>
      <c r="CW954"/>
      <c r="CX954"/>
      <c r="CY954"/>
    </row>
    <row r="955" spans="2:103" s="60" customFormat="1" x14ac:dyDescent="0.5">
      <c r="B955" s="87"/>
      <c r="C955" s="106"/>
      <c r="D955" s="91"/>
      <c r="E955" s="91"/>
      <c r="F955" s="91"/>
      <c r="G955" s="91"/>
      <c r="H955" s="69"/>
      <c r="I955" s="69"/>
      <c r="CS955"/>
      <c r="CT955"/>
      <c r="CU955"/>
      <c r="CV955"/>
      <c r="CW955"/>
      <c r="CX955"/>
      <c r="CY955"/>
    </row>
    <row r="956" spans="2:103" s="60" customFormat="1" x14ac:dyDescent="0.5">
      <c r="B956" s="87"/>
      <c r="C956" s="106"/>
      <c r="D956" s="91"/>
      <c r="E956" s="91"/>
      <c r="F956" s="91"/>
      <c r="G956" s="91"/>
      <c r="H956" s="69"/>
      <c r="I956" s="69"/>
      <c r="CS956"/>
      <c r="CT956"/>
      <c r="CU956"/>
      <c r="CV956"/>
      <c r="CW956"/>
      <c r="CX956"/>
      <c r="CY956"/>
    </row>
    <row r="957" spans="2:103" s="60" customFormat="1" x14ac:dyDescent="0.5">
      <c r="B957" s="87"/>
      <c r="C957" s="106"/>
      <c r="D957" s="91"/>
      <c r="E957" s="91"/>
      <c r="F957" s="91"/>
      <c r="G957" s="91"/>
      <c r="H957" s="69"/>
      <c r="I957" s="69"/>
      <c r="CS957"/>
      <c r="CT957"/>
      <c r="CU957"/>
      <c r="CV957"/>
      <c r="CW957"/>
      <c r="CX957"/>
      <c r="CY957"/>
    </row>
    <row r="958" spans="2:103" s="60" customFormat="1" x14ac:dyDescent="0.5">
      <c r="B958" s="87"/>
      <c r="C958" s="106"/>
      <c r="D958" s="91"/>
      <c r="E958" s="91"/>
      <c r="F958" s="91"/>
      <c r="G958" s="91"/>
      <c r="H958" s="69"/>
      <c r="I958" s="69"/>
      <c r="CS958"/>
      <c r="CT958"/>
      <c r="CU958"/>
      <c r="CV958"/>
      <c r="CW958"/>
      <c r="CX958"/>
      <c r="CY958"/>
    </row>
    <row r="959" spans="2:103" s="60" customFormat="1" x14ac:dyDescent="0.5">
      <c r="B959" s="87"/>
      <c r="C959" s="106"/>
      <c r="D959" s="91"/>
      <c r="E959" s="91"/>
      <c r="F959" s="91"/>
      <c r="G959" s="91"/>
      <c r="H959" s="69"/>
      <c r="I959" s="69"/>
      <c r="CS959"/>
      <c r="CT959"/>
      <c r="CU959"/>
      <c r="CV959"/>
      <c r="CW959"/>
      <c r="CX959"/>
      <c r="CY959"/>
    </row>
    <row r="960" spans="2:103" s="60" customFormat="1" x14ac:dyDescent="0.5">
      <c r="B960" s="87"/>
      <c r="C960" s="106"/>
      <c r="D960" s="91"/>
      <c r="E960" s="91"/>
      <c r="F960" s="91"/>
      <c r="G960" s="91"/>
      <c r="H960" s="69"/>
      <c r="I960" s="69"/>
      <c r="CS960"/>
      <c r="CT960"/>
      <c r="CU960"/>
      <c r="CV960"/>
      <c r="CW960"/>
      <c r="CX960"/>
      <c r="CY960"/>
    </row>
    <row r="961" spans="2:103" s="60" customFormat="1" x14ac:dyDescent="0.5">
      <c r="B961" s="87"/>
      <c r="C961" s="106"/>
      <c r="D961" s="91"/>
      <c r="E961" s="91"/>
      <c r="F961" s="91"/>
      <c r="G961" s="91"/>
      <c r="H961" s="69"/>
      <c r="I961" s="69"/>
      <c r="CS961"/>
      <c r="CT961"/>
      <c r="CU961"/>
      <c r="CV961"/>
      <c r="CW961"/>
      <c r="CX961"/>
      <c r="CY961"/>
    </row>
    <row r="962" spans="2:103" s="60" customFormat="1" x14ac:dyDescent="0.5">
      <c r="B962" s="87"/>
      <c r="C962" s="106"/>
      <c r="D962" s="91"/>
      <c r="E962" s="91"/>
      <c r="F962" s="91"/>
      <c r="G962" s="91"/>
      <c r="H962" s="69"/>
      <c r="I962" s="69"/>
      <c r="CS962"/>
      <c r="CT962"/>
      <c r="CU962"/>
      <c r="CV962"/>
      <c r="CW962"/>
      <c r="CX962"/>
      <c r="CY962"/>
    </row>
    <row r="963" spans="2:103" s="60" customFormat="1" x14ac:dyDescent="0.5">
      <c r="B963" s="87"/>
      <c r="C963" s="106"/>
      <c r="D963" s="91"/>
      <c r="E963" s="91"/>
      <c r="F963" s="91"/>
      <c r="G963" s="91"/>
      <c r="H963" s="69"/>
      <c r="I963" s="69"/>
      <c r="CS963"/>
      <c r="CT963"/>
      <c r="CU963"/>
      <c r="CV963"/>
      <c r="CW963"/>
      <c r="CX963"/>
      <c r="CY963"/>
    </row>
    <row r="964" spans="2:103" s="60" customFormat="1" x14ac:dyDescent="0.5">
      <c r="B964" s="87"/>
      <c r="C964" s="106"/>
      <c r="D964" s="91"/>
      <c r="E964" s="91"/>
      <c r="F964" s="91"/>
      <c r="G964" s="91"/>
      <c r="H964" s="69"/>
      <c r="I964" s="69"/>
      <c r="CS964"/>
      <c r="CT964"/>
      <c r="CU964"/>
      <c r="CV964"/>
      <c r="CW964"/>
      <c r="CX964"/>
      <c r="CY964"/>
    </row>
    <row r="965" spans="2:103" s="60" customFormat="1" x14ac:dyDescent="0.5">
      <c r="B965" s="87"/>
      <c r="C965" s="106"/>
      <c r="D965" s="91"/>
      <c r="E965" s="91"/>
      <c r="F965" s="91"/>
      <c r="G965" s="91"/>
      <c r="H965" s="69"/>
      <c r="I965" s="69"/>
      <c r="CS965"/>
      <c r="CT965"/>
      <c r="CU965"/>
      <c r="CV965"/>
      <c r="CW965"/>
      <c r="CX965"/>
      <c r="CY965"/>
    </row>
    <row r="966" spans="2:103" s="60" customFormat="1" x14ac:dyDescent="0.5">
      <c r="B966" s="87"/>
      <c r="C966" s="106"/>
      <c r="D966" s="91"/>
      <c r="E966" s="91"/>
      <c r="F966" s="91"/>
      <c r="G966" s="91"/>
      <c r="H966" s="69"/>
      <c r="I966" s="69"/>
      <c r="CS966"/>
      <c r="CT966"/>
      <c r="CU966"/>
      <c r="CV966"/>
      <c r="CW966"/>
      <c r="CX966"/>
      <c r="CY966"/>
    </row>
    <row r="967" spans="2:103" s="60" customFormat="1" x14ac:dyDescent="0.5">
      <c r="B967" s="87"/>
      <c r="C967" s="106"/>
      <c r="D967" s="91"/>
      <c r="E967" s="91"/>
      <c r="F967" s="91"/>
      <c r="G967" s="91"/>
      <c r="H967" s="69"/>
      <c r="I967" s="69"/>
      <c r="CS967"/>
      <c r="CT967"/>
      <c r="CU967"/>
      <c r="CV967"/>
      <c r="CW967"/>
      <c r="CX967"/>
      <c r="CY967"/>
    </row>
    <row r="968" spans="2:103" s="60" customFormat="1" x14ac:dyDescent="0.5">
      <c r="B968" s="87"/>
      <c r="C968" s="106"/>
      <c r="D968" s="91"/>
      <c r="E968" s="91"/>
      <c r="F968" s="91"/>
      <c r="G968" s="91"/>
      <c r="H968" s="69"/>
      <c r="I968" s="69"/>
      <c r="CS968"/>
      <c r="CT968"/>
      <c r="CU968"/>
      <c r="CV968"/>
      <c r="CW968"/>
      <c r="CX968"/>
      <c r="CY968"/>
    </row>
    <row r="969" spans="2:103" s="60" customFormat="1" x14ac:dyDescent="0.5">
      <c r="B969" s="87"/>
      <c r="C969" s="106"/>
      <c r="D969" s="91"/>
      <c r="E969" s="91"/>
      <c r="F969" s="91"/>
      <c r="G969" s="91"/>
      <c r="H969" s="69"/>
      <c r="I969" s="69"/>
      <c r="CS969"/>
      <c r="CT969"/>
      <c r="CU969"/>
      <c r="CV969"/>
      <c r="CW969"/>
      <c r="CX969"/>
      <c r="CY969"/>
    </row>
    <row r="970" spans="2:103" s="60" customFormat="1" x14ac:dyDescent="0.5">
      <c r="B970" s="87"/>
      <c r="C970" s="106"/>
      <c r="D970" s="91"/>
      <c r="E970" s="91"/>
      <c r="F970" s="91"/>
      <c r="G970" s="91"/>
      <c r="H970" s="69"/>
      <c r="I970" s="69"/>
      <c r="CS970"/>
      <c r="CT970"/>
      <c r="CU970"/>
      <c r="CV970"/>
      <c r="CW970"/>
      <c r="CX970"/>
      <c r="CY970"/>
    </row>
    <row r="971" spans="2:103" s="60" customFormat="1" x14ac:dyDescent="0.5">
      <c r="B971" s="87"/>
      <c r="C971" s="106"/>
      <c r="D971" s="91"/>
      <c r="E971" s="91"/>
      <c r="F971" s="91"/>
      <c r="G971" s="91"/>
      <c r="H971" s="69"/>
      <c r="I971" s="69"/>
      <c r="CS971"/>
      <c r="CT971"/>
      <c r="CU971"/>
      <c r="CV971"/>
      <c r="CW971"/>
      <c r="CX971"/>
      <c r="CY971"/>
    </row>
    <row r="972" spans="2:103" s="60" customFormat="1" x14ac:dyDescent="0.5">
      <c r="B972" s="87"/>
      <c r="C972" s="106"/>
      <c r="D972" s="91"/>
      <c r="E972" s="91"/>
      <c r="F972" s="91"/>
      <c r="G972" s="91"/>
      <c r="H972" s="69"/>
      <c r="I972" s="69"/>
      <c r="CS972"/>
      <c r="CT972"/>
      <c r="CU972"/>
      <c r="CV972"/>
      <c r="CW972"/>
      <c r="CX972"/>
      <c r="CY972"/>
    </row>
    <row r="973" spans="2:103" s="60" customFormat="1" x14ac:dyDescent="0.5">
      <c r="B973" s="87"/>
      <c r="C973" s="106"/>
      <c r="D973" s="91"/>
      <c r="E973" s="91"/>
      <c r="F973" s="91"/>
      <c r="G973" s="91"/>
      <c r="H973" s="69"/>
      <c r="I973" s="69"/>
      <c r="CS973"/>
      <c r="CT973"/>
      <c r="CU973"/>
      <c r="CV973"/>
      <c r="CW973"/>
      <c r="CX973"/>
      <c r="CY973"/>
    </row>
    <row r="974" spans="2:103" s="60" customFormat="1" x14ac:dyDescent="0.5">
      <c r="B974" s="87"/>
      <c r="C974" s="106"/>
      <c r="D974" s="91"/>
      <c r="E974" s="91"/>
      <c r="F974" s="91"/>
      <c r="G974" s="91"/>
      <c r="H974" s="69"/>
      <c r="I974" s="69"/>
      <c r="CS974"/>
      <c r="CT974"/>
      <c r="CU974"/>
      <c r="CV974"/>
      <c r="CW974"/>
      <c r="CX974"/>
      <c r="CY974"/>
    </row>
    <row r="975" spans="2:103" s="60" customFormat="1" x14ac:dyDescent="0.5">
      <c r="B975" s="87"/>
      <c r="C975" s="106"/>
      <c r="D975" s="91"/>
      <c r="E975" s="91"/>
      <c r="F975" s="91"/>
      <c r="G975" s="91"/>
      <c r="H975" s="69"/>
      <c r="I975" s="69"/>
      <c r="CS975"/>
      <c r="CT975"/>
      <c r="CU975"/>
      <c r="CV975"/>
      <c r="CW975"/>
      <c r="CX975"/>
      <c r="CY975"/>
    </row>
    <row r="976" spans="2:103" s="60" customFormat="1" x14ac:dyDescent="0.5">
      <c r="B976" s="87"/>
      <c r="C976" s="106"/>
      <c r="D976" s="91"/>
      <c r="E976" s="91"/>
      <c r="F976" s="91"/>
      <c r="G976" s="91"/>
      <c r="H976" s="69"/>
      <c r="I976" s="69"/>
      <c r="CS976"/>
      <c r="CT976"/>
      <c r="CU976"/>
      <c r="CV976"/>
      <c r="CW976"/>
      <c r="CX976"/>
      <c r="CY976"/>
    </row>
    <row r="977" spans="2:103" s="60" customFormat="1" x14ac:dyDescent="0.5">
      <c r="B977" s="87"/>
      <c r="C977" s="106"/>
      <c r="D977" s="91"/>
      <c r="E977" s="91"/>
      <c r="F977" s="91"/>
      <c r="G977" s="91"/>
      <c r="H977" s="69"/>
      <c r="I977" s="69"/>
      <c r="CS977"/>
      <c r="CT977"/>
      <c r="CU977"/>
      <c r="CV977"/>
      <c r="CW977"/>
      <c r="CX977"/>
      <c r="CY977"/>
    </row>
    <row r="978" spans="2:103" s="60" customFormat="1" x14ac:dyDescent="0.5">
      <c r="B978" s="87"/>
      <c r="C978" s="106"/>
      <c r="D978" s="91"/>
      <c r="E978" s="91"/>
      <c r="F978" s="91"/>
      <c r="G978" s="91"/>
      <c r="H978" s="69"/>
      <c r="I978" s="69"/>
      <c r="CS978"/>
      <c r="CT978"/>
      <c r="CU978"/>
      <c r="CV978"/>
      <c r="CW978"/>
      <c r="CX978"/>
      <c r="CY978"/>
    </row>
    <row r="979" spans="2:103" s="60" customFormat="1" x14ac:dyDescent="0.5">
      <c r="B979" s="87"/>
      <c r="C979" s="106"/>
      <c r="D979" s="91"/>
      <c r="E979" s="91"/>
      <c r="F979" s="91"/>
      <c r="G979" s="91"/>
      <c r="H979" s="69"/>
      <c r="I979" s="69"/>
      <c r="CS979"/>
      <c r="CT979"/>
      <c r="CU979"/>
      <c r="CV979"/>
      <c r="CW979"/>
      <c r="CX979"/>
      <c r="CY979"/>
    </row>
    <row r="980" spans="2:103" s="60" customFormat="1" x14ac:dyDescent="0.5">
      <c r="B980" s="87"/>
      <c r="C980" s="106"/>
      <c r="D980" s="91"/>
      <c r="E980" s="91"/>
      <c r="F980" s="91"/>
      <c r="G980" s="91"/>
      <c r="H980" s="69"/>
      <c r="I980" s="69"/>
      <c r="CS980"/>
      <c r="CT980"/>
      <c r="CU980"/>
      <c r="CV980"/>
      <c r="CW980"/>
      <c r="CX980"/>
      <c r="CY980"/>
    </row>
    <row r="981" spans="2:103" s="60" customFormat="1" x14ac:dyDescent="0.5">
      <c r="B981" s="87"/>
      <c r="C981" s="106"/>
      <c r="D981" s="91"/>
      <c r="E981" s="91"/>
      <c r="F981" s="91"/>
      <c r="G981" s="91"/>
      <c r="H981" s="69"/>
      <c r="I981" s="69"/>
      <c r="CS981"/>
      <c r="CT981"/>
      <c r="CU981"/>
      <c r="CV981"/>
      <c r="CW981"/>
      <c r="CX981"/>
      <c r="CY981"/>
    </row>
    <row r="982" spans="2:103" s="60" customFormat="1" x14ac:dyDescent="0.5">
      <c r="B982" s="87"/>
      <c r="C982" s="106"/>
      <c r="D982" s="91"/>
      <c r="E982" s="91"/>
      <c r="F982" s="91"/>
      <c r="G982" s="91"/>
      <c r="H982" s="69"/>
      <c r="I982" s="69"/>
      <c r="CS982"/>
      <c r="CT982"/>
      <c r="CU982"/>
      <c r="CV982"/>
      <c r="CW982"/>
      <c r="CX982"/>
      <c r="CY982"/>
    </row>
    <row r="983" spans="2:103" s="60" customFormat="1" x14ac:dyDescent="0.5">
      <c r="B983" s="87"/>
      <c r="C983" s="106"/>
      <c r="D983" s="91"/>
      <c r="E983" s="91"/>
      <c r="F983" s="91"/>
      <c r="G983" s="91"/>
      <c r="H983" s="69"/>
      <c r="I983" s="69"/>
      <c r="CS983"/>
      <c r="CT983"/>
      <c r="CU983"/>
      <c r="CV983"/>
      <c r="CW983"/>
      <c r="CX983"/>
      <c r="CY983"/>
    </row>
    <row r="984" spans="2:103" s="60" customFormat="1" x14ac:dyDescent="0.5">
      <c r="B984" s="87"/>
      <c r="C984" s="106"/>
      <c r="D984" s="91"/>
      <c r="E984" s="91"/>
      <c r="F984" s="91"/>
      <c r="G984" s="91"/>
      <c r="H984" s="69"/>
      <c r="I984" s="69"/>
      <c r="CS984"/>
      <c r="CT984"/>
      <c r="CU984"/>
      <c r="CV984"/>
      <c r="CW984"/>
      <c r="CX984"/>
      <c r="CY984"/>
    </row>
    <row r="985" spans="2:103" s="60" customFormat="1" x14ac:dyDescent="0.5">
      <c r="B985" s="87"/>
      <c r="C985" s="106"/>
      <c r="D985" s="91"/>
      <c r="E985" s="91"/>
      <c r="F985" s="91"/>
      <c r="G985" s="91"/>
      <c r="H985" s="69"/>
      <c r="I985" s="69"/>
      <c r="CS985"/>
      <c r="CT985"/>
      <c r="CU985"/>
      <c r="CV985"/>
      <c r="CW985"/>
      <c r="CX985"/>
      <c r="CY985"/>
    </row>
    <row r="986" spans="2:103" s="60" customFormat="1" x14ac:dyDescent="0.5">
      <c r="B986" s="87"/>
      <c r="C986" s="106"/>
      <c r="D986" s="91"/>
      <c r="E986" s="91"/>
      <c r="F986" s="91"/>
      <c r="G986" s="91"/>
      <c r="H986" s="69"/>
      <c r="I986" s="69"/>
      <c r="CS986"/>
      <c r="CT986"/>
      <c r="CU986"/>
      <c r="CV986"/>
      <c r="CW986"/>
      <c r="CX986"/>
      <c r="CY986"/>
    </row>
    <row r="987" spans="2:103" s="60" customFormat="1" x14ac:dyDescent="0.5">
      <c r="B987" s="87"/>
      <c r="C987" s="106"/>
      <c r="D987" s="91"/>
      <c r="E987" s="91"/>
      <c r="F987" s="91"/>
      <c r="G987" s="91"/>
      <c r="H987" s="69"/>
      <c r="I987" s="69"/>
      <c r="CS987"/>
      <c r="CT987"/>
      <c r="CU987"/>
      <c r="CV987"/>
      <c r="CW987"/>
      <c r="CX987"/>
      <c r="CY987"/>
    </row>
    <row r="988" spans="2:103" s="60" customFormat="1" x14ac:dyDescent="0.5">
      <c r="B988" s="87"/>
      <c r="C988" s="106"/>
      <c r="D988" s="91"/>
      <c r="E988" s="91"/>
      <c r="F988" s="91"/>
      <c r="G988" s="91"/>
      <c r="H988" s="69"/>
      <c r="I988" s="69"/>
      <c r="CS988"/>
      <c r="CT988"/>
      <c r="CU988"/>
      <c r="CV988"/>
      <c r="CW988"/>
      <c r="CX988"/>
      <c r="CY988"/>
    </row>
    <row r="989" spans="2:103" s="60" customFormat="1" x14ac:dyDescent="0.5">
      <c r="B989" s="87"/>
      <c r="C989" s="106"/>
      <c r="D989" s="91"/>
      <c r="E989" s="91"/>
      <c r="F989" s="91"/>
      <c r="G989" s="91"/>
      <c r="H989" s="69"/>
      <c r="I989" s="69"/>
      <c r="CS989"/>
      <c r="CT989"/>
      <c r="CU989"/>
      <c r="CV989"/>
      <c r="CW989"/>
      <c r="CX989"/>
      <c r="CY989"/>
    </row>
    <row r="990" spans="2:103" s="60" customFormat="1" x14ac:dyDescent="0.5">
      <c r="B990" s="87"/>
      <c r="C990" s="106"/>
      <c r="D990" s="91"/>
      <c r="E990" s="91"/>
      <c r="F990" s="91"/>
      <c r="G990" s="91"/>
      <c r="H990" s="69"/>
      <c r="I990" s="69"/>
      <c r="CS990"/>
      <c r="CT990"/>
      <c r="CU990"/>
      <c r="CV990"/>
      <c r="CW990"/>
      <c r="CX990"/>
      <c r="CY990"/>
    </row>
    <row r="991" spans="2:103" s="60" customFormat="1" x14ac:dyDescent="0.5">
      <c r="B991" s="87"/>
      <c r="C991" s="106"/>
      <c r="D991" s="91"/>
      <c r="E991" s="91"/>
      <c r="F991" s="91"/>
      <c r="G991" s="91"/>
      <c r="H991" s="69"/>
      <c r="I991" s="69"/>
      <c r="CS991"/>
      <c r="CT991"/>
      <c r="CU991"/>
      <c r="CV991"/>
      <c r="CW991"/>
      <c r="CX991"/>
      <c r="CY991"/>
    </row>
    <row r="992" spans="2:103" s="60" customFormat="1" x14ac:dyDescent="0.5">
      <c r="B992" s="87"/>
      <c r="C992" s="106"/>
      <c r="D992" s="91"/>
      <c r="E992" s="91"/>
      <c r="F992" s="91"/>
      <c r="G992" s="91"/>
      <c r="H992" s="69"/>
      <c r="I992" s="69"/>
      <c r="CS992"/>
      <c r="CT992"/>
      <c r="CU992"/>
      <c r="CV992"/>
      <c r="CW992"/>
      <c r="CX992"/>
      <c r="CY992"/>
    </row>
    <row r="993" spans="2:103" s="60" customFormat="1" x14ac:dyDescent="0.5">
      <c r="B993" s="87"/>
      <c r="C993" s="106"/>
      <c r="D993" s="91"/>
      <c r="E993" s="91"/>
      <c r="F993" s="91"/>
      <c r="G993" s="91"/>
      <c r="H993" s="69"/>
      <c r="I993" s="69"/>
      <c r="CS993"/>
      <c r="CT993"/>
      <c r="CU993"/>
      <c r="CV993"/>
      <c r="CW993"/>
      <c r="CX993"/>
      <c r="CY993"/>
    </row>
    <row r="994" spans="2:103" s="60" customFormat="1" x14ac:dyDescent="0.5">
      <c r="B994" s="87"/>
      <c r="C994" s="106"/>
      <c r="D994" s="91"/>
      <c r="E994" s="91"/>
      <c r="F994" s="91"/>
      <c r="G994" s="91"/>
      <c r="H994" s="69"/>
      <c r="I994" s="69"/>
      <c r="CS994"/>
      <c r="CT994"/>
      <c r="CU994"/>
      <c r="CV994"/>
      <c r="CW994"/>
      <c r="CX994"/>
      <c r="CY994"/>
    </row>
    <row r="995" spans="2:103" s="60" customFormat="1" x14ac:dyDescent="0.5">
      <c r="B995" s="87"/>
      <c r="C995" s="106"/>
      <c r="D995" s="91"/>
      <c r="E995" s="91"/>
      <c r="F995" s="91"/>
      <c r="G995" s="91"/>
      <c r="H995" s="69"/>
      <c r="I995" s="69"/>
      <c r="CS995"/>
      <c r="CT995"/>
      <c r="CU995"/>
      <c r="CV995"/>
      <c r="CW995"/>
      <c r="CX995"/>
      <c r="CY995"/>
    </row>
    <row r="996" spans="2:103" s="60" customFormat="1" x14ac:dyDescent="0.5">
      <c r="B996" s="87"/>
      <c r="C996" s="106"/>
      <c r="D996" s="91"/>
      <c r="E996" s="91"/>
      <c r="F996" s="91"/>
      <c r="G996" s="91"/>
      <c r="H996" s="69"/>
      <c r="I996" s="69"/>
      <c r="CS996"/>
      <c r="CT996"/>
      <c r="CU996"/>
      <c r="CV996"/>
      <c r="CW996"/>
      <c r="CX996"/>
      <c r="CY996"/>
    </row>
    <row r="997" spans="2:103" s="60" customFormat="1" x14ac:dyDescent="0.5">
      <c r="B997" s="87"/>
      <c r="C997" s="106"/>
      <c r="D997" s="91"/>
      <c r="E997" s="91"/>
      <c r="F997" s="91"/>
      <c r="G997" s="91"/>
      <c r="H997" s="69"/>
      <c r="I997" s="69"/>
      <c r="CS997"/>
      <c r="CT997"/>
      <c r="CU997"/>
      <c r="CV997"/>
      <c r="CW997"/>
      <c r="CX997"/>
      <c r="CY997"/>
    </row>
    <row r="998" spans="2:103" s="60" customFormat="1" x14ac:dyDescent="0.5">
      <c r="B998" s="87"/>
      <c r="C998" s="106"/>
      <c r="D998" s="91"/>
      <c r="E998" s="91"/>
      <c r="F998" s="91"/>
      <c r="G998" s="91"/>
      <c r="H998" s="69"/>
      <c r="I998" s="69"/>
      <c r="CS998"/>
      <c r="CT998"/>
      <c r="CU998"/>
      <c r="CV998"/>
      <c r="CW998"/>
      <c r="CX998"/>
      <c r="CY998"/>
    </row>
    <row r="999" spans="2:103" s="60" customFormat="1" x14ac:dyDescent="0.5">
      <c r="B999" s="87"/>
      <c r="C999" s="106"/>
      <c r="D999" s="91"/>
      <c r="E999" s="91"/>
      <c r="F999" s="91"/>
      <c r="G999" s="91"/>
      <c r="H999" s="69"/>
      <c r="I999" s="69"/>
      <c r="CS999"/>
      <c r="CT999"/>
      <c r="CU999"/>
      <c r="CV999"/>
      <c r="CW999"/>
      <c r="CX999"/>
      <c r="CY999"/>
    </row>
    <row r="1000" spans="2:103" s="60" customFormat="1" x14ac:dyDescent="0.5">
      <c r="B1000" s="87"/>
      <c r="C1000" s="106"/>
      <c r="D1000" s="91"/>
      <c r="E1000" s="91"/>
      <c r="F1000" s="91"/>
      <c r="G1000" s="91"/>
      <c r="H1000" s="69"/>
      <c r="I1000" s="69"/>
      <c r="CS1000"/>
      <c r="CT1000"/>
      <c r="CU1000"/>
      <c r="CV1000"/>
      <c r="CW1000"/>
      <c r="CX1000"/>
      <c r="CY1000"/>
    </row>
    <row r="1001" spans="2:103" s="60" customFormat="1" x14ac:dyDescent="0.5">
      <c r="B1001" s="87"/>
      <c r="C1001" s="106"/>
      <c r="D1001" s="91"/>
      <c r="E1001" s="91"/>
      <c r="F1001" s="91"/>
      <c r="G1001" s="91"/>
      <c r="H1001" s="69"/>
      <c r="I1001" s="69"/>
      <c r="CS1001"/>
      <c r="CT1001"/>
      <c r="CU1001"/>
      <c r="CV1001"/>
      <c r="CW1001"/>
      <c r="CX1001"/>
      <c r="CY1001"/>
    </row>
    <row r="1002" spans="2:103" s="60" customFormat="1" x14ac:dyDescent="0.5">
      <c r="B1002" s="87"/>
      <c r="C1002" s="106"/>
      <c r="D1002" s="91"/>
      <c r="E1002" s="91"/>
      <c r="F1002" s="91"/>
      <c r="G1002" s="91"/>
      <c r="H1002" s="69"/>
      <c r="I1002" s="69"/>
      <c r="CS1002"/>
      <c r="CT1002"/>
      <c r="CU1002"/>
      <c r="CV1002"/>
      <c r="CW1002"/>
      <c r="CX1002"/>
      <c r="CY1002"/>
    </row>
    <row r="1003" spans="2:103" s="60" customFormat="1" x14ac:dyDescent="0.5">
      <c r="B1003" s="87"/>
      <c r="C1003" s="106"/>
      <c r="D1003" s="91"/>
      <c r="E1003" s="91"/>
      <c r="F1003" s="91"/>
      <c r="G1003" s="91"/>
      <c r="H1003" s="69"/>
      <c r="I1003" s="69"/>
      <c r="CS1003"/>
      <c r="CT1003"/>
      <c r="CU1003"/>
      <c r="CV1003"/>
      <c r="CW1003"/>
      <c r="CX1003"/>
      <c r="CY1003"/>
    </row>
    <row r="1004" spans="2:103" s="60" customFormat="1" x14ac:dyDescent="0.5">
      <c r="B1004" s="87"/>
      <c r="C1004" s="106"/>
      <c r="D1004" s="91"/>
      <c r="E1004" s="91"/>
      <c r="F1004" s="91"/>
      <c r="G1004" s="91"/>
      <c r="H1004" s="69"/>
      <c r="I1004" s="69"/>
      <c r="CS1004"/>
      <c r="CT1004"/>
      <c r="CU1004"/>
      <c r="CV1004"/>
      <c r="CW1004"/>
      <c r="CX1004"/>
      <c r="CY1004"/>
    </row>
    <row r="1005" spans="2:103" s="60" customFormat="1" x14ac:dyDescent="0.5">
      <c r="B1005" s="87"/>
      <c r="C1005" s="106"/>
      <c r="D1005" s="91"/>
      <c r="E1005" s="91"/>
      <c r="F1005" s="91"/>
      <c r="G1005" s="91"/>
      <c r="H1005" s="69"/>
      <c r="I1005" s="69"/>
      <c r="CS1005"/>
      <c r="CT1005"/>
      <c r="CU1005"/>
      <c r="CV1005"/>
      <c r="CW1005"/>
      <c r="CX1005"/>
      <c r="CY1005"/>
    </row>
    <row r="1006" spans="2:103" s="60" customFormat="1" x14ac:dyDescent="0.5">
      <c r="B1006" s="87"/>
      <c r="C1006" s="106"/>
      <c r="D1006" s="91"/>
      <c r="E1006" s="91"/>
      <c r="F1006" s="91"/>
      <c r="G1006" s="91"/>
      <c r="H1006" s="69"/>
      <c r="I1006" s="69"/>
      <c r="CS1006"/>
      <c r="CT1006"/>
      <c r="CU1006"/>
      <c r="CV1006"/>
      <c r="CW1006"/>
      <c r="CX1006"/>
      <c r="CY1006"/>
    </row>
    <row r="1007" spans="2:103" s="60" customFormat="1" x14ac:dyDescent="0.5">
      <c r="B1007" s="87"/>
      <c r="C1007" s="106"/>
      <c r="D1007" s="91"/>
      <c r="E1007" s="91"/>
      <c r="F1007" s="91"/>
      <c r="G1007" s="91"/>
      <c r="H1007" s="69"/>
      <c r="I1007" s="69"/>
      <c r="CS1007"/>
      <c r="CT1007"/>
      <c r="CU1007"/>
      <c r="CV1007"/>
      <c r="CW1007"/>
      <c r="CX1007"/>
      <c r="CY1007"/>
    </row>
    <row r="1008" spans="2:103" s="60" customFormat="1" x14ac:dyDescent="0.5">
      <c r="B1008" s="87"/>
      <c r="C1008" s="106"/>
      <c r="D1008" s="91"/>
      <c r="E1008" s="91"/>
      <c r="F1008" s="91"/>
      <c r="G1008" s="91"/>
      <c r="H1008" s="69"/>
      <c r="I1008" s="69"/>
      <c r="CS1008"/>
      <c r="CT1008"/>
      <c r="CU1008"/>
      <c r="CV1008"/>
      <c r="CW1008"/>
      <c r="CX1008"/>
      <c r="CY1008"/>
    </row>
    <row r="1009" spans="2:103" s="60" customFormat="1" x14ac:dyDescent="0.5">
      <c r="B1009" s="87"/>
      <c r="C1009" s="106"/>
      <c r="D1009" s="91"/>
      <c r="E1009" s="91"/>
      <c r="F1009" s="91"/>
      <c r="G1009" s="91"/>
      <c r="H1009" s="69"/>
      <c r="I1009" s="69"/>
      <c r="CS1009"/>
      <c r="CT1009"/>
      <c r="CU1009"/>
      <c r="CV1009"/>
      <c r="CW1009"/>
      <c r="CX1009"/>
      <c r="CY1009"/>
    </row>
    <row r="1010" spans="2:103" s="60" customFormat="1" x14ac:dyDescent="0.5">
      <c r="B1010" s="87"/>
      <c r="C1010" s="106"/>
      <c r="D1010" s="91"/>
      <c r="E1010" s="91"/>
      <c r="F1010" s="91"/>
      <c r="G1010" s="91"/>
      <c r="H1010" s="69"/>
      <c r="I1010" s="69"/>
      <c r="CS1010"/>
      <c r="CT1010"/>
      <c r="CU1010"/>
      <c r="CV1010"/>
      <c r="CW1010"/>
      <c r="CX1010"/>
      <c r="CY1010"/>
    </row>
    <row r="1011" spans="2:103" s="60" customFormat="1" x14ac:dyDescent="0.5">
      <c r="B1011" s="87"/>
      <c r="C1011" s="106"/>
      <c r="D1011" s="91"/>
      <c r="E1011" s="91"/>
      <c r="F1011" s="91"/>
      <c r="G1011" s="91"/>
      <c r="H1011" s="69"/>
      <c r="I1011" s="69"/>
      <c r="CS1011"/>
      <c r="CT1011"/>
      <c r="CU1011"/>
      <c r="CV1011"/>
      <c r="CW1011"/>
      <c r="CX1011"/>
      <c r="CY1011"/>
    </row>
    <row r="1012" spans="2:103" s="60" customFormat="1" x14ac:dyDescent="0.5">
      <c r="B1012" s="87"/>
      <c r="C1012" s="106"/>
      <c r="D1012" s="91"/>
      <c r="E1012" s="91"/>
      <c r="F1012" s="91"/>
      <c r="G1012" s="91"/>
      <c r="H1012" s="69"/>
      <c r="I1012" s="69"/>
      <c r="CS1012"/>
      <c r="CT1012"/>
      <c r="CU1012"/>
      <c r="CV1012"/>
      <c r="CW1012"/>
      <c r="CX1012"/>
      <c r="CY1012"/>
    </row>
    <row r="1013" spans="2:103" s="60" customFormat="1" x14ac:dyDescent="0.5">
      <c r="B1013" s="87"/>
      <c r="C1013" s="106"/>
      <c r="D1013" s="91"/>
      <c r="E1013" s="91"/>
      <c r="F1013" s="91"/>
      <c r="G1013" s="91"/>
      <c r="H1013" s="69"/>
      <c r="I1013" s="69"/>
      <c r="CS1013"/>
      <c r="CT1013"/>
      <c r="CU1013"/>
      <c r="CV1013"/>
      <c r="CW1013"/>
      <c r="CX1013"/>
      <c r="CY1013"/>
    </row>
    <row r="1014" spans="2:103" s="60" customFormat="1" x14ac:dyDescent="0.5">
      <c r="B1014" s="87"/>
      <c r="C1014" s="106"/>
      <c r="D1014" s="91"/>
      <c r="E1014" s="91"/>
      <c r="F1014" s="91"/>
      <c r="G1014" s="91"/>
      <c r="H1014" s="69"/>
      <c r="I1014" s="69"/>
      <c r="CS1014"/>
      <c r="CT1014"/>
      <c r="CU1014"/>
      <c r="CV1014"/>
      <c r="CW1014"/>
      <c r="CX1014"/>
      <c r="CY1014"/>
    </row>
    <row r="1015" spans="2:103" s="60" customFormat="1" x14ac:dyDescent="0.5">
      <c r="B1015" s="87"/>
      <c r="C1015" s="106"/>
      <c r="D1015" s="91"/>
      <c r="E1015" s="91"/>
      <c r="F1015" s="91"/>
      <c r="G1015" s="91"/>
      <c r="H1015" s="69"/>
      <c r="I1015" s="69"/>
      <c r="CS1015"/>
      <c r="CT1015"/>
      <c r="CU1015"/>
      <c r="CV1015"/>
      <c r="CW1015"/>
      <c r="CX1015"/>
      <c r="CY1015"/>
    </row>
    <row r="1016" spans="2:103" s="60" customFormat="1" x14ac:dyDescent="0.5">
      <c r="B1016" s="87"/>
      <c r="C1016" s="106"/>
      <c r="D1016" s="91"/>
      <c r="E1016" s="91"/>
      <c r="F1016" s="91"/>
      <c r="G1016" s="91"/>
      <c r="H1016" s="69"/>
      <c r="I1016" s="69"/>
      <c r="CS1016"/>
      <c r="CT1016"/>
      <c r="CU1016"/>
      <c r="CV1016"/>
      <c r="CW1016"/>
      <c r="CX1016"/>
      <c r="CY1016"/>
    </row>
    <row r="1017" spans="2:103" s="60" customFormat="1" x14ac:dyDescent="0.5">
      <c r="B1017" s="87"/>
      <c r="C1017" s="106"/>
      <c r="D1017" s="91"/>
      <c r="E1017" s="91"/>
      <c r="F1017" s="91"/>
      <c r="G1017" s="91"/>
      <c r="H1017" s="69"/>
      <c r="I1017" s="69"/>
      <c r="CS1017"/>
      <c r="CT1017"/>
      <c r="CU1017"/>
      <c r="CV1017"/>
      <c r="CW1017"/>
      <c r="CX1017"/>
      <c r="CY1017"/>
    </row>
    <row r="1018" spans="2:103" s="60" customFormat="1" x14ac:dyDescent="0.5">
      <c r="B1018" s="87"/>
      <c r="C1018" s="106"/>
      <c r="D1018" s="91"/>
      <c r="E1018" s="91"/>
      <c r="F1018" s="91"/>
      <c r="G1018" s="91"/>
      <c r="H1018" s="69"/>
      <c r="I1018" s="69"/>
      <c r="CS1018"/>
      <c r="CT1018"/>
      <c r="CU1018"/>
      <c r="CV1018"/>
      <c r="CW1018"/>
      <c r="CX1018"/>
      <c r="CY1018"/>
    </row>
    <row r="1019" spans="2:103" s="60" customFormat="1" x14ac:dyDescent="0.5">
      <c r="B1019" s="87"/>
      <c r="C1019" s="106"/>
      <c r="D1019" s="91"/>
      <c r="E1019" s="91"/>
      <c r="F1019" s="91"/>
      <c r="G1019" s="91"/>
      <c r="H1019" s="69"/>
      <c r="I1019" s="69"/>
      <c r="CS1019"/>
      <c r="CT1019"/>
      <c r="CU1019"/>
      <c r="CV1019"/>
      <c r="CW1019"/>
      <c r="CX1019"/>
      <c r="CY1019"/>
    </row>
    <row r="1020" spans="2:103" s="60" customFormat="1" x14ac:dyDescent="0.5">
      <c r="B1020" s="87"/>
      <c r="C1020" s="106"/>
      <c r="D1020" s="91"/>
      <c r="E1020" s="91"/>
      <c r="F1020" s="91"/>
      <c r="G1020" s="91"/>
      <c r="H1020" s="69"/>
      <c r="I1020" s="69"/>
      <c r="CS1020"/>
      <c r="CT1020"/>
      <c r="CU1020"/>
      <c r="CV1020"/>
      <c r="CW1020"/>
      <c r="CX1020"/>
      <c r="CY1020"/>
    </row>
    <row r="1021" spans="2:103" s="60" customFormat="1" x14ac:dyDescent="0.5">
      <c r="B1021" s="87"/>
      <c r="C1021" s="106"/>
      <c r="D1021" s="91"/>
      <c r="E1021" s="91"/>
      <c r="F1021" s="91"/>
      <c r="G1021" s="91"/>
      <c r="H1021" s="69"/>
      <c r="I1021" s="69"/>
      <c r="CS1021"/>
      <c r="CT1021"/>
      <c r="CU1021"/>
      <c r="CV1021"/>
      <c r="CW1021"/>
      <c r="CX1021"/>
      <c r="CY1021"/>
    </row>
    <row r="1022" spans="2:103" s="60" customFormat="1" x14ac:dyDescent="0.5">
      <c r="B1022" s="87"/>
      <c r="C1022" s="106"/>
      <c r="D1022" s="91"/>
      <c r="E1022" s="91"/>
      <c r="F1022" s="91"/>
      <c r="G1022" s="91"/>
      <c r="H1022" s="69"/>
      <c r="I1022" s="69"/>
      <c r="CS1022"/>
      <c r="CT1022"/>
      <c r="CU1022"/>
      <c r="CV1022"/>
      <c r="CW1022"/>
      <c r="CX1022"/>
      <c r="CY1022"/>
    </row>
    <row r="1023" spans="2:103" s="60" customFormat="1" x14ac:dyDescent="0.5">
      <c r="B1023" s="87"/>
      <c r="C1023" s="106"/>
      <c r="D1023" s="91"/>
      <c r="E1023" s="91"/>
      <c r="F1023" s="91"/>
      <c r="G1023" s="91"/>
      <c r="H1023" s="69"/>
      <c r="I1023" s="69"/>
      <c r="CS1023"/>
      <c r="CT1023"/>
      <c r="CU1023"/>
      <c r="CV1023"/>
      <c r="CW1023"/>
      <c r="CX1023"/>
      <c r="CY1023"/>
    </row>
    <row r="1024" spans="2:103" s="60" customFormat="1" x14ac:dyDescent="0.5">
      <c r="B1024" s="87"/>
      <c r="C1024" s="106"/>
      <c r="D1024" s="91"/>
      <c r="E1024" s="91"/>
      <c r="F1024" s="91"/>
      <c r="G1024" s="91"/>
      <c r="H1024" s="69"/>
      <c r="I1024" s="69"/>
      <c r="CS1024"/>
      <c r="CT1024"/>
      <c r="CU1024"/>
      <c r="CV1024"/>
      <c r="CW1024"/>
      <c r="CX1024"/>
      <c r="CY1024"/>
    </row>
    <row r="1025" spans="2:103" s="60" customFormat="1" x14ac:dyDescent="0.5">
      <c r="B1025" s="87"/>
      <c r="C1025" s="106"/>
      <c r="D1025" s="91"/>
      <c r="E1025" s="91"/>
      <c r="F1025" s="91"/>
      <c r="G1025" s="91"/>
      <c r="H1025" s="69"/>
      <c r="I1025" s="69"/>
      <c r="CS1025"/>
      <c r="CT1025"/>
      <c r="CU1025"/>
      <c r="CV1025"/>
      <c r="CW1025"/>
      <c r="CX1025"/>
      <c r="CY1025"/>
    </row>
    <row r="1026" spans="2:103" s="60" customFormat="1" x14ac:dyDescent="0.5">
      <c r="B1026" s="87"/>
      <c r="C1026" s="106"/>
      <c r="D1026" s="91"/>
      <c r="E1026" s="91"/>
      <c r="F1026" s="91"/>
      <c r="G1026" s="91"/>
      <c r="H1026" s="69"/>
      <c r="I1026" s="69"/>
      <c r="CS1026"/>
      <c r="CT1026"/>
      <c r="CU1026"/>
      <c r="CV1026"/>
      <c r="CW1026"/>
      <c r="CX1026"/>
      <c r="CY1026"/>
    </row>
    <row r="1027" spans="2:103" s="60" customFormat="1" x14ac:dyDescent="0.5">
      <c r="B1027" s="87"/>
      <c r="C1027" s="106"/>
      <c r="D1027" s="91"/>
      <c r="E1027" s="91"/>
      <c r="F1027" s="91"/>
      <c r="G1027" s="91"/>
      <c r="H1027" s="69"/>
      <c r="I1027" s="69"/>
      <c r="CS1027"/>
      <c r="CT1027"/>
      <c r="CU1027"/>
      <c r="CV1027"/>
      <c r="CW1027"/>
      <c r="CX1027"/>
      <c r="CY1027"/>
    </row>
    <row r="1028" spans="2:103" s="60" customFormat="1" x14ac:dyDescent="0.5">
      <c r="B1028" s="87"/>
      <c r="C1028" s="106"/>
      <c r="D1028" s="91"/>
      <c r="E1028" s="91"/>
      <c r="F1028" s="91"/>
      <c r="G1028" s="91"/>
      <c r="H1028" s="69"/>
      <c r="I1028" s="69"/>
      <c r="CS1028"/>
      <c r="CT1028"/>
      <c r="CU1028"/>
      <c r="CV1028"/>
      <c r="CW1028"/>
      <c r="CX1028"/>
      <c r="CY1028"/>
    </row>
    <row r="1029" spans="2:103" s="60" customFormat="1" x14ac:dyDescent="0.5">
      <c r="B1029" s="87"/>
      <c r="C1029" s="106"/>
      <c r="D1029" s="91"/>
      <c r="E1029" s="91"/>
      <c r="F1029" s="91"/>
      <c r="G1029" s="91"/>
      <c r="H1029" s="69"/>
      <c r="I1029" s="69"/>
      <c r="CS1029"/>
      <c r="CT1029"/>
      <c r="CU1029"/>
      <c r="CV1029"/>
      <c r="CW1029"/>
      <c r="CX1029"/>
      <c r="CY1029"/>
    </row>
    <row r="1030" spans="2:103" s="60" customFormat="1" x14ac:dyDescent="0.5">
      <c r="B1030" s="87"/>
      <c r="C1030" s="106"/>
      <c r="D1030" s="91"/>
      <c r="E1030" s="91"/>
      <c r="F1030" s="91"/>
      <c r="G1030" s="91"/>
      <c r="H1030" s="69"/>
      <c r="I1030" s="69"/>
      <c r="CS1030"/>
      <c r="CT1030"/>
      <c r="CU1030"/>
      <c r="CV1030"/>
      <c r="CW1030"/>
      <c r="CX1030"/>
      <c r="CY1030"/>
    </row>
    <row r="1031" spans="2:103" s="60" customFormat="1" x14ac:dyDescent="0.5">
      <c r="B1031" s="87"/>
      <c r="C1031" s="106"/>
      <c r="D1031" s="91"/>
      <c r="E1031" s="91"/>
      <c r="F1031" s="91"/>
      <c r="G1031" s="91"/>
      <c r="H1031" s="69"/>
      <c r="I1031" s="69"/>
      <c r="CS1031"/>
      <c r="CT1031"/>
      <c r="CU1031"/>
      <c r="CV1031"/>
      <c r="CW1031"/>
      <c r="CX1031"/>
      <c r="CY1031"/>
    </row>
    <row r="1032" spans="2:103" s="60" customFormat="1" x14ac:dyDescent="0.5">
      <c r="B1032" s="87"/>
      <c r="C1032" s="106"/>
      <c r="D1032" s="91"/>
      <c r="E1032" s="91"/>
      <c r="F1032" s="91"/>
      <c r="G1032" s="91"/>
      <c r="H1032" s="69"/>
      <c r="I1032" s="69"/>
      <c r="CS1032"/>
      <c r="CT1032"/>
      <c r="CU1032"/>
      <c r="CV1032"/>
      <c r="CW1032"/>
      <c r="CX1032"/>
      <c r="CY1032"/>
    </row>
    <row r="1033" spans="2:103" s="60" customFormat="1" x14ac:dyDescent="0.5">
      <c r="B1033" s="87"/>
      <c r="C1033" s="106"/>
      <c r="D1033" s="91"/>
      <c r="E1033" s="91"/>
      <c r="F1033" s="91"/>
      <c r="G1033" s="91"/>
      <c r="H1033" s="69"/>
      <c r="I1033" s="69"/>
      <c r="CS1033"/>
      <c r="CT1033"/>
      <c r="CU1033"/>
      <c r="CV1033"/>
      <c r="CW1033"/>
      <c r="CX1033"/>
      <c r="CY1033"/>
    </row>
    <row r="1034" spans="2:103" s="60" customFormat="1" x14ac:dyDescent="0.5">
      <c r="B1034" s="87"/>
      <c r="C1034" s="106"/>
      <c r="D1034" s="91"/>
      <c r="E1034" s="91"/>
      <c r="F1034" s="91"/>
      <c r="G1034" s="91"/>
      <c r="H1034" s="69"/>
      <c r="I1034" s="69"/>
      <c r="CS1034"/>
      <c r="CT1034"/>
      <c r="CU1034"/>
      <c r="CV1034"/>
      <c r="CW1034"/>
      <c r="CX1034"/>
      <c r="CY1034"/>
    </row>
    <row r="1035" spans="2:103" s="60" customFormat="1" x14ac:dyDescent="0.5">
      <c r="B1035" s="87"/>
      <c r="C1035" s="106"/>
      <c r="D1035" s="91"/>
      <c r="E1035" s="91"/>
      <c r="F1035" s="91"/>
      <c r="G1035" s="91"/>
      <c r="H1035" s="69"/>
      <c r="I1035" s="69"/>
      <c r="CS1035"/>
      <c r="CT1035"/>
      <c r="CU1035"/>
      <c r="CV1035"/>
      <c r="CW1035"/>
      <c r="CX1035"/>
      <c r="CY1035"/>
    </row>
    <row r="1036" spans="2:103" s="60" customFormat="1" x14ac:dyDescent="0.5">
      <c r="B1036" s="87"/>
      <c r="C1036" s="106"/>
      <c r="D1036" s="91"/>
      <c r="E1036" s="91"/>
      <c r="F1036" s="91"/>
      <c r="G1036" s="91"/>
      <c r="H1036" s="69"/>
      <c r="I1036" s="69"/>
      <c r="CS1036"/>
      <c r="CT1036"/>
      <c r="CU1036"/>
      <c r="CV1036"/>
      <c r="CW1036"/>
      <c r="CX1036"/>
      <c r="CY1036"/>
    </row>
    <row r="1037" spans="2:103" s="60" customFormat="1" x14ac:dyDescent="0.5">
      <c r="B1037" s="87"/>
      <c r="C1037" s="106"/>
      <c r="D1037" s="91"/>
      <c r="E1037" s="91"/>
      <c r="F1037" s="91"/>
      <c r="G1037" s="91"/>
      <c r="H1037" s="69"/>
      <c r="I1037" s="69"/>
      <c r="CS1037"/>
      <c r="CT1037"/>
      <c r="CU1037"/>
      <c r="CV1037"/>
      <c r="CW1037"/>
      <c r="CX1037"/>
      <c r="CY1037"/>
    </row>
    <row r="1038" spans="2:103" s="60" customFormat="1" x14ac:dyDescent="0.5">
      <c r="B1038" s="87"/>
      <c r="C1038" s="106"/>
      <c r="D1038" s="91"/>
      <c r="E1038" s="91"/>
      <c r="F1038" s="91"/>
      <c r="G1038" s="91"/>
      <c r="H1038" s="69"/>
      <c r="I1038" s="69"/>
      <c r="CS1038"/>
      <c r="CT1038"/>
      <c r="CU1038"/>
      <c r="CV1038"/>
      <c r="CW1038"/>
      <c r="CX1038"/>
      <c r="CY1038"/>
    </row>
    <row r="1039" spans="2:103" s="60" customFormat="1" x14ac:dyDescent="0.5">
      <c r="B1039" s="87"/>
      <c r="C1039" s="106"/>
      <c r="D1039" s="91"/>
      <c r="E1039" s="91"/>
      <c r="F1039" s="91"/>
      <c r="G1039" s="91"/>
      <c r="H1039" s="69"/>
      <c r="I1039" s="69"/>
      <c r="CS1039"/>
      <c r="CT1039"/>
      <c r="CU1039"/>
      <c r="CV1039"/>
      <c r="CW1039"/>
      <c r="CX1039"/>
      <c r="CY1039"/>
    </row>
    <row r="1040" spans="2:103" s="60" customFormat="1" x14ac:dyDescent="0.5">
      <c r="B1040" s="87"/>
      <c r="C1040" s="106"/>
      <c r="D1040" s="91"/>
      <c r="E1040" s="91"/>
      <c r="F1040" s="91"/>
      <c r="G1040" s="91"/>
      <c r="H1040" s="69"/>
      <c r="I1040" s="69"/>
      <c r="CS1040"/>
      <c r="CT1040"/>
      <c r="CU1040"/>
      <c r="CV1040"/>
      <c r="CW1040"/>
      <c r="CX1040"/>
      <c r="CY1040"/>
    </row>
    <row r="1041" spans="2:103" s="60" customFormat="1" x14ac:dyDescent="0.5">
      <c r="B1041" s="87"/>
      <c r="C1041" s="106"/>
      <c r="D1041" s="91"/>
      <c r="E1041" s="91"/>
      <c r="F1041" s="91"/>
      <c r="G1041" s="91"/>
      <c r="H1041" s="69"/>
      <c r="I1041" s="69"/>
      <c r="CS1041"/>
      <c r="CT1041"/>
      <c r="CU1041"/>
      <c r="CV1041"/>
      <c r="CW1041"/>
      <c r="CX1041"/>
      <c r="CY1041"/>
    </row>
    <row r="1042" spans="2:103" s="60" customFormat="1" x14ac:dyDescent="0.5">
      <c r="B1042" s="87"/>
      <c r="C1042" s="106"/>
      <c r="D1042" s="91"/>
      <c r="E1042" s="91"/>
      <c r="F1042" s="91"/>
      <c r="G1042" s="91"/>
      <c r="H1042" s="69"/>
      <c r="I1042" s="69"/>
      <c r="CS1042"/>
      <c r="CT1042"/>
      <c r="CU1042"/>
      <c r="CV1042"/>
      <c r="CW1042"/>
      <c r="CX1042"/>
      <c r="CY1042"/>
    </row>
    <row r="1043" spans="2:103" s="60" customFormat="1" x14ac:dyDescent="0.5">
      <c r="B1043" s="87"/>
      <c r="C1043" s="106"/>
      <c r="D1043" s="91"/>
      <c r="E1043" s="91"/>
      <c r="F1043" s="91"/>
      <c r="G1043" s="91"/>
      <c r="H1043" s="69"/>
      <c r="I1043" s="69"/>
      <c r="CS1043"/>
      <c r="CT1043"/>
      <c r="CU1043"/>
      <c r="CV1043"/>
      <c r="CW1043"/>
      <c r="CX1043"/>
      <c r="CY1043"/>
    </row>
    <row r="1044" spans="2:103" s="60" customFormat="1" x14ac:dyDescent="0.5">
      <c r="B1044" s="87"/>
      <c r="C1044" s="106"/>
      <c r="D1044" s="91"/>
      <c r="E1044" s="91"/>
      <c r="F1044" s="91"/>
      <c r="G1044" s="91"/>
      <c r="H1044" s="69"/>
      <c r="I1044" s="69"/>
      <c r="CS1044"/>
      <c r="CT1044"/>
      <c r="CU1044"/>
      <c r="CV1044"/>
      <c r="CW1044"/>
      <c r="CX1044"/>
      <c r="CY1044"/>
    </row>
    <row r="1045" spans="2:103" s="60" customFormat="1" x14ac:dyDescent="0.5">
      <c r="B1045" s="87"/>
      <c r="C1045" s="106"/>
      <c r="D1045" s="91"/>
      <c r="E1045" s="91"/>
      <c r="F1045" s="91"/>
      <c r="G1045" s="91"/>
      <c r="H1045" s="69"/>
      <c r="I1045" s="69"/>
      <c r="CS1045"/>
      <c r="CT1045"/>
      <c r="CU1045"/>
      <c r="CV1045"/>
      <c r="CW1045"/>
      <c r="CX1045"/>
      <c r="CY1045"/>
    </row>
    <row r="1046" spans="2:103" s="60" customFormat="1" x14ac:dyDescent="0.5">
      <c r="B1046" s="87"/>
      <c r="C1046" s="106"/>
      <c r="D1046" s="91"/>
      <c r="E1046" s="91"/>
      <c r="F1046" s="91"/>
      <c r="G1046" s="91"/>
      <c r="H1046" s="69"/>
      <c r="I1046" s="69"/>
      <c r="CS1046"/>
      <c r="CT1046"/>
      <c r="CU1046"/>
      <c r="CV1046"/>
      <c r="CW1046"/>
      <c r="CX1046"/>
      <c r="CY1046"/>
    </row>
    <row r="1047" spans="2:103" s="60" customFormat="1" x14ac:dyDescent="0.5">
      <c r="B1047" s="87"/>
      <c r="C1047" s="106"/>
      <c r="D1047" s="91"/>
      <c r="E1047" s="91"/>
      <c r="F1047" s="91"/>
      <c r="G1047" s="91"/>
      <c r="H1047" s="69"/>
      <c r="I1047" s="69"/>
      <c r="CS1047"/>
      <c r="CT1047"/>
      <c r="CU1047"/>
      <c r="CV1047"/>
      <c r="CW1047"/>
      <c r="CX1047"/>
      <c r="CY1047"/>
    </row>
    <row r="1048" spans="2:103" s="60" customFormat="1" x14ac:dyDescent="0.5">
      <c r="B1048" s="87"/>
      <c r="C1048" s="106"/>
      <c r="D1048" s="91"/>
      <c r="E1048" s="91"/>
      <c r="F1048" s="91"/>
      <c r="G1048" s="91"/>
      <c r="H1048" s="69"/>
      <c r="I1048" s="69"/>
      <c r="CS1048"/>
      <c r="CT1048"/>
      <c r="CU1048"/>
      <c r="CV1048"/>
      <c r="CW1048"/>
      <c r="CX1048"/>
      <c r="CY1048"/>
    </row>
    <row r="1049" spans="2:103" s="60" customFormat="1" x14ac:dyDescent="0.5">
      <c r="B1049" s="87"/>
      <c r="C1049" s="106"/>
      <c r="D1049" s="91"/>
      <c r="E1049" s="91"/>
      <c r="F1049" s="91"/>
      <c r="G1049" s="91"/>
      <c r="H1049" s="69"/>
      <c r="I1049" s="69"/>
      <c r="CS1049"/>
      <c r="CT1049"/>
      <c r="CU1049"/>
      <c r="CV1049"/>
      <c r="CW1049"/>
      <c r="CX1049"/>
      <c r="CY1049"/>
    </row>
    <row r="1050" spans="2:103" s="60" customFormat="1" x14ac:dyDescent="0.5">
      <c r="B1050" s="87"/>
      <c r="C1050" s="106"/>
      <c r="D1050" s="91"/>
      <c r="E1050" s="91"/>
      <c r="F1050" s="91"/>
      <c r="G1050" s="91"/>
      <c r="H1050" s="69"/>
      <c r="I1050" s="69"/>
      <c r="CS1050"/>
      <c r="CT1050"/>
      <c r="CU1050"/>
      <c r="CV1050"/>
      <c r="CW1050"/>
      <c r="CX1050"/>
      <c r="CY1050"/>
    </row>
    <row r="1051" spans="2:103" s="60" customFormat="1" x14ac:dyDescent="0.5">
      <c r="B1051" s="87"/>
      <c r="C1051" s="106"/>
      <c r="D1051" s="91"/>
      <c r="E1051" s="91"/>
      <c r="F1051" s="91"/>
      <c r="G1051" s="91"/>
      <c r="H1051" s="69"/>
      <c r="I1051" s="69"/>
      <c r="CS1051"/>
      <c r="CT1051"/>
      <c r="CU1051"/>
      <c r="CV1051"/>
      <c r="CW1051"/>
      <c r="CX1051"/>
      <c r="CY1051"/>
    </row>
    <row r="1052" spans="2:103" s="60" customFormat="1" x14ac:dyDescent="0.5">
      <c r="B1052" s="87"/>
      <c r="C1052" s="106"/>
      <c r="D1052" s="91"/>
      <c r="E1052" s="91"/>
      <c r="F1052" s="91"/>
      <c r="G1052" s="91"/>
      <c r="H1052" s="69"/>
      <c r="I1052" s="69"/>
      <c r="CS1052"/>
      <c r="CT1052"/>
      <c r="CU1052"/>
      <c r="CV1052"/>
      <c r="CW1052"/>
      <c r="CX1052"/>
      <c r="CY1052"/>
    </row>
    <row r="1053" spans="2:103" s="60" customFormat="1" x14ac:dyDescent="0.5">
      <c r="B1053" s="87"/>
      <c r="C1053" s="106"/>
      <c r="D1053" s="91"/>
      <c r="E1053" s="91"/>
      <c r="F1053" s="91"/>
      <c r="G1053" s="91"/>
      <c r="H1053" s="69"/>
      <c r="I1053" s="69"/>
      <c r="CS1053"/>
      <c r="CT1053"/>
      <c r="CU1053"/>
      <c r="CV1053"/>
      <c r="CW1053"/>
      <c r="CX1053"/>
      <c r="CY1053"/>
    </row>
    <row r="1054" spans="2:103" s="60" customFormat="1" x14ac:dyDescent="0.5">
      <c r="B1054" s="87"/>
      <c r="C1054" s="106"/>
      <c r="D1054" s="91"/>
      <c r="E1054" s="91"/>
      <c r="F1054" s="91"/>
      <c r="G1054" s="91"/>
      <c r="H1054" s="69"/>
      <c r="I1054" s="69"/>
      <c r="CS1054"/>
      <c r="CT1054"/>
      <c r="CU1054"/>
      <c r="CV1054"/>
      <c r="CW1054"/>
      <c r="CX1054"/>
      <c r="CY1054"/>
    </row>
    <row r="1055" spans="2:103" s="60" customFormat="1" x14ac:dyDescent="0.5">
      <c r="B1055" s="87"/>
      <c r="C1055" s="106"/>
      <c r="D1055" s="91"/>
      <c r="E1055" s="91"/>
      <c r="F1055" s="91"/>
      <c r="G1055" s="91"/>
      <c r="H1055" s="69"/>
      <c r="I1055" s="69"/>
      <c r="CS1055"/>
      <c r="CT1055"/>
      <c r="CU1055"/>
      <c r="CV1055"/>
      <c r="CW1055"/>
      <c r="CX1055"/>
      <c r="CY1055"/>
    </row>
    <row r="1056" spans="2:103" s="60" customFormat="1" x14ac:dyDescent="0.5">
      <c r="B1056" s="87"/>
      <c r="C1056" s="106"/>
      <c r="D1056" s="91"/>
      <c r="E1056" s="91"/>
      <c r="F1056" s="91"/>
      <c r="G1056" s="91"/>
      <c r="H1056" s="69"/>
      <c r="I1056" s="69"/>
      <c r="CS1056"/>
      <c r="CT1056"/>
      <c r="CU1056"/>
      <c r="CV1056"/>
      <c r="CW1056"/>
      <c r="CX1056"/>
      <c r="CY1056"/>
    </row>
    <row r="1057" spans="2:103" s="60" customFormat="1" x14ac:dyDescent="0.5">
      <c r="B1057" s="87"/>
      <c r="C1057" s="106"/>
      <c r="D1057" s="91"/>
      <c r="E1057" s="91"/>
      <c r="F1057" s="91"/>
      <c r="G1057" s="91"/>
      <c r="H1057" s="69"/>
      <c r="I1057" s="69"/>
      <c r="CS1057"/>
      <c r="CT1057"/>
      <c r="CU1057"/>
      <c r="CV1057"/>
      <c r="CW1057"/>
      <c r="CX1057"/>
      <c r="CY1057"/>
    </row>
    <row r="1058" spans="2:103" s="60" customFormat="1" x14ac:dyDescent="0.5">
      <c r="B1058" s="87"/>
      <c r="C1058" s="106"/>
      <c r="D1058" s="91"/>
      <c r="E1058" s="91"/>
      <c r="F1058" s="91"/>
      <c r="G1058" s="91"/>
      <c r="H1058" s="69"/>
      <c r="I1058" s="69"/>
      <c r="CS1058"/>
      <c r="CT1058"/>
      <c r="CU1058"/>
      <c r="CV1058"/>
      <c r="CW1058"/>
      <c r="CX1058"/>
      <c r="CY1058"/>
    </row>
    <row r="1059" spans="2:103" s="60" customFormat="1" x14ac:dyDescent="0.5">
      <c r="B1059" s="87"/>
      <c r="C1059" s="106"/>
      <c r="D1059" s="91"/>
      <c r="E1059" s="91"/>
      <c r="F1059" s="91"/>
      <c r="G1059" s="91"/>
      <c r="H1059" s="69"/>
      <c r="I1059" s="69"/>
      <c r="CS1059"/>
      <c r="CT1059"/>
      <c r="CU1059"/>
      <c r="CV1059"/>
      <c r="CW1059"/>
      <c r="CX1059"/>
      <c r="CY1059"/>
    </row>
    <row r="1060" spans="2:103" s="60" customFormat="1" x14ac:dyDescent="0.5">
      <c r="B1060" s="87"/>
      <c r="C1060" s="106"/>
      <c r="D1060" s="91"/>
      <c r="E1060" s="91"/>
      <c r="F1060" s="91"/>
      <c r="G1060" s="91"/>
      <c r="H1060" s="69"/>
      <c r="I1060" s="69"/>
      <c r="CS1060"/>
      <c r="CT1060"/>
      <c r="CU1060"/>
      <c r="CV1060"/>
      <c r="CW1060"/>
      <c r="CX1060"/>
      <c r="CY1060"/>
    </row>
    <row r="1061" spans="2:103" s="60" customFormat="1" x14ac:dyDescent="0.5">
      <c r="B1061" s="87"/>
      <c r="C1061" s="106"/>
      <c r="D1061" s="91"/>
      <c r="E1061" s="91"/>
      <c r="F1061" s="91"/>
      <c r="G1061" s="91"/>
      <c r="H1061" s="69"/>
      <c r="I1061" s="69"/>
      <c r="CS1061"/>
      <c r="CT1061"/>
      <c r="CU1061"/>
      <c r="CV1061"/>
      <c r="CW1061"/>
      <c r="CX1061"/>
      <c r="CY1061"/>
    </row>
    <row r="1062" spans="2:103" s="60" customFormat="1" x14ac:dyDescent="0.5">
      <c r="B1062" s="87"/>
      <c r="C1062" s="106"/>
      <c r="D1062" s="91"/>
      <c r="E1062" s="91"/>
      <c r="F1062" s="91"/>
      <c r="G1062" s="91"/>
      <c r="H1062" s="69"/>
      <c r="I1062" s="69"/>
      <c r="CS1062"/>
      <c r="CT1062"/>
      <c r="CU1062"/>
      <c r="CV1062"/>
      <c r="CW1062"/>
      <c r="CX1062"/>
      <c r="CY1062"/>
    </row>
    <row r="1063" spans="2:103" s="60" customFormat="1" x14ac:dyDescent="0.5">
      <c r="B1063" s="87"/>
      <c r="C1063" s="106"/>
      <c r="D1063" s="91"/>
      <c r="E1063" s="91"/>
      <c r="F1063" s="91"/>
      <c r="G1063" s="91"/>
      <c r="H1063" s="69"/>
      <c r="I1063" s="69"/>
      <c r="CS1063"/>
      <c r="CT1063"/>
      <c r="CU1063"/>
      <c r="CV1063"/>
      <c r="CW1063"/>
      <c r="CX1063"/>
      <c r="CY1063"/>
    </row>
    <row r="1064" spans="2:103" s="60" customFormat="1" x14ac:dyDescent="0.5">
      <c r="B1064" s="87"/>
      <c r="C1064" s="106"/>
      <c r="D1064" s="91"/>
      <c r="E1064" s="91"/>
      <c r="F1064" s="91"/>
      <c r="G1064" s="91"/>
      <c r="H1064" s="69"/>
      <c r="I1064" s="69"/>
      <c r="CS1064"/>
      <c r="CT1064"/>
      <c r="CU1064"/>
      <c r="CV1064"/>
      <c r="CW1064"/>
      <c r="CX1064"/>
      <c r="CY1064"/>
    </row>
    <row r="1065" spans="2:103" s="60" customFormat="1" x14ac:dyDescent="0.5">
      <c r="B1065" s="87"/>
      <c r="C1065" s="106"/>
      <c r="D1065" s="91"/>
      <c r="E1065" s="91"/>
      <c r="F1065" s="91"/>
      <c r="G1065" s="91"/>
      <c r="H1065" s="69"/>
      <c r="I1065" s="69"/>
      <c r="CS1065"/>
      <c r="CT1065"/>
      <c r="CU1065"/>
      <c r="CV1065"/>
      <c r="CW1065"/>
      <c r="CX1065"/>
      <c r="CY1065"/>
    </row>
    <row r="1066" spans="2:103" s="60" customFormat="1" x14ac:dyDescent="0.5">
      <c r="B1066" s="87"/>
      <c r="C1066" s="106"/>
      <c r="D1066" s="91"/>
      <c r="E1066" s="91"/>
      <c r="F1066" s="91"/>
      <c r="G1066" s="91"/>
      <c r="H1066" s="69"/>
      <c r="I1066" s="69"/>
      <c r="CS1066"/>
      <c r="CT1066"/>
      <c r="CU1066"/>
      <c r="CV1066"/>
      <c r="CW1066"/>
      <c r="CX1066"/>
      <c r="CY1066"/>
    </row>
    <row r="1067" spans="2:103" s="60" customFormat="1" x14ac:dyDescent="0.5">
      <c r="B1067" s="87"/>
      <c r="C1067" s="106"/>
      <c r="D1067" s="91"/>
      <c r="E1067" s="91"/>
      <c r="F1067" s="91"/>
      <c r="G1067" s="91"/>
      <c r="H1067" s="69"/>
      <c r="I1067" s="69"/>
      <c r="CS1067"/>
      <c r="CT1067"/>
      <c r="CU1067"/>
      <c r="CV1067"/>
      <c r="CW1067"/>
      <c r="CX1067"/>
      <c r="CY1067"/>
    </row>
    <row r="1068" spans="2:103" s="60" customFormat="1" x14ac:dyDescent="0.5">
      <c r="B1068" s="87"/>
      <c r="C1068" s="106"/>
      <c r="D1068" s="91"/>
      <c r="E1068" s="91"/>
      <c r="F1068" s="91"/>
      <c r="G1068" s="91"/>
      <c r="H1068" s="69"/>
      <c r="I1068" s="69"/>
      <c r="CS1068"/>
      <c r="CT1068"/>
      <c r="CU1068"/>
      <c r="CV1068"/>
      <c r="CW1068"/>
      <c r="CX1068"/>
      <c r="CY1068"/>
    </row>
    <row r="1069" spans="2:103" s="60" customFormat="1" x14ac:dyDescent="0.5">
      <c r="B1069" s="87"/>
      <c r="C1069" s="106"/>
      <c r="D1069" s="91"/>
      <c r="E1069" s="91"/>
      <c r="F1069" s="91"/>
      <c r="G1069" s="91"/>
      <c r="H1069" s="69"/>
      <c r="I1069" s="69"/>
      <c r="CS1069"/>
      <c r="CT1069"/>
      <c r="CU1069"/>
      <c r="CV1069"/>
      <c r="CW1069"/>
      <c r="CX1069"/>
      <c r="CY1069"/>
    </row>
    <row r="1070" spans="2:103" s="60" customFormat="1" x14ac:dyDescent="0.5">
      <c r="B1070" s="87"/>
      <c r="C1070" s="106"/>
      <c r="D1070" s="91"/>
      <c r="E1070" s="91"/>
      <c r="F1070" s="91"/>
      <c r="G1070" s="91"/>
      <c r="H1070" s="69"/>
      <c r="I1070" s="69"/>
      <c r="CS1070"/>
      <c r="CT1070"/>
      <c r="CU1070"/>
      <c r="CV1070"/>
      <c r="CW1070"/>
      <c r="CX1070"/>
      <c r="CY1070"/>
    </row>
    <row r="1071" spans="2:103" s="60" customFormat="1" x14ac:dyDescent="0.5">
      <c r="B1071" s="87"/>
      <c r="C1071" s="106"/>
      <c r="D1071" s="91"/>
      <c r="E1071" s="91"/>
      <c r="F1071" s="91"/>
      <c r="G1071" s="91"/>
      <c r="H1071" s="69"/>
      <c r="I1071" s="69"/>
      <c r="CS1071"/>
      <c r="CT1071"/>
      <c r="CU1071"/>
      <c r="CV1071"/>
      <c r="CW1071"/>
      <c r="CX1071"/>
      <c r="CY1071"/>
    </row>
    <row r="1072" spans="2:103" s="60" customFormat="1" x14ac:dyDescent="0.5">
      <c r="B1072" s="87"/>
      <c r="C1072" s="106"/>
      <c r="D1072" s="91"/>
      <c r="E1072" s="91"/>
      <c r="F1072" s="91"/>
      <c r="G1072" s="91"/>
      <c r="H1072" s="69"/>
      <c r="I1072" s="69"/>
      <c r="CS1072"/>
      <c r="CT1072"/>
      <c r="CU1072"/>
      <c r="CV1072"/>
      <c r="CW1072"/>
      <c r="CX1072"/>
      <c r="CY1072"/>
    </row>
    <row r="1073" spans="2:103" s="60" customFormat="1" x14ac:dyDescent="0.5">
      <c r="B1073" s="87"/>
      <c r="C1073" s="106"/>
      <c r="D1073" s="91"/>
      <c r="E1073" s="91"/>
      <c r="F1073" s="91"/>
      <c r="G1073" s="91"/>
      <c r="H1073" s="69"/>
      <c r="I1073" s="69"/>
      <c r="CS1073"/>
      <c r="CT1073"/>
      <c r="CU1073"/>
      <c r="CV1073"/>
      <c r="CW1073"/>
      <c r="CX1073"/>
      <c r="CY1073"/>
    </row>
    <row r="1074" spans="2:103" s="60" customFormat="1" x14ac:dyDescent="0.5">
      <c r="B1074" s="87"/>
      <c r="C1074" s="106"/>
      <c r="D1074" s="91"/>
      <c r="E1074" s="91"/>
      <c r="F1074" s="91"/>
      <c r="G1074" s="91"/>
      <c r="H1074" s="69"/>
      <c r="I1074" s="69"/>
      <c r="CS1074"/>
      <c r="CT1074"/>
      <c r="CU1074"/>
      <c r="CV1074"/>
      <c r="CW1074"/>
      <c r="CX1074"/>
      <c r="CY1074"/>
    </row>
    <row r="1075" spans="2:103" s="60" customFormat="1" x14ac:dyDescent="0.5">
      <c r="B1075" s="87"/>
      <c r="C1075" s="106"/>
      <c r="D1075" s="91"/>
      <c r="E1075" s="91"/>
      <c r="F1075" s="91"/>
      <c r="G1075" s="91"/>
      <c r="H1075" s="69"/>
      <c r="I1075" s="69"/>
      <c r="CS1075"/>
      <c r="CT1075"/>
      <c r="CU1075"/>
      <c r="CV1075"/>
      <c r="CW1075"/>
      <c r="CX1075"/>
      <c r="CY1075"/>
    </row>
    <row r="1076" spans="2:103" s="60" customFormat="1" x14ac:dyDescent="0.5">
      <c r="B1076" s="87"/>
      <c r="C1076" s="106"/>
      <c r="D1076" s="91"/>
      <c r="E1076" s="91"/>
      <c r="F1076" s="91"/>
      <c r="G1076" s="91"/>
      <c r="H1076" s="69"/>
      <c r="I1076" s="69"/>
      <c r="CS1076"/>
      <c r="CT1076"/>
      <c r="CU1076"/>
      <c r="CV1076"/>
      <c r="CW1076"/>
      <c r="CX1076"/>
      <c r="CY1076"/>
    </row>
    <row r="1077" spans="2:103" s="60" customFormat="1" x14ac:dyDescent="0.5">
      <c r="B1077" s="87"/>
      <c r="C1077" s="106"/>
      <c r="D1077" s="91"/>
      <c r="E1077" s="91"/>
      <c r="F1077" s="91"/>
      <c r="G1077" s="91"/>
      <c r="H1077" s="69"/>
      <c r="I1077" s="69"/>
      <c r="CS1077"/>
      <c r="CT1077"/>
      <c r="CU1077"/>
      <c r="CV1077"/>
      <c r="CW1077"/>
      <c r="CX1077"/>
      <c r="CY1077"/>
    </row>
    <row r="1078" spans="2:103" s="60" customFormat="1" x14ac:dyDescent="0.5">
      <c r="B1078" s="87"/>
      <c r="C1078" s="106"/>
      <c r="D1078" s="91"/>
      <c r="E1078" s="91"/>
      <c r="F1078" s="91"/>
      <c r="G1078" s="91"/>
      <c r="H1078" s="69"/>
      <c r="I1078" s="69"/>
      <c r="CS1078"/>
      <c r="CT1078"/>
      <c r="CU1078"/>
      <c r="CV1078"/>
      <c r="CW1078"/>
      <c r="CX1078"/>
      <c r="CY1078"/>
    </row>
    <row r="1079" spans="2:103" s="60" customFormat="1" x14ac:dyDescent="0.5">
      <c r="B1079" s="87"/>
      <c r="C1079" s="106"/>
      <c r="D1079" s="91"/>
      <c r="E1079" s="91"/>
      <c r="F1079" s="91"/>
      <c r="G1079" s="91"/>
      <c r="H1079" s="69"/>
      <c r="I1079" s="69"/>
      <c r="CS1079"/>
      <c r="CT1079"/>
      <c r="CU1079"/>
      <c r="CV1079"/>
      <c r="CW1079"/>
      <c r="CX1079"/>
      <c r="CY1079"/>
    </row>
    <row r="1080" spans="2:103" s="60" customFormat="1" x14ac:dyDescent="0.5">
      <c r="B1080" s="87"/>
      <c r="C1080" s="106"/>
      <c r="D1080" s="91"/>
      <c r="E1080" s="91"/>
      <c r="F1080" s="91"/>
      <c r="G1080" s="91"/>
      <c r="H1080" s="69"/>
      <c r="I1080" s="69"/>
      <c r="CS1080"/>
      <c r="CT1080"/>
      <c r="CU1080"/>
      <c r="CV1080"/>
      <c r="CW1080"/>
      <c r="CX1080"/>
      <c r="CY1080"/>
    </row>
    <row r="1081" spans="2:103" s="60" customFormat="1" x14ac:dyDescent="0.5">
      <c r="B1081" s="87"/>
      <c r="C1081" s="106"/>
      <c r="D1081" s="91"/>
      <c r="E1081" s="91"/>
      <c r="F1081" s="91"/>
      <c r="G1081" s="91"/>
      <c r="H1081" s="69"/>
      <c r="I1081" s="69"/>
      <c r="CS1081"/>
      <c r="CT1081"/>
      <c r="CU1081"/>
      <c r="CV1081"/>
      <c r="CW1081"/>
      <c r="CX1081"/>
      <c r="CY1081"/>
    </row>
    <row r="1082" spans="2:103" s="60" customFormat="1" x14ac:dyDescent="0.5">
      <c r="B1082" s="87"/>
      <c r="C1082" s="106"/>
      <c r="D1082" s="91"/>
      <c r="E1082" s="91"/>
      <c r="F1082" s="91"/>
      <c r="G1082" s="91"/>
      <c r="H1082" s="69"/>
      <c r="I1082" s="69"/>
      <c r="CS1082"/>
      <c r="CT1082"/>
      <c r="CU1082"/>
      <c r="CV1082"/>
      <c r="CW1082"/>
      <c r="CX1082"/>
      <c r="CY1082"/>
    </row>
    <row r="1083" spans="2:103" s="60" customFormat="1" x14ac:dyDescent="0.5">
      <c r="B1083" s="87"/>
      <c r="C1083" s="106"/>
      <c r="D1083" s="91"/>
      <c r="E1083" s="91"/>
      <c r="F1083" s="91"/>
      <c r="G1083" s="91"/>
      <c r="H1083" s="69"/>
      <c r="I1083" s="69"/>
      <c r="CS1083"/>
      <c r="CT1083"/>
      <c r="CU1083"/>
      <c r="CV1083"/>
      <c r="CW1083"/>
      <c r="CX1083"/>
      <c r="CY1083"/>
    </row>
    <row r="1084" spans="2:103" s="60" customFormat="1" x14ac:dyDescent="0.5">
      <c r="B1084" s="87"/>
      <c r="C1084" s="106"/>
      <c r="D1084" s="91"/>
      <c r="E1084" s="91"/>
      <c r="F1084" s="91"/>
      <c r="G1084" s="91"/>
      <c r="H1084" s="69"/>
      <c r="I1084" s="69"/>
      <c r="CS1084"/>
      <c r="CT1084"/>
      <c r="CU1084"/>
      <c r="CV1084"/>
      <c r="CW1084"/>
      <c r="CX1084"/>
      <c r="CY1084"/>
    </row>
    <row r="1085" spans="2:103" s="60" customFormat="1" x14ac:dyDescent="0.5">
      <c r="B1085" s="87"/>
      <c r="C1085" s="106"/>
      <c r="D1085" s="91"/>
      <c r="E1085" s="91"/>
      <c r="F1085" s="91"/>
      <c r="G1085" s="91"/>
      <c r="H1085" s="69"/>
      <c r="I1085" s="69"/>
      <c r="CS1085"/>
      <c r="CT1085"/>
      <c r="CU1085"/>
      <c r="CV1085"/>
      <c r="CW1085"/>
      <c r="CX1085"/>
      <c r="CY1085"/>
    </row>
    <row r="1086" spans="2:103" s="60" customFormat="1" x14ac:dyDescent="0.5">
      <c r="B1086" s="87"/>
      <c r="C1086" s="106"/>
      <c r="D1086" s="91"/>
      <c r="E1086" s="91"/>
      <c r="F1086" s="91"/>
      <c r="G1086" s="91"/>
      <c r="H1086" s="69"/>
      <c r="I1086" s="69"/>
      <c r="CS1086"/>
      <c r="CT1086"/>
      <c r="CU1086"/>
      <c r="CV1086"/>
      <c r="CW1086"/>
      <c r="CX1086"/>
      <c r="CY1086"/>
    </row>
    <row r="1087" spans="2:103" s="60" customFormat="1" x14ac:dyDescent="0.5">
      <c r="B1087" s="87"/>
      <c r="C1087" s="106"/>
      <c r="D1087" s="91"/>
      <c r="E1087" s="91"/>
      <c r="F1087" s="91"/>
      <c r="G1087" s="91"/>
      <c r="H1087" s="69"/>
      <c r="I1087" s="69"/>
      <c r="CS1087"/>
      <c r="CT1087"/>
      <c r="CU1087"/>
      <c r="CV1087"/>
      <c r="CW1087"/>
      <c r="CX1087"/>
      <c r="CY1087"/>
    </row>
    <row r="1088" spans="2:103" s="60" customFormat="1" x14ac:dyDescent="0.5">
      <c r="B1088" s="87"/>
      <c r="C1088" s="106"/>
      <c r="D1088" s="91"/>
      <c r="E1088" s="91"/>
      <c r="F1088" s="91"/>
      <c r="G1088" s="91"/>
      <c r="H1088" s="69"/>
      <c r="I1088" s="69"/>
      <c r="CS1088"/>
      <c r="CT1088"/>
      <c r="CU1088"/>
      <c r="CV1088"/>
      <c r="CW1088"/>
      <c r="CX1088"/>
      <c r="CY1088"/>
    </row>
    <row r="1089" spans="2:103" s="60" customFormat="1" x14ac:dyDescent="0.5">
      <c r="B1089" s="87"/>
      <c r="C1089" s="106"/>
      <c r="D1089" s="91"/>
      <c r="E1089" s="91"/>
      <c r="F1089" s="91"/>
      <c r="G1089" s="91"/>
      <c r="H1089" s="69"/>
      <c r="I1089" s="69"/>
      <c r="CS1089"/>
      <c r="CT1089"/>
      <c r="CU1089"/>
      <c r="CV1089"/>
      <c r="CW1089"/>
      <c r="CX1089"/>
      <c r="CY1089"/>
    </row>
    <row r="1090" spans="2:103" s="60" customFormat="1" x14ac:dyDescent="0.5">
      <c r="B1090" s="87"/>
      <c r="C1090" s="106"/>
      <c r="D1090" s="91"/>
      <c r="E1090" s="91"/>
      <c r="F1090" s="91"/>
      <c r="G1090" s="91"/>
      <c r="H1090" s="69"/>
      <c r="I1090" s="69"/>
      <c r="CS1090"/>
      <c r="CT1090"/>
      <c r="CU1090"/>
      <c r="CV1090"/>
      <c r="CW1090"/>
      <c r="CX1090"/>
      <c r="CY1090"/>
    </row>
    <row r="1091" spans="2:103" s="60" customFormat="1" x14ac:dyDescent="0.5">
      <c r="B1091" s="87"/>
      <c r="C1091" s="106"/>
      <c r="D1091" s="91"/>
      <c r="E1091" s="91"/>
      <c r="F1091" s="91"/>
      <c r="G1091" s="91"/>
      <c r="H1091" s="69"/>
      <c r="I1091" s="69"/>
      <c r="CS1091"/>
      <c r="CT1091"/>
      <c r="CU1091"/>
      <c r="CV1091"/>
      <c r="CW1091"/>
      <c r="CX1091"/>
      <c r="CY1091"/>
    </row>
    <row r="1092" spans="2:103" s="60" customFormat="1" x14ac:dyDescent="0.5">
      <c r="B1092" s="87"/>
      <c r="C1092" s="106"/>
      <c r="D1092" s="91"/>
      <c r="E1092" s="91"/>
      <c r="F1092" s="91"/>
      <c r="G1092" s="91"/>
      <c r="H1092" s="69"/>
      <c r="I1092" s="69"/>
      <c r="CS1092"/>
      <c r="CT1092"/>
      <c r="CU1092"/>
      <c r="CV1092"/>
      <c r="CW1092"/>
      <c r="CX1092"/>
      <c r="CY1092"/>
    </row>
    <row r="1093" spans="2:103" s="60" customFormat="1" x14ac:dyDescent="0.5">
      <c r="B1093" s="87"/>
      <c r="C1093" s="106"/>
      <c r="D1093" s="91"/>
      <c r="E1093" s="91"/>
      <c r="F1093" s="91"/>
      <c r="G1093" s="91"/>
      <c r="H1093" s="69"/>
      <c r="I1093" s="69"/>
      <c r="CS1093"/>
      <c r="CT1093"/>
      <c r="CU1093"/>
      <c r="CV1093"/>
      <c r="CW1093"/>
      <c r="CX1093"/>
      <c r="CY1093"/>
    </row>
    <row r="1094" spans="2:103" s="60" customFormat="1" x14ac:dyDescent="0.5">
      <c r="B1094" s="87"/>
      <c r="C1094" s="106"/>
      <c r="D1094" s="91"/>
      <c r="E1094" s="91"/>
      <c r="F1094" s="91"/>
      <c r="G1094" s="91"/>
      <c r="H1094" s="69"/>
      <c r="I1094" s="69"/>
      <c r="CS1094"/>
      <c r="CT1094"/>
      <c r="CU1094"/>
      <c r="CV1094"/>
      <c r="CW1094"/>
      <c r="CX1094"/>
      <c r="CY1094"/>
    </row>
    <row r="1095" spans="2:103" s="60" customFormat="1" x14ac:dyDescent="0.5">
      <c r="B1095" s="87"/>
      <c r="C1095" s="106"/>
      <c r="D1095" s="91"/>
      <c r="E1095" s="91"/>
      <c r="F1095" s="91"/>
      <c r="G1095" s="91"/>
      <c r="H1095" s="69"/>
      <c r="I1095" s="69"/>
      <c r="CS1095"/>
      <c r="CT1095"/>
      <c r="CU1095"/>
      <c r="CV1095"/>
      <c r="CW1095"/>
      <c r="CX1095"/>
      <c r="CY1095"/>
    </row>
    <row r="1096" spans="2:103" s="60" customFormat="1" x14ac:dyDescent="0.5">
      <c r="B1096" s="87"/>
      <c r="C1096" s="106"/>
      <c r="D1096" s="91"/>
      <c r="E1096" s="91"/>
      <c r="F1096" s="91"/>
      <c r="G1096" s="91"/>
      <c r="H1096" s="69"/>
      <c r="I1096" s="69"/>
      <c r="CS1096"/>
      <c r="CT1096"/>
      <c r="CU1096"/>
      <c r="CV1096"/>
      <c r="CW1096"/>
      <c r="CX1096"/>
      <c r="CY1096"/>
    </row>
    <row r="1097" spans="2:103" s="60" customFormat="1" x14ac:dyDescent="0.5">
      <c r="B1097" s="87"/>
      <c r="C1097" s="106"/>
      <c r="D1097" s="91"/>
      <c r="E1097" s="91"/>
      <c r="F1097" s="91"/>
      <c r="G1097" s="91"/>
      <c r="H1097" s="69"/>
      <c r="I1097" s="69"/>
      <c r="CS1097"/>
      <c r="CT1097"/>
      <c r="CU1097"/>
      <c r="CV1097"/>
      <c r="CW1097"/>
      <c r="CX1097"/>
      <c r="CY1097"/>
    </row>
    <row r="1098" spans="2:103" s="60" customFormat="1" x14ac:dyDescent="0.5">
      <c r="B1098" s="87"/>
      <c r="C1098" s="106"/>
      <c r="D1098" s="91"/>
      <c r="E1098" s="91"/>
      <c r="F1098" s="91"/>
      <c r="G1098" s="91"/>
      <c r="H1098" s="69"/>
      <c r="I1098" s="69"/>
      <c r="CS1098"/>
      <c r="CT1098"/>
      <c r="CU1098"/>
      <c r="CV1098"/>
      <c r="CW1098"/>
      <c r="CX1098"/>
      <c r="CY1098"/>
    </row>
    <row r="1099" spans="2:103" s="60" customFormat="1" x14ac:dyDescent="0.5">
      <c r="B1099" s="87"/>
      <c r="C1099" s="106"/>
      <c r="D1099" s="91"/>
      <c r="E1099" s="91"/>
      <c r="F1099" s="91"/>
      <c r="G1099" s="91"/>
      <c r="H1099" s="69"/>
      <c r="I1099" s="69"/>
      <c r="CS1099"/>
      <c r="CT1099"/>
      <c r="CU1099"/>
      <c r="CV1099"/>
      <c r="CW1099"/>
      <c r="CX1099"/>
      <c r="CY1099"/>
    </row>
    <row r="1100" spans="2:103" s="60" customFormat="1" x14ac:dyDescent="0.5">
      <c r="B1100" s="87"/>
      <c r="C1100" s="106"/>
      <c r="D1100" s="91"/>
      <c r="E1100" s="91"/>
      <c r="F1100" s="91"/>
      <c r="G1100" s="91"/>
      <c r="H1100" s="69"/>
      <c r="I1100" s="69"/>
      <c r="CS1100"/>
      <c r="CT1100"/>
      <c r="CU1100"/>
      <c r="CV1100"/>
      <c r="CW1100"/>
      <c r="CX1100"/>
      <c r="CY1100"/>
    </row>
    <row r="1101" spans="2:103" s="60" customFormat="1" x14ac:dyDescent="0.5">
      <c r="B1101" s="87"/>
      <c r="C1101" s="106"/>
      <c r="D1101" s="91"/>
      <c r="E1101" s="91"/>
      <c r="F1101" s="91"/>
      <c r="G1101" s="91"/>
      <c r="H1101" s="69"/>
      <c r="I1101" s="69"/>
      <c r="CS1101"/>
      <c r="CT1101"/>
      <c r="CU1101"/>
      <c r="CV1101"/>
      <c r="CW1101"/>
      <c r="CX1101"/>
      <c r="CY1101"/>
    </row>
    <row r="1102" spans="2:103" s="60" customFormat="1" x14ac:dyDescent="0.5">
      <c r="B1102" s="87"/>
      <c r="C1102" s="106"/>
      <c r="D1102" s="91"/>
      <c r="E1102" s="91"/>
      <c r="F1102" s="91"/>
      <c r="G1102" s="91"/>
      <c r="H1102" s="69"/>
      <c r="I1102" s="69"/>
      <c r="CS1102"/>
      <c r="CT1102"/>
      <c r="CU1102"/>
      <c r="CV1102"/>
      <c r="CW1102"/>
      <c r="CX1102"/>
      <c r="CY1102"/>
    </row>
    <row r="1103" spans="2:103" s="60" customFormat="1" x14ac:dyDescent="0.5">
      <c r="B1103" s="87"/>
      <c r="C1103" s="106"/>
      <c r="D1103" s="91"/>
      <c r="E1103" s="91"/>
      <c r="F1103" s="91"/>
      <c r="G1103" s="91"/>
      <c r="H1103" s="69"/>
      <c r="I1103" s="69"/>
      <c r="CS1103"/>
      <c r="CT1103"/>
      <c r="CU1103"/>
      <c r="CV1103"/>
      <c r="CW1103"/>
      <c r="CX1103"/>
      <c r="CY1103"/>
    </row>
    <row r="1104" spans="2:103" s="60" customFormat="1" x14ac:dyDescent="0.5">
      <c r="B1104" s="87"/>
      <c r="C1104" s="106"/>
      <c r="D1104" s="91"/>
      <c r="E1104" s="91"/>
      <c r="F1104" s="91"/>
      <c r="G1104" s="91"/>
      <c r="H1104" s="69"/>
      <c r="I1104" s="69"/>
      <c r="CS1104"/>
      <c r="CT1104"/>
      <c r="CU1104"/>
      <c r="CV1104"/>
      <c r="CW1104"/>
      <c r="CX1104"/>
      <c r="CY1104"/>
    </row>
    <row r="1105" spans="2:103" s="60" customFormat="1" x14ac:dyDescent="0.5">
      <c r="B1105" s="87"/>
      <c r="C1105" s="106"/>
      <c r="D1105" s="91"/>
      <c r="E1105" s="91"/>
      <c r="F1105" s="91"/>
      <c r="G1105" s="91"/>
      <c r="H1105" s="69"/>
      <c r="I1105" s="69"/>
      <c r="CS1105"/>
      <c r="CT1105"/>
      <c r="CU1105"/>
      <c r="CV1105"/>
      <c r="CW1105"/>
      <c r="CX1105"/>
      <c r="CY1105"/>
    </row>
    <row r="1106" spans="2:103" s="60" customFormat="1" x14ac:dyDescent="0.5">
      <c r="B1106" s="87"/>
      <c r="C1106" s="106"/>
      <c r="D1106" s="91"/>
      <c r="E1106" s="91"/>
      <c r="F1106" s="91"/>
      <c r="G1106" s="91"/>
      <c r="H1106" s="69"/>
      <c r="I1106" s="69"/>
      <c r="CS1106"/>
      <c r="CT1106"/>
      <c r="CU1106"/>
      <c r="CV1106"/>
      <c r="CW1106"/>
      <c r="CX1106"/>
      <c r="CY1106"/>
    </row>
    <row r="1107" spans="2:103" s="60" customFormat="1" x14ac:dyDescent="0.5">
      <c r="B1107" s="87"/>
      <c r="C1107" s="106"/>
      <c r="D1107" s="91"/>
      <c r="E1107" s="91"/>
      <c r="F1107" s="91"/>
      <c r="G1107" s="91"/>
      <c r="H1107" s="69"/>
      <c r="I1107" s="69"/>
      <c r="CS1107"/>
      <c r="CT1107"/>
      <c r="CU1107"/>
      <c r="CV1107"/>
      <c r="CW1107"/>
      <c r="CX1107"/>
      <c r="CY1107"/>
    </row>
    <row r="1108" spans="2:103" s="60" customFormat="1" x14ac:dyDescent="0.5">
      <c r="B1108" s="87"/>
      <c r="C1108" s="106"/>
      <c r="D1108" s="91"/>
      <c r="E1108" s="91"/>
      <c r="F1108" s="91"/>
      <c r="G1108" s="91"/>
      <c r="H1108" s="69"/>
      <c r="I1108" s="69"/>
      <c r="CS1108"/>
      <c r="CT1108"/>
      <c r="CU1108"/>
      <c r="CV1108"/>
      <c r="CW1108"/>
      <c r="CX1108"/>
      <c r="CY1108"/>
    </row>
    <row r="1109" spans="2:103" s="60" customFormat="1" x14ac:dyDescent="0.5">
      <c r="B1109" s="87"/>
      <c r="C1109" s="106"/>
      <c r="D1109" s="91"/>
      <c r="E1109" s="91"/>
      <c r="F1109" s="91"/>
      <c r="G1109" s="91"/>
      <c r="H1109" s="69"/>
      <c r="I1109" s="69"/>
      <c r="CS1109"/>
      <c r="CT1109"/>
      <c r="CU1109"/>
      <c r="CV1109"/>
      <c r="CW1109"/>
      <c r="CX1109"/>
      <c r="CY1109"/>
    </row>
    <row r="1110" spans="2:103" s="60" customFormat="1" x14ac:dyDescent="0.5">
      <c r="B1110" s="87"/>
      <c r="C1110" s="106"/>
      <c r="D1110" s="91"/>
      <c r="E1110" s="91"/>
      <c r="F1110" s="91"/>
      <c r="G1110" s="91"/>
      <c r="H1110" s="69"/>
      <c r="I1110" s="69"/>
      <c r="CS1110"/>
      <c r="CT1110"/>
      <c r="CU1110"/>
      <c r="CV1110"/>
      <c r="CW1110"/>
      <c r="CX1110"/>
      <c r="CY1110"/>
    </row>
    <row r="1111" spans="2:103" s="60" customFormat="1" x14ac:dyDescent="0.5">
      <c r="B1111" s="87"/>
      <c r="C1111" s="106"/>
      <c r="D1111" s="91"/>
      <c r="E1111" s="91"/>
      <c r="F1111" s="91"/>
      <c r="G1111" s="91"/>
      <c r="H1111" s="69"/>
      <c r="I1111" s="69"/>
      <c r="CS1111"/>
      <c r="CT1111"/>
      <c r="CU1111"/>
      <c r="CV1111"/>
      <c r="CW1111"/>
      <c r="CX1111"/>
      <c r="CY1111"/>
    </row>
    <row r="1112" spans="2:103" s="60" customFormat="1" x14ac:dyDescent="0.5">
      <c r="B1112" s="87"/>
      <c r="C1112" s="106"/>
      <c r="D1112" s="91"/>
      <c r="E1112" s="91"/>
      <c r="F1112" s="91"/>
      <c r="G1112" s="91"/>
      <c r="H1112" s="69"/>
      <c r="I1112" s="69"/>
      <c r="CS1112"/>
      <c r="CT1112"/>
      <c r="CU1112"/>
      <c r="CV1112"/>
      <c r="CW1112"/>
      <c r="CX1112"/>
      <c r="CY1112"/>
    </row>
    <row r="1113" spans="2:103" s="60" customFormat="1" x14ac:dyDescent="0.5">
      <c r="B1113" s="87"/>
      <c r="C1113" s="106"/>
      <c r="D1113" s="91"/>
      <c r="E1113" s="91"/>
      <c r="F1113" s="91"/>
      <c r="G1113" s="91"/>
      <c r="H1113" s="69"/>
      <c r="I1113" s="69"/>
      <c r="CS1113"/>
      <c r="CT1113"/>
      <c r="CU1113"/>
      <c r="CV1113"/>
      <c r="CW1113"/>
      <c r="CX1113"/>
      <c r="CY1113"/>
    </row>
    <row r="1114" spans="2:103" s="60" customFormat="1" x14ac:dyDescent="0.5">
      <c r="B1114" s="87"/>
      <c r="C1114" s="106"/>
      <c r="D1114" s="91"/>
      <c r="E1114" s="91"/>
      <c r="F1114" s="91"/>
      <c r="G1114" s="91"/>
      <c r="H1114" s="69"/>
      <c r="I1114" s="69"/>
      <c r="CS1114"/>
      <c r="CT1114"/>
      <c r="CU1114"/>
      <c r="CV1114"/>
      <c r="CW1114"/>
      <c r="CX1114"/>
      <c r="CY1114"/>
    </row>
    <row r="1115" spans="2:103" s="60" customFormat="1" x14ac:dyDescent="0.5">
      <c r="B1115" s="87"/>
      <c r="C1115" s="106"/>
      <c r="D1115" s="91"/>
      <c r="E1115" s="91"/>
      <c r="F1115" s="91"/>
      <c r="G1115" s="91"/>
      <c r="H1115" s="69"/>
      <c r="I1115" s="69"/>
      <c r="CS1115"/>
      <c r="CT1115"/>
      <c r="CU1115"/>
      <c r="CV1115"/>
      <c r="CW1115"/>
      <c r="CX1115"/>
      <c r="CY1115"/>
    </row>
    <row r="1116" spans="2:103" s="60" customFormat="1" x14ac:dyDescent="0.5">
      <c r="B1116" s="87"/>
      <c r="C1116" s="106"/>
      <c r="D1116" s="91"/>
      <c r="E1116" s="91"/>
      <c r="F1116" s="91"/>
      <c r="G1116" s="91"/>
      <c r="H1116" s="69"/>
      <c r="I1116" s="69"/>
      <c r="CS1116"/>
      <c r="CT1116"/>
      <c r="CU1116"/>
      <c r="CV1116"/>
      <c r="CW1116"/>
      <c r="CX1116"/>
      <c r="CY1116"/>
    </row>
    <row r="1117" spans="2:103" s="60" customFormat="1" x14ac:dyDescent="0.5">
      <c r="B1117" s="87"/>
      <c r="C1117" s="106"/>
      <c r="D1117" s="91"/>
      <c r="E1117" s="91"/>
      <c r="F1117" s="91"/>
      <c r="G1117" s="91"/>
      <c r="H1117" s="69"/>
      <c r="I1117" s="69"/>
      <c r="CS1117"/>
      <c r="CT1117"/>
      <c r="CU1117"/>
      <c r="CV1117"/>
      <c r="CW1117"/>
      <c r="CX1117"/>
      <c r="CY1117"/>
    </row>
    <row r="1118" spans="2:103" s="60" customFormat="1" x14ac:dyDescent="0.5">
      <c r="B1118" s="87"/>
      <c r="C1118" s="106"/>
      <c r="D1118" s="91"/>
      <c r="E1118" s="91"/>
      <c r="F1118" s="91"/>
      <c r="G1118" s="91"/>
      <c r="H1118" s="69"/>
      <c r="I1118" s="69"/>
      <c r="CS1118"/>
      <c r="CT1118"/>
      <c r="CU1118"/>
      <c r="CV1118"/>
      <c r="CW1118"/>
      <c r="CX1118"/>
      <c r="CY1118"/>
    </row>
    <row r="1119" spans="2:103" s="60" customFormat="1" x14ac:dyDescent="0.5">
      <c r="B1119" s="87"/>
      <c r="C1119" s="106"/>
      <c r="D1119" s="91"/>
      <c r="E1119" s="91"/>
      <c r="F1119" s="91"/>
      <c r="G1119" s="91"/>
      <c r="H1119" s="69"/>
      <c r="I1119" s="69"/>
      <c r="CS1119"/>
      <c r="CT1119"/>
      <c r="CU1119"/>
      <c r="CV1119"/>
      <c r="CW1119"/>
      <c r="CX1119"/>
      <c r="CY1119"/>
    </row>
    <row r="1120" spans="2:103" s="60" customFormat="1" x14ac:dyDescent="0.5">
      <c r="B1120" s="87"/>
      <c r="C1120" s="106"/>
      <c r="D1120" s="91"/>
      <c r="E1120" s="91"/>
      <c r="F1120" s="91"/>
      <c r="G1120" s="91"/>
      <c r="H1120" s="69"/>
      <c r="I1120" s="69"/>
      <c r="CS1120"/>
      <c r="CT1120"/>
      <c r="CU1120"/>
      <c r="CV1120"/>
      <c r="CW1120"/>
      <c r="CX1120"/>
      <c r="CY1120"/>
    </row>
    <row r="1121" spans="2:103" s="60" customFormat="1" x14ac:dyDescent="0.5">
      <c r="B1121" s="87"/>
      <c r="C1121" s="106"/>
      <c r="D1121" s="91"/>
      <c r="E1121" s="91"/>
      <c r="F1121" s="91"/>
      <c r="G1121" s="91"/>
      <c r="H1121" s="69"/>
      <c r="I1121" s="69"/>
      <c r="CS1121"/>
      <c r="CT1121"/>
      <c r="CU1121"/>
      <c r="CV1121"/>
      <c r="CW1121"/>
      <c r="CX1121"/>
      <c r="CY1121"/>
    </row>
    <row r="1122" spans="2:103" s="60" customFormat="1" x14ac:dyDescent="0.5">
      <c r="B1122" s="87"/>
      <c r="C1122" s="106"/>
      <c r="D1122" s="91"/>
      <c r="E1122" s="91"/>
      <c r="F1122" s="91"/>
      <c r="G1122" s="91"/>
      <c r="H1122" s="69"/>
      <c r="I1122" s="69"/>
      <c r="CS1122"/>
      <c r="CT1122"/>
      <c r="CU1122"/>
      <c r="CV1122"/>
      <c r="CW1122"/>
      <c r="CX1122"/>
      <c r="CY1122"/>
    </row>
    <row r="1123" spans="2:103" s="60" customFormat="1" x14ac:dyDescent="0.5">
      <c r="B1123" s="87"/>
      <c r="C1123" s="106"/>
      <c r="D1123" s="91"/>
      <c r="E1123" s="91"/>
      <c r="F1123" s="91"/>
      <c r="G1123" s="91"/>
      <c r="H1123" s="69"/>
      <c r="I1123" s="69"/>
      <c r="CS1123"/>
      <c r="CT1123"/>
      <c r="CU1123"/>
      <c r="CV1123"/>
      <c r="CW1123"/>
      <c r="CX1123"/>
      <c r="CY1123"/>
    </row>
    <row r="1124" spans="2:103" s="60" customFormat="1" x14ac:dyDescent="0.5">
      <c r="B1124" s="87"/>
      <c r="C1124" s="106"/>
      <c r="D1124" s="91"/>
      <c r="E1124" s="91"/>
      <c r="F1124" s="91"/>
      <c r="G1124" s="91"/>
      <c r="H1124" s="69"/>
      <c r="I1124" s="69"/>
      <c r="CS1124"/>
      <c r="CT1124"/>
      <c r="CU1124"/>
      <c r="CV1124"/>
      <c r="CW1124"/>
      <c r="CX1124"/>
      <c r="CY1124"/>
    </row>
    <row r="1125" spans="2:103" s="60" customFormat="1" x14ac:dyDescent="0.5">
      <c r="B1125" s="87"/>
      <c r="C1125" s="106"/>
      <c r="D1125" s="91"/>
      <c r="E1125" s="91"/>
      <c r="F1125" s="91"/>
      <c r="G1125" s="91"/>
      <c r="H1125" s="69"/>
      <c r="I1125" s="69"/>
      <c r="CS1125"/>
      <c r="CT1125"/>
      <c r="CU1125"/>
      <c r="CV1125"/>
      <c r="CW1125"/>
      <c r="CX1125"/>
      <c r="CY1125"/>
    </row>
    <row r="1126" spans="2:103" s="60" customFormat="1" x14ac:dyDescent="0.5">
      <c r="B1126" s="87"/>
      <c r="C1126" s="106"/>
      <c r="D1126" s="91"/>
      <c r="E1126" s="91"/>
      <c r="F1126" s="91"/>
      <c r="G1126" s="91"/>
      <c r="H1126" s="69"/>
      <c r="I1126" s="69"/>
      <c r="CS1126"/>
      <c r="CT1126"/>
      <c r="CU1126"/>
      <c r="CV1126"/>
      <c r="CW1126"/>
      <c r="CX1126"/>
      <c r="CY1126"/>
    </row>
    <row r="1127" spans="2:103" s="60" customFormat="1" x14ac:dyDescent="0.5">
      <c r="B1127" s="87"/>
      <c r="C1127" s="106"/>
      <c r="D1127" s="91"/>
      <c r="E1127" s="91"/>
      <c r="F1127" s="91"/>
      <c r="G1127" s="91"/>
      <c r="H1127" s="69"/>
      <c r="I1127" s="69"/>
      <c r="CS1127"/>
      <c r="CT1127"/>
      <c r="CU1127"/>
      <c r="CV1127"/>
      <c r="CW1127"/>
      <c r="CX1127"/>
      <c r="CY1127"/>
    </row>
    <row r="1128" spans="2:103" s="60" customFormat="1" x14ac:dyDescent="0.5">
      <c r="B1128" s="87"/>
      <c r="C1128" s="106"/>
      <c r="D1128" s="91"/>
      <c r="E1128" s="91"/>
      <c r="F1128" s="91"/>
      <c r="G1128" s="91"/>
      <c r="H1128" s="69"/>
      <c r="I1128" s="69"/>
      <c r="CS1128"/>
      <c r="CT1128"/>
      <c r="CU1128"/>
      <c r="CV1128"/>
      <c r="CW1128"/>
      <c r="CX1128"/>
      <c r="CY1128"/>
    </row>
    <row r="1129" spans="2:103" s="60" customFormat="1" x14ac:dyDescent="0.5">
      <c r="B1129" s="87"/>
      <c r="C1129" s="106"/>
      <c r="D1129" s="91"/>
      <c r="E1129" s="91"/>
      <c r="F1129" s="91"/>
      <c r="G1129" s="91"/>
      <c r="H1129" s="69"/>
      <c r="I1129" s="69"/>
      <c r="CS1129"/>
      <c r="CT1129"/>
      <c r="CU1129"/>
      <c r="CV1129"/>
      <c r="CW1129"/>
      <c r="CX1129"/>
      <c r="CY1129"/>
    </row>
    <row r="1130" spans="2:103" s="60" customFormat="1" x14ac:dyDescent="0.5">
      <c r="B1130" s="87"/>
      <c r="C1130" s="106"/>
      <c r="D1130" s="91"/>
      <c r="E1130" s="91"/>
      <c r="F1130" s="91"/>
      <c r="G1130" s="91"/>
      <c r="H1130" s="69"/>
      <c r="I1130" s="69"/>
      <c r="CS1130"/>
      <c r="CT1130"/>
      <c r="CU1130"/>
      <c r="CV1130"/>
      <c r="CW1130"/>
      <c r="CX1130"/>
      <c r="CY1130"/>
    </row>
    <row r="1131" spans="2:103" s="60" customFormat="1" x14ac:dyDescent="0.5">
      <c r="B1131" s="87"/>
      <c r="C1131" s="106"/>
      <c r="D1131" s="91"/>
      <c r="E1131" s="91"/>
      <c r="F1131" s="91"/>
      <c r="G1131" s="91"/>
      <c r="H1131" s="69"/>
      <c r="I1131" s="69"/>
      <c r="CS1131"/>
      <c r="CT1131"/>
      <c r="CU1131"/>
      <c r="CV1131"/>
      <c r="CW1131"/>
      <c r="CX1131"/>
      <c r="CY1131"/>
    </row>
    <row r="1132" spans="2:103" s="60" customFormat="1" x14ac:dyDescent="0.5">
      <c r="B1132" s="87"/>
      <c r="C1132" s="106"/>
      <c r="D1132" s="91"/>
      <c r="E1132" s="91"/>
      <c r="F1132" s="91"/>
      <c r="G1132" s="91"/>
      <c r="H1132" s="69"/>
      <c r="I1132" s="69"/>
      <c r="CS1132"/>
      <c r="CT1132"/>
      <c r="CU1132"/>
      <c r="CV1132"/>
      <c r="CW1132"/>
      <c r="CX1132"/>
      <c r="CY1132"/>
    </row>
    <row r="1133" spans="2:103" s="60" customFormat="1" x14ac:dyDescent="0.5">
      <c r="B1133" s="87"/>
      <c r="C1133" s="106"/>
      <c r="D1133" s="91"/>
      <c r="E1133" s="91"/>
      <c r="F1133" s="91"/>
      <c r="G1133" s="91"/>
      <c r="H1133" s="69"/>
      <c r="I1133" s="69"/>
      <c r="CS1133"/>
      <c r="CT1133"/>
      <c r="CU1133"/>
      <c r="CV1133"/>
      <c r="CW1133"/>
      <c r="CX1133"/>
      <c r="CY1133"/>
    </row>
    <row r="1134" spans="2:103" s="60" customFormat="1" x14ac:dyDescent="0.5">
      <c r="B1134" s="87"/>
      <c r="C1134" s="106"/>
      <c r="D1134" s="91"/>
      <c r="E1134" s="91"/>
      <c r="F1134" s="91"/>
      <c r="G1134" s="91"/>
      <c r="H1134" s="69"/>
      <c r="I1134" s="69"/>
      <c r="CS1134"/>
      <c r="CT1134"/>
      <c r="CU1134"/>
      <c r="CV1134"/>
      <c r="CW1134"/>
      <c r="CX1134"/>
      <c r="CY1134"/>
    </row>
    <row r="1135" spans="2:103" s="60" customFormat="1" x14ac:dyDescent="0.5">
      <c r="B1135" s="87"/>
      <c r="C1135" s="106"/>
      <c r="D1135" s="91"/>
      <c r="E1135" s="91"/>
      <c r="F1135" s="91"/>
      <c r="G1135" s="91"/>
      <c r="H1135" s="69"/>
      <c r="I1135" s="69"/>
      <c r="CS1135"/>
      <c r="CT1135"/>
      <c r="CU1135"/>
      <c r="CV1135"/>
      <c r="CW1135"/>
      <c r="CX1135"/>
      <c r="CY1135"/>
    </row>
    <row r="1136" spans="2:103" s="60" customFormat="1" x14ac:dyDescent="0.5">
      <c r="B1136" s="87"/>
      <c r="C1136" s="106"/>
      <c r="D1136" s="91"/>
      <c r="E1136" s="91"/>
      <c r="F1136" s="91"/>
      <c r="G1136" s="91"/>
      <c r="H1136" s="69"/>
      <c r="I1136" s="69"/>
      <c r="CS1136"/>
      <c r="CT1136"/>
      <c r="CU1136"/>
      <c r="CV1136"/>
      <c r="CW1136"/>
      <c r="CX1136"/>
      <c r="CY1136"/>
    </row>
    <row r="1137" spans="2:103" s="60" customFormat="1" x14ac:dyDescent="0.5">
      <c r="B1137" s="87"/>
      <c r="C1137" s="106"/>
      <c r="D1137" s="91"/>
      <c r="E1137" s="91"/>
      <c r="F1137" s="91"/>
      <c r="G1137" s="91"/>
      <c r="H1137" s="69"/>
      <c r="I1137" s="69"/>
      <c r="CS1137"/>
      <c r="CT1137"/>
      <c r="CU1137"/>
      <c r="CV1137"/>
      <c r="CW1137"/>
      <c r="CX1137"/>
      <c r="CY1137"/>
    </row>
    <row r="1138" spans="2:103" s="60" customFormat="1" x14ac:dyDescent="0.5">
      <c r="B1138" s="87"/>
      <c r="C1138" s="106"/>
      <c r="D1138" s="91"/>
      <c r="E1138" s="91"/>
      <c r="F1138" s="91"/>
      <c r="G1138" s="91"/>
      <c r="H1138" s="69"/>
      <c r="I1138" s="69"/>
      <c r="CS1138"/>
      <c r="CT1138"/>
      <c r="CU1138"/>
      <c r="CV1138"/>
      <c r="CW1138"/>
      <c r="CX1138"/>
      <c r="CY1138"/>
    </row>
    <row r="1139" spans="2:103" s="60" customFormat="1" x14ac:dyDescent="0.5">
      <c r="B1139" s="87"/>
      <c r="C1139" s="106"/>
      <c r="D1139" s="91"/>
      <c r="E1139" s="91"/>
      <c r="F1139" s="91"/>
      <c r="G1139" s="91"/>
      <c r="H1139" s="69"/>
      <c r="I1139" s="69"/>
      <c r="CS1139"/>
      <c r="CT1139"/>
      <c r="CU1139"/>
      <c r="CV1139"/>
      <c r="CW1139"/>
      <c r="CX1139"/>
      <c r="CY1139"/>
    </row>
    <row r="1140" spans="2:103" s="60" customFormat="1" x14ac:dyDescent="0.5">
      <c r="B1140" s="87"/>
      <c r="C1140" s="106"/>
      <c r="D1140" s="91"/>
      <c r="E1140" s="91"/>
      <c r="F1140" s="91"/>
      <c r="G1140" s="91"/>
      <c r="H1140" s="69"/>
      <c r="I1140" s="69"/>
      <c r="CS1140"/>
      <c r="CT1140"/>
      <c r="CU1140"/>
      <c r="CV1140"/>
      <c r="CW1140"/>
      <c r="CX1140"/>
      <c r="CY1140"/>
    </row>
    <row r="1141" spans="2:103" s="60" customFormat="1" x14ac:dyDescent="0.5">
      <c r="B1141" s="87"/>
      <c r="C1141" s="106"/>
      <c r="D1141" s="91"/>
      <c r="E1141" s="91"/>
      <c r="F1141" s="91"/>
      <c r="G1141" s="91"/>
      <c r="H1141" s="69"/>
      <c r="I1141" s="69"/>
      <c r="CS1141"/>
      <c r="CT1141"/>
      <c r="CU1141"/>
      <c r="CV1141"/>
      <c r="CW1141"/>
      <c r="CX1141"/>
      <c r="CY1141"/>
    </row>
    <row r="1142" spans="2:103" s="60" customFormat="1" x14ac:dyDescent="0.5">
      <c r="B1142" s="87"/>
      <c r="C1142" s="106"/>
      <c r="D1142" s="91"/>
      <c r="E1142" s="91"/>
      <c r="F1142" s="91"/>
      <c r="G1142" s="91"/>
      <c r="H1142" s="69"/>
      <c r="I1142" s="69"/>
      <c r="CS1142"/>
      <c r="CT1142"/>
      <c r="CU1142"/>
      <c r="CV1142"/>
      <c r="CW1142"/>
      <c r="CX1142"/>
      <c r="CY1142"/>
    </row>
    <row r="1143" spans="2:103" s="60" customFormat="1" x14ac:dyDescent="0.5">
      <c r="B1143" s="87"/>
      <c r="C1143" s="106"/>
      <c r="D1143" s="91"/>
      <c r="E1143" s="91"/>
      <c r="F1143" s="91"/>
      <c r="G1143" s="91"/>
      <c r="H1143" s="69"/>
      <c r="I1143" s="69"/>
      <c r="CS1143"/>
      <c r="CT1143"/>
      <c r="CU1143"/>
      <c r="CV1143"/>
      <c r="CW1143"/>
      <c r="CX1143"/>
      <c r="CY1143"/>
    </row>
    <row r="1144" spans="2:103" s="60" customFormat="1" x14ac:dyDescent="0.5">
      <c r="B1144" s="87"/>
      <c r="C1144" s="106"/>
      <c r="D1144" s="91"/>
      <c r="E1144" s="91"/>
      <c r="F1144" s="91"/>
      <c r="G1144" s="91"/>
      <c r="H1144" s="69"/>
      <c r="I1144" s="69"/>
      <c r="CS1144"/>
      <c r="CT1144"/>
      <c r="CU1144"/>
      <c r="CV1144"/>
      <c r="CW1144"/>
      <c r="CX1144"/>
      <c r="CY1144"/>
    </row>
    <row r="1145" spans="2:103" s="60" customFormat="1" x14ac:dyDescent="0.5">
      <c r="B1145" s="87"/>
      <c r="C1145" s="106"/>
      <c r="D1145" s="91"/>
      <c r="E1145" s="91"/>
      <c r="F1145" s="91"/>
      <c r="G1145" s="91"/>
      <c r="H1145" s="69"/>
      <c r="I1145" s="69"/>
      <c r="CS1145"/>
      <c r="CT1145"/>
      <c r="CU1145"/>
      <c r="CV1145"/>
      <c r="CW1145"/>
      <c r="CX1145"/>
      <c r="CY1145"/>
    </row>
    <row r="1146" spans="2:103" s="60" customFormat="1" x14ac:dyDescent="0.5">
      <c r="B1146" s="87"/>
      <c r="C1146" s="106"/>
      <c r="D1146" s="91"/>
      <c r="E1146" s="91"/>
      <c r="F1146" s="91"/>
      <c r="G1146" s="91"/>
      <c r="H1146" s="69"/>
      <c r="I1146" s="69"/>
      <c r="CS1146"/>
      <c r="CT1146"/>
      <c r="CU1146"/>
      <c r="CV1146"/>
      <c r="CW1146"/>
      <c r="CX1146"/>
      <c r="CY1146"/>
    </row>
    <row r="1147" spans="2:103" s="60" customFormat="1" x14ac:dyDescent="0.5">
      <c r="B1147" s="87"/>
      <c r="C1147" s="106"/>
      <c r="D1147" s="91"/>
      <c r="E1147" s="91"/>
      <c r="F1147" s="91"/>
      <c r="G1147" s="91"/>
      <c r="H1147" s="69"/>
      <c r="I1147" s="69"/>
      <c r="CS1147"/>
      <c r="CT1147"/>
      <c r="CU1147"/>
      <c r="CV1147"/>
      <c r="CW1147"/>
      <c r="CX1147"/>
      <c r="CY1147"/>
    </row>
    <row r="1148" spans="2:103" s="60" customFormat="1" x14ac:dyDescent="0.5">
      <c r="B1148" s="87"/>
      <c r="C1148" s="106"/>
      <c r="D1148" s="91"/>
      <c r="E1148" s="91"/>
      <c r="F1148" s="91"/>
      <c r="G1148" s="91"/>
      <c r="H1148" s="69"/>
      <c r="I1148" s="69"/>
      <c r="CS1148"/>
      <c r="CT1148"/>
      <c r="CU1148"/>
      <c r="CV1148"/>
      <c r="CW1148"/>
      <c r="CX1148"/>
      <c r="CY1148"/>
    </row>
    <row r="1149" spans="2:103" s="60" customFormat="1" x14ac:dyDescent="0.5">
      <c r="B1149" s="87"/>
      <c r="C1149" s="106"/>
      <c r="D1149" s="91"/>
      <c r="E1149" s="91"/>
      <c r="F1149" s="91"/>
      <c r="G1149" s="91"/>
      <c r="H1149" s="69"/>
      <c r="I1149" s="69"/>
      <c r="CS1149"/>
      <c r="CT1149"/>
      <c r="CU1149"/>
      <c r="CV1149"/>
      <c r="CW1149"/>
      <c r="CX1149"/>
      <c r="CY1149"/>
    </row>
    <row r="1150" spans="2:103" s="60" customFormat="1" x14ac:dyDescent="0.5">
      <c r="B1150" s="87"/>
      <c r="C1150" s="106"/>
      <c r="D1150" s="91"/>
      <c r="E1150" s="91"/>
      <c r="F1150" s="91"/>
      <c r="G1150" s="91"/>
      <c r="H1150" s="69"/>
      <c r="I1150" s="69"/>
      <c r="CS1150"/>
      <c r="CT1150"/>
      <c r="CU1150"/>
      <c r="CV1150"/>
      <c r="CW1150"/>
      <c r="CX1150"/>
      <c r="CY1150"/>
    </row>
    <row r="1151" spans="2:103" s="60" customFormat="1" x14ac:dyDescent="0.5">
      <c r="B1151" s="87"/>
      <c r="C1151" s="106"/>
      <c r="D1151" s="91"/>
      <c r="E1151" s="91"/>
      <c r="F1151" s="91"/>
      <c r="G1151" s="91"/>
      <c r="H1151" s="69"/>
      <c r="I1151" s="69"/>
      <c r="CS1151"/>
      <c r="CT1151"/>
      <c r="CU1151"/>
      <c r="CV1151"/>
      <c r="CW1151"/>
      <c r="CX1151"/>
      <c r="CY1151"/>
    </row>
    <row r="1152" spans="2:103" s="60" customFormat="1" x14ac:dyDescent="0.5">
      <c r="B1152" s="87"/>
      <c r="C1152" s="106"/>
      <c r="D1152" s="91"/>
      <c r="E1152" s="91"/>
      <c r="F1152" s="91"/>
      <c r="G1152" s="91"/>
      <c r="H1152" s="69"/>
      <c r="I1152" s="69"/>
      <c r="CS1152"/>
      <c r="CT1152"/>
      <c r="CU1152"/>
      <c r="CV1152"/>
      <c r="CW1152"/>
      <c r="CX1152"/>
      <c r="CY1152"/>
    </row>
    <row r="1153" spans="2:103" s="60" customFormat="1" x14ac:dyDescent="0.5">
      <c r="B1153" s="87"/>
      <c r="C1153" s="106"/>
      <c r="D1153" s="91"/>
      <c r="E1153" s="91"/>
      <c r="F1153" s="91"/>
      <c r="G1153" s="91"/>
      <c r="H1153" s="69"/>
      <c r="I1153" s="69"/>
      <c r="CS1153"/>
      <c r="CT1153"/>
      <c r="CU1153"/>
      <c r="CV1153"/>
      <c r="CW1153"/>
      <c r="CX1153"/>
      <c r="CY1153"/>
    </row>
    <row r="1154" spans="2:103" s="60" customFormat="1" x14ac:dyDescent="0.5">
      <c r="B1154" s="87"/>
      <c r="C1154" s="106"/>
      <c r="D1154" s="91"/>
      <c r="E1154" s="91"/>
      <c r="F1154" s="91"/>
      <c r="G1154" s="91"/>
      <c r="H1154" s="69"/>
      <c r="I1154" s="69"/>
      <c r="CS1154"/>
      <c r="CT1154"/>
      <c r="CU1154"/>
      <c r="CV1154"/>
      <c r="CW1154"/>
      <c r="CX1154"/>
      <c r="CY1154"/>
    </row>
    <row r="1155" spans="2:103" s="60" customFormat="1" x14ac:dyDescent="0.5">
      <c r="B1155" s="87"/>
      <c r="C1155" s="106"/>
      <c r="D1155" s="91"/>
      <c r="E1155" s="91"/>
      <c r="F1155" s="91"/>
      <c r="G1155" s="91"/>
      <c r="H1155" s="69"/>
      <c r="I1155" s="69"/>
      <c r="CS1155"/>
      <c r="CT1155"/>
      <c r="CU1155"/>
      <c r="CV1155"/>
      <c r="CW1155"/>
      <c r="CX1155"/>
      <c r="CY1155"/>
    </row>
    <row r="1156" spans="2:103" s="60" customFormat="1" x14ac:dyDescent="0.5">
      <c r="B1156" s="87"/>
      <c r="C1156" s="106"/>
      <c r="D1156" s="91"/>
      <c r="E1156" s="91"/>
      <c r="F1156" s="91"/>
      <c r="G1156" s="91"/>
      <c r="H1156" s="69"/>
      <c r="I1156" s="69"/>
      <c r="CS1156"/>
      <c r="CT1156"/>
      <c r="CU1156"/>
      <c r="CV1156"/>
      <c r="CW1156"/>
      <c r="CX1156"/>
      <c r="CY1156"/>
    </row>
    <row r="1157" spans="2:103" s="60" customFormat="1" x14ac:dyDescent="0.5">
      <c r="B1157" s="87"/>
      <c r="C1157" s="106"/>
      <c r="D1157" s="91"/>
      <c r="E1157" s="91"/>
      <c r="F1157" s="91"/>
      <c r="G1157" s="91"/>
      <c r="H1157" s="69"/>
      <c r="I1157" s="69"/>
      <c r="CS1157"/>
      <c r="CT1157"/>
      <c r="CU1157"/>
      <c r="CV1157"/>
      <c r="CW1157"/>
      <c r="CX1157"/>
      <c r="CY1157"/>
    </row>
    <row r="1158" spans="2:103" s="60" customFormat="1" x14ac:dyDescent="0.5">
      <c r="B1158" s="87"/>
      <c r="C1158" s="106"/>
      <c r="D1158" s="91"/>
      <c r="E1158" s="91"/>
      <c r="F1158" s="91"/>
      <c r="G1158" s="91"/>
      <c r="H1158" s="69"/>
      <c r="I1158" s="69"/>
      <c r="CS1158"/>
      <c r="CT1158"/>
      <c r="CU1158"/>
      <c r="CV1158"/>
      <c r="CW1158"/>
      <c r="CX1158"/>
      <c r="CY1158"/>
    </row>
    <row r="1159" spans="2:103" s="60" customFormat="1" x14ac:dyDescent="0.5">
      <c r="B1159" s="87"/>
      <c r="C1159" s="106"/>
      <c r="D1159" s="91"/>
      <c r="E1159" s="91"/>
      <c r="F1159" s="91"/>
      <c r="G1159" s="91"/>
      <c r="H1159" s="69"/>
      <c r="I1159" s="69"/>
      <c r="CS1159"/>
      <c r="CT1159"/>
      <c r="CU1159"/>
      <c r="CV1159"/>
      <c r="CW1159"/>
      <c r="CX1159"/>
      <c r="CY1159"/>
    </row>
    <row r="1160" spans="2:103" s="60" customFormat="1" x14ac:dyDescent="0.5">
      <c r="B1160" s="87"/>
      <c r="C1160" s="106"/>
      <c r="D1160" s="91"/>
      <c r="E1160" s="91"/>
      <c r="F1160" s="91"/>
      <c r="G1160" s="91"/>
      <c r="H1160" s="69"/>
      <c r="I1160" s="69"/>
      <c r="CS1160"/>
      <c r="CT1160"/>
      <c r="CU1160"/>
      <c r="CV1160"/>
      <c r="CW1160"/>
      <c r="CX1160"/>
      <c r="CY1160"/>
    </row>
    <row r="1161" spans="2:103" s="60" customFormat="1" x14ac:dyDescent="0.5">
      <c r="B1161" s="87"/>
      <c r="C1161" s="106"/>
      <c r="D1161" s="91"/>
      <c r="E1161" s="91"/>
      <c r="F1161" s="91"/>
      <c r="G1161" s="91"/>
      <c r="H1161" s="69"/>
      <c r="I1161" s="69"/>
      <c r="CS1161"/>
      <c r="CT1161"/>
      <c r="CU1161"/>
      <c r="CV1161"/>
      <c r="CW1161"/>
      <c r="CX1161"/>
      <c r="CY1161"/>
    </row>
    <row r="1162" spans="2:103" s="60" customFormat="1" x14ac:dyDescent="0.5">
      <c r="B1162" s="87"/>
      <c r="C1162" s="106"/>
      <c r="D1162" s="91"/>
      <c r="E1162" s="91"/>
      <c r="F1162" s="91"/>
      <c r="G1162" s="91"/>
      <c r="H1162" s="69"/>
      <c r="I1162" s="69"/>
      <c r="CS1162"/>
      <c r="CT1162"/>
      <c r="CU1162"/>
      <c r="CV1162"/>
      <c r="CW1162"/>
      <c r="CX1162"/>
      <c r="CY1162"/>
    </row>
    <row r="1163" spans="2:103" s="60" customFormat="1" x14ac:dyDescent="0.5">
      <c r="B1163" s="87"/>
      <c r="C1163" s="106"/>
      <c r="D1163" s="91"/>
      <c r="E1163" s="91"/>
      <c r="F1163" s="91"/>
      <c r="G1163" s="91"/>
      <c r="H1163" s="69"/>
      <c r="I1163" s="69"/>
      <c r="CS1163"/>
      <c r="CT1163"/>
      <c r="CU1163"/>
      <c r="CV1163"/>
      <c r="CW1163"/>
      <c r="CX1163"/>
      <c r="CY1163"/>
    </row>
    <row r="1164" spans="2:103" s="60" customFormat="1" x14ac:dyDescent="0.5">
      <c r="B1164" s="87"/>
      <c r="C1164" s="106"/>
      <c r="D1164" s="91"/>
      <c r="E1164" s="91"/>
      <c r="F1164" s="91"/>
      <c r="G1164" s="91"/>
      <c r="H1164" s="69"/>
      <c r="I1164" s="69"/>
      <c r="CS1164"/>
      <c r="CT1164"/>
      <c r="CU1164"/>
      <c r="CV1164"/>
      <c r="CW1164"/>
      <c r="CX1164"/>
      <c r="CY1164"/>
    </row>
    <row r="1165" spans="2:103" s="60" customFormat="1" x14ac:dyDescent="0.5">
      <c r="B1165" s="87"/>
      <c r="C1165" s="106"/>
      <c r="D1165" s="91"/>
      <c r="E1165" s="91"/>
      <c r="F1165" s="91"/>
      <c r="G1165" s="91"/>
      <c r="H1165" s="69"/>
      <c r="I1165" s="69"/>
      <c r="CS1165"/>
      <c r="CT1165"/>
      <c r="CU1165"/>
      <c r="CV1165"/>
      <c r="CW1165"/>
      <c r="CX1165"/>
      <c r="CY1165"/>
    </row>
    <row r="1166" spans="2:103" s="60" customFormat="1" x14ac:dyDescent="0.5">
      <c r="B1166" s="87"/>
      <c r="C1166" s="106"/>
      <c r="D1166" s="91"/>
      <c r="E1166" s="91"/>
      <c r="F1166" s="91"/>
      <c r="G1166" s="91"/>
      <c r="H1166" s="69"/>
      <c r="I1166" s="69"/>
      <c r="CS1166"/>
      <c r="CT1166"/>
      <c r="CU1166"/>
      <c r="CV1166"/>
      <c r="CW1166"/>
      <c r="CX1166"/>
      <c r="CY1166"/>
    </row>
    <row r="1167" spans="2:103" s="60" customFormat="1" x14ac:dyDescent="0.5">
      <c r="B1167" s="87"/>
      <c r="C1167" s="106"/>
      <c r="D1167" s="91"/>
      <c r="E1167" s="91"/>
      <c r="F1167" s="91"/>
      <c r="G1167" s="91"/>
      <c r="H1167" s="69"/>
      <c r="I1167" s="69"/>
      <c r="CS1167"/>
      <c r="CT1167"/>
      <c r="CU1167"/>
      <c r="CV1167"/>
      <c r="CW1167"/>
      <c r="CX1167"/>
      <c r="CY1167"/>
    </row>
    <row r="1168" spans="2:103" s="60" customFormat="1" x14ac:dyDescent="0.5">
      <c r="B1168" s="87"/>
      <c r="C1168" s="106"/>
      <c r="D1168" s="91"/>
      <c r="E1168" s="91"/>
      <c r="F1168" s="91"/>
      <c r="G1168" s="91"/>
      <c r="H1168" s="69"/>
      <c r="I1168" s="69"/>
      <c r="CS1168"/>
      <c r="CT1168"/>
      <c r="CU1168"/>
      <c r="CV1168"/>
      <c r="CW1168"/>
      <c r="CX1168"/>
      <c r="CY1168"/>
    </row>
    <row r="1169" spans="2:103" s="60" customFormat="1" x14ac:dyDescent="0.5">
      <c r="B1169" s="87"/>
      <c r="C1169" s="106"/>
      <c r="D1169" s="91"/>
      <c r="E1169" s="91"/>
      <c r="F1169" s="91"/>
      <c r="G1169" s="91"/>
      <c r="H1169" s="69"/>
      <c r="I1169" s="69"/>
      <c r="CS1169"/>
      <c r="CT1169"/>
      <c r="CU1169"/>
      <c r="CV1169"/>
      <c r="CW1169"/>
      <c r="CX1169"/>
      <c r="CY1169"/>
    </row>
    <row r="1170" spans="2:103" s="60" customFormat="1" x14ac:dyDescent="0.5">
      <c r="B1170" s="87"/>
      <c r="C1170" s="106"/>
      <c r="D1170" s="91"/>
      <c r="E1170" s="91"/>
      <c r="F1170" s="91"/>
      <c r="G1170" s="91"/>
      <c r="H1170" s="69"/>
      <c r="I1170" s="69"/>
      <c r="CS1170"/>
      <c r="CT1170"/>
      <c r="CU1170"/>
      <c r="CV1170"/>
      <c r="CW1170"/>
      <c r="CX1170"/>
      <c r="CY1170"/>
    </row>
    <row r="1171" spans="2:103" s="60" customFormat="1" x14ac:dyDescent="0.5">
      <c r="B1171" s="87"/>
      <c r="C1171" s="106"/>
      <c r="D1171" s="91"/>
      <c r="E1171" s="91"/>
      <c r="F1171" s="91"/>
      <c r="G1171" s="91"/>
      <c r="H1171" s="69"/>
      <c r="I1171" s="69"/>
      <c r="CS1171"/>
      <c r="CT1171"/>
      <c r="CU1171"/>
      <c r="CV1171"/>
      <c r="CW1171"/>
      <c r="CX1171"/>
      <c r="CY1171"/>
    </row>
    <row r="1172" spans="2:103" s="60" customFormat="1" x14ac:dyDescent="0.5">
      <c r="B1172" s="87"/>
      <c r="C1172" s="106"/>
      <c r="D1172" s="91"/>
      <c r="E1172" s="91"/>
      <c r="F1172" s="91"/>
      <c r="G1172" s="91"/>
      <c r="H1172" s="69"/>
      <c r="I1172" s="69"/>
      <c r="CS1172"/>
      <c r="CT1172"/>
      <c r="CU1172"/>
      <c r="CV1172"/>
      <c r="CW1172"/>
      <c r="CX1172"/>
      <c r="CY1172"/>
    </row>
    <row r="1173" spans="2:103" s="60" customFormat="1" x14ac:dyDescent="0.5">
      <c r="B1173" s="87"/>
      <c r="C1173" s="106"/>
      <c r="D1173" s="91"/>
      <c r="E1173" s="91"/>
      <c r="F1173" s="91"/>
      <c r="G1173" s="91"/>
      <c r="H1173" s="69"/>
      <c r="I1173" s="69"/>
      <c r="CS1173"/>
      <c r="CT1173"/>
      <c r="CU1173"/>
      <c r="CV1173"/>
      <c r="CW1173"/>
      <c r="CX1173"/>
      <c r="CY1173"/>
    </row>
    <row r="1174" spans="2:103" s="60" customFormat="1" x14ac:dyDescent="0.5">
      <c r="B1174" s="87"/>
      <c r="C1174" s="106"/>
      <c r="D1174" s="91"/>
      <c r="E1174" s="91"/>
      <c r="F1174" s="91"/>
      <c r="G1174" s="91"/>
      <c r="H1174" s="69"/>
      <c r="I1174" s="69"/>
      <c r="CS1174"/>
      <c r="CT1174"/>
      <c r="CU1174"/>
      <c r="CV1174"/>
      <c r="CW1174"/>
      <c r="CX1174"/>
      <c r="CY1174"/>
    </row>
    <row r="1175" spans="2:103" s="60" customFormat="1" x14ac:dyDescent="0.5">
      <c r="B1175" s="87"/>
      <c r="C1175" s="106"/>
      <c r="D1175" s="91"/>
      <c r="E1175" s="91"/>
      <c r="F1175" s="91"/>
      <c r="G1175" s="91"/>
      <c r="H1175" s="69"/>
      <c r="I1175" s="69"/>
      <c r="CS1175"/>
      <c r="CT1175"/>
      <c r="CU1175"/>
      <c r="CV1175"/>
      <c r="CW1175"/>
      <c r="CX1175"/>
      <c r="CY1175"/>
    </row>
    <row r="1176" spans="2:103" s="60" customFormat="1" x14ac:dyDescent="0.5">
      <c r="B1176" s="87"/>
      <c r="C1176" s="106"/>
      <c r="D1176" s="91"/>
      <c r="E1176" s="91"/>
      <c r="F1176" s="91"/>
      <c r="G1176" s="91"/>
      <c r="H1176" s="69"/>
      <c r="I1176" s="69"/>
      <c r="CS1176"/>
      <c r="CT1176"/>
      <c r="CU1176"/>
      <c r="CV1176"/>
      <c r="CW1176"/>
      <c r="CX1176"/>
      <c r="CY1176"/>
    </row>
    <row r="1177" spans="2:103" s="60" customFormat="1" x14ac:dyDescent="0.5">
      <c r="B1177" s="87"/>
      <c r="C1177" s="106"/>
      <c r="D1177" s="91"/>
      <c r="E1177" s="91"/>
      <c r="F1177" s="91"/>
      <c r="G1177" s="91"/>
      <c r="H1177" s="69"/>
      <c r="I1177" s="69"/>
      <c r="CS1177"/>
      <c r="CT1177"/>
      <c r="CU1177"/>
      <c r="CV1177"/>
      <c r="CW1177"/>
      <c r="CX1177"/>
      <c r="CY1177"/>
    </row>
    <row r="1178" spans="2:103" s="60" customFormat="1" x14ac:dyDescent="0.5">
      <c r="B1178" s="87"/>
      <c r="C1178" s="106"/>
      <c r="D1178" s="91"/>
      <c r="E1178" s="91"/>
      <c r="F1178" s="91"/>
      <c r="G1178" s="91"/>
      <c r="H1178" s="69"/>
      <c r="I1178" s="69"/>
      <c r="CS1178"/>
      <c r="CT1178"/>
      <c r="CU1178"/>
      <c r="CV1178"/>
      <c r="CW1178"/>
      <c r="CX1178"/>
      <c r="CY1178"/>
    </row>
    <row r="1179" spans="2:103" s="60" customFormat="1" x14ac:dyDescent="0.5">
      <c r="B1179" s="87"/>
      <c r="C1179" s="106"/>
      <c r="D1179" s="91"/>
      <c r="E1179" s="91"/>
      <c r="F1179" s="91"/>
      <c r="G1179" s="91"/>
      <c r="H1179" s="69"/>
      <c r="I1179" s="69"/>
      <c r="CS1179"/>
      <c r="CT1179"/>
      <c r="CU1179"/>
      <c r="CV1179"/>
      <c r="CW1179"/>
      <c r="CX1179"/>
      <c r="CY1179"/>
    </row>
    <row r="1180" spans="2:103" s="60" customFormat="1" x14ac:dyDescent="0.5">
      <c r="B1180" s="87"/>
      <c r="C1180" s="106"/>
      <c r="D1180" s="91"/>
      <c r="E1180" s="91"/>
      <c r="F1180" s="91"/>
      <c r="G1180" s="91"/>
      <c r="H1180" s="69"/>
      <c r="I1180" s="69"/>
      <c r="CS1180"/>
      <c r="CT1180"/>
      <c r="CU1180"/>
      <c r="CV1180"/>
      <c r="CW1180"/>
      <c r="CX1180"/>
      <c r="CY1180"/>
    </row>
    <row r="1181" spans="2:103" s="60" customFormat="1" x14ac:dyDescent="0.5">
      <c r="B1181" s="87"/>
      <c r="C1181" s="106"/>
      <c r="D1181" s="91"/>
      <c r="E1181" s="91"/>
      <c r="F1181" s="91"/>
      <c r="G1181" s="91"/>
      <c r="H1181" s="69"/>
      <c r="I1181" s="69"/>
      <c r="CS1181"/>
      <c r="CT1181"/>
      <c r="CU1181"/>
      <c r="CV1181"/>
      <c r="CW1181"/>
      <c r="CX1181"/>
      <c r="CY1181"/>
    </row>
    <row r="1182" spans="2:103" s="60" customFormat="1" x14ac:dyDescent="0.5">
      <c r="B1182" s="87"/>
      <c r="C1182" s="106"/>
      <c r="D1182" s="91"/>
      <c r="E1182" s="91"/>
      <c r="F1182" s="91"/>
      <c r="G1182" s="91"/>
      <c r="H1182" s="69"/>
      <c r="I1182" s="69"/>
      <c r="CS1182"/>
      <c r="CT1182"/>
      <c r="CU1182"/>
      <c r="CV1182"/>
      <c r="CW1182"/>
      <c r="CX1182"/>
      <c r="CY1182"/>
    </row>
    <row r="1183" spans="2:103" s="60" customFormat="1" x14ac:dyDescent="0.5">
      <c r="B1183" s="87"/>
      <c r="C1183" s="106"/>
      <c r="D1183" s="91"/>
      <c r="E1183" s="91"/>
      <c r="F1183" s="91"/>
      <c r="G1183" s="91"/>
      <c r="H1183" s="69"/>
      <c r="I1183" s="69"/>
      <c r="CS1183"/>
      <c r="CT1183"/>
      <c r="CU1183"/>
      <c r="CV1183"/>
      <c r="CW1183"/>
      <c r="CX1183"/>
      <c r="CY1183"/>
    </row>
    <row r="1184" spans="2:103" s="60" customFormat="1" x14ac:dyDescent="0.5">
      <c r="B1184" s="87"/>
      <c r="C1184" s="106"/>
      <c r="D1184" s="91"/>
      <c r="E1184" s="91"/>
      <c r="F1184" s="91"/>
      <c r="G1184" s="91"/>
      <c r="H1184" s="69"/>
      <c r="I1184" s="69"/>
      <c r="CS1184"/>
      <c r="CT1184"/>
      <c r="CU1184"/>
      <c r="CV1184"/>
      <c r="CW1184"/>
      <c r="CX1184"/>
      <c r="CY1184"/>
    </row>
    <row r="1185" spans="2:103" s="60" customFormat="1" x14ac:dyDescent="0.5">
      <c r="B1185" s="87"/>
      <c r="C1185" s="106"/>
      <c r="D1185" s="91"/>
      <c r="E1185" s="91"/>
      <c r="F1185" s="91"/>
      <c r="G1185" s="91"/>
      <c r="H1185" s="69"/>
      <c r="I1185" s="69"/>
      <c r="CS1185"/>
      <c r="CT1185"/>
      <c r="CU1185"/>
      <c r="CV1185"/>
      <c r="CW1185"/>
      <c r="CX1185"/>
      <c r="CY1185"/>
    </row>
    <row r="1186" spans="2:103" s="60" customFormat="1" x14ac:dyDescent="0.5">
      <c r="B1186" s="87"/>
      <c r="C1186" s="106"/>
      <c r="D1186" s="91"/>
      <c r="E1186" s="91"/>
      <c r="F1186" s="91"/>
      <c r="G1186" s="91"/>
      <c r="H1186" s="69"/>
      <c r="I1186" s="69"/>
      <c r="CS1186"/>
      <c r="CT1186"/>
      <c r="CU1186"/>
      <c r="CV1186"/>
      <c r="CW1186"/>
      <c r="CX1186"/>
      <c r="CY1186"/>
    </row>
    <row r="1187" spans="2:103" s="60" customFormat="1" x14ac:dyDescent="0.5">
      <c r="B1187" s="87"/>
      <c r="C1187" s="106"/>
      <c r="D1187" s="91"/>
      <c r="E1187" s="91"/>
      <c r="F1187" s="91"/>
      <c r="G1187" s="91"/>
      <c r="H1187" s="69"/>
      <c r="I1187" s="69"/>
      <c r="CS1187"/>
      <c r="CT1187"/>
      <c r="CU1187"/>
      <c r="CV1187"/>
      <c r="CW1187"/>
      <c r="CX1187"/>
      <c r="CY1187"/>
    </row>
    <row r="1188" spans="2:103" s="60" customFormat="1" x14ac:dyDescent="0.5">
      <c r="B1188" s="87"/>
      <c r="C1188" s="106"/>
      <c r="D1188" s="91"/>
      <c r="E1188" s="91"/>
      <c r="F1188" s="91"/>
      <c r="G1188" s="91"/>
      <c r="H1188" s="69"/>
      <c r="I1188" s="69"/>
      <c r="CS1188"/>
      <c r="CT1188"/>
      <c r="CU1188"/>
      <c r="CV1188"/>
      <c r="CW1188"/>
      <c r="CX1188"/>
      <c r="CY1188"/>
    </row>
    <row r="1189" spans="2:103" s="60" customFormat="1" x14ac:dyDescent="0.5">
      <c r="B1189" s="87"/>
      <c r="C1189" s="106"/>
      <c r="D1189" s="91"/>
      <c r="E1189" s="91"/>
      <c r="F1189" s="91"/>
      <c r="G1189" s="91"/>
      <c r="H1189" s="69"/>
      <c r="I1189" s="69"/>
      <c r="CS1189"/>
      <c r="CT1189"/>
      <c r="CU1189"/>
      <c r="CV1189"/>
      <c r="CW1189"/>
      <c r="CX1189"/>
      <c r="CY1189"/>
    </row>
    <row r="1190" spans="2:103" s="60" customFormat="1" x14ac:dyDescent="0.5">
      <c r="B1190" s="87"/>
      <c r="C1190" s="106"/>
      <c r="D1190" s="91"/>
      <c r="E1190" s="91"/>
      <c r="F1190" s="91"/>
      <c r="G1190" s="91"/>
      <c r="H1190" s="69"/>
      <c r="I1190" s="69"/>
      <c r="CS1190"/>
      <c r="CT1190"/>
      <c r="CU1190"/>
      <c r="CV1190"/>
      <c r="CW1190"/>
      <c r="CX1190"/>
      <c r="CY1190"/>
    </row>
    <row r="1191" spans="2:103" s="60" customFormat="1" x14ac:dyDescent="0.5">
      <c r="B1191" s="87"/>
      <c r="C1191" s="106"/>
      <c r="D1191" s="91"/>
      <c r="E1191" s="91"/>
      <c r="F1191" s="91"/>
      <c r="G1191" s="91"/>
      <c r="H1191" s="69"/>
      <c r="I1191" s="69"/>
      <c r="CS1191"/>
      <c r="CT1191"/>
      <c r="CU1191"/>
      <c r="CV1191"/>
      <c r="CW1191"/>
      <c r="CX1191"/>
      <c r="CY1191"/>
    </row>
    <row r="1192" spans="2:103" s="60" customFormat="1" x14ac:dyDescent="0.5">
      <c r="B1192" s="87"/>
      <c r="C1192" s="106"/>
      <c r="D1192" s="91"/>
      <c r="E1192" s="91"/>
      <c r="F1192" s="91"/>
      <c r="G1192" s="91"/>
      <c r="H1192" s="69"/>
      <c r="I1192" s="69"/>
      <c r="CS1192"/>
      <c r="CT1192"/>
      <c r="CU1192"/>
      <c r="CV1192"/>
      <c r="CW1192"/>
      <c r="CX1192"/>
      <c r="CY1192"/>
    </row>
    <row r="1193" spans="2:103" s="60" customFormat="1" x14ac:dyDescent="0.5">
      <c r="B1193" s="87"/>
      <c r="C1193" s="106"/>
      <c r="D1193" s="91"/>
      <c r="E1193" s="91"/>
      <c r="F1193" s="91"/>
      <c r="G1193" s="91"/>
      <c r="H1193" s="69"/>
      <c r="I1193" s="69"/>
      <c r="CS1193"/>
      <c r="CT1193"/>
      <c r="CU1193"/>
      <c r="CV1193"/>
      <c r="CW1193"/>
      <c r="CX1193"/>
      <c r="CY1193"/>
    </row>
    <row r="1194" spans="2:103" s="60" customFormat="1" x14ac:dyDescent="0.5">
      <c r="B1194" s="87"/>
      <c r="C1194" s="106"/>
      <c r="D1194" s="91"/>
      <c r="E1194" s="91"/>
      <c r="F1194" s="91"/>
      <c r="G1194" s="91"/>
      <c r="H1194" s="69"/>
      <c r="I1194" s="69"/>
      <c r="CS1194"/>
      <c r="CT1194"/>
      <c r="CU1194"/>
      <c r="CV1194"/>
      <c r="CW1194"/>
      <c r="CX1194"/>
      <c r="CY1194"/>
    </row>
    <row r="1195" spans="2:103" s="60" customFormat="1" x14ac:dyDescent="0.5">
      <c r="B1195" s="87"/>
      <c r="C1195" s="106"/>
      <c r="D1195" s="91"/>
      <c r="E1195" s="91"/>
      <c r="F1195" s="91"/>
      <c r="G1195" s="91"/>
      <c r="H1195" s="69"/>
      <c r="I1195" s="69"/>
      <c r="CS1195"/>
      <c r="CT1195"/>
      <c r="CU1195"/>
      <c r="CV1195"/>
      <c r="CW1195"/>
      <c r="CX1195"/>
      <c r="CY1195"/>
    </row>
    <row r="1196" spans="2:103" s="60" customFormat="1" x14ac:dyDescent="0.5">
      <c r="B1196" s="87"/>
      <c r="C1196" s="106"/>
      <c r="D1196" s="91"/>
      <c r="E1196" s="91"/>
      <c r="F1196" s="91"/>
      <c r="G1196" s="91"/>
      <c r="H1196" s="69"/>
      <c r="I1196" s="69"/>
      <c r="CS1196"/>
      <c r="CT1196"/>
      <c r="CU1196"/>
      <c r="CV1196"/>
      <c r="CW1196"/>
      <c r="CX1196"/>
      <c r="CY1196"/>
    </row>
    <row r="1197" spans="2:103" s="60" customFormat="1" x14ac:dyDescent="0.5">
      <c r="B1197" s="87"/>
      <c r="C1197" s="106"/>
      <c r="D1197" s="91"/>
      <c r="E1197" s="91"/>
      <c r="F1197" s="91"/>
      <c r="G1197" s="91"/>
      <c r="H1197" s="69"/>
      <c r="I1197" s="69"/>
      <c r="CS1197"/>
      <c r="CT1197"/>
      <c r="CU1197"/>
      <c r="CV1197"/>
      <c r="CW1197"/>
      <c r="CX1197"/>
      <c r="CY1197"/>
    </row>
    <row r="1198" spans="2:103" s="60" customFormat="1" x14ac:dyDescent="0.5">
      <c r="B1198" s="87"/>
      <c r="C1198" s="106"/>
      <c r="D1198" s="91"/>
      <c r="E1198" s="91"/>
      <c r="F1198" s="91"/>
      <c r="G1198" s="91"/>
      <c r="H1198" s="69"/>
      <c r="I1198" s="69"/>
      <c r="CS1198"/>
      <c r="CT1198"/>
      <c r="CU1198"/>
      <c r="CV1198"/>
      <c r="CW1198"/>
      <c r="CX1198"/>
      <c r="CY1198"/>
    </row>
    <row r="1199" spans="2:103" s="60" customFormat="1" x14ac:dyDescent="0.5">
      <c r="B1199" s="87"/>
      <c r="C1199" s="106"/>
      <c r="D1199" s="91"/>
      <c r="E1199" s="91"/>
      <c r="F1199" s="91"/>
      <c r="G1199" s="91"/>
      <c r="H1199" s="69"/>
      <c r="I1199" s="69"/>
      <c r="CS1199"/>
      <c r="CT1199"/>
      <c r="CU1199"/>
      <c r="CV1199"/>
      <c r="CW1199"/>
      <c r="CX1199"/>
      <c r="CY1199"/>
    </row>
    <row r="1200" spans="2:103" s="60" customFormat="1" x14ac:dyDescent="0.5">
      <c r="B1200" s="87"/>
      <c r="C1200" s="106"/>
      <c r="D1200" s="91"/>
      <c r="E1200" s="91"/>
      <c r="F1200" s="91"/>
      <c r="G1200" s="91"/>
      <c r="H1200" s="69"/>
      <c r="I1200" s="69"/>
      <c r="CS1200"/>
      <c r="CT1200"/>
      <c r="CU1200"/>
      <c r="CV1200"/>
      <c r="CW1200"/>
      <c r="CX1200"/>
      <c r="CY1200"/>
    </row>
    <row r="1201" spans="2:103" s="60" customFormat="1" x14ac:dyDescent="0.5">
      <c r="B1201" s="87"/>
      <c r="C1201" s="106"/>
      <c r="D1201" s="91"/>
      <c r="E1201" s="91"/>
      <c r="F1201" s="91"/>
      <c r="G1201" s="91"/>
      <c r="H1201" s="69"/>
      <c r="I1201" s="69"/>
      <c r="CS1201"/>
      <c r="CT1201"/>
      <c r="CU1201"/>
      <c r="CV1201"/>
      <c r="CW1201"/>
      <c r="CX1201"/>
      <c r="CY1201"/>
    </row>
    <row r="1202" spans="2:103" s="60" customFormat="1" x14ac:dyDescent="0.5">
      <c r="B1202" s="87"/>
      <c r="C1202" s="106"/>
      <c r="D1202" s="91"/>
      <c r="E1202" s="91"/>
      <c r="F1202" s="91"/>
      <c r="G1202" s="91"/>
      <c r="H1202" s="69"/>
      <c r="I1202" s="69"/>
      <c r="CS1202"/>
      <c r="CT1202"/>
      <c r="CU1202"/>
      <c r="CV1202"/>
      <c r="CW1202"/>
      <c r="CX1202"/>
      <c r="CY1202"/>
    </row>
    <row r="1203" spans="2:103" s="60" customFormat="1" x14ac:dyDescent="0.5">
      <c r="B1203" s="87"/>
      <c r="C1203" s="106"/>
      <c r="D1203" s="91"/>
      <c r="E1203" s="91"/>
      <c r="F1203" s="91"/>
      <c r="G1203" s="91"/>
      <c r="H1203" s="69"/>
      <c r="I1203" s="69"/>
      <c r="CS1203"/>
      <c r="CT1203"/>
      <c r="CU1203"/>
      <c r="CV1203"/>
      <c r="CW1203"/>
      <c r="CX1203"/>
      <c r="CY1203"/>
    </row>
    <row r="1204" spans="2:103" s="60" customFormat="1" x14ac:dyDescent="0.5">
      <c r="B1204" s="87"/>
      <c r="C1204" s="106"/>
      <c r="D1204" s="91"/>
      <c r="E1204" s="91"/>
      <c r="F1204" s="91"/>
      <c r="G1204" s="91"/>
      <c r="H1204" s="69"/>
      <c r="I1204" s="69"/>
      <c r="CS1204"/>
      <c r="CT1204"/>
      <c r="CU1204"/>
      <c r="CV1204"/>
      <c r="CW1204"/>
      <c r="CX1204"/>
      <c r="CY1204"/>
    </row>
    <row r="1205" spans="2:103" s="60" customFormat="1" x14ac:dyDescent="0.5">
      <c r="B1205" s="87"/>
      <c r="C1205" s="106"/>
      <c r="D1205" s="91"/>
      <c r="E1205" s="91"/>
      <c r="F1205" s="91"/>
      <c r="G1205" s="91"/>
      <c r="H1205" s="69"/>
      <c r="I1205" s="69"/>
      <c r="CS1205"/>
      <c r="CT1205"/>
      <c r="CU1205"/>
      <c r="CV1205"/>
      <c r="CW1205"/>
      <c r="CX1205"/>
      <c r="CY1205"/>
    </row>
    <row r="1206" spans="2:103" s="60" customFormat="1" x14ac:dyDescent="0.5">
      <c r="B1206" s="87"/>
      <c r="C1206" s="106"/>
      <c r="D1206" s="91"/>
      <c r="E1206" s="91"/>
      <c r="F1206" s="91"/>
      <c r="G1206" s="91"/>
      <c r="H1206" s="69"/>
      <c r="I1206" s="69"/>
      <c r="CS1206"/>
      <c r="CT1206"/>
      <c r="CU1206"/>
      <c r="CV1206"/>
      <c r="CW1206"/>
      <c r="CX1206"/>
      <c r="CY1206"/>
    </row>
    <row r="1207" spans="2:103" s="60" customFormat="1" x14ac:dyDescent="0.5">
      <c r="B1207" s="87"/>
      <c r="C1207" s="106"/>
      <c r="D1207" s="91"/>
      <c r="E1207" s="91"/>
      <c r="F1207" s="91"/>
      <c r="G1207" s="91"/>
      <c r="H1207" s="69"/>
      <c r="I1207" s="69"/>
      <c r="CS1207"/>
      <c r="CT1207"/>
      <c r="CU1207"/>
      <c r="CV1207"/>
      <c r="CW1207"/>
      <c r="CX1207"/>
      <c r="CY1207"/>
    </row>
    <row r="1208" spans="2:103" s="60" customFormat="1" x14ac:dyDescent="0.5">
      <c r="B1208" s="87"/>
      <c r="C1208" s="106"/>
      <c r="D1208" s="91"/>
      <c r="E1208" s="91"/>
      <c r="F1208" s="91"/>
      <c r="G1208" s="91"/>
      <c r="H1208" s="69"/>
      <c r="I1208" s="69"/>
      <c r="CS1208"/>
      <c r="CT1208"/>
      <c r="CU1208"/>
      <c r="CV1208"/>
      <c r="CW1208"/>
      <c r="CX1208"/>
      <c r="CY1208"/>
    </row>
    <row r="1209" spans="2:103" s="60" customFormat="1" x14ac:dyDescent="0.5">
      <c r="B1209" s="87"/>
      <c r="C1209" s="106"/>
      <c r="D1209" s="91"/>
      <c r="E1209" s="91"/>
      <c r="F1209" s="91"/>
      <c r="G1209" s="91"/>
      <c r="H1209" s="69"/>
      <c r="I1209" s="69"/>
      <c r="CS1209"/>
      <c r="CT1209"/>
      <c r="CU1209"/>
      <c r="CV1209"/>
      <c r="CW1209"/>
      <c r="CX1209"/>
      <c r="CY1209"/>
    </row>
    <row r="1210" spans="2:103" s="60" customFormat="1" x14ac:dyDescent="0.5">
      <c r="B1210" s="87"/>
      <c r="C1210" s="106"/>
      <c r="D1210" s="91"/>
      <c r="E1210" s="91"/>
      <c r="F1210" s="91"/>
      <c r="G1210" s="91"/>
      <c r="H1210" s="69"/>
      <c r="I1210" s="69"/>
      <c r="CS1210"/>
      <c r="CT1210"/>
      <c r="CU1210"/>
      <c r="CV1210"/>
      <c r="CW1210"/>
      <c r="CX1210"/>
      <c r="CY1210"/>
    </row>
    <row r="1211" spans="2:103" s="60" customFormat="1" x14ac:dyDescent="0.5">
      <c r="B1211" s="87"/>
      <c r="C1211" s="106"/>
      <c r="D1211" s="91"/>
      <c r="E1211" s="91"/>
      <c r="F1211" s="91"/>
      <c r="G1211" s="91"/>
      <c r="H1211" s="69"/>
      <c r="I1211" s="69"/>
      <c r="CS1211"/>
      <c r="CT1211"/>
      <c r="CU1211"/>
      <c r="CV1211"/>
      <c r="CW1211"/>
      <c r="CX1211"/>
      <c r="CY1211"/>
    </row>
    <row r="1212" spans="2:103" s="60" customFormat="1" x14ac:dyDescent="0.5">
      <c r="B1212" s="87"/>
      <c r="C1212" s="106"/>
      <c r="D1212" s="91"/>
      <c r="E1212" s="91"/>
      <c r="F1212" s="91"/>
      <c r="G1212" s="91"/>
      <c r="H1212" s="69"/>
      <c r="I1212" s="69"/>
      <c r="CS1212"/>
      <c r="CT1212"/>
      <c r="CU1212"/>
      <c r="CV1212"/>
      <c r="CW1212"/>
      <c r="CX1212"/>
      <c r="CY1212"/>
    </row>
    <row r="1213" spans="2:103" s="60" customFormat="1" x14ac:dyDescent="0.5">
      <c r="B1213" s="87"/>
      <c r="C1213" s="106"/>
      <c r="D1213" s="91"/>
      <c r="E1213" s="91"/>
      <c r="F1213" s="91"/>
      <c r="G1213" s="91"/>
      <c r="H1213" s="69"/>
      <c r="I1213" s="69"/>
      <c r="CS1213"/>
      <c r="CT1213"/>
      <c r="CU1213"/>
      <c r="CV1213"/>
      <c r="CW1213"/>
      <c r="CX1213"/>
      <c r="CY1213"/>
    </row>
    <row r="1214" spans="2:103" s="60" customFormat="1" x14ac:dyDescent="0.5">
      <c r="B1214" s="87"/>
      <c r="C1214" s="106"/>
      <c r="D1214" s="91"/>
      <c r="E1214" s="91"/>
      <c r="F1214" s="91"/>
      <c r="G1214" s="91"/>
      <c r="H1214" s="69"/>
      <c r="I1214" s="69"/>
      <c r="CS1214"/>
      <c r="CT1214"/>
      <c r="CU1214"/>
      <c r="CV1214"/>
      <c r="CW1214"/>
      <c r="CX1214"/>
      <c r="CY1214"/>
    </row>
    <row r="1215" spans="2:103" s="60" customFormat="1" x14ac:dyDescent="0.5">
      <c r="B1215" s="87"/>
      <c r="C1215" s="106"/>
      <c r="D1215" s="91"/>
      <c r="E1215" s="91"/>
      <c r="F1215" s="91"/>
      <c r="G1215" s="91"/>
      <c r="H1215" s="69"/>
      <c r="I1215" s="69"/>
      <c r="CS1215"/>
      <c r="CT1215"/>
      <c r="CU1215"/>
      <c r="CV1215"/>
      <c r="CW1215"/>
      <c r="CX1215"/>
      <c r="CY1215"/>
    </row>
    <row r="1216" spans="2:103" s="60" customFormat="1" x14ac:dyDescent="0.5">
      <c r="B1216" s="87"/>
      <c r="C1216" s="106"/>
      <c r="D1216" s="91"/>
      <c r="E1216" s="91"/>
      <c r="F1216" s="91"/>
      <c r="G1216" s="91"/>
      <c r="H1216" s="69"/>
      <c r="I1216" s="69"/>
      <c r="CS1216"/>
      <c r="CT1216"/>
      <c r="CU1216"/>
      <c r="CV1216"/>
      <c r="CW1216"/>
      <c r="CX1216"/>
      <c r="CY1216"/>
    </row>
    <row r="1217" spans="2:103" s="60" customFormat="1" x14ac:dyDescent="0.5">
      <c r="B1217" s="87"/>
      <c r="C1217" s="106"/>
      <c r="D1217" s="91"/>
      <c r="E1217" s="91"/>
      <c r="F1217" s="91"/>
      <c r="G1217" s="91"/>
      <c r="H1217" s="69"/>
      <c r="I1217" s="69"/>
      <c r="CS1217"/>
      <c r="CT1217"/>
      <c r="CU1217"/>
      <c r="CV1217"/>
      <c r="CW1217"/>
      <c r="CX1217"/>
      <c r="CY1217"/>
    </row>
    <row r="1218" spans="2:103" s="60" customFormat="1" x14ac:dyDescent="0.5">
      <c r="B1218" s="87"/>
      <c r="C1218" s="106"/>
      <c r="D1218" s="91"/>
      <c r="E1218" s="91"/>
      <c r="F1218" s="91"/>
      <c r="G1218" s="91"/>
      <c r="H1218" s="69"/>
      <c r="I1218" s="69"/>
      <c r="CS1218"/>
      <c r="CT1218"/>
      <c r="CU1218"/>
      <c r="CV1218"/>
      <c r="CW1218"/>
      <c r="CX1218"/>
      <c r="CY1218"/>
    </row>
    <row r="1219" spans="2:103" s="60" customFormat="1" x14ac:dyDescent="0.5">
      <c r="B1219" s="87"/>
      <c r="C1219" s="106"/>
      <c r="D1219" s="91"/>
      <c r="E1219" s="91"/>
      <c r="F1219" s="91"/>
      <c r="G1219" s="91"/>
      <c r="H1219" s="69"/>
      <c r="I1219" s="69"/>
      <c r="CS1219"/>
      <c r="CT1219"/>
      <c r="CU1219"/>
      <c r="CV1219"/>
      <c r="CW1219"/>
      <c r="CX1219"/>
      <c r="CY1219"/>
    </row>
    <row r="1220" spans="2:103" s="60" customFormat="1" x14ac:dyDescent="0.5">
      <c r="B1220" s="87"/>
      <c r="C1220" s="106"/>
      <c r="D1220" s="91"/>
      <c r="E1220" s="91"/>
      <c r="F1220" s="91"/>
      <c r="G1220" s="91"/>
      <c r="H1220" s="69"/>
      <c r="I1220" s="69"/>
      <c r="CS1220"/>
      <c r="CT1220"/>
      <c r="CU1220"/>
      <c r="CV1220"/>
      <c r="CW1220"/>
      <c r="CX1220"/>
      <c r="CY1220"/>
    </row>
    <row r="1221" spans="2:103" s="60" customFormat="1" x14ac:dyDescent="0.5">
      <c r="B1221" s="87"/>
      <c r="C1221" s="106"/>
      <c r="D1221" s="91"/>
      <c r="E1221" s="91"/>
      <c r="F1221" s="91"/>
      <c r="G1221" s="91"/>
      <c r="H1221" s="69"/>
      <c r="I1221" s="69"/>
      <c r="CS1221"/>
      <c r="CT1221"/>
      <c r="CU1221"/>
      <c r="CV1221"/>
      <c r="CW1221"/>
      <c r="CX1221"/>
      <c r="CY1221"/>
    </row>
    <row r="1222" spans="2:103" s="60" customFormat="1" x14ac:dyDescent="0.5">
      <c r="B1222" s="87"/>
      <c r="C1222" s="106"/>
      <c r="D1222" s="91"/>
      <c r="E1222" s="91"/>
      <c r="F1222" s="91"/>
      <c r="G1222" s="91"/>
      <c r="H1222" s="69"/>
      <c r="I1222" s="69"/>
      <c r="CS1222"/>
      <c r="CT1222"/>
      <c r="CU1222"/>
      <c r="CV1222"/>
      <c r="CW1222"/>
      <c r="CX1222"/>
      <c r="CY1222"/>
    </row>
    <row r="1223" spans="2:103" s="60" customFormat="1" x14ac:dyDescent="0.5">
      <c r="B1223" s="87"/>
      <c r="C1223" s="106"/>
      <c r="D1223" s="91"/>
      <c r="E1223" s="91"/>
      <c r="F1223" s="91"/>
      <c r="G1223" s="91"/>
      <c r="H1223" s="69"/>
      <c r="I1223" s="69"/>
      <c r="CS1223"/>
      <c r="CT1223"/>
      <c r="CU1223"/>
      <c r="CV1223"/>
      <c r="CW1223"/>
      <c r="CX1223"/>
      <c r="CY1223"/>
    </row>
    <row r="1224" spans="2:103" s="60" customFormat="1" x14ac:dyDescent="0.5">
      <c r="B1224" s="87"/>
      <c r="C1224" s="106"/>
      <c r="D1224" s="91"/>
      <c r="E1224" s="91"/>
      <c r="F1224" s="91"/>
      <c r="G1224" s="91"/>
      <c r="H1224" s="69"/>
      <c r="I1224" s="69"/>
      <c r="CS1224"/>
      <c r="CT1224"/>
      <c r="CU1224"/>
      <c r="CV1224"/>
      <c r="CW1224"/>
      <c r="CX1224"/>
      <c r="CY1224"/>
    </row>
    <row r="1225" spans="2:103" s="60" customFormat="1" x14ac:dyDescent="0.5">
      <c r="B1225" s="87"/>
      <c r="C1225" s="106"/>
      <c r="D1225" s="91"/>
      <c r="E1225" s="91"/>
      <c r="F1225" s="91"/>
      <c r="G1225" s="91"/>
      <c r="H1225" s="69"/>
      <c r="I1225" s="69"/>
      <c r="CS1225"/>
      <c r="CT1225"/>
      <c r="CU1225"/>
      <c r="CV1225"/>
      <c r="CW1225"/>
      <c r="CX1225"/>
      <c r="CY1225"/>
    </row>
    <row r="1226" spans="2:103" s="60" customFormat="1" x14ac:dyDescent="0.5">
      <c r="B1226" s="87"/>
      <c r="C1226" s="106"/>
      <c r="D1226" s="91"/>
      <c r="E1226" s="91"/>
      <c r="F1226" s="91"/>
      <c r="G1226" s="91"/>
      <c r="H1226" s="69"/>
      <c r="I1226" s="69"/>
      <c r="CS1226"/>
      <c r="CT1226"/>
      <c r="CU1226"/>
      <c r="CV1226"/>
      <c r="CW1226"/>
      <c r="CX1226"/>
      <c r="CY1226"/>
    </row>
    <row r="1227" spans="2:103" s="60" customFormat="1" x14ac:dyDescent="0.5">
      <c r="B1227" s="87"/>
      <c r="C1227" s="106"/>
      <c r="D1227" s="91"/>
      <c r="E1227" s="91"/>
      <c r="F1227" s="91"/>
      <c r="G1227" s="91"/>
      <c r="H1227" s="69"/>
      <c r="I1227" s="69"/>
      <c r="CS1227"/>
      <c r="CT1227"/>
      <c r="CU1227"/>
      <c r="CV1227"/>
      <c r="CW1227"/>
      <c r="CX1227"/>
      <c r="CY1227"/>
    </row>
    <row r="1228" spans="2:103" s="60" customFormat="1" x14ac:dyDescent="0.5">
      <c r="B1228" s="87"/>
      <c r="C1228" s="106"/>
      <c r="D1228" s="91"/>
      <c r="E1228" s="91"/>
      <c r="F1228" s="91"/>
      <c r="G1228" s="91"/>
      <c r="H1228" s="69"/>
      <c r="I1228" s="69"/>
      <c r="CS1228"/>
      <c r="CT1228"/>
      <c r="CU1228"/>
      <c r="CV1228"/>
      <c r="CW1228"/>
      <c r="CX1228"/>
      <c r="CY1228"/>
    </row>
    <row r="1229" spans="2:103" s="60" customFormat="1" x14ac:dyDescent="0.5">
      <c r="B1229" s="87"/>
      <c r="C1229" s="106"/>
      <c r="D1229" s="91"/>
      <c r="E1229" s="91"/>
      <c r="F1229" s="91"/>
      <c r="G1229" s="91"/>
      <c r="H1229" s="69"/>
      <c r="I1229" s="69"/>
      <c r="CS1229"/>
      <c r="CT1229"/>
      <c r="CU1229"/>
      <c r="CV1229"/>
      <c r="CW1229"/>
      <c r="CX1229"/>
      <c r="CY1229"/>
    </row>
    <row r="1230" spans="2:103" s="60" customFormat="1" x14ac:dyDescent="0.5">
      <c r="B1230" s="87"/>
      <c r="C1230" s="106"/>
      <c r="D1230" s="91"/>
      <c r="E1230" s="91"/>
      <c r="F1230" s="91"/>
      <c r="G1230" s="91"/>
      <c r="H1230" s="69"/>
      <c r="I1230" s="69"/>
      <c r="CS1230"/>
      <c r="CT1230"/>
      <c r="CU1230"/>
      <c r="CV1230"/>
      <c r="CW1230"/>
      <c r="CX1230"/>
      <c r="CY1230"/>
    </row>
    <row r="1231" spans="2:103" s="60" customFormat="1" x14ac:dyDescent="0.5">
      <c r="B1231" s="87"/>
      <c r="C1231" s="106"/>
      <c r="D1231" s="91"/>
      <c r="E1231" s="91"/>
      <c r="F1231" s="91"/>
      <c r="G1231" s="91"/>
      <c r="H1231" s="69"/>
      <c r="I1231" s="69"/>
      <c r="CS1231"/>
      <c r="CT1231"/>
      <c r="CU1231"/>
      <c r="CV1231"/>
      <c r="CW1231"/>
      <c r="CX1231"/>
      <c r="CY1231"/>
    </row>
    <row r="1232" spans="2:103" s="60" customFormat="1" x14ac:dyDescent="0.5">
      <c r="B1232" s="87"/>
      <c r="C1232" s="106"/>
      <c r="D1232" s="91"/>
      <c r="E1232" s="91"/>
      <c r="F1232" s="91"/>
      <c r="G1232" s="91"/>
      <c r="H1232" s="69"/>
      <c r="I1232" s="69"/>
      <c r="CS1232"/>
      <c r="CT1232"/>
      <c r="CU1232"/>
      <c r="CV1232"/>
      <c r="CW1232"/>
      <c r="CX1232"/>
      <c r="CY1232"/>
    </row>
    <row r="1233" spans="2:103" s="60" customFormat="1" x14ac:dyDescent="0.5">
      <c r="B1233" s="87"/>
      <c r="C1233" s="106"/>
      <c r="D1233" s="91"/>
      <c r="E1233" s="91"/>
      <c r="F1233" s="91"/>
      <c r="G1233" s="91"/>
      <c r="H1233" s="69"/>
      <c r="I1233" s="69"/>
      <c r="CS1233"/>
      <c r="CT1233"/>
      <c r="CU1233"/>
      <c r="CV1233"/>
      <c r="CW1233"/>
      <c r="CX1233"/>
      <c r="CY1233"/>
    </row>
    <row r="1234" spans="2:103" s="60" customFormat="1" x14ac:dyDescent="0.5">
      <c r="B1234" s="87"/>
      <c r="C1234" s="106"/>
      <c r="D1234" s="91"/>
      <c r="E1234" s="91"/>
      <c r="F1234" s="91"/>
      <c r="G1234" s="91"/>
      <c r="H1234" s="69"/>
      <c r="I1234" s="69"/>
      <c r="CS1234"/>
      <c r="CT1234"/>
      <c r="CU1234"/>
      <c r="CV1234"/>
      <c r="CW1234"/>
      <c r="CX1234"/>
      <c r="CY1234"/>
    </row>
    <row r="1235" spans="2:103" s="60" customFormat="1" x14ac:dyDescent="0.5">
      <c r="B1235" s="87"/>
      <c r="C1235" s="106"/>
      <c r="D1235" s="91"/>
      <c r="E1235" s="91"/>
      <c r="F1235" s="91"/>
      <c r="G1235" s="91"/>
      <c r="H1235" s="69"/>
      <c r="I1235" s="69"/>
      <c r="CS1235"/>
      <c r="CT1235"/>
      <c r="CU1235"/>
      <c r="CV1235"/>
      <c r="CW1235"/>
      <c r="CX1235"/>
      <c r="CY1235"/>
    </row>
    <row r="1236" spans="2:103" s="60" customFormat="1" x14ac:dyDescent="0.5">
      <c r="B1236" s="87"/>
      <c r="C1236" s="106"/>
      <c r="D1236" s="91"/>
      <c r="E1236" s="91"/>
      <c r="F1236" s="91"/>
      <c r="G1236" s="91"/>
      <c r="H1236" s="69"/>
      <c r="I1236" s="69"/>
      <c r="CS1236"/>
      <c r="CT1236"/>
      <c r="CU1236"/>
      <c r="CV1236"/>
      <c r="CW1236"/>
      <c r="CX1236"/>
      <c r="CY1236"/>
    </row>
    <row r="1237" spans="2:103" s="60" customFormat="1" x14ac:dyDescent="0.5">
      <c r="B1237" s="87"/>
      <c r="C1237" s="106"/>
      <c r="D1237" s="91"/>
      <c r="E1237" s="91"/>
      <c r="F1237" s="91"/>
      <c r="G1237" s="91"/>
      <c r="H1237" s="69"/>
      <c r="I1237" s="69"/>
      <c r="CS1237"/>
      <c r="CT1237"/>
      <c r="CU1237"/>
      <c r="CV1237"/>
      <c r="CW1237"/>
      <c r="CX1237"/>
      <c r="CY1237"/>
    </row>
    <row r="1238" spans="2:103" s="60" customFormat="1" x14ac:dyDescent="0.5">
      <c r="B1238" s="87"/>
      <c r="C1238" s="106"/>
      <c r="D1238" s="91"/>
      <c r="E1238" s="91"/>
      <c r="F1238" s="91"/>
      <c r="G1238" s="91"/>
      <c r="H1238" s="69"/>
      <c r="I1238" s="69"/>
      <c r="CS1238"/>
      <c r="CT1238"/>
      <c r="CU1238"/>
      <c r="CV1238"/>
      <c r="CW1238"/>
      <c r="CX1238"/>
      <c r="CY1238"/>
    </row>
    <row r="1239" spans="2:103" s="60" customFormat="1" x14ac:dyDescent="0.5">
      <c r="B1239" s="87"/>
      <c r="C1239" s="106"/>
      <c r="D1239" s="91"/>
      <c r="E1239" s="91"/>
      <c r="F1239" s="91"/>
      <c r="G1239" s="91"/>
      <c r="H1239" s="69"/>
      <c r="I1239" s="69"/>
      <c r="CS1239"/>
      <c r="CT1239"/>
      <c r="CU1239"/>
      <c r="CV1239"/>
      <c r="CW1239"/>
      <c r="CX1239"/>
      <c r="CY1239"/>
    </row>
    <row r="1240" spans="2:103" s="60" customFormat="1" x14ac:dyDescent="0.5">
      <c r="B1240" s="87"/>
      <c r="C1240" s="106"/>
      <c r="D1240" s="91"/>
      <c r="E1240" s="91"/>
      <c r="F1240" s="91"/>
      <c r="G1240" s="91"/>
      <c r="H1240" s="69"/>
      <c r="I1240" s="69"/>
      <c r="CS1240"/>
      <c r="CT1240"/>
      <c r="CU1240"/>
      <c r="CV1240"/>
      <c r="CW1240"/>
      <c r="CX1240"/>
      <c r="CY1240"/>
    </row>
    <row r="1241" spans="2:103" s="60" customFormat="1" x14ac:dyDescent="0.5">
      <c r="B1241" s="87"/>
      <c r="C1241" s="106"/>
      <c r="D1241" s="91"/>
      <c r="E1241" s="91"/>
      <c r="F1241" s="91"/>
      <c r="G1241" s="91"/>
      <c r="H1241" s="69"/>
      <c r="I1241" s="69"/>
      <c r="CS1241"/>
      <c r="CT1241"/>
      <c r="CU1241"/>
      <c r="CV1241"/>
      <c r="CW1241"/>
      <c r="CX1241"/>
      <c r="CY1241"/>
    </row>
    <row r="1242" spans="2:103" s="60" customFormat="1" x14ac:dyDescent="0.5">
      <c r="B1242" s="87"/>
      <c r="C1242" s="106"/>
      <c r="D1242" s="91"/>
      <c r="E1242" s="91"/>
      <c r="F1242" s="91"/>
      <c r="G1242" s="91"/>
      <c r="H1242" s="69"/>
      <c r="I1242" s="69"/>
      <c r="CS1242"/>
      <c r="CT1242"/>
      <c r="CU1242"/>
      <c r="CV1242"/>
      <c r="CW1242"/>
      <c r="CX1242"/>
      <c r="CY1242"/>
    </row>
    <row r="1243" spans="2:103" s="60" customFormat="1" x14ac:dyDescent="0.5">
      <c r="B1243" s="87"/>
      <c r="C1243" s="106"/>
      <c r="D1243" s="91"/>
      <c r="E1243" s="91"/>
      <c r="F1243" s="91"/>
      <c r="G1243" s="91"/>
      <c r="H1243" s="69"/>
      <c r="I1243" s="69"/>
      <c r="CS1243"/>
      <c r="CT1243"/>
      <c r="CU1243"/>
      <c r="CV1243"/>
      <c r="CW1243"/>
      <c r="CX1243"/>
      <c r="CY1243"/>
    </row>
    <row r="1244" spans="2:103" s="60" customFormat="1" x14ac:dyDescent="0.5">
      <c r="B1244" s="87"/>
      <c r="C1244" s="106"/>
      <c r="D1244" s="91"/>
      <c r="E1244" s="91"/>
      <c r="F1244" s="91"/>
      <c r="G1244" s="91"/>
      <c r="H1244" s="69"/>
      <c r="I1244" s="69"/>
      <c r="CS1244"/>
      <c r="CT1244"/>
      <c r="CU1244"/>
      <c r="CV1244"/>
      <c r="CW1244"/>
      <c r="CX1244"/>
      <c r="CY1244"/>
    </row>
    <row r="1245" spans="2:103" s="60" customFormat="1" x14ac:dyDescent="0.5">
      <c r="B1245" s="87"/>
      <c r="C1245" s="106"/>
      <c r="D1245" s="91"/>
      <c r="E1245" s="91"/>
      <c r="F1245" s="91"/>
      <c r="G1245" s="91"/>
      <c r="H1245" s="69"/>
      <c r="I1245" s="69"/>
      <c r="CS1245"/>
      <c r="CT1245"/>
      <c r="CU1245"/>
      <c r="CV1245"/>
      <c r="CW1245"/>
      <c r="CX1245"/>
      <c r="CY1245"/>
    </row>
    <row r="1246" spans="2:103" s="60" customFormat="1" x14ac:dyDescent="0.5">
      <c r="B1246" s="87"/>
      <c r="C1246" s="106"/>
      <c r="D1246" s="91"/>
      <c r="E1246" s="91"/>
      <c r="F1246" s="91"/>
      <c r="G1246" s="91"/>
      <c r="H1246" s="69"/>
      <c r="I1246" s="69"/>
      <c r="CS1246"/>
      <c r="CT1246"/>
      <c r="CU1246"/>
      <c r="CV1246"/>
      <c r="CW1246"/>
      <c r="CX1246"/>
      <c r="CY1246"/>
    </row>
    <row r="1247" spans="2:103" s="60" customFormat="1" x14ac:dyDescent="0.5">
      <c r="B1247" s="87"/>
      <c r="C1247" s="106"/>
      <c r="D1247" s="91"/>
      <c r="E1247" s="91"/>
      <c r="F1247" s="91"/>
      <c r="G1247" s="91"/>
      <c r="H1247" s="69"/>
      <c r="I1247" s="69"/>
      <c r="CS1247"/>
      <c r="CT1247"/>
      <c r="CU1247"/>
      <c r="CV1247"/>
      <c r="CW1247"/>
      <c r="CX1247"/>
      <c r="CY1247"/>
    </row>
    <row r="1248" spans="2:103" s="60" customFormat="1" x14ac:dyDescent="0.5">
      <c r="B1248" s="87"/>
      <c r="C1248" s="106"/>
      <c r="D1248" s="91"/>
      <c r="E1248" s="91"/>
      <c r="F1248" s="91"/>
      <c r="G1248" s="91"/>
      <c r="H1248" s="69"/>
      <c r="I1248" s="69"/>
      <c r="CS1248"/>
      <c r="CT1248"/>
      <c r="CU1248"/>
      <c r="CV1248"/>
      <c r="CW1248"/>
      <c r="CX1248"/>
      <c r="CY1248"/>
    </row>
    <row r="1249" spans="2:103" s="60" customFormat="1" x14ac:dyDescent="0.5">
      <c r="B1249" s="87"/>
      <c r="C1249" s="106"/>
      <c r="D1249" s="91"/>
      <c r="E1249" s="91"/>
      <c r="F1249" s="91"/>
      <c r="G1249" s="91"/>
      <c r="H1249" s="69"/>
      <c r="I1249" s="69"/>
      <c r="CS1249"/>
      <c r="CT1249"/>
      <c r="CU1249"/>
      <c r="CV1249"/>
      <c r="CW1249"/>
      <c r="CX1249"/>
      <c r="CY1249"/>
    </row>
    <row r="1250" spans="2:103" s="60" customFormat="1" x14ac:dyDescent="0.5">
      <c r="B1250" s="87"/>
      <c r="C1250" s="106"/>
      <c r="D1250" s="91"/>
      <c r="E1250" s="91"/>
      <c r="F1250" s="91"/>
      <c r="G1250" s="91"/>
      <c r="H1250" s="69"/>
      <c r="I1250" s="69"/>
      <c r="CS1250"/>
      <c r="CT1250"/>
      <c r="CU1250"/>
      <c r="CV1250"/>
      <c r="CW1250"/>
      <c r="CX1250"/>
      <c r="CY1250"/>
    </row>
    <row r="1251" spans="2:103" s="60" customFormat="1" x14ac:dyDescent="0.5">
      <c r="B1251" s="87"/>
      <c r="C1251" s="106"/>
      <c r="D1251" s="91"/>
      <c r="E1251" s="91"/>
      <c r="F1251" s="91"/>
      <c r="G1251" s="91"/>
      <c r="H1251" s="69"/>
      <c r="I1251" s="69"/>
      <c r="CS1251"/>
      <c r="CT1251"/>
      <c r="CU1251"/>
      <c r="CV1251"/>
      <c r="CW1251"/>
      <c r="CX1251"/>
      <c r="CY1251"/>
    </row>
    <row r="1252" spans="2:103" s="60" customFormat="1" x14ac:dyDescent="0.5">
      <c r="B1252" s="87"/>
      <c r="C1252" s="106"/>
      <c r="D1252" s="91"/>
      <c r="E1252" s="91"/>
      <c r="F1252" s="91"/>
      <c r="G1252" s="91"/>
      <c r="H1252" s="69"/>
      <c r="I1252" s="69"/>
      <c r="CS1252"/>
      <c r="CT1252"/>
      <c r="CU1252"/>
      <c r="CV1252"/>
      <c r="CW1252"/>
      <c r="CX1252"/>
      <c r="CY1252"/>
    </row>
    <row r="1253" spans="2:103" s="60" customFormat="1" x14ac:dyDescent="0.5">
      <c r="B1253" s="87"/>
      <c r="C1253" s="106"/>
      <c r="D1253" s="91"/>
      <c r="E1253" s="91"/>
      <c r="F1253" s="91"/>
      <c r="G1253" s="91"/>
      <c r="H1253" s="69"/>
      <c r="I1253" s="69"/>
      <c r="CS1253"/>
      <c r="CT1253"/>
      <c r="CU1253"/>
      <c r="CV1253"/>
      <c r="CW1253"/>
      <c r="CX1253"/>
      <c r="CY1253"/>
    </row>
    <row r="1254" spans="2:103" s="60" customFormat="1" x14ac:dyDescent="0.5">
      <c r="B1254" s="87"/>
      <c r="C1254" s="106"/>
      <c r="D1254" s="91"/>
      <c r="E1254" s="91"/>
      <c r="F1254" s="91"/>
      <c r="G1254" s="91"/>
      <c r="H1254" s="69"/>
      <c r="I1254" s="69"/>
      <c r="CS1254"/>
      <c r="CT1254"/>
      <c r="CU1254"/>
      <c r="CV1254"/>
      <c r="CW1254"/>
      <c r="CX1254"/>
      <c r="CY1254"/>
    </row>
    <row r="1255" spans="2:103" s="60" customFormat="1" x14ac:dyDescent="0.5">
      <c r="B1255" s="87"/>
      <c r="C1255" s="106"/>
      <c r="D1255" s="91"/>
      <c r="E1255" s="91"/>
      <c r="F1255" s="91"/>
      <c r="G1255" s="91"/>
      <c r="H1255" s="69"/>
      <c r="I1255" s="69"/>
      <c r="CS1255"/>
      <c r="CT1255"/>
      <c r="CU1255"/>
      <c r="CV1255"/>
      <c r="CW1255"/>
      <c r="CX1255"/>
      <c r="CY1255"/>
    </row>
    <row r="1256" spans="2:103" s="60" customFormat="1" x14ac:dyDescent="0.5">
      <c r="B1256" s="87"/>
      <c r="C1256" s="106"/>
      <c r="D1256" s="91"/>
      <c r="E1256" s="91"/>
      <c r="F1256" s="91"/>
      <c r="G1256" s="91"/>
      <c r="H1256" s="69"/>
      <c r="I1256" s="69"/>
      <c r="CS1256"/>
      <c r="CT1256"/>
      <c r="CU1256"/>
      <c r="CV1256"/>
      <c r="CW1256"/>
      <c r="CX1256"/>
      <c r="CY1256"/>
    </row>
    <row r="1257" spans="2:103" s="60" customFormat="1" x14ac:dyDescent="0.5">
      <c r="B1257" s="87"/>
      <c r="C1257" s="106"/>
      <c r="D1257" s="91"/>
      <c r="E1257" s="91"/>
      <c r="F1257" s="91"/>
      <c r="G1257" s="91"/>
      <c r="H1257" s="69"/>
      <c r="I1257" s="69"/>
      <c r="CS1257"/>
      <c r="CT1257"/>
      <c r="CU1257"/>
      <c r="CV1257"/>
      <c r="CW1257"/>
      <c r="CX1257"/>
      <c r="CY1257"/>
    </row>
    <row r="1258" spans="2:103" s="60" customFormat="1" x14ac:dyDescent="0.5">
      <c r="B1258" s="87"/>
      <c r="C1258" s="106"/>
      <c r="D1258" s="91"/>
      <c r="E1258" s="91"/>
      <c r="F1258" s="91"/>
      <c r="G1258" s="91"/>
      <c r="H1258" s="69"/>
      <c r="I1258" s="69"/>
      <c r="CS1258"/>
      <c r="CT1258"/>
      <c r="CU1258"/>
      <c r="CV1258"/>
      <c r="CW1258"/>
      <c r="CX1258"/>
      <c r="CY1258"/>
    </row>
    <row r="1259" spans="2:103" s="60" customFormat="1" x14ac:dyDescent="0.5">
      <c r="B1259" s="87"/>
      <c r="C1259" s="106"/>
      <c r="D1259" s="91"/>
      <c r="E1259" s="91"/>
      <c r="F1259" s="91"/>
      <c r="G1259" s="91"/>
      <c r="H1259" s="69"/>
      <c r="I1259" s="69"/>
      <c r="CS1259"/>
      <c r="CT1259"/>
      <c r="CU1259"/>
      <c r="CV1259"/>
      <c r="CW1259"/>
      <c r="CX1259"/>
      <c r="CY1259"/>
    </row>
    <row r="1260" spans="2:103" s="60" customFormat="1" x14ac:dyDescent="0.5">
      <c r="B1260" s="87"/>
      <c r="C1260" s="106"/>
      <c r="D1260" s="91"/>
      <c r="E1260" s="91"/>
      <c r="F1260" s="91"/>
      <c r="G1260" s="91"/>
      <c r="H1260" s="69"/>
      <c r="I1260" s="69"/>
      <c r="CS1260"/>
      <c r="CT1260"/>
      <c r="CU1260"/>
      <c r="CV1260"/>
      <c r="CW1260"/>
      <c r="CX1260"/>
      <c r="CY1260"/>
    </row>
    <row r="1261" spans="2:103" s="60" customFormat="1" x14ac:dyDescent="0.5">
      <c r="B1261" s="87"/>
      <c r="C1261" s="106"/>
      <c r="D1261" s="91"/>
      <c r="E1261" s="91"/>
      <c r="F1261" s="91"/>
      <c r="G1261" s="91"/>
      <c r="H1261" s="69"/>
      <c r="I1261" s="69"/>
      <c r="CS1261"/>
      <c r="CT1261"/>
      <c r="CU1261"/>
      <c r="CV1261"/>
      <c r="CW1261"/>
      <c r="CX1261"/>
      <c r="CY1261"/>
    </row>
    <row r="1262" spans="2:103" s="60" customFormat="1" x14ac:dyDescent="0.5">
      <c r="B1262" s="87"/>
      <c r="C1262" s="106"/>
      <c r="D1262" s="91"/>
      <c r="E1262" s="91"/>
      <c r="F1262" s="91"/>
      <c r="G1262" s="91"/>
      <c r="H1262" s="69"/>
      <c r="I1262" s="69"/>
      <c r="CS1262"/>
      <c r="CT1262"/>
      <c r="CU1262"/>
      <c r="CV1262"/>
      <c r="CW1262"/>
      <c r="CX1262"/>
      <c r="CY1262"/>
    </row>
    <row r="1263" spans="2:103" s="60" customFormat="1" x14ac:dyDescent="0.5">
      <c r="B1263" s="87"/>
      <c r="C1263" s="106"/>
      <c r="D1263" s="91"/>
      <c r="E1263" s="91"/>
      <c r="F1263" s="91"/>
      <c r="G1263" s="91"/>
      <c r="H1263" s="69"/>
      <c r="I1263" s="69"/>
      <c r="CS1263"/>
      <c r="CT1263"/>
      <c r="CU1263"/>
      <c r="CV1263"/>
      <c r="CW1263"/>
      <c r="CX1263"/>
      <c r="CY1263"/>
    </row>
    <row r="1264" spans="2:103" s="60" customFormat="1" x14ac:dyDescent="0.5">
      <c r="B1264" s="87"/>
      <c r="C1264" s="106"/>
      <c r="D1264" s="91"/>
      <c r="E1264" s="91"/>
      <c r="F1264" s="91"/>
      <c r="G1264" s="91"/>
      <c r="H1264" s="69"/>
      <c r="I1264" s="69"/>
      <c r="CS1264"/>
      <c r="CT1264"/>
      <c r="CU1264"/>
      <c r="CV1264"/>
      <c r="CW1264"/>
      <c r="CX1264"/>
      <c r="CY1264"/>
    </row>
    <row r="1265" spans="2:103" s="60" customFormat="1" x14ac:dyDescent="0.5">
      <c r="B1265" s="87"/>
      <c r="C1265" s="106"/>
      <c r="D1265" s="91"/>
      <c r="E1265" s="91"/>
      <c r="F1265" s="91"/>
      <c r="G1265" s="91"/>
      <c r="H1265" s="69"/>
      <c r="I1265" s="69"/>
      <c r="CS1265"/>
      <c r="CT1265"/>
      <c r="CU1265"/>
      <c r="CV1265"/>
      <c r="CW1265"/>
      <c r="CX1265"/>
      <c r="CY1265"/>
    </row>
    <row r="1266" spans="2:103" s="60" customFormat="1" x14ac:dyDescent="0.5">
      <c r="B1266" s="87"/>
      <c r="C1266" s="106"/>
      <c r="D1266" s="91"/>
      <c r="E1266" s="91"/>
      <c r="F1266" s="91"/>
      <c r="G1266" s="91"/>
      <c r="H1266" s="69"/>
      <c r="I1266" s="69"/>
      <c r="CS1266"/>
      <c r="CT1266"/>
      <c r="CU1266"/>
      <c r="CV1266"/>
      <c r="CW1266"/>
      <c r="CX1266"/>
      <c r="CY1266"/>
    </row>
    <row r="1267" spans="2:103" s="60" customFormat="1" x14ac:dyDescent="0.5">
      <c r="B1267" s="87"/>
      <c r="C1267" s="106"/>
      <c r="D1267" s="91"/>
      <c r="E1267" s="91"/>
      <c r="F1267" s="91"/>
      <c r="G1267" s="91"/>
      <c r="H1267" s="69"/>
      <c r="I1267" s="69"/>
      <c r="CS1267"/>
      <c r="CT1267"/>
      <c r="CU1267"/>
      <c r="CV1267"/>
      <c r="CW1267"/>
      <c r="CX1267"/>
      <c r="CY1267"/>
    </row>
    <row r="1268" spans="2:103" s="60" customFormat="1" x14ac:dyDescent="0.5">
      <c r="B1268" s="87"/>
      <c r="C1268" s="106"/>
      <c r="D1268" s="91"/>
      <c r="E1268" s="91"/>
      <c r="F1268" s="91"/>
      <c r="G1268" s="91"/>
      <c r="H1268" s="69"/>
      <c r="I1268" s="69"/>
      <c r="CS1268"/>
      <c r="CT1268"/>
      <c r="CU1268"/>
      <c r="CV1268"/>
      <c r="CW1268"/>
      <c r="CX1268"/>
      <c r="CY1268"/>
    </row>
    <row r="1269" spans="2:103" s="60" customFormat="1" x14ac:dyDescent="0.5">
      <c r="B1269" s="87"/>
      <c r="C1269" s="106"/>
      <c r="D1269" s="91"/>
      <c r="E1269" s="91"/>
      <c r="F1269" s="91"/>
      <c r="G1269" s="91"/>
      <c r="H1269" s="69"/>
      <c r="I1269" s="69"/>
      <c r="CS1269"/>
      <c r="CT1269"/>
      <c r="CU1269"/>
      <c r="CV1269"/>
      <c r="CW1269"/>
      <c r="CX1269"/>
      <c r="CY1269"/>
    </row>
    <row r="1270" spans="2:103" s="60" customFormat="1" x14ac:dyDescent="0.5">
      <c r="B1270" s="87"/>
      <c r="C1270" s="106"/>
      <c r="D1270" s="91"/>
      <c r="E1270" s="91"/>
      <c r="F1270" s="91"/>
      <c r="G1270" s="91"/>
      <c r="H1270" s="69"/>
      <c r="I1270" s="69"/>
      <c r="CS1270"/>
      <c r="CT1270"/>
      <c r="CU1270"/>
      <c r="CV1270"/>
      <c r="CW1270"/>
      <c r="CX1270"/>
      <c r="CY1270"/>
    </row>
    <row r="1271" spans="2:103" s="60" customFormat="1" x14ac:dyDescent="0.5">
      <c r="B1271" s="87"/>
      <c r="C1271" s="106"/>
      <c r="D1271" s="91"/>
      <c r="E1271" s="91"/>
      <c r="F1271" s="91"/>
      <c r="G1271" s="91"/>
      <c r="H1271" s="69"/>
      <c r="I1271" s="69"/>
      <c r="CS1271"/>
      <c r="CT1271"/>
      <c r="CU1271"/>
      <c r="CV1271"/>
      <c r="CW1271"/>
      <c r="CX1271"/>
      <c r="CY1271"/>
    </row>
    <row r="1272" spans="2:103" s="60" customFormat="1" x14ac:dyDescent="0.5">
      <c r="B1272" s="87"/>
      <c r="C1272" s="106"/>
      <c r="D1272" s="91"/>
      <c r="E1272" s="91"/>
      <c r="F1272" s="91"/>
      <c r="G1272" s="91"/>
      <c r="H1272" s="69"/>
      <c r="I1272" s="69"/>
      <c r="CS1272"/>
      <c r="CT1272"/>
      <c r="CU1272"/>
      <c r="CV1272"/>
      <c r="CW1272"/>
      <c r="CX1272"/>
      <c r="CY1272"/>
    </row>
    <row r="1273" spans="2:103" s="60" customFormat="1" x14ac:dyDescent="0.5">
      <c r="B1273" s="87"/>
      <c r="C1273" s="106"/>
      <c r="D1273" s="91"/>
      <c r="E1273" s="91"/>
      <c r="F1273" s="91"/>
      <c r="G1273" s="91"/>
      <c r="H1273" s="69"/>
      <c r="I1273" s="69"/>
      <c r="CS1273"/>
      <c r="CT1273"/>
      <c r="CU1273"/>
      <c r="CV1273"/>
      <c r="CW1273"/>
      <c r="CX1273"/>
      <c r="CY1273"/>
    </row>
    <row r="1274" spans="2:103" s="60" customFormat="1" x14ac:dyDescent="0.5">
      <c r="B1274" s="87"/>
      <c r="C1274" s="106"/>
      <c r="D1274" s="91"/>
      <c r="E1274" s="91"/>
      <c r="F1274" s="91"/>
      <c r="G1274" s="91"/>
      <c r="H1274" s="69"/>
      <c r="I1274" s="69"/>
      <c r="CS1274"/>
      <c r="CT1274"/>
      <c r="CU1274"/>
      <c r="CV1274"/>
      <c r="CW1274"/>
      <c r="CX1274"/>
      <c r="CY1274"/>
    </row>
    <row r="1275" spans="2:103" s="60" customFormat="1" x14ac:dyDescent="0.5">
      <c r="B1275" s="87"/>
      <c r="C1275" s="106"/>
      <c r="D1275" s="91"/>
      <c r="E1275" s="91"/>
      <c r="F1275" s="91"/>
      <c r="G1275" s="91"/>
      <c r="H1275" s="69"/>
      <c r="I1275" s="69"/>
      <c r="CS1275"/>
      <c r="CT1275"/>
      <c r="CU1275"/>
      <c r="CV1275"/>
      <c r="CW1275"/>
      <c r="CX1275"/>
      <c r="CY1275"/>
    </row>
    <row r="1276" spans="2:103" s="60" customFormat="1" x14ac:dyDescent="0.5">
      <c r="B1276" s="87"/>
      <c r="C1276" s="106"/>
      <c r="D1276" s="91"/>
      <c r="E1276" s="91"/>
      <c r="F1276" s="91"/>
      <c r="G1276" s="91"/>
      <c r="H1276" s="69"/>
      <c r="I1276" s="69"/>
      <c r="CS1276"/>
      <c r="CT1276"/>
      <c r="CU1276"/>
      <c r="CV1276"/>
      <c r="CW1276"/>
      <c r="CX1276"/>
      <c r="CY1276"/>
    </row>
    <row r="1277" spans="2:103" s="60" customFormat="1" x14ac:dyDescent="0.5">
      <c r="B1277" s="87"/>
      <c r="C1277" s="106"/>
      <c r="D1277" s="91"/>
      <c r="E1277" s="91"/>
      <c r="F1277" s="91"/>
      <c r="G1277" s="91"/>
      <c r="H1277" s="69"/>
      <c r="I1277" s="69"/>
      <c r="CS1277"/>
      <c r="CT1277"/>
      <c r="CU1277"/>
      <c r="CV1277"/>
      <c r="CW1277"/>
      <c r="CX1277"/>
      <c r="CY1277"/>
    </row>
    <row r="1278" spans="2:103" s="60" customFormat="1" x14ac:dyDescent="0.5">
      <c r="B1278" s="87"/>
      <c r="C1278" s="106"/>
      <c r="D1278" s="91"/>
      <c r="E1278" s="91"/>
      <c r="F1278" s="91"/>
      <c r="G1278" s="91"/>
      <c r="H1278" s="69"/>
      <c r="I1278" s="69"/>
      <c r="CS1278"/>
      <c r="CT1278"/>
      <c r="CU1278"/>
      <c r="CV1278"/>
      <c r="CW1278"/>
      <c r="CX1278"/>
      <c r="CY1278"/>
    </row>
    <row r="1279" spans="2:103" s="60" customFormat="1" x14ac:dyDescent="0.5">
      <c r="B1279" s="87"/>
      <c r="C1279" s="106"/>
      <c r="D1279" s="91"/>
      <c r="E1279" s="91"/>
      <c r="F1279" s="91"/>
      <c r="G1279" s="91"/>
      <c r="H1279" s="69"/>
      <c r="I1279" s="69"/>
      <c r="CS1279"/>
      <c r="CT1279"/>
      <c r="CU1279"/>
      <c r="CV1279"/>
      <c r="CW1279"/>
      <c r="CX1279"/>
      <c r="CY1279"/>
    </row>
    <row r="1280" spans="2:103" s="60" customFormat="1" x14ac:dyDescent="0.5">
      <c r="B1280" s="87"/>
      <c r="C1280" s="106"/>
      <c r="D1280" s="91"/>
      <c r="E1280" s="91"/>
      <c r="F1280" s="91"/>
      <c r="G1280" s="91"/>
      <c r="H1280" s="69"/>
      <c r="I1280" s="69"/>
      <c r="CS1280"/>
      <c r="CT1280"/>
      <c r="CU1280"/>
      <c r="CV1280"/>
      <c r="CW1280"/>
      <c r="CX1280"/>
      <c r="CY1280"/>
    </row>
    <row r="1281" spans="2:103" s="60" customFormat="1" x14ac:dyDescent="0.5">
      <c r="B1281" s="87"/>
      <c r="C1281" s="106"/>
      <c r="D1281" s="91"/>
      <c r="E1281" s="91"/>
      <c r="F1281" s="91"/>
      <c r="G1281" s="91"/>
      <c r="H1281" s="69"/>
      <c r="I1281" s="69"/>
      <c r="CS1281"/>
      <c r="CT1281"/>
      <c r="CU1281"/>
      <c r="CV1281"/>
      <c r="CW1281"/>
      <c r="CX1281"/>
      <c r="CY1281"/>
    </row>
    <row r="1282" spans="2:103" s="60" customFormat="1" x14ac:dyDescent="0.5">
      <c r="B1282" s="87"/>
      <c r="C1282" s="106"/>
      <c r="D1282" s="91"/>
      <c r="E1282" s="91"/>
      <c r="F1282" s="91"/>
      <c r="G1282" s="91"/>
      <c r="H1282" s="69"/>
      <c r="I1282" s="69"/>
      <c r="CS1282"/>
      <c r="CT1282"/>
      <c r="CU1282"/>
      <c r="CV1282"/>
      <c r="CW1282"/>
      <c r="CX1282"/>
      <c r="CY1282"/>
    </row>
    <row r="1283" spans="2:103" s="60" customFormat="1" x14ac:dyDescent="0.5">
      <c r="B1283" s="87"/>
      <c r="C1283" s="106"/>
      <c r="D1283" s="91"/>
      <c r="E1283" s="91"/>
      <c r="F1283" s="91"/>
      <c r="G1283" s="91"/>
      <c r="H1283" s="69"/>
      <c r="I1283" s="69"/>
      <c r="CS1283"/>
      <c r="CT1283"/>
      <c r="CU1283"/>
      <c r="CV1283"/>
      <c r="CW1283"/>
      <c r="CX1283"/>
      <c r="CY1283"/>
    </row>
    <row r="1284" spans="2:103" s="60" customFormat="1" x14ac:dyDescent="0.5">
      <c r="B1284" s="87"/>
      <c r="C1284" s="106"/>
      <c r="D1284" s="91"/>
      <c r="E1284" s="91"/>
      <c r="F1284" s="91"/>
      <c r="G1284" s="91"/>
      <c r="H1284" s="69"/>
      <c r="I1284" s="69"/>
      <c r="CS1284"/>
      <c r="CT1284"/>
      <c r="CU1284"/>
      <c r="CV1284"/>
      <c r="CW1284"/>
      <c r="CX1284"/>
      <c r="CY1284"/>
    </row>
    <row r="1285" spans="2:103" s="60" customFormat="1" x14ac:dyDescent="0.5">
      <c r="B1285" s="87"/>
      <c r="C1285" s="106"/>
      <c r="D1285" s="91"/>
      <c r="E1285" s="91"/>
      <c r="F1285" s="91"/>
      <c r="G1285" s="91"/>
      <c r="H1285" s="69"/>
      <c r="I1285" s="69"/>
      <c r="CS1285"/>
      <c r="CT1285"/>
      <c r="CU1285"/>
      <c r="CV1285"/>
      <c r="CW1285"/>
      <c r="CX1285"/>
      <c r="CY1285"/>
    </row>
    <row r="1286" spans="2:103" s="60" customFormat="1" x14ac:dyDescent="0.5">
      <c r="B1286" s="87"/>
      <c r="C1286" s="106"/>
      <c r="D1286" s="91"/>
      <c r="E1286" s="91"/>
      <c r="F1286" s="91"/>
      <c r="G1286" s="91"/>
      <c r="H1286" s="69"/>
      <c r="I1286" s="69"/>
      <c r="CS1286"/>
      <c r="CT1286"/>
      <c r="CU1286"/>
      <c r="CV1286"/>
      <c r="CW1286"/>
      <c r="CX1286"/>
      <c r="CY1286"/>
    </row>
    <row r="1287" spans="2:103" s="60" customFormat="1" x14ac:dyDescent="0.5">
      <c r="B1287" s="87"/>
      <c r="C1287" s="106"/>
      <c r="D1287" s="91"/>
      <c r="E1287" s="91"/>
      <c r="F1287" s="91"/>
      <c r="G1287" s="91"/>
      <c r="H1287" s="69"/>
      <c r="I1287" s="69"/>
      <c r="CS1287"/>
      <c r="CT1287"/>
      <c r="CU1287"/>
      <c r="CV1287"/>
      <c r="CW1287"/>
      <c r="CX1287"/>
      <c r="CY1287"/>
    </row>
    <row r="1288" spans="2:103" s="60" customFormat="1" x14ac:dyDescent="0.5">
      <c r="B1288" s="87"/>
      <c r="C1288" s="106"/>
      <c r="D1288" s="91"/>
      <c r="E1288" s="91"/>
      <c r="F1288" s="91"/>
      <c r="G1288" s="91"/>
      <c r="H1288" s="69"/>
      <c r="I1288" s="69"/>
      <c r="CS1288"/>
      <c r="CT1288"/>
      <c r="CU1288"/>
      <c r="CV1288"/>
      <c r="CW1288"/>
      <c r="CX1288"/>
      <c r="CY1288"/>
    </row>
    <row r="1289" spans="2:103" s="60" customFormat="1" x14ac:dyDescent="0.5">
      <c r="B1289" s="87"/>
      <c r="C1289" s="106"/>
      <c r="D1289" s="91"/>
      <c r="E1289" s="91"/>
      <c r="F1289" s="91"/>
      <c r="G1289" s="91"/>
      <c r="H1289" s="69"/>
      <c r="I1289" s="69"/>
      <c r="CS1289"/>
      <c r="CT1289"/>
      <c r="CU1289"/>
      <c r="CV1289"/>
      <c r="CW1289"/>
      <c r="CX1289"/>
      <c r="CY1289"/>
    </row>
    <row r="1290" spans="2:103" s="60" customFormat="1" x14ac:dyDescent="0.5">
      <c r="B1290" s="87"/>
      <c r="C1290" s="106"/>
      <c r="D1290" s="91"/>
      <c r="E1290" s="91"/>
      <c r="F1290" s="91"/>
      <c r="G1290" s="91"/>
      <c r="H1290" s="69"/>
      <c r="I1290" s="69"/>
      <c r="CS1290"/>
      <c r="CT1290"/>
      <c r="CU1290"/>
      <c r="CV1290"/>
      <c r="CW1290"/>
      <c r="CX1290"/>
      <c r="CY1290"/>
    </row>
    <row r="1291" spans="2:103" s="60" customFormat="1" x14ac:dyDescent="0.5">
      <c r="B1291" s="87"/>
      <c r="C1291" s="106"/>
      <c r="D1291" s="91"/>
      <c r="E1291" s="91"/>
      <c r="F1291" s="91"/>
      <c r="G1291" s="91"/>
      <c r="H1291" s="69"/>
      <c r="I1291" s="69"/>
      <c r="CS1291"/>
      <c r="CT1291"/>
      <c r="CU1291"/>
      <c r="CV1291"/>
      <c r="CW1291"/>
      <c r="CX1291"/>
      <c r="CY1291"/>
    </row>
    <row r="1292" spans="2:103" s="60" customFormat="1" x14ac:dyDescent="0.5">
      <c r="B1292" s="87"/>
      <c r="C1292" s="106"/>
      <c r="D1292" s="91"/>
      <c r="E1292" s="91"/>
      <c r="F1292" s="91"/>
      <c r="G1292" s="91"/>
      <c r="H1292" s="69"/>
      <c r="I1292" s="69"/>
      <c r="CS1292"/>
      <c r="CT1292"/>
      <c r="CU1292"/>
      <c r="CV1292"/>
      <c r="CW1292"/>
      <c r="CX1292"/>
      <c r="CY1292"/>
    </row>
    <row r="1293" spans="2:103" s="60" customFormat="1" x14ac:dyDescent="0.5">
      <c r="B1293" s="87"/>
      <c r="C1293" s="106"/>
      <c r="D1293" s="91"/>
      <c r="E1293" s="91"/>
      <c r="F1293" s="91"/>
      <c r="G1293" s="91"/>
      <c r="H1293" s="69"/>
      <c r="I1293" s="69"/>
      <c r="CS1293"/>
      <c r="CT1293"/>
      <c r="CU1293"/>
      <c r="CV1293"/>
      <c r="CW1293"/>
      <c r="CX1293"/>
      <c r="CY1293"/>
    </row>
    <row r="1294" spans="2:103" s="60" customFormat="1" x14ac:dyDescent="0.5">
      <c r="B1294" s="87"/>
      <c r="C1294" s="106"/>
      <c r="D1294" s="91"/>
      <c r="E1294" s="91"/>
      <c r="F1294" s="91"/>
      <c r="G1294" s="91"/>
      <c r="H1294" s="69"/>
      <c r="I1294" s="69"/>
      <c r="CS1294"/>
      <c r="CT1294"/>
      <c r="CU1294"/>
      <c r="CV1294"/>
      <c r="CW1294"/>
      <c r="CX1294"/>
      <c r="CY1294"/>
    </row>
    <row r="1295" spans="2:103" s="60" customFormat="1" x14ac:dyDescent="0.5">
      <c r="B1295" s="87"/>
      <c r="C1295" s="106"/>
      <c r="D1295" s="91"/>
      <c r="E1295" s="91"/>
      <c r="F1295" s="91"/>
      <c r="G1295" s="91"/>
      <c r="H1295" s="69"/>
      <c r="I1295" s="69"/>
      <c r="CS1295"/>
      <c r="CT1295"/>
      <c r="CU1295"/>
      <c r="CV1295"/>
      <c r="CW1295"/>
      <c r="CX1295"/>
      <c r="CY1295"/>
    </row>
    <row r="1296" spans="2:103" s="60" customFormat="1" x14ac:dyDescent="0.5">
      <c r="B1296" s="87"/>
      <c r="C1296" s="106"/>
      <c r="D1296" s="91"/>
      <c r="E1296" s="91"/>
      <c r="F1296" s="91"/>
      <c r="G1296" s="91"/>
      <c r="H1296" s="69"/>
      <c r="I1296" s="69"/>
      <c r="CS1296"/>
      <c r="CT1296"/>
      <c r="CU1296"/>
      <c r="CV1296"/>
      <c r="CW1296"/>
      <c r="CX1296"/>
      <c r="CY1296"/>
    </row>
    <row r="1297" spans="2:103" s="60" customFormat="1" x14ac:dyDescent="0.5">
      <c r="B1297" s="87"/>
      <c r="C1297" s="106"/>
      <c r="D1297" s="91"/>
      <c r="E1297" s="91"/>
      <c r="F1297" s="91"/>
      <c r="G1297" s="91"/>
      <c r="H1297" s="69"/>
      <c r="I1297" s="69"/>
      <c r="CS1297"/>
      <c r="CT1297"/>
      <c r="CU1297"/>
      <c r="CV1297"/>
      <c r="CW1297"/>
      <c r="CX1297"/>
      <c r="CY1297"/>
    </row>
    <row r="1298" spans="2:103" s="60" customFormat="1" x14ac:dyDescent="0.5">
      <c r="B1298" s="87"/>
      <c r="C1298" s="106"/>
      <c r="D1298" s="91"/>
      <c r="E1298" s="91"/>
      <c r="F1298" s="91"/>
      <c r="G1298" s="91"/>
      <c r="H1298" s="69"/>
      <c r="I1298" s="69"/>
      <c r="CS1298"/>
      <c r="CT1298"/>
      <c r="CU1298"/>
      <c r="CV1298"/>
      <c r="CW1298"/>
      <c r="CX1298"/>
      <c r="CY1298"/>
    </row>
    <row r="1299" spans="2:103" s="60" customFormat="1" x14ac:dyDescent="0.5">
      <c r="B1299" s="87"/>
      <c r="C1299" s="106"/>
      <c r="D1299" s="91"/>
      <c r="E1299" s="91"/>
      <c r="F1299" s="91"/>
      <c r="G1299" s="91"/>
      <c r="H1299" s="69"/>
      <c r="I1299" s="69"/>
      <c r="CS1299"/>
      <c r="CT1299"/>
      <c r="CU1299"/>
      <c r="CV1299"/>
      <c r="CW1299"/>
      <c r="CX1299"/>
      <c r="CY1299"/>
    </row>
    <row r="1300" spans="2:103" s="60" customFormat="1" x14ac:dyDescent="0.5">
      <c r="B1300" s="87"/>
      <c r="C1300" s="106"/>
      <c r="D1300" s="91"/>
      <c r="E1300" s="91"/>
      <c r="F1300" s="91"/>
      <c r="G1300" s="91"/>
      <c r="H1300" s="69"/>
      <c r="I1300" s="69"/>
      <c r="CS1300"/>
      <c r="CT1300"/>
      <c r="CU1300"/>
      <c r="CV1300"/>
      <c r="CW1300"/>
      <c r="CX1300"/>
      <c r="CY1300"/>
    </row>
    <row r="1301" spans="2:103" s="60" customFormat="1" x14ac:dyDescent="0.5">
      <c r="B1301" s="87"/>
      <c r="C1301" s="106"/>
      <c r="D1301" s="91"/>
      <c r="E1301" s="91"/>
      <c r="F1301" s="91"/>
      <c r="G1301" s="91"/>
      <c r="H1301" s="69"/>
      <c r="I1301" s="69"/>
      <c r="CS1301"/>
      <c r="CT1301"/>
      <c r="CU1301"/>
      <c r="CV1301"/>
      <c r="CW1301"/>
      <c r="CX1301"/>
      <c r="CY1301"/>
    </row>
    <row r="1302" spans="2:103" s="60" customFormat="1" x14ac:dyDescent="0.5">
      <c r="B1302" s="87"/>
      <c r="C1302" s="106"/>
      <c r="D1302" s="91"/>
      <c r="E1302" s="91"/>
      <c r="F1302" s="91"/>
      <c r="G1302" s="91"/>
      <c r="H1302" s="69"/>
      <c r="I1302" s="69"/>
      <c r="CS1302"/>
      <c r="CT1302"/>
      <c r="CU1302"/>
      <c r="CV1302"/>
      <c r="CW1302"/>
      <c r="CX1302"/>
      <c r="CY1302"/>
    </row>
    <row r="1303" spans="2:103" s="60" customFormat="1" x14ac:dyDescent="0.5">
      <c r="B1303" s="87"/>
      <c r="C1303" s="106"/>
      <c r="D1303" s="91"/>
      <c r="E1303" s="91"/>
      <c r="F1303" s="91"/>
      <c r="G1303" s="91"/>
      <c r="H1303" s="69"/>
      <c r="I1303" s="69"/>
      <c r="CS1303"/>
      <c r="CT1303"/>
      <c r="CU1303"/>
      <c r="CV1303"/>
      <c r="CW1303"/>
      <c r="CX1303"/>
      <c r="CY1303"/>
    </row>
    <row r="1304" spans="2:103" s="60" customFormat="1" x14ac:dyDescent="0.5">
      <c r="B1304" s="87"/>
      <c r="C1304" s="106"/>
      <c r="D1304" s="91"/>
      <c r="E1304" s="91"/>
      <c r="F1304" s="91"/>
      <c r="G1304" s="91"/>
      <c r="H1304" s="69"/>
      <c r="I1304" s="69"/>
      <c r="CS1304"/>
      <c r="CT1304"/>
      <c r="CU1304"/>
      <c r="CV1304"/>
      <c r="CW1304"/>
      <c r="CX1304"/>
      <c r="CY1304"/>
    </row>
    <row r="1305" spans="2:103" s="60" customFormat="1" x14ac:dyDescent="0.5">
      <c r="B1305" s="87"/>
      <c r="C1305" s="106"/>
      <c r="D1305" s="91"/>
      <c r="E1305" s="91"/>
      <c r="F1305" s="91"/>
      <c r="G1305" s="91"/>
      <c r="H1305" s="69"/>
      <c r="I1305" s="69"/>
      <c r="CS1305"/>
      <c r="CT1305"/>
      <c r="CU1305"/>
      <c r="CV1305"/>
      <c r="CW1305"/>
      <c r="CX1305"/>
      <c r="CY1305"/>
    </row>
    <row r="1306" spans="2:103" s="60" customFormat="1" x14ac:dyDescent="0.5">
      <c r="B1306" s="87"/>
      <c r="C1306" s="106"/>
      <c r="D1306" s="91"/>
      <c r="E1306" s="91"/>
      <c r="F1306" s="91"/>
      <c r="G1306" s="91"/>
      <c r="H1306" s="69"/>
      <c r="I1306" s="69"/>
      <c r="CS1306"/>
      <c r="CT1306"/>
      <c r="CU1306"/>
      <c r="CV1306"/>
      <c r="CW1306"/>
      <c r="CX1306"/>
      <c r="CY1306"/>
    </row>
    <row r="1307" spans="2:103" s="60" customFormat="1" x14ac:dyDescent="0.5">
      <c r="B1307" s="87"/>
      <c r="C1307" s="106"/>
      <c r="D1307" s="91"/>
      <c r="E1307" s="91"/>
      <c r="F1307" s="91"/>
      <c r="G1307" s="91"/>
      <c r="H1307" s="69"/>
      <c r="I1307" s="69"/>
      <c r="CS1307"/>
      <c r="CT1307"/>
      <c r="CU1307"/>
      <c r="CV1307"/>
      <c r="CW1307"/>
      <c r="CX1307"/>
      <c r="CY1307"/>
    </row>
    <row r="1308" spans="2:103" s="60" customFormat="1" x14ac:dyDescent="0.5">
      <c r="B1308" s="87"/>
      <c r="C1308" s="106"/>
      <c r="D1308" s="91"/>
      <c r="E1308" s="91"/>
      <c r="F1308" s="91"/>
      <c r="G1308" s="91"/>
      <c r="H1308" s="69"/>
      <c r="I1308" s="69"/>
      <c r="CS1308"/>
      <c r="CT1308"/>
      <c r="CU1308"/>
      <c r="CV1308"/>
      <c r="CW1308"/>
      <c r="CX1308"/>
      <c r="CY1308"/>
    </row>
    <row r="1309" spans="2:103" s="60" customFormat="1" x14ac:dyDescent="0.5">
      <c r="B1309" s="87"/>
      <c r="C1309" s="106"/>
      <c r="D1309" s="91"/>
      <c r="E1309" s="91"/>
      <c r="F1309" s="91"/>
      <c r="G1309" s="91"/>
      <c r="H1309" s="69"/>
      <c r="I1309" s="69"/>
      <c r="CS1309"/>
      <c r="CT1309"/>
      <c r="CU1309"/>
      <c r="CV1309"/>
      <c r="CW1309"/>
      <c r="CX1309"/>
      <c r="CY1309"/>
    </row>
    <row r="1310" spans="2:103" s="60" customFormat="1" x14ac:dyDescent="0.5">
      <c r="B1310" s="87"/>
      <c r="C1310" s="106"/>
      <c r="D1310" s="91"/>
      <c r="E1310" s="91"/>
      <c r="F1310" s="91"/>
      <c r="G1310" s="91"/>
      <c r="H1310" s="69"/>
      <c r="I1310" s="69"/>
      <c r="CS1310"/>
      <c r="CT1310"/>
      <c r="CU1310"/>
      <c r="CV1310"/>
      <c r="CW1310"/>
      <c r="CX1310"/>
      <c r="CY1310"/>
    </row>
    <row r="1311" spans="2:103" s="60" customFormat="1" x14ac:dyDescent="0.5">
      <c r="B1311" s="87"/>
      <c r="C1311" s="106"/>
      <c r="D1311" s="91"/>
      <c r="E1311" s="91"/>
      <c r="F1311" s="91"/>
      <c r="G1311" s="91"/>
      <c r="H1311" s="69"/>
      <c r="I1311" s="69"/>
      <c r="CS1311"/>
      <c r="CT1311"/>
      <c r="CU1311"/>
      <c r="CV1311"/>
      <c r="CW1311"/>
      <c r="CX1311"/>
      <c r="CY1311"/>
    </row>
    <row r="1312" spans="2:103" s="60" customFormat="1" x14ac:dyDescent="0.5">
      <c r="B1312" s="87"/>
      <c r="C1312" s="106"/>
      <c r="D1312" s="91"/>
      <c r="E1312" s="91"/>
      <c r="F1312" s="91"/>
      <c r="G1312" s="91"/>
      <c r="H1312" s="69"/>
      <c r="I1312" s="69"/>
      <c r="CS1312"/>
      <c r="CT1312"/>
      <c r="CU1312"/>
      <c r="CV1312"/>
      <c r="CW1312"/>
      <c r="CX1312"/>
      <c r="CY1312"/>
    </row>
    <row r="1313" spans="2:103" s="60" customFormat="1" x14ac:dyDescent="0.5">
      <c r="B1313" s="87"/>
      <c r="C1313" s="106"/>
      <c r="D1313" s="91"/>
      <c r="E1313" s="91"/>
      <c r="F1313" s="91"/>
      <c r="G1313" s="91"/>
      <c r="H1313" s="69"/>
      <c r="I1313" s="69"/>
      <c r="CS1313"/>
      <c r="CT1313"/>
      <c r="CU1313"/>
      <c r="CV1313"/>
      <c r="CW1313"/>
      <c r="CX1313"/>
      <c r="CY1313"/>
    </row>
    <row r="1314" spans="2:103" s="60" customFormat="1" x14ac:dyDescent="0.5">
      <c r="B1314" s="87"/>
      <c r="C1314" s="106"/>
      <c r="D1314" s="91"/>
      <c r="E1314" s="91"/>
      <c r="F1314" s="91"/>
      <c r="G1314" s="91"/>
      <c r="H1314" s="69"/>
      <c r="I1314" s="69"/>
      <c r="CS1314"/>
      <c r="CT1314"/>
      <c r="CU1314"/>
      <c r="CV1314"/>
      <c r="CW1314"/>
      <c r="CX1314"/>
      <c r="CY1314"/>
    </row>
    <row r="1315" spans="2:103" s="60" customFormat="1" x14ac:dyDescent="0.5">
      <c r="B1315" s="87"/>
      <c r="C1315" s="106"/>
      <c r="D1315" s="91"/>
      <c r="E1315" s="91"/>
      <c r="F1315" s="91"/>
      <c r="G1315" s="91"/>
      <c r="H1315" s="69"/>
      <c r="I1315" s="69"/>
      <c r="CS1315"/>
      <c r="CT1315"/>
      <c r="CU1315"/>
      <c r="CV1315"/>
      <c r="CW1315"/>
      <c r="CX1315"/>
      <c r="CY1315"/>
    </row>
    <row r="1316" spans="2:103" s="60" customFormat="1" x14ac:dyDescent="0.5">
      <c r="B1316" s="87"/>
      <c r="C1316" s="106"/>
      <c r="D1316" s="91"/>
      <c r="E1316" s="91"/>
      <c r="F1316" s="91"/>
      <c r="G1316" s="91"/>
      <c r="H1316" s="69"/>
      <c r="I1316" s="69"/>
      <c r="CS1316"/>
      <c r="CT1316"/>
      <c r="CU1316"/>
      <c r="CV1316"/>
      <c r="CW1316"/>
      <c r="CX1316"/>
      <c r="CY1316"/>
    </row>
    <row r="1317" spans="2:103" s="60" customFormat="1" x14ac:dyDescent="0.5">
      <c r="B1317" s="87"/>
      <c r="C1317" s="106"/>
      <c r="D1317" s="91"/>
      <c r="E1317" s="91"/>
      <c r="F1317" s="91"/>
      <c r="G1317" s="91"/>
      <c r="H1317" s="69"/>
      <c r="I1317" s="69"/>
      <c r="CS1317"/>
      <c r="CT1317"/>
      <c r="CU1317"/>
      <c r="CV1317"/>
      <c r="CW1317"/>
      <c r="CX1317"/>
      <c r="CY1317"/>
    </row>
    <row r="1318" spans="2:103" s="60" customFormat="1" x14ac:dyDescent="0.5">
      <c r="B1318" s="87"/>
      <c r="C1318" s="106"/>
      <c r="D1318" s="91"/>
      <c r="E1318" s="91"/>
      <c r="F1318" s="91"/>
      <c r="G1318" s="91"/>
      <c r="H1318" s="69"/>
      <c r="I1318" s="69"/>
      <c r="CS1318"/>
      <c r="CT1318"/>
      <c r="CU1318"/>
      <c r="CV1318"/>
      <c r="CW1318"/>
      <c r="CX1318"/>
      <c r="CY1318"/>
    </row>
    <row r="1319" spans="2:103" s="60" customFormat="1" x14ac:dyDescent="0.5">
      <c r="B1319" s="87"/>
      <c r="C1319" s="106"/>
      <c r="D1319" s="91"/>
      <c r="E1319" s="91"/>
      <c r="F1319" s="91"/>
      <c r="G1319" s="91"/>
      <c r="H1319" s="69"/>
      <c r="I1319" s="69"/>
      <c r="CS1319"/>
      <c r="CT1319"/>
      <c r="CU1319"/>
      <c r="CV1319"/>
      <c r="CW1319"/>
      <c r="CX1319"/>
      <c r="CY1319"/>
    </row>
    <row r="1320" spans="2:103" s="60" customFormat="1" x14ac:dyDescent="0.5">
      <c r="B1320" s="87"/>
      <c r="C1320" s="106"/>
      <c r="D1320" s="91"/>
      <c r="E1320" s="91"/>
      <c r="F1320" s="91"/>
      <c r="G1320" s="91"/>
      <c r="H1320" s="69"/>
      <c r="I1320" s="69"/>
      <c r="CS1320"/>
      <c r="CT1320"/>
      <c r="CU1320"/>
      <c r="CV1320"/>
      <c r="CW1320"/>
      <c r="CX1320"/>
      <c r="CY1320"/>
    </row>
    <row r="1321" spans="2:103" s="60" customFormat="1" x14ac:dyDescent="0.5">
      <c r="B1321" s="87"/>
      <c r="C1321" s="106"/>
      <c r="D1321" s="91"/>
      <c r="E1321" s="91"/>
      <c r="F1321" s="91"/>
      <c r="G1321" s="91"/>
      <c r="H1321" s="69"/>
      <c r="I1321" s="69"/>
      <c r="CS1321"/>
      <c r="CT1321"/>
      <c r="CU1321"/>
      <c r="CV1321"/>
      <c r="CW1321"/>
      <c r="CX1321"/>
      <c r="CY1321"/>
    </row>
    <row r="1322" spans="2:103" s="60" customFormat="1" x14ac:dyDescent="0.5">
      <c r="B1322" s="87"/>
      <c r="C1322" s="106"/>
      <c r="D1322" s="91"/>
      <c r="E1322" s="91"/>
      <c r="F1322" s="91"/>
      <c r="G1322" s="91"/>
      <c r="H1322" s="69"/>
      <c r="I1322" s="69"/>
      <c r="CS1322"/>
      <c r="CT1322"/>
      <c r="CU1322"/>
      <c r="CV1322"/>
      <c r="CW1322"/>
      <c r="CX1322"/>
      <c r="CY1322"/>
    </row>
    <row r="1323" spans="2:103" s="60" customFormat="1" x14ac:dyDescent="0.5">
      <c r="B1323" s="87"/>
      <c r="C1323" s="106"/>
      <c r="D1323" s="91"/>
      <c r="E1323" s="91"/>
      <c r="F1323" s="91"/>
      <c r="G1323" s="91"/>
      <c r="H1323" s="69"/>
      <c r="I1323" s="69"/>
      <c r="CS1323"/>
      <c r="CT1323"/>
      <c r="CU1323"/>
      <c r="CV1323"/>
      <c r="CW1323"/>
      <c r="CX1323"/>
      <c r="CY1323"/>
    </row>
    <row r="1324" spans="2:103" s="60" customFormat="1" x14ac:dyDescent="0.5">
      <c r="B1324" s="87"/>
      <c r="C1324" s="106"/>
      <c r="D1324" s="91"/>
      <c r="E1324" s="91"/>
      <c r="F1324" s="91"/>
      <c r="G1324" s="91"/>
      <c r="H1324" s="69"/>
      <c r="I1324" s="69"/>
      <c r="CS1324"/>
      <c r="CT1324"/>
      <c r="CU1324"/>
      <c r="CV1324"/>
      <c r="CW1324"/>
      <c r="CX1324"/>
      <c r="CY1324"/>
    </row>
    <row r="1325" spans="2:103" s="60" customFormat="1" x14ac:dyDescent="0.5">
      <c r="B1325" s="87"/>
      <c r="C1325" s="106"/>
      <c r="D1325" s="91"/>
      <c r="E1325" s="91"/>
      <c r="F1325" s="91"/>
      <c r="G1325" s="91"/>
      <c r="H1325" s="69"/>
      <c r="I1325" s="69"/>
      <c r="CS1325"/>
      <c r="CT1325"/>
      <c r="CU1325"/>
      <c r="CV1325"/>
      <c r="CW1325"/>
      <c r="CX1325"/>
      <c r="CY1325"/>
    </row>
    <row r="1326" spans="2:103" s="60" customFormat="1" x14ac:dyDescent="0.5">
      <c r="B1326" s="87"/>
      <c r="C1326" s="106"/>
      <c r="D1326" s="91"/>
      <c r="E1326" s="91"/>
      <c r="F1326" s="91"/>
      <c r="G1326" s="91"/>
      <c r="H1326" s="69"/>
      <c r="I1326" s="69"/>
      <c r="CS1326"/>
      <c r="CT1326"/>
      <c r="CU1326"/>
      <c r="CV1326"/>
      <c r="CW1326"/>
      <c r="CX1326"/>
      <c r="CY1326"/>
    </row>
    <row r="1327" spans="2:103" s="60" customFormat="1" x14ac:dyDescent="0.5">
      <c r="B1327" s="87"/>
      <c r="C1327" s="106"/>
      <c r="D1327" s="91"/>
      <c r="E1327" s="91"/>
      <c r="F1327" s="91"/>
      <c r="G1327" s="91"/>
      <c r="H1327" s="69"/>
      <c r="I1327" s="69"/>
      <c r="CS1327"/>
      <c r="CT1327"/>
      <c r="CU1327"/>
      <c r="CV1327"/>
      <c r="CW1327"/>
      <c r="CX1327"/>
      <c r="CY1327"/>
    </row>
    <row r="1328" spans="2:103" s="60" customFormat="1" x14ac:dyDescent="0.5">
      <c r="B1328" s="87"/>
      <c r="C1328" s="106"/>
      <c r="D1328" s="91"/>
      <c r="E1328" s="91"/>
      <c r="F1328" s="91"/>
      <c r="G1328" s="91"/>
      <c r="H1328" s="69"/>
      <c r="I1328" s="69"/>
      <c r="CS1328"/>
      <c r="CT1328"/>
      <c r="CU1328"/>
      <c r="CV1328"/>
      <c r="CW1328"/>
      <c r="CX1328"/>
      <c r="CY1328"/>
    </row>
    <row r="1329" spans="2:103" s="60" customFormat="1" x14ac:dyDescent="0.5">
      <c r="B1329" s="87"/>
      <c r="C1329" s="106"/>
      <c r="D1329" s="91"/>
      <c r="E1329" s="91"/>
      <c r="F1329" s="91"/>
      <c r="G1329" s="91"/>
      <c r="H1329" s="69"/>
      <c r="I1329" s="69"/>
      <c r="CS1329"/>
      <c r="CT1329"/>
      <c r="CU1329"/>
      <c r="CV1329"/>
      <c r="CW1329"/>
      <c r="CX1329"/>
      <c r="CY1329"/>
    </row>
    <row r="1330" spans="2:103" s="60" customFormat="1" x14ac:dyDescent="0.5">
      <c r="B1330" s="87"/>
      <c r="C1330" s="106"/>
      <c r="D1330" s="91"/>
      <c r="E1330" s="91"/>
      <c r="F1330" s="91"/>
      <c r="G1330" s="91"/>
      <c r="H1330" s="69"/>
      <c r="I1330" s="69"/>
      <c r="CS1330"/>
      <c r="CT1330"/>
      <c r="CU1330"/>
      <c r="CV1330"/>
      <c r="CW1330"/>
      <c r="CX1330"/>
      <c r="CY1330"/>
    </row>
    <row r="1331" spans="2:103" s="60" customFormat="1" x14ac:dyDescent="0.5">
      <c r="B1331" s="87"/>
      <c r="C1331" s="106"/>
      <c r="D1331" s="91"/>
      <c r="E1331" s="91"/>
      <c r="F1331" s="91"/>
      <c r="G1331" s="91"/>
      <c r="H1331" s="69"/>
      <c r="I1331" s="69"/>
      <c r="CS1331"/>
      <c r="CT1331"/>
      <c r="CU1331"/>
      <c r="CV1331"/>
      <c r="CW1331"/>
      <c r="CX1331"/>
      <c r="CY1331"/>
    </row>
    <row r="1332" spans="2:103" s="60" customFormat="1" x14ac:dyDescent="0.5">
      <c r="B1332" s="87"/>
      <c r="C1332" s="106"/>
      <c r="D1332" s="91"/>
      <c r="E1332" s="91"/>
      <c r="F1332" s="91"/>
      <c r="G1332" s="91"/>
      <c r="H1332" s="69"/>
      <c r="I1332" s="69"/>
      <c r="CS1332"/>
      <c r="CT1332"/>
      <c r="CU1332"/>
      <c r="CV1332"/>
      <c r="CW1332"/>
      <c r="CX1332"/>
      <c r="CY1332"/>
    </row>
    <row r="1333" spans="2:103" s="60" customFormat="1" x14ac:dyDescent="0.5">
      <c r="B1333" s="87"/>
      <c r="C1333" s="106"/>
      <c r="D1333" s="91"/>
      <c r="E1333" s="91"/>
      <c r="F1333" s="91"/>
      <c r="G1333" s="91"/>
      <c r="H1333" s="69"/>
      <c r="I1333" s="69"/>
      <c r="CS1333"/>
      <c r="CT1333"/>
      <c r="CU1333"/>
      <c r="CV1333"/>
      <c r="CW1333"/>
      <c r="CX1333"/>
      <c r="CY1333"/>
    </row>
    <row r="1334" spans="2:103" s="60" customFormat="1" x14ac:dyDescent="0.5">
      <c r="B1334" s="87"/>
      <c r="C1334" s="106"/>
      <c r="D1334" s="91"/>
      <c r="E1334" s="91"/>
      <c r="F1334" s="91"/>
      <c r="G1334" s="91"/>
      <c r="H1334" s="69"/>
      <c r="I1334" s="69"/>
      <c r="CS1334"/>
      <c r="CT1334"/>
      <c r="CU1334"/>
      <c r="CV1334"/>
      <c r="CW1334"/>
      <c r="CX1334"/>
      <c r="CY1334"/>
    </row>
    <row r="1335" spans="2:103" s="60" customFormat="1" x14ac:dyDescent="0.5">
      <c r="B1335" s="87"/>
      <c r="C1335" s="106"/>
      <c r="D1335" s="91"/>
      <c r="E1335" s="91"/>
      <c r="F1335" s="91"/>
      <c r="G1335" s="91"/>
      <c r="H1335" s="69"/>
      <c r="I1335" s="69"/>
      <c r="CS1335"/>
      <c r="CT1335"/>
      <c r="CU1335"/>
      <c r="CV1335"/>
      <c r="CW1335"/>
      <c r="CX1335"/>
      <c r="CY1335"/>
    </row>
    <row r="1336" spans="2:103" s="60" customFormat="1" x14ac:dyDescent="0.5">
      <c r="B1336" s="87"/>
      <c r="C1336" s="106"/>
      <c r="D1336" s="91"/>
      <c r="E1336" s="91"/>
      <c r="F1336" s="91"/>
      <c r="G1336" s="91"/>
      <c r="H1336" s="69"/>
      <c r="I1336" s="69"/>
      <c r="CS1336"/>
      <c r="CT1336"/>
      <c r="CU1336"/>
      <c r="CV1336"/>
      <c r="CW1336"/>
      <c r="CX1336"/>
      <c r="CY1336"/>
    </row>
    <row r="1337" spans="2:103" s="60" customFormat="1" x14ac:dyDescent="0.5">
      <c r="B1337" s="87"/>
      <c r="C1337" s="106"/>
      <c r="D1337" s="91"/>
      <c r="E1337" s="91"/>
      <c r="F1337" s="91"/>
      <c r="G1337" s="91"/>
      <c r="H1337" s="69"/>
      <c r="I1337" s="69"/>
      <c r="CS1337"/>
      <c r="CT1337"/>
      <c r="CU1337"/>
      <c r="CV1337"/>
      <c r="CW1337"/>
      <c r="CX1337"/>
      <c r="CY1337"/>
    </row>
    <row r="1338" spans="2:103" s="60" customFormat="1" x14ac:dyDescent="0.5">
      <c r="B1338" s="87"/>
      <c r="C1338" s="106"/>
      <c r="D1338" s="91"/>
      <c r="E1338" s="91"/>
      <c r="F1338" s="91"/>
      <c r="G1338" s="91"/>
      <c r="H1338" s="69"/>
      <c r="I1338" s="69"/>
      <c r="CS1338"/>
      <c r="CT1338"/>
      <c r="CU1338"/>
      <c r="CV1338"/>
      <c r="CW1338"/>
      <c r="CX1338"/>
      <c r="CY1338"/>
    </row>
    <row r="1339" spans="2:103" s="60" customFormat="1" x14ac:dyDescent="0.5">
      <c r="B1339" s="87"/>
      <c r="C1339" s="106"/>
      <c r="D1339" s="91"/>
      <c r="E1339" s="91"/>
      <c r="F1339" s="91"/>
      <c r="G1339" s="91"/>
      <c r="H1339" s="69"/>
      <c r="I1339" s="69"/>
      <c r="CS1339"/>
      <c r="CT1339"/>
      <c r="CU1339"/>
      <c r="CV1339"/>
      <c r="CW1339"/>
      <c r="CX1339"/>
      <c r="CY1339"/>
    </row>
    <row r="1340" spans="2:103" s="60" customFormat="1" x14ac:dyDescent="0.5">
      <c r="B1340" s="87"/>
      <c r="C1340" s="106"/>
      <c r="D1340" s="91"/>
      <c r="E1340" s="91"/>
      <c r="F1340" s="91"/>
      <c r="G1340" s="91"/>
      <c r="H1340" s="69"/>
      <c r="I1340" s="69"/>
      <c r="CS1340"/>
      <c r="CT1340"/>
      <c r="CU1340"/>
      <c r="CV1340"/>
      <c r="CW1340"/>
      <c r="CX1340"/>
      <c r="CY1340"/>
    </row>
    <row r="1341" spans="2:103" s="60" customFormat="1" x14ac:dyDescent="0.5">
      <c r="B1341" s="87"/>
      <c r="C1341" s="106"/>
      <c r="D1341" s="91"/>
      <c r="E1341" s="91"/>
      <c r="F1341" s="91"/>
      <c r="G1341" s="91"/>
      <c r="H1341" s="69"/>
      <c r="I1341" s="69"/>
      <c r="CS1341"/>
      <c r="CT1341"/>
      <c r="CU1341"/>
      <c r="CV1341"/>
      <c r="CW1341"/>
      <c r="CX1341"/>
      <c r="CY1341"/>
    </row>
    <row r="1342" spans="2:103" s="60" customFormat="1" x14ac:dyDescent="0.5">
      <c r="B1342" s="87"/>
      <c r="C1342" s="106"/>
      <c r="D1342" s="91"/>
      <c r="E1342" s="91"/>
      <c r="F1342" s="91"/>
      <c r="G1342" s="91"/>
      <c r="H1342" s="69"/>
      <c r="I1342" s="69"/>
      <c r="CS1342"/>
      <c r="CT1342"/>
      <c r="CU1342"/>
      <c r="CV1342"/>
      <c r="CW1342"/>
      <c r="CX1342"/>
      <c r="CY1342"/>
    </row>
    <row r="1343" spans="2:103" s="60" customFormat="1" x14ac:dyDescent="0.5">
      <c r="B1343" s="87"/>
      <c r="C1343" s="106"/>
      <c r="D1343" s="91"/>
      <c r="E1343" s="91"/>
      <c r="F1343" s="91"/>
      <c r="G1343" s="91"/>
      <c r="H1343" s="69"/>
      <c r="I1343" s="69"/>
      <c r="CS1343"/>
      <c r="CT1343"/>
      <c r="CU1343"/>
      <c r="CV1343"/>
      <c r="CW1343"/>
      <c r="CX1343"/>
      <c r="CY1343"/>
    </row>
    <row r="1344" spans="2:103" s="60" customFormat="1" x14ac:dyDescent="0.5">
      <c r="B1344" s="87"/>
      <c r="C1344" s="106"/>
      <c r="D1344" s="91"/>
      <c r="E1344" s="91"/>
      <c r="F1344" s="91"/>
      <c r="G1344" s="91"/>
      <c r="H1344" s="69"/>
      <c r="I1344" s="69"/>
      <c r="CS1344"/>
      <c r="CT1344"/>
      <c r="CU1344"/>
      <c r="CV1344"/>
      <c r="CW1344"/>
      <c r="CX1344"/>
      <c r="CY1344"/>
    </row>
    <row r="1345" spans="2:103" s="60" customFormat="1" x14ac:dyDescent="0.5">
      <c r="B1345" s="87"/>
      <c r="C1345" s="106"/>
      <c r="D1345" s="91"/>
      <c r="E1345" s="91"/>
      <c r="F1345" s="91"/>
      <c r="G1345" s="91"/>
      <c r="H1345" s="69"/>
      <c r="I1345" s="69"/>
      <c r="CS1345"/>
      <c r="CT1345"/>
      <c r="CU1345"/>
      <c r="CV1345"/>
      <c r="CW1345"/>
      <c r="CX1345"/>
      <c r="CY1345"/>
    </row>
    <row r="1346" spans="2:103" s="60" customFormat="1" x14ac:dyDescent="0.5">
      <c r="B1346" s="87"/>
      <c r="C1346" s="106"/>
      <c r="D1346" s="91"/>
      <c r="E1346" s="91"/>
      <c r="F1346" s="91"/>
      <c r="G1346" s="91"/>
      <c r="H1346" s="69"/>
      <c r="I1346" s="69"/>
      <c r="CS1346"/>
      <c r="CT1346"/>
      <c r="CU1346"/>
      <c r="CV1346"/>
      <c r="CW1346"/>
      <c r="CX1346"/>
      <c r="CY1346"/>
    </row>
    <row r="1347" spans="2:103" s="60" customFormat="1" x14ac:dyDescent="0.5">
      <c r="B1347" s="87"/>
      <c r="C1347" s="106"/>
      <c r="D1347" s="91"/>
      <c r="E1347" s="91"/>
      <c r="F1347" s="91"/>
      <c r="G1347" s="91"/>
      <c r="H1347" s="69"/>
      <c r="I1347" s="69"/>
      <c r="CS1347"/>
      <c r="CT1347"/>
      <c r="CU1347"/>
      <c r="CV1347"/>
      <c r="CW1347"/>
      <c r="CX1347"/>
      <c r="CY1347"/>
    </row>
    <row r="1348" spans="2:103" s="60" customFormat="1" x14ac:dyDescent="0.5">
      <c r="B1348" s="87"/>
      <c r="C1348" s="106"/>
      <c r="D1348" s="91"/>
      <c r="E1348" s="91"/>
      <c r="F1348" s="91"/>
      <c r="G1348" s="91"/>
      <c r="H1348" s="69"/>
      <c r="I1348" s="69"/>
      <c r="CS1348"/>
      <c r="CT1348"/>
      <c r="CU1348"/>
      <c r="CV1348"/>
      <c r="CW1348"/>
      <c r="CX1348"/>
      <c r="CY1348"/>
    </row>
    <row r="1349" spans="2:103" s="60" customFormat="1" x14ac:dyDescent="0.5">
      <c r="B1349" s="87"/>
      <c r="C1349" s="106"/>
      <c r="D1349" s="91"/>
      <c r="E1349" s="91"/>
      <c r="F1349" s="91"/>
      <c r="G1349" s="91"/>
      <c r="H1349" s="69"/>
      <c r="I1349" s="69"/>
      <c r="CS1349"/>
      <c r="CT1349"/>
      <c r="CU1349"/>
      <c r="CV1349"/>
      <c r="CW1349"/>
      <c r="CX1349"/>
      <c r="CY1349"/>
    </row>
    <row r="1350" spans="2:103" s="60" customFormat="1" x14ac:dyDescent="0.5">
      <c r="B1350" s="87"/>
      <c r="C1350" s="106"/>
      <c r="D1350" s="91"/>
      <c r="E1350" s="91"/>
      <c r="F1350" s="91"/>
      <c r="G1350" s="91"/>
      <c r="H1350" s="69"/>
      <c r="I1350" s="69"/>
      <c r="CS1350"/>
      <c r="CT1350"/>
      <c r="CU1350"/>
      <c r="CV1350"/>
      <c r="CW1350"/>
      <c r="CX1350"/>
      <c r="CY1350"/>
    </row>
    <row r="1351" spans="2:103" s="60" customFormat="1" x14ac:dyDescent="0.5">
      <c r="B1351" s="87"/>
      <c r="C1351" s="106"/>
      <c r="D1351" s="91"/>
      <c r="E1351" s="91"/>
      <c r="F1351" s="91"/>
      <c r="G1351" s="91"/>
      <c r="H1351" s="69"/>
      <c r="I1351" s="69"/>
      <c r="CS1351"/>
      <c r="CT1351"/>
      <c r="CU1351"/>
      <c r="CV1351"/>
      <c r="CW1351"/>
      <c r="CX1351"/>
      <c r="CY1351"/>
    </row>
    <row r="1352" spans="2:103" s="60" customFormat="1" x14ac:dyDescent="0.5">
      <c r="B1352" s="87"/>
      <c r="C1352" s="106"/>
      <c r="D1352" s="91"/>
      <c r="E1352" s="91"/>
      <c r="F1352" s="91"/>
      <c r="G1352" s="91"/>
      <c r="H1352" s="69"/>
      <c r="I1352" s="69"/>
      <c r="CS1352"/>
      <c r="CT1352"/>
      <c r="CU1352"/>
      <c r="CV1352"/>
      <c r="CW1352"/>
      <c r="CX1352"/>
      <c r="CY1352"/>
    </row>
    <row r="1353" spans="2:103" s="60" customFormat="1" x14ac:dyDescent="0.5">
      <c r="B1353" s="87"/>
      <c r="C1353" s="106"/>
      <c r="D1353" s="91"/>
      <c r="E1353" s="91"/>
      <c r="F1353" s="91"/>
      <c r="G1353" s="91"/>
      <c r="H1353" s="69"/>
      <c r="I1353" s="69"/>
      <c r="CS1353"/>
      <c r="CT1353"/>
      <c r="CU1353"/>
      <c r="CV1353"/>
      <c r="CW1353"/>
      <c r="CX1353"/>
      <c r="CY1353"/>
    </row>
    <row r="1354" spans="2:103" s="60" customFormat="1" x14ac:dyDescent="0.5">
      <c r="B1354" s="87"/>
      <c r="C1354" s="106"/>
      <c r="D1354" s="91"/>
      <c r="E1354" s="91"/>
      <c r="F1354" s="91"/>
      <c r="G1354" s="91"/>
      <c r="H1354" s="69"/>
      <c r="I1354" s="69"/>
      <c r="CS1354"/>
      <c r="CT1354"/>
      <c r="CU1354"/>
      <c r="CV1354"/>
      <c r="CW1354"/>
      <c r="CX1354"/>
      <c r="CY1354"/>
    </row>
    <row r="1355" spans="2:103" s="60" customFormat="1" x14ac:dyDescent="0.5">
      <c r="B1355" s="87"/>
      <c r="C1355" s="106"/>
      <c r="D1355" s="91"/>
      <c r="E1355" s="91"/>
      <c r="F1355" s="91"/>
      <c r="G1355" s="91"/>
      <c r="H1355" s="69"/>
      <c r="I1355" s="69"/>
      <c r="CS1355"/>
      <c r="CT1355"/>
      <c r="CU1355"/>
      <c r="CV1355"/>
      <c r="CW1355"/>
      <c r="CX1355"/>
      <c r="CY1355"/>
    </row>
    <row r="1356" spans="2:103" s="60" customFormat="1" x14ac:dyDescent="0.5">
      <c r="B1356" s="87"/>
      <c r="C1356" s="106"/>
      <c r="D1356" s="91"/>
      <c r="E1356" s="91"/>
      <c r="F1356" s="91"/>
      <c r="G1356" s="91"/>
      <c r="H1356" s="69"/>
      <c r="I1356" s="69"/>
      <c r="CS1356"/>
      <c r="CT1356"/>
      <c r="CU1356"/>
      <c r="CV1356"/>
      <c r="CW1356"/>
      <c r="CX1356"/>
      <c r="CY1356"/>
    </row>
    <row r="1357" spans="2:103" s="60" customFormat="1" x14ac:dyDescent="0.5">
      <c r="B1357" s="87"/>
      <c r="C1357" s="106"/>
      <c r="D1357" s="91"/>
      <c r="E1357" s="91"/>
      <c r="F1357" s="91"/>
      <c r="G1357" s="91"/>
      <c r="H1357" s="69"/>
      <c r="I1357" s="69"/>
      <c r="CS1357"/>
      <c r="CT1357"/>
      <c r="CU1357"/>
      <c r="CV1357"/>
      <c r="CW1357"/>
      <c r="CX1357"/>
      <c r="CY1357"/>
    </row>
    <row r="1358" spans="2:103" s="60" customFormat="1" x14ac:dyDescent="0.5">
      <c r="B1358" s="87"/>
      <c r="C1358" s="106"/>
      <c r="D1358" s="91"/>
      <c r="E1358" s="91"/>
      <c r="F1358" s="91"/>
      <c r="G1358" s="91"/>
      <c r="H1358" s="69"/>
      <c r="I1358" s="69"/>
      <c r="CS1358"/>
      <c r="CT1358"/>
      <c r="CU1358"/>
      <c r="CV1358"/>
      <c r="CW1358"/>
      <c r="CX1358"/>
      <c r="CY1358"/>
    </row>
    <row r="1359" spans="2:103" s="60" customFormat="1" x14ac:dyDescent="0.5">
      <c r="B1359" s="87"/>
      <c r="C1359" s="106"/>
      <c r="D1359" s="91"/>
      <c r="E1359" s="91"/>
      <c r="F1359" s="91"/>
      <c r="G1359" s="91"/>
      <c r="H1359" s="69"/>
      <c r="I1359" s="69"/>
      <c r="CS1359"/>
      <c r="CT1359"/>
      <c r="CU1359"/>
      <c r="CV1359"/>
      <c r="CW1359"/>
      <c r="CX1359"/>
      <c r="CY1359"/>
    </row>
    <row r="1360" spans="2:103" s="60" customFormat="1" x14ac:dyDescent="0.5">
      <c r="B1360" s="87"/>
      <c r="C1360" s="106"/>
      <c r="D1360" s="91"/>
      <c r="E1360" s="91"/>
      <c r="F1360" s="91"/>
      <c r="G1360" s="91"/>
      <c r="H1360" s="69"/>
      <c r="I1360" s="69"/>
      <c r="CS1360"/>
      <c r="CT1360"/>
      <c r="CU1360"/>
      <c r="CV1360"/>
      <c r="CW1360"/>
      <c r="CX1360"/>
      <c r="CY1360"/>
    </row>
    <row r="1361" spans="2:103" s="60" customFormat="1" x14ac:dyDescent="0.5">
      <c r="B1361" s="87"/>
      <c r="C1361" s="106"/>
      <c r="D1361" s="91"/>
      <c r="E1361" s="91"/>
      <c r="F1361" s="91"/>
      <c r="G1361" s="91"/>
      <c r="H1361" s="69"/>
      <c r="I1361" s="69"/>
      <c r="CS1361"/>
      <c r="CT1361"/>
      <c r="CU1361"/>
      <c r="CV1361"/>
      <c r="CW1361"/>
      <c r="CX1361"/>
      <c r="CY1361"/>
    </row>
    <row r="1362" spans="2:103" s="60" customFormat="1" x14ac:dyDescent="0.5">
      <c r="B1362" s="87"/>
      <c r="C1362" s="106"/>
      <c r="D1362" s="91"/>
      <c r="E1362" s="91"/>
      <c r="F1362" s="91"/>
      <c r="G1362" s="91"/>
      <c r="H1362" s="69"/>
      <c r="I1362" s="69"/>
      <c r="CS1362"/>
      <c r="CT1362"/>
      <c r="CU1362"/>
      <c r="CV1362"/>
      <c r="CW1362"/>
      <c r="CX1362"/>
      <c r="CY1362"/>
    </row>
    <row r="1363" spans="2:103" s="60" customFormat="1" x14ac:dyDescent="0.5">
      <c r="B1363" s="87"/>
      <c r="C1363" s="106"/>
      <c r="D1363" s="91"/>
      <c r="E1363" s="91"/>
      <c r="F1363" s="91"/>
      <c r="G1363" s="91"/>
      <c r="H1363" s="69"/>
      <c r="I1363" s="69"/>
      <c r="CS1363"/>
      <c r="CT1363"/>
      <c r="CU1363"/>
      <c r="CV1363"/>
      <c r="CW1363"/>
      <c r="CX1363"/>
      <c r="CY1363"/>
    </row>
    <row r="1364" spans="2:103" s="60" customFormat="1" x14ac:dyDescent="0.5">
      <c r="B1364" s="87"/>
      <c r="C1364" s="106"/>
      <c r="D1364" s="91"/>
      <c r="E1364" s="91"/>
      <c r="F1364" s="91"/>
      <c r="G1364" s="91"/>
      <c r="H1364" s="69"/>
      <c r="I1364" s="69"/>
      <c r="CS1364"/>
      <c r="CT1364"/>
      <c r="CU1364"/>
      <c r="CV1364"/>
      <c r="CW1364"/>
      <c r="CX1364"/>
      <c r="CY1364"/>
    </row>
    <row r="1365" spans="2:103" s="60" customFormat="1" x14ac:dyDescent="0.5">
      <c r="B1365" s="87"/>
      <c r="C1365" s="106"/>
      <c r="D1365" s="91"/>
      <c r="E1365" s="91"/>
      <c r="F1365" s="91"/>
      <c r="G1365" s="91"/>
      <c r="H1365" s="69"/>
      <c r="I1365" s="69"/>
      <c r="CS1365"/>
      <c r="CT1365"/>
      <c r="CU1365"/>
      <c r="CV1365"/>
      <c r="CW1365"/>
      <c r="CX1365"/>
      <c r="CY1365"/>
    </row>
    <row r="1366" spans="2:103" s="60" customFormat="1" x14ac:dyDescent="0.5">
      <c r="B1366" s="87"/>
      <c r="C1366" s="106"/>
      <c r="D1366" s="91"/>
      <c r="E1366" s="91"/>
      <c r="F1366" s="91"/>
      <c r="G1366" s="91"/>
      <c r="H1366" s="69"/>
      <c r="I1366" s="69"/>
      <c r="CS1366"/>
      <c r="CT1366"/>
      <c r="CU1366"/>
      <c r="CV1366"/>
      <c r="CW1366"/>
      <c r="CX1366"/>
      <c r="CY1366"/>
    </row>
    <row r="1367" spans="2:103" s="60" customFormat="1" x14ac:dyDescent="0.5">
      <c r="B1367" s="87"/>
      <c r="C1367" s="106"/>
      <c r="D1367" s="91"/>
      <c r="E1367" s="91"/>
      <c r="F1367" s="91"/>
      <c r="G1367" s="91"/>
      <c r="H1367" s="69"/>
      <c r="I1367" s="69"/>
      <c r="CS1367"/>
      <c r="CT1367"/>
      <c r="CU1367"/>
      <c r="CV1367"/>
      <c r="CW1367"/>
      <c r="CX1367"/>
      <c r="CY1367"/>
    </row>
    <row r="1368" spans="2:103" s="60" customFormat="1" x14ac:dyDescent="0.5">
      <c r="B1368" s="87"/>
      <c r="C1368" s="106"/>
      <c r="D1368" s="91"/>
      <c r="E1368" s="91"/>
      <c r="F1368" s="91"/>
      <c r="G1368" s="91"/>
      <c r="H1368" s="69"/>
      <c r="I1368" s="69"/>
      <c r="CS1368"/>
      <c r="CT1368"/>
      <c r="CU1368"/>
      <c r="CV1368"/>
      <c r="CW1368"/>
      <c r="CX1368"/>
      <c r="CY1368"/>
    </row>
    <row r="1369" spans="2:103" s="60" customFormat="1" x14ac:dyDescent="0.5">
      <c r="B1369" s="87"/>
      <c r="C1369" s="106"/>
      <c r="D1369" s="91"/>
      <c r="E1369" s="91"/>
      <c r="F1369" s="91"/>
      <c r="G1369" s="91"/>
      <c r="H1369" s="69"/>
      <c r="I1369" s="69"/>
      <c r="CS1369"/>
      <c r="CT1369"/>
      <c r="CU1369"/>
      <c r="CV1369"/>
      <c r="CW1369"/>
      <c r="CX1369"/>
      <c r="CY1369"/>
    </row>
    <row r="1370" spans="2:103" s="60" customFormat="1" x14ac:dyDescent="0.5">
      <c r="B1370" s="87"/>
      <c r="C1370" s="106"/>
      <c r="D1370" s="91"/>
      <c r="E1370" s="91"/>
      <c r="F1370" s="91"/>
      <c r="G1370" s="91"/>
      <c r="H1370" s="69"/>
      <c r="I1370" s="69"/>
      <c r="CS1370"/>
      <c r="CT1370"/>
      <c r="CU1370"/>
      <c r="CV1370"/>
      <c r="CW1370"/>
      <c r="CX1370"/>
      <c r="CY1370"/>
    </row>
    <row r="1371" spans="2:103" s="60" customFormat="1" x14ac:dyDescent="0.5">
      <c r="B1371" s="87"/>
      <c r="C1371" s="106"/>
      <c r="D1371" s="91"/>
      <c r="E1371" s="91"/>
      <c r="F1371" s="91"/>
      <c r="G1371" s="91"/>
      <c r="H1371" s="69"/>
      <c r="I1371" s="69"/>
      <c r="CS1371"/>
      <c r="CT1371"/>
      <c r="CU1371"/>
      <c r="CV1371"/>
      <c r="CW1371"/>
      <c r="CX1371"/>
      <c r="CY1371"/>
    </row>
    <row r="1372" spans="2:103" s="60" customFormat="1" x14ac:dyDescent="0.5">
      <c r="B1372" s="87"/>
      <c r="C1372" s="106"/>
      <c r="D1372" s="91"/>
      <c r="E1372" s="91"/>
      <c r="F1372" s="91"/>
      <c r="G1372" s="91"/>
      <c r="H1372" s="69"/>
      <c r="I1372" s="69"/>
      <c r="CS1372"/>
      <c r="CT1372"/>
      <c r="CU1372"/>
      <c r="CV1372"/>
      <c r="CW1372"/>
      <c r="CX1372"/>
      <c r="CY1372"/>
    </row>
    <row r="1373" spans="2:103" s="60" customFormat="1" x14ac:dyDescent="0.5">
      <c r="B1373" s="87"/>
      <c r="C1373" s="106"/>
      <c r="D1373" s="91"/>
      <c r="E1373" s="91"/>
      <c r="F1373" s="91"/>
      <c r="G1373" s="91"/>
      <c r="H1373" s="69"/>
      <c r="I1373" s="69"/>
      <c r="CS1373"/>
      <c r="CT1373"/>
      <c r="CU1373"/>
      <c r="CV1373"/>
      <c r="CW1373"/>
      <c r="CX1373"/>
      <c r="CY1373"/>
    </row>
    <row r="1374" spans="2:103" s="60" customFormat="1" x14ac:dyDescent="0.5">
      <c r="B1374" s="87"/>
      <c r="C1374" s="106"/>
      <c r="D1374" s="91"/>
      <c r="E1374" s="91"/>
      <c r="F1374" s="91"/>
      <c r="G1374" s="91"/>
      <c r="H1374" s="69"/>
      <c r="I1374" s="69"/>
      <c r="CS1374"/>
      <c r="CT1374"/>
      <c r="CU1374"/>
      <c r="CV1374"/>
      <c r="CW1374"/>
      <c r="CX1374"/>
      <c r="CY1374"/>
    </row>
    <row r="1375" spans="2:103" s="60" customFormat="1" x14ac:dyDescent="0.5">
      <c r="B1375" s="87"/>
      <c r="C1375" s="106"/>
      <c r="D1375" s="91"/>
      <c r="E1375" s="91"/>
      <c r="F1375" s="91"/>
      <c r="G1375" s="91"/>
      <c r="H1375" s="69"/>
      <c r="I1375" s="69"/>
      <c r="CS1375"/>
      <c r="CT1375"/>
      <c r="CU1375"/>
      <c r="CV1375"/>
      <c r="CW1375"/>
      <c r="CX1375"/>
      <c r="CY1375"/>
    </row>
    <row r="1376" spans="2:103" s="60" customFormat="1" x14ac:dyDescent="0.5">
      <c r="B1376" s="87"/>
      <c r="C1376" s="106"/>
      <c r="D1376" s="91"/>
      <c r="E1376" s="91"/>
      <c r="F1376" s="91"/>
      <c r="G1376" s="91"/>
      <c r="H1376" s="69"/>
      <c r="I1376" s="69"/>
      <c r="CS1376"/>
      <c r="CT1376"/>
      <c r="CU1376"/>
      <c r="CV1376"/>
      <c r="CW1376"/>
      <c r="CX1376"/>
      <c r="CY1376"/>
    </row>
    <row r="1377" spans="2:103" s="60" customFormat="1" x14ac:dyDescent="0.5">
      <c r="B1377" s="87"/>
      <c r="C1377" s="106"/>
      <c r="D1377" s="91"/>
      <c r="E1377" s="91"/>
      <c r="F1377" s="91"/>
      <c r="G1377" s="91"/>
      <c r="H1377" s="69"/>
      <c r="I1377" s="69"/>
      <c r="CS1377"/>
      <c r="CT1377"/>
      <c r="CU1377"/>
      <c r="CV1377"/>
      <c r="CW1377"/>
      <c r="CX1377"/>
      <c r="CY1377"/>
    </row>
    <row r="1378" spans="2:103" s="60" customFormat="1" x14ac:dyDescent="0.5">
      <c r="B1378" s="87"/>
      <c r="C1378" s="106"/>
      <c r="D1378" s="91"/>
      <c r="E1378" s="91"/>
      <c r="F1378" s="91"/>
      <c r="G1378" s="91"/>
      <c r="H1378" s="69"/>
      <c r="I1378" s="69"/>
      <c r="CS1378"/>
      <c r="CT1378"/>
      <c r="CU1378"/>
      <c r="CV1378"/>
      <c r="CW1378"/>
      <c r="CX1378"/>
      <c r="CY1378"/>
    </row>
    <row r="1379" spans="2:103" s="60" customFormat="1" x14ac:dyDescent="0.5">
      <c r="B1379" s="87"/>
      <c r="C1379" s="106"/>
      <c r="D1379" s="91"/>
      <c r="E1379" s="91"/>
      <c r="F1379" s="91"/>
      <c r="G1379" s="91"/>
      <c r="H1379" s="69"/>
      <c r="I1379" s="69"/>
      <c r="CS1379"/>
      <c r="CT1379"/>
      <c r="CU1379"/>
      <c r="CV1379"/>
      <c r="CW1379"/>
      <c r="CX1379"/>
      <c r="CY1379"/>
    </row>
    <row r="1380" spans="2:103" s="60" customFormat="1" x14ac:dyDescent="0.5">
      <c r="B1380" s="87"/>
      <c r="C1380" s="106"/>
      <c r="D1380" s="91"/>
      <c r="E1380" s="91"/>
      <c r="F1380" s="91"/>
      <c r="G1380" s="91"/>
      <c r="H1380" s="69"/>
      <c r="I1380" s="69"/>
      <c r="CS1380"/>
      <c r="CT1380"/>
      <c r="CU1380"/>
      <c r="CV1380"/>
      <c r="CW1380"/>
      <c r="CX1380"/>
      <c r="CY1380"/>
    </row>
    <row r="1381" spans="2:103" s="60" customFormat="1" x14ac:dyDescent="0.5">
      <c r="B1381" s="87"/>
      <c r="C1381" s="106"/>
      <c r="D1381" s="91"/>
      <c r="E1381" s="91"/>
      <c r="F1381" s="91"/>
      <c r="G1381" s="91"/>
      <c r="H1381" s="69"/>
      <c r="I1381" s="69"/>
      <c r="CS1381"/>
      <c r="CT1381"/>
      <c r="CU1381"/>
      <c r="CV1381"/>
      <c r="CW1381"/>
      <c r="CX1381"/>
      <c r="CY1381"/>
    </row>
    <row r="1382" spans="2:103" s="60" customFormat="1" x14ac:dyDescent="0.5">
      <c r="B1382" s="87"/>
      <c r="C1382" s="106"/>
      <c r="D1382" s="91"/>
      <c r="E1382" s="91"/>
      <c r="F1382" s="91"/>
      <c r="G1382" s="91"/>
      <c r="H1382" s="69"/>
      <c r="I1382" s="69"/>
      <c r="CS1382"/>
      <c r="CT1382"/>
      <c r="CU1382"/>
      <c r="CV1382"/>
      <c r="CW1382"/>
      <c r="CX1382"/>
      <c r="CY1382"/>
    </row>
    <row r="1383" spans="2:103" s="60" customFormat="1" x14ac:dyDescent="0.5">
      <c r="B1383" s="87"/>
      <c r="C1383" s="106"/>
      <c r="D1383" s="91"/>
      <c r="E1383" s="91"/>
      <c r="F1383" s="91"/>
      <c r="G1383" s="91"/>
      <c r="H1383" s="69"/>
      <c r="I1383" s="69"/>
      <c r="CS1383"/>
      <c r="CT1383"/>
      <c r="CU1383"/>
      <c r="CV1383"/>
      <c r="CW1383"/>
      <c r="CX1383"/>
      <c r="CY1383"/>
    </row>
    <row r="1384" spans="2:103" s="60" customFormat="1" x14ac:dyDescent="0.5">
      <c r="B1384" s="87"/>
      <c r="C1384" s="106"/>
      <c r="D1384" s="91"/>
      <c r="E1384" s="91"/>
      <c r="F1384" s="91"/>
      <c r="G1384" s="91"/>
      <c r="H1384" s="69"/>
      <c r="I1384" s="69"/>
      <c r="CS1384"/>
      <c r="CT1384"/>
      <c r="CU1384"/>
      <c r="CV1384"/>
      <c r="CW1384"/>
      <c r="CX1384"/>
      <c r="CY1384"/>
    </row>
    <row r="1385" spans="2:103" s="60" customFormat="1" x14ac:dyDescent="0.5">
      <c r="B1385" s="87"/>
      <c r="C1385" s="106"/>
      <c r="D1385" s="91"/>
      <c r="E1385" s="91"/>
      <c r="F1385" s="91"/>
      <c r="G1385" s="91"/>
      <c r="H1385" s="69"/>
      <c r="I1385" s="69"/>
      <c r="CS1385"/>
      <c r="CT1385"/>
      <c r="CU1385"/>
      <c r="CV1385"/>
      <c r="CW1385"/>
      <c r="CX1385"/>
      <c r="CY1385"/>
    </row>
    <row r="1386" spans="2:103" s="60" customFormat="1" x14ac:dyDescent="0.5">
      <c r="B1386" s="87"/>
      <c r="C1386" s="106"/>
      <c r="D1386" s="91"/>
      <c r="E1386" s="91"/>
      <c r="F1386" s="91"/>
      <c r="G1386" s="91"/>
      <c r="H1386" s="69"/>
      <c r="I1386" s="69"/>
      <c r="CS1386"/>
      <c r="CT1386"/>
      <c r="CU1386"/>
      <c r="CV1386"/>
      <c r="CW1386"/>
      <c r="CX1386"/>
      <c r="CY1386"/>
    </row>
    <row r="1387" spans="2:103" s="60" customFormat="1" x14ac:dyDescent="0.5">
      <c r="B1387" s="87"/>
      <c r="C1387" s="106"/>
      <c r="D1387" s="91"/>
      <c r="E1387" s="91"/>
      <c r="F1387" s="91"/>
      <c r="G1387" s="91"/>
      <c r="H1387" s="69"/>
      <c r="I1387" s="69"/>
      <c r="CS1387"/>
      <c r="CT1387"/>
      <c r="CU1387"/>
      <c r="CV1387"/>
      <c r="CW1387"/>
      <c r="CX1387"/>
      <c r="CY1387"/>
    </row>
    <row r="1388" spans="2:103" s="60" customFormat="1" x14ac:dyDescent="0.5">
      <c r="B1388" s="87"/>
      <c r="C1388" s="106"/>
      <c r="D1388" s="91"/>
      <c r="E1388" s="91"/>
      <c r="F1388" s="91"/>
      <c r="G1388" s="91"/>
      <c r="H1388" s="69"/>
      <c r="I1388" s="69"/>
      <c r="CS1388"/>
      <c r="CT1388"/>
      <c r="CU1388"/>
      <c r="CV1388"/>
      <c r="CW1388"/>
      <c r="CX1388"/>
      <c r="CY1388"/>
    </row>
    <row r="1389" spans="2:103" s="60" customFormat="1" x14ac:dyDescent="0.5">
      <c r="B1389" s="87"/>
      <c r="C1389" s="106"/>
      <c r="D1389" s="91"/>
      <c r="E1389" s="91"/>
      <c r="F1389" s="91"/>
      <c r="G1389" s="91"/>
      <c r="H1389" s="69"/>
      <c r="I1389" s="69"/>
      <c r="CS1389"/>
      <c r="CT1389"/>
      <c r="CU1389"/>
      <c r="CV1389"/>
      <c r="CW1389"/>
      <c r="CX1389"/>
      <c r="CY1389"/>
    </row>
    <row r="1390" spans="2:103" s="60" customFormat="1" x14ac:dyDescent="0.5">
      <c r="B1390" s="87"/>
      <c r="C1390" s="106"/>
      <c r="D1390" s="91"/>
      <c r="E1390" s="91"/>
      <c r="F1390" s="91"/>
      <c r="G1390" s="91"/>
      <c r="H1390" s="69"/>
      <c r="I1390" s="69"/>
      <c r="CS1390"/>
      <c r="CT1390"/>
      <c r="CU1390"/>
      <c r="CV1390"/>
      <c r="CW1390"/>
      <c r="CX1390"/>
      <c r="CY1390"/>
    </row>
    <row r="1391" spans="2:103" s="60" customFormat="1" x14ac:dyDescent="0.5">
      <c r="B1391" s="87"/>
      <c r="C1391" s="106"/>
      <c r="D1391" s="91"/>
      <c r="E1391" s="91"/>
      <c r="F1391" s="91"/>
      <c r="G1391" s="91"/>
      <c r="H1391" s="69"/>
      <c r="I1391" s="69"/>
      <c r="CS1391"/>
      <c r="CT1391"/>
      <c r="CU1391"/>
      <c r="CV1391"/>
      <c r="CW1391"/>
      <c r="CX1391"/>
      <c r="CY1391"/>
    </row>
    <row r="1392" spans="2:103" s="60" customFormat="1" x14ac:dyDescent="0.5">
      <c r="B1392" s="87"/>
      <c r="C1392" s="106"/>
      <c r="D1392" s="91"/>
      <c r="E1392" s="91"/>
      <c r="F1392" s="91"/>
      <c r="G1392" s="91"/>
      <c r="H1392" s="69"/>
      <c r="I1392" s="69"/>
      <c r="CS1392"/>
      <c r="CT1392"/>
      <c r="CU1392"/>
      <c r="CV1392"/>
      <c r="CW1392"/>
      <c r="CX1392"/>
      <c r="CY1392"/>
    </row>
    <row r="1393" spans="2:103" s="60" customFormat="1" x14ac:dyDescent="0.5">
      <c r="B1393" s="87"/>
      <c r="C1393" s="106"/>
      <c r="D1393" s="91"/>
      <c r="E1393" s="91"/>
      <c r="F1393" s="91"/>
      <c r="G1393" s="91"/>
      <c r="H1393" s="69"/>
      <c r="I1393" s="69"/>
      <c r="CS1393"/>
      <c r="CT1393"/>
      <c r="CU1393"/>
      <c r="CV1393"/>
      <c r="CW1393"/>
      <c r="CX1393"/>
      <c r="CY1393"/>
    </row>
    <row r="1394" spans="2:103" s="60" customFormat="1" x14ac:dyDescent="0.5">
      <c r="B1394" s="87"/>
      <c r="C1394" s="106"/>
      <c r="D1394" s="91"/>
      <c r="E1394" s="91"/>
      <c r="F1394" s="91"/>
      <c r="G1394" s="91"/>
      <c r="H1394" s="69"/>
      <c r="I1394" s="69"/>
      <c r="CS1394"/>
      <c r="CT1394"/>
      <c r="CU1394"/>
      <c r="CV1394"/>
      <c r="CW1394"/>
      <c r="CX1394"/>
      <c r="CY1394"/>
    </row>
    <row r="1395" spans="2:103" s="60" customFormat="1" x14ac:dyDescent="0.5">
      <c r="B1395" s="87"/>
      <c r="C1395" s="106"/>
      <c r="D1395" s="91"/>
      <c r="E1395" s="91"/>
      <c r="F1395" s="91"/>
      <c r="G1395" s="91"/>
      <c r="H1395" s="69"/>
      <c r="I1395" s="69"/>
      <c r="CS1395"/>
      <c r="CT1395"/>
      <c r="CU1395"/>
      <c r="CV1395"/>
      <c r="CW1395"/>
      <c r="CX1395"/>
      <c r="CY1395"/>
    </row>
    <row r="1396" spans="2:103" s="60" customFormat="1" x14ac:dyDescent="0.5">
      <c r="B1396" s="87"/>
      <c r="C1396" s="106"/>
      <c r="D1396" s="91"/>
      <c r="E1396" s="91"/>
      <c r="F1396" s="91"/>
      <c r="G1396" s="91"/>
      <c r="H1396" s="69"/>
      <c r="I1396" s="69"/>
      <c r="CS1396"/>
      <c r="CT1396"/>
      <c r="CU1396"/>
      <c r="CV1396"/>
      <c r="CW1396"/>
      <c r="CX1396"/>
      <c r="CY1396"/>
    </row>
    <row r="1397" spans="2:103" s="60" customFormat="1" x14ac:dyDescent="0.5">
      <c r="B1397" s="87"/>
      <c r="C1397" s="106"/>
      <c r="D1397" s="91"/>
      <c r="E1397" s="91"/>
      <c r="F1397" s="91"/>
      <c r="G1397" s="91"/>
      <c r="H1397" s="69"/>
      <c r="I1397" s="69"/>
      <c r="CS1397"/>
      <c r="CT1397"/>
      <c r="CU1397"/>
      <c r="CV1397"/>
      <c r="CW1397"/>
      <c r="CX1397"/>
      <c r="CY1397"/>
    </row>
    <row r="1398" spans="2:103" s="60" customFormat="1" x14ac:dyDescent="0.5">
      <c r="B1398" s="87"/>
      <c r="C1398" s="106"/>
      <c r="D1398" s="91"/>
      <c r="E1398" s="91"/>
      <c r="F1398" s="91"/>
      <c r="G1398" s="91"/>
      <c r="H1398" s="69"/>
      <c r="I1398" s="69"/>
      <c r="CS1398"/>
      <c r="CT1398"/>
      <c r="CU1398"/>
      <c r="CV1398"/>
      <c r="CW1398"/>
      <c r="CX1398"/>
      <c r="CY1398"/>
    </row>
    <row r="1399" spans="2:103" s="60" customFormat="1" x14ac:dyDescent="0.5">
      <c r="B1399" s="87"/>
      <c r="C1399" s="106"/>
      <c r="D1399" s="91"/>
      <c r="E1399" s="91"/>
      <c r="F1399" s="91"/>
      <c r="G1399" s="91"/>
      <c r="H1399" s="69"/>
      <c r="I1399" s="69"/>
      <c r="CS1399"/>
      <c r="CT1399"/>
      <c r="CU1399"/>
      <c r="CV1399"/>
      <c r="CW1399"/>
      <c r="CX1399"/>
      <c r="CY1399"/>
    </row>
    <row r="1400" spans="2:103" s="60" customFormat="1" x14ac:dyDescent="0.5">
      <c r="B1400" s="87"/>
      <c r="C1400" s="106"/>
      <c r="D1400" s="91"/>
      <c r="E1400" s="91"/>
      <c r="F1400" s="91"/>
      <c r="G1400" s="91"/>
      <c r="H1400" s="69"/>
      <c r="I1400" s="69"/>
      <c r="CS1400"/>
      <c r="CT1400"/>
      <c r="CU1400"/>
      <c r="CV1400"/>
      <c r="CW1400"/>
      <c r="CX1400"/>
      <c r="CY1400"/>
    </row>
    <row r="1401" spans="2:103" s="60" customFormat="1" x14ac:dyDescent="0.5">
      <c r="B1401" s="87"/>
      <c r="C1401" s="106"/>
      <c r="D1401" s="91"/>
      <c r="E1401" s="91"/>
      <c r="F1401" s="91"/>
      <c r="G1401" s="91"/>
      <c r="H1401" s="69"/>
      <c r="I1401" s="69"/>
      <c r="CS1401"/>
      <c r="CT1401"/>
      <c r="CU1401"/>
      <c r="CV1401"/>
      <c r="CW1401"/>
      <c r="CX1401"/>
      <c r="CY1401"/>
    </row>
    <row r="1402" spans="2:103" s="60" customFormat="1" x14ac:dyDescent="0.5">
      <c r="B1402" s="87"/>
      <c r="C1402" s="106"/>
      <c r="D1402" s="91"/>
      <c r="E1402" s="91"/>
      <c r="F1402" s="91"/>
      <c r="G1402" s="91"/>
      <c r="H1402" s="69"/>
      <c r="I1402" s="69"/>
      <c r="CS1402"/>
      <c r="CT1402"/>
      <c r="CU1402"/>
      <c r="CV1402"/>
      <c r="CW1402"/>
      <c r="CX1402"/>
      <c r="CY1402"/>
    </row>
    <row r="1403" spans="2:103" s="60" customFormat="1" x14ac:dyDescent="0.5">
      <c r="B1403" s="87"/>
      <c r="C1403" s="106"/>
      <c r="D1403" s="91"/>
      <c r="E1403" s="91"/>
      <c r="F1403" s="91"/>
      <c r="G1403" s="91"/>
      <c r="H1403" s="69"/>
      <c r="I1403" s="69"/>
      <c r="CS1403"/>
      <c r="CT1403"/>
      <c r="CU1403"/>
      <c r="CV1403"/>
      <c r="CW1403"/>
      <c r="CX1403"/>
      <c r="CY1403"/>
    </row>
    <row r="1404" spans="2:103" s="60" customFormat="1" x14ac:dyDescent="0.5">
      <c r="B1404" s="87"/>
      <c r="C1404" s="106"/>
      <c r="D1404" s="91"/>
      <c r="E1404" s="91"/>
      <c r="F1404" s="91"/>
      <c r="G1404" s="91"/>
      <c r="H1404" s="69"/>
      <c r="I1404" s="69"/>
      <c r="CS1404"/>
      <c r="CT1404"/>
      <c r="CU1404"/>
      <c r="CV1404"/>
      <c r="CW1404"/>
      <c r="CX1404"/>
      <c r="CY1404"/>
    </row>
    <row r="1405" spans="2:103" s="60" customFormat="1" x14ac:dyDescent="0.5">
      <c r="B1405" s="87"/>
      <c r="C1405" s="106"/>
      <c r="D1405" s="91"/>
      <c r="E1405" s="91"/>
      <c r="F1405" s="91"/>
      <c r="G1405" s="91"/>
      <c r="H1405" s="69"/>
      <c r="I1405" s="69"/>
      <c r="CS1405"/>
      <c r="CT1405"/>
      <c r="CU1405"/>
      <c r="CV1405"/>
      <c r="CW1405"/>
      <c r="CX1405"/>
      <c r="CY1405"/>
    </row>
    <row r="1406" spans="2:103" s="60" customFormat="1" x14ac:dyDescent="0.5">
      <c r="B1406" s="87"/>
      <c r="C1406" s="106"/>
      <c r="D1406" s="91"/>
      <c r="E1406" s="91"/>
      <c r="F1406" s="91"/>
      <c r="G1406" s="91"/>
      <c r="H1406" s="69"/>
      <c r="I1406" s="69"/>
      <c r="CS1406"/>
      <c r="CT1406"/>
      <c r="CU1406"/>
      <c r="CV1406"/>
      <c r="CW1406"/>
      <c r="CX1406"/>
      <c r="CY1406"/>
    </row>
    <row r="1407" spans="2:103" s="60" customFormat="1" x14ac:dyDescent="0.5">
      <c r="B1407" s="87"/>
      <c r="C1407" s="106"/>
      <c r="D1407" s="91"/>
      <c r="E1407" s="91"/>
      <c r="F1407" s="91"/>
      <c r="G1407" s="91"/>
      <c r="H1407" s="69"/>
      <c r="I1407" s="69"/>
      <c r="CS1407"/>
      <c r="CT1407"/>
      <c r="CU1407"/>
      <c r="CV1407"/>
      <c r="CW1407"/>
      <c r="CX1407"/>
      <c r="CY1407"/>
    </row>
    <row r="1408" spans="2:103" s="60" customFormat="1" x14ac:dyDescent="0.5">
      <c r="B1408" s="87"/>
      <c r="C1408" s="106"/>
      <c r="D1408" s="91"/>
      <c r="E1408" s="91"/>
      <c r="F1408" s="91"/>
      <c r="G1408" s="91"/>
      <c r="H1408" s="69"/>
      <c r="I1408" s="69"/>
      <c r="CS1408"/>
      <c r="CT1408"/>
      <c r="CU1408"/>
      <c r="CV1408"/>
      <c r="CW1408"/>
      <c r="CX1408"/>
      <c r="CY1408"/>
    </row>
    <row r="1409" spans="2:103" s="60" customFormat="1" x14ac:dyDescent="0.5">
      <c r="B1409" s="87"/>
      <c r="C1409" s="106"/>
      <c r="D1409" s="91"/>
      <c r="E1409" s="91"/>
      <c r="F1409" s="91"/>
      <c r="G1409" s="91"/>
      <c r="H1409" s="69"/>
      <c r="I1409" s="69"/>
      <c r="CS1409"/>
      <c r="CT1409"/>
      <c r="CU1409"/>
      <c r="CV1409"/>
      <c r="CW1409"/>
      <c r="CX1409"/>
      <c r="CY1409"/>
    </row>
    <row r="1410" spans="2:103" s="60" customFormat="1" x14ac:dyDescent="0.5">
      <c r="B1410" s="87"/>
      <c r="C1410" s="106"/>
      <c r="D1410" s="91"/>
      <c r="E1410" s="91"/>
      <c r="F1410" s="91"/>
      <c r="G1410" s="91"/>
      <c r="H1410" s="69"/>
      <c r="I1410" s="69"/>
      <c r="CS1410"/>
      <c r="CT1410"/>
      <c r="CU1410"/>
      <c r="CV1410"/>
      <c r="CW1410"/>
      <c r="CX1410"/>
      <c r="CY1410"/>
    </row>
    <row r="1411" spans="2:103" s="60" customFormat="1" x14ac:dyDescent="0.5">
      <c r="B1411" s="87"/>
      <c r="C1411" s="106"/>
      <c r="D1411" s="91"/>
      <c r="E1411" s="91"/>
      <c r="F1411" s="91"/>
      <c r="G1411" s="91"/>
      <c r="H1411" s="69"/>
      <c r="I1411" s="69"/>
      <c r="CS1411"/>
      <c r="CT1411"/>
      <c r="CU1411"/>
      <c r="CV1411"/>
      <c r="CW1411"/>
      <c r="CX1411"/>
      <c r="CY1411"/>
    </row>
    <row r="1412" spans="2:103" s="60" customFormat="1" x14ac:dyDescent="0.5">
      <c r="B1412" s="87"/>
      <c r="C1412" s="106"/>
      <c r="D1412" s="91"/>
      <c r="E1412" s="91"/>
      <c r="F1412" s="91"/>
      <c r="G1412" s="91"/>
      <c r="H1412" s="69"/>
      <c r="I1412" s="69"/>
      <c r="CS1412"/>
      <c r="CT1412"/>
      <c r="CU1412"/>
      <c r="CV1412"/>
      <c r="CW1412"/>
      <c r="CX1412"/>
      <c r="CY1412"/>
    </row>
    <row r="1413" spans="2:103" s="60" customFormat="1" x14ac:dyDescent="0.5">
      <c r="B1413" s="87"/>
      <c r="C1413" s="106"/>
      <c r="D1413" s="91"/>
      <c r="E1413" s="91"/>
      <c r="F1413" s="91"/>
      <c r="G1413" s="91"/>
      <c r="H1413" s="69"/>
      <c r="I1413" s="69"/>
      <c r="CS1413"/>
      <c r="CT1413"/>
      <c r="CU1413"/>
      <c r="CV1413"/>
      <c r="CW1413"/>
      <c r="CX1413"/>
      <c r="CY1413"/>
    </row>
    <row r="1414" spans="2:103" s="60" customFormat="1" x14ac:dyDescent="0.5">
      <c r="B1414" s="87"/>
      <c r="C1414" s="106"/>
      <c r="D1414" s="91"/>
      <c r="E1414" s="91"/>
      <c r="F1414" s="91"/>
      <c r="G1414" s="91"/>
      <c r="H1414" s="69"/>
      <c r="I1414" s="69"/>
      <c r="CS1414"/>
      <c r="CT1414"/>
      <c r="CU1414"/>
      <c r="CV1414"/>
      <c r="CW1414"/>
      <c r="CX1414"/>
      <c r="CY1414"/>
    </row>
    <row r="1415" spans="2:103" s="60" customFormat="1" x14ac:dyDescent="0.5">
      <c r="B1415" s="87"/>
      <c r="C1415" s="106"/>
      <c r="D1415" s="91"/>
      <c r="E1415" s="91"/>
      <c r="F1415" s="91"/>
      <c r="G1415" s="91"/>
      <c r="H1415" s="69"/>
      <c r="I1415" s="69"/>
      <c r="CS1415"/>
      <c r="CT1415"/>
      <c r="CU1415"/>
      <c r="CV1415"/>
      <c r="CW1415"/>
      <c r="CX1415"/>
      <c r="CY1415"/>
    </row>
    <row r="1416" spans="2:103" s="60" customFormat="1" x14ac:dyDescent="0.5">
      <c r="B1416" s="87"/>
      <c r="C1416" s="106"/>
      <c r="D1416" s="91"/>
      <c r="E1416" s="91"/>
      <c r="F1416" s="91"/>
      <c r="G1416" s="91"/>
      <c r="H1416" s="69"/>
      <c r="I1416" s="69"/>
      <c r="CS1416"/>
      <c r="CT1416"/>
      <c r="CU1416"/>
      <c r="CV1416"/>
      <c r="CW1416"/>
      <c r="CX1416"/>
      <c r="CY1416"/>
    </row>
    <row r="1417" spans="2:103" s="60" customFormat="1" x14ac:dyDescent="0.5">
      <c r="B1417" s="87"/>
      <c r="C1417" s="106"/>
      <c r="D1417" s="91"/>
      <c r="E1417" s="91"/>
      <c r="F1417" s="91"/>
      <c r="G1417" s="91"/>
      <c r="H1417" s="69"/>
      <c r="I1417" s="69"/>
      <c r="CS1417"/>
      <c r="CT1417"/>
      <c r="CU1417"/>
      <c r="CV1417"/>
      <c r="CW1417"/>
      <c r="CX1417"/>
      <c r="CY1417"/>
    </row>
    <row r="1418" spans="2:103" s="60" customFormat="1" x14ac:dyDescent="0.5">
      <c r="B1418" s="87"/>
      <c r="C1418" s="106"/>
      <c r="D1418" s="91"/>
      <c r="E1418" s="91"/>
      <c r="F1418" s="91"/>
      <c r="G1418" s="91"/>
      <c r="H1418" s="69"/>
      <c r="I1418" s="69"/>
      <c r="CS1418"/>
      <c r="CT1418"/>
      <c r="CU1418"/>
      <c r="CV1418"/>
      <c r="CW1418"/>
      <c r="CX1418"/>
      <c r="CY1418"/>
    </row>
    <row r="1419" spans="2:103" s="60" customFormat="1" x14ac:dyDescent="0.5">
      <c r="B1419" s="87"/>
      <c r="C1419" s="106"/>
      <c r="D1419" s="91"/>
      <c r="E1419" s="91"/>
      <c r="F1419" s="91"/>
      <c r="G1419" s="91"/>
      <c r="H1419" s="69"/>
      <c r="I1419" s="69"/>
      <c r="CS1419"/>
      <c r="CT1419"/>
      <c r="CU1419"/>
      <c r="CV1419"/>
      <c r="CW1419"/>
      <c r="CX1419"/>
      <c r="CY1419"/>
    </row>
    <row r="1420" spans="2:103" s="60" customFormat="1" x14ac:dyDescent="0.5">
      <c r="B1420" s="87"/>
      <c r="C1420" s="106"/>
      <c r="D1420" s="91"/>
      <c r="E1420" s="91"/>
      <c r="F1420" s="91"/>
      <c r="G1420" s="91"/>
      <c r="H1420" s="69"/>
      <c r="I1420" s="69"/>
      <c r="CS1420"/>
      <c r="CT1420"/>
      <c r="CU1420"/>
      <c r="CV1420"/>
      <c r="CW1420"/>
      <c r="CX1420"/>
      <c r="CY1420"/>
    </row>
    <row r="1421" spans="2:103" s="60" customFormat="1" x14ac:dyDescent="0.5">
      <c r="B1421" s="87"/>
      <c r="C1421" s="106"/>
      <c r="D1421" s="91"/>
      <c r="E1421" s="91"/>
      <c r="F1421" s="91"/>
      <c r="G1421" s="91"/>
      <c r="H1421" s="69"/>
      <c r="I1421" s="69"/>
      <c r="CS1421"/>
      <c r="CT1421"/>
      <c r="CU1421"/>
      <c r="CV1421"/>
      <c r="CW1421"/>
      <c r="CX1421"/>
      <c r="CY1421"/>
    </row>
    <row r="1422" spans="2:103" s="60" customFormat="1" x14ac:dyDescent="0.5">
      <c r="B1422" s="87"/>
      <c r="C1422" s="106"/>
      <c r="D1422" s="91"/>
      <c r="E1422" s="91"/>
      <c r="F1422" s="91"/>
      <c r="G1422" s="91"/>
      <c r="H1422" s="69"/>
      <c r="I1422" s="69"/>
      <c r="CS1422"/>
      <c r="CT1422"/>
      <c r="CU1422"/>
      <c r="CV1422"/>
      <c r="CW1422"/>
      <c r="CX1422"/>
      <c r="CY1422"/>
    </row>
    <row r="1423" spans="2:103" s="60" customFormat="1" x14ac:dyDescent="0.5">
      <c r="B1423" s="87"/>
      <c r="C1423" s="106"/>
      <c r="D1423" s="91"/>
      <c r="E1423" s="91"/>
      <c r="F1423" s="91"/>
      <c r="G1423" s="91"/>
      <c r="H1423" s="69"/>
      <c r="I1423" s="69"/>
      <c r="CS1423"/>
      <c r="CT1423"/>
      <c r="CU1423"/>
      <c r="CV1423"/>
      <c r="CW1423"/>
      <c r="CX1423"/>
      <c r="CY1423"/>
    </row>
    <row r="1424" spans="2:103" s="60" customFormat="1" x14ac:dyDescent="0.5">
      <c r="B1424" s="87"/>
      <c r="C1424" s="106"/>
      <c r="D1424" s="91"/>
      <c r="E1424" s="91"/>
      <c r="F1424" s="91"/>
      <c r="G1424" s="91"/>
      <c r="H1424" s="69"/>
      <c r="I1424" s="69"/>
      <c r="CS1424"/>
      <c r="CT1424"/>
      <c r="CU1424"/>
      <c r="CV1424"/>
      <c r="CW1424"/>
      <c r="CX1424"/>
      <c r="CY1424"/>
    </row>
    <row r="1425" spans="2:103" s="60" customFormat="1" x14ac:dyDescent="0.5">
      <c r="B1425" s="87"/>
      <c r="C1425" s="106"/>
      <c r="D1425" s="91"/>
      <c r="E1425" s="91"/>
      <c r="F1425" s="91"/>
      <c r="G1425" s="91"/>
      <c r="H1425" s="69"/>
      <c r="I1425" s="69"/>
      <c r="CS1425"/>
      <c r="CT1425"/>
      <c r="CU1425"/>
      <c r="CV1425"/>
      <c r="CW1425"/>
      <c r="CX1425"/>
      <c r="CY1425"/>
    </row>
    <row r="1426" spans="2:103" s="60" customFormat="1" x14ac:dyDescent="0.5">
      <c r="B1426" s="87"/>
      <c r="C1426" s="106"/>
      <c r="D1426" s="91"/>
      <c r="E1426" s="91"/>
      <c r="F1426" s="91"/>
      <c r="G1426" s="91"/>
      <c r="H1426" s="69"/>
      <c r="I1426" s="69"/>
      <c r="CS1426"/>
      <c r="CT1426"/>
      <c r="CU1426"/>
      <c r="CV1426"/>
      <c r="CW1426"/>
      <c r="CX1426"/>
      <c r="CY1426"/>
    </row>
    <row r="1427" spans="2:103" s="60" customFormat="1" x14ac:dyDescent="0.5">
      <c r="B1427" s="87"/>
      <c r="C1427" s="106"/>
      <c r="D1427" s="91"/>
      <c r="E1427" s="91"/>
      <c r="F1427" s="91"/>
      <c r="G1427" s="91"/>
      <c r="H1427" s="69"/>
      <c r="I1427" s="69"/>
      <c r="CS1427"/>
      <c r="CT1427"/>
      <c r="CU1427"/>
      <c r="CV1427"/>
      <c r="CW1427"/>
      <c r="CX1427"/>
      <c r="CY1427"/>
    </row>
    <row r="1428" spans="2:103" s="60" customFormat="1" x14ac:dyDescent="0.5">
      <c r="B1428" s="87"/>
      <c r="C1428" s="106"/>
      <c r="D1428" s="91"/>
      <c r="E1428" s="91"/>
      <c r="F1428" s="91"/>
      <c r="G1428" s="91"/>
      <c r="H1428" s="69"/>
      <c r="I1428" s="69"/>
      <c r="CS1428"/>
      <c r="CT1428"/>
      <c r="CU1428"/>
      <c r="CV1428"/>
      <c r="CW1428"/>
      <c r="CX1428"/>
      <c r="CY1428"/>
    </row>
    <row r="1429" spans="2:103" s="60" customFormat="1" x14ac:dyDescent="0.5">
      <c r="B1429" s="87"/>
      <c r="C1429" s="106"/>
      <c r="D1429" s="91"/>
      <c r="E1429" s="91"/>
      <c r="F1429" s="91"/>
      <c r="G1429" s="91"/>
      <c r="H1429" s="69"/>
      <c r="I1429" s="69"/>
      <c r="CS1429"/>
      <c r="CT1429"/>
      <c r="CU1429"/>
      <c r="CV1429"/>
      <c r="CW1429"/>
      <c r="CX1429"/>
      <c r="CY1429"/>
    </row>
    <row r="1430" spans="2:103" s="60" customFormat="1" x14ac:dyDescent="0.5">
      <c r="B1430" s="87"/>
      <c r="C1430" s="106"/>
      <c r="D1430" s="91"/>
      <c r="E1430" s="91"/>
      <c r="F1430" s="91"/>
      <c r="G1430" s="91"/>
      <c r="H1430" s="69"/>
      <c r="I1430" s="69"/>
      <c r="CS1430"/>
      <c r="CT1430"/>
      <c r="CU1430"/>
      <c r="CV1430"/>
      <c r="CW1430"/>
      <c r="CX1430"/>
      <c r="CY1430"/>
    </row>
    <row r="1431" spans="2:103" s="60" customFormat="1" x14ac:dyDescent="0.5">
      <c r="B1431" s="87"/>
      <c r="C1431" s="106"/>
      <c r="D1431" s="91"/>
      <c r="E1431" s="91"/>
      <c r="F1431" s="91"/>
      <c r="G1431" s="91"/>
      <c r="H1431" s="69"/>
      <c r="I1431" s="69"/>
      <c r="CS1431"/>
      <c r="CT1431"/>
      <c r="CU1431"/>
      <c r="CV1431"/>
      <c r="CW1431"/>
      <c r="CX1431"/>
      <c r="CY1431"/>
    </row>
    <row r="1432" spans="2:103" s="60" customFormat="1" x14ac:dyDescent="0.5">
      <c r="B1432" s="87"/>
      <c r="C1432" s="106"/>
      <c r="D1432" s="91"/>
      <c r="E1432" s="91"/>
      <c r="F1432" s="91"/>
      <c r="G1432" s="91"/>
      <c r="H1432" s="69"/>
      <c r="I1432" s="69"/>
      <c r="CS1432"/>
      <c r="CT1432"/>
      <c r="CU1432"/>
      <c r="CV1432"/>
      <c r="CW1432"/>
      <c r="CX1432"/>
      <c r="CY1432"/>
    </row>
    <row r="1433" spans="2:103" s="60" customFormat="1" x14ac:dyDescent="0.5">
      <c r="B1433" s="87"/>
      <c r="C1433" s="106"/>
      <c r="D1433" s="91"/>
      <c r="E1433" s="91"/>
      <c r="F1433" s="91"/>
      <c r="G1433" s="91"/>
      <c r="H1433" s="69"/>
      <c r="I1433" s="69"/>
      <c r="CS1433"/>
      <c r="CT1433"/>
      <c r="CU1433"/>
      <c r="CV1433"/>
      <c r="CW1433"/>
      <c r="CX1433"/>
      <c r="CY1433"/>
    </row>
    <row r="1434" spans="2:103" s="60" customFormat="1" x14ac:dyDescent="0.5">
      <c r="B1434" s="87"/>
      <c r="C1434" s="106"/>
      <c r="D1434" s="91"/>
      <c r="E1434" s="91"/>
      <c r="F1434" s="91"/>
      <c r="G1434" s="91"/>
      <c r="H1434" s="69"/>
      <c r="I1434" s="69"/>
      <c r="CS1434"/>
      <c r="CT1434"/>
      <c r="CU1434"/>
      <c r="CV1434"/>
      <c r="CW1434"/>
      <c r="CX1434"/>
      <c r="CY1434"/>
    </row>
    <row r="1435" spans="2:103" s="60" customFormat="1" x14ac:dyDescent="0.5">
      <c r="B1435" s="87"/>
      <c r="C1435" s="106"/>
      <c r="D1435" s="91"/>
      <c r="E1435" s="91"/>
      <c r="F1435" s="91"/>
      <c r="G1435" s="91"/>
      <c r="H1435" s="69"/>
      <c r="I1435" s="69"/>
      <c r="CS1435"/>
      <c r="CT1435"/>
      <c r="CU1435"/>
      <c r="CV1435"/>
      <c r="CW1435"/>
      <c r="CX1435"/>
      <c r="CY1435"/>
    </row>
    <row r="1436" spans="2:103" s="60" customFormat="1" x14ac:dyDescent="0.5">
      <c r="B1436" s="87"/>
      <c r="C1436" s="106"/>
      <c r="D1436" s="91"/>
      <c r="E1436" s="91"/>
      <c r="F1436" s="91"/>
      <c r="G1436" s="91"/>
      <c r="H1436" s="69"/>
      <c r="I1436" s="69"/>
      <c r="CS1436"/>
      <c r="CT1436"/>
      <c r="CU1436"/>
      <c r="CV1436"/>
      <c r="CW1436"/>
      <c r="CX1436"/>
      <c r="CY1436"/>
    </row>
    <row r="1437" spans="2:103" s="60" customFormat="1" x14ac:dyDescent="0.5">
      <c r="B1437" s="87"/>
      <c r="C1437" s="106"/>
      <c r="D1437" s="91"/>
      <c r="E1437" s="91"/>
      <c r="F1437" s="91"/>
      <c r="G1437" s="91"/>
      <c r="H1437" s="69"/>
      <c r="I1437" s="69"/>
      <c r="CS1437"/>
      <c r="CT1437"/>
      <c r="CU1437"/>
      <c r="CV1437"/>
      <c r="CW1437"/>
      <c r="CX1437"/>
      <c r="CY1437"/>
    </row>
    <row r="1438" spans="2:103" s="60" customFormat="1" x14ac:dyDescent="0.5">
      <c r="B1438" s="87"/>
      <c r="C1438" s="106"/>
      <c r="D1438" s="91"/>
      <c r="E1438" s="91"/>
      <c r="F1438" s="91"/>
      <c r="G1438" s="91"/>
      <c r="H1438" s="69"/>
      <c r="I1438" s="69"/>
      <c r="CS1438"/>
      <c r="CT1438"/>
      <c r="CU1438"/>
      <c r="CV1438"/>
      <c r="CW1438"/>
      <c r="CX1438"/>
      <c r="CY1438"/>
    </row>
    <row r="1439" spans="2:103" s="60" customFormat="1" x14ac:dyDescent="0.5">
      <c r="B1439" s="87"/>
      <c r="C1439" s="106"/>
      <c r="D1439" s="91"/>
      <c r="E1439" s="91"/>
      <c r="F1439" s="91"/>
      <c r="G1439" s="91"/>
      <c r="H1439" s="69"/>
      <c r="I1439" s="69"/>
      <c r="CS1439"/>
      <c r="CT1439"/>
      <c r="CU1439"/>
      <c r="CV1439"/>
      <c r="CW1439"/>
      <c r="CX1439"/>
      <c r="CY1439"/>
    </row>
    <row r="1440" spans="2:103" s="60" customFormat="1" x14ac:dyDescent="0.5">
      <c r="B1440" s="87"/>
      <c r="C1440" s="106"/>
      <c r="D1440" s="91"/>
      <c r="E1440" s="91"/>
      <c r="F1440" s="91"/>
      <c r="G1440" s="91"/>
      <c r="H1440" s="69"/>
      <c r="I1440" s="69"/>
      <c r="CS1440"/>
      <c r="CT1440"/>
      <c r="CU1440"/>
      <c r="CV1440"/>
      <c r="CW1440"/>
      <c r="CX1440"/>
      <c r="CY1440"/>
    </row>
    <row r="1441" spans="2:103" s="60" customFormat="1" x14ac:dyDescent="0.5">
      <c r="B1441" s="87"/>
      <c r="C1441" s="106"/>
      <c r="D1441" s="91"/>
      <c r="E1441" s="91"/>
      <c r="F1441" s="91"/>
      <c r="G1441" s="91"/>
      <c r="H1441" s="69"/>
      <c r="I1441" s="69"/>
      <c r="CS1441"/>
      <c r="CT1441"/>
      <c r="CU1441"/>
      <c r="CV1441"/>
      <c r="CW1441"/>
      <c r="CX1441"/>
      <c r="CY1441"/>
    </row>
    <row r="1442" spans="2:103" s="60" customFormat="1" x14ac:dyDescent="0.5">
      <c r="B1442" s="87"/>
      <c r="C1442" s="106"/>
      <c r="D1442" s="91"/>
      <c r="E1442" s="91"/>
      <c r="F1442" s="91"/>
      <c r="G1442" s="91"/>
      <c r="H1442" s="69"/>
      <c r="I1442" s="69"/>
      <c r="CS1442"/>
      <c r="CT1442"/>
      <c r="CU1442"/>
      <c r="CV1442"/>
      <c r="CW1442"/>
      <c r="CX1442"/>
      <c r="CY1442"/>
    </row>
    <row r="1443" spans="2:103" s="60" customFormat="1" x14ac:dyDescent="0.5">
      <c r="B1443" s="87"/>
      <c r="C1443" s="106"/>
      <c r="D1443" s="91"/>
      <c r="E1443" s="91"/>
      <c r="F1443" s="91"/>
      <c r="G1443" s="91"/>
      <c r="H1443" s="69"/>
      <c r="I1443" s="69"/>
      <c r="CS1443"/>
      <c r="CT1443"/>
      <c r="CU1443"/>
      <c r="CV1443"/>
      <c r="CW1443"/>
      <c r="CX1443"/>
      <c r="CY1443"/>
    </row>
    <row r="1444" spans="2:103" s="60" customFormat="1" x14ac:dyDescent="0.5">
      <c r="B1444" s="87"/>
      <c r="C1444" s="106"/>
      <c r="D1444" s="91"/>
      <c r="E1444" s="91"/>
      <c r="F1444" s="91"/>
      <c r="G1444" s="91"/>
      <c r="H1444" s="69"/>
      <c r="I1444" s="69"/>
      <c r="CS1444"/>
      <c r="CT1444"/>
      <c r="CU1444"/>
      <c r="CV1444"/>
      <c r="CW1444"/>
      <c r="CX1444"/>
      <c r="CY1444"/>
    </row>
    <row r="1445" spans="2:103" s="60" customFormat="1" x14ac:dyDescent="0.5">
      <c r="B1445" s="87"/>
      <c r="C1445" s="106"/>
      <c r="D1445" s="91"/>
      <c r="E1445" s="91"/>
      <c r="F1445" s="91"/>
      <c r="G1445" s="91"/>
      <c r="H1445" s="69"/>
      <c r="I1445" s="69"/>
      <c r="CS1445"/>
      <c r="CT1445"/>
      <c r="CU1445"/>
      <c r="CV1445"/>
      <c r="CW1445"/>
      <c r="CX1445"/>
      <c r="CY1445"/>
    </row>
    <row r="1446" spans="2:103" s="60" customFormat="1" x14ac:dyDescent="0.5">
      <c r="B1446" s="87"/>
      <c r="C1446" s="106"/>
      <c r="D1446" s="91"/>
      <c r="E1446" s="91"/>
      <c r="F1446" s="91"/>
      <c r="G1446" s="91"/>
      <c r="H1446" s="69"/>
      <c r="I1446" s="69"/>
      <c r="CS1446"/>
      <c r="CT1446"/>
      <c r="CU1446"/>
      <c r="CV1446"/>
      <c r="CW1446"/>
      <c r="CX1446"/>
      <c r="CY1446"/>
    </row>
    <row r="1447" spans="2:103" s="60" customFormat="1" x14ac:dyDescent="0.5">
      <c r="B1447" s="87"/>
      <c r="C1447" s="106"/>
      <c r="D1447" s="91"/>
      <c r="E1447" s="91"/>
      <c r="F1447" s="91"/>
      <c r="G1447" s="91"/>
      <c r="H1447" s="69"/>
      <c r="I1447" s="69"/>
      <c r="CS1447"/>
      <c r="CT1447"/>
      <c r="CU1447"/>
      <c r="CV1447"/>
      <c r="CW1447"/>
      <c r="CX1447"/>
      <c r="CY1447"/>
    </row>
    <row r="1448" spans="2:103" s="60" customFormat="1" x14ac:dyDescent="0.5">
      <c r="B1448" s="87"/>
      <c r="C1448" s="106"/>
      <c r="D1448" s="91"/>
      <c r="E1448" s="91"/>
      <c r="F1448" s="91"/>
      <c r="G1448" s="91"/>
      <c r="H1448" s="69"/>
      <c r="I1448" s="69"/>
      <c r="CS1448"/>
      <c r="CT1448"/>
      <c r="CU1448"/>
      <c r="CV1448"/>
      <c r="CW1448"/>
      <c r="CX1448"/>
      <c r="CY1448"/>
    </row>
    <row r="1449" spans="2:103" s="60" customFormat="1" x14ac:dyDescent="0.5">
      <c r="B1449" s="87"/>
      <c r="C1449" s="106"/>
      <c r="D1449" s="91"/>
      <c r="E1449" s="91"/>
      <c r="F1449" s="91"/>
      <c r="G1449" s="91"/>
      <c r="H1449" s="69"/>
      <c r="I1449" s="69"/>
      <c r="CS1449"/>
      <c r="CT1449"/>
      <c r="CU1449"/>
      <c r="CV1449"/>
      <c r="CW1449"/>
      <c r="CX1449"/>
      <c r="CY1449"/>
    </row>
    <row r="1450" spans="2:103" s="60" customFormat="1" x14ac:dyDescent="0.5">
      <c r="B1450" s="87"/>
      <c r="C1450" s="106"/>
      <c r="D1450" s="91"/>
      <c r="E1450" s="91"/>
      <c r="F1450" s="91"/>
      <c r="G1450" s="91"/>
      <c r="H1450" s="69"/>
      <c r="I1450" s="69"/>
      <c r="CS1450"/>
      <c r="CT1450"/>
      <c r="CU1450"/>
      <c r="CV1450"/>
      <c r="CW1450"/>
      <c r="CX1450"/>
      <c r="CY1450"/>
    </row>
    <row r="1451" spans="2:103" s="60" customFormat="1" x14ac:dyDescent="0.5">
      <c r="B1451" s="87"/>
      <c r="C1451" s="106"/>
      <c r="D1451" s="91"/>
      <c r="E1451" s="91"/>
      <c r="F1451" s="91"/>
      <c r="G1451" s="91"/>
      <c r="H1451" s="69"/>
      <c r="I1451" s="69"/>
      <c r="CS1451"/>
      <c r="CT1451"/>
      <c r="CU1451"/>
      <c r="CV1451"/>
      <c r="CW1451"/>
      <c r="CX1451"/>
      <c r="CY1451"/>
    </row>
    <row r="1452" spans="2:103" s="60" customFormat="1" x14ac:dyDescent="0.5">
      <c r="B1452" s="87"/>
      <c r="C1452" s="106"/>
      <c r="D1452" s="91"/>
      <c r="E1452" s="91"/>
      <c r="F1452" s="91"/>
      <c r="G1452" s="91"/>
      <c r="H1452" s="69"/>
      <c r="I1452" s="69"/>
      <c r="CS1452"/>
      <c r="CT1452"/>
      <c r="CU1452"/>
      <c r="CV1452"/>
      <c r="CW1452"/>
      <c r="CX1452"/>
      <c r="CY1452"/>
    </row>
    <row r="1453" spans="2:103" s="60" customFormat="1" x14ac:dyDescent="0.5">
      <c r="B1453" s="87"/>
      <c r="C1453" s="106"/>
      <c r="D1453" s="91"/>
      <c r="E1453" s="91"/>
      <c r="F1453" s="91"/>
      <c r="G1453" s="91"/>
      <c r="H1453" s="69"/>
      <c r="I1453" s="69"/>
      <c r="CS1453"/>
      <c r="CT1453"/>
      <c r="CU1453"/>
      <c r="CV1453"/>
      <c r="CW1453"/>
      <c r="CX1453"/>
      <c r="CY1453"/>
    </row>
    <row r="1454" spans="2:103" s="60" customFormat="1" x14ac:dyDescent="0.5">
      <c r="B1454" s="87"/>
      <c r="C1454" s="106"/>
      <c r="D1454" s="91"/>
      <c r="E1454" s="91"/>
      <c r="F1454" s="91"/>
      <c r="G1454" s="91"/>
      <c r="H1454" s="69"/>
      <c r="I1454" s="69"/>
      <c r="CS1454"/>
      <c r="CT1454"/>
      <c r="CU1454"/>
      <c r="CV1454"/>
      <c r="CW1454"/>
      <c r="CX1454"/>
      <c r="CY1454"/>
    </row>
    <row r="1455" spans="2:103" s="60" customFormat="1" x14ac:dyDescent="0.5">
      <c r="B1455" s="87"/>
      <c r="C1455" s="106"/>
      <c r="D1455" s="91"/>
      <c r="E1455" s="91"/>
      <c r="F1455" s="91"/>
      <c r="G1455" s="91"/>
      <c r="H1455" s="69"/>
      <c r="I1455" s="69"/>
      <c r="CS1455"/>
      <c r="CT1455"/>
      <c r="CU1455"/>
      <c r="CV1455"/>
      <c r="CW1455"/>
      <c r="CX1455"/>
      <c r="CY1455"/>
    </row>
    <row r="1456" spans="2:103" s="60" customFormat="1" x14ac:dyDescent="0.5">
      <c r="B1456" s="87"/>
      <c r="C1456" s="106"/>
      <c r="D1456" s="91"/>
      <c r="E1456" s="91"/>
      <c r="F1456" s="91"/>
      <c r="G1456" s="91"/>
      <c r="H1456" s="69"/>
      <c r="I1456" s="69"/>
      <c r="CS1456"/>
      <c r="CT1456"/>
      <c r="CU1456"/>
      <c r="CV1456"/>
      <c r="CW1456"/>
      <c r="CX1456"/>
      <c r="CY1456"/>
    </row>
    <row r="1457" spans="2:103" s="60" customFormat="1" x14ac:dyDescent="0.5">
      <c r="B1457" s="87"/>
      <c r="C1457" s="106"/>
      <c r="D1457" s="91"/>
      <c r="E1457" s="91"/>
      <c r="F1457" s="91"/>
      <c r="G1457" s="91"/>
      <c r="H1457" s="69"/>
      <c r="I1457" s="69"/>
      <c r="CS1457"/>
      <c r="CT1457"/>
      <c r="CU1457"/>
      <c r="CV1457"/>
      <c r="CW1457"/>
      <c r="CX1457"/>
      <c r="CY1457"/>
    </row>
    <row r="1458" spans="2:103" s="60" customFormat="1" x14ac:dyDescent="0.5">
      <c r="B1458" s="87"/>
      <c r="C1458" s="106"/>
      <c r="D1458" s="91"/>
      <c r="E1458" s="91"/>
      <c r="F1458" s="91"/>
      <c r="G1458" s="91"/>
      <c r="H1458" s="69"/>
      <c r="I1458" s="69"/>
      <c r="CS1458"/>
      <c r="CT1458"/>
      <c r="CU1458"/>
      <c r="CV1458"/>
      <c r="CW1458"/>
      <c r="CX1458"/>
      <c r="CY1458"/>
    </row>
    <row r="1459" spans="2:103" s="60" customFormat="1" x14ac:dyDescent="0.5">
      <c r="B1459" s="87"/>
      <c r="C1459" s="106"/>
      <c r="D1459" s="91"/>
      <c r="E1459" s="91"/>
      <c r="F1459" s="91"/>
      <c r="G1459" s="91"/>
      <c r="H1459" s="69"/>
      <c r="I1459" s="69"/>
      <c r="CS1459"/>
      <c r="CT1459"/>
      <c r="CU1459"/>
      <c r="CV1459"/>
      <c r="CW1459"/>
      <c r="CX1459"/>
      <c r="CY1459"/>
    </row>
    <row r="1460" spans="2:103" s="60" customFormat="1" x14ac:dyDescent="0.5">
      <c r="B1460" s="87"/>
      <c r="C1460" s="106"/>
      <c r="D1460" s="91"/>
      <c r="E1460" s="91"/>
      <c r="F1460" s="91"/>
      <c r="G1460" s="91"/>
      <c r="H1460" s="69"/>
      <c r="I1460" s="69"/>
      <c r="CS1460"/>
      <c r="CT1460"/>
      <c r="CU1460"/>
      <c r="CV1460"/>
      <c r="CW1460"/>
      <c r="CX1460"/>
      <c r="CY1460"/>
    </row>
    <row r="1461" spans="2:103" s="60" customFormat="1" x14ac:dyDescent="0.5">
      <c r="B1461" s="87"/>
      <c r="C1461" s="106"/>
      <c r="D1461" s="91"/>
      <c r="E1461" s="91"/>
      <c r="F1461" s="91"/>
      <c r="G1461" s="91"/>
      <c r="H1461" s="69"/>
      <c r="I1461" s="69"/>
      <c r="CS1461"/>
      <c r="CT1461"/>
      <c r="CU1461"/>
      <c r="CV1461"/>
      <c r="CW1461"/>
      <c r="CX1461"/>
      <c r="CY1461"/>
    </row>
    <row r="1462" spans="2:103" s="60" customFormat="1" x14ac:dyDescent="0.5">
      <c r="B1462" s="87"/>
      <c r="C1462" s="106"/>
      <c r="D1462" s="91"/>
      <c r="E1462" s="91"/>
      <c r="F1462" s="91"/>
      <c r="G1462" s="91"/>
      <c r="H1462" s="69"/>
      <c r="I1462" s="69"/>
      <c r="CS1462"/>
      <c r="CT1462"/>
      <c r="CU1462"/>
      <c r="CV1462"/>
      <c r="CW1462"/>
      <c r="CX1462"/>
      <c r="CY1462"/>
    </row>
    <row r="1463" spans="2:103" s="60" customFormat="1" x14ac:dyDescent="0.5">
      <c r="B1463" s="87"/>
      <c r="C1463" s="106"/>
      <c r="D1463" s="91"/>
      <c r="E1463" s="91"/>
      <c r="F1463" s="91"/>
      <c r="G1463" s="91"/>
      <c r="H1463" s="69"/>
      <c r="I1463" s="69"/>
      <c r="CS1463"/>
      <c r="CT1463"/>
      <c r="CU1463"/>
      <c r="CV1463"/>
      <c r="CW1463"/>
      <c r="CX1463"/>
      <c r="CY1463"/>
    </row>
    <row r="1464" spans="2:103" s="60" customFormat="1" x14ac:dyDescent="0.5">
      <c r="B1464" s="87"/>
      <c r="C1464" s="106"/>
      <c r="D1464" s="91"/>
      <c r="E1464" s="91"/>
      <c r="F1464" s="91"/>
      <c r="G1464" s="91"/>
      <c r="H1464" s="69"/>
      <c r="I1464" s="69"/>
      <c r="CS1464"/>
      <c r="CT1464"/>
      <c r="CU1464"/>
      <c r="CV1464"/>
      <c r="CW1464"/>
      <c r="CX1464"/>
      <c r="CY1464"/>
    </row>
    <row r="1465" spans="2:103" s="60" customFormat="1" x14ac:dyDescent="0.5">
      <c r="B1465" s="87"/>
      <c r="C1465" s="106"/>
      <c r="D1465" s="91"/>
      <c r="E1465" s="91"/>
      <c r="F1465" s="91"/>
      <c r="G1465" s="91"/>
      <c r="H1465" s="69"/>
      <c r="I1465" s="69"/>
      <c r="CS1465"/>
      <c r="CT1465"/>
      <c r="CU1465"/>
      <c r="CV1465"/>
      <c r="CW1465"/>
      <c r="CX1465"/>
      <c r="CY1465"/>
    </row>
    <row r="1466" spans="2:103" s="60" customFormat="1" x14ac:dyDescent="0.5">
      <c r="B1466" s="87"/>
      <c r="C1466" s="106"/>
      <c r="D1466" s="91"/>
      <c r="E1466" s="91"/>
      <c r="F1466" s="91"/>
      <c r="G1466" s="91"/>
      <c r="H1466" s="69"/>
      <c r="I1466" s="69"/>
      <c r="CS1466"/>
      <c r="CT1466"/>
      <c r="CU1466"/>
      <c r="CV1466"/>
      <c r="CW1466"/>
      <c r="CX1466"/>
      <c r="CY1466"/>
    </row>
    <row r="1467" spans="2:103" s="60" customFormat="1" x14ac:dyDescent="0.5">
      <c r="B1467" s="87"/>
      <c r="C1467" s="106"/>
      <c r="D1467" s="91"/>
      <c r="E1467" s="91"/>
      <c r="F1467" s="91"/>
      <c r="G1467" s="91"/>
      <c r="H1467" s="69"/>
      <c r="I1467" s="69"/>
      <c r="CS1467"/>
      <c r="CT1467"/>
      <c r="CU1467"/>
      <c r="CV1467"/>
      <c r="CW1467"/>
      <c r="CX1467"/>
      <c r="CY1467"/>
    </row>
    <row r="1468" spans="2:103" s="60" customFormat="1" x14ac:dyDescent="0.5">
      <c r="B1468" s="87"/>
      <c r="C1468" s="106"/>
      <c r="D1468" s="91"/>
      <c r="E1468" s="91"/>
      <c r="F1468" s="91"/>
      <c r="G1468" s="91"/>
      <c r="H1468" s="69"/>
      <c r="I1468" s="69"/>
      <c r="CS1468"/>
      <c r="CT1468"/>
      <c r="CU1468"/>
      <c r="CV1468"/>
      <c r="CW1468"/>
      <c r="CX1468"/>
      <c r="CY1468"/>
    </row>
    <row r="1469" spans="2:103" s="60" customFormat="1" x14ac:dyDescent="0.5">
      <c r="B1469" s="87"/>
      <c r="C1469" s="106"/>
      <c r="D1469" s="91"/>
      <c r="E1469" s="91"/>
      <c r="F1469" s="91"/>
      <c r="G1469" s="91"/>
      <c r="H1469" s="69"/>
      <c r="I1469" s="69"/>
      <c r="CS1469"/>
      <c r="CT1469"/>
      <c r="CU1469"/>
      <c r="CV1469"/>
      <c r="CW1469"/>
      <c r="CX1469"/>
      <c r="CY1469"/>
    </row>
    <row r="1470" spans="2:103" s="60" customFormat="1" x14ac:dyDescent="0.5">
      <c r="B1470" s="87"/>
      <c r="C1470" s="106"/>
      <c r="D1470" s="91"/>
      <c r="E1470" s="91"/>
      <c r="F1470" s="91"/>
      <c r="G1470" s="91"/>
      <c r="H1470" s="69"/>
      <c r="I1470" s="69"/>
      <c r="CS1470"/>
      <c r="CT1470"/>
      <c r="CU1470"/>
      <c r="CV1470"/>
      <c r="CW1470"/>
      <c r="CX1470"/>
      <c r="CY1470"/>
    </row>
    <row r="1471" spans="2:103" s="60" customFormat="1" x14ac:dyDescent="0.5">
      <c r="B1471" s="87"/>
      <c r="C1471" s="106"/>
      <c r="D1471" s="91"/>
      <c r="E1471" s="91"/>
      <c r="F1471" s="91"/>
      <c r="G1471" s="91"/>
      <c r="H1471" s="69"/>
      <c r="I1471" s="69"/>
      <c r="CS1471"/>
      <c r="CT1471"/>
      <c r="CU1471"/>
      <c r="CV1471"/>
      <c r="CW1471"/>
      <c r="CX1471"/>
      <c r="CY1471"/>
    </row>
    <row r="1472" spans="2:103" s="60" customFormat="1" x14ac:dyDescent="0.5">
      <c r="B1472" s="87"/>
      <c r="C1472" s="106"/>
      <c r="D1472" s="91"/>
      <c r="E1472" s="91"/>
      <c r="F1472" s="91"/>
      <c r="G1472" s="91"/>
      <c r="H1472" s="69"/>
      <c r="I1472" s="69"/>
      <c r="CS1472"/>
      <c r="CT1472"/>
      <c r="CU1472"/>
      <c r="CV1472"/>
      <c r="CW1472"/>
      <c r="CX1472"/>
      <c r="CY1472"/>
    </row>
    <row r="1473" spans="2:103" s="60" customFormat="1" x14ac:dyDescent="0.5">
      <c r="B1473" s="87"/>
      <c r="C1473" s="106"/>
      <c r="D1473" s="91"/>
      <c r="E1473" s="91"/>
      <c r="F1473" s="91"/>
      <c r="G1473" s="91"/>
      <c r="H1473" s="69"/>
      <c r="I1473" s="69"/>
      <c r="CS1473"/>
      <c r="CT1473"/>
      <c r="CU1473"/>
      <c r="CV1473"/>
      <c r="CW1473"/>
      <c r="CX1473"/>
      <c r="CY1473"/>
    </row>
    <row r="1474" spans="2:103" s="60" customFormat="1" x14ac:dyDescent="0.5">
      <c r="B1474" s="87"/>
      <c r="C1474" s="106"/>
      <c r="D1474" s="91"/>
      <c r="E1474" s="91"/>
      <c r="F1474" s="91"/>
      <c r="G1474" s="91"/>
      <c r="H1474" s="69"/>
      <c r="I1474" s="69"/>
      <c r="CS1474"/>
      <c r="CT1474"/>
      <c r="CU1474"/>
      <c r="CV1474"/>
      <c r="CW1474"/>
      <c r="CX1474"/>
      <c r="CY1474"/>
    </row>
    <row r="1475" spans="2:103" s="60" customFormat="1" x14ac:dyDescent="0.5">
      <c r="B1475" s="87"/>
      <c r="C1475" s="106"/>
      <c r="D1475" s="91"/>
      <c r="E1475" s="91"/>
      <c r="F1475" s="91"/>
      <c r="G1475" s="91"/>
      <c r="H1475" s="69"/>
      <c r="I1475" s="69"/>
      <c r="CS1475"/>
      <c r="CT1475"/>
      <c r="CU1475"/>
      <c r="CV1475"/>
      <c r="CW1475"/>
      <c r="CX1475"/>
      <c r="CY1475"/>
    </row>
    <row r="1476" spans="2:103" s="60" customFormat="1" x14ac:dyDescent="0.5">
      <c r="B1476" s="87"/>
      <c r="C1476" s="106"/>
      <c r="D1476" s="91"/>
      <c r="E1476" s="91"/>
      <c r="F1476" s="91"/>
      <c r="G1476" s="91"/>
      <c r="H1476" s="69"/>
      <c r="I1476" s="69"/>
      <c r="CS1476"/>
      <c r="CT1476"/>
      <c r="CU1476"/>
      <c r="CV1476"/>
      <c r="CW1476"/>
      <c r="CX1476"/>
      <c r="CY1476"/>
    </row>
    <row r="1477" spans="2:103" s="60" customFormat="1" x14ac:dyDescent="0.5">
      <c r="B1477" s="87"/>
      <c r="C1477" s="106"/>
      <c r="D1477" s="91"/>
      <c r="E1477" s="91"/>
      <c r="F1477" s="91"/>
      <c r="G1477" s="91"/>
      <c r="H1477" s="69"/>
      <c r="I1477" s="69"/>
      <c r="CS1477"/>
      <c r="CT1477"/>
      <c r="CU1477"/>
      <c r="CV1477"/>
      <c r="CW1477"/>
      <c r="CX1477"/>
      <c r="CY1477"/>
    </row>
    <row r="1478" spans="2:103" s="60" customFormat="1" x14ac:dyDescent="0.5">
      <c r="B1478" s="87"/>
      <c r="C1478" s="106"/>
      <c r="D1478" s="91"/>
      <c r="E1478" s="91"/>
      <c r="F1478" s="91"/>
      <c r="G1478" s="91"/>
      <c r="H1478" s="69"/>
      <c r="I1478" s="69"/>
      <c r="CS1478"/>
      <c r="CT1478"/>
      <c r="CU1478"/>
      <c r="CV1478"/>
      <c r="CW1478"/>
      <c r="CX1478"/>
      <c r="CY1478"/>
    </row>
    <row r="1479" spans="2:103" s="60" customFormat="1" x14ac:dyDescent="0.5">
      <c r="B1479" s="87"/>
      <c r="C1479" s="106"/>
      <c r="D1479" s="91"/>
      <c r="E1479" s="91"/>
      <c r="F1479" s="91"/>
      <c r="G1479" s="91"/>
      <c r="H1479" s="69"/>
      <c r="I1479" s="69"/>
      <c r="CS1479"/>
      <c r="CT1479"/>
      <c r="CU1479"/>
      <c r="CV1479"/>
      <c r="CW1479"/>
      <c r="CX1479"/>
      <c r="CY1479"/>
    </row>
    <row r="1480" spans="2:103" s="60" customFormat="1" x14ac:dyDescent="0.5">
      <c r="B1480" s="87"/>
      <c r="C1480" s="106"/>
      <c r="D1480" s="91"/>
      <c r="E1480" s="91"/>
      <c r="F1480" s="91"/>
      <c r="G1480" s="91"/>
      <c r="H1480" s="69"/>
      <c r="I1480" s="69"/>
      <c r="CS1480"/>
      <c r="CT1480"/>
      <c r="CU1480"/>
      <c r="CV1480"/>
      <c r="CW1480"/>
      <c r="CX1480"/>
      <c r="CY1480"/>
    </row>
    <row r="1481" spans="2:103" s="60" customFormat="1" x14ac:dyDescent="0.5">
      <c r="B1481" s="87"/>
      <c r="C1481" s="106"/>
      <c r="D1481" s="91"/>
      <c r="E1481" s="91"/>
      <c r="F1481" s="91"/>
      <c r="G1481" s="91"/>
      <c r="H1481" s="69"/>
      <c r="I1481" s="69"/>
      <c r="CS1481"/>
      <c r="CT1481"/>
      <c r="CU1481"/>
      <c r="CV1481"/>
      <c r="CW1481"/>
      <c r="CX1481"/>
      <c r="CY1481"/>
    </row>
    <row r="1482" spans="2:103" s="60" customFormat="1" x14ac:dyDescent="0.5">
      <c r="B1482" s="87"/>
      <c r="C1482" s="106"/>
      <c r="D1482" s="91"/>
      <c r="E1482" s="91"/>
      <c r="F1482" s="91"/>
      <c r="G1482" s="91"/>
      <c r="H1482" s="69"/>
      <c r="I1482" s="69"/>
      <c r="CS1482"/>
      <c r="CT1482"/>
      <c r="CU1482"/>
      <c r="CV1482"/>
      <c r="CW1482"/>
      <c r="CX1482"/>
      <c r="CY1482"/>
    </row>
    <row r="1483" spans="2:103" s="60" customFormat="1" x14ac:dyDescent="0.5">
      <c r="B1483" s="87"/>
      <c r="C1483" s="106"/>
      <c r="D1483" s="91"/>
      <c r="E1483" s="91"/>
      <c r="F1483" s="91"/>
      <c r="G1483" s="91"/>
      <c r="H1483" s="69"/>
      <c r="I1483" s="69"/>
      <c r="CS1483"/>
      <c r="CT1483"/>
      <c r="CU1483"/>
      <c r="CV1483"/>
      <c r="CW1483"/>
      <c r="CX1483"/>
      <c r="CY1483"/>
    </row>
    <row r="1484" spans="2:103" s="60" customFormat="1" x14ac:dyDescent="0.5">
      <c r="B1484" s="87"/>
      <c r="C1484" s="106"/>
      <c r="D1484" s="91"/>
      <c r="E1484" s="91"/>
      <c r="F1484" s="91"/>
      <c r="G1484" s="91"/>
      <c r="H1484" s="69"/>
      <c r="I1484" s="69"/>
      <c r="CS1484"/>
      <c r="CT1484"/>
      <c r="CU1484"/>
      <c r="CV1484"/>
      <c r="CW1484"/>
      <c r="CX1484"/>
      <c r="CY1484"/>
    </row>
    <row r="1485" spans="2:103" s="60" customFormat="1" x14ac:dyDescent="0.5">
      <c r="B1485" s="87"/>
      <c r="C1485" s="106"/>
      <c r="D1485" s="91"/>
      <c r="E1485" s="91"/>
      <c r="F1485" s="91"/>
      <c r="G1485" s="91"/>
      <c r="H1485" s="69"/>
      <c r="I1485" s="69"/>
      <c r="CS1485"/>
      <c r="CT1485"/>
      <c r="CU1485"/>
      <c r="CV1485"/>
      <c r="CW1485"/>
      <c r="CX1485"/>
      <c r="CY1485"/>
    </row>
    <row r="1486" spans="2:103" s="60" customFormat="1" x14ac:dyDescent="0.5">
      <c r="B1486" s="87"/>
      <c r="C1486" s="106"/>
      <c r="D1486" s="91"/>
      <c r="E1486" s="91"/>
      <c r="F1486" s="91"/>
      <c r="G1486" s="91"/>
      <c r="H1486" s="69"/>
      <c r="I1486" s="69"/>
      <c r="CS1486"/>
      <c r="CT1486"/>
      <c r="CU1486"/>
      <c r="CV1486"/>
      <c r="CW1486"/>
      <c r="CX1486"/>
      <c r="CY1486"/>
    </row>
    <row r="1487" spans="2:103" s="60" customFormat="1" x14ac:dyDescent="0.5">
      <c r="B1487" s="87"/>
      <c r="C1487" s="106"/>
      <c r="D1487" s="91"/>
      <c r="E1487" s="91"/>
      <c r="F1487" s="91"/>
      <c r="G1487" s="91"/>
      <c r="H1487" s="69"/>
      <c r="I1487" s="69"/>
      <c r="CS1487"/>
      <c r="CT1487"/>
      <c r="CU1487"/>
      <c r="CV1487"/>
      <c r="CW1487"/>
      <c r="CX1487"/>
      <c r="CY1487"/>
    </row>
    <row r="1488" spans="2:103" s="60" customFormat="1" x14ac:dyDescent="0.5">
      <c r="B1488" s="87"/>
      <c r="C1488" s="106"/>
      <c r="D1488" s="91"/>
      <c r="E1488" s="91"/>
      <c r="F1488" s="91"/>
      <c r="G1488" s="91"/>
      <c r="H1488" s="69"/>
      <c r="I1488" s="69"/>
      <c r="CS1488"/>
      <c r="CT1488"/>
      <c r="CU1488"/>
      <c r="CV1488"/>
      <c r="CW1488"/>
      <c r="CX1488"/>
      <c r="CY1488"/>
    </row>
    <row r="1489" spans="2:103" s="60" customFormat="1" x14ac:dyDescent="0.5">
      <c r="B1489" s="87"/>
      <c r="C1489" s="106"/>
      <c r="D1489" s="91"/>
      <c r="E1489" s="91"/>
      <c r="F1489" s="91"/>
      <c r="G1489" s="91"/>
      <c r="H1489" s="69"/>
      <c r="I1489" s="69"/>
      <c r="CS1489"/>
      <c r="CT1489"/>
      <c r="CU1489"/>
      <c r="CV1489"/>
      <c r="CW1489"/>
      <c r="CX1489"/>
      <c r="CY1489"/>
    </row>
    <row r="1490" spans="2:103" s="60" customFormat="1" x14ac:dyDescent="0.5">
      <c r="B1490" s="87"/>
      <c r="C1490" s="106"/>
      <c r="D1490" s="91"/>
      <c r="E1490" s="91"/>
      <c r="F1490" s="91"/>
      <c r="G1490" s="91"/>
      <c r="H1490" s="69"/>
      <c r="I1490" s="69"/>
      <c r="CS1490"/>
      <c r="CT1490"/>
      <c r="CU1490"/>
      <c r="CV1490"/>
      <c r="CW1490"/>
      <c r="CX1490"/>
      <c r="CY1490"/>
    </row>
    <row r="1491" spans="2:103" s="60" customFormat="1" x14ac:dyDescent="0.5">
      <c r="B1491" s="87"/>
      <c r="C1491" s="106"/>
      <c r="D1491" s="91"/>
      <c r="E1491" s="91"/>
      <c r="F1491" s="91"/>
      <c r="G1491" s="91"/>
      <c r="H1491" s="69"/>
      <c r="I1491" s="69"/>
      <c r="CS1491"/>
      <c r="CT1491"/>
      <c r="CU1491"/>
      <c r="CV1491"/>
      <c r="CW1491"/>
      <c r="CX1491"/>
      <c r="CY1491"/>
    </row>
    <row r="1492" spans="2:103" s="60" customFormat="1" x14ac:dyDescent="0.5">
      <c r="B1492" s="87"/>
      <c r="C1492" s="106"/>
      <c r="D1492" s="91"/>
      <c r="E1492" s="91"/>
      <c r="F1492" s="91"/>
      <c r="G1492" s="91"/>
      <c r="H1492" s="69"/>
      <c r="I1492" s="69"/>
      <c r="CS1492"/>
      <c r="CT1492"/>
      <c r="CU1492"/>
      <c r="CV1492"/>
      <c r="CW1492"/>
      <c r="CX1492"/>
      <c r="CY1492"/>
    </row>
    <row r="1493" spans="2:103" s="60" customFormat="1" x14ac:dyDescent="0.5">
      <c r="B1493" s="87"/>
      <c r="C1493" s="106"/>
      <c r="D1493" s="91"/>
      <c r="E1493" s="91"/>
      <c r="F1493" s="91"/>
      <c r="G1493" s="91"/>
      <c r="H1493" s="69"/>
      <c r="I1493" s="69"/>
      <c r="CS1493"/>
      <c r="CT1493"/>
      <c r="CU1493"/>
      <c r="CV1493"/>
      <c r="CW1493"/>
      <c r="CX1493"/>
      <c r="CY1493"/>
    </row>
    <row r="1494" spans="2:103" s="60" customFormat="1" x14ac:dyDescent="0.5">
      <c r="B1494" s="87"/>
      <c r="C1494" s="106"/>
      <c r="D1494" s="91"/>
      <c r="E1494" s="91"/>
      <c r="F1494" s="91"/>
      <c r="G1494" s="91"/>
      <c r="H1494" s="69"/>
      <c r="I1494" s="69"/>
      <c r="CS1494"/>
      <c r="CT1494"/>
      <c r="CU1494"/>
      <c r="CV1494"/>
      <c r="CW1494"/>
      <c r="CX1494"/>
      <c r="CY1494"/>
    </row>
    <row r="1495" spans="2:103" s="60" customFormat="1" x14ac:dyDescent="0.5">
      <c r="B1495" s="87"/>
      <c r="C1495" s="106"/>
      <c r="D1495" s="91"/>
      <c r="E1495" s="91"/>
      <c r="F1495" s="91"/>
      <c r="G1495" s="91"/>
      <c r="H1495" s="69"/>
      <c r="I1495" s="69"/>
      <c r="CS1495"/>
      <c r="CT1495"/>
      <c r="CU1495"/>
      <c r="CV1495"/>
      <c r="CW1495"/>
      <c r="CX1495"/>
      <c r="CY1495"/>
    </row>
    <row r="1496" spans="2:103" s="60" customFormat="1" x14ac:dyDescent="0.5">
      <c r="B1496" s="87"/>
      <c r="C1496" s="106"/>
      <c r="D1496" s="91"/>
      <c r="E1496" s="91"/>
      <c r="F1496" s="91"/>
      <c r="G1496" s="91"/>
      <c r="H1496" s="69"/>
      <c r="I1496" s="69"/>
      <c r="CS1496"/>
      <c r="CT1496"/>
      <c r="CU1496"/>
      <c r="CV1496"/>
      <c r="CW1496"/>
      <c r="CX1496"/>
      <c r="CY1496"/>
    </row>
    <row r="1497" spans="2:103" s="60" customFormat="1" x14ac:dyDescent="0.5">
      <c r="B1497" s="87"/>
      <c r="C1497" s="106"/>
      <c r="D1497" s="91"/>
      <c r="E1497" s="91"/>
      <c r="F1497" s="91"/>
      <c r="G1497" s="91"/>
      <c r="H1497" s="69"/>
      <c r="I1497" s="69"/>
      <c r="CS1497"/>
      <c r="CT1497"/>
      <c r="CU1497"/>
      <c r="CV1497"/>
      <c r="CW1497"/>
      <c r="CX1497"/>
      <c r="CY1497"/>
    </row>
    <row r="1498" spans="2:103" s="60" customFormat="1" x14ac:dyDescent="0.5">
      <c r="B1498" s="87"/>
      <c r="C1498" s="106"/>
      <c r="D1498" s="91"/>
      <c r="E1498" s="91"/>
      <c r="F1498" s="91"/>
      <c r="G1498" s="91"/>
      <c r="H1498" s="69"/>
      <c r="I1498" s="69"/>
      <c r="CS1498"/>
      <c r="CT1498"/>
      <c r="CU1498"/>
      <c r="CV1498"/>
      <c r="CW1498"/>
      <c r="CX1498"/>
      <c r="CY1498"/>
    </row>
    <row r="1499" spans="2:103" s="60" customFormat="1" x14ac:dyDescent="0.5">
      <c r="B1499" s="87"/>
      <c r="C1499" s="106"/>
      <c r="D1499" s="91"/>
      <c r="E1499" s="91"/>
      <c r="F1499" s="91"/>
      <c r="G1499" s="91"/>
      <c r="H1499" s="69"/>
      <c r="I1499" s="69"/>
      <c r="CS1499"/>
      <c r="CT1499"/>
      <c r="CU1499"/>
      <c r="CV1499"/>
      <c r="CW1499"/>
      <c r="CX1499"/>
      <c r="CY1499"/>
    </row>
    <row r="1500" spans="2:103" s="60" customFormat="1" x14ac:dyDescent="0.5">
      <c r="B1500" s="87"/>
      <c r="C1500" s="106"/>
      <c r="D1500" s="91"/>
      <c r="E1500" s="91"/>
      <c r="F1500" s="91"/>
      <c r="G1500" s="91"/>
      <c r="H1500" s="69"/>
      <c r="I1500" s="69"/>
      <c r="CS1500"/>
      <c r="CT1500"/>
      <c r="CU1500"/>
      <c r="CV1500"/>
      <c r="CW1500"/>
      <c r="CX1500"/>
      <c r="CY1500"/>
    </row>
    <row r="1501" spans="2:103" s="60" customFormat="1" x14ac:dyDescent="0.5">
      <c r="B1501" s="87"/>
      <c r="C1501" s="106"/>
      <c r="D1501" s="91"/>
      <c r="E1501" s="91"/>
      <c r="F1501" s="91"/>
      <c r="G1501" s="91"/>
      <c r="H1501" s="69"/>
      <c r="I1501" s="69"/>
      <c r="CS1501"/>
      <c r="CT1501"/>
      <c r="CU1501"/>
      <c r="CV1501"/>
      <c r="CW1501"/>
      <c r="CX1501"/>
      <c r="CY1501"/>
    </row>
    <row r="1502" spans="2:103" s="60" customFormat="1" x14ac:dyDescent="0.5">
      <c r="B1502" s="87"/>
      <c r="C1502" s="106"/>
      <c r="D1502" s="91"/>
      <c r="E1502" s="91"/>
      <c r="F1502" s="91"/>
      <c r="G1502" s="91"/>
      <c r="H1502" s="69"/>
      <c r="I1502" s="69"/>
      <c r="CS1502"/>
      <c r="CT1502"/>
      <c r="CU1502"/>
      <c r="CV1502"/>
      <c r="CW1502"/>
      <c r="CX1502"/>
      <c r="CY1502"/>
    </row>
    <row r="1503" spans="2:103" s="60" customFormat="1" x14ac:dyDescent="0.5">
      <c r="B1503" s="87"/>
      <c r="C1503" s="106"/>
      <c r="D1503" s="91"/>
      <c r="E1503" s="91"/>
      <c r="F1503" s="91"/>
      <c r="G1503" s="91"/>
      <c r="H1503" s="69"/>
      <c r="I1503" s="69"/>
      <c r="CS1503"/>
      <c r="CT1503"/>
      <c r="CU1503"/>
      <c r="CV1503"/>
      <c r="CW1503"/>
      <c r="CX1503"/>
      <c r="CY1503"/>
    </row>
    <row r="1504" spans="2:103" s="60" customFormat="1" x14ac:dyDescent="0.5">
      <c r="B1504" s="87"/>
      <c r="C1504" s="106"/>
      <c r="D1504" s="91"/>
      <c r="E1504" s="91"/>
      <c r="F1504" s="91"/>
      <c r="G1504" s="91"/>
      <c r="H1504" s="69"/>
      <c r="I1504" s="69"/>
      <c r="CS1504"/>
      <c r="CT1504"/>
      <c r="CU1504"/>
      <c r="CV1504"/>
      <c r="CW1504"/>
      <c r="CX1504"/>
      <c r="CY1504"/>
    </row>
    <row r="1505" spans="2:103" s="60" customFormat="1" x14ac:dyDescent="0.5">
      <c r="B1505" s="87"/>
      <c r="C1505" s="106"/>
      <c r="D1505" s="91"/>
      <c r="E1505" s="91"/>
      <c r="F1505" s="91"/>
      <c r="G1505" s="91"/>
      <c r="H1505" s="69"/>
      <c r="I1505" s="69"/>
      <c r="CS1505"/>
      <c r="CT1505"/>
      <c r="CU1505"/>
      <c r="CV1505"/>
      <c r="CW1505"/>
      <c r="CX1505"/>
      <c r="CY1505"/>
    </row>
    <row r="1506" spans="2:103" s="60" customFormat="1" x14ac:dyDescent="0.5">
      <c r="B1506" s="87"/>
      <c r="C1506" s="106"/>
      <c r="D1506" s="91"/>
      <c r="E1506" s="91"/>
      <c r="F1506" s="91"/>
      <c r="G1506" s="91"/>
      <c r="H1506" s="69"/>
      <c r="I1506" s="69"/>
      <c r="CS1506"/>
      <c r="CT1506"/>
      <c r="CU1506"/>
      <c r="CV1506"/>
      <c r="CW1506"/>
      <c r="CX1506"/>
      <c r="CY1506"/>
    </row>
    <row r="1507" spans="2:103" s="60" customFormat="1" x14ac:dyDescent="0.5">
      <c r="B1507" s="87"/>
      <c r="C1507" s="106"/>
      <c r="D1507" s="91"/>
      <c r="E1507" s="91"/>
      <c r="F1507" s="91"/>
      <c r="G1507" s="91"/>
      <c r="H1507" s="69"/>
      <c r="I1507" s="69"/>
      <c r="CS1507"/>
      <c r="CT1507"/>
      <c r="CU1507"/>
      <c r="CV1507"/>
      <c r="CW1507"/>
      <c r="CX1507"/>
      <c r="CY1507"/>
    </row>
    <row r="1508" spans="2:103" s="60" customFormat="1" x14ac:dyDescent="0.5">
      <c r="B1508" s="87"/>
      <c r="C1508" s="106"/>
      <c r="D1508" s="91"/>
      <c r="E1508" s="91"/>
      <c r="F1508" s="91"/>
      <c r="G1508" s="91"/>
      <c r="H1508" s="69"/>
      <c r="I1508" s="69"/>
      <c r="CS1508"/>
      <c r="CT1508"/>
      <c r="CU1508"/>
      <c r="CV1508"/>
      <c r="CW1508"/>
      <c r="CX1508"/>
      <c r="CY1508"/>
    </row>
    <row r="1509" spans="2:103" s="60" customFormat="1" x14ac:dyDescent="0.5">
      <c r="B1509" s="87"/>
      <c r="C1509" s="106"/>
      <c r="D1509" s="91"/>
      <c r="E1509" s="91"/>
      <c r="F1509" s="91"/>
      <c r="G1509" s="91"/>
      <c r="H1509" s="69"/>
      <c r="I1509" s="69"/>
      <c r="CS1509"/>
      <c r="CT1509"/>
      <c r="CU1509"/>
      <c r="CV1509"/>
      <c r="CW1509"/>
      <c r="CX1509"/>
      <c r="CY1509"/>
    </row>
    <row r="1510" spans="2:103" s="60" customFormat="1" x14ac:dyDescent="0.5">
      <c r="B1510" s="87"/>
      <c r="C1510" s="106"/>
      <c r="D1510" s="91"/>
      <c r="E1510" s="91"/>
      <c r="F1510" s="91"/>
      <c r="G1510" s="91"/>
      <c r="H1510" s="69"/>
      <c r="I1510" s="69"/>
      <c r="CS1510"/>
      <c r="CT1510"/>
      <c r="CU1510"/>
      <c r="CV1510"/>
      <c r="CW1510"/>
      <c r="CX1510"/>
      <c r="CY1510"/>
    </row>
    <row r="1511" spans="2:103" s="60" customFormat="1" x14ac:dyDescent="0.5">
      <c r="B1511" s="87"/>
      <c r="C1511" s="106"/>
      <c r="D1511" s="91"/>
      <c r="E1511" s="91"/>
      <c r="F1511" s="91"/>
      <c r="G1511" s="91"/>
      <c r="H1511" s="69"/>
      <c r="I1511" s="69"/>
      <c r="CS1511"/>
      <c r="CT1511"/>
      <c r="CU1511"/>
      <c r="CV1511"/>
      <c r="CW1511"/>
      <c r="CX1511"/>
      <c r="CY1511"/>
    </row>
    <row r="1512" spans="2:103" s="60" customFormat="1" x14ac:dyDescent="0.5">
      <c r="B1512" s="87"/>
      <c r="C1512" s="106"/>
      <c r="D1512" s="91"/>
      <c r="E1512" s="91"/>
      <c r="F1512" s="91"/>
      <c r="G1512" s="91"/>
      <c r="H1512" s="69"/>
      <c r="I1512" s="69"/>
      <c r="CS1512"/>
      <c r="CT1512"/>
      <c r="CU1512"/>
      <c r="CV1512"/>
      <c r="CW1512"/>
      <c r="CX1512"/>
      <c r="CY1512"/>
    </row>
    <row r="1513" spans="2:103" s="60" customFormat="1" x14ac:dyDescent="0.5">
      <c r="B1513" s="87"/>
      <c r="C1513" s="106"/>
      <c r="D1513" s="91"/>
      <c r="E1513" s="91"/>
      <c r="F1513" s="91"/>
      <c r="G1513" s="91"/>
      <c r="H1513" s="69"/>
      <c r="I1513" s="69"/>
      <c r="CS1513"/>
      <c r="CT1513"/>
      <c r="CU1513"/>
      <c r="CV1513"/>
      <c r="CW1513"/>
      <c r="CX1513"/>
      <c r="CY1513"/>
    </row>
    <row r="1514" spans="2:103" s="60" customFormat="1" x14ac:dyDescent="0.5">
      <c r="B1514" s="87"/>
      <c r="C1514" s="106"/>
      <c r="D1514" s="91"/>
      <c r="E1514" s="91"/>
      <c r="F1514" s="91"/>
      <c r="G1514" s="91"/>
      <c r="H1514" s="69"/>
      <c r="I1514" s="69"/>
      <c r="CS1514"/>
      <c r="CT1514"/>
      <c r="CU1514"/>
      <c r="CV1514"/>
      <c r="CW1514"/>
      <c r="CX1514"/>
      <c r="CY1514"/>
    </row>
    <row r="1515" spans="2:103" s="60" customFormat="1" x14ac:dyDescent="0.5">
      <c r="B1515" s="87"/>
      <c r="C1515" s="106"/>
      <c r="D1515" s="91"/>
      <c r="E1515" s="91"/>
      <c r="F1515" s="91"/>
      <c r="G1515" s="91"/>
      <c r="H1515" s="69"/>
      <c r="I1515" s="69"/>
      <c r="CS1515"/>
      <c r="CT1515"/>
      <c r="CU1515"/>
      <c r="CV1515"/>
      <c r="CW1515"/>
      <c r="CX1515"/>
      <c r="CY1515"/>
    </row>
    <row r="1516" spans="2:103" s="60" customFormat="1" x14ac:dyDescent="0.5">
      <c r="B1516" s="87"/>
      <c r="C1516" s="106"/>
      <c r="D1516" s="91"/>
      <c r="E1516" s="91"/>
      <c r="F1516" s="91"/>
      <c r="G1516" s="91"/>
      <c r="H1516" s="69"/>
      <c r="I1516" s="69"/>
      <c r="CS1516"/>
      <c r="CT1516"/>
      <c r="CU1516"/>
      <c r="CV1516"/>
      <c r="CW1516"/>
      <c r="CX1516"/>
      <c r="CY1516"/>
    </row>
    <row r="1517" spans="2:103" s="60" customFormat="1" x14ac:dyDescent="0.5">
      <c r="B1517" s="87"/>
      <c r="C1517" s="106"/>
      <c r="D1517" s="91"/>
      <c r="E1517" s="91"/>
      <c r="F1517" s="91"/>
      <c r="G1517" s="91"/>
      <c r="H1517" s="69"/>
      <c r="I1517" s="69"/>
      <c r="CS1517"/>
      <c r="CT1517"/>
      <c r="CU1517"/>
      <c r="CV1517"/>
      <c r="CW1517"/>
      <c r="CX1517"/>
      <c r="CY1517"/>
    </row>
    <row r="1518" spans="2:103" s="60" customFormat="1" x14ac:dyDescent="0.5">
      <c r="B1518" s="87"/>
      <c r="C1518" s="106"/>
      <c r="D1518" s="91"/>
      <c r="E1518" s="91"/>
      <c r="F1518" s="91"/>
      <c r="G1518" s="91"/>
      <c r="H1518" s="69"/>
      <c r="I1518" s="69"/>
      <c r="CS1518"/>
      <c r="CT1518"/>
      <c r="CU1518"/>
      <c r="CV1518"/>
      <c r="CW1518"/>
      <c r="CX1518"/>
      <c r="CY1518"/>
    </row>
    <row r="1519" spans="2:103" s="60" customFormat="1" x14ac:dyDescent="0.5">
      <c r="B1519" s="87"/>
      <c r="C1519" s="106"/>
      <c r="D1519" s="91"/>
      <c r="E1519" s="91"/>
      <c r="F1519" s="91"/>
      <c r="G1519" s="91"/>
      <c r="H1519" s="69"/>
      <c r="I1519" s="69"/>
      <c r="CS1519"/>
      <c r="CT1519"/>
      <c r="CU1519"/>
      <c r="CV1519"/>
      <c r="CW1519"/>
      <c r="CX1519"/>
      <c r="CY1519"/>
    </row>
    <row r="1520" spans="2:103" s="60" customFormat="1" x14ac:dyDescent="0.5">
      <c r="B1520" s="87"/>
      <c r="C1520" s="106"/>
      <c r="D1520" s="91"/>
      <c r="E1520" s="91"/>
      <c r="F1520" s="91"/>
      <c r="G1520" s="91"/>
      <c r="H1520" s="69"/>
      <c r="I1520" s="69"/>
      <c r="CS1520"/>
      <c r="CT1520"/>
      <c r="CU1520"/>
      <c r="CV1520"/>
      <c r="CW1520"/>
      <c r="CX1520"/>
      <c r="CY1520"/>
    </row>
    <row r="1521" spans="2:103" s="60" customFormat="1" x14ac:dyDescent="0.5">
      <c r="B1521" s="87"/>
      <c r="C1521" s="106"/>
      <c r="D1521" s="91"/>
      <c r="E1521" s="91"/>
      <c r="F1521" s="91"/>
      <c r="G1521" s="91"/>
      <c r="H1521" s="69"/>
      <c r="I1521" s="69"/>
      <c r="CS1521"/>
      <c r="CT1521"/>
      <c r="CU1521"/>
      <c r="CV1521"/>
      <c r="CW1521"/>
      <c r="CX1521"/>
      <c r="CY1521"/>
    </row>
    <row r="1522" spans="2:103" s="60" customFormat="1" x14ac:dyDescent="0.5">
      <c r="B1522" s="87"/>
      <c r="C1522" s="106"/>
      <c r="D1522" s="91"/>
      <c r="E1522" s="91"/>
      <c r="F1522" s="91"/>
      <c r="G1522" s="91"/>
      <c r="H1522" s="69"/>
      <c r="I1522" s="69"/>
      <c r="CS1522"/>
      <c r="CT1522"/>
      <c r="CU1522"/>
      <c r="CV1522"/>
      <c r="CW1522"/>
      <c r="CX1522"/>
      <c r="CY1522"/>
    </row>
    <row r="1523" spans="2:103" s="60" customFormat="1" x14ac:dyDescent="0.5">
      <c r="B1523" s="87"/>
      <c r="C1523" s="106"/>
      <c r="D1523" s="91"/>
      <c r="E1523" s="91"/>
      <c r="F1523" s="91"/>
      <c r="G1523" s="91"/>
      <c r="H1523" s="69"/>
      <c r="I1523" s="69"/>
      <c r="CS1523"/>
      <c r="CT1523"/>
      <c r="CU1523"/>
      <c r="CV1523"/>
      <c r="CW1523"/>
      <c r="CX1523"/>
      <c r="CY1523"/>
    </row>
    <row r="1524" spans="2:103" s="60" customFormat="1" x14ac:dyDescent="0.5">
      <c r="B1524" s="87"/>
      <c r="C1524" s="106"/>
      <c r="D1524" s="91"/>
      <c r="E1524" s="91"/>
      <c r="F1524" s="91"/>
      <c r="G1524" s="91"/>
      <c r="H1524" s="69"/>
      <c r="I1524" s="69"/>
      <c r="CS1524"/>
      <c r="CT1524"/>
      <c r="CU1524"/>
      <c r="CV1524"/>
      <c r="CW1524"/>
      <c r="CX1524"/>
      <c r="CY1524"/>
    </row>
    <row r="1525" spans="2:103" s="60" customFormat="1" x14ac:dyDescent="0.5">
      <c r="B1525" s="87"/>
      <c r="C1525" s="106"/>
      <c r="D1525" s="91"/>
      <c r="E1525" s="91"/>
      <c r="F1525" s="91"/>
      <c r="G1525" s="91"/>
      <c r="H1525" s="69"/>
      <c r="I1525" s="69"/>
      <c r="CS1525"/>
      <c r="CT1525"/>
      <c r="CU1525"/>
      <c r="CV1525"/>
      <c r="CW1525"/>
      <c r="CX1525"/>
      <c r="CY1525"/>
    </row>
    <row r="1526" spans="2:103" s="60" customFormat="1" x14ac:dyDescent="0.5">
      <c r="B1526" s="87"/>
      <c r="C1526" s="106"/>
      <c r="D1526" s="91"/>
      <c r="E1526" s="91"/>
      <c r="F1526" s="91"/>
      <c r="G1526" s="91"/>
      <c r="H1526" s="69"/>
      <c r="I1526" s="69"/>
      <c r="CS1526"/>
      <c r="CT1526"/>
      <c r="CU1526"/>
      <c r="CV1526"/>
      <c r="CW1526"/>
      <c r="CX1526"/>
      <c r="CY1526"/>
    </row>
    <row r="1527" spans="2:103" s="60" customFormat="1" x14ac:dyDescent="0.5">
      <c r="B1527" s="87"/>
      <c r="C1527" s="106"/>
      <c r="D1527" s="91"/>
      <c r="E1527" s="91"/>
      <c r="F1527" s="91"/>
      <c r="G1527" s="91"/>
      <c r="H1527" s="69"/>
      <c r="I1527" s="69"/>
      <c r="CS1527"/>
      <c r="CT1527"/>
      <c r="CU1527"/>
      <c r="CV1527"/>
      <c r="CW1527"/>
      <c r="CX1527"/>
      <c r="CY1527"/>
    </row>
    <row r="1528" spans="2:103" s="60" customFormat="1" x14ac:dyDescent="0.5">
      <c r="B1528" s="87"/>
      <c r="C1528" s="106"/>
      <c r="D1528" s="91"/>
      <c r="E1528" s="91"/>
      <c r="F1528" s="91"/>
      <c r="G1528" s="91"/>
      <c r="H1528" s="69"/>
      <c r="I1528" s="69"/>
      <c r="CS1528"/>
      <c r="CT1528"/>
      <c r="CU1528"/>
      <c r="CV1528"/>
      <c r="CW1528"/>
      <c r="CX1528"/>
      <c r="CY1528"/>
    </row>
    <row r="1529" spans="2:103" s="60" customFormat="1" x14ac:dyDescent="0.5">
      <c r="B1529" s="87"/>
      <c r="C1529" s="106"/>
      <c r="D1529" s="91"/>
      <c r="E1529" s="91"/>
      <c r="F1529" s="91"/>
      <c r="G1529" s="91"/>
      <c r="H1529" s="69"/>
      <c r="I1529" s="69"/>
      <c r="CS1529"/>
      <c r="CT1529"/>
      <c r="CU1529"/>
      <c r="CV1529"/>
      <c r="CW1529"/>
      <c r="CX1529"/>
      <c r="CY1529"/>
    </row>
    <row r="1530" spans="2:103" s="60" customFormat="1" x14ac:dyDescent="0.5">
      <c r="B1530" s="87"/>
      <c r="C1530" s="106"/>
      <c r="D1530" s="91"/>
      <c r="E1530" s="91"/>
      <c r="F1530" s="91"/>
      <c r="G1530" s="91"/>
      <c r="H1530" s="69"/>
      <c r="I1530" s="69"/>
      <c r="CS1530"/>
      <c r="CT1530"/>
      <c r="CU1530"/>
      <c r="CV1530"/>
      <c r="CW1530"/>
      <c r="CX1530"/>
      <c r="CY1530"/>
    </row>
    <row r="1531" spans="2:103" s="60" customFormat="1" x14ac:dyDescent="0.5">
      <c r="B1531" s="87"/>
      <c r="C1531" s="106"/>
      <c r="D1531" s="91"/>
      <c r="E1531" s="91"/>
      <c r="F1531" s="91"/>
      <c r="G1531" s="91"/>
      <c r="H1531" s="69"/>
      <c r="I1531" s="69"/>
      <c r="CS1531"/>
      <c r="CT1531"/>
      <c r="CU1531"/>
      <c r="CV1531"/>
      <c r="CW1531"/>
      <c r="CX1531"/>
      <c r="CY1531"/>
    </row>
    <row r="1532" spans="2:103" s="60" customFormat="1" x14ac:dyDescent="0.5">
      <c r="B1532" s="87"/>
      <c r="C1532" s="106"/>
      <c r="D1532" s="91"/>
      <c r="E1532" s="91"/>
      <c r="F1532" s="91"/>
      <c r="G1532" s="91"/>
      <c r="H1532" s="69"/>
      <c r="I1532" s="69"/>
      <c r="CS1532"/>
      <c r="CT1532"/>
      <c r="CU1532"/>
      <c r="CV1532"/>
      <c r="CW1532"/>
      <c r="CX1532"/>
      <c r="CY1532"/>
    </row>
    <row r="1533" spans="2:103" s="60" customFormat="1" x14ac:dyDescent="0.5">
      <c r="B1533" s="87"/>
      <c r="C1533" s="106"/>
      <c r="D1533" s="91"/>
      <c r="E1533" s="91"/>
      <c r="F1533" s="91"/>
      <c r="G1533" s="91"/>
      <c r="H1533" s="69"/>
      <c r="I1533" s="69"/>
      <c r="CS1533"/>
      <c r="CT1533"/>
      <c r="CU1533"/>
      <c r="CV1533"/>
      <c r="CW1533"/>
      <c r="CX1533"/>
      <c r="CY1533"/>
    </row>
    <row r="1534" spans="2:103" s="60" customFormat="1" x14ac:dyDescent="0.5">
      <c r="B1534" s="87"/>
      <c r="C1534" s="106"/>
      <c r="D1534" s="91"/>
      <c r="E1534" s="91"/>
      <c r="F1534" s="91"/>
      <c r="G1534" s="91"/>
      <c r="H1534" s="69"/>
      <c r="I1534" s="69"/>
      <c r="CS1534"/>
      <c r="CT1534"/>
      <c r="CU1534"/>
      <c r="CV1534"/>
      <c r="CW1534"/>
      <c r="CX1534"/>
      <c r="CY1534"/>
    </row>
    <row r="1535" spans="2:103" s="60" customFormat="1" x14ac:dyDescent="0.5">
      <c r="B1535" s="87"/>
      <c r="C1535" s="106"/>
      <c r="D1535" s="91"/>
      <c r="E1535" s="91"/>
      <c r="F1535" s="91"/>
      <c r="G1535" s="91"/>
      <c r="H1535" s="69"/>
      <c r="I1535" s="69"/>
      <c r="CS1535"/>
      <c r="CT1535"/>
      <c r="CU1535"/>
      <c r="CV1535"/>
      <c r="CW1535"/>
      <c r="CX1535"/>
      <c r="CY1535"/>
    </row>
    <row r="1536" spans="2:103" s="60" customFormat="1" x14ac:dyDescent="0.5">
      <c r="B1536" s="87"/>
      <c r="C1536" s="106"/>
      <c r="D1536" s="91"/>
      <c r="E1536" s="91"/>
      <c r="F1536" s="91"/>
      <c r="G1536" s="91"/>
      <c r="H1536" s="69"/>
      <c r="I1536" s="69"/>
      <c r="CS1536"/>
      <c r="CT1536"/>
      <c r="CU1536"/>
      <c r="CV1536"/>
      <c r="CW1536"/>
      <c r="CX1536"/>
      <c r="CY1536"/>
    </row>
    <row r="1537" spans="2:103" s="60" customFormat="1" x14ac:dyDescent="0.5">
      <c r="B1537" s="87"/>
      <c r="C1537" s="106"/>
      <c r="D1537" s="91"/>
      <c r="E1537" s="91"/>
      <c r="F1537" s="91"/>
      <c r="G1537" s="91"/>
      <c r="H1537" s="69"/>
      <c r="I1537" s="69"/>
      <c r="CS1537"/>
      <c r="CT1537"/>
      <c r="CU1537"/>
      <c r="CV1537"/>
      <c r="CW1537"/>
      <c r="CX1537"/>
      <c r="CY1537"/>
    </row>
    <row r="1538" spans="2:103" s="60" customFormat="1" x14ac:dyDescent="0.5">
      <c r="B1538" s="87"/>
      <c r="C1538" s="106"/>
      <c r="D1538" s="91"/>
      <c r="E1538" s="91"/>
      <c r="F1538" s="91"/>
      <c r="G1538" s="91"/>
      <c r="H1538" s="69"/>
      <c r="I1538" s="69"/>
      <c r="CS1538"/>
      <c r="CT1538"/>
      <c r="CU1538"/>
      <c r="CV1538"/>
      <c r="CW1538"/>
      <c r="CX1538"/>
      <c r="CY1538"/>
    </row>
    <row r="1539" spans="2:103" s="60" customFormat="1" x14ac:dyDescent="0.5">
      <c r="B1539" s="87"/>
      <c r="C1539" s="106"/>
      <c r="D1539" s="91"/>
      <c r="E1539" s="91"/>
      <c r="F1539" s="91"/>
      <c r="G1539" s="91"/>
      <c r="H1539" s="69"/>
      <c r="I1539" s="69"/>
      <c r="CS1539"/>
      <c r="CT1539"/>
      <c r="CU1539"/>
      <c r="CV1539"/>
      <c r="CW1539"/>
      <c r="CX1539"/>
      <c r="CY1539"/>
    </row>
    <row r="1540" spans="2:103" s="60" customFormat="1" x14ac:dyDescent="0.5">
      <c r="B1540" s="87"/>
      <c r="C1540" s="106"/>
      <c r="D1540" s="91"/>
      <c r="E1540" s="91"/>
      <c r="F1540" s="91"/>
      <c r="G1540" s="91"/>
      <c r="H1540" s="69"/>
      <c r="I1540" s="69"/>
      <c r="CS1540"/>
      <c r="CT1540"/>
      <c r="CU1540"/>
      <c r="CV1540"/>
      <c r="CW1540"/>
      <c r="CX1540"/>
      <c r="CY1540"/>
    </row>
    <row r="1541" spans="2:103" s="60" customFormat="1" x14ac:dyDescent="0.5">
      <c r="B1541" s="87"/>
      <c r="C1541" s="106"/>
      <c r="D1541" s="91"/>
      <c r="E1541" s="91"/>
      <c r="F1541" s="91"/>
      <c r="G1541" s="91"/>
      <c r="H1541" s="69"/>
      <c r="I1541" s="69"/>
      <c r="CS1541"/>
      <c r="CT1541"/>
      <c r="CU1541"/>
      <c r="CV1541"/>
      <c r="CW1541"/>
      <c r="CX1541"/>
      <c r="CY1541"/>
    </row>
    <row r="1542" spans="2:103" s="60" customFormat="1" x14ac:dyDescent="0.5">
      <c r="B1542" s="87"/>
      <c r="C1542" s="106"/>
      <c r="D1542" s="91"/>
      <c r="E1542" s="91"/>
      <c r="F1542" s="91"/>
      <c r="G1542" s="91"/>
      <c r="H1542" s="69"/>
      <c r="I1542" s="69"/>
      <c r="CS1542"/>
      <c r="CT1542"/>
      <c r="CU1542"/>
      <c r="CV1542"/>
      <c r="CW1542"/>
      <c r="CX1542"/>
      <c r="CY1542"/>
    </row>
    <row r="1543" spans="2:103" s="60" customFormat="1" x14ac:dyDescent="0.5">
      <c r="B1543" s="87"/>
      <c r="C1543" s="106"/>
      <c r="D1543" s="91"/>
      <c r="E1543" s="91"/>
      <c r="F1543" s="91"/>
      <c r="G1543" s="91"/>
      <c r="H1543" s="69"/>
      <c r="I1543" s="69"/>
      <c r="CS1543"/>
      <c r="CT1543"/>
      <c r="CU1543"/>
      <c r="CV1543"/>
      <c r="CW1543"/>
      <c r="CX1543"/>
      <c r="CY1543"/>
    </row>
    <row r="1544" spans="2:103" s="60" customFormat="1" x14ac:dyDescent="0.5">
      <c r="B1544" s="87"/>
      <c r="C1544" s="106"/>
      <c r="D1544" s="91"/>
      <c r="E1544" s="91"/>
      <c r="F1544" s="91"/>
      <c r="G1544" s="91"/>
      <c r="H1544" s="69"/>
      <c r="I1544" s="69"/>
      <c r="CS1544"/>
      <c r="CT1544"/>
      <c r="CU1544"/>
      <c r="CV1544"/>
      <c r="CW1544"/>
      <c r="CX1544"/>
      <c r="CY1544"/>
    </row>
    <row r="1545" spans="2:103" s="60" customFormat="1" x14ac:dyDescent="0.5">
      <c r="B1545" s="87"/>
      <c r="C1545" s="106"/>
      <c r="D1545" s="91"/>
      <c r="E1545" s="91"/>
      <c r="F1545" s="91"/>
      <c r="G1545" s="91"/>
      <c r="H1545" s="69"/>
      <c r="I1545" s="69"/>
      <c r="CS1545"/>
      <c r="CT1545"/>
      <c r="CU1545"/>
      <c r="CV1545"/>
      <c r="CW1545"/>
      <c r="CX1545"/>
      <c r="CY1545"/>
    </row>
    <row r="1546" spans="2:103" s="60" customFormat="1" x14ac:dyDescent="0.5">
      <c r="B1546" s="87"/>
      <c r="C1546" s="106"/>
      <c r="D1546" s="91"/>
      <c r="E1546" s="91"/>
      <c r="F1546" s="91"/>
      <c r="G1546" s="91"/>
      <c r="H1546" s="69"/>
      <c r="I1546" s="69"/>
      <c r="CS1546"/>
      <c r="CT1546"/>
      <c r="CU1546"/>
      <c r="CV1546"/>
      <c r="CW1546"/>
      <c r="CX1546"/>
      <c r="CY1546"/>
    </row>
    <row r="1547" spans="2:103" s="60" customFormat="1" x14ac:dyDescent="0.5">
      <c r="B1547" s="87"/>
      <c r="C1547" s="106"/>
      <c r="D1547" s="91"/>
      <c r="E1547" s="91"/>
      <c r="F1547" s="91"/>
      <c r="G1547" s="91"/>
      <c r="H1547" s="69"/>
      <c r="I1547" s="69"/>
      <c r="CS1547"/>
      <c r="CT1547"/>
      <c r="CU1547"/>
      <c r="CV1547"/>
      <c r="CW1547"/>
      <c r="CX1547"/>
      <c r="CY1547"/>
    </row>
    <row r="1548" spans="2:103" s="60" customFormat="1" x14ac:dyDescent="0.5">
      <c r="B1548" s="87"/>
      <c r="C1548" s="106"/>
      <c r="D1548" s="91"/>
      <c r="E1548" s="91"/>
      <c r="F1548" s="91"/>
      <c r="G1548" s="91"/>
      <c r="H1548" s="69"/>
      <c r="I1548" s="69"/>
      <c r="CS1548"/>
      <c r="CT1548"/>
      <c r="CU1548"/>
      <c r="CV1548"/>
      <c r="CW1548"/>
      <c r="CX1548"/>
      <c r="CY1548"/>
    </row>
    <row r="1549" spans="2:103" s="60" customFormat="1" x14ac:dyDescent="0.5">
      <c r="B1549" s="87"/>
      <c r="C1549" s="106"/>
      <c r="D1549" s="91"/>
      <c r="E1549" s="91"/>
      <c r="F1549" s="91"/>
      <c r="G1549" s="91"/>
      <c r="H1549" s="69"/>
      <c r="I1549" s="69"/>
      <c r="CS1549"/>
      <c r="CT1549"/>
      <c r="CU1549"/>
      <c r="CV1549"/>
      <c r="CW1549"/>
      <c r="CX1549"/>
      <c r="CY1549"/>
    </row>
    <row r="1550" spans="2:103" s="60" customFormat="1" x14ac:dyDescent="0.5">
      <c r="B1550" s="87"/>
      <c r="C1550" s="106"/>
      <c r="D1550" s="91"/>
      <c r="E1550" s="91"/>
      <c r="F1550" s="91"/>
      <c r="G1550" s="91"/>
      <c r="H1550" s="69"/>
      <c r="I1550" s="69"/>
      <c r="CS1550"/>
      <c r="CT1550"/>
      <c r="CU1550"/>
      <c r="CV1550"/>
      <c r="CW1550"/>
      <c r="CX1550"/>
      <c r="CY1550"/>
    </row>
    <row r="1551" spans="2:103" s="60" customFormat="1" x14ac:dyDescent="0.5">
      <c r="B1551" s="87"/>
      <c r="C1551" s="106"/>
      <c r="D1551" s="91"/>
      <c r="E1551" s="91"/>
      <c r="F1551" s="91"/>
      <c r="G1551" s="91"/>
      <c r="H1551" s="69"/>
      <c r="I1551" s="69"/>
      <c r="CS1551"/>
      <c r="CT1551"/>
      <c r="CU1551"/>
      <c r="CV1551"/>
      <c r="CW1551"/>
      <c r="CX1551"/>
      <c r="CY1551"/>
    </row>
    <row r="1552" spans="2:103" s="60" customFormat="1" x14ac:dyDescent="0.5">
      <c r="B1552" s="87"/>
      <c r="C1552" s="106"/>
      <c r="D1552" s="91"/>
      <c r="E1552" s="91"/>
      <c r="F1552" s="91"/>
      <c r="G1552" s="91"/>
      <c r="H1552" s="69"/>
      <c r="I1552" s="69"/>
      <c r="CS1552"/>
      <c r="CT1552"/>
      <c r="CU1552"/>
      <c r="CV1552"/>
      <c r="CW1552"/>
      <c r="CX1552"/>
      <c r="CY1552"/>
    </row>
    <row r="1553" spans="2:103" s="60" customFormat="1" x14ac:dyDescent="0.5">
      <c r="B1553" s="87"/>
      <c r="C1553" s="106"/>
      <c r="D1553" s="91"/>
      <c r="E1553" s="91"/>
      <c r="F1553" s="91"/>
      <c r="G1553" s="91"/>
      <c r="H1553" s="69"/>
      <c r="I1553" s="69"/>
      <c r="CS1553"/>
      <c r="CT1553"/>
      <c r="CU1553"/>
      <c r="CV1553"/>
      <c r="CW1553"/>
      <c r="CX1553"/>
      <c r="CY1553"/>
    </row>
    <row r="1554" spans="2:103" s="60" customFormat="1" x14ac:dyDescent="0.5">
      <c r="B1554" s="87"/>
      <c r="C1554" s="106"/>
      <c r="D1554" s="91"/>
      <c r="E1554" s="91"/>
      <c r="F1554" s="91"/>
      <c r="G1554" s="91"/>
      <c r="H1554" s="69"/>
      <c r="I1554" s="69"/>
      <c r="CS1554"/>
      <c r="CT1554"/>
      <c r="CU1554"/>
      <c r="CV1554"/>
      <c r="CW1554"/>
      <c r="CX1554"/>
      <c r="CY1554"/>
    </row>
    <row r="1555" spans="2:103" s="60" customFormat="1" x14ac:dyDescent="0.5">
      <c r="B1555" s="87"/>
      <c r="C1555" s="106"/>
      <c r="D1555" s="91"/>
      <c r="E1555" s="91"/>
      <c r="F1555" s="91"/>
      <c r="G1555" s="91"/>
      <c r="H1555" s="69"/>
      <c r="I1555" s="69"/>
      <c r="CS1555"/>
      <c r="CT1555"/>
      <c r="CU1555"/>
      <c r="CV1555"/>
      <c r="CW1555"/>
      <c r="CX1555"/>
      <c r="CY1555"/>
    </row>
    <row r="1556" spans="2:103" s="60" customFormat="1" x14ac:dyDescent="0.5">
      <c r="B1556" s="87"/>
      <c r="C1556" s="106"/>
      <c r="D1556" s="91"/>
      <c r="E1556" s="91"/>
      <c r="F1556" s="91"/>
      <c r="G1556" s="91"/>
      <c r="H1556" s="69"/>
      <c r="I1556" s="69"/>
      <c r="CS1556"/>
      <c r="CT1556"/>
      <c r="CU1556"/>
      <c r="CV1556"/>
      <c r="CW1556"/>
      <c r="CX1556"/>
      <c r="CY1556"/>
    </row>
    <row r="1557" spans="2:103" s="60" customFormat="1" x14ac:dyDescent="0.5">
      <c r="B1557" s="87"/>
      <c r="C1557" s="106"/>
      <c r="D1557" s="91"/>
      <c r="E1557" s="91"/>
      <c r="F1557" s="91"/>
      <c r="G1557" s="91"/>
      <c r="H1557" s="69"/>
      <c r="I1557" s="69"/>
      <c r="CS1557"/>
      <c r="CT1557"/>
      <c r="CU1557"/>
      <c r="CV1557"/>
      <c r="CW1557"/>
      <c r="CX1557"/>
      <c r="CY1557"/>
    </row>
    <row r="1558" spans="2:103" s="60" customFormat="1" x14ac:dyDescent="0.5">
      <c r="B1558" s="87"/>
      <c r="C1558" s="106"/>
      <c r="D1558" s="91"/>
      <c r="E1558" s="91"/>
      <c r="F1558" s="91"/>
      <c r="G1558" s="91"/>
      <c r="H1558" s="69"/>
      <c r="I1558" s="69"/>
      <c r="CS1558"/>
      <c r="CT1558"/>
      <c r="CU1558"/>
      <c r="CV1558"/>
      <c r="CW1558"/>
      <c r="CX1558"/>
      <c r="CY1558"/>
    </row>
    <row r="1559" spans="2:103" s="60" customFormat="1" x14ac:dyDescent="0.5">
      <c r="B1559" s="87"/>
      <c r="C1559" s="106"/>
      <c r="D1559" s="91"/>
      <c r="E1559" s="91"/>
      <c r="F1559" s="91"/>
      <c r="G1559" s="91"/>
      <c r="H1559" s="69"/>
      <c r="I1559" s="69"/>
      <c r="CS1559"/>
      <c r="CT1559"/>
      <c r="CU1559"/>
      <c r="CV1559"/>
      <c r="CW1559"/>
      <c r="CX1559"/>
      <c r="CY1559"/>
    </row>
    <row r="1560" spans="2:103" s="60" customFormat="1" x14ac:dyDescent="0.5">
      <c r="B1560" s="87"/>
      <c r="C1560" s="106"/>
      <c r="D1560" s="91"/>
      <c r="E1560" s="91"/>
      <c r="F1560" s="91"/>
      <c r="G1560" s="91"/>
      <c r="H1560" s="69"/>
      <c r="I1560" s="69"/>
      <c r="CS1560"/>
      <c r="CT1560"/>
      <c r="CU1560"/>
      <c r="CV1560"/>
      <c r="CW1560"/>
      <c r="CX1560"/>
      <c r="CY1560"/>
    </row>
    <row r="1561" spans="2:103" s="60" customFormat="1" x14ac:dyDescent="0.5">
      <c r="B1561" s="87"/>
      <c r="C1561" s="106"/>
      <c r="D1561" s="91"/>
      <c r="E1561" s="91"/>
      <c r="F1561" s="91"/>
      <c r="G1561" s="91"/>
      <c r="H1561" s="69"/>
      <c r="I1561" s="69"/>
      <c r="CS1561"/>
      <c r="CT1561"/>
      <c r="CU1561"/>
      <c r="CV1561"/>
      <c r="CW1561"/>
      <c r="CX1561"/>
      <c r="CY1561"/>
    </row>
    <row r="1562" spans="2:103" s="60" customFormat="1" x14ac:dyDescent="0.5">
      <c r="B1562" s="87"/>
      <c r="C1562" s="106"/>
      <c r="D1562" s="91"/>
      <c r="E1562" s="91"/>
      <c r="F1562" s="91"/>
      <c r="G1562" s="91"/>
      <c r="H1562" s="69"/>
      <c r="I1562" s="69"/>
      <c r="CS1562"/>
      <c r="CT1562"/>
      <c r="CU1562"/>
      <c r="CV1562"/>
      <c r="CW1562"/>
      <c r="CX1562"/>
      <c r="CY1562"/>
    </row>
    <row r="1563" spans="2:103" s="60" customFormat="1" x14ac:dyDescent="0.5">
      <c r="B1563" s="87"/>
      <c r="C1563" s="106"/>
      <c r="D1563" s="91"/>
      <c r="E1563" s="91"/>
      <c r="F1563" s="91"/>
      <c r="G1563" s="91"/>
      <c r="H1563" s="69"/>
      <c r="I1563" s="69"/>
      <c r="CS1563"/>
      <c r="CT1563"/>
      <c r="CU1563"/>
      <c r="CV1563"/>
      <c r="CW1563"/>
      <c r="CX1563"/>
      <c r="CY1563"/>
    </row>
    <row r="1564" spans="2:103" s="60" customFormat="1" x14ac:dyDescent="0.5">
      <c r="B1564" s="87"/>
      <c r="C1564" s="106"/>
      <c r="D1564" s="91"/>
      <c r="E1564" s="91"/>
      <c r="F1564" s="91"/>
      <c r="G1564" s="91"/>
      <c r="H1564" s="69"/>
      <c r="I1564" s="69"/>
      <c r="CS1564"/>
      <c r="CT1564"/>
      <c r="CU1564"/>
      <c r="CV1564"/>
      <c r="CW1564"/>
      <c r="CX1564"/>
      <c r="CY1564"/>
    </row>
    <row r="1565" spans="2:103" s="60" customFormat="1" x14ac:dyDescent="0.5">
      <c r="B1565" s="87"/>
      <c r="C1565" s="106"/>
      <c r="D1565" s="91"/>
      <c r="E1565" s="91"/>
      <c r="F1565" s="91"/>
      <c r="G1565" s="91"/>
      <c r="H1565" s="69"/>
      <c r="I1565" s="69"/>
      <c r="CS1565"/>
      <c r="CT1565"/>
      <c r="CU1565"/>
      <c r="CV1565"/>
      <c r="CW1565"/>
      <c r="CX1565"/>
      <c r="CY1565"/>
    </row>
    <row r="1566" spans="2:103" s="60" customFormat="1" x14ac:dyDescent="0.5">
      <c r="B1566" s="87"/>
      <c r="C1566" s="106"/>
      <c r="D1566" s="91"/>
      <c r="E1566" s="91"/>
      <c r="F1566" s="91"/>
      <c r="G1566" s="91"/>
      <c r="H1566" s="69"/>
      <c r="I1566" s="69"/>
      <c r="CS1566"/>
      <c r="CT1566"/>
      <c r="CU1566"/>
      <c r="CV1566"/>
      <c r="CW1566"/>
      <c r="CX1566"/>
      <c r="CY1566"/>
    </row>
    <row r="1567" spans="2:103" s="60" customFormat="1" x14ac:dyDescent="0.5">
      <c r="B1567" s="87"/>
      <c r="C1567" s="106"/>
      <c r="D1567" s="91"/>
      <c r="E1567" s="91"/>
      <c r="F1567" s="91"/>
      <c r="G1567" s="91"/>
      <c r="H1567" s="69"/>
      <c r="I1567" s="69"/>
      <c r="CS1567"/>
      <c r="CT1567"/>
      <c r="CU1567"/>
      <c r="CV1567"/>
      <c r="CW1567"/>
      <c r="CX1567"/>
      <c r="CY1567"/>
    </row>
    <row r="1568" spans="2:103" s="60" customFormat="1" x14ac:dyDescent="0.5">
      <c r="B1568" s="87"/>
      <c r="C1568" s="106"/>
      <c r="D1568" s="91"/>
      <c r="E1568" s="91"/>
      <c r="F1568" s="91"/>
      <c r="G1568" s="91"/>
      <c r="H1568" s="69"/>
      <c r="I1568" s="69"/>
      <c r="CS1568"/>
      <c r="CT1568"/>
      <c r="CU1568"/>
      <c r="CV1568"/>
      <c r="CW1568"/>
      <c r="CX1568"/>
      <c r="CY1568"/>
    </row>
    <row r="1569" spans="2:103" s="60" customFormat="1" x14ac:dyDescent="0.5">
      <c r="B1569" s="87"/>
      <c r="C1569" s="106"/>
      <c r="D1569" s="91"/>
      <c r="E1569" s="91"/>
      <c r="F1569" s="91"/>
      <c r="G1569" s="91"/>
      <c r="H1569" s="69"/>
      <c r="I1569" s="69"/>
      <c r="CS1569"/>
      <c r="CT1569"/>
      <c r="CU1569"/>
      <c r="CV1569"/>
      <c r="CW1569"/>
      <c r="CX1569"/>
      <c r="CY1569"/>
    </row>
    <row r="1570" spans="2:103" s="60" customFormat="1" x14ac:dyDescent="0.5">
      <c r="B1570" s="87"/>
      <c r="C1570" s="106"/>
      <c r="D1570" s="91"/>
      <c r="E1570" s="91"/>
      <c r="F1570" s="91"/>
      <c r="G1570" s="91"/>
      <c r="H1570" s="69"/>
      <c r="I1570" s="69"/>
      <c r="CS1570"/>
      <c r="CT1570"/>
      <c r="CU1570"/>
      <c r="CV1570"/>
      <c r="CW1570"/>
      <c r="CX1570"/>
      <c r="CY1570"/>
    </row>
    <row r="1571" spans="2:103" s="60" customFormat="1" x14ac:dyDescent="0.5">
      <c r="B1571" s="87"/>
      <c r="C1571" s="106"/>
      <c r="D1571" s="91"/>
      <c r="E1571" s="91"/>
      <c r="F1571" s="91"/>
      <c r="G1571" s="91"/>
      <c r="H1571" s="69"/>
      <c r="I1571" s="69"/>
      <c r="CS1571"/>
      <c r="CT1571"/>
      <c r="CU1571"/>
      <c r="CV1571"/>
      <c r="CW1571"/>
      <c r="CX1571"/>
      <c r="CY1571"/>
    </row>
    <row r="1572" spans="2:103" s="60" customFormat="1" x14ac:dyDescent="0.5">
      <c r="B1572" s="87"/>
      <c r="C1572" s="106"/>
      <c r="D1572" s="91"/>
      <c r="E1572" s="91"/>
      <c r="F1572" s="91"/>
      <c r="G1572" s="91"/>
      <c r="H1572" s="69"/>
      <c r="I1572" s="69"/>
      <c r="CS1572"/>
      <c r="CT1572"/>
      <c r="CU1572"/>
      <c r="CV1572"/>
      <c r="CW1572"/>
      <c r="CX1572"/>
      <c r="CY1572"/>
    </row>
    <row r="1573" spans="2:103" s="60" customFormat="1" x14ac:dyDescent="0.5">
      <c r="B1573" s="87"/>
      <c r="C1573" s="106"/>
      <c r="D1573" s="91"/>
      <c r="E1573" s="91"/>
      <c r="F1573" s="91"/>
      <c r="G1573" s="91"/>
      <c r="H1573" s="69"/>
      <c r="I1573" s="69"/>
      <c r="CS1573"/>
      <c r="CT1573"/>
      <c r="CU1573"/>
      <c r="CV1573"/>
      <c r="CW1573"/>
      <c r="CX1573"/>
      <c r="CY1573"/>
    </row>
    <row r="1574" spans="2:103" s="60" customFormat="1" x14ac:dyDescent="0.5">
      <c r="B1574" s="87"/>
      <c r="C1574" s="106"/>
      <c r="D1574" s="91"/>
      <c r="E1574" s="91"/>
      <c r="F1574" s="91"/>
      <c r="G1574" s="91"/>
      <c r="H1574" s="69"/>
      <c r="I1574" s="69"/>
      <c r="CS1574"/>
      <c r="CT1574"/>
      <c r="CU1574"/>
      <c r="CV1574"/>
      <c r="CW1574"/>
      <c r="CX1574"/>
      <c r="CY1574"/>
    </row>
    <row r="1575" spans="2:103" s="60" customFormat="1" x14ac:dyDescent="0.5">
      <c r="B1575" s="87"/>
      <c r="C1575" s="106"/>
      <c r="D1575" s="91"/>
      <c r="E1575" s="91"/>
      <c r="F1575" s="91"/>
      <c r="G1575" s="91"/>
      <c r="H1575" s="69"/>
      <c r="I1575" s="69"/>
      <c r="CS1575"/>
      <c r="CT1575"/>
      <c r="CU1575"/>
      <c r="CV1575"/>
      <c r="CW1575"/>
      <c r="CX1575"/>
      <c r="CY1575"/>
    </row>
    <row r="1576" spans="2:103" s="60" customFormat="1" x14ac:dyDescent="0.5">
      <c r="B1576" s="87"/>
      <c r="C1576" s="106"/>
      <c r="D1576" s="91"/>
      <c r="E1576" s="91"/>
      <c r="F1576" s="91"/>
      <c r="G1576" s="91"/>
      <c r="H1576" s="69"/>
      <c r="I1576" s="69"/>
      <c r="CS1576"/>
      <c r="CT1576"/>
      <c r="CU1576"/>
      <c r="CV1576"/>
      <c r="CW1576"/>
      <c r="CX1576"/>
      <c r="CY1576"/>
    </row>
    <row r="1577" spans="2:103" s="60" customFormat="1" x14ac:dyDescent="0.5">
      <c r="B1577" s="87"/>
      <c r="C1577" s="106"/>
      <c r="D1577" s="91"/>
      <c r="E1577" s="91"/>
      <c r="F1577" s="91"/>
      <c r="G1577" s="91"/>
      <c r="H1577" s="69"/>
      <c r="I1577" s="69"/>
      <c r="CS1577"/>
      <c r="CT1577"/>
      <c r="CU1577"/>
      <c r="CV1577"/>
      <c r="CW1577"/>
      <c r="CX1577"/>
      <c r="CY1577"/>
    </row>
    <row r="1578" spans="2:103" s="60" customFormat="1" x14ac:dyDescent="0.5">
      <c r="B1578" s="87"/>
      <c r="C1578" s="106"/>
      <c r="D1578" s="91"/>
      <c r="E1578" s="91"/>
      <c r="F1578" s="91"/>
      <c r="G1578" s="91"/>
      <c r="H1578" s="69"/>
      <c r="I1578" s="69"/>
      <c r="CS1578"/>
      <c r="CT1578"/>
      <c r="CU1578"/>
      <c r="CV1578"/>
      <c r="CW1578"/>
      <c r="CX1578"/>
      <c r="CY1578"/>
    </row>
    <row r="1579" spans="2:103" s="60" customFormat="1" x14ac:dyDescent="0.5">
      <c r="B1579" s="87"/>
      <c r="C1579" s="106"/>
      <c r="D1579" s="91"/>
      <c r="E1579" s="91"/>
      <c r="F1579" s="91"/>
      <c r="G1579" s="91"/>
      <c r="H1579" s="69"/>
      <c r="I1579" s="69"/>
      <c r="CS1579"/>
      <c r="CT1579"/>
      <c r="CU1579"/>
      <c r="CV1579"/>
      <c r="CW1579"/>
      <c r="CX1579"/>
      <c r="CY1579"/>
    </row>
    <row r="1580" spans="2:103" s="60" customFormat="1" x14ac:dyDescent="0.5">
      <c r="B1580" s="87"/>
      <c r="C1580" s="106"/>
      <c r="D1580" s="91"/>
      <c r="E1580" s="91"/>
      <c r="F1580" s="91"/>
      <c r="G1580" s="91"/>
      <c r="H1580" s="69"/>
      <c r="I1580" s="69"/>
      <c r="CS1580"/>
      <c r="CT1580"/>
      <c r="CU1580"/>
      <c r="CV1580"/>
      <c r="CW1580"/>
      <c r="CX1580"/>
      <c r="CY1580"/>
    </row>
    <row r="1581" spans="2:103" s="60" customFormat="1" x14ac:dyDescent="0.5">
      <c r="B1581" s="87"/>
      <c r="C1581" s="106"/>
      <c r="D1581" s="91"/>
      <c r="E1581" s="91"/>
      <c r="F1581" s="91"/>
      <c r="G1581" s="91"/>
      <c r="H1581" s="69"/>
      <c r="I1581" s="69"/>
      <c r="CS1581"/>
      <c r="CT1581"/>
      <c r="CU1581"/>
      <c r="CV1581"/>
      <c r="CW1581"/>
      <c r="CX1581"/>
      <c r="CY1581"/>
    </row>
    <row r="1582" spans="2:103" s="60" customFormat="1" x14ac:dyDescent="0.5">
      <c r="B1582" s="87"/>
      <c r="C1582" s="106"/>
      <c r="D1582" s="91"/>
      <c r="E1582" s="91"/>
      <c r="F1582" s="91"/>
      <c r="G1582" s="91"/>
      <c r="H1582" s="69"/>
      <c r="I1582" s="69"/>
      <c r="CS1582"/>
      <c r="CT1582"/>
      <c r="CU1582"/>
      <c r="CV1582"/>
      <c r="CW1582"/>
      <c r="CX1582"/>
      <c r="CY1582"/>
    </row>
    <row r="1583" spans="2:103" s="60" customFormat="1" x14ac:dyDescent="0.5">
      <c r="B1583" s="87"/>
      <c r="C1583" s="106"/>
      <c r="D1583" s="91"/>
      <c r="E1583" s="91"/>
      <c r="F1583" s="91"/>
      <c r="G1583" s="91"/>
      <c r="H1583" s="69"/>
      <c r="I1583" s="69"/>
      <c r="CS1583"/>
      <c r="CT1583"/>
      <c r="CU1583"/>
      <c r="CV1583"/>
      <c r="CW1583"/>
      <c r="CX1583"/>
      <c r="CY1583"/>
    </row>
    <row r="1584" spans="2:103" s="60" customFormat="1" x14ac:dyDescent="0.5">
      <c r="B1584" s="87"/>
      <c r="C1584" s="106"/>
      <c r="D1584" s="91"/>
      <c r="E1584" s="91"/>
      <c r="F1584" s="91"/>
      <c r="G1584" s="91"/>
      <c r="H1584" s="69"/>
      <c r="I1584" s="69"/>
      <c r="CS1584"/>
      <c r="CT1584"/>
      <c r="CU1584"/>
      <c r="CV1584"/>
      <c r="CW1584"/>
      <c r="CX1584"/>
      <c r="CY1584"/>
    </row>
    <row r="1585" spans="2:103" s="60" customFormat="1" x14ac:dyDescent="0.5">
      <c r="B1585" s="87"/>
      <c r="C1585" s="106"/>
      <c r="D1585" s="91"/>
      <c r="E1585" s="91"/>
      <c r="F1585" s="91"/>
      <c r="G1585" s="91"/>
      <c r="H1585" s="69"/>
      <c r="I1585" s="69"/>
      <c r="CS1585"/>
      <c r="CT1585"/>
      <c r="CU1585"/>
      <c r="CV1585"/>
      <c r="CW1585"/>
      <c r="CX1585"/>
      <c r="CY1585"/>
    </row>
    <row r="1586" spans="2:103" s="60" customFormat="1" x14ac:dyDescent="0.5">
      <c r="B1586" s="87"/>
      <c r="C1586" s="106"/>
      <c r="D1586" s="91"/>
      <c r="E1586" s="91"/>
      <c r="F1586" s="91"/>
      <c r="G1586" s="91"/>
      <c r="H1586" s="69"/>
      <c r="I1586" s="69"/>
      <c r="CS1586"/>
      <c r="CT1586"/>
      <c r="CU1586"/>
      <c r="CV1586"/>
      <c r="CW1586"/>
      <c r="CX1586"/>
      <c r="CY1586"/>
    </row>
    <row r="1587" spans="2:103" s="60" customFormat="1" x14ac:dyDescent="0.5">
      <c r="B1587" s="87"/>
      <c r="C1587" s="106"/>
      <c r="D1587" s="91"/>
      <c r="E1587" s="91"/>
      <c r="F1587" s="91"/>
      <c r="G1587" s="91"/>
      <c r="H1587" s="69"/>
      <c r="I1587" s="69"/>
      <c r="CS1587"/>
      <c r="CT1587"/>
      <c r="CU1587"/>
      <c r="CV1587"/>
      <c r="CW1587"/>
      <c r="CX1587"/>
      <c r="CY1587"/>
    </row>
    <row r="1588" spans="2:103" s="60" customFormat="1" x14ac:dyDescent="0.5">
      <c r="B1588" s="87"/>
      <c r="C1588" s="106"/>
      <c r="D1588" s="91"/>
      <c r="E1588" s="91"/>
      <c r="F1588" s="91"/>
      <c r="G1588" s="91"/>
      <c r="H1588" s="69"/>
      <c r="I1588" s="69"/>
      <c r="CS1588"/>
      <c r="CT1588"/>
      <c r="CU1588"/>
      <c r="CV1588"/>
      <c r="CW1588"/>
      <c r="CX1588"/>
      <c r="CY1588"/>
    </row>
    <row r="1589" spans="2:103" s="60" customFormat="1" x14ac:dyDescent="0.5">
      <c r="B1589" s="87"/>
      <c r="C1589" s="106"/>
      <c r="D1589" s="91"/>
      <c r="E1589" s="91"/>
      <c r="F1589" s="91"/>
      <c r="G1589" s="91"/>
      <c r="H1589" s="69"/>
      <c r="I1589" s="69"/>
      <c r="CS1589"/>
      <c r="CT1589"/>
      <c r="CU1589"/>
      <c r="CV1589"/>
      <c r="CW1589"/>
      <c r="CX1589"/>
      <c r="CY1589"/>
    </row>
    <row r="1590" spans="2:103" s="60" customFormat="1" x14ac:dyDescent="0.5">
      <c r="B1590" s="87"/>
      <c r="C1590" s="106"/>
      <c r="D1590" s="91"/>
      <c r="E1590" s="91"/>
      <c r="F1590" s="91"/>
      <c r="G1590" s="91"/>
      <c r="H1590" s="69"/>
      <c r="I1590" s="69"/>
      <c r="CS1590"/>
      <c r="CT1590"/>
      <c r="CU1590"/>
      <c r="CV1590"/>
      <c r="CW1590"/>
      <c r="CX1590"/>
      <c r="CY1590"/>
    </row>
    <row r="1591" spans="2:103" s="60" customFormat="1" x14ac:dyDescent="0.5">
      <c r="B1591" s="87"/>
      <c r="C1591" s="106"/>
      <c r="D1591" s="91"/>
      <c r="E1591" s="91"/>
      <c r="F1591" s="91"/>
      <c r="G1591" s="91"/>
      <c r="H1591" s="69"/>
      <c r="I1591" s="69"/>
      <c r="CS1591"/>
      <c r="CT1591"/>
      <c r="CU1591"/>
      <c r="CV1591"/>
      <c r="CW1591"/>
      <c r="CX1591"/>
      <c r="CY1591"/>
    </row>
    <row r="1592" spans="2:103" s="60" customFormat="1" x14ac:dyDescent="0.5">
      <c r="B1592" s="87"/>
      <c r="C1592" s="106"/>
      <c r="D1592" s="91"/>
      <c r="E1592" s="91"/>
      <c r="F1592" s="91"/>
      <c r="G1592" s="91"/>
      <c r="H1592" s="69"/>
      <c r="I1592" s="69"/>
      <c r="CS1592"/>
      <c r="CT1592"/>
      <c r="CU1592"/>
      <c r="CV1592"/>
      <c r="CW1592"/>
      <c r="CX1592"/>
      <c r="CY1592"/>
    </row>
    <row r="1593" spans="2:103" s="60" customFormat="1" x14ac:dyDescent="0.5">
      <c r="B1593" s="87"/>
      <c r="C1593" s="106"/>
      <c r="D1593" s="91"/>
      <c r="E1593" s="91"/>
      <c r="F1593" s="91"/>
      <c r="G1593" s="91"/>
      <c r="H1593" s="69"/>
      <c r="I1593" s="69"/>
      <c r="CS1593"/>
      <c r="CT1593"/>
      <c r="CU1593"/>
      <c r="CV1593"/>
      <c r="CW1593"/>
      <c r="CX1593"/>
      <c r="CY1593"/>
    </row>
    <row r="1594" spans="2:103" s="60" customFormat="1" x14ac:dyDescent="0.5">
      <c r="B1594" s="87"/>
      <c r="C1594" s="106"/>
      <c r="D1594" s="91"/>
      <c r="E1594" s="91"/>
      <c r="F1594" s="91"/>
      <c r="G1594" s="91"/>
      <c r="H1594" s="69"/>
      <c r="I1594" s="69"/>
      <c r="CS1594"/>
      <c r="CT1594"/>
      <c r="CU1594"/>
      <c r="CV1594"/>
      <c r="CW1594"/>
      <c r="CX1594"/>
      <c r="CY1594"/>
    </row>
    <row r="1595" spans="2:103" s="60" customFormat="1" x14ac:dyDescent="0.5">
      <c r="B1595" s="87"/>
      <c r="C1595" s="106"/>
      <c r="D1595" s="91"/>
      <c r="E1595" s="91"/>
      <c r="F1595" s="91"/>
      <c r="G1595" s="91"/>
      <c r="H1595" s="69"/>
      <c r="I1595" s="69"/>
      <c r="CS1595"/>
      <c r="CT1595"/>
      <c r="CU1595"/>
      <c r="CV1595"/>
      <c r="CW1595"/>
      <c r="CX1595"/>
      <c r="CY1595"/>
    </row>
    <row r="1596" spans="2:103" s="60" customFormat="1" x14ac:dyDescent="0.5">
      <c r="B1596" s="87"/>
      <c r="C1596" s="106"/>
      <c r="D1596" s="91"/>
      <c r="E1596" s="91"/>
      <c r="F1596" s="91"/>
      <c r="G1596" s="91"/>
      <c r="H1596" s="69"/>
      <c r="I1596" s="69"/>
      <c r="CS1596"/>
      <c r="CT1596"/>
      <c r="CU1596"/>
      <c r="CV1596"/>
      <c r="CW1596"/>
      <c r="CX1596"/>
      <c r="CY1596"/>
    </row>
    <row r="1597" spans="2:103" s="60" customFormat="1" x14ac:dyDescent="0.5">
      <c r="B1597" s="87"/>
      <c r="C1597" s="106"/>
      <c r="D1597" s="91"/>
      <c r="E1597" s="91"/>
      <c r="F1597" s="91"/>
      <c r="G1597" s="91"/>
      <c r="H1597" s="69"/>
      <c r="I1597" s="69"/>
      <c r="CS1597"/>
      <c r="CT1597"/>
      <c r="CU1597"/>
      <c r="CV1597"/>
      <c r="CW1597"/>
      <c r="CX1597"/>
      <c r="CY1597"/>
    </row>
    <row r="1598" spans="2:103" s="60" customFormat="1" x14ac:dyDescent="0.5">
      <c r="B1598" s="87"/>
      <c r="C1598" s="106"/>
      <c r="D1598" s="91"/>
      <c r="E1598" s="91"/>
      <c r="F1598" s="91"/>
      <c r="G1598" s="91"/>
      <c r="H1598" s="69"/>
      <c r="I1598" s="69"/>
      <c r="CS1598"/>
      <c r="CT1598"/>
      <c r="CU1598"/>
      <c r="CV1598"/>
      <c r="CW1598"/>
      <c r="CX1598"/>
      <c r="CY1598"/>
    </row>
    <row r="1599" spans="2:103" s="60" customFormat="1" x14ac:dyDescent="0.5">
      <c r="B1599" s="87"/>
      <c r="C1599" s="106"/>
      <c r="D1599" s="91"/>
      <c r="E1599" s="91"/>
      <c r="F1599" s="91"/>
      <c r="G1599" s="91"/>
      <c r="H1599" s="69"/>
      <c r="I1599" s="69"/>
      <c r="CS1599"/>
      <c r="CT1599"/>
      <c r="CU1599"/>
      <c r="CV1599"/>
      <c r="CW1599"/>
      <c r="CX1599"/>
      <c r="CY1599"/>
    </row>
    <row r="1600" spans="2:103" s="60" customFormat="1" x14ac:dyDescent="0.5">
      <c r="B1600" s="87"/>
      <c r="C1600" s="106"/>
      <c r="D1600" s="91"/>
      <c r="E1600" s="91"/>
      <c r="F1600" s="91"/>
      <c r="G1600" s="91"/>
      <c r="H1600" s="69"/>
      <c r="I1600" s="69"/>
      <c r="CS1600"/>
      <c r="CT1600"/>
      <c r="CU1600"/>
      <c r="CV1600"/>
      <c r="CW1600"/>
      <c r="CX1600"/>
      <c r="CY1600"/>
    </row>
    <row r="1601" spans="2:103" s="60" customFormat="1" x14ac:dyDescent="0.5">
      <c r="B1601" s="87"/>
      <c r="C1601" s="106"/>
      <c r="D1601" s="91"/>
      <c r="E1601" s="91"/>
      <c r="F1601" s="91"/>
      <c r="G1601" s="91"/>
      <c r="H1601" s="69"/>
      <c r="I1601" s="69"/>
      <c r="CS1601"/>
      <c r="CT1601"/>
      <c r="CU1601"/>
      <c r="CV1601"/>
      <c r="CW1601"/>
      <c r="CX1601"/>
      <c r="CY1601"/>
    </row>
    <row r="1602" spans="2:103" s="60" customFormat="1" x14ac:dyDescent="0.5">
      <c r="B1602" s="87"/>
      <c r="C1602" s="106"/>
      <c r="D1602" s="91"/>
      <c r="E1602" s="91"/>
      <c r="F1602" s="91"/>
      <c r="G1602" s="91"/>
      <c r="H1602" s="69"/>
      <c r="I1602" s="69"/>
      <c r="CS1602"/>
      <c r="CT1602"/>
      <c r="CU1602"/>
      <c r="CV1602"/>
      <c r="CW1602"/>
      <c r="CX1602"/>
      <c r="CY1602"/>
    </row>
    <row r="1603" spans="2:103" s="60" customFormat="1" x14ac:dyDescent="0.5">
      <c r="B1603" s="87"/>
      <c r="C1603" s="106"/>
      <c r="D1603" s="91"/>
      <c r="E1603" s="91"/>
      <c r="F1603" s="91"/>
      <c r="G1603" s="91"/>
      <c r="H1603" s="69"/>
      <c r="I1603" s="69"/>
      <c r="CS1603"/>
      <c r="CT1603"/>
      <c r="CU1603"/>
      <c r="CV1603"/>
      <c r="CW1603"/>
      <c r="CX1603"/>
      <c r="CY1603"/>
    </row>
    <row r="1604" spans="2:103" s="60" customFormat="1" x14ac:dyDescent="0.5">
      <c r="B1604" s="87"/>
      <c r="C1604" s="106"/>
      <c r="D1604" s="91"/>
      <c r="E1604" s="91"/>
      <c r="F1604" s="91"/>
      <c r="G1604" s="91"/>
      <c r="H1604" s="69"/>
      <c r="I1604" s="69"/>
      <c r="CS1604"/>
      <c r="CT1604"/>
      <c r="CU1604"/>
      <c r="CV1604"/>
      <c r="CW1604"/>
      <c r="CX1604"/>
      <c r="CY1604"/>
    </row>
    <row r="1605" spans="2:103" s="60" customFormat="1" x14ac:dyDescent="0.5">
      <c r="B1605" s="87"/>
      <c r="C1605" s="106"/>
      <c r="D1605" s="91"/>
      <c r="E1605" s="91"/>
      <c r="F1605" s="91"/>
      <c r="G1605" s="91"/>
      <c r="H1605" s="69"/>
      <c r="I1605" s="69"/>
      <c r="CS1605"/>
      <c r="CT1605"/>
      <c r="CU1605"/>
      <c r="CV1605"/>
      <c r="CW1605"/>
      <c r="CX1605"/>
      <c r="CY1605"/>
    </row>
    <row r="1606" spans="2:103" s="60" customFormat="1" x14ac:dyDescent="0.5">
      <c r="B1606" s="87"/>
      <c r="C1606" s="106"/>
      <c r="D1606" s="91"/>
      <c r="E1606" s="91"/>
      <c r="F1606" s="91"/>
      <c r="G1606" s="91"/>
      <c r="H1606" s="69"/>
      <c r="I1606" s="69"/>
      <c r="CS1606"/>
      <c r="CT1606"/>
      <c r="CU1606"/>
      <c r="CV1606"/>
      <c r="CW1606"/>
      <c r="CX1606"/>
      <c r="CY1606"/>
    </row>
    <row r="1607" spans="2:103" s="60" customFormat="1" x14ac:dyDescent="0.5">
      <c r="B1607" s="87"/>
      <c r="C1607" s="106"/>
      <c r="D1607" s="91"/>
      <c r="E1607" s="91"/>
      <c r="F1607" s="91"/>
      <c r="G1607" s="91"/>
      <c r="H1607" s="69"/>
      <c r="I1607" s="69"/>
      <c r="CS1607"/>
      <c r="CT1607"/>
      <c r="CU1607"/>
      <c r="CV1607"/>
      <c r="CW1607"/>
      <c r="CX1607"/>
      <c r="CY1607"/>
    </row>
    <row r="1608" spans="2:103" s="60" customFormat="1" x14ac:dyDescent="0.5">
      <c r="B1608" s="87"/>
      <c r="C1608" s="106"/>
      <c r="D1608" s="91"/>
      <c r="E1608" s="91"/>
      <c r="F1608" s="91"/>
      <c r="G1608" s="91"/>
      <c r="H1608" s="69"/>
      <c r="I1608" s="69"/>
      <c r="CS1608"/>
      <c r="CT1608"/>
      <c r="CU1608"/>
      <c r="CV1608"/>
      <c r="CW1608"/>
      <c r="CX1608"/>
      <c r="CY1608"/>
    </row>
    <row r="1609" spans="2:103" s="60" customFormat="1" x14ac:dyDescent="0.5">
      <c r="B1609" s="87"/>
      <c r="C1609" s="106"/>
      <c r="D1609" s="91"/>
      <c r="E1609" s="91"/>
      <c r="F1609" s="91"/>
      <c r="G1609" s="91"/>
      <c r="H1609" s="69"/>
      <c r="I1609" s="69"/>
      <c r="CS1609"/>
      <c r="CT1609"/>
      <c r="CU1609"/>
      <c r="CV1609"/>
      <c r="CW1609"/>
      <c r="CX1609"/>
      <c r="CY1609"/>
    </row>
    <row r="1610" spans="2:103" s="60" customFormat="1" x14ac:dyDescent="0.5">
      <c r="B1610" s="87"/>
      <c r="C1610" s="106"/>
      <c r="D1610" s="91"/>
      <c r="E1610" s="91"/>
      <c r="F1610" s="91"/>
      <c r="G1610" s="91"/>
      <c r="H1610" s="69"/>
      <c r="I1610" s="69"/>
      <c r="CS1610"/>
      <c r="CT1610"/>
      <c r="CU1610"/>
      <c r="CV1610"/>
      <c r="CW1610"/>
      <c r="CX1610"/>
      <c r="CY1610"/>
    </row>
    <row r="1611" spans="2:103" s="60" customFormat="1" x14ac:dyDescent="0.5">
      <c r="B1611" s="87"/>
      <c r="C1611" s="106"/>
      <c r="D1611" s="91"/>
      <c r="E1611" s="91"/>
      <c r="F1611" s="91"/>
      <c r="G1611" s="91"/>
      <c r="H1611" s="69"/>
      <c r="I1611" s="69"/>
      <c r="CS1611"/>
      <c r="CT1611"/>
      <c r="CU1611"/>
      <c r="CV1611"/>
      <c r="CW1611"/>
      <c r="CX1611"/>
      <c r="CY1611"/>
    </row>
    <row r="1612" spans="2:103" s="60" customFormat="1" x14ac:dyDescent="0.5">
      <c r="B1612" s="87"/>
      <c r="C1612" s="106"/>
      <c r="D1612" s="91"/>
      <c r="E1612" s="91"/>
      <c r="F1612" s="91"/>
      <c r="G1612" s="91"/>
      <c r="H1612" s="69"/>
      <c r="I1612" s="69"/>
      <c r="CS1612"/>
      <c r="CT1612"/>
      <c r="CU1612"/>
      <c r="CV1612"/>
      <c r="CW1612"/>
      <c r="CX1612"/>
      <c r="CY1612"/>
    </row>
    <row r="1613" spans="2:103" s="60" customFormat="1" x14ac:dyDescent="0.5">
      <c r="B1613" s="87"/>
      <c r="C1613" s="106"/>
      <c r="D1613" s="91"/>
      <c r="E1613" s="91"/>
      <c r="F1613" s="91"/>
      <c r="G1613" s="91"/>
      <c r="H1613" s="69"/>
      <c r="I1613" s="69"/>
      <c r="CS1613"/>
      <c r="CT1613"/>
      <c r="CU1613"/>
      <c r="CV1613"/>
      <c r="CW1613"/>
      <c r="CX1613"/>
      <c r="CY1613"/>
    </row>
    <row r="1614" spans="2:103" s="60" customFormat="1" x14ac:dyDescent="0.5">
      <c r="B1614" s="87"/>
      <c r="C1614" s="106"/>
      <c r="D1614" s="91"/>
      <c r="E1614" s="91"/>
      <c r="F1614" s="91"/>
      <c r="G1614" s="91"/>
      <c r="H1614" s="69"/>
      <c r="I1614" s="69"/>
      <c r="CS1614"/>
      <c r="CT1614"/>
      <c r="CU1614"/>
      <c r="CV1614"/>
      <c r="CW1614"/>
      <c r="CX1614"/>
      <c r="CY1614"/>
    </row>
    <row r="1615" spans="2:103" s="60" customFormat="1" x14ac:dyDescent="0.5">
      <c r="B1615" s="87"/>
      <c r="C1615" s="106"/>
      <c r="D1615" s="91"/>
      <c r="E1615" s="91"/>
      <c r="F1615" s="91"/>
      <c r="G1615" s="91"/>
      <c r="H1615" s="69"/>
      <c r="I1615" s="69"/>
      <c r="CS1615"/>
      <c r="CT1615"/>
      <c r="CU1615"/>
      <c r="CV1615"/>
      <c r="CW1615"/>
      <c r="CX1615"/>
      <c r="CY1615"/>
    </row>
    <row r="1616" spans="2:103" s="60" customFormat="1" x14ac:dyDescent="0.5">
      <c r="B1616" s="87"/>
      <c r="C1616" s="106"/>
      <c r="D1616" s="91"/>
      <c r="E1616" s="91"/>
      <c r="F1616" s="91"/>
      <c r="G1616" s="91"/>
      <c r="H1616" s="69"/>
      <c r="I1616" s="69"/>
      <c r="CS1616"/>
      <c r="CT1616"/>
      <c r="CU1616"/>
      <c r="CV1616"/>
      <c r="CW1616"/>
      <c r="CX1616"/>
      <c r="CY1616"/>
    </row>
    <row r="1617" spans="2:103" s="60" customFormat="1" x14ac:dyDescent="0.5">
      <c r="B1617" s="87"/>
      <c r="C1617" s="106"/>
      <c r="D1617" s="91"/>
      <c r="E1617" s="91"/>
      <c r="F1617" s="91"/>
      <c r="G1617" s="91"/>
      <c r="H1617" s="69"/>
      <c r="I1617" s="69"/>
      <c r="CS1617"/>
      <c r="CT1617"/>
      <c r="CU1617"/>
      <c r="CV1617"/>
      <c r="CW1617"/>
      <c r="CX1617"/>
      <c r="CY1617"/>
    </row>
    <row r="1618" spans="2:103" s="60" customFormat="1" x14ac:dyDescent="0.5">
      <c r="B1618" s="87"/>
      <c r="C1618" s="106"/>
      <c r="D1618" s="91"/>
      <c r="E1618" s="91"/>
      <c r="F1618" s="91"/>
      <c r="G1618" s="91"/>
      <c r="H1618" s="69"/>
      <c r="I1618" s="69"/>
      <c r="CS1618"/>
      <c r="CT1618"/>
      <c r="CU1618"/>
      <c r="CV1618"/>
      <c r="CW1618"/>
      <c r="CX1618"/>
      <c r="CY1618"/>
    </row>
    <row r="1619" spans="2:103" s="60" customFormat="1" x14ac:dyDescent="0.5">
      <c r="B1619" s="87"/>
      <c r="C1619" s="106"/>
      <c r="D1619" s="91"/>
      <c r="E1619" s="91"/>
      <c r="F1619" s="91"/>
      <c r="G1619" s="91"/>
      <c r="H1619" s="69"/>
      <c r="I1619" s="69"/>
      <c r="CS1619"/>
      <c r="CT1619"/>
      <c r="CU1619"/>
      <c r="CV1619"/>
      <c r="CW1619"/>
      <c r="CX1619"/>
      <c r="CY1619"/>
    </row>
    <row r="1620" spans="2:103" s="60" customFormat="1" x14ac:dyDescent="0.5">
      <c r="B1620" s="87"/>
      <c r="C1620" s="106"/>
      <c r="D1620" s="91"/>
      <c r="E1620" s="91"/>
      <c r="F1620" s="91"/>
      <c r="G1620" s="91"/>
      <c r="H1620" s="69"/>
      <c r="I1620" s="69"/>
      <c r="CS1620"/>
      <c r="CT1620"/>
      <c r="CU1620"/>
      <c r="CV1620"/>
      <c r="CW1620"/>
      <c r="CX1620"/>
      <c r="CY1620"/>
    </row>
    <row r="1621" spans="2:103" s="60" customFormat="1" x14ac:dyDescent="0.5">
      <c r="B1621" s="87"/>
      <c r="C1621" s="106"/>
      <c r="D1621" s="91"/>
      <c r="E1621" s="91"/>
      <c r="F1621" s="91"/>
      <c r="G1621" s="91"/>
      <c r="H1621" s="69"/>
      <c r="I1621" s="69"/>
      <c r="CS1621"/>
      <c r="CT1621"/>
      <c r="CU1621"/>
      <c r="CV1621"/>
      <c r="CW1621"/>
      <c r="CX1621"/>
      <c r="CY1621"/>
    </row>
    <row r="1622" spans="2:103" s="60" customFormat="1" x14ac:dyDescent="0.5">
      <c r="B1622" s="87"/>
      <c r="C1622" s="106"/>
      <c r="D1622" s="91"/>
      <c r="E1622" s="91"/>
      <c r="F1622" s="91"/>
      <c r="G1622" s="91"/>
      <c r="H1622" s="69"/>
      <c r="I1622" s="69"/>
      <c r="CS1622"/>
      <c r="CT1622"/>
      <c r="CU1622"/>
      <c r="CV1622"/>
      <c r="CW1622"/>
      <c r="CX1622"/>
      <c r="CY1622"/>
    </row>
    <row r="1623" spans="2:103" s="60" customFormat="1" x14ac:dyDescent="0.5">
      <c r="B1623" s="87"/>
      <c r="C1623" s="106"/>
      <c r="D1623" s="91"/>
      <c r="E1623" s="91"/>
      <c r="F1623" s="91"/>
      <c r="G1623" s="91"/>
      <c r="H1623" s="69"/>
      <c r="I1623" s="69"/>
      <c r="CS1623"/>
      <c r="CT1623"/>
      <c r="CU1623"/>
      <c r="CV1623"/>
      <c r="CW1623"/>
      <c r="CX1623"/>
      <c r="CY1623"/>
    </row>
    <row r="1624" spans="2:103" s="60" customFormat="1" x14ac:dyDescent="0.5">
      <c r="B1624" s="87"/>
      <c r="C1624" s="106"/>
      <c r="D1624" s="91"/>
      <c r="E1624" s="91"/>
      <c r="F1624" s="91"/>
      <c r="G1624" s="91"/>
      <c r="H1624" s="69"/>
      <c r="I1624" s="69"/>
      <c r="CS1624"/>
      <c r="CT1624"/>
      <c r="CU1624"/>
      <c r="CV1624"/>
      <c r="CW1624"/>
      <c r="CX1624"/>
      <c r="CY1624"/>
    </row>
    <row r="1625" spans="2:103" s="60" customFormat="1" x14ac:dyDescent="0.5">
      <c r="B1625" s="87"/>
      <c r="C1625" s="106"/>
      <c r="D1625" s="91"/>
      <c r="E1625" s="91"/>
      <c r="F1625" s="91"/>
      <c r="G1625" s="91"/>
      <c r="H1625" s="69"/>
      <c r="I1625" s="69"/>
      <c r="CS1625"/>
      <c r="CT1625"/>
      <c r="CU1625"/>
      <c r="CV1625"/>
      <c r="CW1625"/>
      <c r="CX1625"/>
      <c r="CY1625"/>
    </row>
    <row r="1626" spans="2:103" s="60" customFormat="1" x14ac:dyDescent="0.5">
      <c r="B1626" s="87"/>
      <c r="C1626" s="106"/>
      <c r="D1626" s="91"/>
      <c r="E1626" s="91"/>
      <c r="F1626" s="91"/>
      <c r="G1626" s="91"/>
      <c r="H1626" s="69"/>
      <c r="I1626" s="69"/>
      <c r="CS1626"/>
      <c r="CT1626"/>
      <c r="CU1626"/>
      <c r="CV1626"/>
      <c r="CW1626"/>
      <c r="CX1626"/>
      <c r="CY1626"/>
    </row>
    <row r="1627" spans="2:103" s="60" customFormat="1" x14ac:dyDescent="0.5">
      <c r="B1627" s="87"/>
      <c r="C1627" s="106"/>
      <c r="D1627" s="91"/>
      <c r="E1627" s="91"/>
      <c r="F1627" s="91"/>
      <c r="G1627" s="91"/>
      <c r="H1627" s="69"/>
      <c r="I1627" s="69"/>
      <c r="CS1627"/>
      <c r="CT1627"/>
      <c r="CU1627"/>
      <c r="CV1627"/>
      <c r="CW1627"/>
      <c r="CX1627"/>
      <c r="CY1627"/>
    </row>
    <row r="1628" spans="2:103" s="60" customFormat="1" x14ac:dyDescent="0.5">
      <c r="B1628" s="87"/>
      <c r="C1628" s="106"/>
      <c r="D1628" s="91"/>
      <c r="E1628" s="91"/>
      <c r="F1628" s="91"/>
      <c r="G1628" s="91"/>
      <c r="H1628" s="69"/>
      <c r="I1628" s="69"/>
      <c r="CS1628"/>
      <c r="CT1628"/>
      <c r="CU1628"/>
      <c r="CV1628"/>
      <c r="CW1628"/>
      <c r="CX1628"/>
      <c r="CY1628"/>
    </row>
    <row r="1629" spans="2:103" s="60" customFormat="1" x14ac:dyDescent="0.5">
      <c r="B1629" s="87"/>
      <c r="C1629" s="106"/>
      <c r="D1629" s="91"/>
      <c r="E1629" s="91"/>
      <c r="F1629" s="91"/>
      <c r="G1629" s="91"/>
      <c r="H1629" s="69"/>
      <c r="I1629" s="69"/>
      <c r="CS1629"/>
      <c r="CT1629"/>
      <c r="CU1629"/>
      <c r="CV1629"/>
      <c r="CW1629"/>
      <c r="CX1629"/>
      <c r="CY1629"/>
    </row>
    <row r="1630" spans="2:103" s="60" customFormat="1" x14ac:dyDescent="0.5">
      <c r="B1630" s="87"/>
      <c r="C1630" s="106"/>
      <c r="D1630" s="91"/>
      <c r="E1630" s="91"/>
      <c r="F1630" s="91"/>
      <c r="G1630" s="91"/>
      <c r="H1630" s="69"/>
      <c r="I1630" s="69"/>
      <c r="CS1630"/>
      <c r="CT1630"/>
      <c r="CU1630"/>
      <c r="CV1630"/>
      <c r="CW1630"/>
      <c r="CX1630"/>
      <c r="CY1630"/>
    </row>
    <row r="1631" spans="2:103" s="60" customFormat="1" x14ac:dyDescent="0.5">
      <c r="B1631" s="87"/>
      <c r="C1631" s="106"/>
      <c r="D1631" s="91"/>
      <c r="E1631" s="91"/>
      <c r="F1631" s="91"/>
      <c r="G1631" s="91"/>
      <c r="H1631" s="69"/>
      <c r="I1631" s="69"/>
      <c r="CS1631"/>
      <c r="CT1631"/>
      <c r="CU1631"/>
      <c r="CV1631"/>
      <c r="CW1631"/>
      <c r="CX1631"/>
      <c r="CY1631"/>
    </row>
    <row r="1632" spans="2:103" s="60" customFormat="1" x14ac:dyDescent="0.5">
      <c r="B1632" s="87"/>
      <c r="C1632" s="106"/>
      <c r="D1632" s="91"/>
      <c r="E1632" s="91"/>
      <c r="F1632" s="91"/>
      <c r="G1632" s="91"/>
      <c r="H1632" s="69"/>
      <c r="I1632" s="69"/>
      <c r="CS1632"/>
      <c r="CT1632"/>
      <c r="CU1632"/>
      <c r="CV1632"/>
      <c r="CW1632"/>
      <c r="CX1632"/>
      <c r="CY1632"/>
    </row>
    <row r="1633" spans="2:103" s="60" customFormat="1" x14ac:dyDescent="0.5">
      <c r="B1633" s="87"/>
      <c r="C1633" s="106"/>
      <c r="D1633" s="91"/>
      <c r="E1633" s="91"/>
      <c r="F1633" s="91"/>
      <c r="G1633" s="91"/>
      <c r="H1633" s="69"/>
      <c r="I1633" s="69"/>
      <c r="CS1633"/>
      <c r="CT1633"/>
      <c r="CU1633"/>
      <c r="CV1633"/>
      <c r="CW1633"/>
      <c r="CX1633"/>
      <c r="CY1633"/>
    </row>
    <row r="1634" spans="2:103" s="60" customFormat="1" x14ac:dyDescent="0.5">
      <c r="B1634" s="87"/>
      <c r="C1634" s="106"/>
      <c r="D1634" s="91"/>
      <c r="E1634" s="91"/>
      <c r="F1634" s="91"/>
      <c r="G1634" s="91"/>
      <c r="H1634" s="69"/>
      <c r="I1634" s="69"/>
      <c r="CS1634"/>
      <c r="CT1634"/>
      <c r="CU1634"/>
      <c r="CV1634"/>
      <c r="CW1634"/>
      <c r="CX1634"/>
      <c r="CY1634"/>
    </row>
    <row r="1635" spans="2:103" s="60" customFormat="1" x14ac:dyDescent="0.5">
      <c r="B1635" s="87"/>
      <c r="C1635" s="106"/>
      <c r="D1635" s="91"/>
      <c r="E1635" s="91"/>
      <c r="F1635" s="91"/>
      <c r="G1635" s="91"/>
      <c r="H1635" s="69"/>
      <c r="I1635" s="69"/>
      <c r="CS1635"/>
      <c r="CT1635"/>
      <c r="CU1635"/>
      <c r="CV1635"/>
      <c r="CW1635"/>
      <c r="CX1635"/>
      <c r="CY1635"/>
    </row>
    <row r="1636" spans="2:103" s="60" customFormat="1" x14ac:dyDescent="0.5">
      <c r="B1636" s="87"/>
      <c r="C1636" s="106"/>
      <c r="D1636" s="91"/>
      <c r="E1636" s="91"/>
      <c r="F1636" s="91"/>
      <c r="G1636" s="91"/>
      <c r="H1636" s="69"/>
      <c r="I1636" s="69"/>
      <c r="CS1636"/>
      <c r="CT1636"/>
      <c r="CU1636"/>
      <c r="CV1636"/>
      <c r="CW1636"/>
      <c r="CX1636"/>
      <c r="CY1636"/>
    </row>
    <row r="1637" spans="2:103" s="60" customFormat="1" x14ac:dyDescent="0.5">
      <c r="B1637" s="87"/>
      <c r="C1637" s="106"/>
      <c r="D1637" s="91"/>
      <c r="E1637" s="91"/>
      <c r="F1637" s="91"/>
      <c r="G1637" s="91"/>
      <c r="H1637" s="69"/>
      <c r="I1637" s="69"/>
      <c r="CS1637"/>
      <c r="CT1637"/>
      <c r="CU1637"/>
      <c r="CV1637"/>
      <c r="CW1637"/>
      <c r="CX1637"/>
      <c r="CY1637"/>
    </row>
    <row r="1638" spans="2:103" s="60" customFormat="1" x14ac:dyDescent="0.5">
      <c r="B1638" s="87"/>
      <c r="C1638" s="106"/>
      <c r="D1638" s="91"/>
      <c r="E1638" s="91"/>
      <c r="F1638" s="91"/>
      <c r="G1638" s="91"/>
      <c r="H1638" s="69"/>
      <c r="I1638" s="69"/>
      <c r="CS1638"/>
      <c r="CT1638"/>
      <c r="CU1638"/>
      <c r="CV1638"/>
      <c r="CW1638"/>
      <c r="CX1638"/>
      <c r="CY1638"/>
    </row>
    <row r="1639" spans="2:103" s="60" customFormat="1" x14ac:dyDescent="0.5">
      <c r="B1639" s="87"/>
      <c r="C1639" s="106"/>
      <c r="D1639" s="91"/>
      <c r="E1639" s="91"/>
      <c r="F1639" s="91"/>
      <c r="G1639" s="91"/>
      <c r="H1639" s="69"/>
      <c r="I1639" s="69"/>
      <c r="CS1639"/>
      <c r="CT1639"/>
      <c r="CU1639"/>
      <c r="CV1639"/>
      <c r="CW1639"/>
      <c r="CX1639"/>
      <c r="CY1639"/>
    </row>
    <row r="1640" spans="2:103" s="60" customFormat="1" x14ac:dyDescent="0.5">
      <c r="B1640" s="87"/>
      <c r="C1640" s="106"/>
      <c r="D1640" s="91"/>
      <c r="E1640" s="91"/>
      <c r="F1640" s="91"/>
      <c r="G1640" s="91"/>
      <c r="H1640" s="69"/>
      <c r="I1640" s="69"/>
      <c r="CS1640"/>
      <c r="CT1640"/>
      <c r="CU1640"/>
      <c r="CV1640"/>
      <c r="CW1640"/>
      <c r="CX1640"/>
      <c r="CY1640"/>
    </row>
    <row r="1641" spans="2:103" s="60" customFormat="1" x14ac:dyDescent="0.5">
      <c r="B1641" s="87"/>
      <c r="C1641" s="106"/>
      <c r="D1641" s="91"/>
      <c r="E1641" s="91"/>
      <c r="F1641" s="91"/>
      <c r="G1641" s="91"/>
      <c r="H1641" s="69"/>
      <c r="I1641" s="69"/>
      <c r="CS1641"/>
      <c r="CT1641"/>
      <c r="CU1641"/>
      <c r="CV1641"/>
      <c r="CW1641"/>
      <c r="CX1641"/>
      <c r="CY1641"/>
    </row>
    <row r="1642" spans="2:103" s="60" customFormat="1" x14ac:dyDescent="0.5">
      <c r="B1642" s="87"/>
      <c r="C1642" s="106"/>
      <c r="D1642" s="91"/>
      <c r="E1642" s="91"/>
      <c r="F1642" s="91"/>
      <c r="G1642" s="91"/>
      <c r="H1642" s="69"/>
      <c r="I1642" s="69"/>
      <c r="CS1642"/>
      <c r="CT1642"/>
      <c r="CU1642"/>
      <c r="CV1642"/>
      <c r="CW1642"/>
      <c r="CX1642"/>
      <c r="CY1642"/>
    </row>
    <row r="1643" spans="2:103" s="60" customFormat="1" x14ac:dyDescent="0.5">
      <c r="B1643" s="87"/>
      <c r="C1643" s="106"/>
      <c r="D1643" s="91"/>
      <c r="E1643" s="91"/>
      <c r="F1643" s="91"/>
      <c r="G1643" s="91"/>
      <c r="H1643" s="69"/>
      <c r="I1643" s="69"/>
      <c r="CS1643"/>
      <c r="CT1643"/>
      <c r="CU1643"/>
      <c r="CV1643"/>
      <c r="CW1643"/>
      <c r="CX1643"/>
      <c r="CY1643"/>
    </row>
    <row r="1644" spans="2:103" s="60" customFormat="1" x14ac:dyDescent="0.5">
      <c r="B1644" s="87"/>
      <c r="C1644" s="106"/>
      <c r="D1644" s="91"/>
      <c r="E1644" s="91"/>
      <c r="F1644" s="91"/>
      <c r="G1644" s="91"/>
      <c r="H1644" s="69"/>
      <c r="I1644" s="69"/>
      <c r="CS1644"/>
      <c r="CT1644"/>
      <c r="CU1644"/>
      <c r="CV1644"/>
      <c r="CW1644"/>
      <c r="CX1644"/>
      <c r="CY1644"/>
    </row>
    <row r="1645" spans="2:103" s="60" customFormat="1" x14ac:dyDescent="0.5">
      <c r="B1645" s="87"/>
      <c r="C1645" s="106"/>
      <c r="D1645" s="91"/>
      <c r="E1645" s="91"/>
      <c r="F1645" s="91"/>
      <c r="G1645" s="91"/>
      <c r="H1645" s="69"/>
      <c r="I1645" s="69"/>
      <c r="CS1645"/>
      <c r="CT1645"/>
      <c r="CU1645"/>
      <c r="CV1645"/>
      <c r="CW1645"/>
      <c r="CX1645"/>
      <c r="CY1645"/>
    </row>
    <row r="1646" spans="2:103" s="60" customFormat="1" x14ac:dyDescent="0.5">
      <c r="B1646" s="87"/>
      <c r="C1646" s="106"/>
      <c r="D1646" s="91"/>
      <c r="E1646" s="91"/>
      <c r="F1646" s="91"/>
      <c r="G1646" s="91"/>
      <c r="H1646" s="69"/>
      <c r="I1646" s="69"/>
      <c r="CS1646"/>
      <c r="CT1646"/>
      <c r="CU1646"/>
      <c r="CV1646"/>
      <c r="CW1646"/>
      <c r="CX1646"/>
      <c r="CY1646"/>
    </row>
    <row r="1647" spans="2:103" s="60" customFormat="1" x14ac:dyDescent="0.5">
      <c r="B1647" s="87"/>
      <c r="C1647" s="106"/>
      <c r="D1647" s="91"/>
      <c r="E1647" s="91"/>
      <c r="F1647" s="91"/>
      <c r="G1647" s="91"/>
      <c r="H1647" s="69"/>
      <c r="I1647" s="69"/>
      <c r="CS1647"/>
      <c r="CT1647"/>
      <c r="CU1647"/>
      <c r="CV1647"/>
      <c r="CW1647"/>
      <c r="CX1647"/>
      <c r="CY1647"/>
    </row>
    <row r="1648" spans="2:103" s="60" customFormat="1" x14ac:dyDescent="0.5">
      <c r="B1648" s="87"/>
      <c r="C1648" s="106"/>
      <c r="D1648" s="91"/>
      <c r="E1648" s="91"/>
      <c r="F1648" s="91"/>
      <c r="G1648" s="91"/>
      <c r="H1648" s="69"/>
      <c r="I1648" s="69"/>
      <c r="CS1648"/>
      <c r="CT1648"/>
      <c r="CU1648"/>
      <c r="CV1648"/>
      <c r="CW1648"/>
      <c r="CX1648"/>
      <c r="CY1648"/>
    </row>
    <row r="1649" spans="2:103" s="60" customFormat="1" x14ac:dyDescent="0.5">
      <c r="B1649" s="87"/>
      <c r="C1649" s="106"/>
      <c r="D1649" s="91"/>
      <c r="E1649" s="91"/>
      <c r="F1649" s="91"/>
      <c r="G1649" s="91"/>
      <c r="H1649" s="69"/>
      <c r="I1649" s="69"/>
      <c r="CS1649"/>
      <c r="CT1649"/>
      <c r="CU1649"/>
      <c r="CV1649"/>
      <c r="CW1649"/>
      <c r="CX1649"/>
      <c r="CY1649"/>
    </row>
    <row r="1650" spans="2:103" s="60" customFormat="1" x14ac:dyDescent="0.5">
      <c r="B1650" s="87"/>
      <c r="C1650" s="106"/>
      <c r="D1650" s="91"/>
      <c r="E1650" s="91"/>
      <c r="F1650" s="91"/>
      <c r="G1650" s="91"/>
      <c r="H1650" s="69"/>
      <c r="I1650" s="69"/>
      <c r="CS1650"/>
      <c r="CT1650"/>
      <c r="CU1650"/>
      <c r="CV1650"/>
      <c r="CW1650"/>
      <c r="CX1650"/>
      <c r="CY1650"/>
    </row>
    <row r="1651" spans="2:103" s="60" customFormat="1" x14ac:dyDescent="0.5">
      <c r="B1651" s="87"/>
      <c r="C1651" s="106"/>
      <c r="D1651" s="91"/>
      <c r="E1651" s="91"/>
      <c r="F1651" s="91"/>
      <c r="G1651" s="91"/>
      <c r="H1651" s="69"/>
      <c r="I1651" s="69"/>
      <c r="CS1651"/>
      <c r="CT1651"/>
      <c r="CU1651"/>
      <c r="CV1651"/>
      <c r="CW1651"/>
      <c r="CX1651"/>
      <c r="CY1651"/>
    </row>
    <row r="1652" spans="2:103" s="60" customFormat="1" x14ac:dyDescent="0.5">
      <c r="B1652" s="87"/>
      <c r="C1652" s="106"/>
      <c r="D1652" s="91"/>
      <c r="E1652" s="91"/>
      <c r="F1652" s="91"/>
      <c r="G1652" s="91"/>
      <c r="H1652" s="69"/>
      <c r="I1652" s="69"/>
      <c r="CS1652"/>
      <c r="CT1652"/>
      <c r="CU1652"/>
      <c r="CV1652"/>
      <c r="CW1652"/>
      <c r="CX1652"/>
      <c r="CY1652"/>
    </row>
    <row r="1653" spans="2:103" s="60" customFormat="1" x14ac:dyDescent="0.5">
      <c r="B1653" s="87"/>
      <c r="C1653" s="106"/>
      <c r="D1653" s="91"/>
      <c r="E1653" s="91"/>
      <c r="F1653" s="91"/>
      <c r="G1653" s="91"/>
      <c r="H1653" s="69"/>
      <c r="I1653" s="69"/>
      <c r="CS1653"/>
      <c r="CT1653"/>
      <c r="CU1653"/>
      <c r="CV1653"/>
      <c r="CW1653"/>
      <c r="CX1653"/>
      <c r="CY1653"/>
    </row>
    <row r="1654" spans="2:103" s="60" customFormat="1" x14ac:dyDescent="0.5">
      <c r="B1654" s="87"/>
      <c r="C1654" s="106"/>
      <c r="D1654" s="91"/>
      <c r="E1654" s="91"/>
      <c r="F1654" s="91"/>
      <c r="G1654" s="91"/>
      <c r="H1654" s="69"/>
      <c r="I1654" s="69"/>
      <c r="CS1654"/>
      <c r="CT1654"/>
      <c r="CU1654"/>
      <c r="CV1654"/>
      <c r="CW1654"/>
      <c r="CX1654"/>
      <c r="CY1654"/>
    </row>
    <row r="1655" spans="2:103" s="60" customFormat="1" x14ac:dyDescent="0.5">
      <c r="B1655" s="87"/>
      <c r="C1655" s="106"/>
      <c r="D1655" s="91"/>
      <c r="E1655" s="91"/>
      <c r="F1655" s="91"/>
      <c r="G1655" s="91"/>
      <c r="H1655" s="69"/>
      <c r="I1655" s="69"/>
      <c r="CS1655"/>
      <c r="CT1655"/>
      <c r="CU1655"/>
      <c r="CV1655"/>
      <c r="CW1655"/>
      <c r="CX1655"/>
      <c r="CY1655"/>
    </row>
    <row r="1656" spans="2:103" s="60" customFormat="1" x14ac:dyDescent="0.5">
      <c r="B1656" s="87"/>
      <c r="C1656" s="106"/>
      <c r="D1656" s="91"/>
      <c r="E1656" s="91"/>
      <c r="F1656" s="91"/>
      <c r="G1656" s="91"/>
      <c r="H1656" s="69"/>
      <c r="I1656" s="69"/>
      <c r="CS1656"/>
      <c r="CT1656"/>
      <c r="CU1656"/>
      <c r="CV1656"/>
      <c r="CW1656"/>
      <c r="CX1656"/>
      <c r="CY1656"/>
    </row>
    <row r="1657" spans="2:103" s="60" customFormat="1" x14ac:dyDescent="0.5">
      <c r="B1657" s="87"/>
      <c r="C1657" s="106"/>
      <c r="D1657" s="91"/>
      <c r="E1657" s="91"/>
      <c r="F1657" s="91"/>
      <c r="G1657" s="91"/>
      <c r="H1657" s="69"/>
      <c r="I1657" s="69"/>
      <c r="CS1657"/>
      <c r="CT1657"/>
      <c r="CU1657"/>
      <c r="CV1657"/>
      <c r="CW1657"/>
      <c r="CX1657"/>
      <c r="CY1657"/>
    </row>
    <row r="1658" spans="2:103" s="60" customFormat="1" x14ac:dyDescent="0.5">
      <c r="B1658" s="87"/>
      <c r="C1658" s="106"/>
      <c r="D1658" s="91"/>
      <c r="E1658" s="91"/>
      <c r="F1658" s="91"/>
      <c r="G1658" s="91"/>
      <c r="H1658" s="69"/>
      <c r="I1658" s="69"/>
      <c r="CS1658"/>
      <c r="CT1658"/>
      <c r="CU1658"/>
      <c r="CV1658"/>
      <c r="CW1658"/>
      <c r="CX1658"/>
      <c r="CY1658"/>
    </row>
    <row r="1659" spans="2:103" s="60" customFormat="1" x14ac:dyDescent="0.5">
      <c r="B1659" s="87"/>
      <c r="C1659" s="106"/>
      <c r="D1659" s="91"/>
      <c r="E1659" s="91"/>
      <c r="F1659" s="91"/>
      <c r="G1659" s="91"/>
      <c r="H1659" s="69"/>
      <c r="I1659" s="69"/>
      <c r="CS1659"/>
      <c r="CT1659"/>
      <c r="CU1659"/>
      <c r="CV1659"/>
      <c r="CW1659"/>
      <c r="CX1659"/>
      <c r="CY1659"/>
    </row>
    <row r="1660" spans="2:103" s="60" customFormat="1" x14ac:dyDescent="0.5">
      <c r="B1660" s="87"/>
      <c r="C1660" s="106"/>
      <c r="D1660" s="91"/>
      <c r="E1660" s="91"/>
      <c r="F1660" s="91"/>
      <c r="G1660" s="91"/>
      <c r="H1660" s="69"/>
      <c r="I1660" s="69"/>
      <c r="CS1660"/>
      <c r="CT1660"/>
      <c r="CU1660"/>
      <c r="CV1660"/>
      <c r="CW1660"/>
      <c r="CX1660"/>
      <c r="CY1660"/>
    </row>
    <row r="1661" spans="2:103" s="60" customFormat="1" x14ac:dyDescent="0.5">
      <c r="B1661" s="87"/>
      <c r="C1661" s="106"/>
      <c r="D1661" s="91"/>
      <c r="E1661" s="91"/>
      <c r="F1661" s="91"/>
      <c r="G1661" s="91"/>
      <c r="H1661" s="69"/>
      <c r="I1661" s="69"/>
      <c r="CS1661"/>
      <c r="CT1661"/>
      <c r="CU1661"/>
      <c r="CV1661"/>
      <c r="CW1661"/>
      <c r="CX1661"/>
      <c r="CY1661"/>
    </row>
    <row r="1662" spans="2:103" s="60" customFormat="1" x14ac:dyDescent="0.5">
      <c r="B1662" s="87"/>
      <c r="C1662" s="106"/>
      <c r="D1662" s="91"/>
      <c r="E1662" s="91"/>
      <c r="F1662" s="91"/>
      <c r="G1662" s="91"/>
      <c r="H1662" s="69"/>
      <c r="I1662" s="69"/>
      <c r="CS1662"/>
      <c r="CT1662"/>
      <c r="CU1662"/>
      <c r="CV1662"/>
      <c r="CW1662"/>
      <c r="CX1662"/>
      <c r="CY1662"/>
    </row>
    <row r="1663" spans="2:103" s="60" customFormat="1" x14ac:dyDescent="0.5">
      <c r="B1663" s="87"/>
      <c r="C1663" s="106"/>
      <c r="D1663" s="91"/>
      <c r="E1663" s="91"/>
      <c r="F1663" s="91"/>
      <c r="G1663" s="91"/>
      <c r="H1663" s="69"/>
      <c r="I1663" s="69"/>
      <c r="CS1663"/>
      <c r="CT1663"/>
      <c r="CU1663"/>
      <c r="CV1663"/>
      <c r="CW1663"/>
      <c r="CX1663"/>
      <c r="CY1663"/>
    </row>
    <row r="1664" spans="2:103" s="60" customFormat="1" x14ac:dyDescent="0.5">
      <c r="B1664" s="87"/>
      <c r="C1664" s="106"/>
      <c r="D1664" s="91"/>
      <c r="E1664" s="91"/>
      <c r="F1664" s="91"/>
      <c r="G1664" s="91"/>
      <c r="H1664" s="69"/>
      <c r="I1664" s="69"/>
      <c r="CS1664"/>
      <c r="CT1664"/>
      <c r="CU1664"/>
      <c r="CV1664"/>
      <c r="CW1664"/>
      <c r="CX1664"/>
      <c r="CY1664"/>
    </row>
    <row r="1665" spans="2:103" s="60" customFormat="1" x14ac:dyDescent="0.5">
      <c r="B1665" s="87"/>
      <c r="C1665" s="106"/>
      <c r="D1665" s="91"/>
      <c r="E1665" s="91"/>
      <c r="F1665" s="91"/>
      <c r="G1665" s="91"/>
      <c r="H1665" s="69"/>
      <c r="I1665" s="69"/>
      <c r="CS1665"/>
      <c r="CT1665"/>
      <c r="CU1665"/>
      <c r="CV1665"/>
      <c r="CW1665"/>
      <c r="CX1665"/>
      <c r="CY1665"/>
    </row>
    <row r="1666" spans="2:103" s="60" customFormat="1" x14ac:dyDescent="0.5">
      <c r="B1666" s="87"/>
      <c r="C1666" s="106"/>
      <c r="D1666" s="91"/>
      <c r="E1666" s="91"/>
      <c r="F1666" s="91"/>
      <c r="G1666" s="91"/>
      <c r="H1666" s="69"/>
      <c r="I1666" s="69"/>
      <c r="CS1666"/>
      <c r="CT1666"/>
      <c r="CU1666"/>
      <c r="CV1666"/>
      <c r="CW1666"/>
      <c r="CX1666"/>
      <c r="CY1666"/>
    </row>
    <row r="1667" spans="2:103" s="60" customFormat="1" x14ac:dyDescent="0.5">
      <c r="B1667" s="87"/>
      <c r="C1667" s="106"/>
      <c r="D1667" s="91"/>
      <c r="E1667" s="91"/>
      <c r="F1667" s="91"/>
      <c r="G1667" s="91"/>
      <c r="H1667" s="69"/>
      <c r="I1667" s="69"/>
      <c r="CS1667"/>
      <c r="CT1667"/>
      <c r="CU1667"/>
      <c r="CV1667"/>
      <c r="CW1667"/>
      <c r="CX1667"/>
      <c r="CY1667"/>
    </row>
    <row r="1668" spans="2:103" s="60" customFormat="1" x14ac:dyDescent="0.5">
      <c r="B1668" s="87"/>
      <c r="C1668" s="106"/>
      <c r="D1668" s="91"/>
      <c r="E1668" s="91"/>
      <c r="F1668" s="91"/>
      <c r="G1668" s="91"/>
      <c r="H1668" s="69"/>
      <c r="I1668" s="69"/>
      <c r="CS1668"/>
      <c r="CT1668"/>
      <c r="CU1668"/>
      <c r="CV1668"/>
      <c r="CW1668"/>
      <c r="CX1668"/>
      <c r="CY1668"/>
    </row>
    <row r="1669" spans="2:103" s="60" customFormat="1" x14ac:dyDescent="0.5">
      <c r="B1669" s="87"/>
      <c r="C1669" s="106"/>
      <c r="D1669" s="91"/>
      <c r="E1669" s="91"/>
      <c r="F1669" s="91"/>
      <c r="G1669" s="91"/>
      <c r="H1669" s="69"/>
      <c r="I1669" s="69"/>
      <c r="CS1669"/>
      <c r="CT1669"/>
      <c r="CU1669"/>
      <c r="CV1669"/>
      <c r="CW1669"/>
      <c r="CX1669"/>
      <c r="CY1669"/>
    </row>
    <row r="1670" spans="2:103" s="60" customFormat="1" x14ac:dyDescent="0.5">
      <c r="B1670" s="87"/>
      <c r="C1670" s="106"/>
      <c r="D1670" s="91"/>
      <c r="E1670" s="91"/>
      <c r="F1670" s="91"/>
      <c r="G1670" s="91"/>
      <c r="H1670" s="69"/>
      <c r="I1670" s="69"/>
      <c r="CS1670"/>
      <c r="CT1670"/>
      <c r="CU1670"/>
      <c r="CV1670"/>
      <c r="CW1670"/>
      <c r="CX1670"/>
      <c r="CY1670"/>
    </row>
    <row r="1671" spans="2:103" s="60" customFormat="1" x14ac:dyDescent="0.5">
      <c r="B1671" s="87"/>
      <c r="C1671" s="106"/>
      <c r="D1671" s="91"/>
      <c r="E1671" s="91"/>
      <c r="F1671" s="91"/>
      <c r="G1671" s="91"/>
      <c r="H1671" s="69"/>
      <c r="I1671" s="69"/>
      <c r="CS1671"/>
      <c r="CT1671"/>
      <c r="CU1671"/>
      <c r="CV1671"/>
      <c r="CW1671"/>
      <c r="CX1671"/>
      <c r="CY1671"/>
    </row>
    <row r="1672" spans="2:103" s="60" customFormat="1" x14ac:dyDescent="0.5">
      <c r="B1672" s="87"/>
      <c r="C1672" s="106"/>
      <c r="D1672" s="91"/>
      <c r="E1672" s="91"/>
      <c r="F1672" s="91"/>
      <c r="G1672" s="91"/>
      <c r="H1672" s="69"/>
      <c r="I1672" s="69"/>
      <c r="CS1672"/>
      <c r="CT1672"/>
      <c r="CU1672"/>
      <c r="CV1672"/>
      <c r="CW1672"/>
      <c r="CX1672"/>
      <c r="CY1672"/>
    </row>
    <row r="1673" spans="2:103" s="60" customFormat="1" x14ac:dyDescent="0.5">
      <c r="B1673" s="87"/>
      <c r="C1673" s="106"/>
      <c r="D1673" s="91"/>
      <c r="E1673" s="91"/>
      <c r="F1673" s="91"/>
      <c r="G1673" s="91"/>
      <c r="H1673" s="69"/>
      <c r="I1673" s="69"/>
      <c r="CS1673"/>
      <c r="CT1673"/>
      <c r="CU1673"/>
      <c r="CV1673"/>
      <c r="CW1673"/>
      <c r="CX1673"/>
      <c r="CY1673"/>
    </row>
    <row r="1674" spans="2:103" s="60" customFormat="1" x14ac:dyDescent="0.5">
      <c r="B1674" s="87"/>
      <c r="C1674" s="106"/>
      <c r="D1674" s="91"/>
      <c r="E1674" s="91"/>
      <c r="F1674" s="91"/>
      <c r="G1674" s="91"/>
      <c r="H1674" s="69"/>
      <c r="I1674" s="69"/>
      <c r="CS1674"/>
      <c r="CT1674"/>
      <c r="CU1674"/>
      <c r="CV1674"/>
      <c r="CW1674"/>
      <c r="CX1674"/>
      <c r="CY1674"/>
    </row>
    <row r="1675" spans="2:103" s="60" customFormat="1" x14ac:dyDescent="0.5">
      <c r="B1675" s="87"/>
      <c r="C1675" s="106"/>
      <c r="D1675" s="91"/>
      <c r="E1675" s="91"/>
      <c r="F1675" s="91"/>
      <c r="G1675" s="91"/>
      <c r="H1675" s="69"/>
      <c r="I1675" s="69"/>
      <c r="CS1675"/>
      <c r="CT1675"/>
      <c r="CU1675"/>
      <c r="CV1675"/>
      <c r="CW1675"/>
      <c r="CX1675"/>
      <c r="CY1675"/>
    </row>
    <row r="1676" spans="2:103" s="60" customFormat="1" x14ac:dyDescent="0.5">
      <c r="B1676" s="87"/>
      <c r="C1676" s="106"/>
      <c r="D1676" s="91"/>
      <c r="E1676" s="91"/>
      <c r="F1676" s="91"/>
      <c r="G1676" s="91"/>
      <c r="H1676" s="69"/>
      <c r="I1676" s="69"/>
      <c r="CS1676"/>
      <c r="CT1676"/>
      <c r="CU1676"/>
      <c r="CV1676"/>
      <c r="CW1676"/>
      <c r="CX1676"/>
      <c r="CY1676"/>
    </row>
    <row r="1677" spans="2:103" s="60" customFormat="1" x14ac:dyDescent="0.5">
      <c r="B1677" s="87"/>
      <c r="C1677" s="106"/>
      <c r="D1677" s="91"/>
      <c r="E1677" s="91"/>
      <c r="F1677" s="91"/>
      <c r="G1677" s="91"/>
      <c r="H1677" s="69"/>
      <c r="I1677" s="69"/>
      <c r="CS1677"/>
      <c r="CT1677"/>
      <c r="CU1677"/>
      <c r="CV1677"/>
      <c r="CW1677"/>
      <c r="CX1677"/>
      <c r="CY1677"/>
    </row>
    <row r="1678" spans="2:103" s="60" customFormat="1" x14ac:dyDescent="0.5">
      <c r="B1678" s="87"/>
      <c r="C1678" s="106"/>
      <c r="D1678" s="91"/>
      <c r="E1678" s="91"/>
      <c r="F1678" s="91"/>
      <c r="G1678" s="91"/>
      <c r="H1678" s="69"/>
      <c r="I1678" s="69"/>
      <c r="CS1678"/>
      <c r="CT1678"/>
      <c r="CU1678"/>
      <c r="CV1678"/>
      <c r="CW1678"/>
      <c r="CX1678"/>
      <c r="CY1678"/>
    </row>
    <row r="1679" spans="2:103" s="60" customFormat="1" x14ac:dyDescent="0.5">
      <c r="B1679" s="87"/>
      <c r="C1679" s="106"/>
      <c r="D1679" s="91"/>
      <c r="E1679" s="91"/>
      <c r="F1679" s="91"/>
      <c r="G1679" s="91"/>
      <c r="H1679" s="69"/>
      <c r="I1679" s="69"/>
      <c r="CS1679"/>
      <c r="CT1679"/>
      <c r="CU1679"/>
      <c r="CV1679"/>
      <c r="CW1679"/>
      <c r="CX1679"/>
      <c r="CY1679"/>
    </row>
    <row r="1680" spans="2:103" s="60" customFormat="1" x14ac:dyDescent="0.5">
      <c r="B1680" s="87"/>
      <c r="C1680" s="106"/>
      <c r="D1680" s="91"/>
      <c r="E1680" s="91"/>
      <c r="F1680" s="91"/>
      <c r="G1680" s="91"/>
      <c r="H1680" s="69"/>
      <c r="I1680" s="69"/>
      <c r="CS1680"/>
      <c r="CT1680"/>
      <c r="CU1680"/>
      <c r="CV1680"/>
      <c r="CW1680"/>
      <c r="CX1680"/>
      <c r="CY1680"/>
    </row>
    <row r="1681" spans="2:103" s="60" customFormat="1" x14ac:dyDescent="0.5">
      <c r="B1681" s="87"/>
      <c r="C1681" s="106"/>
      <c r="D1681" s="91"/>
      <c r="E1681" s="91"/>
      <c r="F1681" s="91"/>
      <c r="G1681" s="91"/>
      <c r="H1681" s="69"/>
      <c r="I1681" s="69"/>
      <c r="CS1681"/>
      <c r="CT1681"/>
      <c r="CU1681"/>
      <c r="CV1681"/>
      <c r="CW1681"/>
      <c r="CX1681"/>
      <c r="CY1681"/>
    </row>
    <row r="1682" spans="2:103" s="60" customFormat="1" x14ac:dyDescent="0.5">
      <c r="B1682" s="87"/>
      <c r="C1682" s="106"/>
      <c r="D1682" s="91"/>
      <c r="E1682" s="91"/>
      <c r="F1682" s="91"/>
      <c r="G1682" s="91"/>
      <c r="H1682" s="69"/>
      <c r="I1682" s="69"/>
      <c r="CS1682"/>
      <c r="CT1682"/>
      <c r="CU1682"/>
      <c r="CV1682"/>
      <c r="CW1682"/>
      <c r="CX1682"/>
      <c r="CY1682"/>
    </row>
    <row r="1683" spans="2:103" s="60" customFormat="1" x14ac:dyDescent="0.5">
      <c r="B1683" s="87"/>
      <c r="C1683" s="106"/>
      <c r="D1683" s="91"/>
      <c r="E1683" s="91"/>
      <c r="F1683" s="91"/>
      <c r="G1683" s="91"/>
      <c r="H1683" s="69"/>
      <c r="I1683" s="69"/>
      <c r="CS1683"/>
      <c r="CT1683"/>
      <c r="CU1683"/>
      <c r="CV1683"/>
      <c r="CW1683"/>
      <c r="CX1683"/>
      <c r="CY1683"/>
    </row>
    <row r="1684" spans="2:103" s="60" customFormat="1" x14ac:dyDescent="0.5">
      <c r="B1684" s="87"/>
      <c r="C1684" s="106"/>
      <c r="D1684" s="91"/>
      <c r="E1684" s="91"/>
      <c r="F1684" s="91"/>
      <c r="G1684" s="91"/>
      <c r="H1684" s="69"/>
      <c r="I1684" s="69"/>
      <c r="CS1684"/>
      <c r="CT1684"/>
      <c r="CU1684"/>
      <c r="CV1684"/>
      <c r="CW1684"/>
      <c r="CX1684"/>
      <c r="CY1684"/>
    </row>
    <row r="1685" spans="2:103" s="60" customFormat="1" x14ac:dyDescent="0.5">
      <c r="B1685" s="87"/>
      <c r="C1685" s="106"/>
      <c r="D1685" s="91"/>
      <c r="E1685" s="91"/>
      <c r="F1685" s="91"/>
      <c r="G1685" s="91"/>
      <c r="H1685" s="69"/>
      <c r="I1685" s="69"/>
      <c r="CS1685"/>
      <c r="CT1685"/>
      <c r="CU1685"/>
      <c r="CV1685"/>
      <c r="CW1685"/>
      <c r="CX1685"/>
      <c r="CY1685"/>
    </row>
    <row r="1686" spans="2:103" s="60" customFormat="1" x14ac:dyDescent="0.5">
      <c r="B1686" s="87"/>
      <c r="C1686" s="106"/>
      <c r="D1686" s="91"/>
      <c r="E1686" s="91"/>
      <c r="F1686" s="91"/>
      <c r="G1686" s="91"/>
      <c r="H1686" s="69"/>
      <c r="I1686" s="69"/>
      <c r="CS1686"/>
      <c r="CT1686"/>
      <c r="CU1686"/>
      <c r="CV1686"/>
      <c r="CW1686"/>
      <c r="CX1686"/>
      <c r="CY1686"/>
    </row>
    <row r="1687" spans="2:103" s="60" customFormat="1" x14ac:dyDescent="0.5">
      <c r="B1687" s="87"/>
      <c r="C1687" s="106"/>
      <c r="D1687" s="91"/>
      <c r="E1687" s="91"/>
      <c r="F1687" s="91"/>
      <c r="G1687" s="91"/>
      <c r="H1687" s="69"/>
      <c r="I1687" s="69"/>
      <c r="CS1687"/>
      <c r="CT1687"/>
      <c r="CU1687"/>
      <c r="CV1687"/>
      <c r="CW1687"/>
      <c r="CX1687"/>
      <c r="CY1687"/>
    </row>
    <row r="1688" spans="2:103" s="60" customFormat="1" x14ac:dyDescent="0.5">
      <c r="B1688" s="87"/>
      <c r="C1688" s="106"/>
      <c r="D1688" s="91"/>
      <c r="E1688" s="91"/>
      <c r="F1688" s="91"/>
      <c r="G1688" s="91"/>
      <c r="H1688" s="69"/>
      <c r="I1688" s="69"/>
      <c r="CS1688"/>
      <c r="CT1688"/>
      <c r="CU1688"/>
      <c r="CV1688"/>
      <c r="CW1688"/>
      <c r="CX1688"/>
      <c r="CY1688"/>
    </row>
    <row r="1689" spans="2:103" s="60" customFormat="1" x14ac:dyDescent="0.5">
      <c r="B1689" s="87"/>
      <c r="C1689" s="106"/>
      <c r="D1689" s="91"/>
      <c r="E1689" s="91"/>
      <c r="F1689" s="91"/>
      <c r="G1689" s="91"/>
      <c r="H1689" s="69"/>
      <c r="I1689" s="69"/>
      <c r="CS1689"/>
      <c r="CT1689"/>
      <c r="CU1689"/>
      <c r="CV1689"/>
      <c r="CW1689"/>
      <c r="CX1689"/>
      <c r="CY1689"/>
    </row>
    <row r="1690" spans="2:103" s="60" customFormat="1" x14ac:dyDescent="0.5">
      <c r="B1690" s="87"/>
      <c r="C1690" s="106"/>
      <c r="D1690" s="91"/>
      <c r="E1690" s="91"/>
      <c r="F1690" s="91"/>
      <c r="G1690" s="91"/>
      <c r="H1690" s="69"/>
      <c r="I1690" s="69"/>
      <c r="CS1690"/>
      <c r="CT1690"/>
      <c r="CU1690"/>
      <c r="CV1690"/>
      <c r="CW1690"/>
      <c r="CX1690"/>
      <c r="CY1690"/>
    </row>
    <row r="1691" spans="2:103" s="60" customFormat="1" x14ac:dyDescent="0.5">
      <c r="B1691" s="87"/>
      <c r="C1691" s="106"/>
      <c r="D1691" s="91"/>
      <c r="E1691" s="91"/>
      <c r="F1691" s="91"/>
      <c r="G1691" s="91"/>
      <c r="H1691" s="69"/>
      <c r="I1691" s="69"/>
      <c r="CS1691"/>
      <c r="CT1691"/>
      <c r="CU1691"/>
      <c r="CV1691"/>
      <c r="CW1691"/>
      <c r="CX1691"/>
      <c r="CY1691"/>
    </row>
    <row r="1692" spans="2:103" s="60" customFormat="1" x14ac:dyDescent="0.5">
      <c r="B1692" s="87"/>
      <c r="C1692" s="106"/>
      <c r="D1692" s="91"/>
      <c r="E1692" s="91"/>
      <c r="F1692" s="91"/>
      <c r="G1692" s="91"/>
      <c r="H1692" s="69"/>
      <c r="I1692" s="69"/>
      <c r="CS1692"/>
      <c r="CT1692"/>
      <c r="CU1692"/>
      <c r="CV1692"/>
      <c r="CW1692"/>
      <c r="CX1692"/>
      <c r="CY1692"/>
    </row>
    <row r="1693" spans="2:103" s="60" customFormat="1" x14ac:dyDescent="0.5">
      <c r="B1693" s="87"/>
      <c r="C1693" s="106"/>
      <c r="D1693" s="91"/>
      <c r="E1693" s="91"/>
      <c r="F1693" s="91"/>
      <c r="G1693" s="91"/>
      <c r="H1693" s="69"/>
      <c r="I1693" s="69"/>
      <c r="CS1693"/>
      <c r="CT1693"/>
      <c r="CU1693"/>
      <c r="CV1693"/>
      <c r="CW1693"/>
      <c r="CX1693"/>
      <c r="CY1693"/>
    </row>
    <row r="1694" spans="2:103" s="60" customFormat="1" x14ac:dyDescent="0.5">
      <c r="B1694" s="87"/>
      <c r="C1694" s="106"/>
      <c r="D1694" s="91"/>
      <c r="E1694" s="91"/>
      <c r="F1694" s="91"/>
      <c r="G1694" s="91"/>
      <c r="H1694" s="69"/>
      <c r="I1694" s="69"/>
      <c r="CS1694"/>
      <c r="CT1694"/>
      <c r="CU1694"/>
      <c r="CV1694"/>
      <c r="CW1694"/>
      <c r="CX1694"/>
      <c r="CY1694"/>
    </row>
    <row r="1695" spans="2:103" s="60" customFormat="1" x14ac:dyDescent="0.5">
      <c r="B1695" s="87"/>
      <c r="C1695" s="106"/>
      <c r="D1695" s="91"/>
      <c r="E1695" s="91"/>
      <c r="F1695" s="91"/>
      <c r="G1695" s="91"/>
      <c r="H1695" s="69"/>
      <c r="I1695" s="69"/>
      <c r="CS1695"/>
      <c r="CT1695"/>
      <c r="CU1695"/>
      <c r="CV1695"/>
      <c r="CW1695"/>
      <c r="CX1695"/>
      <c r="CY1695"/>
    </row>
    <row r="1696" spans="2:103" s="60" customFormat="1" x14ac:dyDescent="0.5">
      <c r="B1696" s="87"/>
      <c r="C1696" s="106"/>
      <c r="D1696" s="91"/>
      <c r="E1696" s="91"/>
      <c r="F1696" s="91"/>
      <c r="G1696" s="91"/>
      <c r="H1696" s="69"/>
      <c r="I1696" s="69"/>
      <c r="CS1696"/>
      <c r="CT1696"/>
      <c r="CU1696"/>
      <c r="CV1696"/>
      <c r="CW1696"/>
      <c r="CX1696"/>
      <c r="CY1696"/>
    </row>
    <row r="1697" spans="2:103" s="60" customFormat="1" x14ac:dyDescent="0.5">
      <c r="B1697" s="87"/>
      <c r="C1697" s="106"/>
      <c r="D1697" s="91"/>
      <c r="E1697" s="91"/>
      <c r="F1697" s="91"/>
      <c r="G1697" s="91"/>
      <c r="H1697" s="69"/>
      <c r="I1697" s="69"/>
      <c r="CS1697"/>
      <c r="CT1697"/>
      <c r="CU1697"/>
      <c r="CV1697"/>
      <c r="CW1697"/>
      <c r="CX1697"/>
      <c r="CY1697"/>
    </row>
    <row r="1698" spans="2:103" s="60" customFormat="1" x14ac:dyDescent="0.5">
      <c r="B1698" s="87"/>
      <c r="C1698" s="106"/>
      <c r="D1698" s="91"/>
      <c r="E1698" s="91"/>
      <c r="F1698" s="91"/>
      <c r="G1698" s="91"/>
      <c r="H1698" s="69"/>
      <c r="I1698" s="69"/>
      <c r="CS1698"/>
      <c r="CT1698"/>
      <c r="CU1698"/>
      <c r="CV1698"/>
      <c r="CW1698"/>
      <c r="CX1698"/>
      <c r="CY1698"/>
    </row>
    <row r="1699" spans="2:103" s="60" customFormat="1" x14ac:dyDescent="0.5">
      <c r="B1699" s="87"/>
      <c r="C1699" s="106"/>
      <c r="D1699" s="91"/>
      <c r="E1699" s="91"/>
      <c r="F1699" s="91"/>
      <c r="G1699" s="91"/>
      <c r="H1699" s="69"/>
      <c r="I1699" s="69"/>
      <c r="CS1699"/>
      <c r="CT1699"/>
      <c r="CU1699"/>
      <c r="CV1699"/>
      <c r="CW1699"/>
      <c r="CX1699"/>
      <c r="CY1699"/>
    </row>
    <row r="1700" spans="2:103" s="60" customFormat="1" x14ac:dyDescent="0.5">
      <c r="B1700" s="87"/>
      <c r="C1700" s="106"/>
      <c r="D1700" s="91"/>
      <c r="E1700" s="91"/>
      <c r="F1700" s="91"/>
      <c r="G1700" s="91"/>
      <c r="H1700" s="69"/>
      <c r="I1700" s="69"/>
      <c r="CS1700"/>
      <c r="CT1700"/>
      <c r="CU1700"/>
      <c r="CV1700"/>
      <c r="CW1700"/>
      <c r="CX1700"/>
      <c r="CY1700"/>
    </row>
    <row r="1701" spans="2:103" s="60" customFormat="1" x14ac:dyDescent="0.5">
      <c r="B1701" s="87"/>
      <c r="C1701" s="106"/>
      <c r="D1701" s="91"/>
      <c r="E1701" s="91"/>
      <c r="F1701" s="91"/>
      <c r="G1701" s="91"/>
      <c r="H1701" s="69"/>
      <c r="I1701" s="69"/>
      <c r="CS1701"/>
      <c r="CT1701"/>
      <c r="CU1701"/>
      <c r="CV1701"/>
      <c r="CW1701"/>
      <c r="CX1701"/>
      <c r="CY1701"/>
    </row>
    <row r="1702" spans="2:103" s="60" customFormat="1" x14ac:dyDescent="0.5">
      <c r="B1702" s="87"/>
      <c r="C1702" s="106"/>
      <c r="D1702" s="91"/>
      <c r="E1702" s="91"/>
      <c r="F1702" s="91"/>
      <c r="G1702" s="91"/>
      <c r="H1702" s="69"/>
      <c r="I1702" s="69"/>
      <c r="CS1702"/>
      <c r="CT1702"/>
      <c r="CU1702"/>
      <c r="CV1702"/>
      <c r="CW1702"/>
      <c r="CX1702"/>
      <c r="CY1702"/>
    </row>
    <row r="1703" spans="2:103" s="60" customFormat="1" x14ac:dyDescent="0.5">
      <c r="B1703" s="87"/>
      <c r="C1703" s="106"/>
      <c r="D1703" s="91"/>
      <c r="E1703" s="91"/>
      <c r="F1703" s="91"/>
      <c r="G1703" s="91"/>
      <c r="H1703" s="69"/>
      <c r="I1703" s="69"/>
      <c r="CS1703"/>
      <c r="CT1703"/>
      <c r="CU1703"/>
      <c r="CV1703"/>
      <c r="CW1703"/>
      <c r="CX1703"/>
      <c r="CY1703"/>
    </row>
    <row r="1704" spans="2:103" s="60" customFormat="1" x14ac:dyDescent="0.5">
      <c r="B1704" s="87"/>
      <c r="C1704" s="106"/>
      <c r="D1704" s="91"/>
      <c r="E1704" s="91"/>
      <c r="F1704" s="91"/>
      <c r="G1704" s="91"/>
      <c r="H1704" s="69"/>
      <c r="I1704" s="69"/>
      <c r="CS1704"/>
      <c r="CT1704"/>
      <c r="CU1704"/>
      <c r="CV1704"/>
      <c r="CW1704"/>
      <c r="CX1704"/>
      <c r="CY1704"/>
    </row>
    <row r="1705" spans="2:103" s="60" customFormat="1" x14ac:dyDescent="0.5">
      <c r="B1705" s="87"/>
      <c r="C1705" s="106"/>
      <c r="D1705" s="91"/>
      <c r="E1705" s="91"/>
      <c r="F1705" s="91"/>
      <c r="G1705" s="91"/>
      <c r="H1705" s="69"/>
      <c r="I1705" s="69"/>
      <c r="CS1705"/>
      <c r="CT1705"/>
      <c r="CU1705"/>
      <c r="CV1705"/>
      <c r="CW1705"/>
      <c r="CX1705"/>
      <c r="CY1705"/>
    </row>
    <row r="1706" spans="2:103" s="60" customFormat="1" x14ac:dyDescent="0.5">
      <c r="B1706" s="87"/>
      <c r="C1706" s="106"/>
      <c r="D1706" s="91"/>
      <c r="E1706" s="91"/>
      <c r="F1706" s="91"/>
      <c r="G1706" s="91"/>
      <c r="H1706" s="69"/>
      <c r="I1706" s="69"/>
      <c r="CS1706"/>
      <c r="CT1706"/>
      <c r="CU1706"/>
      <c r="CV1706"/>
      <c r="CW1706"/>
      <c r="CX1706"/>
      <c r="CY1706"/>
    </row>
    <row r="1707" spans="2:103" s="60" customFormat="1" x14ac:dyDescent="0.5">
      <c r="B1707" s="87"/>
      <c r="C1707" s="106"/>
      <c r="D1707" s="91"/>
      <c r="E1707" s="91"/>
      <c r="F1707" s="91"/>
      <c r="G1707" s="91"/>
      <c r="H1707" s="69"/>
      <c r="I1707" s="69"/>
      <c r="CS1707"/>
      <c r="CT1707"/>
      <c r="CU1707"/>
      <c r="CV1707"/>
      <c r="CW1707"/>
      <c r="CX1707"/>
      <c r="CY1707"/>
    </row>
    <row r="1708" spans="2:103" s="60" customFormat="1" x14ac:dyDescent="0.5">
      <c r="B1708" s="87"/>
      <c r="C1708" s="106"/>
      <c r="D1708" s="91"/>
      <c r="E1708" s="91"/>
      <c r="F1708" s="91"/>
      <c r="G1708" s="91"/>
      <c r="H1708" s="69"/>
      <c r="I1708" s="69"/>
      <c r="CS1708"/>
      <c r="CT1708"/>
      <c r="CU1708"/>
      <c r="CV1708"/>
      <c r="CW1708"/>
      <c r="CX1708"/>
      <c r="CY1708"/>
    </row>
    <row r="1709" spans="2:103" s="60" customFormat="1" x14ac:dyDescent="0.5">
      <c r="B1709" s="87"/>
      <c r="C1709" s="106"/>
      <c r="D1709" s="91"/>
      <c r="E1709" s="91"/>
      <c r="F1709" s="91"/>
      <c r="G1709" s="91"/>
      <c r="H1709" s="69"/>
      <c r="I1709" s="69"/>
      <c r="CS1709"/>
      <c r="CT1709"/>
      <c r="CU1709"/>
      <c r="CV1709"/>
      <c r="CW1709"/>
      <c r="CX1709"/>
      <c r="CY1709"/>
    </row>
    <row r="1710" spans="2:103" s="60" customFormat="1" x14ac:dyDescent="0.5">
      <c r="B1710" s="87"/>
      <c r="C1710" s="106"/>
      <c r="D1710" s="91"/>
      <c r="E1710" s="91"/>
      <c r="F1710" s="91"/>
      <c r="G1710" s="91"/>
      <c r="H1710" s="69"/>
      <c r="I1710" s="69"/>
      <c r="CS1710"/>
      <c r="CT1710"/>
      <c r="CU1710"/>
      <c r="CV1710"/>
      <c r="CW1710"/>
      <c r="CX1710"/>
      <c r="CY1710"/>
    </row>
    <row r="1711" spans="2:103" s="60" customFormat="1" x14ac:dyDescent="0.5">
      <c r="B1711" s="87"/>
      <c r="C1711" s="106"/>
      <c r="D1711" s="91"/>
      <c r="E1711" s="91"/>
      <c r="F1711" s="91"/>
      <c r="G1711" s="91"/>
      <c r="H1711" s="69"/>
      <c r="I1711" s="69"/>
      <c r="CS1711"/>
      <c r="CT1711"/>
      <c r="CU1711"/>
      <c r="CV1711"/>
      <c r="CW1711"/>
      <c r="CX1711"/>
      <c r="CY1711"/>
    </row>
    <row r="1712" spans="2:103" s="60" customFormat="1" x14ac:dyDescent="0.5">
      <c r="B1712" s="87"/>
      <c r="C1712" s="106"/>
      <c r="D1712" s="91"/>
      <c r="E1712" s="91"/>
      <c r="F1712" s="91"/>
      <c r="G1712" s="91"/>
      <c r="H1712" s="69"/>
      <c r="I1712" s="69"/>
      <c r="CS1712"/>
      <c r="CT1712"/>
      <c r="CU1712"/>
      <c r="CV1712"/>
      <c r="CW1712"/>
      <c r="CX1712"/>
      <c r="CY1712"/>
    </row>
    <row r="1713" spans="2:103" s="60" customFormat="1" x14ac:dyDescent="0.5">
      <c r="B1713" s="87"/>
      <c r="C1713" s="106"/>
      <c r="D1713" s="91"/>
      <c r="E1713" s="91"/>
      <c r="F1713" s="91"/>
      <c r="G1713" s="91"/>
      <c r="H1713" s="69"/>
      <c r="I1713" s="69"/>
      <c r="CS1713"/>
      <c r="CT1713"/>
      <c r="CU1713"/>
      <c r="CV1713"/>
      <c r="CW1713"/>
      <c r="CX1713"/>
      <c r="CY1713"/>
    </row>
    <row r="1714" spans="2:103" s="60" customFormat="1" x14ac:dyDescent="0.5">
      <c r="B1714" s="87"/>
      <c r="C1714" s="106"/>
      <c r="D1714" s="91"/>
      <c r="E1714" s="91"/>
      <c r="F1714" s="91"/>
      <c r="G1714" s="91"/>
      <c r="H1714" s="69"/>
      <c r="I1714" s="69"/>
      <c r="CS1714"/>
      <c r="CT1714"/>
      <c r="CU1714"/>
      <c r="CV1714"/>
      <c r="CW1714"/>
      <c r="CX1714"/>
      <c r="CY1714"/>
    </row>
    <row r="1715" spans="2:103" s="60" customFormat="1" x14ac:dyDescent="0.5">
      <c r="B1715" s="87"/>
      <c r="C1715" s="106"/>
      <c r="D1715" s="91"/>
      <c r="E1715" s="91"/>
      <c r="F1715" s="91"/>
      <c r="G1715" s="91"/>
      <c r="H1715" s="69"/>
      <c r="I1715" s="69"/>
      <c r="CS1715"/>
      <c r="CT1715"/>
      <c r="CU1715"/>
      <c r="CV1715"/>
      <c r="CW1715"/>
      <c r="CX1715"/>
      <c r="CY1715"/>
    </row>
    <row r="1716" spans="2:103" s="60" customFormat="1" x14ac:dyDescent="0.5">
      <c r="B1716" s="87"/>
      <c r="C1716" s="106"/>
      <c r="D1716" s="91"/>
      <c r="E1716" s="91"/>
      <c r="F1716" s="91"/>
      <c r="G1716" s="91"/>
      <c r="H1716" s="69"/>
      <c r="I1716" s="69"/>
      <c r="CS1716"/>
      <c r="CT1716"/>
      <c r="CU1716"/>
      <c r="CV1716"/>
      <c r="CW1716"/>
      <c r="CX1716"/>
      <c r="CY1716"/>
    </row>
    <row r="1717" spans="2:103" s="60" customFormat="1" x14ac:dyDescent="0.5">
      <c r="B1717" s="87"/>
      <c r="C1717" s="106"/>
      <c r="D1717" s="91"/>
      <c r="E1717" s="91"/>
      <c r="F1717" s="91"/>
      <c r="G1717" s="91"/>
      <c r="H1717" s="69"/>
      <c r="I1717" s="69"/>
      <c r="CS1717"/>
      <c r="CT1717"/>
      <c r="CU1717"/>
      <c r="CV1717"/>
      <c r="CW1717"/>
      <c r="CX1717"/>
      <c r="CY1717"/>
    </row>
    <row r="1718" spans="2:103" s="60" customFormat="1" x14ac:dyDescent="0.5">
      <c r="B1718" s="87"/>
      <c r="C1718" s="106"/>
      <c r="D1718" s="91"/>
      <c r="E1718" s="91"/>
      <c r="F1718" s="91"/>
      <c r="G1718" s="91"/>
      <c r="H1718" s="69"/>
      <c r="I1718" s="69"/>
      <c r="CS1718"/>
      <c r="CT1718"/>
      <c r="CU1718"/>
      <c r="CV1718"/>
      <c r="CW1718"/>
      <c r="CX1718"/>
      <c r="CY1718"/>
    </row>
    <row r="1719" spans="2:103" s="60" customFormat="1" x14ac:dyDescent="0.5">
      <c r="B1719" s="87"/>
      <c r="C1719" s="106"/>
      <c r="D1719" s="91"/>
      <c r="E1719" s="91"/>
      <c r="F1719" s="91"/>
      <c r="G1719" s="91"/>
      <c r="H1719" s="69"/>
      <c r="I1719" s="69"/>
      <c r="CS1719"/>
      <c r="CT1719"/>
      <c r="CU1719"/>
      <c r="CV1719"/>
      <c r="CW1719"/>
      <c r="CX1719"/>
      <c r="CY1719"/>
    </row>
    <row r="1720" spans="2:103" s="60" customFormat="1" x14ac:dyDescent="0.5">
      <c r="B1720" s="87"/>
      <c r="C1720" s="106"/>
      <c r="D1720" s="91"/>
      <c r="E1720" s="91"/>
      <c r="F1720" s="91"/>
      <c r="G1720" s="91"/>
      <c r="H1720" s="69"/>
      <c r="I1720" s="69"/>
      <c r="CS1720"/>
      <c r="CT1720"/>
      <c r="CU1720"/>
      <c r="CV1720"/>
      <c r="CW1720"/>
      <c r="CX1720"/>
      <c r="CY1720"/>
    </row>
    <row r="1721" spans="2:103" s="60" customFormat="1" x14ac:dyDescent="0.5">
      <c r="B1721" s="87"/>
      <c r="C1721" s="106"/>
      <c r="D1721" s="91"/>
      <c r="E1721" s="91"/>
      <c r="F1721" s="91"/>
      <c r="G1721" s="91"/>
      <c r="H1721" s="69"/>
      <c r="I1721" s="69"/>
      <c r="CS1721"/>
      <c r="CT1721"/>
      <c r="CU1721"/>
      <c r="CV1721"/>
      <c r="CW1721"/>
      <c r="CX1721"/>
      <c r="CY1721"/>
    </row>
    <row r="1722" spans="2:103" s="60" customFormat="1" x14ac:dyDescent="0.5">
      <c r="B1722" s="87"/>
      <c r="C1722" s="106"/>
      <c r="D1722" s="91"/>
      <c r="E1722" s="91"/>
      <c r="F1722" s="91"/>
      <c r="G1722" s="91"/>
      <c r="H1722" s="69"/>
      <c r="I1722" s="69"/>
      <c r="CS1722"/>
      <c r="CT1722"/>
      <c r="CU1722"/>
      <c r="CV1722"/>
      <c r="CW1722"/>
      <c r="CX1722"/>
      <c r="CY1722"/>
    </row>
    <row r="1723" spans="2:103" s="60" customFormat="1" x14ac:dyDescent="0.5">
      <c r="B1723" s="87"/>
      <c r="C1723" s="106"/>
      <c r="D1723" s="91"/>
      <c r="E1723" s="91"/>
      <c r="F1723" s="91"/>
      <c r="G1723" s="91"/>
      <c r="H1723" s="69"/>
      <c r="I1723" s="69"/>
      <c r="CS1723"/>
      <c r="CT1723"/>
      <c r="CU1723"/>
      <c r="CV1723"/>
      <c r="CW1723"/>
      <c r="CX1723"/>
      <c r="CY1723"/>
    </row>
    <row r="1724" spans="2:103" s="60" customFormat="1" x14ac:dyDescent="0.5">
      <c r="B1724" s="87"/>
      <c r="C1724" s="106"/>
      <c r="D1724" s="91"/>
      <c r="E1724" s="91"/>
      <c r="F1724" s="91"/>
      <c r="G1724" s="91"/>
      <c r="H1724" s="69"/>
      <c r="I1724" s="69"/>
      <c r="CS1724"/>
      <c r="CT1724"/>
      <c r="CU1724"/>
      <c r="CV1724"/>
      <c r="CW1724"/>
      <c r="CX1724"/>
      <c r="CY1724"/>
    </row>
    <row r="1725" spans="2:103" s="60" customFormat="1" x14ac:dyDescent="0.5">
      <c r="B1725" s="87"/>
      <c r="C1725" s="106"/>
      <c r="D1725" s="91"/>
      <c r="E1725" s="91"/>
      <c r="F1725" s="91"/>
      <c r="G1725" s="91"/>
      <c r="H1725" s="69"/>
      <c r="I1725" s="69"/>
      <c r="CS1725"/>
      <c r="CT1725"/>
      <c r="CU1725"/>
      <c r="CV1725"/>
      <c r="CW1725"/>
      <c r="CX1725"/>
      <c r="CY1725"/>
    </row>
    <row r="1726" spans="2:103" s="60" customFormat="1" x14ac:dyDescent="0.5">
      <c r="B1726" s="87"/>
      <c r="C1726" s="106"/>
      <c r="D1726" s="91"/>
      <c r="E1726" s="91"/>
      <c r="F1726" s="91"/>
      <c r="G1726" s="91"/>
      <c r="H1726" s="69"/>
      <c r="I1726" s="69"/>
      <c r="CS1726"/>
      <c r="CT1726"/>
      <c r="CU1726"/>
      <c r="CV1726"/>
      <c r="CW1726"/>
      <c r="CX1726"/>
      <c r="CY1726"/>
    </row>
    <row r="1727" spans="2:103" s="60" customFormat="1" x14ac:dyDescent="0.5">
      <c r="B1727" s="87"/>
      <c r="C1727" s="106"/>
      <c r="D1727" s="91"/>
      <c r="E1727" s="91"/>
      <c r="F1727" s="91"/>
      <c r="G1727" s="91"/>
      <c r="H1727" s="69"/>
      <c r="I1727" s="69"/>
      <c r="CS1727"/>
      <c r="CT1727"/>
      <c r="CU1727"/>
      <c r="CV1727"/>
      <c r="CW1727"/>
      <c r="CX1727"/>
      <c r="CY1727"/>
    </row>
    <row r="1728" spans="2:103" s="60" customFormat="1" x14ac:dyDescent="0.5">
      <c r="B1728" s="87"/>
      <c r="C1728" s="106"/>
      <c r="D1728" s="91"/>
      <c r="E1728" s="91"/>
      <c r="F1728" s="91"/>
      <c r="G1728" s="91"/>
      <c r="H1728" s="69"/>
      <c r="I1728" s="69"/>
      <c r="CS1728"/>
      <c r="CT1728"/>
      <c r="CU1728"/>
      <c r="CV1728"/>
      <c r="CW1728"/>
      <c r="CX1728"/>
      <c r="CY1728"/>
    </row>
    <row r="1729" spans="2:103" s="60" customFormat="1" x14ac:dyDescent="0.5">
      <c r="B1729" s="87"/>
      <c r="C1729" s="106"/>
      <c r="D1729" s="91"/>
      <c r="E1729" s="91"/>
      <c r="F1729" s="91"/>
      <c r="G1729" s="91"/>
      <c r="H1729" s="69"/>
      <c r="I1729" s="69"/>
      <c r="CS1729"/>
      <c r="CT1729"/>
      <c r="CU1729"/>
      <c r="CV1729"/>
      <c r="CW1729"/>
      <c r="CX1729"/>
      <c r="CY1729"/>
    </row>
    <row r="1730" spans="2:103" s="60" customFormat="1" x14ac:dyDescent="0.5">
      <c r="B1730" s="87"/>
      <c r="C1730" s="106"/>
      <c r="D1730" s="91"/>
      <c r="E1730" s="91"/>
      <c r="F1730" s="91"/>
      <c r="G1730" s="91"/>
      <c r="H1730" s="69"/>
      <c r="I1730" s="69"/>
      <c r="CS1730"/>
      <c r="CT1730"/>
      <c r="CU1730"/>
      <c r="CV1730"/>
      <c r="CW1730"/>
      <c r="CX1730"/>
      <c r="CY1730"/>
    </row>
    <row r="1731" spans="2:103" s="60" customFormat="1" x14ac:dyDescent="0.5">
      <c r="B1731" s="87"/>
      <c r="C1731" s="106"/>
      <c r="D1731" s="91"/>
      <c r="E1731" s="91"/>
      <c r="F1731" s="91"/>
      <c r="G1731" s="91"/>
      <c r="H1731" s="69"/>
      <c r="I1731" s="69"/>
      <c r="CS1731"/>
      <c r="CT1731"/>
      <c r="CU1731"/>
      <c r="CV1731"/>
      <c r="CW1731"/>
      <c r="CX1731"/>
      <c r="CY1731"/>
    </row>
    <row r="1732" spans="2:103" s="60" customFormat="1" x14ac:dyDescent="0.5">
      <c r="B1732" s="87"/>
      <c r="C1732" s="106"/>
      <c r="D1732" s="91"/>
      <c r="E1732" s="91"/>
      <c r="F1732" s="91"/>
      <c r="G1732" s="91"/>
      <c r="H1732" s="69"/>
      <c r="I1732" s="69"/>
      <c r="CS1732"/>
      <c r="CT1732"/>
      <c r="CU1732"/>
      <c r="CV1732"/>
      <c r="CW1732"/>
      <c r="CX1732"/>
      <c r="CY1732"/>
    </row>
    <row r="1733" spans="2:103" s="60" customFormat="1" x14ac:dyDescent="0.5">
      <c r="B1733" s="87"/>
      <c r="C1733" s="106"/>
      <c r="D1733" s="91"/>
      <c r="E1733" s="91"/>
      <c r="F1733" s="91"/>
      <c r="G1733" s="91"/>
      <c r="H1733" s="69"/>
      <c r="I1733" s="69"/>
      <c r="CS1733"/>
      <c r="CT1733"/>
      <c r="CU1733"/>
      <c r="CV1733"/>
      <c r="CW1733"/>
      <c r="CX1733"/>
      <c r="CY1733"/>
    </row>
    <row r="1734" spans="2:103" s="60" customFormat="1" x14ac:dyDescent="0.5">
      <c r="B1734" s="87"/>
      <c r="C1734" s="106"/>
      <c r="D1734" s="91"/>
      <c r="E1734" s="91"/>
      <c r="F1734" s="91"/>
      <c r="G1734" s="91"/>
      <c r="H1734" s="69"/>
      <c r="I1734" s="69"/>
      <c r="CS1734"/>
      <c r="CT1734"/>
      <c r="CU1734"/>
      <c r="CV1734"/>
      <c r="CW1734"/>
      <c r="CX1734"/>
      <c r="CY1734"/>
    </row>
    <row r="1735" spans="2:103" s="60" customFormat="1" x14ac:dyDescent="0.5">
      <c r="B1735" s="87"/>
      <c r="C1735" s="106"/>
      <c r="D1735" s="91"/>
      <c r="E1735" s="91"/>
      <c r="F1735" s="91"/>
      <c r="G1735" s="91"/>
      <c r="H1735" s="69"/>
      <c r="I1735" s="69"/>
      <c r="CS1735"/>
      <c r="CT1735"/>
      <c r="CU1735"/>
      <c r="CV1735"/>
      <c r="CW1735"/>
      <c r="CX1735"/>
      <c r="CY1735"/>
    </row>
    <row r="1736" spans="2:103" s="60" customFormat="1" x14ac:dyDescent="0.5">
      <c r="B1736" s="87"/>
      <c r="C1736" s="106"/>
      <c r="D1736" s="91"/>
      <c r="E1736" s="91"/>
      <c r="F1736" s="91"/>
      <c r="G1736" s="91"/>
      <c r="H1736" s="69"/>
      <c r="I1736" s="69"/>
      <c r="CS1736"/>
      <c r="CT1736"/>
      <c r="CU1736"/>
      <c r="CV1736"/>
      <c r="CW1736"/>
      <c r="CX1736"/>
      <c r="CY1736"/>
    </row>
    <row r="1737" spans="2:103" s="60" customFormat="1" x14ac:dyDescent="0.5">
      <c r="B1737" s="87"/>
      <c r="C1737" s="106"/>
      <c r="D1737" s="91"/>
      <c r="E1737" s="91"/>
      <c r="F1737" s="91"/>
      <c r="G1737" s="91"/>
      <c r="H1737" s="69"/>
      <c r="I1737" s="69"/>
      <c r="CS1737"/>
      <c r="CT1737"/>
      <c r="CU1737"/>
      <c r="CV1737"/>
      <c r="CW1737"/>
      <c r="CX1737"/>
      <c r="CY1737"/>
    </row>
    <row r="1738" spans="2:103" s="60" customFormat="1" x14ac:dyDescent="0.5">
      <c r="B1738" s="87"/>
      <c r="C1738" s="106"/>
      <c r="D1738" s="91"/>
      <c r="E1738" s="91"/>
      <c r="F1738" s="91"/>
      <c r="G1738" s="91"/>
      <c r="H1738" s="69"/>
      <c r="I1738" s="69"/>
      <c r="CS1738"/>
      <c r="CT1738"/>
      <c r="CU1738"/>
      <c r="CV1738"/>
      <c r="CW1738"/>
      <c r="CX1738"/>
      <c r="CY1738"/>
    </row>
    <row r="1739" spans="2:103" s="60" customFormat="1" x14ac:dyDescent="0.5">
      <c r="B1739" s="87"/>
      <c r="C1739" s="106"/>
      <c r="D1739" s="91"/>
      <c r="E1739" s="91"/>
      <c r="F1739" s="91"/>
      <c r="G1739" s="91"/>
      <c r="H1739" s="69"/>
      <c r="I1739" s="69"/>
      <c r="CS1739"/>
      <c r="CT1739"/>
      <c r="CU1739"/>
      <c r="CV1739"/>
      <c r="CW1739"/>
      <c r="CX1739"/>
      <c r="CY1739"/>
    </row>
    <row r="1740" spans="2:103" s="60" customFormat="1" x14ac:dyDescent="0.5">
      <c r="B1740" s="87"/>
      <c r="C1740" s="106"/>
      <c r="D1740" s="91"/>
      <c r="E1740" s="91"/>
      <c r="F1740" s="91"/>
      <c r="G1740" s="91"/>
      <c r="H1740" s="69"/>
      <c r="I1740" s="69"/>
      <c r="CS1740"/>
      <c r="CT1740"/>
      <c r="CU1740"/>
      <c r="CV1740"/>
      <c r="CW1740"/>
      <c r="CX1740"/>
      <c r="CY1740"/>
    </row>
    <row r="1741" spans="2:103" s="60" customFormat="1" x14ac:dyDescent="0.5">
      <c r="B1741" s="87"/>
      <c r="C1741" s="106"/>
      <c r="D1741" s="91"/>
      <c r="E1741" s="91"/>
      <c r="F1741" s="91"/>
      <c r="G1741" s="91"/>
      <c r="H1741" s="69"/>
      <c r="I1741" s="69"/>
      <c r="CS1741"/>
      <c r="CT1741"/>
      <c r="CU1741"/>
      <c r="CV1741"/>
      <c r="CW1741"/>
      <c r="CX1741"/>
      <c r="CY1741"/>
    </row>
    <row r="1742" spans="2:103" s="60" customFormat="1" x14ac:dyDescent="0.5">
      <c r="B1742" s="87"/>
      <c r="C1742" s="106"/>
      <c r="D1742" s="91"/>
      <c r="E1742" s="91"/>
      <c r="F1742" s="91"/>
      <c r="G1742" s="91"/>
      <c r="H1742" s="69"/>
      <c r="I1742" s="69"/>
      <c r="CS1742"/>
      <c r="CT1742"/>
      <c r="CU1742"/>
      <c r="CV1742"/>
      <c r="CW1742"/>
      <c r="CX1742"/>
      <c r="CY1742"/>
    </row>
    <row r="1743" spans="2:103" s="60" customFormat="1" x14ac:dyDescent="0.5">
      <c r="B1743" s="87"/>
      <c r="C1743" s="106"/>
      <c r="D1743" s="91"/>
      <c r="E1743" s="91"/>
      <c r="F1743" s="91"/>
      <c r="G1743" s="91"/>
      <c r="H1743" s="69"/>
      <c r="I1743" s="69"/>
      <c r="CS1743"/>
      <c r="CT1743"/>
      <c r="CU1743"/>
      <c r="CV1743"/>
      <c r="CW1743"/>
      <c r="CX1743"/>
      <c r="CY1743"/>
    </row>
    <row r="1744" spans="2:103" s="60" customFormat="1" x14ac:dyDescent="0.5">
      <c r="B1744" s="87"/>
      <c r="C1744" s="106"/>
      <c r="D1744" s="91"/>
      <c r="E1744" s="91"/>
      <c r="F1744" s="91"/>
      <c r="G1744" s="91"/>
      <c r="H1744" s="69"/>
      <c r="I1744" s="69"/>
      <c r="CS1744"/>
      <c r="CT1744"/>
      <c r="CU1744"/>
      <c r="CV1744"/>
      <c r="CW1744"/>
      <c r="CX1744"/>
      <c r="CY1744"/>
    </row>
    <row r="1745" spans="2:103" s="60" customFormat="1" x14ac:dyDescent="0.5">
      <c r="B1745" s="87"/>
      <c r="C1745" s="106"/>
      <c r="D1745" s="91"/>
      <c r="E1745" s="91"/>
      <c r="F1745" s="91"/>
      <c r="G1745" s="91"/>
      <c r="H1745" s="69"/>
      <c r="I1745" s="69"/>
      <c r="CS1745"/>
      <c r="CT1745"/>
      <c r="CU1745"/>
      <c r="CV1745"/>
      <c r="CW1745"/>
      <c r="CX1745"/>
      <c r="CY1745"/>
    </row>
    <row r="1746" spans="2:103" s="60" customFormat="1" x14ac:dyDescent="0.5">
      <c r="B1746" s="87"/>
      <c r="C1746" s="106"/>
      <c r="D1746" s="91"/>
      <c r="E1746" s="91"/>
      <c r="F1746" s="91"/>
      <c r="G1746" s="91"/>
      <c r="H1746" s="69"/>
      <c r="I1746" s="69"/>
      <c r="CS1746"/>
      <c r="CT1746"/>
      <c r="CU1746"/>
      <c r="CV1746"/>
      <c r="CW1746"/>
      <c r="CX1746"/>
      <c r="CY1746"/>
    </row>
    <row r="1747" spans="2:103" s="60" customFormat="1" x14ac:dyDescent="0.5">
      <c r="B1747" s="87"/>
      <c r="C1747" s="106"/>
      <c r="D1747" s="91"/>
      <c r="E1747" s="91"/>
      <c r="F1747" s="91"/>
      <c r="G1747" s="91"/>
      <c r="H1747" s="69"/>
      <c r="I1747" s="69"/>
      <c r="CS1747"/>
      <c r="CT1747"/>
      <c r="CU1747"/>
      <c r="CV1747"/>
      <c r="CW1747"/>
      <c r="CX1747"/>
      <c r="CY1747"/>
    </row>
    <row r="1748" spans="2:103" s="60" customFormat="1" x14ac:dyDescent="0.5">
      <c r="B1748" s="87"/>
      <c r="C1748" s="106"/>
      <c r="D1748" s="91"/>
      <c r="E1748" s="91"/>
      <c r="F1748" s="91"/>
      <c r="G1748" s="91"/>
      <c r="H1748" s="69"/>
      <c r="I1748" s="69"/>
      <c r="CS1748"/>
      <c r="CT1748"/>
      <c r="CU1748"/>
      <c r="CV1748"/>
      <c r="CW1748"/>
      <c r="CX1748"/>
      <c r="CY1748"/>
    </row>
    <row r="1749" spans="2:103" s="60" customFormat="1" x14ac:dyDescent="0.5">
      <c r="B1749" s="87"/>
      <c r="C1749" s="106"/>
      <c r="D1749" s="91"/>
      <c r="E1749" s="91"/>
      <c r="F1749" s="91"/>
      <c r="G1749" s="91"/>
      <c r="H1749" s="69"/>
      <c r="I1749" s="69"/>
      <c r="CS1749"/>
      <c r="CT1749"/>
      <c r="CU1749"/>
      <c r="CV1749"/>
      <c r="CW1749"/>
      <c r="CX1749"/>
      <c r="CY1749"/>
    </row>
    <row r="1750" spans="2:103" s="60" customFormat="1" x14ac:dyDescent="0.5">
      <c r="B1750" s="87"/>
      <c r="C1750" s="106"/>
      <c r="D1750" s="91"/>
      <c r="E1750" s="91"/>
      <c r="F1750" s="91"/>
      <c r="G1750" s="91"/>
      <c r="H1750" s="69"/>
      <c r="I1750" s="69"/>
      <c r="CS1750"/>
      <c r="CT1750"/>
      <c r="CU1750"/>
      <c r="CV1750"/>
      <c r="CW1750"/>
      <c r="CX1750"/>
      <c r="CY1750"/>
    </row>
    <row r="1751" spans="2:103" s="60" customFormat="1" x14ac:dyDescent="0.5">
      <c r="B1751" s="87"/>
      <c r="C1751" s="106"/>
      <c r="D1751" s="91"/>
      <c r="E1751" s="91"/>
      <c r="F1751" s="91"/>
      <c r="G1751" s="91"/>
      <c r="H1751" s="69"/>
      <c r="I1751" s="69"/>
      <c r="CS1751"/>
      <c r="CT1751"/>
      <c r="CU1751"/>
      <c r="CV1751"/>
      <c r="CW1751"/>
      <c r="CX1751"/>
      <c r="CY1751"/>
    </row>
    <row r="1752" spans="2:103" s="60" customFormat="1" x14ac:dyDescent="0.5">
      <c r="B1752" s="87"/>
      <c r="C1752" s="106"/>
      <c r="D1752" s="91"/>
      <c r="E1752" s="91"/>
      <c r="F1752" s="91"/>
      <c r="G1752" s="91"/>
      <c r="H1752" s="69"/>
      <c r="I1752" s="69"/>
      <c r="CS1752"/>
      <c r="CT1752"/>
      <c r="CU1752"/>
      <c r="CV1752"/>
      <c r="CW1752"/>
      <c r="CX1752"/>
      <c r="CY1752"/>
    </row>
    <row r="1753" spans="2:103" s="60" customFormat="1" x14ac:dyDescent="0.5">
      <c r="B1753" s="87"/>
      <c r="C1753" s="106"/>
      <c r="D1753" s="91"/>
      <c r="E1753" s="91"/>
      <c r="F1753" s="91"/>
      <c r="G1753" s="91"/>
      <c r="H1753" s="69"/>
      <c r="I1753" s="69"/>
      <c r="CS1753"/>
      <c r="CT1753"/>
      <c r="CU1753"/>
      <c r="CV1753"/>
      <c r="CW1753"/>
      <c r="CX1753"/>
      <c r="CY1753"/>
    </row>
    <row r="1754" spans="2:103" s="60" customFormat="1" x14ac:dyDescent="0.5">
      <c r="B1754" s="87"/>
      <c r="C1754" s="106"/>
      <c r="D1754" s="91"/>
      <c r="E1754" s="91"/>
      <c r="F1754" s="91"/>
      <c r="G1754" s="91"/>
      <c r="H1754" s="69"/>
      <c r="I1754" s="69"/>
      <c r="CS1754"/>
      <c r="CT1754"/>
      <c r="CU1754"/>
      <c r="CV1754"/>
      <c r="CW1754"/>
      <c r="CX1754"/>
      <c r="CY1754"/>
    </row>
    <row r="1755" spans="2:103" s="60" customFormat="1" x14ac:dyDescent="0.5">
      <c r="B1755" s="87"/>
      <c r="C1755" s="106"/>
      <c r="D1755" s="91"/>
      <c r="E1755" s="91"/>
      <c r="F1755" s="91"/>
      <c r="G1755" s="91"/>
      <c r="H1755" s="69"/>
      <c r="I1755" s="69"/>
      <c r="CS1755"/>
      <c r="CT1755"/>
      <c r="CU1755"/>
      <c r="CV1755"/>
      <c r="CW1755"/>
      <c r="CX1755"/>
      <c r="CY1755"/>
    </row>
    <row r="1756" spans="2:103" s="60" customFormat="1" x14ac:dyDescent="0.5">
      <c r="B1756" s="87"/>
      <c r="C1756" s="106"/>
      <c r="D1756" s="91"/>
      <c r="E1756" s="91"/>
      <c r="F1756" s="91"/>
      <c r="G1756" s="91"/>
      <c r="H1756" s="69"/>
      <c r="I1756" s="69"/>
      <c r="CS1756"/>
      <c r="CT1756"/>
      <c r="CU1756"/>
      <c r="CV1756"/>
      <c r="CW1756"/>
      <c r="CX1756"/>
      <c r="CY1756"/>
    </row>
    <row r="1757" spans="2:103" s="60" customFormat="1" x14ac:dyDescent="0.5">
      <c r="B1757" s="87"/>
      <c r="C1757" s="106"/>
      <c r="D1757" s="91"/>
      <c r="E1757" s="91"/>
      <c r="F1757" s="91"/>
      <c r="G1757" s="91"/>
      <c r="H1757" s="69"/>
      <c r="I1757" s="69"/>
      <c r="CS1757"/>
      <c r="CT1757"/>
      <c r="CU1757"/>
      <c r="CV1757"/>
      <c r="CW1757"/>
      <c r="CX1757"/>
      <c r="CY1757"/>
    </row>
    <row r="1758" spans="2:103" s="60" customFormat="1" x14ac:dyDescent="0.5">
      <c r="B1758" s="87"/>
      <c r="C1758" s="106"/>
      <c r="D1758" s="91"/>
      <c r="E1758" s="91"/>
      <c r="F1758" s="91"/>
      <c r="G1758" s="91"/>
      <c r="H1758" s="69"/>
      <c r="I1758" s="69"/>
      <c r="CS1758"/>
      <c r="CT1758"/>
      <c r="CU1758"/>
      <c r="CV1758"/>
      <c r="CW1758"/>
      <c r="CX1758"/>
      <c r="CY1758"/>
    </row>
    <row r="1759" spans="2:103" s="60" customFormat="1" x14ac:dyDescent="0.5">
      <c r="B1759" s="87"/>
      <c r="C1759" s="106"/>
      <c r="D1759" s="91"/>
      <c r="E1759" s="91"/>
      <c r="F1759" s="91"/>
      <c r="G1759" s="91"/>
      <c r="H1759" s="69"/>
      <c r="I1759" s="69"/>
      <c r="CS1759"/>
      <c r="CT1759"/>
      <c r="CU1759"/>
      <c r="CV1759"/>
      <c r="CW1759"/>
      <c r="CX1759"/>
      <c r="CY1759"/>
    </row>
    <row r="1760" spans="2:103" s="60" customFormat="1" x14ac:dyDescent="0.5">
      <c r="B1760" s="87"/>
      <c r="C1760" s="106"/>
      <c r="D1760" s="91"/>
      <c r="E1760" s="91"/>
      <c r="F1760" s="91"/>
      <c r="G1760" s="91"/>
      <c r="H1760" s="69"/>
      <c r="I1760" s="69"/>
      <c r="CS1760"/>
      <c r="CT1760"/>
      <c r="CU1760"/>
      <c r="CV1760"/>
      <c r="CW1760"/>
      <c r="CX1760"/>
      <c r="CY1760"/>
    </row>
    <row r="1761" spans="2:103" s="60" customFormat="1" x14ac:dyDescent="0.5">
      <c r="B1761" s="87"/>
      <c r="C1761" s="106"/>
      <c r="D1761" s="91"/>
      <c r="E1761" s="91"/>
      <c r="F1761" s="91"/>
      <c r="G1761" s="91"/>
      <c r="H1761" s="69"/>
      <c r="I1761" s="69"/>
      <c r="CS1761"/>
      <c r="CT1761"/>
      <c r="CU1761"/>
      <c r="CV1761"/>
      <c r="CW1761"/>
      <c r="CX1761"/>
      <c r="CY1761"/>
    </row>
    <row r="1762" spans="2:103" s="60" customFormat="1" x14ac:dyDescent="0.5">
      <c r="B1762" s="87"/>
      <c r="C1762" s="106"/>
      <c r="D1762" s="91"/>
      <c r="E1762" s="91"/>
      <c r="F1762" s="91"/>
      <c r="G1762" s="91"/>
      <c r="H1762" s="69"/>
      <c r="I1762" s="69"/>
      <c r="CS1762"/>
      <c r="CT1762"/>
      <c r="CU1762"/>
      <c r="CV1762"/>
      <c r="CW1762"/>
      <c r="CX1762"/>
      <c r="CY1762"/>
    </row>
    <row r="1763" spans="2:103" s="60" customFormat="1" x14ac:dyDescent="0.5">
      <c r="B1763" s="87"/>
      <c r="C1763" s="106"/>
      <c r="D1763" s="91"/>
      <c r="E1763" s="91"/>
      <c r="F1763" s="91"/>
      <c r="G1763" s="91"/>
      <c r="H1763" s="69"/>
      <c r="I1763" s="69"/>
      <c r="CS1763"/>
      <c r="CT1763"/>
      <c r="CU1763"/>
      <c r="CV1763"/>
      <c r="CW1763"/>
      <c r="CX1763"/>
      <c r="CY1763"/>
    </row>
    <row r="1764" spans="2:103" s="60" customFormat="1" x14ac:dyDescent="0.5">
      <c r="B1764" s="87"/>
      <c r="C1764" s="106"/>
      <c r="D1764" s="91"/>
      <c r="E1764" s="91"/>
      <c r="F1764" s="91"/>
      <c r="G1764" s="91"/>
      <c r="H1764" s="69"/>
      <c r="I1764" s="69"/>
      <c r="CS1764"/>
      <c r="CT1764"/>
      <c r="CU1764"/>
      <c r="CV1764"/>
      <c r="CW1764"/>
      <c r="CX1764"/>
      <c r="CY1764"/>
    </row>
    <row r="1765" spans="2:103" s="60" customFormat="1" x14ac:dyDescent="0.5">
      <c r="B1765" s="87"/>
      <c r="C1765" s="106"/>
      <c r="D1765" s="91"/>
      <c r="E1765" s="91"/>
      <c r="F1765" s="91"/>
      <c r="G1765" s="91"/>
      <c r="H1765" s="69"/>
      <c r="I1765" s="69"/>
      <c r="CS1765"/>
      <c r="CT1765"/>
      <c r="CU1765"/>
      <c r="CV1765"/>
      <c r="CW1765"/>
      <c r="CX1765"/>
      <c r="CY1765"/>
    </row>
    <row r="1766" spans="2:103" s="60" customFormat="1" x14ac:dyDescent="0.5">
      <c r="B1766" s="87"/>
      <c r="C1766" s="106"/>
      <c r="D1766" s="91"/>
      <c r="E1766" s="91"/>
      <c r="F1766" s="91"/>
      <c r="G1766" s="91"/>
      <c r="H1766" s="69"/>
      <c r="I1766" s="69"/>
      <c r="CS1766"/>
      <c r="CT1766"/>
      <c r="CU1766"/>
      <c r="CV1766"/>
      <c r="CW1766"/>
      <c r="CX1766"/>
      <c r="CY1766"/>
    </row>
    <row r="1767" spans="2:103" s="60" customFormat="1" x14ac:dyDescent="0.5">
      <c r="B1767" s="87"/>
      <c r="C1767" s="106"/>
      <c r="D1767" s="91"/>
      <c r="E1767" s="91"/>
      <c r="F1767" s="91"/>
      <c r="G1767" s="91"/>
      <c r="H1767" s="69"/>
      <c r="I1767" s="69"/>
      <c r="CS1767"/>
      <c r="CT1767"/>
      <c r="CU1767"/>
      <c r="CV1767"/>
      <c r="CW1767"/>
      <c r="CX1767"/>
      <c r="CY1767"/>
    </row>
    <row r="1768" spans="2:103" s="60" customFormat="1" x14ac:dyDescent="0.5">
      <c r="B1768" s="87"/>
      <c r="C1768" s="106"/>
      <c r="D1768" s="91"/>
      <c r="E1768" s="91"/>
      <c r="F1768" s="91"/>
      <c r="G1768" s="91"/>
      <c r="H1768" s="69"/>
      <c r="I1768" s="69"/>
      <c r="CS1768"/>
      <c r="CT1768"/>
      <c r="CU1768"/>
      <c r="CV1768"/>
      <c r="CW1768"/>
      <c r="CX1768"/>
      <c r="CY1768"/>
    </row>
    <row r="1769" spans="2:103" s="60" customFormat="1" x14ac:dyDescent="0.5">
      <c r="B1769" s="87"/>
      <c r="C1769" s="106"/>
      <c r="D1769" s="91"/>
      <c r="E1769" s="91"/>
      <c r="F1769" s="91"/>
      <c r="G1769" s="91"/>
      <c r="H1769" s="69"/>
      <c r="I1769" s="69"/>
      <c r="CS1769"/>
      <c r="CT1769"/>
      <c r="CU1769"/>
      <c r="CV1769"/>
      <c r="CW1769"/>
      <c r="CX1769"/>
      <c r="CY1769"/>
    </row>
    <row r="1770" spans="2:103" s="60" customFormat="1" x14ac:dyDescent="0.5">
      <c r="B1770" s="87"/>
      <c r="C1770" s="106"/>
      <c r="D1770" s="91"/>
      <c r="E1770" s="91"/>
      <c r="F1770" s="91"/>
      <c r="G1770" s="91"/>
      <c r="H1770" s="69"/>
      <c r="I1770" s="69"/>
      <c r="CS1770"/>
      <c r="CT1770"/>
      <c r="CU1770"/>
      <c r="CV1770"/>
      <c r="CW1770"/>
      <c r="CX1770"/>
      <c r="CY1770"/>
    </row>
    <row r="1771" spans="2:103" s="60" customFormat="1" x14ac:dyDescent="0.5">
      <c r="B1771" s="87"/>
      <c r="C1771" s="106"/>
      <c r="D1771" s="91"/>
      <c r="E1771" s="91"/>
      <c r="F1771" s="91"/>
      <c r="G1771" s="91"/>
      <c r="H1771" s="69"/>
      <c r="I1771" s="69"/>
      <c r="CS1771"/>
      <c r="CT1771"/>
      <c r="CU1771"/>
      <c r="CV1771"/>
      <c r="CW1771"/>
      <c r="CX1771"/>
      <c r="CY1771"/>
    </row>
    <row r="1772" spans="2:103" s="60" customFormat="1" x14ac:dyDescent="0.5">
      <c r="B1772" s="87"/>
      <c r="C1772" s="106"/>
      <c r="D1772" s="91"/>
      <c r="E1772" s="91"/>
      <c r="F1772" s="91"/>
      <c r="G1772" s="91"/>
      <c r="H1772" s="69"/>
      <c r="I1772" s="69"/>
      <c r="CS1772"/>
      <c r="CT1772"/>
      <c r="CU1772"/>
      <c r="CV1772"/>
      <c r="CW1772"/>
      <c r="CX1772"/>
      <c r="CY1772"/>
    </row>
    <row r="1773" spans="2:103" s="60" customFormat="1" x14ac:dyDescent="0.5">
      <c r="B1773" s="87"/>
      <c r="C1773" s="106"/>
      <c r="D1773" s="91"/>
      <c r="E1773" s="91"/>
      <c r="F1773" s="91"/>
      <c r="G1773" s="91"/>
      <c r="H1773" s="69"/>
      <c r="I1773" s="69"/>
      <c r="CS1773"/>
      <c r="CT1773"/>
      <c r="CU1773"/>
      <c r="CV1773"/>
      <c r="CW1773"/>
      <c r="CX1773"/>
      <c r="CY1773"/>
    </row>
    <row r="1774" spans="2:103" s="60" customFormat="1" x14ac:dyDescent="0.5">
      <c r="B1774" s="87"/>
      <c r="C1774" s="106"/>
      <c r="D1774" s="91"/>
      <c r="E1774" s="91"/>
      <c r="F1774" s="91"/>
      <c r="G1774" s="91"/>
      <c r="H1774" s="69"/>
      <c r="I1774" s="69"/>
      <c r="CS1774"/>
      <c r="CT1774"/>
      <c r="CU1774"/>
      <c r="CV1774"/>
      <c r="CW1774"/>
      <c r="CX1774"/>
      <c r="CY1774"/>
    </row>
    <row r="1775" spans="2:103" s="60" customFormat="1" x14ac:dyDescent="0.5">
      <c r="B1775" s="87"/>
      <c r="C1775" s="106"/>
      <c r="D1775" s="91"/>
      <c r="E1775" s="91"/>
      <c r="F1775" s="91"/>
      <c r="G1775" s="91"/>
      <c r="H1775" s="69"/>
      <c r="I1775" s="69"/>
      <c r="CS1775"/>
      <c r="CT1775"/>
      <c r="CU1775"/>
      <c r="CV1775"/>
      <c r="CW1775"/>
      <c r="CX1775"/>
      <c r="CY1775"/>
    </row>
    <row r="1776" spans="2:103" s="60" customFormat="1" x14ac:dyDescent="0.5">
      <c r="B1776" s="87"/>
      <c r="C1776" s="106"/>
      <c r="D1776" s="91"/>
      <c r="E1776" s="91"/>
      <c r="F1776" s="91"/>
      <c r="G1776" s="91"/>
      <c r="H1776" s="69"/>
      <c r="I1776" s="69"/>
      <c r="CS1776"/>
      <c r="CT1776"/>
      <c r="CU1776"/>
      <c r="CV1776"/>
      <c r="CW1776"/>
      <c r="CX1776"/>
      <c r="CY1776"/>
    </row>
    <row r="1777" spans="2:103" s="60" customFormat="1" x14ac:dyDescent="0.5">
      <c r="B1777" s="87"/>
      <c r="C1777" s="106"/>
      <c r="D1777" s="91"/>
      <c r="E1777" s="91"/>
      <c r="F1777" s="91"/>
      <c r="G1777" s="91"/>
      <c r="H1777" s="69"/>
      <c r="I1777" s="69"/>
      <c r="CS1777"/>
      <c r="CT1777"/>
      <c r="CU1777"/>
      <c r="CV1777"/>
      <c r="CW1777"/>
      <c r="CX1777"/>
      <c r="CY1777"/>
    </row>
    <row r="1778" spans="2:103" s="60" customFormat="1" x14ac:dyDescent="0.5">
      <c r="B1778" s="87"/>
      <c r="C1778" s="106"/>
      <c r="D1778" s="91"/>
      <c r="E1778" s="91"/>
      <c r="F1778" s="91"/>
      <c r="G1778" s="91"/>
      <c r="H1778" s="69"/>
      <c r="I1778" s="69"/>
      <c r="CS1778"/>
      <c r="CT1778"/>
      <c r="CU1778"/>
      <c r="CV1778"/>
      <c r="CW1778"/>
      <c r="CX1778"/>
      <c r="CY1778"/>
    </row>
    <row r="1779" spans="2:103" s="60" customFormat="1" x14ac:dyDescent="0.5">
      <c r="B1779" s="87"/>
      <c r="C1779" s="106"/>
      <c r="D1779" s="91"/>
      <c r="E1779" s="91"/>
      <c r="F1779" s="91"/>
      <c r="G1779" s="91"/>
      <c r="H1779" s="69"/>
      <c r="I1779" s="69"/>
      <c r="CS1779"/>
      <c r="CT1779"/>
      <c r="CU1779"/>
      <c r="CV1779"/>
      <c r="CW1779"/>
      <c r="CX1779"/>
      <c r="CY1779"/>
    </row>
    <row r="1780" spans="2:103" s="60" customFormat="1" x14ac:dyDescent="0.5">
      <c r="B1780" s="87"/>
      <c r="C1780" s="106"/>
      <c r="D1780" s="91"/>
      <c r="E1780" s="91"/>
      <c r="F1780" s="91"/>
      <c r="G1780" s="91"/>
      <c r="H1780" s="69"/>
      <c r="I1780" s="69"/>
      <c r="CS1780"/>
      <c r="CT1780"/>
      <c r="CU1780"/>
      <c r="CV1780"/>
      <c r="CW1780"/>
      <c r="CX1780"/>
      <c r="CY1780"/>
    </row>
    <row r="1781" spans="2:103" s="60" customFormat="1" x14ac:dyDescent="0.5">
      <c r="B1781" s="87"/>
      <c r="C1781" s="106"/>
      <c r="D1781" s="91"/>
      <c r="E1781" s="91"/>
      <c r="F1781" s="91"/>
      <c r="G1781" s="91"/>
      <c r="H1781" s="69"/>
      <c r="I1781" s="69"/>
      <c r="CS1781"/>
      <c r="CT1781"/>
      <c r="CU1781"/>
      <c r="CV1781"/>
      <c r="CW1781"/>
      <c r="CX1781"/>
      <c r="CY1781"/>
    </row>
    <row r="1782" spans="2:103" s="60" customFormat="1" x14ac:dyDescent="0.5">
      <c r="B1782" s="87"/>
      <c r="C1782" s="106"/>
      <c r="D1782" s="91"/>
      <c r="E1782" s="91"/>
      <c r="F1782" s="91"/>
      <c r="G1782" s="91"/>
      <c r="H1782" s="69"/>
      <c r="I1782" s="69"/>
      <c r="CS1782"/>
      <c r="CT1782"/>
      <c r="CU1782"/>
      <c r="CV1782"/>
      <c r="CW1782"/>
      <c r="CX1782"/>
      <c r="CY1782"/>
    </row>
    <row r="1783" spans="2:103" s="60" customFormat="1" x14ac:dyDescent="0.5">
      <c r="B1783" s="87"/>
      <c r="C1783" s="106"/>
      <c r="D1783" s="91"/>
      <c r="E1783" s="91"/>
      <c r="F1783" s="91"/>
      <c r="G1783" s="91"/>
      <c r="H1783" s="69"/>
      <c r="I1783" s="69"/>
      <c r="CS1783"/>
      <c r="CT1783"/>
      <c r="CU1783"/>
      <c r="CV1783"/>
      <c r="CW1783"/>
      <c r="CX1783"/>
      <c r="CY1783"/>
    </row>
    <row r="1784" spans="2:103" s="60" customFormat="1" x14ac:dyDescent="0.5">
      <c r="B1784" s="87"/>
      <c r="C1784" s="106"/>
      <c r="D1784" s="91"/>
      <c r="E1784" s="91"/>
      <c r="F1784" s="91"/>
      <c r="G1784" s="91"/>
      <c r="H1784" s="69"/>
      <c r="I1784" s="69"/>
      <c r="CS1784"/>
      <c r="CT1784"/>
      <c r="CU1784"/>
      <c r="CV1784"/>
      <c r="CW1784"/>
      <c r="CX1784"/>
      <c r="CY1784"/>
    </row>
    <row r="1785" spans="2:103" s="60" customFormat="1" x14ac:dyDescent="0.5">
      <c r="B1785" s="87"/>
      <c r="C1785" s="106"/>
      <c r="D1785" s="91"/>
      <c r="E1785" s="91"/>
      <c r="F1785" s="91"/>
      <c r="G1785" s="91"/>
      <c r="H1785" s="69"/>
      <c r="I1785" s="69"/>
      <c r="CS1785"/>
      <c r="CT1785"/>
      <c r="CU1785"/>
      <c r="CV1785"/>
      <c r="CW1785"/>
      <c r="CX1785"/>
      <c r="CY1785"/>
    </row>
    <row r="1786" spans="2:103" s="60" customFormat="1" x14ac:dyDescent="0.5">
      <c r="B1786" s="87"/>
      <c r="C1786" s="106"/>
      <c r="D1786" s="91"/>
      <c r="E1786" s="91"/>
      <c r="F1786" s="91"/>
      <c r="G1786" s="91"/>
      <c r="H1786" s="69"/>
      <c r="I1786" s="69"/>
      <c r="CS1786"/>
      <c r="CT1786"/>
      <c r="CU1786"/>
      <c r="CV1786"/>
      <c r="CW1786"/>
      <c r="CX1786"/>
      <c r="CY1786"/>
    </row>
    <row r="1787" spans="2:103" s="60" customFormat="1" x14ac:dyDescent="0.5">
      <c r="B1787" s="87"/>
      <c r="C1787" s="106"/>
      <c r="D1787" s="91"/>
      <c r="E1787" s="91"/>
      <c r="F1787" s="91"/>
      <c r="G1787" s="91"/>
      <c r="H1787" s="69"/>
      <c r="I1787" s="69"/>
      <c r="CS1787"/>
      <c r="CT1787"/>
      <c r="CU1787"/>
      <c r="CV1787"/>
      <c r="CW1787"/>
      <c r="CX1787"/>
      <c r="CY1787"/>
    </row>
    <row r="1788" spans="2:103" s="60" customFormat="1" x14ac:dyDescent="0.5">
      <c r="B1788" s="87"/>
      <c r="C1788" s="106"/>
      <c r="D1788" s="91"/>
      <c r="E1788" s="91"/>
      <c r="F1788" s="91"/>
      <c r="G1788" s="91"/>
      <c r="H1788" s="69"/>
      <c r="I1788" s="69"/>
      <c r="CS1788"/>
      <c r="CT1788"/>
      <c r="CU1788"/>
      <c r="CV1788"/>
      <c r="CW1788"/>
      <c r="CX1788"/>
      <c r="CY1788"/>
    </row>
    <row r="1789" spans="2:103" s="60" customFormat="1" x14ac:dyDescent="0.5">
      <c r="B1789" s="87"/>
      <c r="C1789" s="106"/>
      <c r="D1789" s="91"/>
      <c r="E1789" s="91"/>
      <c r="F1789" s="91"/>
      <c r="G1789" s="91"/>
      <c r="H1789" s="69"/>
      <c r="I1789" s="69"/>
      <c r="CS1789"/>
      <c r="CT1789"/>
      <c r="CU1789"/>
      <c r="CV1789"/>
      <c r="CW1789"/>
      <c r="CX1789"/>
      <c r="CY1789"/>
    </row>
    <row r="1790" spans="2:103" s="60" customFormat="1" x14ac:dyDescent="0.5">
      <c r="B1790" s="87"/>
      <c r="C1790" s="106"/>
      <c r="D1790" s="91"/>
      <c r="E1790" s="91"/>
      <c r="F1790" s="91"/>
      <c r="G1790" s="91"/>
      <c r="H1790" s="69"/>
      <c r="I1790" s="69"/>
      <c r="CS1790"/>
      <c r="CT1790"/>
      <c r="CU1790"/>
      <c r="CV1790"/>
      <c r="CW1790"/>
      <c r="CX1790"/>
      <c r="CY1790"/>
    </row>
    <row r="1791" spans="2:103" s="60" customFormat="1" x14ac:dyDescent="0.5">
      <c r="B1791" s="87"/>
      <c r="C1791" s="106"/>
      <c r="D1791" s="91"/>
      <c r="E1791" s="91"/>
      <c r="F1791" s="91"/>
      <c r="G1791" s="91"/>
      <c r="H1791" s="69"/>
      <c r="I1791" s="69"/>
      <c r="CS1791"/>
      <c r="CT1791"/>
      <c r="CU1791"/>
      <c r="CV1791"/>
      <c r="CW1791"/>
      <c r="CX1791"/>
      <c r="CY1791"/>
    </row>
    <row r="1792" spans="2:103" s="60" customFormat="1" x14ac:dyDescent="0.5">
      <c r="B1792" s="87"/>
      <c r="C1792" s="106"/>
      <c r="D1792" s="91"/>
      <c r="E1792" s="91"/>
      <c r="F1792" s="91"/>
      <c r="G1792" s="91"/>
      <c r="H1792" s="69"/>
      <c r="I1792" s="69"/>
      <c r="CS1792"/>
      <c r="CT1792"/>
      <c r="CU1792"/>
      <c r="CV1792"/>
      <c r="CW1792"/>
      <c r="CX1792"/>
      <c r="CY1792"/>
    </row>
    <row r="1793" spans="2:103" s="60" customFormat="1" x14ac:dyDescent="0.5">
      <c r="B1793" s="87"/>
      <c r="C1793" s="106"/>
      <c r="D1793" s="91"/>
      <c r="E1793" s="91"/>
      <c r="F1793" s="91"/>
      <c r="G1793" s="91"/>
      <c r="H1793" s="69"/>
      <c r="I1793" s="69"/>
      <c r="CS1793"/>
      <c r="CT1793"/>
      <c r="CU1793"/>
      <c r="CV1793"/>
      <c r="CW1793"/>
      <c r="CX1793"/>
      <c r="CY1793"/>
    </row>
    <row r="1794" spans="2:103" s="60" customFormat="1" x14ac:dyDescent="0.5">
      <c r="B1794" s="87"/>
      <c r="C1794" s="106"/>
      <c r="D1794" s="91"/>
      <c r="E1794" s="91"/>
      <c r="F1794" s="91"/>
      <c r="G1794" s="91"/>
      <c r="H1794" s="69"/>
      <c r="I1794" s="69"/>
      <c r="CS1794"/>
      <c r="CT1794"/>
      <c r="CU1794"/>
      <c r="CV1794"/>
      <c r="CW1794"/>
      <c r="CX1794"/>
      <c r="CY1794"/>
    </row>
    <row r="1795" spans="2:103" s="60" customFormat="1" x14ac:dyDescent="0.5">
      <c r="B1795" s="87"/>
      <c r="C1795" s="106"/>
      <c r="D1795" s="91"/>
      <c r="E1795" s="91"/>
      <c r="F1795" s="91"/>
      <c r="G1795" s="91"/>
      <c r="H1795" s="69"/>
      <c r="I1795" s="69"/>
      <c r="CS1795"/>
      <c r="CT1795"/>
      <c r="CU1795"/>
      <c r="CV1795"/>
      <c r="CW1795"/>
      <c r="CX1795"/>
      <c r="CY1795"/>
    </row>
    <row r="1796" spans="2:103" s="60" customFormat="1" x14ac:dyDescent="0.5">
      <c r="B1796" s="87"/>
      <c r="C1796" s="106"/>
      <c r="D1796" s="91"/>
      <c r="E1796" s="91"/>
      <c r="F1796" s="91"/>
      <c r="G1796" s="91"/>
      <c r="H1796" s="69"/>
      <c r="I1796" s="69"/>
      <c r="CS1796"/>
      <c r="CT1796"/>
      <c r="CU1796"/>
      <c r="CV1796"/>
      <c r="CW1796"/>
      <c r="CX1796"/>
      <c r="CY1796"/>
    </row>
    <row r="1797" spans="2:103" s="60" customFormat="1" x14ac:dyDescent="0.5">
      <c r="B1797" s="87"/>
      <c r="C1797" s="106"/>
      <c r="D1797" s="91"/>
      <c r="E1797" s="91"/>
      <c r="F1797" s="91"/>
      <c r="G1797" s="91"/>
      <c r="H1797" s="69"/>
      <c r="I1797" s="69"/>
      <c r="CS1797"/>
      <c r="CT1797"/>
      <c r="CU1797"/>
      <c r="CV1797"/>
      <c r="CW1797"/>
      <c r="CX1797"/>
      <c r="CY1797"/>
    </row>
    <row r="1798" spans="2:103" s="60" customFormat="1" x14ac:dyDescent="0.5">
      <c r="B1798" s="87"/>
      <c r="C1798" s="106"/>
      <c r="D1798" s="91"/>
      <c r="E1798" s="91"/>
      <c r="F1798" s="91"/>
      <c r="G1798" s="91"/>
      <c r="H1798" s="69"/>
      <c r="I1798" s="69"/>
      <c r="CS1798"/>
      <c r="CT1798"/>
      <c r="CU1798"/>
      <c r="CV1798"/>
      <c r="CW1798"/>
      <c r="CX1798"/>
      <c r="CY1798"/>
    </row>
    <row r="1799" spans="2:103" s="60" customFormat="1" x14ac:dyDescent="0.5">
      <c r="B1799" s="87"/>
      <c r="C1799" s="106"/>
      <c r="D1799" s="91"/>
      <c r="E1799" s="91"/>
      <c r="F1799" s="91"/>
      <c r="G1799" s="91"/>
      <c r="H1799" s="69"/>
      <c r="I1799" s="69"/>
      <c r="CS1799"/>
      <c r="CT1799"/>
      <c r="CU1799"/>
      <c r="CV1799"/>
      <c r="CW1799"/>
      <c r="CX1799"/>
      <c r="CY1799"/>
    </row>
    <row r="1800" spans="2:103" s="60" customFormat="1" x14ac:dyDescent="0.5">
      <c r="B1800" s="87"/>
      <c r="C1800" s="106"/>
      <c r="D1800" s="91"/>
      <c r="E1800" s="91"/>
      <c r="F1800" s="91"/>
      <c r="G1800" s="91"/>
      <c r="H1800" s="69"/>
      <c r="I1800" s="69"/>
      <c r="CS1800"/>
      <c r="CT1800"/>
      <c r="CU1800"/>
      <c r="CV1800"/>
      <c r="CW1800"/>
      <c r="CX1800"/>
      <c r="CY1800"/>
    </row>
    <row r="1801" spans="2:103" s="60" customFormat="1" x14ac:dyDescent="0.5">
      <c r="B1801" s="87"/>
      <c r="C1801" s="106"/>
      <c r="D1801" s="91"/>
      <c r="E1801" s="91"/>
      <c r="F1801" s="91"/>
      <c r="G1801" s="91"/>
      <c r="H1801" s="69"/>
      <c r="I1801" s="69"/>
      <c r="CS1801"/>
      <c r="CT1801"/>
      <c r="CU1801"/>
      <c r="CV1801"/>
      <c r="CW1801"/>
      <c r="CX1801"/>
      <c r="CY1801"/>
    </row>
    <row r="1802" spans="2:103" s="60" customFormat="1" x14ac:dyDescent="0.5">
      <c r="B1802" s="87"/>
      <c r="C1802" s="106"/>
      <c r="D1802" s="91"/>
      <c r="E1802" s="91"/>
      <c r="F1802" s="91"/>
      <c r="G1802" s="91"/>
      <c r="H1802" s="69"/>
      <c r="I1802" s="69"/>
      <c r="CS1802"/>
      <c r="CT1802"/>
      <c r="CU1802"/>
      <c r="CV1802"/>
      <c r="CW1802"/>
      <c r="CX1802"/>
      <c r="CY1802"/>
    </row>
    <row r="1803" spans="2:103" s="60" customFormat="1" x14ac:dyDescent="0.5">
      <c r="B1803" s="87"/>
      <c r="C1803" s="106"/>
      <c r="D1803" s="91"/>
      <c r="E1803" s="91"/>
      <c r="F1803" s="91"/>
      <c r="G1803" s="91"/>
      <c r="H1803" s="69"/>
      <c r="I1803" s="69"/>
      <c r="CS1803"/>
      <c r="CT1803"/>
      <c r="CU1803"/>
      <c r="CV1803"/>
      <c r="CW1803"/>
      <c r="CX1803"/>
      <c r="CY1803"/>
    </row>
    <row r="1804" spans="2:103" s="60" customFormat="1" x14ac:dyDescent="0.5">
      <c r="B1804" s="87"/>
      <c r="C1804" s="106"/>
      <c r="D1804" s="91"/>
      <c r="E1804" s="91"/>
      <c r="F1804" s="91"/>
      <c r="G1804" s="91"/>
      <c r="H1804" s="69"/>
      <c r="I1804" s="69"/>
      <c r="CS1804"/>
      <c r="CT1804"/>
      <c r="CU1804"/>
      <c r="CV1804"/>
      <c r="CW1804"/>
      <c r="CX1804"/>
      <c r="CY1804"/>
    </row>
    <row r="1805" spans="2:103" s="60" customFormat="1" x14ac:dyDescent="0.5">
      <c r="B1805" s="87"/>
      <c r="C1805" s="106"/>
      <c r="D1805" s="91"/>
      <c r="E1805" s="91"/>
      <c r="F1805" s="91"/>
      <c r="G1805" s="91"/>
      <c r="H1805" s="69"/>
      <c r="I1805" s="69"/>
      <c r="CS1805"/>
      <c r="CT1805"/>
      <c r="CU1805"/>
      <c r="CV1805"/>
      <c r="CW1805"/>
      <c r="CX1805"/>
      <c r="CY1805"/>
    </row>
    <row r="1806" spans="2:103" s="60" customFormat="1" x14ac:dyDescent="0.5">
      <c r="B1806" s="87"/>
      <c r="C1806" s="106"/>
      <c r="D1806" s="91"/>
      <c r="E1806" s="91"/>
      <c r="F1806" s="91"/>
      <c r="G1806" s="91"/>
      <c r="H1806" s="69"/>
      <c r="I1806" s="69"/>
      <c r="CS1806"/>
      <c r="CT1806"/>
      <c r="CU1806"/>
      <c r="CV1806"/>
      <c r="CW1806"/>
      <c r="CX1806"/>
      <c r="CY1806"/>
    </row>
    <row r="1807" spans="2:103" s="60" customFormat="1" x14ac:dyDescent="0.5">
      <c r="B1807" s="87"/>
      <c r="C1807" s="106"/>
      <c r="D1807" s="91"/>
      <c r="E1807" s="91"/>
      <c r="F1807" s="91"/>
      <c r="G1807" s="91"/>
      <c r="H1807" s="69"/>
      <c r="I1807" s="69"/>
      <c r="CS1807"/>
      <c r="CT1807"/>
      <c r="CU1807"/>
      <c r="CV1807"/>
      <c r="CW1807"/>
      <c r="CX1807"/>
      <c r="CY1807"/>
    </row>
    <row r="1808" spans="2:103" s="60" customFormat="1" x14ac:dyDescent="0.5">
      <c r="B1808" s="87"/>
      <c r="C1808" s="106"/>
      <c r="D1808" s="91"/>
      <c r="E1808" s="91"/>
      <c r="F1808" s="91"/>
      <c r="G1808" s="91"/>
      <c r="H1808" s="69"/>
      <c r="I1808" s="69"/>
      <c r="CS1808"/>
      <c r="CT1808"/>
      <c r="CU1808"/>
      <c r="CV1808"/>
      <c r="CW1808"/>
      <c r="CX1808"/>
      <c r="CY1808"/>
    </row>
    <row r="1809" spans="2:103" s="60" customFormat="1" x14ac:dyDescent="0.5">
      <c r="B1809" s="87"/>
      <c r="C1809" s="106"/>
      <c r="D1809" s="91"/>
      <c r="E1809" s="91"/>
      <c r="F1809" s="91"/>
      <c r="G1809" s="91"/>
      <c r="H1809" s="69"/>
      <c r="I1809" s="69"/>
      <c r="CS1809"/>
      <c r="CT1809"/>
      <c r="CU1809"/>
      <c r="CV1809"/>
      <c r="CW1809"/>
      <c r="CX1809"/>
      <c r="CY1809"/>
    </row>
    <row r="1810" spans="2:103" s="60" customFormat="1" x14ac:dyDescent="0.5">
      <c r="B1810" s="87"/>
      <c r="C1810" s="106"/>
      <c r="D1810" s="91"/>
      <c r="E1810" s="91"/>
      <c r="F1810" s="91"/>
      <c r="G1810" s="91"/>
      <c r="H1810" s="69"/>
      <c r="I1810" s="69"/>
      <c r="CS1810"/>
      <c r="CT1810"/>
      <c r="CU1810"/>
      <c r="CV1810"/>
      <c r="CW1810"/>
      <c r="CX1810"/>
      <c r="CY1810"/>
    </row>
    <row r="1811" spans="2:103" s="60" customFormat="1" x14ac:dyDescent="0.5">
      <c r="B1811" s="87"/>
      <c r="C1811" s="106"/>
      <c r="D1811" s="91"/>
      <c r="E1811" s="91"/>
      <c r="F1811" s="91"/>
      <c r="G1811" s="91"/>
      <c r="H1811" s="69"/>
      <c r="I1811" s="69"/>
      <c r="CS1811"/>
      <c r="CT1811"/>
      <c r="CU1811"/>
      <c r="CV1811"/>
      <c r="CW1811"/>
      <c r="CX1811"/>
      <c r="CY1811"/>
    </row>
    <row r="1812" spans="2:103" s="60" customFormat="1" x14ac:dyDescent="0.5">
      <c r="B1812" s="87"/>
      <c r="C1812" s="106"/>
      <c r="D1812" s="91"/>
      <c r="E1812" s="91"/>
      <c r="F1812" s="91"/>
      <c r="G1812" s="91"/>
      <c r="H1812" s="69"/>
      <c r="I1812" s="69"/>
      <c r="CS1812"/>
      <c r="CT1812"/>
      <c r="CU1812"/>
      <c r="CV1812"/>
      <c r="CW1812"/>
      <c r="CX1812"/>
      <c r="CY1812"/>
    </row>
    <row r="1813" spans="2:103" s="60" customFormat="1" x14ac:dyDescent="0.5">
      <c r="B1813" s="87"/>
      <c r="C1813" s="106"/>
      <c r="D1813" s="91"/>
      <c r="E1813" s="91"/>
      <c r="F1813" s="91"/>
      <c r="G1813" s="91"/>
      <c r="H1813" s="69"/>
      <c r="I1813" s="69"/>
      <c r="CS1813"/>
      <c r="CT1813"/>
      <c r="CU1813"/>
      <c r="CV1813"/>
      <c r="CW1813"/>
      <c r="CX1813"/>
      <c r="CY1813"/>
    </row>
    <row r="1814" spans="2:103" s="60" customFormat="1" x14ac:dyDescent="0.5">
      <c r="B1814" s="87"/>
      <c r="C1814" s="106"/>
      <c r="D1814" s="91"/>
      <c r="E1814" s="91"/>
      <c r="F1814" s="91"/>
      <c r="G1814" s="91"/>
      <c r="H1814" s="69"/>
      <c r="I1814" s="69"/>
      <c r="CS1814"/>
      <c r="CT1814"/>
      <c r="CU1814"/>
      <c r="CV1814"/>
      <c r="CW1814"/>
      <c r="CX1814"/>
      <c r="CY1814"/>
    </row>
    <row r="1815" spans="2:103" s="60" customFormat="1" x14ac:dyDescent="0.5">
      <c r="B1815" s="87"/>
      <c r="C1815" s="106"/>
      <c r="D1815" s="91"/>
      <c r="E1815" s="91"/>
      <c r="F1815" s="91"/>
      <c r="G1815" s="91"/>
      <c r="H1815" s="69"/>
      <c r="I1815" s="69"/>
      <c r="CS1815"/>
      <c r="CT1815"/>
      <c r="CU1815"/>
      <c r="CV1815"/>
      <c r="CW1815"/>
      <c r="CX1815"/>
      <c r="CY1815"/>
    </row>
    <row r="1816" spans="2:103" s="60" customFormat="1" x14ac:dyDescent="0.5">
      <c r="B1816" s="87"/>
      <c r="C1816" s="106"/>
      <c r="D1816" s="91"/>
      <c r="E1816" s="91"/>
      <c r="F1816" s="91"/>
      <c r="G1816" s="91"/>
      <c r="H1816" s="69"/>
      <c r="I1816" s="69"/>
      <c r="CS1816"/>
      <c r="CT1816"/>
      <c r="CU1816"/>
      <c r="CV1816"/>
      <c r="CW1816"/>
      <c r="CX1816"/>
      <c r="CY1816"/>
    </row>
    <row r="1817" spans="2:103" s="60" customFormat="1" x14ac:dyDescent="0.5">
      <c r="B1817" s="87"/>
      <c r="C1817" s="106"/>
      <c r="D1817" s="91"/>
      <c r="E1817" s="91"/>
      <c r="F1817" s="91"/>
      <c r="G1817" s="91"/>
      <c r="H1817" s="69"/>
      <c r="I1817" s="69"/>
      <c r="CS1817"/>
      <c r="CT1817"/>
      <c r="CU1817"/>
      <c r="CV1817"/>
      <c r="CW1817"/>
      <c r="CX1817"/>
      <c r="CY1817"/>
    </row>
    <row r="1818" spans="2:103" s="60" customFormat="1" x14ac:dyDescent="0.5">
      <c r="B1818" s="87"/>
      <c r="C1818" s="106"/>
      <c r="D1818" s="91"/>
      <c r="E1818" s="91"/>
      <c r="F1818" s="91"/>
      <c r="G1818" s="91"/>
      <c r="H1818" s="69"/>
      <c r="I1818" s="69"/>
      <c r="CS1818"/>
      <c r="CT1818"/>
      <c r="CU1818"/>
      <c r="CV1818"/>
      <c r="CW1818"/>
      <c r="CX1818"/>
      <c r="CY1818"/>
    </row>
    <row r="1819" spans="2:103" s="60" customFormat="1" x14ac:dyDescent="0.5">
      <c r="B1819" s="87"/>
      <c r="C1819" s="106"/>
      <c r="D1819" s="91"/>
      <c r="E1819" s="91"/>
      <c r="F1819" s="91"/>
      <c r="G1819" s="91"/>
      <c r="H1819" s="69"/>
      <c r="I1819" s="69"/>
      <c r="CS1819"/>
      <c r="CT1819"/>
      <c r="CU1819"/>
      <c r="CV1819"/>
      <c r="CW1819"/>
      <c r="CX1819"/>
      <c r="CY1819"/>
    </row>
    <row r="1820" spans="2:103" s="60" customFormat="1" x14ac:dyDescent="0.5">
      <c r="B1820" s="87"/>
      <c r="C1820" s="106"/>
      <c r="D1820" s="91"/>
      <c r="E1820" s="91"/>
      <c r="F1820" s="91"/>
      <c r="G1820" s="91"/>
      <c r="H1820" s="69"/>
      <c r="I1820" s="69"/>
      <c r="CS1820"/>
      <c r="CT1820"/>
      <c r="CU1820"/>
      <c r="CV1820"/>
      <c r="CW1820"/>
      <c r="CX1820"/>
      <c r="CY1820"/>
    </row>
    <row r="1821" spans="2:103" s="60" customFormat="1" x14ac:dyDescent="0.5">
      <c r="B1821" s="87"/>
      <c r="C1821" s="106"/>
      <c r="D1821" s="91"/>
      <c r="E1821" s="91"/>
      <c r="F1821" s="91"/>
      <c r="G1821" s="91"/>
      <c r="H1821" s="69"/>
      <c r="I1821" s="69"/>
      <c r="CS1821"/>
      <c r="CT1821"/>
      <c r="CU1821"/>
      <c r="CV1821"/>
      <c r="CW1821"/>
      <c r="CX1821"/>
      <c r="CY1821"/>
    </row>
    <row r="1822" spans="2:103" s="60" customFormat="1" x14ac:dyDescent="0.5">
      <c r="B1822" s="87"/>
      <c r="C1822" s="106"/>
      <c r="D1822" s="91"/>
      <c r="E1822" s="91"/>
      <c r="F1822" s="91"/>
      <c r="G1822" s="91"/>
      <c r="H1822" s="69"/>
      <c r="I1822" s="69"/>
      <c r="CS1822"/>
      <c r="CT1822"/>
      <c r="CU1822"/>
      <c r="CV1822"/>
      <c r="CW1822"/>
      <c r="CX1822"/>
      <c r="CY1822"/>
    </row>
    <row r="1823" spans="2:103" s="60" customFormat="1" x14ac:dyDescent="0.5">
      <c r="B1823" s="87"/>
      <c r="C1823" s="106"/>
      <c r="D1823" s="91"/>
      <c r="E1823" s="91"/>
      <c r="F1823" s="91"/>
      <c r="G1823" s="91"/>
      <c r="H1823" s="69"/>
      <c r="I1823" s="69"/>
      <c r="CS1823"/>
      <c r="CT1823"/>
      <c r="CU1823"/>
      <c r="CV1823"/>
      <c r="CW1823"/>
      <c r="CX1823"/>
      <c r="CY1823"/>
    </row>
    <row r="1824" spans="2:103" s="60" customFormat="1" x14ac:dyDescent="0.5">
      <c r="B1824" s="87"/>
      <c r="C1824" s="106"/>
      <c r="D1824" s="91"/>
      <c r="E1824" s="91"/>
      <c r="F1824" s="91"/>
      <c r="G1824" s="91"/>
      <c r="H1824" s="69"/>
      <c r="I1824" s="69"/>
      <c r="CS1824"/>
      <c r="CT1824"/>
      <c r="CU1824"/>
      <c r="CV1824"/>
      <c r="CW1824"/>
      <c r="CX1824"/>
      <c r="CY1824"/>
    </row>
    <row r="1825" spans="2:103" s="60" customFormat="1" x14ac:dyDescent="0.5">
      <c r="B1825" s="87"/>
      <c r="C1825" s="106"/>
      <c r="D1825" s="91"/>
      <c r="E1825" s="91"/>
      <c r="F1825" s="91"/>
      <c r="G1825" s="91"/>
      <c r="H1825" s="69"/>
      <c r="I1825" s="69"/>
      <c r="CS1825"/>
      <c r="CT1825"/>
      <c r="CU1825"/>
      <c r="CV1825"/>
      <c r="CW1825"/>
      <c r="CX1825"/>
      <c r="CY1825"/>
    </row>
    <row r="1826" spans="2:103" s="60" customFormat="1" x14ac:dyDescent="0.5">
      <c r="B1826" s="87"/>
      <c r="C1826" s="106"/>
      <c r="D1826" s="91"/>
      <c r="E1826" s="91"/>
      <c r="F1826" s="91"/>
      <c r="G1826" s="91"/>
      <c r="H1826" s="69"/>
      <c r="I1826" s="69"/>
      <c r="CS1826"/>
      <c r="CT1826"/>
      <c r="CU1826"/>
      <c r="CV1826"/>
      <c r="CW1826"/>
      <c r="CX1826"/>
      <c r="CY1826"/>
    </row>
    <row r="1827" spans="2:103" s="60" customFormat="1" x14ac:dyDescent="0.5">
      <c r="B1827" s="87"/>
      <c r="C1827" s="106"/>
      <c r="D1827" s="91"/>
      <c r="E1827" s="91"/>
      <c r="F1827" s="91"/>
      <c r="G1827" s="91"/>
      <c r="H1827" s="69"/>
      <c r="I1827" s="69"/>
      <c r="CS1827"/>
      <c r="CT1827"/>
      <c r="CU1827"/>
      <c r="CV1827"/>
      <c r="CW1827"/>
      <c r="CX1827"/>
      <c r="CY1827"/>
    </row>
    <row r="1828" spans="2:103" s="60" customFormat="1" x14ac:dyDescent="0.5">
      <c r="B1828" s="87"/>
      <c r="C1828" s="106"/>
      <c r="D1828" s="91"/>
      <c r="E1828" s="91"/>
      <c r="F1828" s="91"/>
      <c r="G1828" s="91"/>
      <c r="H1828" s="69"/>
      <c r="I1828" s="69"/>
      <c r="CS1828"/>
      <c r="CT1828"/>
      <c r="CU1828"/>
      <c r="CV1828"/>
      <c r="CW1828"/>
      <c r="CX1828"/>
      <c r="CY1828"/>
    </row>
    <row r="1829" spans="2:103" s="60" customFormat="1" x14ac:dyDescent="0.5">
      <c r="B1829" s="87"/>
      <c r="C1829" s="106"/>
      <c r="D1829" s="91"/>
      <c r="E1829" s="91"/>
      <c r="F1829" s="91"/>
      <c r="G1829" s="91"/>
      <c r="H1829" s="69"/>
      <c r="I1829" s="69"/>
      <c r="CS1829"/>
      <c r="CT1829"/>
      <c r="CU1829"/>
      <c r="CV1829"/>
      <c r="CW1829"/>
      <c r="CX1829"/>
      <c r="CY1829"/>
    </row>
    <row r="1830" spans="2:103" s="60" customFormat="1" x14ac:dyDescent="0.5">
      <c r="B1830" s="87"/>
      <c r="C1830" s="106"/>
      <c r="D1830" s="91"/>
      <c r="E1830" s="91"/>
      <c r="F1830" s="91"/>
      <c r="G1830" s="91"/>
      <c r="H1830" s="69"/>
      <c r="I1830" s="69"/>
      <c r="CS1830"/>
      <c r="CT1830"/>
      <c r="CU1830"/>
      <c r="CV1830"/>
      <c r="CW1830"/>
      <c r="CX1830"/>
      <c r="CY1830"/>
    </row>
    <row r="1831" spans="2:103" s="60" customFormat="1" x14ac:dyDescent="0.5">
      <c r="B1831" s="87"/>
      <c r="C1831" s="106"/>
      <c r="D1831" s="91"/>
      <c r="E1831" s="91"/>
      <c r="F1831" s="91"/>
      <c r="G1831" s="91"/>
      <c r="H1831" s="69"/>
      <c r="I1831" s="69"/>
      <c r="CS1831"/>
      <c r="CT1831"/>
      <c r="CU1831"/>
      <c r="CV1831"/>
      <c r="CW1831"/>
      <c r="CX1831"/>
      <c r="CY1831"/>
    </row>
    <row r="1832" spans="2:103" s="60" customFormat="1" x14ac:dyDescent="0.5">
      <c r="B1832" s="87"/>
      <c r="C1832" s="106"/>
      <c r="D1832" s="91"/>
      <c r="E1832" s="91"/>
      <c r="F1832" s="91"/>
      <c r="G1832" s="91"/>
      <c r="H1832" s="69"/>
      <c r="I1832" s="69"/>
      <c r="CS1832"/>
      <c r="CT1832"/>
      <c r="CU1832"/>
      <c r="CV1832"/>
      <c r="CW1832"/>
      <c r="CX1832"/>
      <c r="CY1832"/>
    </row>
    <row r="1833" spans="2:103" s="60" customFormat="1" x14ac:dyDescent="0.5">
      <c r="B1833" s="87"/>
      <c r="C1833" s="106"/>
      <c r="D1833" s="91"/>
      <c r="E1833" s="91"/>
      <c r="F1833" s="91"/>
      <c r="G1833" s="91"/>
      <c r="H1833" s="69"/>
      <c r="I1833" s="69"/>
      <c r="CS1833"/>
      <c r="CT1833"/>
      <c r="CU1833"/>
      <c r="CV1833"/>
      <c r="CW1833"/>
      <c r="CX1833"/>
      <c r="CY1833"/>
    </row>
    <row r="1834" spans="2:103" s="60" customFormat="1" x14ac:dyDescent="0.5">
      <c r="B1834" s="87"/>
      <c r="C1834" s="106"/>
      <c r="D1834" s="91"/>
      <c r="E1834" s="91"/>
      <c r="F1834" s="91"/>
      <c r="G1834" s="91"/>
      <c r="H1834" s="69"/>
      <c r="I1834" s="69"/>
      <c r="CS1834"/>
      <c r="CT1834"/>
      <c r="CU1834"/>
      <c r="CV1834"/>
      <c r="CW1834"/>
      <c r="CX1834"/>
      <c r="CY1834"/>
    </row>
    <row r="1835" spans="2:103" s="60" customFormat="1" x14ac:dyDescent="0.5">
      <c r="B1835" s="87"/>
      <c r="C1835" s="106"/>
      <c r="D1835" s="91"/>
      <c r="E1835" s="91"/>
      <c r="F1835" s="91"/>
      <c r="G1835" s="91"/>
      <c r="H1835" s="69"/>
      <c r="I1835" s="69"/>
      <c r="CS1835"/>
      <c r="CT1835"/>
      <c r="CU1835"/>
      <c r="CV1835"/>
      <c r="CW1835"/>
      <c r="CX1835"/>
      <c r="CY1835"/>
    </row>
    <row r="1836" spans="2:103" s="60" customFormat="1" x14ac:dyDescent="0.5">
      <c r="B1836" s="87"/>
      <c r="C1836" s="106"/>
      <c r="D1836" s="91"/>
      <c r="E1836" s="91"/>
      <c r="F1836" s="91"/>
      <c r="G1836" s="91"/>
      <c r="H1836" s="69"/>
      <c r="I1836" s="69"/>
      <c r="CS1836"/>
      <c r="CT1836"/>
      <c r="CU1836"/>
      <c r="CV1836"/>
      <c r="CW1836"/>
      <c r="CX1836"/>
      <c r="CY1836"/>
    </row>
    <row r="1837" spans="2:103" s="60" customFormat="1" x14ac:dyDescent="0.5">
      <c r="B1837" s="87"/>
      <c r="C1837" s="106"/>
      <c r="D1837" s="91"/>
      <c r="E1837" s="91"/>
      <c r="F1837" s="91"/>
      <c r="G1837" s="91"/>
      <c r="H1837" s="69"/>
      <c r="I1837" s="69"/>
      <c r="CS1837"/>
      <c r="CT1837"/>
      <c r="CU1837"/>
      <c r="CV1837"/>
      <c r="CW1837"/>
      <c r="CX1837"/>
      <c r="CY1837"/>
    </row>
    <row r="1838" spans="2:103" s="60" customFormat="1" x14ac:dyDescent="0.5">
      <c r="B1838" s="87"/>
      <c r="C1838" s="106"/>
      <c r="D1838" s="91"/>
      <c r="E1838" s="91"/>
      <c r="F1838" s="91"/>
      <c r="G1838" s="91"/>
      <c r="H1838" s="69"/>
      <c r="I1838" s="69"/>
      <c r="CS1838"/>
      <c r="CT1838"/>
      <c r="CU1838"/>
      <c r="CV1838"/>
      <c r="CW1838"/>
      <c r="CX1838"/>
      <c r="CY1838"/>
    </row>
    <row r="1839" spans="2:103" s="60" customFormat="1" x14ac:dyDescent="0.5">
      <c r="B1839" s="87"/>
      <c r="C1839" s="106"/>
      <c r="D1839" s="91"/>
      <c r="E1839" s="91"/>
      <c r="F1839" s="91"/>
      <c r="G1839" s="91"/>
      <c r="H1839" s="69"/>
      <c r="I1839" s="69"/>
      <c r="CS1839"/>
      <c r="CT1839"/>
      <c r="CU1839"/>
      <c r="CV1839"/>
      <c r="CW1839"/>
      <c r="CX1839"/>
      <c r="CY1839"/>
    </row>
    <row r="1840" spans="2:103" s="60" customFormat="1" x14ac:dyDescent="0.5">
      <c r="B1840" s="87"/>
      <c r="C1840" s="106"/>
      <c r="D1840" s="91"/>
      <c r="E1840" s="91"/>
      <c r="F1840" s="91"/>
      <c r="G1840" s="91"/>
      <c r="H1840" s="69"/>
      <c r="I1840" s="69"/>
      <c r="CS1840"/>
      <c r="CT1840"/>
      <c r="CU1840"/>
      <c r="CV1840"/>
      <c r="CW1840"/>
      <c r="CX1840"/>
      <c r="CY1840"/>
    </row>
    <row r="1841" spans="2:103" s="60" customFormat="1" x14ac:dyDescent="0.5">
      <c r="B1841" s="87"/>
      <c r="C1841" s="106"/>
      <c r="D1841" s="91"/>
      <c r="E1841" s="91"/>
      <c r="F1841" s="91"/>
      <c r="G1841" s="91"/>
      <c r="H1841" s="69"/>
      <c r="I1841" s="69"/>
      <c r="CS1841"/>
      <c r="CT1841"/>
      <c r="CU1841"/>
      <c r="CV1841"/>
      <c r="CW1841"/>
      <c r="CX1841"/>
      <c r="CY1841"/>
    </row>
    <row r="1842" spans="2:103" s="60" customFormat="1" x14ac:dyDescent="0.5">
      <c r="B1842" s="87"/>
      <c r="C1842" s="106"/>
      <c r="D1842" s="91"/>
      <c r="E1842" s="91"/>
      <c r="F1842" s="91"/>
      <c r="G1842" s="91"/>
      <c r="H1842" s="69"/>
      <c r="I1842" s="69"/>
      <c r="CS1842"/>
      <c r="CT1842"/>
      <c r="CU1842"/>
      <c r="CV1842"/>
      <c r="CW1842"/>
      <c r="CX1842"/>
      <c r="CY1842"/>
    </row>
    <row r="1843" spans="2:103" s="60" customFormat="1" x14ac:dyDescent="0.5">
      <c r="B1843" s="87"/>
      <c r="C1843" s="106"/>
      <c r="D1843" s="91"/>
      <c r="E1843" s="91"/>
      <c r="F1843" s="91"/>
      <c r="G1843" s="91"/>
      <c r="H1843" s="69"/>
      <c r="I1843" s="69"/>
      <c r="CS1843"/>
      <c r="CT1843"/>
      <c r="CU1843"/>
      <c r="CV1843"/>
      <c r="CW1843"/>
      <c r="CX1843"/>
      <c r="CY1843"/>
    </row>
    <row r="1844" spans="2:103" s="60" customFormat="1" x14ac:dyDescent="0.5">
      <c r="B1844" s="87"/>
      <c r="C1844" s="106"/>
      <c r="D1844" s="91"/>
      <c r="E1844" s="91"/>
      <c r="F1844" s="91"/>
      <c r="G1844" s="91"/>
      <c r="H1844" s="69"/>
      <c r="I1844" s="69"/>
      <c r="CS1844"/>
      <c r="CT1844"/>
      <c r="CU1844"/>
      <c r="CV1844"/>
      <c r="CW1844"/>
      <c r="CX1844"/>
      <c r="CY1844"/>
    </row>
    <row r="1845" spans="2:103" s="60" customFormat="1" x14ac:dyDescent="0.5">
      <c r="B1845" s="87"/>
      <c r="C1845" s="106"/>
      <c r="D1845" s="91"/>
      <c r="E1845" s="91"/>
      <c r="F1845" s="91"/>
      <c r="G1845" s="91"/>
      <c r="H1845" s="69"/>
      <c r="I1845" s="69"/>
      <c r="CS1845"/>
      <c r="CT1845"/>
      <c r="CU1845"/>
      <c r="CV1845"/>
      <c r="CW1845"/>
      <c r="CX1845"/>
      <c r="CY1845"/>
    </row>
    <row r="1846" spans="2:103" s="60" customFormat="1" x14ac:dyDescent="0.5">
      <c r="B1846" s="87"/>
      <c r="C1846" s="106"/>
      <c r="D1846" s="91"/>
      <c r="E1846" s="91"/>
      <c r="F1846" s="91"/>
      <c r="G1846" s="91"/>
      <c r="H1846" s="69"/>
      <c r="I1846" s="69"/>
      <c r="CS1846"/>
      <c r="CT1846"/>
      <c r="CU1846"/>
      <c r="CV1846"/>
      <c r="CW1846"/>
      <c r="CX1846"/>
      <c r="CY1846"/>
    </row>
    <row r="1847" spans="2:103" s="60" customFormat="1" x14ac:dyDescent="0.5">
      <c r="B1847" s="87"/>
      <c r="C1847" s="106"/>
      <c r="D1847" s="91"/>
      <c r="E1847" s="91"/>
      <c r="F1847" s="91"/>
      <c r="G1847" s="91"/>
      <c r="H1847" s="69"/>
      <c r="I1847" s="69"/>
      <c r="CS1847"/>
      <c r="CT1847"/>
      <c r="CU1847"/>
      <c r="CV1847"/>
      <c r="CW1847"/>
      <c r="CX1847"/>
      <c r="CY1847"/>
    </row>
    <row r="1848" spans="2:103" s="60" customFormat="1" x14ac:dyDescent="0.5">
      <c r="B1848" s="87"/>
      <c r="C1848" s="106"/>
      <c r="D1848" s="91"/>
      <c r="E1848" s="91"/>
      <c r="F1848" s="91"/>
      <c r="G1848" s="91"/>
      <c r="H1848" s="69"/>
      <c r="I1848" s="69"/>
      <c r="CS1848"/>
      <c r="CT1848"/>
      <c r="CU1848"/>
      <c r="CV1848"/>
      <c r="CW1848"/>
      <c r="CX1848"/>
      <c r="CY1848"/>
    </row>
    <row r="1849" spans="2:103" s="60" customFormat="1" x14ac:dyDescent="0.5">
      <c r="B1849" s="87"/>
      <c r="C1849" s="106"/>
      <c r="D1849" s="91"/>
      <c r="E1849" s="91"/>
      <c r="F1849" s="91"/>
      <c r="G1849" s="91"/>
      <c r="H1849" s="69"/>
      <c r="I1849" s="69"/>
      <c r="CS1849"/>
      <c r="CT1849"/>
      <c r="CU1849"/>
      <c r="CV1849"/>
      <c r="CW1849"/>
      <c r="CX1849"/>
      <c r="CY1849"/>
    </row>
    <row r="1850" spans="2:103" s="60" customFormat="1" x14ac:dyDescent="0.5">
      <c r="B1850" s="87"/>
      <c r="C1850" s="106"/>
      <c r="D1850" s="91"/>
      <c r="E1850" s="91"/>
      <c r="F1850" s="91"/>
      <c r="G1850" s="91"/>
      <c r="H1850" s="69"/>
      <c r="I1850" s="69"/>
      <c r="CS1850"/>
      <c r="CT1850"/>
      <c r="CU1850"/>
      <c r="CV1850"/>
      <c r="CW1850"/>
      <c r="CX1850"/>
      <c r="CY1850"/>
    </row>
    <row r="1851" spans="2:103" s="60" customFormat="1" x14ac:dyDescent="0.5">
      <c r="B1851" s="87"/>
      <c r="C1851" s="106"/>
      <c r="D1851" s="91"/>
      <c r="E1851" s="91"/>
      <c r="F1851" s="91"/>
      <c r="G1851" s="91"/>
      <c r="H1851" s="69"/>
      <c r="I1851" s="69"/>
      <c r="CS1851"/>
      <c r="CT1851"/>
      <c r="CU1851"/>
      <c r="CV1851"/>
      <c r="CW1851"/>
      <c r="CX1851"/>
      <c r="CY1851"/>
    </row>
    <row r="1852" spans="2:103" s="60" customFormat="1" x14ac:dyDescent="0.5">
      <c r="B1852" s="87"/>
      <c r="C1852" s="106"/>
      <c r="D1852" s="91"/>
      <c r="E1852" s="91"/>
      <c r="F1852" s="91"/>
      <c r="G1852" s="91"/>
      <c r="H1852" s="69"/>
      <c r="I1852" s="69"/>
      <c r="CS1852"/>
      <c r="CT1852"/>
      <c r="CU1852"/>
      <c r="CV1852"/>
      <c r="CW1852"/>
      <c r="CX1852"/>
      <c r="CY1852"/>
    </row>
    <row r="1853" spans="2:103" s="60" customFormat="1" x14ac:dyDescent="0.5">
      <c r="B1853" s="87"/>
      <c r="C1853" s="106"/>
      <c r="D1853" s="91"/>
      <c r="E1853" s="91"/>
      <c r="F1853" s="91"/>
      <c r="G1853" s="91"/>
      <c r="H1853" s="69"/>
      <c r="I1853" s="69"/>
      <c r="CS1853"/>
      <c r="CT1853"/>
      <c r="CU1853"/>
      <c r="CV1853"/>
      <c r="CW1853"/>
      <c r="CX1853"/>
      <c r="CY1853"/>
    </row>
    <row r="1854" spans="2:103" s="60" customFormat="1" x14ac:dyDescent="0.5">
      <c r="B1854" s="87"/>
      <c r="C1854" s="106"/>
      <c r="D1854" s="91"/>
      <c r="E1854" s="91"/>
      <c r="F1854" s="91"/>
      <c r="G1854" s="91"/>
      <c r="H1854" s="69"/>
      <c r="I1854" s="69"/>
      <c r="CS1854"/>
      <c r="CT1854"/>
      <c r="CU1854"/>
      <c r="CV1854"/>
      <c r="CW1854"/>
      <c r="CX1854"/>
      <c r="CY1854"/>
    </row>
    <row r="1855" spans="2:103" s="60" customFormat="1" x14ac:dyDescent="0.5">
      <c r="B1855" s="87"/>
      <c r="C1855" s="106"/>
      <c r="D1855" s="91"/>
      <c r="E1855" s="91"/>
      <c r="F1855" s="91"/>
      <c r="G1855" s="91"/>
      <c r="H1855" s="69"/>
      <c r="I1855" s="69"/>
      <c r="CS1855"/>
      <c r="CT1855"/>
      <c r="CU1855"/>
      <c r="CV1855"/>
      <c r="CW1855"/>
      <c r="CX1855"/>
      <c r="CY1855"/>
    </row>
    <row r="1856" spans="2:103" s="60" customFormat="1" x14ac:dyDescent="0.5">
      <c r="B1856" s="87"/>
      <c r="C1856" s="106"/>
      <c r="D1856" s="91"/>
      <c r="E1856" s="91"/>
      <c r="F1856" s="91"/>
      <c r="G1856" s="91"/>
      <c r="H1856" s="69"/>
      <c r="I1856" s="69"/>
      <c r="CS1856"/>
      <c r="CT1856"/>
      <c r="CU1856"/>
      <c r="CV1856"/>
      <c r="CW1856"/>
      <c r="CX1856"/>
      <c r="CY1856"/>
    </row>
    <row r="1857" spans="2:103" s="60" customFormat="1" x14ac:dyDescent="0.5">
      <c r="B1857" s="87"/>
      <c r="C1857" s="106"/>
      <c r="D1857" s="91"/>
      <c r="E1857" s="91"/>
      <c r="F1857" s="91"/>
      <c r="G1857" s="91"/>
      <c r="H1857" s="69"/>
      <c r="I1857" s="69"/>
      <c r="CS1857"/>
      <c r="CT1857"/>
      <c r="CU1857"/>
      <c r="CV1857"/>
      <c r="CW1857"/>
      <c r="CX1857"/>
      <c r="CY1857"/>
    </row>
    <row r="1858" spans="2:103" s="60" customFormat="1" x14ac:dyDescent="0.5">
      <c r="B1858" s="87"/>
      <c r="C1858" s="106"/>
      <c r="D1858" s="91"/>
      <c r="E1858" s="91"/>
      <c r="F1858" s="91"/>
      <c r="G1858" s="91"/>
      <c r="H1858" s="69"/>
      <c r="I1858" s="69"/>
      <c r="CS1858"/>
      <c r="CT1858"/>
      <c r="CU1858"/>
      <c r="CV1858"/>
      <c r="CW1858"/>
      <c r="CX1858"/>
      <c r="CY1858"/>
    </row>
    <row r="1859" spans="2:103" s="60" customFormat="1" x14ac:dyDescent="0.5">
      <c r="B1859" s="87"/>
      <c r="C1859" s="106"/>
      <c r="D1859" s="91"/>
      <c r="E1859" s="91"/>
      <c r="F1859" s="91"/>
      <c r="G1859" s="91"/>
      <c r="H1859" s="69"/>
      <c r="I1859" s="69"/>
      <c r="CS1859"/>
      <c r="CT1859"/>
      <c r="CU1859"/>
      <c r="CV1859"/>
      <c r="CW1859"/>
      <c r="CX1859"/>
      <c r="CY1859"/>
    </row>
    <row r="1860" spans="2:103" s="60" customFormat="1" x14ac:dyDescent="0.5">
      <c r="B1860" s="87"/>
      <c r="C1860" s="106"/>
      <c r="D1860" s="91"/>
      <c r="E1860" s="91"/>
      <c r="F1860" s="91"/>
      <c r="G1860" s="91"/>
      <c r="H1860" s="69"/>
      <c r="I1860" s="69"/>
      <c r="CS1860"/>
      <c r="CT1860"/>
      <c r="CU1860"/>
      <c r="CV1860"/>
      <c r="CW1860"/>
      <c r="CX1860"/>
      <c r="CY1860"/>
    </row>
    <row r="1861" spans="2:103" s="60" customFormat="1" x14ac:dyDescent="0.5">
      <c r="B1861" s="87"/>
      <c r="C1861" s="106"/>
      <c r="D1861" s="91"/>
      <c r="E1861" s="91"/>
      <c r="F1861" s="91"/>
      <c r="G1861" s="91"/>
      <c r="H1861" s="69"/>
      <c r="I1861" s="69"/>
      <c r="CS1861"/>
      <c r="CT1861"/>
      <c r="CU1861"/>
      <c r="CV1861"/>
      <c r="CW1861"/>
      <c r="CX1861"/>
      <c r="CY1861"/>
    </row>
    <row r="1862" spans="2:103" s="60" customFormat="1" x14ac:dyDescent="0.5">
      <c r="B1862" s="87"/>
      <c r="C1862" s="106"/>
      <c r="D1862" s="91"/>
      <c r="E1862" s="91"/>
      <c r="F1862" s="91"/>
      <c r="G1862" s="91"/>
      <c r="H1862" s="69"/>
      <c r="I1862" s="69"/>
      <c r="CS1862"/>
      <c r="CT1862"/>
      <c r="CU1862"/>
      <c r="CV1862"/>
      <c r="CW1862"/>
      <c r="CX1862"/>
      <c r="CY1862"/>
    </row>
    <row r="1863" spans="2:103" s="60" customFormat="1" x14ac:dyDescent="0.5">
      <c r="B1863" s="87"/>
      <c r="C1863" s="106"/>
      <c r="D1863" s="91"/>
      <c r="E1863" s="91"/>
      <c r="F1863" s="91"/>
      <c r="G1863" s="91"/>
      <c r="H1863" s="69"/>
      <c r="I1863" s="69"/>
      <c r="CS1863"/>
      <c r="CT1863"/>
      <c r="CU1863"/>
      <c r="CV1863"/>
      <c r="CW1863"/>
      <c r="CX1863"/>
      <c r="CY1863"/>
    </row>
    <row r="1864" spans="2:103" s="60" customFormat="1" x14ac:dyDescent="0.5">
      <c r="B1864" s="87"/>
      <c r="C1864" s="106"/>
      <c r="D1864" s="91"/>
      <c r="E1864" s="91"/>
      <c r="F1864" s="91"/>
      <c r="G1864" s="91"/>
      <c r="H1864" s="69"/>
      <c r="I1864" s="69"/>
      <c r="CS1864"/>
      <c r="CT1864"/>
      <c r="CU1864"/>
      <c r="CV1864"/>
      <c r="CW1864"/>
      <c r="CX1864"/>
      <c r="CY1864"/>
    </row>
    <row r="1865" spans="2:103" s="60" customFormat="1" x14ac:dyDescent="0.5">
      <c r="B1865" s="87"/>
      <c r="C1865" s="106"/>
      <c r="D1865" s="91"/>
      <c r="E1865" s="91"/>
      <c r="F1865" s="91"/>
      <c r="G1865" s="91"/>
      <c r="H1865" s="69"/>
      <c r="I1865" s="69"/>
      <c r="CS1865"/>
      <c r="CT1865"/>
      <c r="CU1865"/>
      <c r="CV1865"/>
      <c r="CW1865"/>
      <c r="CX1865"/>
      <c r="CY1865"/>
    </row>
    <row r="1866" spans="2:103" s="60" customFormat="1" x14ac:dyDescent="0.5">
      <c r="B1866" s="87"/>
      <c r="C1866" s="106"/>
      <c r="D1866" s="91"/>
      <c r="E1866" s="91"/>
      <c r="F1866" s="91"/>
      <c r="G1866" s="91"/>
      <c r="H1866" s="69"/>
      <c r="I1866" s="69"/>
      <c r="CS1866"/>
      <c r="CT1866"/>
      <c r="CU1866"/>
      <c r="CV1866"/>
      <c r="CW1866"/>
      <c r="CX1866"/>
      <c r="CY1866"/>
    </row>
    <row r="1867" spans="2:103" s="60" customFormat="1" x14ac:dyDescent="0.5">
      <c r="B1867" s="87"/>
      <c r="C1867" s="106"/>
      <c r="D1867" s="91"/>
      <c r="E1867" s="91"/>
      <c r="F1867" s="91"/>
      <c r="G1867" s="91"/>
      <c r="H1867" s="69"/>
      <c r="I1867" s="69"/>
      <c r="CS1867"/>
      <c r="CT1867"/>
      <c r="CU1867"/>
      <c r="CV1867"/>
      <c r="CW1867"/>
      <c r="CX1867"/>
      <c r="CY1867"/>
    </row>
    <row r="1868" spans="2:103" s="60" customFormat="1" x14ac:dyDescent="0.5">
      <c r="B1868" s="87"/>
      <c r="C1868" s="106"/>
      <c r="D1868" s="91"/>
      <c r="E1868" s="91"/>
      <c r="F1868" s="91"/>
      <c r="G1868" s="91"/>
      <c r="H1868" s="69"/>
      <c r="I1868" s="69"/>
      <c r="CS1868"/>
      <c r="CT1868"/>
      <c r="CU1868"/>
      <c r="CV1868"/>
      <c r="CW1868"/>
      <c r="CX1868"/>
      <c r="CY1868"/>
    </row>
    <row r="1869" spans="2:103" s="60" customFormat="1" x14ac:dyDescent="0.5">
      <c r="B1869" s="87"/>
      <c r="C1869" s="106"/>
      <c r="D1869" s="91"/>
      <c r="E1869" s="91"/>
      <c r="F1869" s="91"/>
      <c r="G1869" s="91"/>
      <c r="H1869" s="69"/>
      <c r="I1869" s="69"/>
      <c r="CS1869"/>
      <c r="CT1869"/>
      <c r="CU1869"/>
      <c r="CV1869"/>
      <c r="CW1869"/>
      <c r="CX1869"/>
      <c r="CY1869"/>
    </row>
    <row r="1870" spans="2:103" s="60" customFormat="1" x14ac:dyDescent="0.5">
      <c r="B1870" s="87"/>
      <c r="C1870" s="106"/>
      <c r="D1870" s="91"/>
      <c r="E1870" s="91"/>
      <c r="F1870" s="91"/>
      <c r="G1870" s="91"/>
      <c r="H1870" s="69"/>
      <c r="I1870" s="69"/>
      <c r="CS1870"/>
      <c r="CT1870"/>
      <c r="CU1870"/>
      <c r="CV1870"/>
      <c r="CW1870"/>
      <c r="CX1870"/>
      <c r="CY1870"/>
    </row>
    <row r="1871" spans="2:103" s="60" customFormat="1" x14ac:dyDescent="0.5">
      <c r="B1871" s="87"/>
      <c r="C1871" s="106"/>
      <c r="D1871" s="91"/>
      <c r="E1871" s="91"/>
      <c r="F1871" s="91"/>
      <c r="G1871" s="91"/>
      <c r="H1871" s="69"/>
      <c r="I1871" s="69"/>
      <c r="CS1871"/>
      <c r="CT1871"/>
      <c r="CU1871"/>
      <c r="CV1871"/>
      <c r="CW1871"/>
      <c r="CX1871"/>
      <c r="CY1871"/>
    </row>
    <row r="1872" spans="2:103" s="60" customFormat="1" x14ac:dyDescent="0.5">
      <c r="B1872" s="87"/>
      <c r="C1872" s="106"/>
      <c r="D1872" s="91"/>
      <c r="E1872" s="91"/>
      <c r="F1872" s="91"/>
      <c r="G1872" s="91"/>
      <c r="H1872" s="69"/>
      <c r="I1872" s="69"/>
      <c r="CS1872"/>
      <c r="CT1872"/>
      <c r="CU1872"/>
      <c r="CV1872"/>
      <c r="CW1872"/>
      <c r="CX1872"/>
      <c r="CY1872"/>
    </row>
    <row r="1873" spans="2:103" s="60" customFormat="1" x14ac:dyDescent="0.5">
      <c r="B1873" s="87"/>
      <c r="C1873" s="106"/>
      <c r="D1873" s="91"/>
      <c r="E1873" s="91"/>
      <c r="F1873" s="91"/>
      <c r="G1873" s="91"/>
      <c r="H1873" s="69"/>
      <c r="I1873" s="69"/>
      <c r="CS1873"/>
      <c r="CT1873"/>
      <c r="CU1873"/>
      <c r="CV1873"/>
      <c r="CW1873"/>
      <c r="CX1873"/>
      <c r="CY1873"/>
    </row>
    <row r="1874" spans="2:103" s="60" customFormat="1" x14ac:dyDescent="0.5">
      <c r="B1874" s="87"/>
      <c r="C1874" s="106"/>
      <c r="D1874" s="91"/>
      <c r="E1874" s="91"/>
      <c r="F1874" s="91"/>
      <c r="G1874" s="91"/>
      <c r="H1874" s="69"/>
      <c r="I1874" s="69"/>
      <c r="CS1874"/>
      <c r="CT1874"/>
      <c r="CU1874"/>
      <c r="CV1874"/>
      <c r="CW1874"/>
      <c r="CX1874"/>
      <c r="CY1874"/>
    </row>
    <row r="1875" spans="2:103" s="60" customFormat="1" x14ac:dyDescent="0.5">
      <c r="B1875" s="87"/>
      <c r="C1875" s="106"/>
      <c r="D1875" s="91"/>
      <c r="E1875" s="91"/>
      <c r="F1875" s="91"/>
      <c r="G1875" s="91"/>
      <c r="H1875" s="69"/>
      <c r="I1875" s="69"/>
      <c r="CS1875"/>
      <c r="CT1875"/>
      <c r="CU1875"/>
      <c r="CV1875"/>
      <c r="CW1875"/>
      <c r="CX1875"/>
      <c r="CY1875"/>
    </row>
    <row r="1876" spans="2:103" s="60" customFormat="1" x14ac:dyDescent="0.5">
      <c r="B1876" s="87"/>
      <c r="C1876" s="106"/>
      <c r="D1876" s="91"/>
      <c r="E1876" s="91"/>
      <c r="F1876" s="91"/>
      <c r="G1876" s="91"/>
      <c r="H1876" s="69"/>
      <c r="I1876" s="69"/>
      <c r="CS1876"/>
      <c r="CT1876"/>
      <c r="CU1876"/>
      <c r="CV1876"/>
      <c r="CW1876"/>
      <c r="CX1876"/>
      <c r="CY1876"/>
    </row>
    <row r="1877" spans="2:103" s="60" customFormat="1" x14ac:dyDescent="0.5">
      <c r="B1877" s="87"/>
      <c r="C1877" s="106"/>
      <c r="D1877" s="91"/>
      <c r="E1877" s="91"/>
      <c r="F1877" s="91"/>
      <c r="G1877" s="91"/>
      <c r="H1877" s="69"/>
      <c r="I1877" s="69"/>
      <c r="CS1877"/>
      <c r="CT1877"/>
      <c r="CU1877"/>
      <c r="CV1877"/>
      <c r="CW1877"/>
      <c r="CX1877"/>
      <c r="CY1877"/>
    </row>
    <row r="1878" spans="2:103" s="60" customFormat="1" x14ac:dyDescent="0.5">
      <c r="B1878" s="87"/>
      <c r="C1878" s="106"/>
      <c r="D1878" s="91"/>
      <c r="E1878" s="91"/>
      <c r="F1878" s="91"/>
      <c r="G1878" s="91"/>
      <c r="H1878" s="69"/>
      <c r="I1878" s="69"/>
      <c r="CS1878"/>
      <c r="CT1878"/>
      <c r="CU1878"/>
      <c r="CV1878"/>
      <c r="CW1878"/>
      <c r="CX1878"/>
      <c r="CY1878"/>
    </row>
    <row r="1879" spans="2:103" s="60" customFormat="1" x14ac:dyDescent="0.5">
      <c r="B1879" s="87"/>
      <c r="C1879" s="106"/>
      <c r="D1879" s="91"/>
      <c r="E1879" s="91"/>
      <c r="F1879" s="91"/>
      <c r="G1879" s="91"/>
      <c r="H1879" s="69"/>
      <c r="I1879" s="69"/>
      <c r="CS1879"/>
      <c r="CT1879"/>
      <c r="CU1879"/>
      <c r="CV1879"/>
      <c r="CW1879"/>
      <c r="CX1879"/>
      <c r="CY1879"/>
    </row>
    <row r="1880" spans="2:103" s="60" customFormat="1" x14ac:dyDescent="0.5">
      <c r="B1880" s="87"/>
      <c r="C1880" s="106"/>
      <c r="D1880" s="91"/>
      <c r="E1880" s="91"/>
      <c r="F1880" s="91"/>
      <c r="G1880" s="91"/>
      <c r="H1880" s="69"/>
      <c r="I1880" s="69"/>
      <c r="CS1880"/>
      <c r="CT1880"/>
      <c r="CU1880"/>
      <c r="CV1880"/>
      <c r="CW1880"/>
      <c r="CX1880"/>
      <c r="CY1880"/>
    </row>
    <row r="1881" spans="2:103" s="60" customFormat="1" x14ac:dyDescent="0.5">
      <c r="B1881" s="87"/>
      <c r="C1881" s="106"/>
      <c r="D1881" s="91"/>
      <c r="E1881" s="91"/>
      <c r="F1881" s="91"/>
      <c r="G1881" s="91"/>
      <c r="H1881" s="69"/>
      <c r="I1881" s="69"/>
      <c r="CS1881"/>
      <c r="CT1881"/>
      <c r="CU1881"/>
      <c r="CV1881"/>
      <c r="CW1881"/>
      <c r="CX1881"/>
      <c r="CY1881"/>
    </row>
    <row r="1882" spans="2:103" s="60" customFormat="1" x14ac:dyDescent="0.5">
      <c r="B1882" s="87"/>
      <c r="C1882" s="106"/>
      <c r="D1882" s="91"/>
      <c r="E1882" s="91"/>
      <c r="F1882" s="91"/>
      <c r="G1882" s="91"/>
      <c r="H1882" s="69"/>
      <c r="I1882" s="69"/>
      <c r="CS1882"/>
      <c r="CT1882"/>
      <c r="CU1882"/>
      <c r="CV1882"/>
      <c r="CW1882"/>
      <c r="CX1882"/>
      <c r="CY1882"/>
    </row>
    <row r="1883" spans="2:103" s="60" customFormat="1" x14ac:dyDescent="0.5">
      <c r="B1883" s="87"/>
      <c r="C1883" s="106"/>
      <c r="D1883" s="91"/>
      <c r="E1883" s="91"/>
      <c r="F1883" s="91"/>
      <c r="G1883" s="91"/>
      <c r="H1883" s="69"/>
      <c r="I1883" s="69"/>
      <c r="CS1883"/>
      <c r="CT1883"/>
      <c r="CU1883"/>
      <c r="CV1883"/>
      <c r="CW1883"/>
      <c r="CX1883"/>
      <c r="CY1883"/>
    </row>
    <row r="1884" spans="2:103" s="60" customFormat="1" x14ac:dyDescent="0.5">
      <c r="B1884" s="87"/>
      <c r="C1884" s="106"/>
      <c r="D1884" s="91"/>
      <c r="E1884" s="91"/>
      <c r="F1884" s="91"/>
      <c r="G1884" s="91"/>
      <c r="H1884" s="69"/>
      <c r="I1884" s="69"/>
      <c r="CS1884"/>
      <c r="CT1884"/>
      <c r="CU1884"/>
      <c r="CV1884"/>
      <c r="CW1884"/>
      <c r="CX1884"/>
      <c r="CY1884"/>
    </row>
    <row r="1885" spans="2:103" s="60" customFormat="1" x14ac:dyDescent="0.5">
      <c r="B1885" s="87"/>
      <c r="C1885" s="106"/>
      <c r="D1885" s="91"/>
      <c r="E1885" s="91"/>
      <c r="F1885" s="91"/>
      <c r="G1885" s="91"/>
      <c r="H1885" s="69"/>
      <c r="I1885" s="69"/>
      <c r="CS1885"/>
      <c r="CT1885"/>
      <c r="CU1885"/>
      <c r="CV1885"/>
      <c r="CW1885"/>
      <c r="CX1885"/>
      <c r="CY1885"/>
    </row>
    <row r="1886" spans="2:103" s="60" customFormat="1" x14ac:dyDescent="0.5">
      <c r="B1886" s="87"/>
      <c r="C1886" s="106"/>
      <c r="D1886" s="91"/>
      <c r="E1886" s="91"/>
      <c r="F1886" s="91"/>
      <c r="G1886" s="91"/>
      <c r="H1886" s="69"/>
      <c r="I1886" s="69"/>
      <c r="CS1886"/>
      <c r="CT1886"/>
      <c r="CU1886"/>
      <c r="CV1886"/>
      <c r="CW1886"/>
      <c r="CX1886"/>
      <c r="CY1886"/>
    </row>
    <row r="1887" spans="2:103" s="60" customFormat="1" x14ac:dyDescent="0.5">
      <c r="B1887" s="87"/>
      <c r="C1887" s="106"/>
      <c r="D1887" s="91"/>
      <c r="E1887" s="91"/>
      <c r="F1887" s="91"/>
      <c r="G1887" s="91"/>
      <c r="H1887" s="69"/>
      <c r="I1887" s="69"/>
      <c r="CS1887"/>
      <c r="CT1887"/>
      <c r="CU1887"/>
      <c r="CV1887"/>
      <c r="CW1887"/>
      <c r="CX1887"/>
      <c r="CY1887"/>
    </row>
    <row r="1888" spans="2:103" s="60" customFormat="1" x14ac:dyDescent="0.5">
      <c r="B1888" s="87"/>
      <c r="C1888" s="106"/>
      <c r="D1888" s="91"/>
      <c r="E1888" s="91"/>
      <c r="F1888" s="91"/>
      <c r="G1888" s="91"/>
      <c r="H1888" s="69"/>
      <c r="I1888" s="69"/>
      <c r="CS1888"/>
      <c r="CT1888"/>
      <c r="CU1888"/>
      <c r="CV1888"/>
      <c r="CW1888"/>
      <c r="CX1888"/>
      <c r="CY1888"/>
    </row>
    <row r="1889" spans="2:103" s="60" customFormat="1" x14ac:dyDescent="0.5">
      <c r="B1889" s="87"/>
      <c r="C1889" s="106"/>
      <c r="D1889" s="91"/>
      <c r="E1889" s="91"/>
      <c r="F1889" s="91"/>
      <c r="G1889" s="91"/>
      <c r="H1889" s="69"/>
      <c r="I1889" s="69"/>
      <c r="CS1889"/>
      <c r="CT1889"/>
      <c r="CU1889"/>
      <c r="CV1889"/>
      <c r="CW1889"/>
      <c r="CX1889"/>
      <c r="CY1889"/>
    </row>
    <row r="1890" spans="2:103" s="60" customFormat="1" x14ac:dyDescent="0.5">
      <c r="B1890" s="87"/>
      <c r="C1890" s="106"/>
      <c r="D1890" s="91"/>
      <c r="E1890" s="91"/>
      <c r="F1890" s="91"/>
      <c r="G1890" s="91"/>
      <c r="H1890" s="69"/>
      <c r="I1890" s="69"/>
      <c r="CS1890"/>
      <c r="CT1890"/>
      <c r="CU1890"/>
      <c r="CV1890"/>
      <c r="CW1890"/>
      <c r="CX1890"/>
      <c r="CY1890"/>
    </row>
    <row r="1891" spans="2:103" s="60" customFormat="1" x14ac:dyDescent="0.5">
      <c r="B1891" s="87"/>
      <c r="C1891" s="106"/>
      <c r="D1891" s="91"/>
      <c r="E1891" s="91"/>
      <c r="F1891" s="91"/>
      <c r="G1891" s="91"/>
      <c r="H1891" s="69"/>
      <c r="I1891" s="69"/>
      <c r="CS1891"/>
      <c r="CT1891"/>
      <c r="CU1891"/>
      <c r="CV1891"/>
      <c r="CW1891"/>
      <c r="CX1891"/>
      <c r="CY1891"/>
    </row>
    <row r="1892" spans="2:103" s="60" customFormat="1" x14ac:dyDescent="0.5">
      <c r="B1892" s="87"/>
      <c r="C1892" s="106"/>
      <c r="D1892" s="91"/>
      <c r="E1892" s="91"/>
      <c r="F1892" s="91"/>
      <c r="G1892" s="91"/>
      <c r="H1892" s="69"/>
      <c r="I1892" s="69"/>
      <c r="CS1892"/>
      <c r="CT1892"/>
      <c r="CU1892"/>
      <c r="CV1892"/>
      <c r="CW1892"/>
      <c r="CX1892"/>
      <c r="CY1892"/>
    </row>
    <row r="1893" spans="2:103" s="60" customFormat="1" x14ac:dyDescent="0.5">
      <c r="B1893" s="87"/>
      <c r="C1893" s="106"/>
      <c r="D1893" s="91"/>
      <c r="E1893" s="91"/>
      <c r="F1893" s="91"/>
      <c r="G1893" s="91"/>
      <c r="H1893" s="69"/>
      <c r="I1893" s="69"/>
      <c r="CS1893"/>
      <c r="CT1893"/>
      <c r="CU1893"/>
      <c r="CV1893"/>
      <c r="CW1893"/>
      <c r="CX1893"/>
      <c r="CY1893"/>
    </row>
    <row r="1894" spans="2:103" s="60" customFormat="1" x14ac:dyDescent="0.5">
      <c r="B1894" s="87"/>
      <c r="C1894" s="106"/>
      <c r="D1894" s="91"/>
      <c r="E1894" s="91"/>
      <c r="F1894" s="91"/>
      <c r="G1894" s="91"/>
      <c r="H1894" s="69"/>
      <c r="I1894" s="69"/>
      <c r="CS1894"/>
      <c r="CT1894"/>
      <c r="CU1894"/>
      <c r="CV1894"/>
      <c r="CW1894"/>
      <c r="CX1894"/>
      <c r="CY1894"/>
    </row>
    <row r="1895" spans="2:103" s="60" customFormat="1" x14ac:dyDescent="0.5">
      <c r="B1895" s="87"/>
      <c r="C1895" s="106"/>
      <c r="D1895" s="91"/>
      <c r="E1895" s="91"/>
      <c r="F1895" s="91"/>
      <c r="G1895" s="91"/>
      <c r="H1895" s="69"/>
      <c r="I1895" s="69"/>
      <c r="CS1895"/>
      <c r="CT1895"/>
      <c r="CU1895"/>
      <c r="CV1895"/>
      <c r="CW1895"/>
      <c r="CX1895"/>
      <c r="CY1895"/>
    </row>
    <row r="1896" spans="2:103" s="60" customFormat="1" x14ac:dyDescent="0.5">
      <c r="B1896" s="87"/>
      <c r="C1896" s="106"/>
      <c r="D1896" s="91"/>
      <c r="E1896" s="91"/>
      <c r="F1896" s="91"/>
      <c r="G1896" s="91"/>
      <c r="H1896" s="69"/>
      <c r="I1896" s="69"/>
      <c r="CS1896"/>
      <c r="CT1896"/>
      <c r="CU1896"/>
      <c r="CV1896"/>
      <c r="CW1896"/>
      <c r="CX1896"/>
      <c r="CY1896"/>
    </row>
    <row r="1897" spans="2:103" s="60" customFormat="1" x14ac:dyDescent="0.5">
      <c r="B1897" s="87"/>
      <c r="C1897" s="106"/>
      <c r="D1897" s="91"/>
      <c r="E1897" s="91"/>
      <c r="F1897" s="91"/>
      <c r="G1897" s="91"/>
      <c r="H1897" s="69"/>
      <c r="I1897" s="69"/>
      <c r="CS1897"/>
      <c r="CT1897"/>
      <c r="CU1897"/>
      <c r="CV1897"/>
      <c r="CW1897"/>
      <c r="CX1897"/>
      <c r="CY1897"/>
    </row>
    <row r="1898" spans="2:103" s="60" customFormat="1" x14ac:dyDescent="0.5">
      <c r="B1898" s="87"/>
      <c r="C1898" s="106"/>
      <c r="D1898" s="91"/>
      <c r="E1898" s="91"/>
      <c r="F1898" s="91"/>
      <c r="G1898" s="91"/>
      <c r="H1898" s="69"/>
      <c r="I1898" s="69"/>
      <c r="CS1898"/>
      <c r="CT1898"/>
      <c r="CU1898"/>
      <c r="CV1898"/>
      <c r="CW1898"/>
      <c r="CX1898"/>
      <c r="CY1898"/>
    </row>
    <row r="1899" spans="2:103" s="60" customFormat="1" x14ac:dyDescent="0.5">
      <c r="B1899" s="87"/>
      <c r="C1899" s="106"/>
      <c r="D1899" s="91"/>
      <c r="E1899" s="91"/>
      <c r="F1899" s="91"/>
      <c r="G1899" s="91"/>
      <c r="H1899" s="69"/>
      <c r="I1899" s="69"/>
      <c r="CS1899"/>
      <c r="CT1899"/>
      <c r="CU1899"/>
      <c r="CV1899"/>
      <c r="CW1899"/>
      <c r="CX1899"/>
      <c r="CY1899"/>
    </row>
    <row r="1900" spans="2:103" s="60" customFormat="1" x14ac:dyDescent="0.5">
      <c r="B1900" s="87"/>
      <c r="C1900" s="106"/>
      <c r="D1900" s="91"/>
      <c r="E1900" s="91"/>
      <c r="F1900" s="91"/>
      <c r="G1900" s="91"/>
      <c r="H1900" s="69"/>
      <c r="I1900" s="69"/>
      <c r="CS1900"/>
      <c r="CT1900"/>
      <c r="CU1900"/>
      <c r="CV1900"/>
      <c r="CW1900"/>
      <c r="CX1900"/>
      <c r="CY1900"/>
    </row>
    <row r="1901" spans="2:103" s="60" customFormat="1" x14ac:dyDescent="0.5">
      <c r="B1901" s="87"/>
      <c r="C1901" s="106"/>
      <c r="D1901" s="91"/>
      <c r="E1901" s="91"/>
      <c r="F1901" s="91"/>
      <c r="G1901" s="91"/>
      <c r="H1901" s="69"/>
      <c r="I1901" s="69"/>
      <c r="CS1901"/>
      <c r="CT1901"/>
      <c r="CU1901"/>
      <c r="CV1901"/>
      <c r="CW1901"/>
      <c r="CX1901"/>
      <c r="CY1901"/>
    </row>
    <row r="1902" spans="2:103" s="60" customFormat="1" x14ac:dyDescent="0.5">
      <c r="B1902" s="87"/>
      <c r="C1902" s="106"/>
      <c r="D1902" s="91"/>
      <c r="E1902" s="91"/>
      <c r="F1902" s="91"/>
      <c r="G1902" s="91"/>
      <c r="H1902" s="69"/>
      <c r="I1902" s="69"/>
      <c r="CS1902"/>
      <c r="CT1902"/>
      <c r="CU1902"/>
      <c r="CV1902"/>
      <c r="CW1902"/>
      <c r="CX1902"/>
      <c r="CY1902"/>
    </row>
    <row r="1903" spans="2:103" s="60" customFormat="1" x14ac:dyDescent="0.5">
      <c r="B1903" s="87"/>
      <c r="C1903" s="106"/>
      <c r="D1903" s="91"/>
      <c r="E1903" s="91"/>
      <c r="F1903" s="91"/>
      <c r="G1903" s="91"/>
      <c r="H1903" s="69"/>
      <c r="I1903" s="69"/>
      <c r="CS1903"/>
      <c r="CT1903"/>
      <c r="CU1903"/>
      <c r="CV1903"/>
      <c r="CW1903"/>
      <c r="CX1903"/>
      <c r="CY1903"/>
    </row>
    <row r="1904" spans="2:103" s="60" customFormat="1" x14ac:dyDescent="0.5">
      <c r="B1904" s="87"/>
      <c r="C1904" s="106"/>
      <c r="D1904" s="91"/>
      <c r="E1904" s="91"/>
      <c r="F1904" s="91"/>
      <c r="G1904" s="91"/>
      <c r="H1904" s="69"/>
      <c r="I1904" s="69"/>
      <c r="CS1904"/>
      <c r="CT1904"/>
      <c r="CU1904"/>
      <c r="CV1904"/>
      <c r="CW1904"/>
      <c r="CX1904"/>
      <c r="CY1904"/>
    </row>
    <row r="1905" spans="2:103" s="60" customFormat="1" x14ac:dyDescent="0.5">
      <c r="B1905" s="87"/>
      <c r="C1905" s="106"/>
      <c r="D1905" s="91"/>
      <c r="E1905" s="91"/>
      <c r="F1905" s="91"/>
      <c r="G1905" s="91"/>
      <c r="H1905" s="69"/>
      <c r="I1905" s="69"/>
      <c r="CS1905"/>
      <c r="CT1905"/>
      <c r="CU1905"/>
      <c r="CV1905"/>
      <c r="CW1905"/>
      <c r="CX1905"/>
      <c r="CY1905"/>
    </row>
    <row r="1906" spans="2:103" s="60" customFormat="1" x14ac:dyDescent="0.5">
      <c r="B1906" s="87"/>
      <c r="C1906" s="106"/>
      <c r="D1906" s="91"/>
      <c r="E1906" s="91"/>
      <c r="F1906" s="91"/>
      <c r="G1906" s="91"/>
      <c r="H1906" s="69"/>
      <c r="I1906" s="69"/>
      <c r="CS1906"/>
      <c r="CT1906"/>
      <c r="CU1906"/>
      <c r="CV1906"/>
      <c r="CW1906"/>
      <c r="CX1906"/>
      <c r="CY1906"/>
    </row>
    <row r="1907" spans="2:103" s="60" customFormat="1" x14ac:dyDescent="0.5">
      <c r="B1907" s="87"/>
      <c r="C1907" s="106"/>
      <c r="D1907" s="91"/>
      <c r="E1907" s="91"/>
      <c r="F1907" s="91"/>
      <c r="G1907" s="91"/>
      <c r="H1907" s="69"/>
      <c r="I1907" s="69"/>
      <c r="CS1907"/>
      <c r="CT1907"/>
      <c r="CU1907"/>
      <c r="CV1907"/>
      <c r="CW1907"/>
      <c r="CX1907"/>
      <c r="CY1907"/>
    </row>
    <row r="1908" spans="2:103" s="60" customFormat="1" x14ac:dyDescent="0.5">
      <c r="B1908" s="87"/>
      <c r="C1908" s="106"/>
      <c r="D1908" s="91"/>
      <c r="E1908" s="91"/>
      <c r="F1908" s="91"/>
      <c r="G1908" s="91"/>
      <c r="H1908" s="69"/>
      <c r="I1908" s="69"/>
      <c r="CS1908"/>
      <c r="CT1908"/>
      <c r="CU1908"/>
      <c r="CV1908"/>
      <c r="CW1908"/>
      <c r="CX1908"/>
      <c r="CY1908"/>
    </row>
    <row r="1909" spans="2:103" s="60" customFormat="1" x14ac:dyDescent="0.5">
      <c r="B1909" s="87"/>
      <c r="C1909" s="106"/>
      <c r="D1909" s="91"/>
      <c r="E1909" s="91"/>
      <c r="F1909" s="91"/>
      <c r="G1909" s="91"/>
      <c r="H1909" s="69"/>
      <c r="I1909" s="69"/>
      <c r="CS1909"/>
      <c r="CT1909"/>
      <c r="CU1909"/>
      <c r="CV1909"/>
      <c r="CW1909"/>
      <c r="CX1909"/>
      <c r="CY1909"/>
    </row>
    <row r="1910" spans="2:103" s="60" customFormat="1" x14ac:dyDescent="0.5">
      <c r="B1910" s="87"/>
      <c r="C1910" s="106"/>
      <c r="D1910" s="91"/>
      <c r="E1910" s="91"/>
      <c r="F1910" s="91"/>
      <c r="G1910" s="91"/>
      <c r="H1910" s="69"/>
      <c r="I1910" s="69"/>
      <c r="CS1910"/>
      <c r="CT1910"/>
      <c r="CU1910"/>
      <c r="CV1910"/>
      <c r="CW1910"/>
      <c r="CX1910"/>
      <c r="CY1910"/>
    </row>
    <row r="1911" spans="2:103" s="60" customFormat="1" x14ac:dyDescent="0.5">
      <c r="B1911" s="87"/>
      <c r="C1911" s="106"/>
      <c r="D1911" s="91"/>
      <c r="E1911" s="91"/>
      <c r="F1911" s="91"/>
      <c r="G1911" s="91"/>
      <c r="H1911" s="69"/>
      <c r="I1911" s="69"/>
      <c r="CS1911"/>
      <c r="CT1911"/>
      <c r="CU1911"/>
      <c r="CV1911"/>
      <c r="CW1911"/>
      <c r="CX1911"/>
      <c r="CY1911"/>
    </row>
    <row r="1912" spans="2:103" s="60" customFormat="1" x14ac:dyDescent="0.5">
      <c r="B1912" s="87"/>
      <c r="C1912" s="106"/>
      <c r="D1912" s="91"/>
      <c r="E1912" s="91"/>
      <c r="F1912" s="91"/>
      <c r="G1912" s="91"/>
      <c r="H1912" s="69"/>
      <c r="I1912" s="69"/>
      <c r="CS1912"/>
      <c r="CT1912"/>
      <c r="CU1912"/>
      <c r="CV1912"/>
      <c r="CW1912"/>
      <c r="CX1912"/>
      <c r="CY1912"/>
    </row>
    <row r="1913" spans="2:103" s="60" customFormat="1" x14ac:dyDescent="0.5">
      <c r="B1913" s="87"/>
      <c r="C1913" s="106"/>
      <c r="D1913" s="91"/>
      <c r="E1913" s="91"/>
      <c r="F1913" s="91"/>
      <c r="G1913" s="91"/>
      <c r="H1913" s="69"/>
      <c r="I1913" s="69"/>
      <c r="CS1913"/>
      <c r="CT1913"/>
      <c r="CU1913"/>
      <c r="CV1913"/>
      <c r="CW1913"/>
      <c r="CX1913"/>
      <c r="CY1913"/>
    </row>
    <row r="1914" spans="2:103" s="60" customFormat="1" x14ac:dyDescent="0.5">
      <c r="B1914" s="87"/>
      <c r="C1914" s="106"/>
      <c r="D1914" s="91"/>
      <c r="E1914" s="91"/>
      <c r="F1914" s="91"/>
      <c r="G1914" s="91"/>
      <c r="H1914" s="69"/>
      <c r="I1914" s="69"/>
      <c r="CS1914"/>
      <c r="CT1914"/>
      <c r="CU1914"/>
      <c r="CV1914"/>
      <c r="CW1914"/>
      <c r="CX1914"/>
      <c r="CY1914"/>
    </row>
    <row r="1915" spans="2:103" s="60" customFormat="1" x14ac:dyDescent="0.5">
      <c r="B1915" s="87"/>
      <c r="C1915" s="106"/>
      <c r="D1915" s="91"/>
      <c r="E1915" s="91"/>
      <c r="F1915" s="91"/>
      <c r="G1915" s="91"/>
      <c r="H1915" s="69"/>
      <c r="I1915" s="69"/>
      <c r="CS1915"/>
      <c r="CT1915"/>
      <c r="CU1915"/>
      <c r="CV1915"/>
      <c r="CW1915"/>
      <c r="CX1915"/>
      <c r="CY1915"/>
    </row>
    <row r="1916" spans="2:103" s="60" customFormat="1" x14ac:dyDescent="0.5">
      <c r="B1916" s="87"/>
      <c r="C1916" s="106"/>
      <c r="D1916" s="91"/>
      <c r="E1916" s="91"/>
      <c r="F1916" s="91"/>
      <c r="G1916" s="91"/>
      <c r="H1916" s="69"/>
      <c r="I1916" s="69"/>
      <c r="CS1916"/>
      <c r="CT1916"/>
      <c r="CU1916"/>
      <c r="CV1916"/>
      <c r="CW1916"/>
      <c r="CX1916"/>
      <c r="CY1916"/>
    </row>
    <row r="1917" spans="2:103" s="60" customFormat="1" x14ac:dyDescent="0.5">
      <c r="B1917" s="87"/>
      <c r="C1917" s="106"/>
      <c r="D1917" s="91"/>
      <c r="E1917" s="91"/>
      <c r="F1917" s="91"/>
      <c r="G1917" s="91"/>
      <c r="H1917" s="69"/>
      <c r="I1917" s="69"/>
      <c r="CS1917"/>
      <c r="CT1917"/>
      <c r="CU1917"/>
      <c r="CV1917"/>
      <c r="CW1917"/>
      <c r="CX1917"/>
      <c r="CY1917"/>
    </row>
    <row r="1918" spans="2:103" s="60" customFormat="1" x14ac:dyDescent="0.5">
      <c r="B1918" s="87"/>
      <c r="C1918" s="106"/>
      <c r="D1918" s="91"/>
      <c r="E1918" s="91"/>
      <c r="F1918" s="91"/>
      <c r="G1918" s="91"/>
      <c r="H1918" s="69"/>
      <c r="I1918" s="69"/>
      <c r="CS1918"/>
      <c r="CT1918"/>
      <c r="CU1918"/>
      <c r="CV1918"/>
      <c r="CW1918"/>
      <c r="CX1918"/>
      <c r="CY1918"/>
    </row>
    <row r="1919" spans="2:103" s="60" customFormat="1" x14ac:dyDescent="0.5">
      <c r="B1919" s="87"/>
      <c r="C1919" s="106"/>
      <c r="D1919" s="91"/>
      <c r="E1919" s="91"/>
      <c r="F1919" s="91"/>
      <c r="G1919" s="91"/>
      <c r="H1919" s="69"/>
      <c r="I1919" s="69"/>
      <c r="CS1919"/>
      <c r="CT1919"/>
      <c r="CU1919"/>
      <c r="CV1919"/>
      <c r="CW1919"/>
      <c r="CX1919"/>
      <c r="CY1919"/>
    </row>
    <row r="1920" spans="2:103" s="60" customFormat="1" x14ac:dyDescent="0.5">
      <c r="B1920" s="87"/>
      <c r="C1920" s="106"/>
      <c r="D1920" s="91"/>
      <c r="E1920" s="91"/>
      <c r="F1920" s="91"/>
      <c r="G1920" s="91"/>
      <c r="H1920" s="69"/>
      <c r="I1920" s="69"/>
      <c r="CS1920"/>
      <c r="CT1920"/>
      <c r="CU1920"/>
      <c r="CV1920"/>
      <c r="CW1920"/>
      <c r="CX1920"/>
      <c r="CY1920"/>
    </row>
    <row r="1921" spans="2:103" s="60" customFormat="1" x14ac:dyDescent="0.5">
      <c r="B1921" s="87"/>
      <c r="C1921" s="106"/>
      <c r="D1921" s="91"/>
      <c r="E1921" s="91"/>
      <c r="F1921" s="91"/>
      <c r="G1921" s="91"/>
      <c r="H1921" s="69"/>
      <c r="I1921" s="69"/>
      <c r="CS1921"/>
      <c r="CT1921"/>
      <c r="CU1921"/>
      <c r="CV1921"/>
      <c r="CW1921"/>
      <c r="CX1921"/>
      <c r="CY1921"/>
    </row>
    <row r="1922" spans="2:103" s="60" customFormat="1" x14ac:dyDescent="0.5">
      <c r="B1922" s="87"/>
      <c r="C1922" s="106"/>
      <c r="D1922" s="91"/>
      <c r="E1922" s="91"/>
      <c r="F1922" s="91"/>
      <c r="G1922" s="91"/>
      <c r="H1922" s="69"/>
      <c r="I1922" s="69"/>
      <c r="CS1922"/>
      <c r="CT1922"/>
      <c r="CU1922"/>
      <c r="CV1922"/>
      <c r="CW1922"/>
      <c r="CX1922"/>
      <c r="CY1922"/>
    </row>
    <row r="1923" spans="2:103" s="60" customFormat="1" x14ac:dyDescent="0.5">
      <c r="B1923" s="87"/>
      <c r="C1923" s="106"/>
      <c r="D1923" s="91"/>
      <c r="E1923" s="91"/>
      <c r="F1923" s="91"/>
      <c r="G1923" s="91"/>
      <c r="H1923" s="69"/>
      <c r="I1923" s="69"/>
      <c r="CS1923"/>
      <c r="CT1923"/>
      <c r="CU1923"/>
      <c r="CV1923"/>
      <c r="CW1923"/>
      <c r="CX1923"/>
      <c r="CY1923"/>
    </row>
    <row r="1924" spans="2:103" s="60" customFormat="1" x14ac:dyDescent="0.5">
      <c r="B1924" s="87"/>
      <c r="C1924" s="106"/>
      <c r="D1924" s="91"/>
      <c r="E1924" s="91"/>
      <c r="F1924" s="91"/>
      <c r="G1924" s="91"/>
      <c r="H1924" s="69"/>
      <c r="I1924" s="69"/>
      <c r="CS1924"/>
      <c r="CT1924"/>
      <c r="CU1924"/>
      <c r="CV1924"/>
      <c r="CW1924"/>
      <c r="CX1924"/>
      <c r="CY1924"/>
    </row>
    <row r="1925" spans="2:103" s="60" customFormat="1" x14ac:dyDescent="0.5">
      <c r="B1925" s="87"/>
      <c r="C1925" s="106"/>
      <c r="D1925" s="91"/>
      <c r="E1925" s="91"/>
      <c r="F1925" s="91"/>
      <c r="G1925" s="91"/>
      <c r="H1925" s="69"/>
      <c r="I1925" s="69"/>
      <c r="CS1925"/>
      <c r="CT1925"/>
      <c r="CU1925"/>
      <c r="CV1925"/>
      <c r="CW1925"/>
      <c r="CX1925"/>
      <c r="CY1925"/>
    </row>
    <row r="1926" spans="2:103" s="60" customFormat="1" x14ac:dyDescent="0.5">
      <c r="B1926" s="87"/>
      <c r="C1926" s="106"/>
      <c r="D1926" s="91"/>
      <c r="E1926" s="91"/>
      <c r="F1926" s="91"/>
      <c r="G1926" s="91"/>
      <c r="H1926" s="69"/>
      <c r="I1926" s="69"/>
      <c r="CS1926"/>
      <c r="CT1926"/>
      <c r="CU1926"/>
      <c r="CV1926"/>
      <c r="CW1926"/>
      <c r="CX1926"/>
      <c r="CY1926"/>
    </row>
    <row r="1927" spans="2:103" s="60" customFormat="1" x14ac:dyDescent="0.5">
      <c r="B1927" s="87"/>
      <c r="C1927" s="106"/>
      <c r="D1927" s="91"/>
      <c r="E1927" s="91"/>
      <c r="F1927" s="91"/>
      <c r="G1927" s="91"/>
      <c r="H1927" s="69"/>
      <c r="I1927" s="69"/>
      <c r="CS1927"/>
      <c r="CT1927"/>
      <c r="CU1927"/>
      <c r="CV1927"/>
      <c r="CW1927"/>
      <c r="CX1927"/>
      <c r="CY1927"/>
    </row>
    <row r="1928" spans="2:103" s="60" customFormat="1" x14ac:dyDescent="0.5">
      <c r="B1928" s="87"/>
      <c r="C1928" s="106"/>
      <c r="D1928" s="91"/>
      <c r="E1928" s="91"/>
      <c r="F1928" s="91"/>
      <c r="G1928" s="91"/>
      <c r="H1928" s="69"/>
      <c r="I1928" s="69"/>
      <c r="CS1928"/>
      <c r="CT1928"/>
      <c r="CU1928"/>
      <c r="CV1928"/>
      <c r="CW1928"/>
      <c r="CX1928"/>
      <c r="CY1928"/>
    </row>
    <row r="1929" spans="2:103" s="60" customFormat="1" x14ac:dyDescent="0.5">
      <c r="B1929" s="87"/>
      <c r="C1929" s="106"/>
      <c r="D1929" s="91"/>
      <c r="E1929" s="91"/>
      <c r="F1929" s="91"/>
      <c r="G1929" s="91"/>
      <c r="H1929" s="69"/>
      <c r="I1929" s="69"/>
      <c r="CS1929"/>
      <c r="CT1929"/>
      <c r="CU1929"/>
      <c r="CV1929"/>
      <c r="CW1929"/>
      <c r="CX1929"/>
      <c r="CY1929"/>
    </row>
    <row r="1930" spans="2:103" s="60" customFormat="1" x14ac:dyDescent="0.5">
      <c r="B1930" s="87"/>
      <c r="C1930" s="106"/>
      <c r="D1930" s="91"/>
      <c r="E1930" s="91"/>
      <c r="F1930" s="91"/>
      <c r="G1930" s="91"/>
      <c r="H1930" s="69"/>
      <c r="I1930" s="69"/>
      <c r="CS1930"/>
      <c r="CT1930"/>
      <c r="CU1930"/>
      <c r="CV1930"/>
      <c r="CW1930"/>
      <c r="CX1930"/>
      <c r="CY1930"/>
    </row>
    <row r="1931" spans="2:103" s="60" customFormat="1" x14ac:dyDescent="0.5">
      <c r="B1931" s="87"/>
      <c r="C1931" s="106"/>
      <c r="D1931" s="91"/>
      <c r="E1931" s="91"/>
      <c r="F1931" s="91"/>
      <c r="G1931" s="91"/>
      <c r="H1931" s="69"/>
      <c r="I1931" s="69"/>
      <c r="CS1931"/>
      <c r="CT1931"/>
      <c r="CU1931"/>
      <c r="CV1931"/>
      <c r="CW1931"/>
      <c r="CX1931"/>
      <c r="CY1931"/>
    </row>
    <row r="1932" spans="2:103" s="60" customFormat="1" x14ac:dyDescent="0.5">
      <c r="B1932" s="87"/>
      <c r="C1932" s="106"/>
      <c r="D1932" s="91"/>
      <c r="E1932" s="91"/>
      <c r="F1932" s="91"/>
      <c r="G1932" s="91"/>
      <c r="H1932" s="69"/>
      <c r="I1932" s="69"/>
      <c r="CS1932"/>
      <c r="CT1932"/>
      <c r="CU1932"/>
      <c r="CV1932"/>
      <c r="CW1932"/>
      <c r="CX1932"/>
      <c r="CY1932"/>
    </row>
    <row r="1933" spans="2:103" s="60" customFormat="1" x14ac:dyDescent="0.5">
      <c r="B1933" s="87"/>
      <c r="C1933" s="106"/>
      <c r="D1933" s="91"/>
      <c r="E1933" s="91"/>
      <c r="F1933" s="91"/>
      <c r="G1933" s="91"/>
      <c r="H1933" s="69"/>
      <c r="I1933" s="69"/>
      <c r="CS1933"/>
      <c r="CT1933"/>
      <c r="CU1933"/>
      <c r="CV1933"/>
      <c r="CW1933"/>
      <c r="CX1933"/>
      <c r="CY1933"/>
    </row>
    <row r="1934" spans="2:103" s="60" customFormat="1" x14ac:dyDescent="0.5">
      <c r="B1934" s="87"/>
      <c r="C1934" s="106"/>
      <c r="D1934" s="91"/>
      <c r="E1934" s="91"/>
      <c r="F1934" s="91"/>
      <c r="G1934" s="91"/>
      <c r="H1934" s="69"/>
      <c r="I1934" s="69"/>
      <c r="CS1934"/>
      <c r="CT1934"/>
      <c r="CU1934"/>
      <c r="CV1934"/>
      <c r="CW1934"/>
      <c r="CX1934"/>
      <c r="CY1934"/>
    </row>
    <row r="1935" spans="2:103" s="60" customFormat="1" x14ac:dyDescent="0.5">
      <c r="B1935" s="87"/>
      <c r="C1935" s="106"/>
      <c r="D1935" s="91"/>
      <c r="E1935" s="91"/>
      <c r="F1935" s="91"/>
      <c r="G1935" s="91"/>
      <c r="H1935" s="69"/>
      <c r="I1935" s="69"/>
      <c r="CS1935"/>
      <c r="CT1935"/>
      <c r="CU1935"/>
      <c r="CV1935"/>
      <c r="CW1935"/>
      <c r="CX1935"/>
      <c r="CY1935"/>
    </row>
    <row r="1936" spans="2:103" s="60" customFormat="1" x14ac:dyDescent="0.5">
      <c r="B1936" s="87"/>
      <c r="C1936" s="106"/>
      <c r="D1936" s="91"/>
      <c r="E1936" s="91"/>
      <c r="F1936" s="91"/>
      <c r="G1936" s="91"/>
      <c r="H1936" s="69"/>
      <c r="I1936" s="69"/>
      <c r="CS1936"/>
      <c r="CT1936"/>
      <c r="CU1936"/>
      <c r="CV1936"/>
      <c r="CW1936"/>
      <c r="CX1936"/>
      <c r="CY1936"/>
    </row>
    <row r="1937" spans="2:103" s="60" customFormat="1" x14ac:dyDescent="0.5">
      <c r="B1937" s="87"/>
      <c r="C1937" s="106"/>
      <c r="D1937" s="91"/>
      <c r="E1937" s="91"/>
      <c r="F1937" s="91"/>
      <c r="G1937" s="91"/>
      <c r="H1937" s="69"/>
      <c r="I1937" s="69"/>
      <c r="CS1937"/>
      <c r="CT1937"/>
      <c r="CU1937"/>
      <c r="CV1937"/>
      <c r="CW1937"/>
      <c r="CX1937"/>
      <c r="CY1937"/>
    </row>
    <row r="1938" spans="2:103" s="60" customFormat="1" x14ac:dyDescent="0.5">
      <c r="B1938" s="87"/>
      <c r="C1938" s="106"/>
      <c r="D1938" s="91"/>
      <c r="E1938" s="91"/>
      <c r="F1938" s="91"/>
      <c r="G1938" s="91"/>
      <c r="H1938" s="69"/>
      <c r="I1938" s="69"/>
      <c r="CS1938"/>
      <c r="CT1938"/>
      <c r="CU1938"/>
      <c r="CV1938"/>
      <c r="CW1938"/>
      <c r="CX1938"/>
      <c r="CY1938"/>
    </row>
    <row r="1939" spans="2:103" s="60" customFormat="1" x14ac:dyDescent="0.5">
      <c r="B1939" s="87"/>
      <c r="C1939" s="106"/>
      <c r="D1939" s="91"/>
      <c r="E1939" s="91"/>
      <c r="F1939" s="91"/>
      <c r="G1939" s="91"/>
      <c r="H1939" s="69"/>
      <c r="I1939" s="69"/>
      <c r="CS1939"/>
      <c r="CT1939"/>
      <c r="CU1939"/>
      <c r="CV1939"/>
      <c r="CW1939"/>
      <c r="CX1939"/>
      <c r="CY1939"/>
    </row>
    <row r="1940" spans="2:103" s="60" customFormat="1" x14ac:dyDescent="0.5">
      <c r="B1940" s="87"/>
      <c r="C1940" s="106"/>
      <c r="D1940" s="91"/>
      <c r="E1940" s="91"/>
      <c r="F1940" s="91"/>
      <c r="G1940" s="91"/>
      <c r="H1940" s="69"/>
      <c r="I1940" s="69"/>
      <c r="CS1940"/>
      <c r="CT1940"/>
      <c r="CU1940"/>
      <c r="CV1940"/>
      <c r="CW1940"/>
      <c r="CX1940"/>
      <c r="CY1940"/>
    </row>
    <row r="1941" spans="2:103" s="60" customFormat="1" x14ac:dyDescent="0.5">
      <c r="B1941" s="87"/>
      <c r="C1941" s="106"/>
      <c r="D1941" s="91"/>
      <c r="E1941" s="91"/>
      <c r="F1941" s="91"/>
      <c r="G1941" s="91"/>
      <c r="H1941" s="69"/>
      <c r="I1941" s="69"/>
      <c r="CS1941"/>
      <c r="CT1941"/>
      <c r="CU1941"/>
      <c r="CV1941"/>
      <c r="CW1941"/>
      <c r="CX1941"/>
      <c r="CY1941"/>
    </row>
    <row r="1942" spans="2:103" s="60" customFormat="1" x14ac:dyDescent="0.5">
      <c r="B1942" s="87"/>
      <c r="C1942" s="106"/>
      <c r="D1942" s="91"/>
      <c r="E1942" s="91"/>
      <c r="F1942" s="91"/>
      <c r="G1942" s="91"/>
      <c r="H1942" s="69"/>
      <c r="I1942" s="69"/>
      <c r="CS1942"/>
      <c r="CT1942"/>
      <c r="CU1942"/>
      <c r="CV1942"/>
      <c r="CW1942"/>
      <c r="CX1942"/>
      <c r="CY1942"/>
    </row>
    <row r="1943" spans="2:103" s="60" customFormat="1" x14ac:dyDescent="0.5">
      <c r="B1943" s="87"/>
      <c r="C1943" s="106"/>
      <c r="D1943" s="91"/>
      <c r="E1943" s="91"/>
      <c r="F1943" s="91"/>
      <c r="G1943" s="91"/>
      <c r="H1943" s="69"/>
      <c r="I1943" s="69"/>
      <c r="CS1943"/>
      <c r="CT1943"/>
      <c r="CU1943"/>
      <c r="CV1943"/>
      <c r="CW1943"/>
      <c r="CX1943"/>
      <c r="CY1943"/>
    </row>
    <row r="1944" spans="2:103" s="60" customFormat="1" x14ac:dyDescent="0.5">
      <c r="B1944" s="87"/>
      <c r="C1944" s="106"/>
      <c r="D1944" s="91"/>
      <c r="E1944" s="91"/>
      <c r="F1944" s="91"/>
      <c r="G1944" s="91"/>
      <c r="H1944" s="69"/>
      <c r="I1944" s="69"/>
      <c r="CS1944"/>
      <c r="CT1944"/>
      <c r="CU1944"/>
      <c r="CV1944"/>
      <c r="CW1944"/>
      <c r="CX1944"/>
      <c r="CY1944"/>
    </row>
    <row r="1945" spans="2:103" s="60" customFormat="1" x14ac:dyDescent="0.5">
      <c r="B1945" s="87"/>
      <c r="C1945" s="106"/>
      <c r="D1945" s="91"/>
      <c r="E1945" s="91"/>
      <c r="F1945" s="91"/>
      <c r="G1945" s="91"/>
      <c r="H1945" s="69"/>
      <c r="I1945" s="69"/>
      <c r="CS1945"/>
      <c r="CT1945"/>
      <c r="CU1945"/>
      <c r="CV1945"/>
      <c r="CW1945"/>
      <c r="CX1945"/>
      <c r="CY1945"/>
    </row>
    <row r="1946" spans="2:103" s="60" customFormat="1" x14ac:dyDescent="0.5">
      <c r="B1946" s="87"/>
      <c r="C1946" s="106"/>
      <c r="D1946" s="91"/>
      <c r="E1946" s="91"/>
      <c r="F1946" s="91"/>
      <c r="G1946" s="91"/>
      <c r="H1946" s="69"/>
      <c r="I1946" s="69"/>
      <c r="CS1946"/>
      <c r="CT1946"/>
      <c r="CU1946"/>
      <c r="CV1946"/>
      <c r="CW1946"/>
      <c r="CX1946"/>
      <c r="CY1946"/>
    </row>
    <row r="1947" spans="2:103" s="60" customFormat="1" x14ac:dyDescent="0.5">
      <c r="B1947" s="87"/>
      <c r="C1947" s="106"/>
      <c r="D1947" s="91"/>
      <c r="E1947" s="91"/>
      <c r="F1947" s="91"/>
      <c r="G1947" s="91"/>
      <c r="H1947" s="69"/>
      <c r="I1947" s="69"/>
      <c r="CS1947"/>
      <c r="CT1947"/>
      <c r="CU1947"/>
      <c r="CV1947"/>
      <c r="CW1947"/>
      <c r="CX1947"/>
      <c r="CY1947"/>
    </row>
    <row r="1948" spans="2:103" s="60" customFormat="1" x14ac:dyDescent="0.5">
      <c r="B1948" s="87"/>
      <c r="C1948" s="106"/>
      <c r="D1948" s="91"/>
      <c r="E1948" s="91"/>
      <c r="F1948" s="91"/>
      <c r="G1948" s="91"/>
      <c r="H1948" s="69"/>
      <c r="I1948" s="69"/>
      <c r="CS1948"/>
      <c r="CT1948"/>
      <c r="CU1948"/>
      <c r="CV1948"/>
      <c r="CW1948"/>
      <c r="CX1948"/>
      <c r="CY1948"/>
    </row>
    <row r="1949" spans="2:103" s="60" customFormat="1" x14ac:dyDescent="0.5">
      <c r="B1949" s="87"/>
      <c r="C1949" s="106"/>
      <c r="D1949" s="91"/>
      <c r="E1949" s="91"/>
      <c r="F1949" s="91"/>
      <c r="G1949" s="91"/>
      <c r="H1949" s="69"/>
      <c r="I1949" s="69"/>
      <c r="CS1949"/>
      <c r="CT1949"/>
      <c r="CU1949"/>
      <c r="CV1949"/>
      <c r="CW1949"/>
      <c r="CX1949"/>
      <c r="CY1949"/>
    </row>
    <row r="1950" spans="2:103" s="60" customFormat="1" x14ac:dyDescent="0.5">
      <c r="B1950" s="87"/>
      <c r="C1950" s="106"/>
      <c r="D1950" s="91"/>
      <c r="E1950" s="91"/>
      <c r="F1950" s="91"/>
      <c r="G1950" s="91"/>
      <c r="H1950" s="69"/>
      <c r="I1950" s="69"/>
      <c r="CS1950"/>
      <c r="CT1950"/>
      <c r="CU1950"/>
      <c r="CV1950"/>
      <c r="CW1950"/>
      <c r="CX1950"/>
      <c r="CY1950"/>
    </row>
    <row r="1951" spans="2:103" s="60" customFormat="1" x14ac:dyDescent="0.5">
      <c r="B1951" s="87"/>
      <c r="C1951" s="106"/>
      <c r="D1951" s="91"/>
      <c r="E1951" s="91"/>
      <c r="F1951" s="91"/>
      <c r="G1951" s="91"/>
      <c r="H1951" s="69"/>
      <c r="I1951" s="69"/>
      <c r="CS1951"/>
      <c r="CT1951"/>
      <c r="CU1951"/>
      <c r="CV1951"/>
      <c r="CW1951"/>
      <c r="CX1951"/>
      <c r="CY1951"/>
    </row>
    <row r="1952" spans="2:103" s="60" customFormat="1" x14ac:dyDescent="0.5">
      <c r="B1952" s="87"/>
      <c r="C1952" s="106"/>
      <c r="D1952" s="91"/>
      <c r="E1952" s="91"/>
      <c r="F1952" s="91"/>
      <c r="G1952" s="91"/>
      <c r="H1952" s="69"/>
      <c r="I1952" s="69"/>
      <c r="CS1952"/>
      <c r="CT1952"/>
      <c r="CU1952"/>
      <c r="CV1952"/>
      <c r="CW1952"/>
      <c r="CX1952"/>
      <c r="CY1952"/>
    </row>
    <row r="1953" spans="2:103" s="60" customFormat="1" x14ac:dyDescent="0.5">
      <c r="B1953" s="87"/>
      <c r="C1953" s="106"/>
      <c r="D1953" s="91"/>
      <c r="E1953" s="91"/>
      <c r="F1953" s="91"/>
      <c r="G1953" s="91"/>
      <c r="H1953" s="69"/>
      <c r="I1953" s="69"/>
      <c r="CS1953"/>
      <c r="CT1953"/>
      <c r="CU1953"/>
      <c r="CV1953"/>
      <c r="CW1953"/>
      <c r="CX1953"/>
      <c r="CY1953"/>
    </row>
    <row r="1954" spans="2:103" s="60" customFormat="1" x14ac:dyDescent="0.5">
      <c r="B1954" s="87"/>
      <c r="C1954" s="106"/>
      <c r="D1954" s="91"/>
      <c r="E1954" s="91"/>
      <c r="F1954" s="91"/>
      <c r="G1954" s="91"/>
      <c r="H1954" s="69"/>
      <c r="I1954" s="69"/>
      <c r="CS1954"/>
      <c r="CT1954"/>
      <c r="CU1954"/>
      <c r="CV1954"/>
      <c r="CW1954"/>
      <c r="CX1954"/>
      <c r="CY1954"/>
    </row>
    <row r="1955" spans="2:103" s="60" customFormat="1" x14ac:dyDescent="0.5">
      <c r="B1955" s="87"/>
      <c r="C1955" s="106"/>
      <c r="D1955" s="91"/>
      <c r="E1955" s="91"/>
      <c r="F1955" s="91"/>
      <c r="G1955" s="91"/>
      <c r="H1955" s="69"/>
      <c r="I1955" s="69"/>
      <c r="CS1955"/>
      <c r="CT1955"/>
      <c r="CU1955"/>
      <c r="CV1955"/>
      <c r="CW1955"/>
      <c r="CX1955"/>
      <c r="CY1955"/>
    </row>
    <row r="1956" spans="2:103" s="60" customFormat="1" x14ac:dyDescent="0.5">
      <c r="B1956" s="87"/>
      <c r="C1956" s="106"/>
      <c r="D1956" s="91"/>
      <c r="E1956" s="91"/>
      <c r="F1956" s="91"/>
      <c r="G1956" s="91"/>
      <c r="H1956" s="69"/>
      <c r="I1956" s="69"/>
      <c r="CS1956"/>
      <c r="CT1956"/>
      <c r="CU1956"/>
      <c r="CV1956"/>
      <c r="CW1956"/>
      <c r="CX1956"/>
      <c r="CY1956"/>
    </row>
    <row r="1957" spans="2:103" s="60" customFormat="1" x14ac:dyDescent="0.5">
      <c r="B1957" s="87"/>
      <c r="C1957" s="106"/>
      <c r="D1957" s="91"/>
      <c r="E1957" s="91"/>
      <c r="F1957" s="91"/>
      <c r="G1957" s="91"/>
      <c r="H1957" s="69"/>
      <c r="I1957" s="69"/>
      <c r="CS1957"/>
      <c r="CT1957"/>
      <c r="CU1957"/>
      <c r="CV1957"/>
      <c r="CW1957"/>
      <c r="CX1957"/>
      <c r="CY1957"/>
    </row>
    <row r="1958" spans="2:103" s="60" customFormat="1" x14ac:dyDescent="0.5">
      <c r="B1958" s="87"/>
      <c r="C1958" s="106"/>
      <c r="D1958" s="91"/>
      <c r="E1958" s="91"/>
      <c r="F1958" s="91"/>
      <c r="G1958" s="91"/>
      <c r="H1958" s="69"/>
      <c r="I1958" s="69"/>
      <c r="CS1958"/>
      <c r="CT1958"/>
      <c r="CU1958"/>
      <c r="CV1958"/>
      <c r="CW1958"/>
      <c r="CX1958"/>
      <c r="CY1958"/>
    </row>
    <row r="1959" spans="2:103" s="60" customFormat="1" x14ac:dyDescent="0.5">
      <c r="B1959" s="87"/>
      <c r="C1959" s="106"/>
      <c r="D1959" s="91"/>
      <c r="E1959" s="91"/>
      <c r="F1959" s="91"/>
      <c r="G1959" s="91"/>
      <c r="H1959" s="69"/>
      <c r="I1959" s="69"/>
      <c r="CS1959"/>
      <c r="CT1959"/>
      <c r="CU1959"/>
      <c r="CV1959"/>
      <c r="CW1959"/>
      <c r="CX1959"/>
      <c r="CY1959"/>
    </row>
    <row r="1960" spans="2:103" s="60" customFormat="1" x14ac:dyDescent="0.5">
      <c r="B1960" s="87"/>
      <c r="C1960" s="106"/>
      <c r="D1960" s="91"/>
      <c r="E1960" s="91"/>
      <c r="F1960" s="91"/>
      <c r="G1960" s="91"/>
      <c r="H1960" s="69"/>
      <c r="I1960" s="69"/>
      <c r="CS1960"/>
      <c r="CT1960"/>
      <c r="CU1960"/>
      <c r="CV1960"/>
      <c r="CW1960"/>
      <c r="CX1960"/>
      <c r="CY1960"/>
    </row>
    <row r="1961" spans="2:103" s="60" customFormat="1" x14ac:dyDescent="0.5">
      <c r="B1961" s="87"/>
      <c r="C1961" s="106"/>
      <c r="D1961" s="91"/>
      <c r="E1961" s="91"/>
      <c r="F1961" s="91"/>
      <c r="G1961" s="91"/>
      <c r="H1961" s="69"/>
      <c r="I1961" s="69"/>
      <c r="CS1961"/>
      <c r="CT1961"/>
      <c r="CU1961"/>
      <c r="CV1961"/>
      <c r="CW1961"/>
      <c r="CX1961"/>
      <c r="CY1961"/>
    </row>
    <row r="1962" spans="2:103" s="60" customFormat="1" x14ac:dyDescent="0.5">
      <c r="B1962" s="87"/>
      <c r="C1962" s="106"/>
      <c r="D1962" s="91"/>
      <c r="E1962" s="91"/>
      <c r="F1962" s="91"/>
      <c r="G1962" s="91"/>
      <c r="H1962" s="69"/>
      <c r="I1962" s="69"/>
      <c r="CS1962"/>
      <c r="CT1962"/>
      <c r="CU1962"/>
      <c r="CV1962"/>
      <c r="CW1962"/>
      <c r="CX1962"/>
      <c r="CY1962"/>
    </row>
    <row r="1963" spans="2:103" s="60" customFormat="1" x14ac:dyDescent="0.5">
      <c r="B1963" s="87"/>
      <c r="C1963" s="106"/>
      <c r="D1963" s="91"/>
      <c r="E1963" s="91"/>
      <c r="F1963" s="91"/>
      <c r="G1963" s="91"/>
      <c r="H1963" s="69"/>
      <c r="I1963" s="69"/>
      <c r="CS1963"/>
      <c r="CT1963"/>
      <c r="CU1963"/>
      <c r="CV1963"/>
      <c r="CW1963"/>
      <c r="CX1963"/>
      <c r="CY1963"/>
    </row>
    <row r="1964" spans="2:103" s="60" customFormat="1" x14ac:dyDescent="0.5">
      <c r="B1964" s="87"/>
      <c r="C1964" s="106"/>
      <c r="D1964" s="91"/>
      <c r="E1964" s="91"/>
      <c r="F1964" s="91"/>
      <c r="G1964" s="91"/>
      <c r="H1964" s="69"/>
      <c r="I1964" s="69"/>
      <c r="CS1964"/>
      <c r="CT1964"/>
      <c r="CU1964"/>
      <c r="CV1964"/>
      <c r="CW1964"/>
      <c r="CX1964"/>
      <c r="CY1964"/>
    </row>
    <row r="1965" spans="2:103" s="60" customFormat="1" x14ac:dyDescent="0.5">
      <c r="B1965" s="87"/>
      <c r="C1965" s="106"/>
      <c r="D1965" s="91"/>
      <c r="E1965" s="91"/>
      <c r="F1965" s="91"/>
      <c r="G1965" s="91"/>
      <c r="H1965" s="69"/>
      <c r="I1965" s="69"/>
      <c r="CS1965"/>
      <c r="CT1965"/>
      <c r="CU1965"/>
      <c r="CV1965"/>
      <c r="CW1965"/>
      <c r="CX1965"/>
      <c r="CY1965"/>
    </row>
    <row r="1966" spans="2:103" s="60" customFormat="1" x14ac:dyDescent="0.5">
      <c r="B1966" s="87"/>
      <c r="C1966" s="106"/>
      <c r="D1966" s="91"/>
      <c r="E1966" s="91"/>
      <c r="F1966" s="91"/>
      <c r="G1966" s="91"/>
      <c r="H1966" s="69"/>
      <c r="I1966" s="69"/>
      <c r="CS1966"/>
      <c r="CT1966"/>
      <c r="CU1966"/>
      <c r="CV1966"/>
      <c r="CW1966"/>
      <c r="CX1966"/>
      <c r="CY1966"/>
    </row>
    <row r="1967" spans="2:103" s="60" customFormat="1" x14ac:dyDescent="0.5">
      <c r="B1967" s="87"/>
      <c r="C1967" s="106"/>
      <c r="D1967" s="91"/>
      <c r="E1967" s="91"/>
      <c r="F1967" s="91"/>
      <c r="G1967" s="91"/>
      <c r="H1967" s="69"/>
      <c r="I1967" s="69"/>
      <c r="CS1967"/>
      <c r="CT1967"/>
      <c r="CU1967"/>
      <c r="CV1967"/>
      <c r="CW1967"/>
      <c r="CX1967"/>
      <c r="CY1967"/>
    </row>
    <row r="1968" spans="2:103" s="60" customFormat="1" x14ac:dyDescent="0.5">
      <c r="B1968" s="87"/>
      <c r="C1968" s="106"/>
      <c r="D1968" s="91"/>
      <c r="E1968" s="91"/>
      <c r="F1968" s="91"/>
      <c r="G1968" s="91"/>
      <c r="H1968" s="69"/>
      <c r="I1968" s="69"/>
      <c r="CS1968"/>
      <c r="CT1968"/>
      <c r="CU1968"/>
      <c r="CV1968"/>
      <c r="CW1968"/>
      <c r="CX1968"/>
      <c r="CY1968"/>
    </row>
    <row r="1969" spans="2:103" s="60" customFormat="1" x14ac:dyDescent="0.5">
      <c r="B1969" s="87"/>
      <c r="C1969" s="106"/>
      <c r="D1969" s="91"/>
      <c r="E1969" s="91"/>
      <c r="F1969" s="91"/>
      <c r="G1969" s="91"/>
      <c r="H1969" s="69"/>
      <c r="I1969" s="69"/>
      <c r="CS1969"/>
      <c r="CT1969"/>
      <c r="CU1969"/>
      <c r="CV1969"/>
      <c r="CW1969"/>
      <c r="CX1969"/>
      <c r="CY1969"/>
    </row>
    <row r="1970" spans="2:103" s="60" customFormat="1" x14ac:dyDescent="0.5">
      <c r="B1970" s="87"/>
      <c r="C1970" s="106"/>
      <c r="D1970" s="91"/>
      <c r="E1970" s="91"/>
      <c r="F1970" s="91"/>
      <c r="G1970" s="91"/>
      <c r="H1970" s="69"/>
      <c r="I1970" s="69"/>
      <c r="CS1970"/>
      <c r="CT1970"/>
      <c r="CU1970"/>
      <c r="CV1970"/>
      <c r="CW1970"/>
      <c r="CX1970"/>
      <c r="CY1970"/>
    </row>
    <row r="1971" spans="2:103" s="60" customFormat="1" x14ac:dyDescent="0.5">
      <c r="B1971" s="87"/>
      <c r="C1971" s="106"/>
      <c r="D1971" s="91"/>
      <c r="E1971" s="91"/>
      <c r="F1971" s="91"/>
      <c r="G1971" s="91"/>
      <c r="H1971" s="69"/>
      <c r="I1971" s="69"/>
      <c r="CS1971"/>
      <c r="CT1971"/>
      <c r="CU1971"/>
      <c r="CV1971"/>
      <c r="CW1971"/>
      <c r="CX1971"/>
      <c r="CY1971"/>
    </row>
    <row r="1972" spans="2:103" s="60" customFormat="1" x14ac:dyDescent="0.5">
      <c r="B1972" s="87"/>
      <c r="C1972" s="106"/>
      <c r="D1972" s="91"/>
      <c r="E1972" s="91"/>
      <c r="F1972" s="91"/>
      <c r="G1972" s="91"/>
      <c r="H1972" s="69"/>
      <c r="I1972" s="69"/>
      <c r="CS1972"/>
      <c r="CT1972"/>
      <c r="CU1972"/>
      <c r="CV1972"/>
      <c r="CW1972"/>
      <c r="CX1972"/>
      <c r="CY1972"/>
    </row>
    <row r="1973" spans="2:103" s="60" customFormat="1" x14ac:dyDescent="0.5">
      <c r="B1973" s="87"/>
      <c r="C1973" s="106"/>
      <c r="D1973" s="91"/>
      <c r="E1973" s="91"/>
      <c r="F1973" s="91"/>
      <c r="G1973" s="91"/>
      <c r="H1973" s="69"/>
      <c r="I1973" s="69"/>
      <c r="CS1973"/>
      <c r="CT1973"/>
      <c r="CU1973"/>
      <c r="CV1973"/>
      <c r="CW1973"/>
      <c r="CX1973"/>
      <c r="CY1973"/>
    </row>
    <row r="1974" spans="2:103" s="60" customFormat="1" x14ac:dyDescent="0.5">
      <c r="B1974" s="87"/>
      <c r="C1974" s="106"/>
      <c r="D1974" s="91"/>
      <c r="E1974" s="91"/>
      <c r="F1974" s="91"/>
      <c r="G1974" s="91"/>
      <c r="H1974" s="69"/>
      <c r="I1974" s="69"/>
      <c r="CS1974"/>
      <c r="CT1974"/>
      <c r="CU1974"/>
      <c r="CV1974"/>
      <c r="CW1974"/>
      <c r="CX1974"/>
      <c r="CY1974"/>
    </row>
    <row r="1975" spans="2:103" s="60" customFormat="1" x14ac:dyDescent="0.5">
      <c r="B1975" s="87"/>
      <c r="C1975" s="106"/>
      <c r="D1975" s="91"/>
      <c r="E1975" s="91"/>
      <c r="F1975" s="91"/>
      <c r="G1975" s="91"/>
      <c r="H1975" s="69"/>
      <c r="I1975" s="69"/>
      <c r="CS1975"/>
      <c r="CT1975"/>
      <c r="CU1975"/>
      <c r="CV1975"/>
      <c r="CW1975"/>
      <c r="CX1975"/>
      <c r="CY1975"/>
    </row>
    <row r="1976" spans="2:103" s="60" customFormat="1" x14ac:dyDescent="0.5">
      <c r="B1976" s="87"/>
      <c r="C1976" s="106"/>
      <c r="D1976" s="91"/>
      <c r="E1976" s="91"/>
      <c r="F1976" s="91"/>
      <c r="G1976" s="91"/>
      <c r="H1976" s="69"/>
      <c r="I1976" s="69"/>
      <c r="CS1976"/>
      <c r="CT1976"/>
      <c r="CU1976"/>
      <c r="CV1976"/>
      <c r="CW1976"/>
      <c r="CX1976"/>
      <c r="CY1976"/>
    </row>
    <row r="1977" spans="2:103" s="60" customFormat="1" x14ac:dyDescent="0.5">
      <c r="B1977" s="87"/>
      <c r="C1977" s="106"/>
      <c r="D1977" s="91"/>
      <c r="E1977" s="91"/>
      <c r="F1977" s="91"/>
      <c r="G1977" s="91"/>
      <c r="H1977" s="69"/>
      <c r="I1977" s="69"/>
      <c r="CS1977"/>
      <c r="CT1977"/>
      <c r="CU1977"/>
      <c r="CV1977"/>
      <c r="CW1977"/>
      <c r="CX1977"/>
      <c r="CY1977"/>
    </row>
    <row r="1978" spans="2:103" s="60" customFormat="1" x14ac:dyDescent="0.5">
      <c r="B1978" s="87"/>
      <c r="C1978" s="106"/>
      <c r="D1978" s="91"/>
      <c r="E1978" s="91"/>
      <c r="F1978" s="91"/>
      <c r="G1978" s="91"/>
      <c r="H1978" s="69"/>
      <c r="I1978" s="69"/>
      <c r="CS1978"/>
      <c r="CT1978"/>
      <c r="CU1978"/>
      <c r="CV1978"/>
      <c r="CW1978"/>
      <c r="CX1978"/>
      <c r="CY1978"/>
    </row>
    <row r="1979" spans="2:103" s="60" customFormat="1" x14ac:dyDescent="0.5">
      <c r="B1979" s="87"/>
      <c r="C1979" s="106"/>
      <c r="D1979" s="91"/>
      <c r="E1979" s="91"/>
      <c r="F1979" s="91"/>
      <c r="G1979" s="91"/>
      <c r="H1979" s="69"/>
      <c r="I1979" s="69"/>
      <c r="CS1979"/>
      <c r="CT1979"/>
      <c r="CU1979"/>
      <c r="CV1979"/>
      <c r="CW1979"/>
      <c r="CX1979"/>
      <c r="CY1979"/>
    </row>
    <row r="1980" spans="2:103" s="60" customFormat="1" x14ac:dyDescent="0.5">
      <c r="B1980" s="87"/>
      <c r="C1980" s="106"/>
      <c r="D1980" s="91"/>
      <c r="E1980" s="91"/>
      <c r="F1980" s="91"/>
      <c r="G1980" s="91"/>
      <c r="H1980" s="69"/>
      <c r="I1980" s="69"/>
      <c r="CS1980"/>
      <c r="CT1980"/>
      <c r="CU1980"/>
      <c r="CV1980"/>
      <c r="CW1980"/>
      <c r="CX1980"/>
      <c r="CY1980"/>
    </row>
    <row r="1981" spans="2:103" s="60" customFormat="1" x14ac:dyDescent="0.5">
      <c r="B1981" s="87"/>
      <c r="C1981" s="106"/>
      <c r="D1981" s="91"/>
      <c r="E1981" s="91"/>
      <c r="F1981" s="91"/>
      <c r="G1981" s="91"/>
      <c r="H1981" s="69"/>
      <c r="I1981" s="69"/>
      <c r="CS1981"/>
      <c r="CT1981"/>
      <c r="CU1981"/>
      <c r="CV1981"/>
      <c r="CW1981"/>
      <c r="CX1981"/>
      <c r="CY1981"/>
    </row>
    <row r="1982" spans="2:103" s="60" customFormat="1" x14ac:dyDescent="0.5">
      <c r="B1982" s="87"/>
      <c r="C1982" s="106"/>
      <c r="D1982" s="91"/>
      <c r="E1982" s="91"/>
      <c r="F1982" s="91"/>
      <c r="G1982" s="91"/>
      <c r="H1982" s="69"/>
      <c r="I1982" s="69"/>
      <c r="CS1982"/>
      <c r="CT1982"/>
      <c r="CU1982"/>
      <c r="CV1982"/>
      <c r="CW1982"/>
      <c r="CX1982"/>
      <c r="CY1982"/>
    </row>
    <row r="1983" spans="2:103" s="60" customFormat="1" x14ac:dyDescent="0.5">
      <c r="B1983" s="87"/>
      <c r="C1983" s="106"/>
      <c r="D1983" s="91"/>
      <c r="E1983" s="91"/>
      <c r="F1983" s="91"/>
      <c r="G1983" s="91"/>
      <c r="H1983" s="69"/>
      <c r="I1983" s="69"/>
      <c r="CS1983"/>
      <c r="CT1983"/>
      <c r="CU1983"/>
      <c r="CV1983"/>
      <c r="CW1983"/>
      <c r="CX1983"/>
      <c r="CY1983"/>
    </row>
    <row r="1984" spans="2:103" s="60" customFormat="1" x14ac:dyDescent="0.5">
      <c r="B1984" s="87"/>
      <c r="C1984" s="106"/>
      <c r="D1984" s="91"/>
      <c r="E1984" s="91"/>
      <c r="F1984" s="91"/>
      <c r="G1984" s="91"/>
      <c r="H1984" s="69"/>
      <c r="I1984" s="69"/>
      <c r="CS1984"/>
      <c r="CT1984"/>
      <c r="CU1984"/>
      <c r="CV1984"/>
      <c r="CW1984"/>
      <c r="CX1984"/>
      <c r="CY1984"/>
    </row>
    <row r="1985" spans="2:103" s="60" customFormat="1" x14ac:dyDescent="0.5">
      <c r="B1985" s="87"/>
      <c r="C1985" s="106"/>
      <c r="D1985" s="91"/>
      <c r="E1985" s="91"/>
      <c r="F1985" s="91"/>
      <c r="G1985" s="91"/>
      <c r="H1985" s="69"/>
      <c r="I1985" s="69"/>
      <c r="CS1985"/>
      <c r="CT1985"/>
      <c r="CU1985"/>
      <c r="CV1985"/>
      <c r="CW1985"/>
      <c r="CX1985"/>
      <c r="CY1985"/>
    </row>
    <row r="1986" spans="2:103" s="60" customFormat="1" x14ac:dyDescent="0.5">
      <c r="B1986" s="87"/>
      <c r="C1986" s="106"/>
      <c r="D1986" s="91"/>
      <c r="E1986" s="91"/>
      <c r="F1986" s="91"/>
      <c r="G1986" s="91"/>
      <c r="H1986" s="69"/>
      <c r="I1986" s="69"/>
      <c r="CS1986"/>
      <c r="CT1986"/>
      <c r="CU1986"/>
      <c r="CV1986"/>
      <c r="CW1986"/>
      <c r="CX1986"/>
      <c r="CY1986"/>
    </row>
    <row r="1987" spans="2:103" s="60" customFormat="1" x14ac:dyDescent="0.5">
      <c r="B1987" s="87"/>
      <c r="C1987" s="106"/>
      <c r="D1987" s="91"/>
      <c r="E1987" s="91"/>
      <c r="F1987" s="91"/>
      <c r="G1987" s="91"/>
      <c r="H1987" s="69"/>
      <c r="I1987" s="69"/>
      <c r="CS1987"/>
      <c r="CT1987"/>
      <c r="CU1987"/>
      <c r="CV1987"/>
      <c r="CW1987"/>
      <c r="CX1987"/>
      <c r="CY1987"/>
    </row>
    <row r="1988" spans="2:103" s="60" customFormat="1" x14ac:dyDescent="0.5">
      <c r="B1988" s="87"/>
      <c r="C1988" s="106"/>
      <c r="D1988" s="91"/>
      <c r="E1988" s="91"/>
      <c r="F1988" s="91"/>
      <c r="G1988" s="91"/>
      <c r="H1988" s="69"/>
      <c r="I1988" s="69"/>
      <c r="CS1988"/>
      <c r="CT1988"/>
      <c r="CU1988"/>
      <c r="CV1988"/>
      <c r="CW1988"/>
      <c r="CX1988"/>
      <c r="CY1988"/>
    </row>
    <row r="1989" spans="2:103" s="60" customFormat="1" x14ac:dyDescent="0.5">
      <c r="B1989" s="87"/>
      <c r="C1989" s="106"/>
      <c r="D1989" s="91"/>
      <c r="E1989" s="91"/>
      <c r="F1989" s="91"/>
      <c r="G1989" s="91"/>
      <c r="H1989" s="69"/>
      <c r="I1989" s="69"/>
      <c r="CS1989"/>
      <c r="CT1989"/>
      <c r="CU1989"/>
      <c r="CV1989"/>
      <c r="CW1989"/>
      <c r="CX1989"/>
      <c r="CY1989"/>
    </row>
    <row r="1990" spans="2:103" s="60" customFormat="1" x14ac:dyDescent="0.5">
      <c r="B1990" s="87"/>
      <c r="C1990" s="106"/>
      <c r="D1990" s="91"/>
      <c r="E1990" s="91"/>
      <c r="F1990" s="91"/>
      <c r="G1990" s="91"/>
      <c r="H1990" s="69"/>
      <c r="I1990" s="69"/>
      <c r="CS1990"/>
      <c r="CT1990"/>
      <c r="CU1990"/>
      <c r="CV1990"/>
      <c r="CW1990"/>
      <c r="CX1990"/>
      <c r="CY1990"/>
    </row>
    <row r="1991" spans="2:103" s="60" customFormat="1" x14ac:dyDescent="0.5">
      <c r="B1991" s="87"/>
      <c r="C1991" s="106"/>
      <c r="D1991" s="91"/>
      <c r="E1991" s="91"/>
      <c r="F1991" s="91"/>
      <c r="G1991" s="91"/>
      <c r="H1991" s="69"/>
      <c r="I1991" s="69"/>
      <c r="CS1991"/>
      <c r="CT1991"/>
      <c r="CU1991"/>
      <c r="CV1991"/>
      <c r="CW1991"/>
      <c r="CX1991"/>
      <c r="CY1991"/>
    </row>
    <row r="1992" spans="2:103" s="60" customFormat="1" x14ac:dyDescent="0.5">
      <c r="B1992" s="87"/>
      <c r="C1992" s="106"/>
      <c r="D1992" s="91"/>
      <c r="E1992" s="91"/>
      <c r="F1992" s="91"/>
      <c r="G1992" s="91"/>
      <c r="H1992" s="69"/>
      <c r="I1992" s="69"/>
      <c r="CS1992"/>
      <c r="CT1992"/>
      <c r="CU1992"/>
      <c r="CV1992"/>
      <c r="CW1992"/>
      <c r="CX1992"/>
      <c r="CY1992"/>
    </row>
    <row r="1993" spans="2:103" s="60" customFormat="1" x14ac:dyDescent="0.5">
      <c r="B1993" s="87"/>
      <c r="C1993" s="106"/>
      <c r="D1993" s="91"/>
      <c r="E1993" s="91"/>
      <c r="F1993" s="91"/>
      <c r="G1993" s="91"/>
      <c r="H1993" s="69"/>
      <c r="I1993" s="69"/>
      <c r="CS1993"/>
      <c r="CT1993"/>
      <c r="CU1993"/>
      <c r="CV1993"/>
      <c r="CW1993"/>
      <c r="CX1993"/>
      <c r="CY1993"/>
    </row>
    <row r="1994" spans="2:103" s="60" customFormat="1" x14ac:dyDescent="0.5">
      <c r="B1994" s="87"/>
      <c r="C1994" s="106"/>
      <c r="D1994" s="91"/>
      <c r="E1994" s="91"/>
      <c r="F1994" s="91"/>
      <c r="G1994" s="91"/>
      <c r="H1994" s="69"/>
      <c r="I1994" s="69"/>
      <c r="CS1994"/>
      <c r="CT1994"/>
      <c r="CU1994"/>
      <c r="CV1994"/>
      <c r="CW1994"/>
      <c r="CX1994"/>
      <c r="CY1994"/>
    </row>
    <row r="1995" spans="2:103" s="60" customFormat="1" x14ac:dyDescent="0.5">
      <c r="B1995" s="87"/>
      <c r="C1995" s="106"/>
      <c r="D1995" s="91"/>
      <c r="E1995" s="91"/>
      <c r="F1995" s="91"/>
      <c r="G1995" s="91"/>
      <c r="H1995" s="69"/>
      <c r="I1995" s="69"/>
      <c r="CS1995"/>
      <c r="CT1995"/>
      <c r="CU1995"/>
      <c r="CV1995"/>
      <c r="CW1995"/>
      <c r="CX1995"/>
      <c r="CY1995"/>
    </row>
    <row r="1996" spans="2:103" s="60" customFormat="1" x14ac:dyDescent="0.5">
      <c r="B1996" s="87"/>
      <c r="C1996" s="106"/>
      <c r="D1996" s="91"/>
      <c r="E1996" s="91"/>
      <c r="F1996" s="91"/>
      <c r="G1996" s="91"/>
      <c r="H1996" s="69"/>
      <c r="I1996" s="69"/>
      <c r="CS1996"/>
      <c r="CT1996"/>
      <c r="CU1996"/>
      <c r="CV1996"/>
      <c r="CW1996"/>
      <c r="CX1996"/>
      <c r="CY1996"/>
    </row>
    <row r="1997" spans="2:103" s="60" customFormat="1" x14ac:dyDescent="0.5">
      <c r="B1997" s="87"/>
      <c r="C1997" s="106"/>
      <c r="D1997" s="91"/>
      <c r="E1997" s="91"/>
      <c r="F1997" s="91"/>
      <c r="G1997" s="91"/>
      <c r="H1997" s="69"/>
      <c r="I1997" s="69"/>
      <c r="CS1997"/>
      <c r="CT1997"/>
      <c r="CU1997"/>
      <c r="CV1997"/>
      <c r="CW1997"/>
      <c r="CX1997"/>
      <c r="CY1997"/>
    </row>
    <row r="1998" spans="2:103" s="60" customFormat="1" x14ac:dyDescent="0.5">
      <c r="B1998" s="87"/>
      <c r="C1998" s="106"/>
      <c r="D1998" s="91"/>
      <c r="E1998" s="91"/>
      <c r="F1998" s="91"/>
      <c r="G1998" s="91"/>
      <c r="H1998" s="69"/>
      <c r="I1998" s="69"/>
      <c r="CS1998"/>
      <c r="CT1998"/>
      <c r="CU1998"/>
      <c r="CV1998"/>
      <c r="CW1998"/>
      <c r="CX1998"/>
      <c r="CY1998"/>
    </row>
    <row r="1999" spans="2:103" s="60" customFormat="1" x14ac:dyDescent="0.5">
      <c r="B1999" s="87"/>
      <c r="C1999" s="106"/>
      <c r="D1999" s="91"/>
      <c r="E1999" s="91"/>
      <c r="F1999" s="91"/>
      <c r="G1999" s="91"/>
      <c r="H1999" s="69"/>
      <c r="I1999" s="69"/>
      <c r="CS1999"/>
      <c r="CT1999"/>
      <c r="CU1999"/>
      <c r="CV1999"/>
      <c r="CW1999"/>
      <c r="CX1999"/>
      <c r="CY1999"/>
    </row>
    <row r="2000" spans="2:103" s="60" customFormat="1" x14ac:dyDescent="0.5">
      <c r="B2000" s="87"/>
      <c r="C2000" s="106"/>
      <c r="D2000" s="91"/>
      <c r="E2000" s="91"/>
      <c r="F2000" s="91"/>
      <c r="G2000" s="91"/>
      <c r="H2000" s="69"/>
      <c r="I2000" s="69"/>
      <c r="CS2000"/>
      <c r="CT2000"/>
      <c r="CU2000"/>
      <c r="CV2000"/>
      <c r="CW2000"/>
      <c r="CX2000"/>
      <c r="CY2000"/>
    </row>
    <row r="2001" spans="2:103" s="60" customFormat="1" x14ac:dyDescent="0.5">
      <c r="B2001" s="87"/>
      <c r="C2001" s="106"/>
      <c r="D2001" s="91"/>
      <c r="E2001" s="91"/>
      <c r="F2001" s="91"/>
      <c r="G2001" s="91"/>
      <c r="H2001" s="69"/>
      <c r="I2001" s="69"/>
      <c r="CS2001"/>
      <c r="CT2001"/>
      <c r="CU2001"/>
      <c r="CV2001"/>
      <c r="CW2001"/>
      <c r="CX2001"/>
      <c r="CY2001"/>
    </row>
    <row r="2002" spans="2:103" s="60" customFormat="1" x14ac:dyDescent="0.5">
      <c r="B2002" s="87"/>
      <c r="C2002" s="106"/>
      <c r="D2002" s="91"/>
      <c r="E2002" s="91"/>
      <c r="F2002" s="91"/>
      <c r="G2002" s="91"/>
      <c r="H2002" s="69"/>
      <c r="I2002" s="69"/>
      <c r="CS2002"/>
      <c r="CT2002"/>
      <c r="CU2002"/>
      <c r="CV2002"/>
      <c r="CW2002"/>
      <c r="CX2002"/>
      <c r="CY2002"/>
    </row>
    <row r="2003" spans="2:103" s="60" customFormat="1" x14ac:dyDescent="0.5">
      <c r="B2003" s="87"/>
      <c r="C2003" s="106"/>
      <c r="D2003" s="91"/>
      <c r="E2003" s="91"/>
      <c r="F2003" s="91"/>
      <c r="G2003" s="91"/>
      <c r="H2003" s="69"/>
      <c r="I2003" s="69"/>
      <c r="CS2003"/>
      <c r="CT2003"/>
      <c r="CU2003"/>
      <c r="CV2003"/>
      <c r="CW2003"/>
      <c r="CX2003"/>
      <c r="CY2003"/>
    </row>
    <row r="2004" spans="2:103" s="60" customFormat="1" x14ac:dyDescent="0.5">
      <c r="B2004" s="87"/>
      <c r="C2004" s="106"/>
      <c r="D2004" s="91"/>
      <c r="E2004" s="91"/>
      <c r="F2004" s="91"/>
      <c r="G2004" s="91"/>
      <c r="H2004" s="69"/>
      <c r="I2004" s="69"/>
      <c r="CS2004"/>
      <c r="CT2004"/>
      <c r="CU2004"/>
      <c r="CV2004"/>
      <c r="CW2004"/>
      <c r="CX2004"/>
      <c r="CY2004"/>
    </row>
    <row r="2005" spans="2:103" s="60" customFormat="1" x14ac:dyDescent="0.5">
      <c r="B2005" s="87"/>
      <c r="C2005" s="106"/>
      <c r="D2005" s="91"/>
      <c r="E2005" s="91"/>
      <c r="F2005" s="91"/>
      <c r="G2005" s="91"/>
      <c r="H2005" s="69"/>
      <c r="I2005" s="69"/>
      <c r="CS2005"/>
      <c r="CT2005"/>
      <c r="CU2005"/>
      <c r="CV2005"/>
      <c r="CW2005"/>
      <c r="CX2005"/>
      <c r="CY2005"/>
    </row>
    <row r="2006" spans="2:103" s="60" customFormat="1" x14ac:dyDescent="0.5">
      <c r="B2006" s="87"/>
      <c r="C2006" s="106"/>
      <c r="D2006" s="91"/>
      <c r="E2006" s="91"/>
      <c r="F2006" s="91"/>
      <c r="G2006" s="91"/>
      <c r="H2006" s="69"/>
      <c r="I2006" s="69"/>
      <c r="CS2006"/>
      <c r="CT2006"/>
      <c r="CU2006"/>
      <c r="CV2006"/>
      <c r="CW2006"/>
      <c r="CX2006"/>
      <c r="CY2006"/>
    </row>
    <row r="2007" spans="2:103" s="60" customFormat="1" x14ac:dyDescent="0.5">
      <c r="B2007" s="87"/>
      <c r="C2007" s="106"/>
      <c r="D2007" s="91"/>
      <c r="E2007" s="91"/>
      <c r="F2007" s="91"/>
      <c r="G2007" s="91"/>
      <c r="H2007" s="69"/>
      <c r="I2007" s="69"/>
      <c r="CS2007"/>
      <c r="CT2007"/>
      <c r="CU2007"/>
      <c r="CV2007"/>
      <c r="CW2007"/>
      <c r="CX2007"/>
      <c r="CY2007"/>
    </row>
    <row r="2008" spans="2:103" s="60" customFormat="1" x14ac:dyDescent="0.5">
      <c r="B2008" s="87"/>
      <c r="C2008" s="106"/>
      <c r="D2008" s="91"/>
      <c r="E2008" s="91"/>
      <c r="F2008" s="91"/>
      <c r="G2008" s="91"/>
      <c r="H2008" s="69"/>
      <c r="I2008" s="69"/>
      <c r="CS2008"/>
      <c r="CT2008"/>
      <c r="CU2008"/>
      <c r="CV2008"/>
      <c r="CW2008"/>
      <c r="CX2008"/>
      <c r="CY2008"/>
    </row>
    <row r="2009" spans="2:103" s="60" customFormat="1" x14ac:dyDescent="0.5">
      <c r="B2009" s="87"/>
      <c r="C2009" s="106"/>
      <c r="D2009" s="91"/>
      <c r="E2009" s="91"/>
      <c r="F2009" s="91"/>
      <c r="G2009" s="91"/>
      <c r="H2009" s="69"/>
      <c r="I2009" s="69"/>
      <c r="CS2009"/>
      <c r="CT2009"/>
      <c r="CU2009"/>
      <c r="CV2009"/>
      <c r="CW2009"/>
      <c r="CX2009"/>
      <c r="CY2009"/>
    </row>
    <row r="2010" spans="2:103" s="60" customFormat="1" x14ac:dyDescent="0.5">
      <c r="B2010" s="87"/>
      <c r="C2010" s="106"/>
      <c r="D2010" s="91"/>
      <c r="E2010" s="91"/>
      <c r="F2010" s="91"/>
      <c r="G2010" s="91"/>
      <c r="H2010" s="69"/>
      <c r="I2010" s="69"/>
      <c r="CS2010"/>
      <c r="CT2010"/>
      <c r="CU2010"/>
      <c r="CV2010"/>
      <c r="CW2010"/>
      <c r="CX2010"/>
      <c r="CY2010"/>
    </row>
    <row r="2011" spans="2:103" s="60" customFormat="1" x14ac:dyDescent="0.5">
      <c r="B2011" s="87"/>
      <c r="C2011" s="106"/>
      <c r="D2011" s="91"/>
      <c r="E2011" s="91"/>
      <c r="F2011" s="91"/>
      <c r="G2011" s="91"/>
      <c r="H2011" s="69"/>
      <c r="I2011" s="69"/>
      <c r="CS2011"/>
      <c r="CT2011"/>
      <c r="CU2011"/>
      <c r="CV2011"/>
      <c r="CW2011"/>
      <c r="CX2011"/>
      <c r="CY2011"/>
    </row>
    <row r="2012" spans="2:103" s="60" customFormat="1" x14ac:dyDescent="0.5">
      <c r="B2012" s="87"/>
      <c r="C2012" s="106"/>
      <c r="D2012" s="91"/>
      <c r="E2012" s="91"/>
      <c r="F2012" s="91"/>
      <c r="G2012" s="91"/>
      <c r="H2012" s="69"/>
      <c r="I2012" s="69"/>
      <c r="CS2012"/>
      <c r="CT2012"/>
      <c r="CU2012"/>
      <c r="CV2012"/>
      <c r="CW2012"/>
      <c r="CX2012"/>
      <c r="CY2012"/>
    </row>
    <row r="2013" spans="2:103" s="60" customFormat="1" x14ac:dyDescent="0.5">
      <c r="B2013" s="87"/>
      <c r="C2013" s="106"/>
      <c r="D2013" s="91"/>
      <c r="E2013" s="91"/>
      <c r="F2013" s="91"/>
      <c r="G2013" s="91"/>
      <c r="H2013" s="69"/>
      <c r="I2013" s="69"/>
      <c r="CS2013"/>
      <c r="CT2013"/>
      <c r="CU2013"/>
      <c r="CV2013"/>
      <c r="CW2013"/>
      <c r="CX2013"/>
      <c r="CY2013"/>
    </row>
    <row r="2014" spans="2:103" s="60" customFormat="1" x14ac:dyDescent="0.5">
      <c r="B2014" s="87"/>
      <c r="C2014" s="106"/>
      <c r="D2014" s="91"/>
      <c r="E2014" s="91"/>
      <c r="F2014" s="91"/>
      <c r="G2014" s="91"/>
      <c r="H2014" s="69"/>
      <c r="I2014" s="69"/>
      <c r="CS2014"/>
      <c r="CT2014"/>
      <c r="CU2014"/>
      <c r="CV2014"/>
      <c r="CW2014"/>
      <c r="CX2014"/>
      <c r="CY2014"/>
    </row>
    <row r="2015" spans="2:103" s="60" customFormat="1" x14ac:dyDescent="0.5">
      <c r="B2015" s="87"/>
      <c r="C2015" s="106"/>
      <c r="D2015" s="91"/>
      <c r="E2015" s="91"/>
      <c r="F2015" s="91"/>
      <c r="G2015" s="91"/>
      <c r="H2015" s="69"/>
      <c r="I2015" s="69"/>
      <c r="CS2015"/>
      <c r="CT2015"/>
      <c r="CU2015"/>
      <c r="CV2015"/>
      <c r="CW2015"/>
      <c r="CX2015"/>
      <c r="CY2015"/>
    </row>
    <row r="2016" spans="2:103" s="60" customFormat="1" x14ac:dyDescent="0.5">
      <c r="B2016" s="87"/>
      <c r="C2016" s="106"/>
      <c r="D2016" s="91"/>
      <c r="E2016" s="91"/>
      <c r="F2016" s="91"/>
      <c r="G2016" s="91"/>
      <c r="H2016" s="69"/>
      <c r="I2016" s="69"/>
      <c r="CS2016"/>
      <c r="CT2016"/>
      <c r="CU2016"/>
      <c r="CV2016"/>
      <c r="CW2016"/>
      <c r="CX2016"/>
      <c r="CY2016"/>
    </row>
    <row r="2017" spans="2:103" s="60" customFormat="1" x14ac:dyDescent="0.5">
      <c r="B2017" s="87"/>
      <c r="C2017" s="106"/>
      <c r="D2017" s="91"/>
      <c r="E2017" s="91"/>
      <c r="F2017" s="91"/>
      <c r="G2017" s="91"/>
      <c r="H2017" s="69"/>
      <c r="I2017" s="69"/>
      <c r="CS2017"/>
      <c r="CT2017"/>
      <c r="CU2017"/>
      <c r="CV2017"/>
      <c r="CW2017"/>
      <c r="CX2017"/>
      <c r="CY2017"/>
    </row>
    <row r="2018" spans="2:103" s="60" customFormat="1" x14ac:dyDescent="0.5">
      <c r="B2018" s="87"/>
      <c r="C2018" s="106"/>
      <c r="D2018" s="91"/>
      <c r="E2018" s="91"/>
      <c r="F2018" s="91"/>
      <c r="G2018" s="91"/>
      <c r="H2018" s="69"/>
      <c r="I2018" s="69"/>
      <c r="CS2018"/>
      <c r="CT2018"/>
      <c r="CU2018"/>
      <c r="CV2018"/>
      <c r="CW2018"/>
      <c r="CX2018"/>
      <c r="CY2018"/>
    </row>
    <row r="2019" spans="2:103" s="60" customFormat="1" x14ac:dyDescent="0.5">
      <c r="B2019" s="87"/>
      <c r="C2019" s="106"/>
      <c r="D2019" s="91"/>
      <c r="E2019" s="91"/>
      <c r="F2019" s="91"/>
      <c r="G2019" s="91"/>
      <c r="H2019" s="69"/>
      <c r="I2019" s="69"/>
      <c r="CS2019"/>
      <c r="CT2019"/>
      <c r="CU2019"/>
      <c r="CV2019"/>
      <c r="CW2019"/>
      <c r="CX2019"/>
      <c r="CY2019"/>
    </row>
    <row r="2020" spans="2:103" s="60" customFormat="1" x14ac:dyDescent="0.5">
      <c r="B2020" s="87"/>
      <c r="C2020" s="106"/>
      <c r="D2020" s="91"/>
      <c r="E2020" s="91"/>
      <c r="F2020" s="91"/>
      <c r="G2020" s="91"/>
      <c r="H2020" s="69"/>
      <c r="I2020" s="69"/>
      <c r="CS2020"/>
      <c r="CT2020"/>
      <c r="CU2020"/>
      <c r="CV2020"/>
      <c r="CW2020"/>
      <c r="CX2020"/>
      <c r="CY2020"/>
    </row>
    <row r="2021" spans="2:103" s="60" customFormat="1" x14ac:dyDescent="0.5">
      <c r="B2021" s="87"/>
      <c r="C2021" s="106"/>
      <c r="D2021" s="91"/>
      <c r="E2021" s="91"/>
      <c r="F2021" s="91"/>
      <c r="G2021" s="91"/>
      <c r="H2021" s="69"/>
      <c r="I2021" s="69"/>
      <c r="CS2021"/>
      <c r="CT2021"/>
      <c r="CU2021"/>
      <c r="CV2021"/>
      <c r="CW2021"/>
      <c r="CX2021"/>
      <c r="CY2021"/>
    </row>
    <row r="2022" spans="2:103" s="60" customFormat="1" x14ac:dyDescent="0.5">
      <c r="B2022" s="87"/>
      <c r="C2022" s="106"/>
      <c r="D2022" s="91"/>
      <c r="E2022" s="91"/>
      <c r="F2022" s="91"/>
      <c r="G2022" s="91"/>
      <c r="H2022" s="69"/>
      <c r="I2022" s="69"/>
      <c r="CS2022"/>
      <c r="CT2022"/>
      <c r="CU2022"/>
      <c r="CV2022"/>
      <c r="CW2022"/>
      <c r="CX2022"/>
      <c r="CY2022"/>
    </row>
    <row r="2023" spans="2:103" s="60" customFormat="1" x14ac:dyDescent="0.5">
      <c r="B2023" s="87"/>
      <c r="C2023" s="106"/>
      <c r="D2023" s="91"/>
      <c r="E2023" s="91"/>
      <c r="F2023" s="91"/>
      <c r="G2023" s="91"/>
      <c r="H2023" s="69"/>
      <c r="I2023" s="69"/>
      <c r="CS2023"/>
      <c r="CT2023"/>
      <c r="CU2023"/>
      <c r="CV2023"/>
      <c r="CW2023"/>
      <c r="CX2023"/>
      <c r="CY2023"/>
    </row>
    <row r="2024" spans="2:103" s="60" customFormat="1" x14ac:dyDescent="0.5">
      <c r="B2024" s="87"/>
      <c r="C2024" s="106"/>
      <c r="D2024" s="91"/>
      <c r="E2024" s="91"/>
      <c r="F2024" s="91"/>
      <c r="G2024" s="91"/>
      <c r="H2024" s="69"/>
      <c r="I2024" s="69"/>
      <c r="CS2024"/>
      <c r="CT2024"/>
      <c r="CU2024"/>
      <c r="CV2024"/>
      <c r="CW2024"/>
      <c r="CX2024"/>
      <c r="CY2024"/>
    </row>
    <row r="2025" spans="2:103" s="60" customFormat="1" x14ac:dyDescent="0.5">
      <c r="B2025" s="87"/>
      <c r="C2025" s="106"/>
      <c r="D2025" s="91"/>
      <c r="E2025" s="91"/>
      <c r="F2025" s="91"/>
      <c r="G2025" s="91"/>
      <c r="H2025" s="69"/>
      <c r="I2025" s="69"/>
      <c r="CS2025"/>
      <c r="CT2025"/>
      <c r="CU2025"/>
      <c r="CV2025"/>
      <c r="CW2025"/>
      <c r="CX2025"/>
      <c r="CY2025"/>
    </row>
    <row r="2026" spans="2:103" s="60" customFormat="1" x14ac:dyDescent="0.5">
      <c r="B2026" s="87"/>
      <c r="C2026" s="106"/>
      <c r="D2026" s="91"/>
      <c r="E2026" s="91"/>
      <c r="F2026" s="91"/>
      <c r="G2026" s="91"/>
      <c r="H2026" s="69"/>
      <c r="I2026" s="69"/>
      <c r="CS2026"/>
      <c r="CT2026"/>
      <c r="CU2026"/>
      <c r="CV2026"/>
      <c r="CW2026"/>
      <c r="CX2026"/>
      <c r="CY2026"/>
    </row>
    <row r="2027" spans="2:103" s="60" customFormat="1" x14ac:dyDescent="0.5">
      <c r="B2027" s="87"/>
      <c r="C2027" s="106"/>
      <c r="D2027" s="91"/>
      <c r="E2027" s="91"/>
      <c r="F2027" s="91"/>
      <c r="G2027" s="91"/>
      <c r="H2027" s="69"/>
      <c r="I2027" s="69"/>
      <c r="CS2027"/>
      <c r="CT2027"/>
      <c r="CU2027"/>
      <c r="CV2027"/>
      <c r="CW2027"/>
      <c r="CX2027"/>
      <c r="CY2027"/>
    </row>
    <row r="2028" spans="2:103" s="60" customFormat="1" x14ac:dyDescent="0.5">
      <c r="B2028" s="87"/>
      <c r="C2028" s="106"/>
      <c r="D2028" s="91"/>
      <c r="E2028" s="91"/>
      <c r="F2028" s="91"/>
      <c r="G2028" s="91"/>
      <c r="H2028" s="69"/>
      <c r="I2028" s="69"/>
      <c r="CS2028"/>
      <c r="CT2028"/>
      <c r="CU2028"/>
      <c r="CV2028"/>
      <c r="CW2028"/>
      <c r="CX2028"/>
      <c r="CY2028"/>
    </row>
    <row r="2029" spans="2:103" s="60" customFormat="1" x14ac:dyDescent="0.5">
      <c r="B2029" s="87"/>
      <c r="C2029" s="106"/>
      <c r="D2029" s="91"/>
      <c r="E2029" s="91"/>
      <c r="F2029" s="91"/>
      <c r="G2029" s="91"/>
      <c r="H2029" s="69"/>
      <c r="I2029" s="69"/>
      <c r="CS2029"/>
      <c r="CT2029"/>
      <c r="CU2029"/>
      <c r="CV2029"/>
      <c r="CW2029"/>
      <c r="CX2029"/>
      <c r="CY2029"/>
    </row>
    <row r="2030" spans="2:103" s="60" customFormat="1" x14ac:dyDescent="0.5">
      <c r="B2030" s="87"/>
      <c r="C2030" s="106"/>
      <c r="D2030" s="91"/>
      <c r="E2030" s="91"/>
      <c r="F2030" s="91"/>
      <c r="G2030" s="91"/>
      <c r="H2030" s="69"/>
      <c r="I2030" s="69"/>
      <c r="CS2030"/>
      <c r="CT2030"/>
      <c r="CU2030"/>
      <c r="CV2030"/>
      <c r="CW2030"/>
      <c r="CX2030"/>
      <c r="CY2030"/>
    </row>
    <row r="2031" spans="2:103" s="60" customFormat="1" x14ac:dyDescent="0.5">
      <c r="B2031" s="87"/>
      <c r="C2031" s="106"/>
      <c r="D2031" s="91"/>
      <c r="E2031" s="91"/>
      <c r="F2031" s="91"/>
      <c r="G2031" s="91"/>
      <c r="H2031" s="69"/>
      <c r="I2031" s="69"/>
      <c r="CS2031"/>
      <c r="CT2031"/>
      <c r="CU2031"/>
      <c r="CV2031"/>
      <c r="CW2031"/>
      <c r="CX2031"/>
      <c r="CY2031"/>
    </row>
    <row r="2032" spans="2:103" s="60" customFormat="1" x14ac:dyDescent="0.5">
      <c r="B2032" s="87"/>
      <c r="C2032" s="106"/>
      <c r="D2032" s="91"/>
      <c r="E2032" s="91"/>
      <c r="F2032" s="91"/>
      <c r="G2032" s="91"/>
      <c r="H2032" s="69"/>
      <c r="I2032" s="69"/>
      <c r="CS2032"/>
      <c r="CT2032"/>
      <c r="CU2032"/>
      <c r="CV2032"/>
      <c r="CW2032"/>
      <c r="CX2032"/>
      <c r="CY2032"/>
    </row>
    <row r="2033" spans="2:103" s="60" customFormat="1" x14ac:dyDescent="0.5">
      <c r="B2033" s="87"/>
      <c r="C2033" s="106"/>
      <c r="D2033" s="91"/>
      <c r="E2033" s="91"/>
      <c r="F2033" s="91"/>
      <c r="G2033" s="91"/>
      <c r="H2033" s="69"/>
      <c r="I2033" s="69"/>
      <c r="CS2033"/>
      <c r="CT2033"/>
      <c r="CU2033"/>
      <c r="CV2033"/>
      <c r="CW2033"/>
      <c r="CX2033"/>
      <c r="CY2033"/>
    </row>
    <row r="2034" spans="2:103" s="60" customFormat="1" x14ac:dyDescent="0.5">
      <c r="B2034" s="87"/>
      <c r="C2034" s="106"/>
      <c r="D2034" s="91"/>
      <c r="E2034" s="91"/>
      <c r="F2034" s="91"/>
      <c r="G2034" s="91"/>
      <c r="H2034" s="69"/>
      <c r="I2034" s="69"/>
      <c r="CS2034"/>
      <c r="CT2034"/>
      <c r="CU2034"/>
      <c r="CV2034"/>
      <c r="CW2034"/>
      <c r="CX2034"/>
      <c r="CY2034"/>
    </row>
    <row r="2035" spans="2:103" s="60" customFormat="1" x14ac:dyDescent="0.5">
      <c r="B2035" s="87"/>
      <c r="C2035" s="106"/>
      <c r="D2035" s="91"/>
      <c r="E2035" s="91"/>
      <c r="F2035" s="91"/>
      <c r="G2035" s="91"/>
      <c r="H2035" s="69"/>
      <c r="I2035" s="69"/>
      <c r="CS2035"/>
      <c r="CT2035"/>
      <c r="CU2035"/>
      <c r="CV2035"/>
      <c r="CW2035"/>
      <c r="CX2035"/>
      <c r="CY2035"/>
    </row>
    <row r="2036" spans="2:103" s="60" customFormat="1" x14ac:dyDescent="0.5">
      <c r="B2036" s="87"/>
      <c r="C2036" s="106"/>
      <c r="D2036" s="91"/>
      <c r="E2036" s="91"/>
      <c r="F2036" s="91"/>
      <c r="G2036" s="91"/>
      <c r="H2036" s="69"/>
      <c r="I2036" s="69"/>
      <c r="CS2036"/>
      <c r="CT2036"/>
      <c r="CU2036"/>
      <c r="CV2036"/>
      <c r="CW2036"/>
      <c r="CX2036"/>
      <c r="CY2036"/>
    </row>
    <row r="2037" spans="2:103" s="60" customFormat="1" x14ac:dyDescent="0.5">
      <c r="B2037" s="87"/>
      <c r="C2037" s="106"/>
      <c r="D2037" s="91"/>
      <c r="E2037" s="91"/>
      <c r="F2037" s="91"/>
      <c r="G2037" s="91"/>
      <c r="H2037" s="69"/>
      <c r="I2037" s="69"/>
      <c r="CS2037"/>
      <c r="CT2037"/>
      <c r="CU2037"/>
      <c r="CV2037"/>
      <c r="CW2037"/>
      <c r="CX2037"/>
      <c r="CY2037"/>
    </row>
    <row r="2038" spans="2:103" s="60" customFormat="1" x14ac:dyDescent="0.5">
      <c r="B2038" s="87"/>
      <c r="C2038" s="106"/>
      <c r="D2038" s="91"/>
      <c r="E2038" s="91"/>
      <c r="F2038" s="91"/>
      <c r="G2038" s="91"/>
      <c r="H2038" s="69"/>
      <c r="I2038" s="69"/>
      <c r="CS2038"/>
      <c r="CT2038"/>
      <c r="CU2038"/>
      <c r="CV2038"/>
      <c r="CW2038"/>
      <c r="CX2038"/>
      <c r="CY2038"/>
    </row>
    <row r="2039" spans="2:103" s="60" customFormat="1" x14ac:dyDescent="0.5">
      <c r="B2039" s="87"/>
      <c r="C2039" s="106"/>
      <c r="D2039" s="91"/>
      <c r="E2039" s="91"/>
      <c r="F2039" s="91"/>
      <c r="G2039" s="91"/>
      <c r="H2039" s="69"/>
      <c r="I2039" s="69"/>
      <c r="CS2039"/>
      <c r="CT2039"/>
      <c r="CU2039"/>
      <c r="CV2039"/>
      <c r="CW2039"/>
      <c r="CX2039"/>
      <c r="CY2039"/>
    </row>
    <row r="2040" spans="2:103" s="60" customFormat="1" x14ac:dyDescent="0.5">
      <c r="B2040" s="87"/>
      <c r="C2040" s="106"/>
      <c r="D2040" s="91"/>
      <c r="E2040" s="91"/>
      <c r="F2040" s="91"/>
      <c r="G2040" s="91"/>
      <c r="H2040" s="69"/>
      <c r="I2040" s="69"/>
      <c r="CS2040"/>
      <c r="CT2040"/>
      <c r="CU2040"/>
      <c r="CV2040"/>
      <c r="CW2040"/>
      <c r="CX2040"/>
      <c r="CY2040"/>
    </row>
    <row r="2041" spans="2:103" s="60" customFormat="1" x14ac:dyDescent="0.5">
      <c r="B2041" s="87"/>
      <c r="C2041" s="106"/>
      <c r="D2041" s="91"/>
      <c r="E2041" s="91"/>
      <c r="F2041" s="91"/>
      <c r="G2041" s="91"/>
      <c r="H2041" s="69"/>
      <c r="I2041" s="69"/>
      <c r="CS2041"/>
      <c r="CT2041"/>
      <c r="CU2041"/>
      <c r="CV2041"/>
      <c r="CW2041"/>
      <c r="CX2041"/>
      <c r="CY2041"/>
    </row>
    <row r="2042" spans="2:103" s="60" customFormat="1" x14ac:dyDescent="0.5">
      <c r="B2042" s="87"/>
      <c r="C2042" s="106"/>
      <c r="D2042" s="91"/>
      <c r="E2042" s="91"/>
      <c r="F2042" s="91"/>
      <c r="G2042" s="91"/>
      <c r="H2042" s="69"/>
      <c r="I2042" s="69"/>
      <c r="CS2042"/>
      <c r="CT2042"/>
      <c r="CU2042"/>
      <c r="CV2042"/>
      <c r="CW2042"/>
      <c r="CX2042"/>
      <c r="CY2042"/>
    </row>
    <row r="2043" spans="2:103" s="60" customFormat="1" x14ac:dyDescent="0.5">
      <c r="B2043" s="87"/>
      <c r="C2043" s="106"/>
      <c r="D2043" s="91"/>
      <c r="E2043" s="91"/>
      <c r="F2043" s="91"/>
      <c r="G2043" s="91"/>
      <c r="H2043" s="69"/>
      <c r="I2043" s="69"/>
      <c r="CS2043"/>
      <c r="CT2043"/>
      <c r="CU2043"/>
      <c r="CV2043"/>
      <c r="CW2043"/>
      <c r="CX2043"/>
      <c r="CY2043"/>
    </row>
    <row r="2044" spans="2:103" s="60" customFormat="1" x14ac:dyDescent="0.5">
      <c r="B2044" s="87"/>
      <c r="C2044" s="106"/>
      <c r="D2044" s="91"/>
      <c r="E2044" s="91"/>
      <c r="F2044" s="91"/>
      <c r="G2044" s="91"/>
      <c r="H2044" s="69"/>
      <c r="I2044" s="69"/>
      <c r="CS2044"/>
      <c r="CT2044"/>
      <c r="CU2044"/>
      <c r="CV2044"/>
      <c r="CW2044"/>
      <c r="CX2044"/>
      <c r="CY2044"/>
    </row>
    <row r="2045" spans="2:103" s="60" customFormat="1" x14ac:dyDescent="0.5">
      <c r="B2045" s="87"/>
      <c r="C2045" s="106"/>
      <c r="D2045" s="91"/>
      <c r="E2045" s="91"/>
      <c r="F2045" s="91"/>
      <c r="G2045" s="91"/>
      <c r="H2045" s="69"/>
      <c r="I2045" s="69"/>
      <c r="CS2045"/>
      <c r="CT2045"/>
      <c r="CU2045"/>
      <c r="CV2045"/>
      <c r="CW2045"/>
      <c r="CX2045"/>
      <c r="CY2045"/>
    </row>
    <row r="2046" spans="2:103" s="60" customFormat="1" x14ac:dyDescent="0.5">
      <c r="B2046" s="87"/>
      <c r="C2046" s="106"/>
      <c r="D2046" s="91"/>
      <c r="E2046" s="91"/>
      <c r="F2046" s="91"/>
      <c r="G2046" s="91"/>
      <c r="H2046" s="69"/>
      <c r="I2046" s="69"/>
      <c r="CS2046"/>
      <c r="CT2046"/>
      <c r="CU2046"/>
      <c r="CV2046"/>
      <c r="CW2046"/>
      <c r="CX2046"/>
      <c r="CY2046"/>
    </row>
    <row r="2047" spans="2:103" s="60" customFormat="1" x14ac:dyDescent="0.5">
      <c r="B2047" s="87"/>
      <c r="C2047" s="106"/>
      <c r="D2047" s="91"/>
      <c r="E2047" s="91"/>
      <c r="F2047" s="91"/>
      <c r="G2047" s="91"/>
      <c r="H2047" s="69"/>
      <c r="I2047" s="69"/>
      <c r="CS2047"/>
      <c r="CT2047"/>
      <c r="CU2047"/>
      <c r="CV2047"/>
      <c r="CW2047"/>
      <c r="CX2047"/>
      <c r="CY2047"/>
    </row>
    <row r="2048" spans="2:103" s="60" customFormat="1" x14ac:dyDescent="0.5">
      <c r="B2048" s="87"/>
      <c r="C2048" s="106"/>
      <c r="D2048" s="91"/>
      <c r="E2048" s="91"/>
      <c r="F2048" s="91"/>
      <c r="G2048" s="91"/>
      <c r="H2048" s="69"/>
      <c r="I2048" s="69"/>
      <c r="CS2048"/>
      <c r="CT2048"/>
      <c r="CU2048"/>
      <c r="CV2048"/>
      <c r="CW2048"/>
      <c r="CX2048"/>
      <c r="CY2048"/>
    </row>
    <row r="2049" spans="2:103" s="60" customFormat="1" x14ac:dyDescent="0.5">
      <c r="B2049" s="87"/>
      <c r="C2049" s="106"/>
      <c r="D2049" s="91"/>
      <c r="E2049" s="91"/>
      <c r="F2049" s="91"/>
      <c r="G2049" s="91"/>
      <c r="H2049" s="69"/>
      <c r="I2049" s="69"/>
      <c r="CS2049"/>
      <c r="CT2049"/>
      <c r="CU2049"/>
      <c r="CV2049"/>
      <c r="CW2049"/>
      <c r="CX2049"/>
      <c r="CY2049"/>
    </row>
    <row r="2050" spans="2:103" s="60" customFormat="1" x14ac:dyDescent="0.5">
      <c r="B2050" s="87"/>
      <c r="C2050" s="106"/>
      <c r="D2050" s="91"/>
      <c r="E2050" s="91"/>
      <c r="F2050" s="91"/>
      <c r="G2050" s="91"/>
      <c r="H2050" s="69"/>
      <c r="I2050" s="69"/>
      <c r="CS2050"/>
      <c r="CT2050"/>
      <c r="CU2050"/>
      <c r="CV2050"/>
      <c r="CW2050"/>
      <c r="CX2050"/>
      <c r="CY2050"/>
    </row>
    <row r="2051" spans="2:103" s="60" customFormat="1" x14ac:dyDescent="0.5">
      <c r="B2051" s="87"/>
      <c r="C2051" s="106"/>
      <c r="D2051" s="91"/>
      <c r="E2051" s="91"/>
      <c r="F2051" s="91"/>
      <c r="G2051" s="91"/>
      <c r="H2051" s="69"/>
      <c r="I2051" s="69"/>
      <c r="CS2051"/>
      <c r="CT2051"/>
      <c r="CU2051"/>
      <c r="CV2051"/>
      <c r="CW2051"/>
      <c r="CX2051"/>
      <c r="CY2051"/>
    </row>
    <row r="2052" spans="2:103" s="60" customFormat="1" x14ac:dyDescent="0.5">
      <c r="B2052" s="87"/>
      <c r="C2052" s="106"/>
      <c r="D2052" s="91"/>
      <c r="E2052" s="91"/>
      <c r="F2052" s="91"/>
      <c r="G2052" s="91"/>
      <c r="H2052" s="69"/>
      <c r="I2052" s="69"/>
      <c r="CS2052"/>
      <c r="CT2052"/>
      <c r="CU2052"/>
      <c r="CV2052"/>
      <c r="CW2052"/>
      <c r="CX2052"/>
      <c r="CY2052"/>
    </row>
    <row r="2053" spans="2:103" s="60" customFormat="1" x14ac:dyDescent="0.5">
      <c r="B2053" s="87"/>
      <c r="C2053" s="106"/>
      <c r="D2053" s="91"/>
      <c r="E2053" s="91"/>
      <c r="F2053" s="91"/>
      <c r="G2053" s="91"/>
      <c r="H2053" s="69"/>
      <c r="I2053" s="69"/>
      <c r="CS2053"/>
      <c r="CT2053"/>
      <c r="CU2053"/>
      <c r="CV2053"/>
      <c r="CW2053"/>
      <c r="CX2053"/>
      <c r="CY2053"/>
    </row>
    <row r="2054" spans="2:103" s="60" customFormat="1" x14ac:dyDescent="0.5">
      <c r="B2054" s="87"/>
      <c r="C2054" s="106"/>
      <c r="D2054" s="91"/>
      <c r="E2054" s="91"/>
      <c r="F2054" s="91"/>
      <c r="G2054" s="91"/>
      <c r="H2054" s="69"/>
      <c r="I2054" s="69"/>
      <c r="CS2054"/>
      <c r="CT2054"/>
      <c r="CU2054"/>
      <c r="CV2054"/>
      <c r="CW2054"/>
      <c r="CX2054"/>
      <c r="CY2054"/>
    </row>
    <row r="2055" spans="2:103" s="60" customFormat="1" x14ac:dyDescent="0.5">
      <c r="B2055" s="87"/>
      <c r="C2055" s="106"/>
      <c r="D2055" s="91"/>
      <c r="E2055" s="91"/>
      <c r="F2055" s="91"/>
      <c r="G2055" s="91"/>
      <c r="H2055" s="69"/>
      <c r="I2055" s="69"/>
      <c r="CS2055"/>
      <c r="CT2055"/>
      <c r="CU2055"/>
      <c r="CV2055"/>
      <c r="CW2055"/>
      <c r="CX2055"/>
      <c r="CY2055"/>
    </row>
    <row r="2056" spans="2:103" s="60" customFormat="1" x14ac:dyDescent="0.5">
      <c r="B2056" s="87"/>
      <c r="C2056" s="106"/>
      <c r="D2056" s="91"/>
      <c r="E2056" s="91"/>
      <c r="F2056" s="91"/>
      <c r="G2056" s="91"/>
      <c r="H2056" s="69"/>
      <c r="I2056" s="69"/>
      <c r="CS2056"/>
      <c r="CT2056"/>
      <c r="CU2056"/>
      <c r="CV2056"/>
      <c r="CW2056"/>
      <c r="CX2056"/>
      <c r="CY2056"/>
    </row>
    <row r="2057" spans="2:103" s="60" customFormat="1" x14ac:dyDescent="0.5">
      <c r="B2057" s="87"/>
      <c r="C2057" s="106"/>
      <c r="D2057" s="91"/>
      <c r="E2057" s="91"/>
      <c r="F2057" s="91"/>
      <c r="G2057" s="91"/>
      <c r="H2057" s="69"/>
      <c r="I2057" s="69"/>
      <c r="CS2057"/>
      <c r="CT2057"/>
      <c r="CU2057"/>
      <c r="CV2057"/>
      <c r="CW2057"/>
      <c r="CX2057"/>
      <c r="CY2057"/>
    </row>
    <row r="2058" spans="2:103" s="60" customFormat="1" x14ac:dyDescent="0.5">
      <c r="B2058" s="87"/>
      <c r="C2058" s="106"/>
      <c r="D2058" s="91"/>
      <c r="E2058" s="91"/>
      <c r="F2058" s="91"/>
      <c r="G2058" s="91"/>
      <c r="H2058" s="69"/>
      <c r="I2058" s="69"/>
      <c r="CS2058"/>
      <c r="CT2058"/>
      <c r="CU2058"/>
      <c r="CV2058"/>
      <c r="CW2058"/>
      <c r="CX2058"/>
      <c r="CY2058"/>
    </row>
    <row r="2059" spans="2:103" s="60" customFormat="1" x14ac:dyDescent="0.5">
      <c r="B2059" s="87"/>
      <c r="C2059" s="106"/>
      <c r="D2059" s="91"/>
      <c r="E2059" s="91"/>
      <c r="F2059" s="91"/>
      <c r="G2059" s="91"/>
      <c r="H2059" s="69"/>
      <c r="I2059" s="69"/>
      <c r="CS2059"/>
      <c r="CT2059"/>
      <c r="CU2059"/>
      <c r="CV2059"/>
      <c r="CW2059"/>
      <c r="CX2059"/>
      <c r="CY2059"/>
    </row>
    <row r="2060" spans="2:103" s="60" customFormat="1" x14ac:dyDescent="0.5">
      <c r="B2060" s="87"/>
      <c r="C2060" s="106"/>
      <c r="D2060" s="91"/>
      <c r="E2060" s="91"/>
      <c r="F2060" s="91"/>
      <c r="G2060" s="91"/>
      <c r="H2060" s="69"/>
      <c r="I2060" s="69"/>
      <c r="CS2060"/>
      <c r="CT2060"/>
      <c r="CU2060"/>
      <c r="CV2060"/>
      <c r="CW2060"/>
      <c r="CX2060"/>
      <c r="CY2060"/>
    </row>
    <row r="2061" spans="2:103" s="60" customFormat="1" x14ac:dyDescent="0.5">
      <c r="B2061" s="87"/>
      <c r="C2061" s="106"/>
      <c r="D2061" s="91"/>
      <c r="E2061" s="91"/>
      <c r="F2061" s="91"/>
      <c r="G2061" s="91"/>
      <c r="H2061" s="69"/>
      <c r="I2061" s="69"/>
      <c r="CS2061"/>
      <c r="CT2061"/>
      <c r="CU2061"/>
      <c r="CV2061"/>
      <c r="CW2061"/>
      <c r="CX2061"/>
      <c r="CY2061"/>
    </row>
    <row r="2062" spans="2:103" s="60" customFormat="1" x14ac:dyDescent="0.5">
      <c r="B2062" s="87"/>
      <c r="C2062" s="106"/>
      <c r="D2062" s="91"/>
      <c r="E2062" s="91"/>
      <c r="F2062" s="91"/>
      <c r="G2062" s="91"/>
      <c r="H2062" s="69"/>
      <c r="I2062" s="69"/>
      <c r="CS2062"/>
      <c r="CT2062"/>
      <c r="CU2062"/>
      <c r="CV2062"/>
      <c r="CW2062"/>
      <c r="CX2062"/>
      <c r="CY2062"/>
    </row>
    <row r="2063" spans="2:103" s="60" customFormat="1" x14ac:dyDescent="0.5">
      <c r="B2063" s="87"/>
      <c r="C2063" s="106"/>
      <c r="D2063" s="91"/>
      <c r="E2063" s="91"/>
      <c r="F2063" s="91"/>
      <c r="G2063" s="91"/>
      <c r="H2063" s="69"/>
      <c r="I2063" s="69"/>
      <c r="CS2063"/>
      <c r="CT2063"/>
      <c r="CU2063"/>
      <c r="CV2063"/>
      <c r="CW2063"/>
      <c r="CX2063"/>
      <c r="CY2063"/>
    </row>
    <row r="2064" spans="2:103" s="60" customFormat="1" x14ac:dyDescent="0.5">
      <c r="B2064" s="87"/>
      <c r="C2064" s="106"/>
      <c r="D2064" s="91"/>
      <c r="E2064" s="91"/>
      <c r="F2064" s="91"/>
      <c r="G2064" s="91"/>
      <c r="H2064" s="69"/>
      <c r="I2064" s="69"/>
      <c r="CS2064"/>
      <c r="CT2064"/>
      <c r="CU2064"/>
      <c r="CV2064"/>
      <c r="CW2064"/>
      <c r="CX2064"/>
      <c r="CY2064"/>
    </row>
    <row r="2065" spans="2:103" s="60" customFormat="1" x14ac:dyDescent="0.5">
      <c r="B2065" s="87"/>
      <c r="C2065" s="106"/>
      <c r="D2065" s="91"/>
      <c r="E2065" s="91"/>
      <c r="F2065" s="91"/>
      <c r="G2065" s="91"/>
      <c r="H2065" s="69"/>
      <c r="I2065" s="69"/>
      <c r="CS2065"/>
      <c r="CT2065"/>
      <c r="CU2065"/>
      <c r="CV2065"/>
      <c r="CW2065"/>
      <c r="CX2065"/>
      <c r="CY2065"/>
    </row>
    <row r="2066" spans="2:103" s="60" customFormat="1" x14ac:dyDescent="0.5">
      <c r="B2066" s="87"/>
      <c r="C2066" s="106"/>
      <c r="D2066" s="91"/>
      <c r="E2066" s="91"/>
      <c r="F2066" s="91"/>
      <c r="G2066" s="91"/>
      <c r="H2066" s="69"/>
      <c r="I2066" s="69"/>
      <c r="CS2066"/>
      <c r="CT2066"/>
      <c r="CU2066"/>
      <c r="CV2066"/>
      <c r="CW2066"/>
      <c r="CX2066"/>
      <c r="CY2066"/>
    </row>
    <row r="2067" spans="2:103" s="60" customFormat="1" x14ac:dyDescent="0.5">
      <c r="B2067" s="87"/>
      <c r="C2067" s="106"/>
      <c r="D2067" s="91"/>
      <c r="E2067" s="91"/>
      <c r="F2067" s="91"/>
      <c r="G2067" s="91"/>
      <c r="H2067" s="69"/>
      <c r="I2067" s="69"/>
      <c r="CS2067"/>
      <c r="CT2067"/>
      <c r="CU2067"/>
      <c r="CV2067"/>
      <c r="CW2067"/>
      <c r="CX2067"/>
      <c r="CY2067"/>
    </row>
    <row r="2068" spans="2:103" s="60" customFormat="1" x14ac:dyDescent="0.5">
      <c r="B2068" s="87"/>
      <c r="C2068" s="106"/>
      <c r="D2068" s="91"/>
      <c r="E2068" s="91"/>
      <c r="F2068" s="91"/>
      <c r="G2068" s="91"/>
      <c r="H2068" s="69"/>
      <c r="I2068" s="69"/>
      <c r="CS2068"/>
      <c r="CT2068"/>
      <c r="CU2068"/>
      <c r="CV2068"/>
      <c r="CW2068"/>
      <c r="CX2068"/>
      <c r="CY2068"/>
    </row>
    <row r="2069" spans="2:103" s="60" customFormat="1" x14ac:dyDescent="0.5">
      <c r="B2069" s="87"/>
      <c r="C2069" s="106"/>
      <c r="D2069" s="91"/>
      <c r="E2069" s="91"/>
      <c r="F2069" s="91"/>
      <c r="G2069" s="91"/>
      <c r="H2069" s="69"/>
      <c r="I2069" s="69"/>
      <c r="CS2069"/>
      <c r="CT2069"/>
      <c r="CU2069"/>
      <c r="CV2069"/>
      <c r="CW2069"/>
      <c r="CX2069"/>
      <c r="CY2069"/>
    </row>
    <row r="2070" spans="2:103" s="60" customFormat="1" x14ac:dyDescent="0.5">
      <c r="B2070" s="87"/>
      <c r="C2070" s="106"/>
      <c r="D2070" s="91"/>
      <c r="E2070" s="91"/>
      <c r="F2070" s="91"/>
      <c r="G2070" s="91"/>
      <c r="H2070" s="69"/>
      <c r="I2070" s="69"/>
      <c r="CS2070"/>
      <c r="CT2070"/>
      <c r="CU2070"/>
      <c r="CV2070"/>
      <c r="CW2070"/>
      <c r="CX2070"/>
      <c r="CY2070"/>
    </row>
    <row r="2071" spans="2:103" s="60" customFormat="1" x14ac:dyDescent="0.5">
      <c r="B2071" s="87"/>
      <c r="C2071" s="106"/>
      <c r="D2071" s="91"/>
      <c r="E2071" s="91"/>
      <c r="F2071" s="91"/>
      <c r="G2071" s="91"/>
      <c r="H2071" s="69"/>
      <c r="I2071" s="69"/>
      <c r="CS2071"/>
      <c r="CT2071"/>
      <c r="CU2071"/>
      <c r="CV2071"/>
      <c r="CW2071"/>
      <c r="CX2071"/>
      <c r="CY2071"/>
    </row>
    <row r="2072" spans="2:103" s="60" customFormat="1" x14ac:dyDescent="0.5">
      <c r="B2072" s="87"/>
      <c r="C2072" s="106"/>
      <c r="D2072" s="91"/>
      <c r="E2072" s="91"/>
      <c r="F2072" s="91"/>
      <c r="G2072" s="91"/>
      <c r="H2072" s="69"/>
      <c r="I2072" s="69"/>
      <c r="CS2072"/>
      <c r="CT2072"/>
      <c r="CU2072"/>
      <c r="CV2072"/>
      <c r="CW2072"/>
      <c r="CX2072"/>
      <c r="CY2072"/>
    </row>
    <row r="2073" spans="2:103" s="60" customFormat="1" x14ac:dyDescent="0.5">
      <c r="B2073" s="87"/>
      <c r="C2073" s="106"/>
      <c r="D2073" s="91"/>
      <c r="E2073" s="91"/>
      <c r="F2073" s="91"/>
      <c r="G2073" s="91"/>
      <c r="H2073" s="69"/>
      <c r="I2073" s="69"/>
      <c r="CS2073"/>
      <c r="CT2073"/>
      <c r="CU2073"/>
      <c r="CV2073"/>
      <c r="CW2073"/>
      <c r="CX2073"/>
      <c r="CY2073"/>
    </row>
    <row r="2074" spans="2:103" s="60" customFormat="1" x14ac:dyDescent="0.5">
      <c r="B2074" s="87"/>
      <c r="C2074" s="106"/>
      <c r="D2074" s="91"/>
      <c r="E2074" s="91"/>
      <c r="F2074" s="91"/>
      <c r="G2074" s="91"/>
      <c r="H2074" s="69"/>
      <c r="I2074" s="69"/>
      <c r="CS2074"/>
      <c r="CT2074"/>
      <c r="CU2074"/>
      <c r="CV2074"/>
      <c r="CW2074"/>
      <c r="CX2074"/>
      <c r="CY2074"/>
    </row>
    <row r="2075" spans="2:103" s="60" customFormat="1" x14ac:dyDescent="0.5">
      <c r="B2075" s="87"/>
      <c r="C2075" s="106"/>
      <c r="D2075" s="91"/>
      <c r="E2075" s="91"/>
      <c r="F2075" s="91"/>
      <c r="G2075" s="91"/>
      <c r="H2075" s="69"/>
      <c r="I2075" s="69"/>
      <c r="CS2075"/>
      <c r="CT2075"/>
      <c r="CU2075"/>
      <c r="CV2075"/>
      <c r="CW2075"/>
      <c r="CX2075"/>
      <c r="CY2075"/>
    </row>
    <row r="2076" spans="2:103" s="60" customFormat="1" x14ac:dyDescent="0.5">
      <c r="B2076" s="87"/>
      <c r="C2076" s="106"/>
      <c r="D2076" s="91"/>
      <c r="E2076" s="91"/>
      <c r="F2076" s="91"/>
      <c r="G2076" s="91"/>
      <c r="H2076" s="69"/>
      <c r="I2076" s="69"/>
      <c r="CS2076"/>
      <c r="CT2076"/>
      <c r="CU2076"/>
      <c r="CV2076"/>
      <c r="CW2076"/>
      <c r="CX2076"/>
      <c r="CY2076"/>
    </row>
    <row r="2077" spans="2:103" s="60" customFormat="1" x14ac:dyDescent="0.5">
      <c r="B2077" s="87"/>
      <c r="C2077" s="106"/>
      <c r="D2077" s="91"/>
      <c r="E2077" s="91"/>
      <c r="F2077" s="91"/>
      <c r="G2077" s="91"/>
      <c r="H2077" s="69"/>
      <c r="I2077" s="69"/>
      <c r="CS2077"/>
      <c r="CT2077"/>
      <c r="CU2077"/>
      <c r="CV2077"/>
      <c r="CW2077"/>
      <c r="CX2077"/>
      <c r="CY2077"/>
    </row>
    <row r="2078" spans="2:103" s="60" customFormat="1" x14ac:dyDescent="0.5">
      <c r="B2078" s="87"/>
      <c r="C2078" s="106"/>
      <c r="D2078" s="91"/>
      <c r="E2078" s="91"/>
      <c r="F2078" s="91"/>
      <c r="G2078" s="91"/>
      <c r="H2078" s="69"/>
      <c r="I2078" s="69"/>
      <c r="CS2078"/>
      <c r="CT2078"/>
      <c r="CU2078"/>
      <c r="CV2078"/>
      <c r="CW2078"/>
      <c r="CX2078"/>
      <c r="CY2078"/>
    </row>
    <row r="2079" spans="2:103" s="60" customFormat="1" x14ac:dyDescent="0.5">
      <c r="B2079" s="87"/>
      <c r="C2079" s="106"/>
      <c r="D2079" s="91"/>
      <c r="E2079" s="91"/>
      <c r="F2079" s="91"/>
      <c r="G2079" s="91"/>
      <c r="H2079" s="69"/>
      <c r="I2079" s="69"/>
      <c r="CS2079"/>
      <c r="CT2079"/>
      <c r="CU2079"/>
      <c r="CV2079"/>
      <c r="CW2079"/>
      <c r="CX2079"/>
      <c r="CY2079"/>
    </row>
    <row r="2080" spans="2:103" s="60" customFormat="1" x14ac:dyDescent="0.5">
      <c r="B2080" s="87"/>
      <c r="C2080" s="106"/>
      <c r="D2080" s="91"/>
      <c r="E2080" s="91"/>
      <c r="F2080" s="91"/>
      <c r="G2080" s="91"/>
      <c r="H2080" s="69"/>
      <c r="I2080" s="69"/>
      <c r="CS2080"/>
      <c r="CT2080"/>
      <c r="CU2080"/>
      <c r="CV2080"/>
      <c r="CW2080"/>
      <c r="CX2080"/>
      <c r="CY2080"/>
    </row>
    <row r="2081" spans="2:103" s="60" customFormat="1" x14ac:dyDescent="0.5">
      <c r="B2081" s="87"/>
      <c r="C2081" s="106"/>
      <c r="D2081" s="91"/>
      <c r="E2081" s="91"/>
      <c r="F2081" s="91"/>
      <c r="G2081" s="91"/>
      <c r="H2081" s="69"/>
      <c r="I2081" s="69"/>
      <c r="CS2081"/>
      <c r="CT2081"/>
      <c r="CU2081"/>
      <c r="CV2081"/>
      <c r="CW2081"/>
      <c r="CX2081"/>
      <c r="CY2081"/>
    </row>
    <row r="2082" spans="2:103" s="60" customFormat="1" x14ac:dyDescent="0.5">
      <c r="B2082" s="87"/>
      <c r="C2082" s="106"/>
      <c r="D2082" s="91"/>
      <c r="E2082" s="91"/>
      <c r="F2082" s="91"/>
      <c r="G2082" s="91"/>
      <c r="H2082" s="69"/>
      <c r="I2082" s="69"/>
      <c r="CS2082"/>
      <c r="CT2082"/>
      <c r="CU2082"/>
      <c r="CV2082"/>
      <c r="CW2082"/>
      <c r="CX2082"/>
      <c r="CY2082"/>
    </row>
    <row r="2083" spans="2:103" s="60" customFormat="1" x14ac:dyDescent="0.5">
      <c r="B2083" s="87"/>
      <c r="C2083" s="106"/>
      <c r="D2083" s="91"/>
      <c r="E2083" s="91"/>
      <c r="F2083" s="91"/>
      <c r="G2083" s="91"/>
      <c r="H2083" s="69"/>
      <c r="I2083" s="69"/>
      <c r="CS2083"/>
      <c r="CT2083"/>
      <c r="CU2083"/>
      <c r="CV2083"/>
      <c r="CW2083"/>
      <c r="CX2083"/>
      <c r="CY2083"/>
    </row>
    <row r="2084" spans="2:103" s="60" customFormat="1" x14ac:dyDescent="0.5">
      <c r="B2084" s="87"/>
      <c r="C2084" s="106"/>
      <c r="D2084" s="91"/>
      <c r="E2084" s="91"/>
      <c r="F2084" s="91"/>
      <c r="G2084" s="91"/>
      <c r="H2084" s="69"/>
      <c r="I2084" s="69"/>
      <c r="CS2084"/>
      <c r="CT2084"/>
      <c r="CU2084"/>
      <c r="CV2084"/>
      <c r="CW2084"/>
      <c r="CX2084"/>
      <c r="CY2084"/>
    </row>
    <row r="2085" spans="2:103" s="60" customFormat="1" x14ac:dyDescent="0.5">
      <c r="B2085" s="87"/>
      <c r="C2085" s="106"/>
      <c r="D2085" s="91"/>
      <c r="E2085" s="91"/>
      <c r="F2085" s="91"/>
      <c r="G2085" s="91"/>
      <c r="H2085" s="69"/>
      <c r="I2085" s="69"/>
      <c r="CS2085"/>
      <c r="CT2085"/>
      <c r="CU2085"/>
      <c r="CV2085"/>
      <c r="CW2085"/>
      <c r="CX2085"/>
      <c r="CY2085"/>
    </row>
    <row r="2086" spans="2:103" s="60" customFormat="1" x14ac:dyDescent="0.5">
      <c r="B2086" s="87"/>
      <c r="C2086" s="106"/>
      <c r="D2086" s="91"/>
      <c r="E2086" s="91"/>
      <c r="F2086" s="91"/>
      <c r="G2086" s="91"/>
      <c r="H2086" s="69"/>
      <c r="I2086" s="69"/>
      <c r="CS2086"/>
      <c r="CT2086"/>
      <c r="CU2086"/>
      <c r="CV2086"/>
      <c r="CW2086"/>
      <c r="CX2086"/>
      <c r="CY2086"/>
    </row>
    <row r="2087" spans="2:103" s="60" customFormat="1" x14ac:dyDescent="0.5">
      <c r="B2087" s="87"/>
      <c r="C2087" s="106"/>
      <c r="D2087" s="91"/>
      <c r="E2087" s="91"/>
      <c r="F2087" s="91"/>
      <c r="G2087" s="91"/>
      <c r="H2087" s="69"/>
      <c r="I2087" s="69"/>
      <c r="CS2087"/>
      <c r="CT2087"/>
      <c r="CU2087"/>
      <c r="CV2087"/>
      <c r="CW2087"/>
      <c r="CX2087"/>
      <c r="CY2087"/>
    </row>
    <row r="2088" spans="2:103" s="60" customFormat="1" x14ac:dyDescent="0.5">
      <c r="B2088" s="87"/>
      <c r="C2088" s="106"/>
      <c r="D2088" s="91"/>
      <c r="E2088" s="91"/>
      <c r="F2088" s="91"/>
      <c r="G2088" s="91"/>
      <c r="H2088" s="69"/>
      <c r="I2088" s="69"/>
      <c r="CS2088"/>
      <c r="CT2088"/>
      <c r="CU2088"/>
      <c r="CV2088"/>
      <c r="CW2088"/>
      <c r="CX2088"/>
      <c r="CY2088"/>
    </row>
    <row r="2089" spans="2:103" s="60" customFormat="1" x14ac:dyDescent="0.5">
      <c r="B2089" s="87"/>
      <c r="C2089" s="106"/>
      <c r="D2089" s="91"/>
      <c r="E2089" s="91"/>
      <c r="F2089" s="91"/>
      <c r="G2089" s="91"/>
      <c r="H2089" s="69"/>
      <c r="I2089" s="69"/>
      <c r="CS2089"/>
      <c r="CT2089"/>
      <c r="CU2089"/>
      <c r="CV2089"/>
      <c r="CW2089"/>
      <c r="CX2089"/>
      <c r="CY2089"/>
    </row>
    <row r="2090" spans="2:103" s="60" customFormat="1" x14ac:dyDescent="0.5">
      <c r="B2090" s="87"/>
      <c r="C2090" s="106"/>
      <c r="D2090" s="91"/>
      <c r="E2090" s="91"/>
      <c r="F2090" s="91"/>
      <c r="G2090" s="91"/>
      <c r="H2090" s="69"/>
      <c r="I2090" s="69"/>
      <c r="CS2090"/>
      <c r="CT2090"/>
      <c r="CU2090"/>
      <c r="CV2090"/>
      <c r="CW2090"/>
      <c r="CX2090"/>
      <c r="CY2090"/>
    </row>
    <row r="2091" spans="2:103" s="60" customFormat="1" x14ac:dyDescent="0.5">
      <c r="B2091" s="87"/>
      <c r="C2091" s="106"/>
      <c r="D2091" s="91"/>
      <c r="E2091" s="91"/>
      <c r="F2091" s="91"/>
      <c r="G2091" s="91"/>
      <c r="H2091" s="69"/>
      <c r="I2091" s="69"/>
      <c r="CS2091"/>
      <c r="CT2091"/>
      <c r="CU2091"/>
      <c r="CV2091"/>
      <c r="CW2091"/>
      <c r="CX2091"/>
      <c r="CY2091"/>
    </row>
    <row r="2092" spans="2:103" s="60" customFormat="1" x14ac:dyDescent="0.5">
      <c r="B2092" s="87"/>
      <c r="C2092" s="106"/>
      <c r="D2092" s="91"/>
      <c r="E2092" s="91"/>
      <c r="F2092" s="91"/>
      <c r="G2092" s="91"/>
      <c r="H2092" s="69"/>
      <c r="I2092" s="69"/>
      <c r="CS2092"/>
      <c r="CT2092"/>
      <c r="CU2092"/>
      <c r="CV2092"/>
      <c r="CW2092"/>
      <c r="CX2092"/>
      <c r="CY2092"/>
    </row>
    <row r="2093" spans="2:103" s="60" customFormat="1" x14ac:dyDescent="0.5">
      <c r="B2093" s="87"/>
      <c r="C2093" s="106"/>
      <c r="D2093" s="91"/>
      <c r="E2093" s="91"/>
      <c r="F2093" s="91"/>
      <c r="G2093" s="91"/>
      <c r="H2093" s="69"/>
      <c r="I2093" s="69"/>
      <c r="CS2093"/>
      <c r="CT2093"/>
      <c r="CU2093"/>
      <c r="CV2093"/>
      <c r="CW2093"/>
      <c r="CX2093"/>
      <c r="CY2093"/>
    </row>
    <row r="2094" spans="2:103" s="60" customFormat="1" x14ac:dyDescent="0.5">
      <c r="B2094" s="87"/>
      <c r="C2094" s="106"/>
      <c r="D2094" s="91"/>
      <c r="E2094" s="91"/>
      <c r="F2094" s="91"/>
      <c r="G2094" s="91"/>
      <c r="H2094" s="69"/>
      <c r="I2094" s="69"/>
      <c r="CS2094"/>
      <c r="CT2094"/>
      <c r="CU2094"/>
      <c r="CV2094"/>
      <c r="CW2094"/>
      <c r="CX2094"/>
      <c r="CY2094"/>
    </row>
    <row r="2095" spans="2:103" s="60" customFormat="1" x14ac:dyDescent="0.5">
      <c r="B2095" s="87"/>
      <c r="C2095" s="106"/>
      <c r="D2095" s="91"/>
      <c r="E2095" s="91"/>
      <c r="F2095" s="91"/>
      <c r="G2095" s="91"/>
      <c r="H2095" s="69"/>
      <c r="I2095" s="69"/>
      <c r="CS2095"/>
      <c r="CT2095"/>
      <c r="CU2095"/>
      <c r="CV2095"/>
      <c r="CW2095"/>
      <c r="CX2095"/>
      <c r="CY2095"/>
    </row>
    <row r="2096" spans="2:103" s="60" customFormat="1" x14ac:dyDescent="0.5">
      <c r="B2096" s="87"/>
      <c r="C2096" s="106"/>
      <c r="D2096" s="91"/>
      <c r="E2096" s="91"/>
      <c r="F2096" s="91"/>
      <c r="G2096" s="91"/>
      <c r="H2096" s="69"/>
      <c r="I2096" s="69"/>
      <c r="CS2096"/>
      <c r="CT2096"/>
      <c r="CU2096"/>
      <c r="CV2096"/>
      <c r="CW2096"/>
      <c r="CX2096"/>
      <c r="CY2096"/>
    </row>
    <row r="2097" spans="2:103" s="60" customFormat="1" x14ac:dyDescent="0.5">
      <c r="B2097" s="87"/>
      <c r="C2097" s="106"/>
      <c r="D2097" s="91"/>
      <c r="E2097" s="91"/>
      <c r="F2097" s="91"/>
      <c r="G2097" s="91"/>
      <c r="H2097" s="69"/>
      <c r="I2097" s="69"/>
      <c r="CS2097"/>
      <c r="CT2097"/>
      <c r="CU2097"/>
      <c r="CV2097"/>
      <c r="CW2097"/>
      <c r="CX2097"/>
      <c r="CY2097"/>
    </row>
    <row r="2098" spans="2:103" s="60" customFormat="1" x14ac:dyDescent="0.5">
      <c r="B2098" s="87"/>
      <c r="C2098" s="106"/>
      <c r="D2098" s="91"/>
      <c r="E2098" s="91"/>
      <c r="F2098" s="91"/>
      <c r="G2098" s="91"/>
      <c r="H2098" s="69"/>
      <c r="I2098" s="69"/>
      <c r="CS2098"/>
      <c r="CT2098"/>
      <c r="CU2098"/>
      <c r="CV2098"/>
      <c r="CW2098"/>
      <c r="CX2098"/>
      <c r="CY2098"/>
    </row>
    <row r="2099" spans="2:103" s="60" customFormat="1" x14ac:dyDescent="0.5">
      <c r="B2099" s="87"/>
      <c r="C2099" s="106"/>
      <c r="D2099" s="91"/>
      <c r="E2099" s="91"/>
      <c r="F2099" s="91"/>
      <c r="G2099" s="91"/>
      <c r="H2099" s="69"/>
      <c r="I2099" s="69"/>
      <c r="CS2099"/>
      <c r="CT2099"/>
      <c r="CU2099"/>
      <c r="CV2099"/>
      <c r="CW2099"/>
      <c r="CX2099"/>
      <c r="CY2099"/>
    </row>
    <row r="2100" spans="2:103" s="60" customFormat="1" x14ac:dyDescent="0.5">
      <c r="B2100" s="87"/>
      <c r="C2100" s="106"/>
      <c r="D2100" s="91"/>
      <c r="E2100" s="91"/>
      <c r="F2100" s="91"/>
      <c r="G2100" s="91"/>
      <c r="H2100" s="69"/>
      <c r="I2100" s="69"/>
      <c r="CS2100"/>
      <c r="CT2100"/>
      <c r="CU2100"/>
      <c r="CV2100"/>
      <c r="CW2100"/>
      <c r="CX2100"/>
      <c r="CY2100"/>
    </row>
    <row r="2101" spans="2:103" s="60" customFormat="1" x14ac:dyDescent="0.5">
      <c r="B2101" s="87"/>
      <c r="C2101" s="106"/>
      <c r="D2101" s="91"/>
      <c r="E2101" s="91"/>
      <c r="F2101" s="91"/>
      <c r="G2101" s="91"/>
      <c r="H2101" s="69"/>
      <c r="I2101" s="69"/>
      <c r="CS2101"/>
      <c r="CT2101"/>
      <c r="CU2101"/>
      <c r="CV2101"/>
      <c r="CW2101"/>
      <c r="CX2101"/>
      <c r="CY2101"/>
    </row>
    <row r="2102" spans="2:103" s="60" customFormat="1" x14ac:dyDescent="0.5">
      <c r="B2102" s="87"/>
      <c r="C2102" s="106"/>
      <c r="D2102" s="91"/>
      <c r="E2102" s="91"/>
      <c r="F2102" s="91"/>
      <c r="G2102" s="91"/>
      <c r="H2102" s="69"/>
      <c r="I2102" s="69"/>
      <c r="CS2102"/>
      <c r="CT2102"/>
      <c r="CU2102"/>
      <c r="CV2102"/>
      <c r="CW2102"/>
      <c r="CX2102"/>
      <c r="CY2102"/>
    </row>
    <row r="2103" spans="2:103" s="60" customFormat="1" x14ac:dyDescent="0.5">
      <c r="B2103" s="87"/>
      <c r="C2103" s="106"/>
      <c r="D2103" s="91"/>
      <c r="E2103" s="91"/>
      <c r="F2103" s="91"/>
      <c r="G2103" s="91"/>
      <c r="H2103" s="69"/>
      <c r="I2103" s="69"/>
      <c r="CS2103"/>
      <c r="CT2103"/>
      <c r="CU2103"/>
      <c r="CV2103"/>
      <c r="CW2103"/>
      <c r="CX2103"/>
      <c r="CY2103"/>
    </row>
    <row r="2104" spans="2:103" s="60" customFormat="1" x14ac:dyDescent="0.5">
      <c r="B2104" s="87"/>
      <c r="C2104" s="106"/>
      <c r="D2104" s="91"/>
      <c r="E2104" s="91"/>
      <c r="F2104" s="91"/>
      <c r="G2104" s="91"/>
      <c r="H2104" s="69"/>
      <c r="I2104" s="69"/>
      <c r="CS2104"/>
      <c r="CT2104"/>
      <c r="CU2104"/>
      <c r="CV2104"/>
      <c r="CW2104"/>
      <c r="CX2104"/>
      <c r="CY2104"/>
    </row>
    <row r="2105" spans="2:103" s="60" customFormat="1" x14ac:dyDescent="0.5">
      <c r="B2105" s="87"/>
      <c r="C2105" s="106"/>
      <c r="D2105" s="91"/>
      <c r="E2105" s="91"/>
      <c r="F2105" s="91"/>
      <c r="G2105" s="91"/>
      <c r="H2105" s="69"/>
      <c r="I2105" s="69"/>
      <c r="CS2105"/>
      <c r="CT2105"/>
      <c r="CU2105"/>
      <c r="CV2105"/>
      <c r="CW2105"/>
      <c r="CX2105"/>
      <c r="CY2105"/>
    </row>
    <row r="2106" spans="2:103" s="60" customFormat="1" x14ac:dyDescent="0.5">
      <c r="B2106" s="87"/>
      <c r="C2106" s="106"/>
      <c r="D2106" s="91"/>
      <c r="E2106" s="91"/>
      <c r="F2106" s="91"/>
      <c r="G2106" s="91"/>
      <c r="H2106" s="69"/>
      <c r="I2106" s="69"/>
      <c r="CS2106"/>
      <c r="CT2106"/>
      <c r="CU2106"/>
      <c r="CV2106"/>
      <c r="CW2106"/>
      <c r="CX2106"/>
      <c r="CY2106"/>
    </row>
    <row r="2107" spans="2:103" s="60" customFormat="1" x14ac:dyDescent="0.5">
      <c r="B2107" s="87"/>
      <c r="C2107" s="106"/>
      <c r="D2107" s="91"/>
      <c r="E2107" s="91"/>
      <c r="F2107" s="91"/>
      <c r="G2107" s="91"/>
      <c r="H2107" s="69"/>
      <c r="I2107" s="69"/>
      <c r="CS2107"/>
      <c r="CT2107"/>
      <c r="CU2107"/>
      <c r="CV2107"/>
      <c r="CW2107"/>
      <c r="CX2107"/>
      <c r="CY2107"/>
    </row>
    <row r="2108" spans="2:103" s="60" customFormat="1" x14ac:dyDescent="0.5">
      <c r="B2108" s="87"/>
      <c r="C2108" s="106"/>
      <c r="D2108" s="91"/>
      <c r="E2108" s="91"/>
      <c r="F2108" s="91"/>
      <c r="G2108" s="91"/>
      <c r="H2108" s="69"/>
      <c r="I2108" s="69"/>
      <c r="CS2108"/>
      <c r="CT2108"/>
      <c r="CU2108"/>
      <c r="CV2108"/>
      <c r="CW2108"/>
      <c r="CX2108"/>
      <c r="CY2108"/>
    </row>
    <row r="2109" spans="2:103" s="60" customFormat="1" x14ac:dyDescent="0.5">
      <c r="B2109" s="87"/>
      <c r="C2109" s="106"/>
      <c r="D2109" s="91"/>
      <c r="E2109" s="91"/>
      <c r="F2109" s="91"/>
      <c r="G2109" s="91"/>
      <c r="H2109" s="69"/>
      <c r="I2109" s="69"/>
      <c r="CS2109"/>
      <c r="CT2109"/>
      <c r="CU2109"/>
      <c r="CV2109"/>
      <c r="CW2109"/>
      <c r="CX2109"/>
      <c r="CY2109"/>
    </row>
    <row r="2110" spans="2:103" s="60" customFormat="1" x14ac:dyDescent="0.5">
      <c r="B2110" s="87"/>
      <c r="C2110" s="106"/>
      <c r="D2110" s="91"/>
      <c r="E2110" s="91"/>
      <c r="F2110" s="91"/>
      <c r="G2110" s="91"/>
      <c r="H2110" s="69"/>
      <c r="I2110" s="69"/>
      <c r="CS2110"/>
      <c r="CT2110"/>
      <c r="CU2110"/>
      <c r="CV2110"/>
      <c r="CW2110"/>
      <c r="CX2110"/>
      <c r="CY2110"/>
    </row>
    <row r="2111" spans="2:103" s="60" customFormat="1" x14ac:dyDescent="0.5">
      <c r="B2111" s="87"/>
      <c r="C2111" s="106"/>
      <c r="D2111" s="91"/>
      <c r="E2111" s="91"/>
      <c r="F2111" s="91"/>
      <c r="G2111" s="91"/>
      <c r="H2111" s="69"/>
      <c r="I2111" s="69"/>
      <c r="CS2111"/>
      <c r="CT2111"/>
      <c r="CU2111"/>
      <c r="CV2111"/>
      <c r="CW2111"/>
      <c r="CX2111"/>
      <c r="CY2111"/>
    </row>
    <row r="2112" spans="2:103" s="60" customFormat="1" x14ac:dyDescent="0.5">
      <c r="B2112" s="87"/>
      <c r="C2112" s="106"/>
      <c r="D2112" s="91"/>
      <c r="E2112" s="91"/>
      <c r="F2112" s="91"/>
      <c r="G2112" s="91"/>
      <c r="H2112" s="69"/>
      <c r="I2112" s="69"/>
      <c r="CS2112"/>
      <c r="CT2112"/>
      <c r="CU2112"/>
      <c r="CV2112"/>
      <c r="CW2112"/>
      <c r="CX2112"/>
      <c r="CY2112"/>
    </row>
    <row r="2113" spans="2:103" s="60" customFormat="1" x14ac:dyDescent="0.5">
      <c r="B2113" s="87"/>
      <c r="C2113" s="106"/>
      <c r="D2113" s="91"/>
      <c r="E2113" s="91"/>
      <c r="F2113" s="91"/>
      <c r="G2113" s="91"/>
      <c r="H2113" s="69"/>
      <c r="I2113" s="69"/>
      <c r="CS2113"/>
      <c r="CT2113"/>
      <c r="CU2113"/>
      <c r="CV2113"/>
      <c r="CW2113"/>
      <c r="CX2113"/>
      <c r="CY2113"/>
    </row>
    <row r="2114" spans="2:103" s="60" customFormat="1" x14ac:dyDescent="0.5">
      <c r="B2114" s="87"/>
      <c r="C2114" s="106"/>
      <c r="D2114" s="91"/>
      <c r="E2114" s="91"/>
      <c r="F2114" s="91"/>
      <c r="G2114" s="91"/>
      <c r="H2114" s="69"/>
      <c r="I2114" s="69"/>
      <c r="CS2114"/>
      <c r="CT2114"/>
      <c r="CU2114"/>
      <c r="CV2114"/>
      <c r="CW2114"/>
      <c r="CX2114"/>
      <c r="CY2114"/>
    </row>
    <row r="2115" spans="2:103" s="60" customFormat="1" x14ac:dyDescent="0.5">
      <c r="B2115" s="87"/>
      <c r="C2115" s="106"/>
      <c r="D2115" s="91"/>
      <c r="E2115" s="91"/>
      <c r="F2115" s="91"/>
      <c r="G2115" s="91"/>
      <c r="H2115" s="69"/>
      <c r="I2115" s="69"/>
      <c r="CS2115"/>
      <c r="CT2115"/>
      <c r="CU2115"/>
      <c r="CV2115"/>
      <c r="CW2115"/>
      <c r="CX2115"/>
      <c r="CY2115"/>
    </row>
    <row r="2116" spans="2:103" s="60" customFormat="1" x14ac:dyDescent="0.5">
      <c r="B2116" s="87"/>
      <c r="C2116" s="106"/>
      <c r="D2116" s="91"/>
      <c r="E2116" s="91"/>
      <c r="F2116" s="91"/>
      <c r="G2116" s="91"/>
      <c r="H2116" s="69"/>
      <c r="I2116" s="69"/>
      <c r="CS2116"/>
      <c r="CT2116"/>
      <c r="CU2116"/>
      <c r="CV2116"/>
      <c r="CW2116"/>
      <c r="CX2116"/>
      <c r="CY2116"/>
    </row>
    <row r="2117" spans="2:103" s="60" customFormat="1" x14ac:dyDescent="0.5">
      <c r="B2117" s="87"/>
      <c r="C2117" s="106"/>
      <c r="D2117" s="91"/>
      <c r="E2117" s="91"/>
      <c r="F2117" s="91"/>
      <c r="G2117" s="91"/>
      <c r="H2117" s="69"/>
      <c r="I2117" s="69"/>
      <c r="CS2117"/>
      <c r="CT2117"/>
      <c r="CU2117"/>
      <c r="CV2117"/>
      <c r="CW2117"/>
      <c r="CX2117"/>
      <c r="CY2117"/>
    </row>
    <row r="2118" spans="2:103" s="60" customFormat="1" x14ac:dyDescent="0.5">
      <c r="B2118" s="87"/>
      <c r="C2118" s="106"/>
      <c r="D2118" s="91"/>
      <c r="E2118" s="91"/>
      <c r="F2118" s="91"/>
      <c r="G2118" s="91"/>
      <c r="H2118" s="69"/>
      <c r="I2118" s="69"/>
      <c r="CS2118"/>
      <c r="CT2118"/>
      <c r="CU2118"/>
      <c r="CV2118"/>
      <c r="CW2118"/>
      <c r="CX2118"/>
      <c r="CY2118"/>
    </row>
    <row r="2119" spans="2:103" s="60" customFormat="1" x14ac:dyDescent="0.5">
      <c r="B2119" s="87"/>
      <c r="C2119" s="106"/>
      <c r="D2119" s="91"/>
      <c r="E2119" s="91"/>
      <c r="F2119" s="91"/>
      <c r="G2119" s="91"/>
      <c r="H2119" s="69"/>
      <c r="I2119" s="69"/>
      <c r="CS2119"/>
      <c r="CT2119"/>
      <c r="CU2119"/>
      <c r="CV2119"/>
      <c r="CW2119"/>
      <c r="CX2119"/>
      <c r="CY2119"/>
    </row>
    <row r="2120" spans="2:103" s="60" customFormat="1" x14ac:dyDescent="0.5">
      <c r="B2120" s="87"/>
      <c r="C2120" s="106"/>
      <c r="D2120" s="91"/>
      <c r="E2120" s="91"/>
      <c r="F2120" s="91"/>
      <c r="G2120" s="91"/>
      <c r="H2120" s="69"/>
      <c r="I2120" s="69"/>
      <c r="CS2120"/>
      <c r="CT2120"/>
      <c r="CU2120"/>
      <c r="CV2120"/>
      <c r="CW2120"/>
      <c r="CX2120"/>
      <c r="CY2120"/>
    </row>
    <row r="2121" spans="2:103" s="60" customFormat="1" x14ac:dyDescent="0.5">
      <c r="B2121" s="87"/>
      <c r="C2121" s="106"/>
      <c r="D2121" s="91"/>
      <c r="E2121" s="91"/>
      <c r="F2121" s="91"/>
      <c r="G2121" s="91"/>
      <c r="H2121" s="69"/>
      <c r="I2121" s="69"/>
      <c r="CS2121"/>
      <c r="CT2121"/>
      <c r="CU2121"/>
      <c r="CV2121"/>
      <c r="CW2121"/>
      <c r="CX2121"/>
      <c r="CY2121"/>
    </row>
    <row r="2122" spans="2:103" s="60" customFormat="1" x14ac:dyDescent="0.5">
      <c r="B2122" s="87"/>
      <c r="C2122" s="106"/>
      <c r="D2122" s="91"/>
      <c r="E2122" s="91"/>
      <c r="F2122" s="91"/>
      <c r="G2122" s="91"/>
      <c r="H2122" s="69"/>
      <c r="I2122" s="69"/>
      <c r="CS2122"/>
      <c r="CT2122"/>
      <c r="CU2122"/>
      <c r="CV2122"/>
      <c r="CW2122"/>
      <c r="CX2122"/>
      <c r="CY2122"/>
    </row>
    <row r="2123" spans="2:103" s="60" customFormat="1" x14ac:dyDescent="0.5">
      <c r="B2123" s="87"/>
      <c r="C2123" s="106"/>
      <c r="D2123" s="91"/>
      <c r="E2123" s="91"/>
      <c r="F2123" s="91"/>
      <c r="G2123" s="91"/>
      <c r="H2123" s="69"/>
      <c r="I2123" s="69"/>
      <c r="CS2123"/>
      <c r="CT2123"/>
      <c r="CU2123"/>
      <c r="CV2123"/>
      <c r="CW2123"/>
      <c r="CX2123"/>
      <c r="CY2123"/>
    </row>
    <row r="2124" spans="2:103" s="60" customFormat="1" x14ac:dyDescent="0.5">
      <c r="B2124" s="87"/>
      <c r="C2124" s="106"/>
      <c r="D2124" s="91"/>
      <c r="E2124" s="91"/>
      <c r="F2124" s="91"/>
      <c r="G2124" s="91"/>
      <c r="H2124" s="69"/>
      <c r="I2124" s="69"/>
      <c r="CS2124"/>
      <c r="CT2124"/>
      <c r="CU2124"/>
      <c r="CV2124"/>
      <c r="CW2124"/>
      <c r="CX2124"/>
      <c r="CY2124"/>
    </row>
    <row r="2125" spans="2:103" s="60" customFormat="1" x14ac:dyDescent="0.5">
      <c r="B2125" s="87"/>
      <c r="C2125" s="106"/>
      <c r="D2125" s="91"/>
      <c r="E2125" s="91"/>
      <c r="F2125" s="91"/>
      <c r="G2125" s="91"/>
      <c r="H2125" s="69"/>
      <c r="I2125" s="69"/>
      <c r="CS2125"/>
      <c r="CT2125"/>
      <c r="CU2125"/>
      <c r="CV2125"/>
      <c r="CW2125"/>
      <c r="CX2125"/>
      <c r="CY2125"/>
    </row>
    <row r="2126" spans="2:103" s="60" customFormat="1" x14ac:dyDescent="0.5">
      <c r="B2126" s="87"/>
      <c r="C2126" s="106"/>
      <c r="D2126" s="91"/>
      <c r="E2126" s="91"/>
      <c r="F2126" s="91"/>
      <c r="G2126" s="91"/>
      <c r="H2126" s="69"/>
      <c r="I2126" s="69"/>
      <c r="CS2126"/>
      <c r="CT2126"/>
      <c r="CU2126"/>
      <c r="CV2126"/>
      <c r="CW2126"/>
      <c r="CX2126"/>
      <c r="CY2126"/>
    </row>
    <row r="2127" spans="2:103" s="60" customFormat="1" x14ac:dyDescent="0.5">
      <c r="B2127" s="87"/>
      <c r="C2127" s="106"/>
      <c r="D2127" s="91"/>
      <c r="E2127" s="91"/>
      <c r="F2127" s="91"/>
      <c r="G2127" s="91"/>
      <c r="H2127" s="69"/>
      <c r="I2127" s="69"/>
      <c r="CS2127"/>
      <c r="CT2127"/>
      <c r="CU2127"/>
      <c r="CV2127"/>
      <c r="CW2127"/>
      <c r="CX2127"/>
      <c r="CY2127"/>
    </row>
    <row r="2128" spans="2:103" s="60" customFormat="1" x14ac:dyDescent="0.5">
      <c r="B2128" s="87"/>
      <c r="C2128" s="106"/>
      <c r="D2128" s="91"/>
      <c r="E2128" s="91"/>
      <c r="F2128" s="91"/>
      <c r="G2128" s="91"/>
      <c r="H2128" s="69"/>
      <c r="I2128" s="69"/>
      <c r="CS2128"/>
      <c r="CT2128"/>
      <c r="CU2128"/>
      <c r="CV2128"/>
      <c r="CW2128"/>
      <c r="CX2128"/>
      <c r="CY2128"/>
    </row>
    <row r="2129" spans="2:103" s="60" customFormat="1" x14ac:dyDescent="0.5">
      <c r="B2129" s="87"/>
      <c r="C2129" s="106"/>
      <c r="D2129" s="91"/>
      <c r="E2129" s="91"/>
      <c r="F2129" s="91"/>
      <c r="G2129" s="91"/>
      <c r="H2129" s="69"/>
      <c r="I2129" s="69"/>
      <c r="CS2129"/>
      <c r="CT2129"/>
      <c r="CU2129"/>
      <c r="CV2129"/>
      <c r="CW2129"/>
      <c r="CX2129"/>
      <c r="CY2129"/>
    </row>
    <row r="2130" spans="2:103" s="60" customFormat="1" x14ac:dyDescent="0.5">
      <c r="B2130" s="87"/>
      <c r="C2130" s="106"/>
      <c r="D2130" s="91"/>
      <c r="E2130" s="91"/>
      <c r="F2130" s="91"/>
      <c r="G2130" s="91"/>
      <c r="H2130" s="69"/>
      <c r="I2130" s="69"/>
      <c r="CS2130"/>
      <c r="CT2130"/>
      <c r="CU2130"/>
      <c r="CV2130"/>
      <c r="CW2130"/>
      <c r="CX2130"/>
      <c r="CY2130"/>
    </row>
    <row r="2131" spans="2:103" s="60" customFormat="1" x14ac:dyDescent="0.5">
      <c r="B2131" s="87"/>
      <c r="C2131" s="106"/>
      <c r="D2131" s="91"/>
      <c r="E2131" s="91"/>
      <c r="F2131" s="91"/>
      <c r="G2131" s="91"/>
      <c r="H2131" s="69"/>
      <c r="I2131" s="69"/>
      <c r="CS2131"/>
      <c r="CT2131"/>
      <c r="CU2131"/>
      <c r="CV2131"/>
      <c r="CW2131"/>
      <c r="CX2131"/>
      <c r="CY2131"/>
    </row>
    <row r="2132" spans="2:103" s="60" customFormat="1" x14ac:dyDescent="0.5">
      <c r="B2132" s="87"/>
      <c r="C2132" s="106"/>
      <c r="D2132" s="91"/>
      <c r="E2132" s="91"/>
      <c r="F2132" s="91"/>
      <c r="G2132" s="91"/>
      <c r="H2132" s="69"/>
      <c r="I2132" s="69"/>
      <c r="CS2132"/>
      <c r="CT2132"/>
      <c r="CU2132"/>
      <c r="CV2132"/>
      <c r="CW2132"/>
      <c r="CX2132"/>
      <c r="CY2132"/>
    </row>
    <row r="2133" spans="2:103" s="60" customFormat="1" x14ac:dyDescent="0.5">
      <c r="B2133" s="87"/>
      <c r="C2133" s="106"/>
      <c r="D2133" s="91"/>
      <c r="E2133" s="91"/>
      <c r="F2133" s="91"/>
      <c r="G2133" s="91"/>
      <c r="H2133" s="69"/>
      <c r="I2133" s="69"/>
      <c r="CS2133"/>
      <c r="CT2133"/>
      <c r="CU2133"/>
      <c r="CV2133"/>
      <c r="CW2133"/>
      <c r="CX2133"/>
      <c r="CY2133"/>
    </row>
    <row r="2134" spans="2:103" s="60" customFormat="1" x14ac:dyDescent="0.5">
      <c r="B2134" s="87"/>
      <c r="C2134" s="106"/>
      <c r="D2134" s="91"/>
      <c r="E2134" s="91"/>
      <c r="F2134" s="91"/>
      <c r="G2134" s="91"/>
      <c r="H2134" s="69"/>
      <c r="I2134" s="69"/>
      <c r="CS2134"/>
      <c r="CT2134"/>
      <c r="CU2134"/>
      <c r="CV2134"/>
      <c r="CW2134"/>
      <c r="CX2134"/>
      <c r="CY2134"/>
    </row>
    <row r="2135" spans="2:103" s="60" customFormat="1" x14ac:dyDescent="0.5">
      <c r="B2135" s="87"/>
      <c r="C2135" s="106"/>
      <c r="D2135" s="91"/>
      <c r="E2135" s="91"/>
      <c r="F2135" s="91"/>
      <c r="G2135" s="91"/>
      <c r="H2135" s="69"/>
      <c r="I2135" s="69"/>
      <c r="CS2135"/>
      <c r="CT2135"/>
      <c r="CU2135"/>
      <c r="CV2135"/>
      <c r="CW2135"/>
      <c r="CX2135"/>
      <c r="CY2135"/>
    </row>
    <row r="2136" spans="2:103" s="60" customFormat="1" x14ac:dyDescent="0.5">
      <c r="B2136" s="87"/>
      <c r="C2136" s="106"/>
      <c r="D2136" s="91"/>
      <c r="E2136" s="91"/>
      <c r="F2136" s="91"/>
      <c r="G2136" s="91"/>
      <c r="H2136" s="69"/>
      <c r="I2136" s="69"/>
      <c r="CS2136"/>
      <c r="CT2136"/>
      <c r="CU2136"/>
      <c r="CV2136"/>
      <c r="CW2136"/>
      <c r="CX2136"/>
      <c r="CY2136"/>
    </row>
    <row r="2137" spans="2:103" s="60" customFormat="1" x14ac:dyDescent="0.5">
      <c r="B2137" s="87"/>
      <c r="C2137" s="106"/>
      <c r="D2137" s="91"/>
      <c r="E2137" s="91"/>
      <c r="F2137" s="91"/>
      <c r="G2137" s="91"/>
      <c r="H2137" s="69"/>
      <c r="I2137" s="69"/>
      <c r="CS2137"/>
      <c r="CT2137"/>
      <c r="CU2137"/>
      <c r="CV2137"/>
      <c r="CW2137"/>
      <c r="CX2137"/>
      <c r="CY2137"/>
    </row>
    <row r="2138" spans="2:103" s="60" customFormat="1" x14ac:dyDescent="0.5">
      <c r="B2138" s="87"/>
      <c r="C2138" s="106"/>
      <c r="D2138" s="91"/>
      <c r="E2138" s="91"/>
      <c r="F2138" s="91"/>
      <c r="G2138" s="91"/>
      <c r="H2138" s="69"/>
      <c r="I2138" s="69"/>
      <c r="CS2138"/>
      <c r="CT2138"/>
      <c r="CU2138"/>
      <c r="CV2138"/>
      <c r="CW2138"/>
      <c r="CX2138"/>
      <c r="CY2138"/>
    </row>
    <row r="2139" spans="2:103" s="60" customFormat="1" x14ac:dyDescent="0.5">
      <c r="B2139" s="87"/>
      <c r="C2139" s="106"/>
      <c r="D2139" s="91"/>
      <c r="E2139" s="91"/>
      <c r="F2139" s="91"/>
      <c r="G2139" s="91"/>
      <c r="H2139" s="69"/>
      <c r="I2139" s="69"/>
      <c r="CS2139"/>
      <c r="CT2139"/>
      <c r="CU2139"/>
      <c r="CV2139"/>
      <c r="CW2139"/>
      <c r="CX2139"/>
      <c r="CY2139"/>
    </row>
    <row r="2140" spans="2:103" s="60" customFormat="1" x14ac:dyDescent="0.5">
      <c r="B2140" s="87"/>
      <c r="C2140" s="106"/>
      <c r="D2140" s="91"/>
      <c r="E2140" s="91"/>
      <c r="F2140" s="91"/>
      <c r="G2140" s="91"/>
      <c r="H2140" s="69"/>
      <c r="I2140" s="69"/>
      <c r="CS2140"/>
      <c r="CT2140"/>
      <c r="CU2140"/>
      <c r="CV2140"/>
      <c r="CW2140"/>
      <c r="CX2140"/>
      <c r="CY2140"/>
    </row>
    <row r="2141" spans="2:103" s="60" customFormat="1" x14ac:dyDescent="0.5">
      <c r="B2141" s="87"/>
      <c r="C2141" s="106"/>
      <c r="D2141" s="91"/>
      <c r="E2141" s="91"/>
      <c r="F2141" s="91"/>
      <c r="G2141" s="91"/>
      <c r="H2141" s="69"/>
      <c r="I2141" s="69"/>
      <c r="CS2141"/>
      <c r="CT2141"/>
      <c r="CU2141"/>
      <c r="CV2141"/>
      <c r="CW2141"/>
      <c r="CX2141"/>
      <c r="CY2141"/>
    </row>
    <row r="2142" spans="2:103" s="60" customFormat="1" x14ac:dyDescent="0.5">
      <c r="B2142" s="87"/>
      <c r="C2142" s="106"/>
      <c r="D2142" s="91"/>
      <c r="E2142" s="91"/>
      <c r="F2142" s="91"/>
      <c r="G2142" s="91"/>
      <c r="H2142" s="69"/>
      <c r="I2142" s="69"/>
      <c r="CS2142"/>
      <c r="CT2142"/>
      <c r="CU2142"/>
      <c r="CV2142"/>
      <c r="CW2142"/>
      <c r="CX2142"/>
      <c r="CY2142"/>
    </row>
    <row r="2143" spans="2:103" s="60" customFormat="1" x14ac:dyDescent="0.5">
      <c r="B2143" s="87"/>
      <c r="C2143" s="106"/>
      <c r="D2143" s="91"/>
      <c r="E2143" s="91"/>
      <c r="F2143" s="91"/>
      <c r="G2143" s="91"/>
      <c r="H2143" s="69"/>
      <c r="I2143" s="69"/>
      <c r="CS2143"/>
      <c r="CT2143"/>
      <c r="CU2143"/>
      <c r="CV2143"/>
      <c r="CW2143"/>
      <c r="CX2143"/>
      <c r="CY2143"/>
    </row>
    <row r="2144" spans="2:103" s="60" customFormat="1" x14ac:dyDescent="0.5">
      <c r="B2144" s="87"/>
      <c r="C2144" s="106"/>
      <c r="D2144" s="91"/>
      <c r="E2144" s="91"/>
      <c r="F2144" s="91"/>
      <c r="G2144" s="91"/>
      <c r="H2144" s="69"/>
      <c r="I2144" s="69"/>
      <c r="CS2144"/>
      <c r="CT2144"/>
      <c r="CU2144"/>
      <c r="CV2144"/>
      <c r="CW2144"/>
      <c r="CX2144"/>
      <c r="CY2144"/>
    </row>
    <row r="2145" spans="2:103" s="60" customFormat="1" x14ac:dyDescent="0.5">
      <c r="B2145" s="87"/>
      <c r="C2145" s="106"/>
      <c r="D2145" s="91"/>
      <c r="E2145" s="91"/>
      <c r="F2145" s="91"/>
      <c r="G2145" s="91"/>
      <c r="H2145" s="69"/>
      <c r="I2145" s="69"/>
      <c r="CS2145"/>
      <c r="CT2145"/>
      <c r="CU2145"/>
      <c r="CV2145"/>
      <c r="CW2145"/>
      <c r="CX2145"/>
      <c r="CY2145"/>
    </row>
    <row r="2146" spans="2:103" s="60" customFormat="1" x14ac:dyDescent="0.5">
      <c r="B2146" s="87"/>
      <c r="C2146" s="106"/>
      <c r="D2146" s="91"/>
      <c r="E2146" s="91"/>
      <c r="F2146" s="91"/>
      <c r="G2146" s="91"/>
      <c r="H2146" s="69"/>
      <c r="I2146" s="69"/>
      <c r="CS2146"/>
      <c r="CT2146"/>
      <c r="CU2146"/>
      <c r="CV2146"/>
      <c r="CW2146"/>
      <c r="CX2146"/>
      <c r="CY2146"/>
    </row>
    <row r="2147" spans="2:103" s="60" customFormat="1" x14ac:dyDescent="0.5">
      <c r="B2147" s="87"/>
      <c r="C2147" s="106"/>
      <c r="D2147" s="91"/>
      <c r="E2147" s="91"/>
      <c r="F2147" s="91"/>
      <c r="G2147" s="91"/>
      <c r="H2147" s="69"/>
      <c r="I2147" s="69"/>
      <c r="CS2147"/>
      <c r="CT2147"/>
      <c r="CU2147"/>
      <c r="CV2147"/>
      <c r="CW2147"/>
      <c r="CX2147"/>
      <c r="CY2147"/>
    </row>
    <row r="2148" spans="2:103" s="60" customFormat="1" x14ac:dyDescent="0.5">
      <c r="B2148" s="87"/>
      <c r="C2148" s="106"/>
      <c r="D2148" s="91"/>
      <c r="E2148" s="91"/>
      <c r="F2148" s="91"/>
      <c r="G2148" s="91"/>
      <c r="H2148" s="69"/>
      <c r="I2148" s="69"/>
      <c r="CS2148"/>
      <c r="CT2148"/>
      <c r="CU2148"/>
      <c r="CV2148"/>
      <c r="CW2148"/>
      <c r="CX2148"/>
      <c r="CY2148"/>
    </row>
    <row r="2149" spans="2:103" s="60" customFormat="1" x14ac:dyDescent="0.5">
      <c r="B2149" s="87"/>
      <c r="C2149" s="106"/>
      <c r="D2149" s="91"/>
      <c r="E2149" s="91"/>
      <c r="F2149" s="91"/>
      <c r="G2149" s="91"/>
      <c r="H2149" s="69"/>
      <c r="I2149" s="69"/>
      <c r="CS2149"/>
      <c r="CT2149"/>
      <c r="CU2149"/>
      <c r="CV2149"/>
      <c r="CW2149"/>
      <c r="CX2149"/>
      <c r="CY2149"/>
    </row>
    <row r="2150" spans="2:103" s="60" customFormat="1" x14ac:dyDescent="0.5">
      <c r="B2150" s="87"/>
      <c r="C2150" s="106"/>
      <c r="D2150" s="91"/>
      <c r="E2150" s="91"/>
      <c r="F2150" s="91"/>
      <c r="G2150" s="91"/>
      <c r="H2150" s="69"/>
      <c r="I2150" s="69"/>
      <c r="CS2150"/>
      <c r="CT2150"/>
      <c r="CU2150"/>
      <c r="CV2150"/>
      <c r="CW2150"/>
      <c r="CX2150"/>
      <c r="CY2150"/>
    </row>
    <row r="2151" spans="2:103" s="60" customFormat="1" x14ac:dyDescent="0.5">
      <c r="B2151" s="87"/>
      <c r="C2151" s="106"/>
      <c r="D2151" s="91"/>
      <c r="E2151" s="91"/>
      <c r="F2151" s="91"/>
      <c r="G2151" s="91"/>
      <c r="H2151" s="69"/>
      <c r="I2151" s="69"/>
      <c r="CS2151"/>
      <c r="CT2151"/>
      <c r="CU2151"/>
      <c r="CV2151"/>
      <c r="CW2151"/>
      <c r="CX2151"/>
      <c r="CY2151"/>
    </row>
    <row r="2152" spans="2:103" s="60" customFormat="1" x14ac:dyDescent="0.5">
      <c r="B2152" s="87"/>
      <c r="C2152" s="106"/>
      <c r="D2152" s="91"/>
      <c r="E2152" s="91"/>
      <c r="F2152" s="91"/>
      <c r="G2152" s="91"/>
      <c r="H2152" s="69"/>
      <c r="I2152" s="69"/>
      <c r="CS2152"/>
      <c r="CT2152"/>
      <c r="CU2152"/>
      <c r="CV2152"/>
      <c r="CW2152"/>
      <c r="CX2152"/>
      <c r="CY2152"/>
    </row>
    <row r="2153" spans="2:103" s="60" customFormat="1" x14ac:dyDescent="0.5">
      <c r="B2153" s="87"/>
      <c r="C2153" s="106"/>
      <c r="D2153" s="91"/>
      <c r="E2153" s="91"/>
      <c r="F2153" s="91"/>
      <c r="G2153" s="91"/>
      <c r="H2153" s="69"/>
      <c r="I2153" s="69"/>
      <c r="CS2153"/>
      <c r="CT2153"/>
      <c r="CU2153"/>
      <c r="CV2153"/>
      <c r="CW2153"/>
      <c r="CX2153"/>
      <c r="CY2153"/>
    </row>
    <row r="2154" spans="2:103" s="60" customFormat="1" x14ac:dyDescent="0.5">
      <c r="B2154" s="87"/>
      <c r="C2154" s="106"/>
      <c r="D2154" s="91"/>
      <c r="E2154" s="91"/>
      <c r="F2154" s="91"/>
      <c r="G2154" s="91"/>
      <c r="H2154" s="69"/>
      <c r="I2154" s="69"/>
      <c r="CS2154"/>
      <c r="CT2154"/>
      <c r="CU2154"/>
      <c r="CV2154"/>
      <c r="CW2154"/>
      <c r="CX2154"/>
      <c r="CY2154"/>
    </row>
    <row r="2155" spans="2:103" s="60" customFormat="1" x14ac:dyDescent="0.5">
      <c r="B2155" s="87"/>
      <c r="C2155" s="106"/>
      <c r="D2155" s="91"/>
      <c r="E2155" s="91"/>
      <c r="F2155" s="91"/>
      <c r="G2155" s="91"/>
      <c r="H2155" s="69"/>
      <c r="I2155" s="69"/>
      <c r="CS2155"/>
      <c r="CT2155"/>
      <c r="CU2155"/>
      <c r="CV2155"/>
      <c r="CW2155"/>
      <c r="CX2155"/>
      <c r="CY2155"/>
    </row>
    <row r="2156" spans="2:103" s="60" customFormat="1" x14ac:dyDescent="0.5">
      <c r="B2156" s="87"/>
      <c r="C2156" s="106"/>
      <c r="D2156" s="91"/>
      <c r="E2156" s="91"/>
      <c r="F2156" s="91"/>
      <c r="G2156" s="91"/>
      <c r="H2156" s="69"/>
      <c r="I2156" s="69"/>
      <c r="CS2156"/>
      <c r="CT2156"/>
      <c r="CU2156"/>
      <c r="CV2156"/>
      <c r="CW2156"/>
      <c r="CX2156"/>
      <c r="CY2156"/>
    </row>
    <row r="2157" spans="2:103" s="60" customFormat="1" x14ac:dyDescent="0.5">
      <c r="B2157" s="87"/>
      <c r="C2157" s="106"/>
      <c r="D2157" s="91"/>
      <c r="E2157" s="91"/>
      <c r="F2157" s="91"/>
      <c r="G2157" s="91"/>
      <c r="H2157" s="69"/>
      <c r="I2157" s="69"/>
      <c r="CS2157"/>
      <c r="CT2157"/>
      <c r="CU2157"/>
      <c r="CV2157"/>
      <c r="CW2157"/>
      <c r="CX2157"/>
      <c r="CY2157"/>
    </row>
    <row r="2158" spans="2:103" s="60" customFormat="1" x14ac:dyDescent="0.5">
      <c r="B2158" s="87"/>
      <c r="C2158" s="106"/>
      <c r="D2158" s="91"/>
      <c r="E2158" s="91"/>
      <c r="F2158" s="91"/>
      <c r="G2158" s="91"/>
      <c r="H2158" s="69"/>
      <c r="I2158" s="69"/>
      <c r="CS2158"/>
      <c r="CT2158"/>
      <c r="CU2158"/>
      <c r="CV2158"/>
      <c r="CW2158"/>
      <c r="CX2158"/>
      <c r="CY2158"/>
    </row>
    <row r="2159" spans="2:103" s="60" customFormat="1" x14ac:dyDescent="0.5">
      <c r="B2159" s="87"/>
      <c r="C2159" s="106"/>
      <c r="D2159" s="91"/>
      <c r="E2159" s="91"/>
      <c r="F2159" s="91"/>
      <c r="G2159" s="91"/>
      <c r="H2159" s="69"/>
      <c r="I2159" s="69"/>
      <c r="CS2159"/>
      <c r="CT2159"/>
      <c r="CU2159"/>
      <c r="CV2159"/>
      <c r="CW2159"/>
      <c r="CX2159"/>
      <c r="CY2159"/>
    </row>
    <row r="2160" spans="2:103" s="60" customFormat="1" x14ac:dyDescent="0.5">
      <c r="B2160" s="87"/>
      <c r="C2160" s="106"/>
      <c r="D2160" s="91"/>
      <c r="E2160" s="91"/>
      <c r="F2160" s="91"/>
      <c r="G2160" s="91"/>
      <c r="H2160" s="69"/>
      <c r="I2160" s="69"/>
      <c r="CS2160"/>
      <c r="CT2160"/>
      <c r="CU2160"/>
      <c r="CV2160"/>
      <c r="CW2160"/>
      <c r="CX2160"/>
      <c r="CY2160"/>
    </row>
    <row r="2161" spans="2:103" s="60" customFormat="1" x14ac:dyDescent="0.5">
      <c r="B2161" s="87"/>
      <c r="C2161" s="106"/>
      <c r="D2161" s="91"/>
      <c r="E2161" s="91"/>
      <c r="F2161" s="91"/>
      <c r="G2161" s="91"/>
      <c r="H2161" s="69"/>
      <c r="I2161" s="69"/>
      <c r="CS2161"/>
      <c r="CT2161"/>
      <c r="CU2161"/>
      <c r="CV2161"/>
      <c r="CW2161"/>
      <c r="CX2161"/>
      <c r="CY2161"/>
    </row>
    <row r="2162" spans="2:103" s="60" customFormat="1" x14ac:dyDescent="0.5">
      <c r="B2162" s="87"/>
      <c r="C2162" s="106"/>
      <c r="D2162" s="91"/>
      <c r="E2162" s="91"/>
      <c r="F2162" s="91"/>
      <c r="G2162" s="91"/>
      <c r="H2162" s="69"/>
      <c r="I2162" s="69"/>
      <c r="CS2162"/>
      <c r="CT2162"/>
      <c r="CU2162"/>
      <c r="CV2162"/>
      <c r="CW2162"/>
      <c r="CX2162"/>
      <c r="CY2162"/>
    </row>
    <row r="2163" spans="2:103" s="60" customFormat="1" x14ac:dyDescent="0.5">
      <c r="B2163" s="87"/>
      <c r="C2163" s="106"/>
      <c r="D2163" s="91"/>
      <c r="E2163" s="91"/>
      <c r="F2163" s="91"/>
      <c r="G2163" s="91"/>
      <c r="H2163" s="69"/>
      <c r="I2163" s="69"/>
      <c r="CS2163"/>
      <c r="CT2163"/>
      <c r="CU2163"/>
      <c r="CV2163"/>
      <c r="CW2163"/>
      <c r="CX2163"/>
      <c r="CY2163"/>
    </row>
    <row r="2164" spans="2:103" s="60" customFormat="1" x14ac:dyDescent="0.5">
      <c r="B2164" s="87"/>
      <c r="C2164" s="106"/>
      <c r="D2164" s="91"/>
      <c r="E2164" s="91"/>
      <c r="F2164" s="91"/>
      <c r="G2164" s="91"/>
      <c r="H2164" s="69"/>
      <c r="I2164" s="69"/>
      <c r="CS2164"/>
      <c r="CT2164"/>
      <c r="CU2164"/>
      <c r="CV2164"/>
      <c r="CW2164"/>
      <c r="CX2164"/>
      <c r="CY2164"/>
    </row>
    <row r="2165" spans="2:103" s="60" customFormat="1" x14ac:dyDescent="0.5">
      <c r="B2165" s="87"/>
      <c r="C2165" s="106"/>
      <c r="D2165" s="91"/>
      <c r="E2165" s="91"/>
      <c r="F2165" s="91"/>
      <c r="G2165" s="91"/>
      <c r="H2165" s="69"/>
      <c r="I2165" s="69"/>
      <c r="CS2165"/>
      <c r="CT2165"/>
      <c r="CU2165"/>
      <c r="CV2165"/>
      <c r="CW2165"/>
      <c r="CX2165"/>
      <c r="CY2165"/>
    </row>
    <row r="2166" spans="2:103" s="60" customFormat="1" x14ac:dyDescent="0.5">
      <c r="B2166" s="87"/>
      <c r="C2166" s="106"/>
      <c r="D2166" s="91"/>
      <c r="E2166" s="91"/>
      <c r="F2166" s="91"/>
      <c r="G2166" s="91"/>
      <c r="H2166" s="69"/>
      <c r="I2166" s="69"/>
      <c r="CS2166"/>
      <c r="CT2166"/>
      <c r="CU2166"/>
      <c r="CV2166"/>
      <c r="CW2166"/>
      <c r="CX2166"/>
      <c r="CY2166"/>
    </row>
    <row r="2167" spans="2:103" s="60" customFormat="1" x14ac:dyDescent="0.5">
      <c r="B2167" s="87"/>
      <c r="C2167" s="106"/>
      <c r="D2167" s="91"/>
      <c r="E2167" s="91"/>
      <c r="F2167" s="91"/>
      <c r="G2167" s="91"/>
      <c r="H2167" s="69"/>
      <c r="I2167" s="69"/>
      <c r="CS2167"/>
      <c r="CT2167"/>
      <c r="CU2167"/>
      <c r="CV2167"/>
      <c r="CW2167"/>
      <c r="CX2167"/>
      <c r="CY2167"/>
    </row>
    <row r="2168" spans="2:103" s="60" customFormat="1" x14ac:dyDescent="0.5">
      <c r="B2168" s="87"/>
      <c r="C2168" s="106"/>
      <c r="D2168" s="91"/>
      <c r="E2168" s="91"/>
      <c r="F2168" s="91"/>
      <c r="G2168" s="91"/>
      <c r="H2168" s="69"/>
      <c r="I2168" s="69"/>
      <c r="CS2168"/>
      <c r="CT2168"/>
      <c r="CU2168"/>
      <c r="CV2168"/>
      <c r="CW2168"/>
      <c r="CX2168"/>
      <c r="CY2168"/>
    </row>
    <row r="2169" spans="2:103" s="60" customFormat="1" x14ac:dyDescent="0.5">
      <c r="B2169" s="87"/>
      <c r="C2169" s="106"/>
      <c r="D2169" s="91"/>
      <c r="E2169" s="91"/>
      <c r="F2169" s="91"/>
      <c r="G2169" s="91"/>
      <c r="H2169" s="69"/>
      <c r="I2169" s="69"/>
      <c r="CS2169"/>
      <c r="CT2169"/>
      <c r="CU2169"/>
      <c r="CV2169"/>
      <c r="CW2169"/>
      <c r="CX2169"/>
      <c r="CY2169"/>
    </row>
    <row r="2170" spans="2:103" s="60" customFormat="1" x14ac:dyDescent="0.5">
      <c r="B2170" s="87"/>
      <c r="C2170" s="106"/>
      <c r="D2170" s="91"/>
      <c r="E2170" s="91"/>
      <c r="F2170" s="91"/>
      <c r="G2170" s="91"/>
      <c r="H2170" s="69"/>
      <c r="I2170" s="69"/>
      <c r="CS2170"/>
      <c r="CT2170"/>
      <c r="CU2170"/>
      <c r="CV2170"/>
      <c r="CW2170"/>
      <c r="CX2170"/>
      <c r="CY2170"/>
    </row>
    <row r="2171" spans="2:103" s="60" customFormat="1" x14ac:dyDescent="0.5">
      <c r="B2171" s="87"/>
      <c r="C2171" s="106"/>
      <c r="D2171" s="91"/>
      <c r="E2171" s="91"/>
      <c r="F2171" s="91"/>
      <c r="G2171" s="91"/>
      <c r="H2171" s="69"/>
      <c r="I2171" s="69"/>
      <c r="CS2171"/>
      <c r="CT2171"/>
      <c r="CU2171"/>
      <c r="CV2171"/>
      <c r="CW2171"/>
      <c r="CX2171"/>
      <c r="CY2171"/>
    </row>
    <row r="2172" spans="2:103" s="60" customFormat="1" x14ac:dyDescent="0.5">
      <c r="B2172" s="87"/>
      <c r="C2172" s="106"/>
      <c r="D2172" s="91"/>
      <c r="E2172" s="91"/>
      <c r="F2172" s="91"/>
      <c r="G2172" s="91"/>
      <c r="H2172" s="69"/>
      <c r="I2172" s="69"/>
      <c r="CS2172"/>
      <c r="CT2172"/>
      <c r="CU2172"/>
      <c r="CV2172"/>
      <c r="CW2172"/>
      <c r="CX2172"/>
      <c r="CY2172"/>
    </row>
    <row r="2173" spans="2:103" s="60" customFormat="1" x14ac:dyDescent="0.5">
      <c r="B2173" s="87"/>
      <c r="C2173" s="106"/>
      <c r="D2173" s="91"/>
      <c r="E2173" s="91"/>
      <c r="F2173" s="91"/>
      <c r="G2173" s="91"/>
      <c r="H2173" s="69"/>
      <c r="I2173" s="69"/>
      <c r="CS2173"/>
      <c r="CT2173"/>
      <c r="CU2173"/>
      <c r="CV2173"/>
      <c r="CW2173"/>
      <c r="CX2173"/>
      <c r="CY2173"/>
    </row>
    <row r="2174" spans="2:103" s="60" customFormat="1" x14ac:dyDescent="0.5">
      <c r="B2174" s="87"/>
      <c r="C2174" s="106"/>
      <c r="D2174" s="91"/>
      <c r="E2174" s="91"/>
      <c r="F2174" s="91"/>
      <c r="G2174" s="91"/>
      <c r="H2174" s="69"/>
      <c r="I2174" s="69"/>
      <c r="CS2174"/>
      <c r="CT2174"/>
      <c r="CU2174"/>
      <c r="CV2174"/>
      <c r="CW2174"/>
      <c r="CX2174"/>
      <c r="CY2174"/>
    </row>
    <row r="2175" spans="2:103" s="60" customFormat="1" x14ac:dyDescent="0.5">
      <c r="B2175" s="87"/>
      <c r="C2175" s="106"/>
      <c r="D2175" s="91"/>
      <c r="E2175" s="91"/>
      <c r="F2175" s="91"/>
      <c r="G2175" s="91"/>
      <c r="H2175" s="69"/>
      <c r="I2175" s="69"/>
      <c r="CS2175"/>
      <c r="CT2175"/>
      <c r="CU2175"/>
      <c r="CV2175"/>
      <c r="CW2175"/>
      <c r="CX2175"/>
      <c r="CY2175"/>
    </row>
    <row r="2176" spans="2:103" s="60" customFormat="1" x14ac:dyDescent="0.5">
      <c r="B2176" s="87"/>
      <c r="C2176" s="106"/>
      <c r="D2176" s="91"/>
      <c r="E2176" s="91"/>
      <c r="F2176" s="91"/>
      <c r="G2176" s="91"/>
      <c r="H2176" s="69"/>
      <c r="I2176" s="69"/>
      <c r="CS2176"/>
      <c r="CT2176"/>
      <c r="CU2176"/>
      <c r="CV2176"/>
      <c r="CW2176"/>
      <c r="CX2176"/>
      <c r="CY2176"/>
    </row>
    <row r="2177" spans="2:103" s="60" customFormat="1" x14ac:dyDescent="0.5">
      <c r="B2177" s="87"/>
      <c r="C2177" s="106"/>
      <c r="D2177" s="91"/>
      <c r="E2177" s="91"/>
      <c r="F2177" s="91"/>
      <c r="G2177" s="91"/>
      <c r="H2177" s="69"/>
      <c r="I2177" s="69"/>
      <c r="CS2177"/>
      <c r="CT2177"/>
      <c r="CU2177"/>
      <c r="CV2177"/>
      <c r="CW2177"/>
      <c r="CX2177"/>
      <c r="CY2177"/>
    </row>
    <row r="2178" spans="2:103" s="60" customFormat="1" x14ac:dyDescent="0.5">
      <c r="B2178" s="87"/>
      <c r="C2178" s="106"/>
      <c r="D2178" s="91"/>
      <c r="E2178" s="91"/>
      <c r="F2178" s="91"/>
      <c r="G2178" s="91"/>
      <c r="H2178" s="69"/>
      <c r="I2178" s="69"/>
      <c r="CS2178"/>
      <c r="CT2178"/>
      <c r="CU2178"/>
      <c r="CV2178"/>
      <c r="CW2178"/>
      <c r="CX2178"/>
      <c r="CY2178"/>
    </row>
    <row r="2179" spans="2:103" s="60" customFormat="1" x14ac:dyDescent="0.5">
      <c r="B2179" s="87"/>
      <c r="C2179" s="106"/>
      <c r="D2179" s="91"/>
      <c r="E2179" s="91"/>
      <c r="F2179" s="91"/>
      <c r="G2179" s="91"/>
      <c r="H2179" s="69"/>
      <c r="I2179" s="69"/>
      <c r="CS2179"/>
      <c r="CT2179"/>
      <c r="CU2179"/>
      <c r="CV2179"/>
      <c r="CW2179"/>
      <c r="CX2179"/>
      <c r="CY2179"/>
    </row>
    <row r="2180" spans="2:103" s="60" customFormat="1" x14ac:dyDescent="0.5">
      <c r="B2180" s="87"/>
      <c r="C2180" s="106"/>
      <c r="D2180" s="91"/>
      <c r="E2180" s="91"/>
      <c r="F2180" s="91"/>
      <c r="G2180" s="91"/>
      <c r="H2180" s="69"/>
      <c r="I2180" s="69"/>
      <c r="CS2180"/>
      <c r="CT2180"/>
      <c r="CU2180"/>
      <c r="CV2180"/>
      <c r="CW2180"/>
      <c r="CX2180"/>
      <c r="CY2180"/>
    </row>
    <row r="2181" spans="2:103" s="60" customFormat="1" x14ac:dyDescent="0.5">
      <c r="B2181" s="87"/>
      <c r="C2181" s="106"/>
      <c r="D2181" s="91"/>
      <c r="E2181" s="91"/>
      <c r="F2181" s="91"/>
      <c r="G2181" s="91"/>
      <c r="H2181" s="69"/>
      <c r="I2181" s="69"/>
      <c r="CS2181"/>
      <c r="CT2181"/>
      <c r="CU2181"/>
      <c r="CV2181"/>
      <c r="CW2181"/>
      <c r="CX2181"/>
      <c r="CY2181"/>
    </row>
    <row r="2182" spans="2:103" s="60" customFormat="1" x14ac:dyDescent="0.5">
      <c r="B2182" s="87"/>
      <c r="C2182" s="106"/>
      <c r="D2182" s="91"/>
      <c r="E2182" s="91"/>
      <c r="F2182" s="91"/>
      <c r="G2182" s="91"/>
      <c r="H2182" s="69"/>
      <c r="I2182" s="69"/>
      <c r="CS2182"/>
      <c r="CT2182"/>
      <c r="CU2182"/>
      <c r="CV2182"/>
      <c r="CW2182"/>
      <c r="CX2182"/>
      <c r="CY2182"/>
    </row>
    <row r="2183" spans="2:103" s="60" customFormat="1" x14ac:dyDescent="0.5">
      <c r="B2183" s="87"/>
      <c r="C2183" s="106"/>
      <c r="D2183" s="91"/>
      <c r="E2183" s="91"/>
      <c r="F2183" s="91"/>
      <c r="G2183" s="91"/>
      <c r="H2183" s="69"/>
      <c r="I2183" s="69"/>
      <c r="CS2183"/>
      <c r="CT2183"/>
      <c r="CU2183"/>
      <c r="CV2183"/>
      <c r="CW2183"/>
      <c r="CX2183"/>
      <c r="CY2183"/>
    </row>
    <row r="2184" spans="2:103" s="60" customFormat="1" x14ac:dyDescent="0.5">
      <c r="B2184" s="87"/>
      <c r="C2184" s="106"/>
      <c r="D2184" s="91"/>
      <c r="E2184" s="91"/>
      <c r="F2184" s="91"/>
      <c r="G2184" s="91"/>
      <c r="H2184" s="69"/>
      <c r="I2184" s="69"/>
      <c r="CS2184"/>
      <c r="CT2184"/>
      <c r="CU2184"/>
      <c r="CV2184"/>
      <c r="CW2184"/>
      <c r="CX2184"/>
      <c r="CY2184"/>
    </row>
    <row r="2185" spans="2:103" s="60" customFormat="1" x14ac:dyDescent="0.5">
      <c r="B2185" s="87"/>
      <c r="C2185" s="106"/>
      <c r="D2185" s="91"/>
      <c r="E2185" s="91"/>
      <c r="F2185" s="91"/>
      <c r="G2185" s="91"/>
      <c r="H2185" s="69"/>
      <c r="I2185" s="69"/>
      <c r="CS2185"/>
      <c r="CT2185"/>
      <c r="CU2185"/>
      <c r="CV2185"/>
      <c r="CW2185"/>
      <c r="CX2185"/>
      <c r="CY2185"/>
    </row>
    <row r="2186" spans="2:103" s="60" customFormat="1" x14ac:dyDescent="0.5">
      <c r="B2186" s="87"/>
      <c r="C2186" s="106"/>
      <c r="D2186" s="91"/>
      <c r="E2186" s="91"/>
      <c r="F2186" s="91"/>
      <c r="G2186" s="91"/>
      <c r="H2186" s="69"/>
      <c r="I2186" s="69"/>
      <c r="CS2186"/>
      <c r="CT2186"/>
      <c r="CU2186"/>
      <c r="CV2186"/>
      <c r="CW2186"/>
      <c r="CX2186"/>
      <c r="CY2186"/>
    </row>
    <row r="2187" spans="2:103" s="60" customFormat="1" x14ac:dyDescent="0.5">
      <c r="B2187" s="87"/>
      <c r="C2187" s="106"/>
      <c r="D2187" s="91"/>
      <c r="E2187" s="91"/>
      <c r="F2187" s="91"/>
      <c r="G2187" s="91"/>
      <c r="H2187" s="69"/>
      <c r="I2187" s="69"/>
      <c r="CS2187"/>
      <c r="CT2187"/>
      <c r="CU2187"/>
      <c r="CV2187"/>
      <c r="CW2187"/>
      <c r="CX2187"/>
      <c r="CY2187"/>
    </row>
    <row r="2188" spans="2:103" s="60" customFormat="1" x14ac:dyDescent="0.5">
      <c r="B2188" s="87"/>
      <c r="C2188" s="106"/>
      <c r="D2188" s="91"/>
      <c r="E2188" s="91"/>
      <c r="F2188" s="91"/>
      <c r="G2188" s="91"/>
      <c r="H2188" s="69"/>
      <c r="I2188" s="69"/>
      <c r="CS2188"/>
      <c r="CT2188"/>
      <c r="CU2188"/>
      <c r="CV2188"/>
      <c r="CW2188"/>
      <c r="CX2188"/>
      <c r="CY2188"/>
    </row>
    <row r="2189" spans="2:103" s="60" customFormat="1" x14ac:dyDescent="0.5">
      <c r="B2189" s="87"/>
      <c r="C2189" s="106"/>
      <c r="D2189" s="91"/>
      <c r="E2189" s="91"/>
      <c r="F2189" s="91"/>
      <c r="G2189" s="91"/>
      <c r="H2189" s="69"/>
      <c r="I2189" s="69"/>
      <c r="CS2189"/>
      <c r="CT2189"/>
      <c r="CU2189"/>
      <c r="CV2189"/>
      <c r="CW2189"/>
      <c r="CX2189"/>
      <c r="CY2189"/>
    </row>
    <row r="2190" spans="2:103" s="60" customFormat="1" x14ac:dyDescent="0.5">
      <c r="B2190" s="87"/>
      <c r="C2190" s="106"/>
      <c r="D2190" s="91"/>
      <c r="E2190" s="91"/>
      <c r="F2190" s="91"/>
      <c r="G2190" s="91"/>
      <c r="H2190" s="69"/>
      <c r="I2190" s="69"/>
      <c r="CS2190"/>
      <c r="CT2190"/>
      <c r="CU2190"/>
      <c r="CV2190"/>
      <c r="CW2190"/>
      <c r="CX2190"/>
      <c r="CY2190"/>
    </row>
    <row r="2191" spans="2:103" s="60" customFormat="1" x14ac:dyDescent="0.5">
      <c r="B2191" s="87"/>
      <c r="C2191" s="106"/>
      <c r="D2191" s="91"/>
      <c r="E2191" s="91"/>
      <c r="F2191" s="91"/>
      <c r="G2191" s="91"/>
      <c r="H2191" s="69"/>
      <c r="I2191" s="69"/>
      <c r="CS2191"/>
      <c r="CT2191"/>
      <c r="CU2191"/>
      <c r="CV2191"/>
      <c r="CW2191"/>
      <c r="CX2191"/>
      <c r="CY2191"/>
    </row>
    <row r="2192" spans="2:103" s="60" customFormat="1" x14ac:dyDescent="0.5">
      <c r="B2192" s="87"/>
      <c r="C2192" s="106"/>
      <c r="D2192" s="91"/>
      <c r="E2192" s="91"/>
      <c r="F2192" s="91"/>
      <c r="G2192" s="91"/>
      <c r="H2192" s="69"/>
      <c r="I2192" s="69"/>
      <c r="CS2192"/>
      <c r="CT2192"/>
      <c r="CU2192"/>
      <c r="CV2192"/>
      <c r="CW2192"/>
      <c r="CX2192"/>
      <c r="CY2192"/>
    </row>
    <row r="2193" spans="2:103" s="60" customFormat="1" x14ac:dyDescent="0.5">
      <c r="B2193" s="87"/>
      <c r="C2193" s="106"/>
      <c r="D2193" s="91"/>
      <c r="E2193" s="91"/>
      <c r="F2193" s="91"/>
      <c r="G2193" s="91"/>
      <c r="H2193" s="69"/>
      <c r="I2193" s="69"/>
      <c r="CS2193"/>
      <c r="CT2193"/>
      <c r="CU2193"/>
      <c r="CV2193"/>
      <c r="CW2193"/>
      <c r="CX2193"/>
      <c r="CY2193"/>
    </row>
    <row r="2194" spans="2:103" s="60" customFormat="1" x14ac:dyDescent="0.5">
      <c r="B2194" s="87"/>
      <c r="C2194" s="106"/>
      <c r="D2194" s="91"/>
      <c r="E2194" s="91"/>
      <c r="F2194" s="91"/>
      <c r="G2194" s="91"/>
      <c r="H2194" s="69"/>
      <c r="I2194" s="69"/>
      <c r="CS2194"/>
      <c r="CT2194"/>
      <c r="CU2194"/>
      <c r="CV2194"/>
      <c r="CW2194"/>
      <c r="CX2194"/>
      <c r="CY2194"/>
    </row>
    <row r="2195" spans="2:103" s="60" customFormat="1" x14ac:dyDescent="0.5">
      <c r="B2195" s="87"/>
      <c r="C2195" s="106"/>
      <c r="D2195" s="91"/>
      <c r="E2195" s="91"/>
      <c r="F2195" s="91"/>
      <c r="G2195" s="91"/>
      <c r="H2195" s="69"/>
      <c r="I2195" s="69"/>
      <c r="CS2195"/>
      <c r="CT2195"/>
      <c r="CU2195"/>
      <c r="CV2195"/>
      <c r="CW2195"/>
      <c r="CX2195"/>
      <c r="CY2195"/>
    </row>
    <row r="2196" spans="2:103" s="60" customFormat="1" x14ac:dyDescent="0.5">
      <c r="B2196" s="87"/>
      <c r="C2196" s="106"/>
      <c r="D2196" s="91"/>
      <c r="E2196" s="91"/>
      <c r="F2196" s="91"/>
      <c r="G2196" s="91"/>
      <c r="H2196" s="69"/>
      <c r="I2196" s="69"/>
      <c r="CS2196"/>
      <c r="CT2196"/>
      <c r="CU2196"/>
      <c r="CV2196"/>
      <c r="CW2196"/>
      <c r="CX2196"/>
      <c r="CY2196"/>
    </row>
    <row r="2197" spans="2:103" s="60" customFormat="1" x14ac:dyDescent="0.5">
      <c r="B2197" s="87"/>
      <c r="C2197" s="106"/>
      <c r="D2197" s="91"/>
      <c r="E2197" s="91"/>
      <c r="F2197" s="91"/>
      <c r="G2197" s="91"/>
      <c r="H2197" s="69"/>
      <c r="I2197" s="69"/>
      <c r="CS2197"/>
      <c r="CT2197"/>
      <c r="CU2197"/>
      <c r="CV2197"/>
      <c r="CW2197"/>
      <c r="CX2197"/>
      <c r="CY2197"/>
    </row>
    <row r="2198" spans="2:103" s="60" customFormat="1" x14ac:dyDescent="0.5">
      <c r="B2198" s="87"/>
      <c r="C2198" s="106"/>
      <c r="D2198" s="91"/>
      <c r="E2198" s="91"/>
      <c r="F2198" s="91"/>
      <c r="G2198" s="91"/>
      <c r="H2198" s="69"/>
      <c r="I2198" s="69"/>
      <c r="CS2198"/>
      <c r="CT2198"/>
      <c r="CU2198"/>
      <c r="CV2198"/>
      <c r="CW2198"/>
      <c r="CX2198"/>
      <c r="CY2198"/>
    </row>
    <row r="2199" spans="2:103" s="60" customFormat="1" x14ac:dyDescent="0.5">
      <c r="B2199" s="87"/>
      <c r="C2199" s="106"/>
      <c r="D2199" s="91"/>
      <c r="E2199" s="91"/>
      <c r="F2199" s="91"/>
      <c r="G2199" s="91"/>
      <c r="H2199" s="69"/>
      <c r="I2199" s="69"/>
      <c r="CS2199"/>
      <c r="CT2199"/>
      <c r="CU2199"/>
      <c r="CV2199"/>
      <c r="CW2199"/>
      <c r="CX2199"/>
      <c r="CY2199"/>
    </row>
    <row r="2200" spans="2:103" s="60" customFormat="1" x14ac:dyDescent="0.5">
      <c r="B2200" s="87"/>
      <c r="C2200" s="106"/>
      <c r="D2200" s="91"/>
      <c r="E2200" s="91"/>
      <c r="F2200" s="91"/>
      <c r="G2200" s="91"/>
      <c r="H2200" s="69"/>
      <c r="I2200" s="69"/>
      <c r="CS2200"/>
      <c r="CT2200"/>
      <c r="CU2200"/>
      <c r="CV2200"/>
      <c r="CW2200"/>
      <c r="CX2200"/>
      <c r="CY2200"/>
    </row>
    <row r="2201" spans="2:103" s="60" customFormat="1" x14ac:dyDescent="0.5">
      <c r="B2201" s="87"/>
      <c r="C2201" s="106"/>
      <c r="D2201" s="91"/>
      <c r="E2201" s="91"/>
      <c r="F2201" s="91"/>
      <c r="G2201" s="91"/>
      <c r="H2201" s="69"/>
      <c r="I2201" s="69"/>
      <c r="CS2201"/>
      <c r="CT2201"/>
      <c r="CU2201"/>
      <c r="CV2201"/>
      <c r="CW2201"/>
      <c r="CX2201"/>
      <c r="CY2201"/>
    </row>
    <row r="2202" spans="2:103" s="60" customFormat="1" x14ac:dyDescent="0.5">
      <c r="B2202" s="87"/>
      <c r="C2202" s="106"/>
      <c r="D2202" s="91"/>
      <c r="E2202" s="91"/>
      <c r="F2202" s="91"/>
      <c r="G2202" s="91"/>
      <c r="H2202" s="69"/>
      <c r="I2202" s="69"/>
      <c r="CS2202"/>
      <c r="CT2202"/>
      <c r="CU2202"/>
      <c r="CV2202"/>
      <c r="CW2202"/>
      <c r="CX2202"/>
      <c r="CY2202"/>
    </row>
    <row r="2203" spans="2:103" s="60" customFormat="1" x14ac:dyDescent="0.5">
      <c r="B2203" s="87"/>
      <c r="C2203" s="106"/>
      <c r="D2203" s="91"/>
      <c r="E2203" s="91"/>
      <c r="F2203" s="91"/>
      <c r="G2203" s="91"/>
      <c r="H2203" s="69"/>
      <c r="I2203" s="69"/>
      <c r="CS2203"/>
      <c r="CT2203"/>
      <c r="CU2203"/>
      <c r="CV2203"/>
      <c r="CW2203"/>
      <c r="CX2203"/>
      <c r="CY2203"/>
    </row>
    <row r="2204" spans="2:103" s="60" customFormat="1" x14ac:dyDescent="0.5">
      <c r="B2204" s="87"/>
      <c r="C2204" s="106"/>
      <c r="D2204" s="91"/>
      <c r="E2204" s="91"/>
      <c r="F2204" s="91"/>
      <c r="G2204" s="91"/>
      <c r="H2204" s="69"/>
      <c r="I2204" s="69"/>
      <c r="CS2204"/>
      <c r="CT2204"/>
      <c r="CU2204"/>
      <c r="CV2204"/>
      <c r="CW2204"/>
      <c r="CX2204"/>
      <c r="CY2204"/>
    </row>
    <row r="2205" spans="2:103" s="60" customFormat="1" x14ac:dyDescent="0.5">
      <c r="B2205" s="87"/>
      <c r="C2205" s="106"/>
      <c r="D2205" s="91"/>
      <c r="E2205" s="91"/>
      <c r="F2205" s="91"/>
      <c r="G2205" s="91"/>
      <c r="H2205" s="69"/>
      <c r="I2205" s="69"/>
      <c r="CS2205"/>
      <c r="CT2205"/>
      <c r="CU2205"/>
      <c r="CV2205"/>
      <c r="CW2205"/>
      <c r="CX2205"/>
      <c r="CY2205"/>
    </row>
    <row r="2206" spans="2:103" s="60" customFormat="1" x14ac:dyDescent="0.5">
      <c r="B2206" s="87"/>
      <c r="C2206" s="106"/>
      <c r="D2206" s="91"/>
      <c r="E2206" s="91"/>
      <c r="F2206" s="91"/>
      <c r="G2206" s="91"/>
      <c r="H2206" s="69"/>
      <c r="I2206" s="69"/>
      <c r="CS2206"/>
      <c r="CT2206"/>
      <c r="CU2206"/>
      <c r="CV2206"/>
      <c r="CW2206"/>
      <c r="CX2206"/>
      <c r="CY2206"/>
    </row>
    <row r="2207" spans="2:103" s="60" customFormat="1" x14ac:dyDescent="0.5">
      <c r="B2207" s="87"/>
      <c r="C2207" s="106"/>
      <c r="D2207" s="91"/>
      <c r="E2207" s="91"/>
      <c r="F2207" s="91"/>
      <c r="G2207" s="91"/>
      <c r="H2207" s="69"/>
      <c r="I2207" s="69"/>
      <c r="CS2207"/>
      <c r="CT2207"/>
      <c r="CU2207"/>
      <c r="CV2207"/>
      <c r="CW2207"/>
      <c r="CX2207"/>
      <c r="CY2207"/>
    </row>
    <row r="2208" spans="2:103" s="60" customFormat="1" x14ac:dyDescent="0.5">
      <c r="B2208" s="87"/>
      <c r="C2208" s="106"/>
      <c r="D2208" s="91"/>
      <c r="E2208" s="91"/>
      <c r="F2208" s="91"/>
      <c r="G2208" s="91"/>
      <c r="H2208" s="69"/>
      <c r="I2208" s="69"/>
      <c r="CS2208"/>
      <c r="CT2208"/>
      <c r="CU2208"/>
      <c r="CV2208"/>
      <c r="CW2208"/>
      <c r="CX2208"/>
      <c r="CY2208"/>
    </row>
    <row r="2209" spans="2:103" s="60" customFormat="1" x14ac:dyDescent="0.5">
      <c r="B2209" s="87"/>
      <c r="C2209" s="106"/>
      <c r="D2209" s="91"/>
      <c r="E2209" s="91"/>
      <c r="F2209" s="91"/>
      <c r="G2209" s="91"/>
      <c r="H2209" s="69"/>
      <c r="I2209" s="69"/>
      <c r="CS2209"/>
      <c r="CT2209"/>
      <c r="CU2209"/>
      <c r="CV2209"/>
      <c r="CW2209"/>
      <c r="CX2209"/>
      <c r="CY2209"/>
    </row>
    <row r="2210" spans="2:103" s="60" customFormat="1" x14ac:dyDescent="0.5">
      <c r="B2210" s="87"/>
      <c r="C2210" s="106"/>
      <c r="D2210" s="91"/>
      <c r="E2210" s="91"/>
      <c r="F2210" s="91"/>
      <c r="G2210" s="91"/>
      <c r="H2210" s="69"/>
      <c r="I2210" s="69"/>
      <c r="CS2210"/>
      <c r="CT2210"/>
      <c r="CU2210"/>
      <c r="CV2210"/>
      <c r="CW2210"/>
      <c r="CX2210"/>
      <c r="CY2210"/>
    </row>
    <row r="2211" spans="2:103" s="60" customFormat="1" x14ac:dyDescent="0.5">
      <c r="B2211" s="87"/>
      <c r="C2211" s="106"/>
      <c r="D2211" s="91"/>
      <c r="E2211" s="91"/>
      <c r="F2211" s="91"/>
      <c r="G2211" s="91"/>
      <c r="H2211" s="69"/>
      <c r="I2211" s="69"/>
      <c r="CS2211"/>
      <c r="CT2211"/>
      <c r="CU2211"/>
      <c r="CV2211"/>
      <c r="CW2211"/>
      <c r="CX2211"/>
      <c r="CY2211"/>
    </row>
    <row r="2212" spans="2:103" s="60" customFormat="1" x14ac:dyDescent="0.5">
      <c r="B2212" s="87"/>
      <c r="C2212" s="106"/>
      <c r="D2212" s="91"/>
      <c r="E2212" s="91"/>
      <c r="F2212" s="91"/>
      <c r="G2212" s="91"/>
      <c r="H2212" s="69"/>
      <c r="I2212" s="69"/>
      <c r="CS2212"/>
      <c r="CT2212"/>
      <c r="CU2212"/>
      <c r="CV2212"/>
      <c r="CW2212"/>
      <c r="CX2212"/>
      <c r="CY2212"/>
    </row>
    <row r="2213" spans="2:103" s="60" customFormat="1" x14ac:dyDescent="0.5">
      <c r="B2213" s="87"/>
      <c r="C2213" s="106"/>
      <c r="D2213" s="91"/>
      <c r="E2213" s="91"/>
      <c r="F2213" s="91"/>
      <c r="G2213" s="91"/>
      <c r="H2213" s="69"/>
      <c r="I2213" s="69"/>
      <c r="CS2213"/>
      <c r="CT2213"/>
      <c r="CU2213"/>
      <c r="CV2213"/>
      <c r="CW2213"/>
      <c r="CX2213"/>
      <c r="CY2213"/>
    </row>
    <row r="2214" spans="2:103" s="60" customFormat="1" x14ac:dyDescent="0.5">
      <c r="B2214" s="87"/>
      <c r="C2214" s="106"/>
      <c r="D2214" s="91"/>
      <c r="E2214" s="91"/>
      <c r="F2214" s="91"/>
      <c r="G2214" s="91"/>
      <c r="H2214" s="69"/>
      <c r="I2214" s="69"/>
      <c r="CS2214"/>
      <c r="CT2214"/>
      <c r="CU2214"/>
      <c r="CV2214"/>
      <c r="CW2214"/>
      <c r="CX2214"/>
      <c r="CY2214"/>
    </row>
    <row r="2215" spans="2:103" s="60" customFormat="1" x14ac:dyDescent="0.5">
      <c r="B2215" s="87"/>
      <c r="C2215" s="106"/>
      <c r="D2215" s="91"/>
      <c r="E2215" s="91"/>
      <c r="F2215" s="91"/>
      <c r="G2215" s="91"/>
      <c r="H2215" s="69"/>
      <c r="I2215" s="69"/>
      <c r="CS2215"/>
      <c r="CT2215"/>
      <c r="CU2215"/>
      <c r="CV2215"/>
      <c r="CW2215"/>
      <c r="CX2215"/>
      <c r="CY2215"/>
    </row>
    <row r="2216" spans="2:103" s="60" customFormat="1" x14ac:dyDescent="0.5">
      <c r="B2216" s="87"/>
      <c r="C2216" s="106"/>
      <c r="D2216" s="91"/>
      <c r="E2216" s="91"/>
      <c r="F2216" s="91"/>
      <c r="G2216" s="91"/>
      <c r="H2216" s="69"/>
      <c r="I2216" s="69"/>
      <c r="CS2216"/>
      <c r="CT2216"/>
      <c r="CU2216"/>
      <c r="CV2216"/>
      <c r="CW2216"/>
      <c r="CX2216"/>
      <c r="CY2216"/>
    </row>
    <row r="2217" spans="2:103" s="60" customFormat="1" x14ac:dyDescent="0.5">
      <c r="B2217" s="87"/>
      <c r="C2217" s="106"/>
      <c r="D2217" s="91"/>
      <c r="E2217" s="91"/>
      <c r="F2217" s="91"/>
      <c r="G2217" s="91"/>
      <c r="H2217" s="69"/>
      <c r="I2217" s="69"/>
      <c r="CS2217"/>
      <c r="CT2217"/>
      <c r="CU2217"/>
      <c r="CV2217"/>
      <c r="CW2217"/>
      <c r="CX2217"/>
      <c r="CY2217"/>
    </row>
    <row r="2218" spans="2:103" s="60" customFormat="1" x14ac:dyDescent="0.5">
      <c r="B2218" s="87"/>
      <c r="C2218" s="106"/>
      <c r="D2218" s="91"/>
      <c r="E2218" s="91"/>
      <c r="F2218" s="91"/>
      <c r="G2218" s="91"/>
      <c r="H2218" s="69"/>
      <c r="I2218" s="69"/>
      <c r="CS2218"/>
      <c r="CT2218"/>
      <c r="CU2218"/>
      <c r="CV2218"/>
      <c r="CW2218"/>
      <c r="CX2218"/>
      <c r="CY2218"/>
    </row>
    <row r="2219" spans="2:103" s="60" customFormat="1" x14ac:dyDescent="0.5">
      <c r="B2219" s="87"/>
      <c r="C2219" s="106"/>
      <c r="D2219" s="91"/>
      <c r="E2219" s="91"/>
      <c r="F2219" s="91"/>
      <c r="G2219" s="91"/>
      <c r="H2219" s="69"/>
      <c r="I2219" s="69"/>
      <c r="CS2219"/>
      <c r="CT2219"/>
      <c r="CU2219"/>
      <c r="CV2219"/>
      <c r="CW2219"/>
      <c r="CX2219"/>
      <c r="CY2219"/>
    </row>
    <row r="2220" spans="2:103" s="60" customFormat="1" x14ac:dyDescent="0.5">
      <c r="B2220" s="87"/>
      <c r="C2220" s="106"/>
      <c r="D2220" s="91"/>
      <c r="E2220" s="91"/>
      <c r="F2220" s="91"/>
      <c r="G2220" s="91"/>
      <c r="H2220" s="69"/>
      <c r="I2220" s="69"/>
      <c r="CS2220"/>
      <c r="CT2220"/>
      <c r="CU2220"/>
      <c r="CV2220"/>
      <c r="CW2220"/>
      <c r="CX2220"/>
      <c r="CY2220"/>
    </row>
    <row r="2221" spans="2:103" s="60" customFormat="1" x14ac:dyDescent="0.5">
      <c r="B2221" s="87"/>
      <c r="C2221" s="106"/>
      <c r="D2221" s="91"/>
      <c r="E2221" s="91"/>
      <c r="F2221" s="91"/>
      <c r="G2221" s="91"/>
      <c r="H2221" s="69"/>
      <c r="I2221" s="69"/>
      <c r="CS2221"/>
      <c r="CT2221"/>
      <c r="CU2221"/>
      <c r="CV2221"/>
      <c r="CW2221"/>
      <c r="CX2221"/>
      <c r="CY2221"/>
    </row>
    <row r="2222" spans="2:103" s="60" customFormat="1" x14ac:dyDescent="0.5">
      <c r="B2222" s="87"/>
      <c r="C2222" s="106"/>
      <c r="D2222" s="91"/>
      <c r="E2222" s="91"/>
      <c r="F2222" s="91"/>
      <c r="G2222" s="91"/>
      <c r="H2222" s="69"/>
      <c r="I2222" s="69"/>
      <c r="CS2222"/>
      <c r="CT2222"/>
      <c r="CU2222"/>
      <c r="CV2222"/>
      <c r="CW2222"/>
      <c r="CX2222"/>
      <c r="CY2222"/>
    </row>
    <row r="2223" spans="2:103" s="60" customFormat="1" x14ac:dyDescent="0.5">
      <c r="B2223" s="87"/>
      <c r="C2223" s="106"/>
      <c r="D2223" s="91"/>
      <c r="E2223" s="91"/>
      <c r="F2223" s="91"/>
      <c r="G2223" s="91"/>
      <c r="H2223" s="69"/>
      <c r="I2223" s="69"/>
      <c r="CS2223"/>
      <c r="CT2223"/>
      <c r="CU2223"/>
      <c r="CV2223"/>
      <c r="CW2223"/>
      <c r="CX2223"/>
      <c r="CY2223"/>
    </row>
    <row r="2224" spans="2:103" s="60" customFormat="1" x14ac:dyDescent="0.5">
      <c r="B2224" s="87"/>
      <c r="C2224" s="106"/>
      <c r="D2224" s="91"/>
      <c r="E2224" s="91"/>
      <c r="F2224" s="91"/>
      <c r="G2224" s="91"/>
      <c r="H2224" s="69"/>
      <c r="I2224" s="69"/>
      <c r="CS2224"/>
      <c r="CT2224"/>
      <c r="CU2224"/>
      <c r="CV2224"/>
      <c r="CW2224"/>
      <c r="CX2224"/>
      <c r="CY2224"/>
    </row>
    <row r="2225" spans="2:103" s="60" customFormat="1" x14ac:dyDescent="0.5">
      <c r="B2225" s="87"/>
      <c r="C2225" s="106"/>
      <c r="D2225" s="91"/>
      <c r="E2225" s="91"/>
      <c r="F2225" s="91"/>
      <c r="G2225" s="91"/>
      <c r="H2225" s="69"/>
      <c r="I2225" s="69"/>
      <c r="CS2225"/>
      <c r="CT2225"/>
      <c r="CU2225"/>
      <c r="CV2225"/>
      <c r="CW2225"/>
      <c r="CX2225"/>
      <c r="CY2225"/>
    </row>
    <row r="2226" spans="2:103" s="60" customFormat="1" x14ac:dyDescent="0.5">
      <c r="B2226" s="87"/>
      <c r="C2226" s="106"/>
      <c r="D2226" s="91"/>
      <c r="E2226" s="91"/>
      <c r="F2226" s="91"/>
      <c r="G2226" s="91"/>
      <c r="H2226" s="69"/>
      <c r="I2226" s="69"/>
      <c r="CS2226"/>
      <c r="CT2226"/>
      <c r="CU2226"/>
      <c r="CV2226"/>
      <c r="CW2226"/>
      <c r="CX2226"/>
      <c r="CY2226"/>
    </row>
    <row r="2227" spans="2:103" s="60" customFormat="1" x14ac:dyDescent="0.5">
      <c r="B2227" s="87"/>
      <c r="C2227" s="106"/>
      <c r="D2227" s="91"/>
      <c r="E2227" s="91"/>
      <c r="F2227" s="91"/>
      <c r="G2227" s="91"/>
      <c r="H2227" s="69"/>
      <c r="I2227" s="69"/>
      <c r="CS2227"/>
      <c r="CT2227"/>
      <c r="CU2227"/>
      <c r="CV2227"/>
      <c r="CW2227"/>
      <c r="CX2227"/>
      <c r="CY2227"/>
    </row>
    <row r="2228" spans="2:103" s="60" customFormat="1" x14ac:dyDescent="0.5">
      <c r="B2228" s="87"/>
      <c r="C2228" s="106"/>
      <c r="D2228" s="91"/>
      <c r="E2228" s="91"/>
      <c r="F2228" s="91"/>
      <c r="G2228" s="91"/>
      <c r="H2228" s="69"/>
      <c r="I2228" s="69"/>
      <c r="CS2228"/>
      <c r="CT2228"/>
      <c r="CU2228"/>
      <c r="CV2228"/>
      <c r="CW2228"/>
      <c r="CX2228"/>
      <c r="CY2228"/>
    </row>
    <row r="2229" spans="2:103" s="60" customFormat="1" x14ac:dyDescent="0.5">
      <c r="B2229" s="87"/>
      <c r="C2229" s="106"/>
      <c r="D2229" s="91"/>
      <c r="E2229" s="91"/>
      <c r="F2229" s="91"/>
      <c r="G2229" s="91"/>
      <c r="H2229" s="69"/>
      <c r="I2229" s="69"/>
      <c r="CS2229"/>
      <c r="CT2229"/>
      <c r="CU2229"/>
      <c r="CV2229"/>
      <c r="CW2229"/>
      <c r="CX2229"/>
      <c r="CY2229"/>
    </row>
    <row r="2230" spans="2:103" s="60" customFormat="1" x14ac:dyDescent="0.5">
      <c r="B2230" s="87"/>
      <c r="C2230" s="106"/>
      <c r="D2230" s="91"/>
      <c r="E2230" s="91"/>
      <c r="F2230" s="91"/>
      <c r="G2230" s="91"/>
      <c r="H2230" s="69"/>
      <c r="I2230" s="69"/>
      <c r="CS2230"/>
      <c r="CT2230"/>
      <c r="CU2230"/>
      <c r="CV2230"/>
      <c r="CW2230"/>
      <c r="CX2230"/>
      <c r="CY2230"/>
    </row>
    <row r="2231" spans="2:103" s="60" customFormat="1" x14ac:dyDescent="0.5">
      <c r="B2231" s="87"/>
      <c r="C2231" s="106"/>
      <c r="D2231" s="91"/>
      <c r="E2231" s="91"/>
      <c r="F2231" s="91"/>
      <c r="G2231" s="91"/>
      <c r="H2231" s="69"/>
      <c r="I2231" s="69"/>
      <c r="CS2231"/>
      <c r="CT2231"/>
      <c r="CU2231"/>
      <c r="CV2231"/>
      <c r="CW2231"/>
      <c r="CX2231"/>
      <c r="CY2231"/>
    </row>
    <row r="2232" spans="2:103" s="60" customFormat="1" x14ac:dyDescent="0.5">
      <c r="B2232" s="87"/>
      <c r="C2232" s="106"/>
      <c r="D2232" s="91"/>
      <c r="E2232" s="91"/>
      <c r="F2232" s="91"/>
      <c r="G2232" s="91"/>
      <c r="H2232" s="69"/>
      <c r="I2232" s="69"/>
      <c r="CS2232"/>
      <c r="CT2232"/>
      <c r="CU2232"/>
      <c r="CV2232"/>
      <c r="CW2232"/>
      <c r="CX2232"/>
      <c r="CY2232"/>
    </row>
    <row r="2233" spans="2:103" s="60" customFormat="1" x14ac:dyDescent="0.5">
      <c r="B2233" s="87"/>
      <c r="C2233" s="106"/>
      <c r="D2233" s="91"/>
      <c r="E2233" s="91"/>
      <c r="F2233" s="91"/>
      <c r="G2233" s="91"/>
      <c r="H2233" s="69"/>
      <c r="I2233" s="69"/>
      <c r="CS2233"/>
      <c r="CT2233"/>
      <c r="CU2233"/>
      <c r="CV2233"/>
      <c r="CW2233"/>
      <c r="CX2233"/>
      <c r="CY2233"/>
    </row>
    <row r="2234" spans="2:103" s="60" customFormat="1" x14ac:dyDescent="0.5">
      <c r="B2234" s="87"/>
      <c r="C2234" s="106"/>
      <c r="D2234" s="91"/>
      <c r="E2234" s="91"/>
      <c r="F2234" s="91"/>
      <c r="G2234" s="91"/>
      <c r="H2234" s="69"/>
      <c r="I2234" s="69"/>
      <c r="CS2234"/>
      <c r="CT2234"/>
      <c r="CU2234"/>
      <c r="CV2234"/>
      <c r="CW2234"/>
      <c r="CX2234"/>
      <c r="CY2234"/>
    </row>
    <row r="2235" spans="2:103" s="60" customFormat="1" x14ac:dyDescent="0.5">
      <c r="B2235" s="87"/>
      <c r="C2235" s="106"/>
      <c r="D2235" s="91"/>
      <c r="E2235" s="91"/>
      <c r="F2235" s="91"/>
      <c r="G2235" s="91"/>
      <c r="H2235" s="69"/>
      <c r="I2235" s="69"/>
      <c r="CS2235"/>
      <c r="CT2235"/>
      <c r="CU2235"/>
      <c r="CV2235"/>
      <c r="CW2235"/>
      <c r="CX2235"/>
      <c r="CY2235"/>
    </row>
    <row r="2236" spans="2:103" s="60" customFormat="1" x14ac:dyDescent="0.5">
      <c r="B2236" s="87"/>
      <c r="C2236" s="106"/>
      <c r="D2236" s="91"/>
      <c r="E2236" s="91"/>
      <c r="F2236" s="91"/>
      <c r="G2236" s="91"/>
      <c r="H2236" s="69"/>
      <c r="I2236" s="69"/>
      <c r="CS2236"/>
      <c r="CT2236"/>
      <c r="CU2236"/>
      <c r="CV2236"/>
      <c r="CW2236"/>
      <c r="CX2236"/>
      <c r="CY2236"/>
    </row>
    <row r="2237" spans="2:103" s="60" customFormat="1" x14ac:dyDescent="0.5">
      <c r="B2237" s="87"/>
      <c r="C2237" s="106"/>
      <c r="D2237" s="91"/>
      <c r="E2237" s="91"/>
      <c r="F2237" s="91"/>
      <c r="G2237" s="91"/>
      <c r="H2237" s="69"/>
      <c r="I2237" s="69"/>
      <c r="CS2237"/>
      <c r="CT2237"/>
      <c r="CU2237"/>
      <c r="CV2237"/>
      <c r="CW2237"/>
      <c r="CX2237"/>
      <c r="CY2237"/>
    </row>
    <row r="2238" spans="2:103" s="60" customFormat="1" x14ac:dyDescent="0.5">
      <c r="B2238" s="87"/>
      <c r="C2238" s="106"/>
      <c r="D2238" s="91"/>
      <c r="E2238" s="91"/>
      <c r="F2238" s="91"/>
      <c r="G2238" s="91"/>
      <c r="H2238" s="69"/>
      <c r="I2238" s="69"/>
      <c r="CS2238"/>
      <c r="CT2238"/>
      <c r="CU2238"/>
      <c r="CV2238"/>
      <c r="CW2238"/>
      <c r="CX2238"/>
      <c r="CY2238"/>
    </row>
    <row r="2239" spans="2:103" s="60" customFormat="1" x14ac:dyDescent="0.5">
      <c r="B2239" s="87"/>
      <c r="C2239" s="106"/>
      <c r="D2239" s="91"/>
      <c r="E2239" s="91"/>
      <c r="F2239" s="91"/>
      <c r="G2239" s="91"/>
      <c r="H2239" s="69"/>
      <c r="I2239" s="69"/>
      <c r="CS2239"/>
      <c r="CT2239"/>
      <c r="CU2239"/>
      <c r="CV2239"/>
      <c r="CW2239"/>
      <c r="CX2239"/>
      <c r="CY2239"/>
    </row>
    <row r="2240" spans="2:103" s="60" customFormat="1" x14ac:dyDescent="0.5">
      <c r="B2240" s="87"/>
      <c r="C2240" s="106"/>
      <c r="D2240" s="91"/>
      <c r="E2240" s="91"/>
      <c r="F2240" s="91"/>
      <c r="G2240" s="91"/>
      <c r="H2240" s="69"/>
      <c r="I2240" s="69"/>
      <c r="CS2240"/>
      <c r="CT2240"/>
      <c r="CU2240"/>
      <c r="CV2240"/>
      <c r="CW2240"/>
      <c r="CX2240"/>
      <c r="CY2240"/>
    </row>
    <row r="2241" spans="2:103" s="60" customFormat="1" x14ac:dyDescent="0.5">
      <c r="B2241" s="87"/>
      <c r="C2241" s="106"/>
      <c r="D2241" s="91"/>
      <c r="E2241" s="91"/>
      <c r="F2241" s="91"/>
      <c r="G2241" s="91"/>
      <c r="H2241" s="69"/>
      <c r="I2241" s="69"/>
      <c r="CS2241"/>
      <c r="CT2241"/>
      <c r="CU2241"/>
      <c r="CV2241"/>
      <c r="CW2241"/>
      <c r="CX2241"/>
      <c r="CY2241"/>
    </row>
    <row r="2242" spans="2:103" s="60" customFormat="1" x14ac:dyDescent="0.5">
      <c r="B2242" s="87"/>
      <c r="C2242" s="106"/>
      <c r="D2242" s="91"/>
      <c r="E2242" s="91"/>
      <c r="F2242" s="91"/>
      <c r="G2242" s="91"/>
      <c r="H2242" s="69"/>
      <c r="I2242" s="69"/>
      <c r="CS2242"/>
      <c r="CT2242"/>
      <c r="CU2242"/>
      <c r="CV2242"/>
      <c r="CW2242"/>
      <c r="CX2242"/>
      <c r="CY2242"/>
    </row>
    <row r="2243" spans="2:103" s="60" customFormat="1" x14ac:dyDescent="0.5">
      <c r="B2243" s="87"/>
      <c r="C2243" s="106"/>
      <c r="D2243" s="91"/>
      <c r="E2243" s="91"/>
      <c r="F2243" s="91"/>
      <c r="G2243" s="91"/>
      <c r="H2243" s="69"/>
      <c r="I2243" s="69"/>
      <c r="CS2243"/>
      <c r="CT2243"/>
      <c r="CU2243"/>
      <c r="CV2243"/>
      <c r="CW2243"/>
      <c r="CX2243"/>
      <c r="CY2243"/>
    </row>
    <row r="2244" spans="2:103" s="60" customFormat="1" x14ac:dyDescent="0.5">
      <c r="B2244" s="87"/>
      <c r="C2244" s="106"/>
      <c r="D2244" s="91"/>
      <c r="E2244" s="91"/>
      <c r="F2244" s="91"/>
      <c r="G2244" s="91"/>
      <c r="H2244" s="69"/>
      <c r="I2244" s="69"/>
      <c r="CS2244"/>
      <c r="CT2244"/>
      <c r="CU2244"/>
      <c r="CV2244"/>
      <c r="CW2244"/>
      <c r="CX2244"/>
      <c r="CY2244"/>
    </row>
    <row r="2245" spans="2:103" s="60" customFormat="1" x14ac:dyDescent="0.5">
      <c r="B2245" s="87"/>
      <c r="C2245" s="106"/>
      <c r="D2245" s="91"/>
      <c r="E2245" s="91"/>
      <c r="F2245" s="91"/>
      <c r="G2245" s="91"/>
      <c r="H2245" s="69"/>
      <c r="I2245" s="69"/>
      <c r="CS2245"/>
      <c r="CT2245"/>
      <c r="CU2245"/>
      <c r="CV2245"/>
      <c r="CW2245"/>
      <c r="CX2245"/>
      <c r="CY2245"/>
    </row>
    <row r="2246" spans="2:103" s="60" customFormat="1" x14ac:dyDescent="0.5">
      <c r="B2246" s="87"/>
      <c r="C2246" s="106"/>
      <c r="D2246" s="91"/>
      <c r="E2246" s="91"/>
      <c r="F2246" s="91"/>
      <c r="G2246" s="91"/>
      <c r="H2246" s="69"/>
      <c r="I2246" s="69"/>
      <c r="CS2246"/>
      <c r="CT2246"/>
      <c r="CU2246"/>
      <c r="CV2246"/>
      <c r="CW2246"/>
      <c r="CX2246"/>
      <c r="CY2246"/>
    </row>
    <row r="2247" spans="2:103" s="60" customFormat="1" x14ac:dyDescent="0.5">
      <c r="B2247" s="87"/>
      <c r="C2247" s="106"/>
      <c r="D2247" s="91"/>
      <c r="E2247" s="91"/>
      <c r="F2247" s="91"/>
      <c r="G2247" s="91"/>
      <c r="H2247" s="69"/>
      <c r="I2247" s="69"/>
      <c r="CS2247"/>
      <c r="CT2247"/>
      <c r="CU2247"/>
      <c r="CV2247"/>
      <c r="CW2247"/>
      <c r="CX2247"/>
      <c r="CY2247"/>
    </row>
    <row r="2248" spans="2:103" s="60" customFormat="1" x14ac:dyDescent="0.5">
      <c r="B2248" s="87"/>
      <c r="C2248" s="106"/>
      <c r="D2248" s="91"/>
      <c r="E2248" s="91"/>
      <c r="F2248" s="91"/>
      <c r="G2248" s="91"/>
      <c r="H2248" s="69"/>
      <c r="I2248" s="69"/>
      <c r="CS2248"/>
      <c r="CT2248"/>
      <c r="CU2248"/>
      <c r="CV2248"/>
      <c r="CW2248"/>
      <c r="CX2248"/>
      <c r="CY2248"/>
    </row>
    <row r="2249" spans="2:103" s="60" customFormat="1" x14ac:dyDescent="0.5">
      <c r="B2249" s="87"/>
      <c r="C2249" s="106"/>
      <c r="D2249" s="91"/>
      <c r="E2249" s="91"/>
      <c r="F2249" s="91"/>
      <c r="G2249" s="91"/>
      <c r="H2249" s="69"/>
      <c r="I2249" s="69"/>
      <c r="CS2249"/>
      <c r="CT2249"/>
      <c r="CU2249"/>
      <c r="CV2249"/>
      <c r="CW2249"/>
      <c r="CX2249"/>
      <c r="CY2249"/>
    </row>
    <row r="2250" spans="2:103" s="60" customFormat="1" x14ac:dyDescent="0.5">
      <c r="B2250" s="87"/>
      <c r="C2250" s="106"/>
      <c r="D2250" s="91"/>
      <c r="E2250" s="91"/>
      <c r="F2250" s="91"/>
      <c r="G2250" s="91"/>
      <c r="H2250" s="69"/>
      <c r="I2250" s="69"/>
      <c r="CS2250"/>
      <c r="CT2250"/>
      <c r="CU2250"/>
      <c r="CV2250"/>
      <c r="CW2250"/>
      <c r="CX2250"/>
      <c r="CY2250"/>
    </row>
    <row r="2251" spans="2:103" s="60" customFormat="1" x14ac:dyDescent="0.5">
      <c r="B2251" s="87"/>
      <c r="C2251" s="106"/>
      <c r="D2251" s="91"/>
      <c r="E2251" s="91"/>
      <c r="F2251" s="91"/>
      <c r="G2251" s="91"/>
      <c r="H2251" s="69"/>
      <c r="I2251" s="69"/>
      <c r="CS2251"/>
      <c r="CT2251"/>
      <c r="CU2251"/>
      <c r="CV2251"/>
      <c r="CW2251"/>
      <c r="CX2251"/>
      <c r="CY2251"/>
    </row>
    <row r="2252" spans="2:103" s="60" customFormat="1" x14ac:dyDescent="0.5">
      <c r="B2252" s="87"/>
      <c r="C2252" s="106"/>
      <c r="D2252" s="91"/>
      <c r="E2252" s="91"/>
      <c r="F2252" s="91"/>
      <c r="G2252" s="91"/>
      <c r="H2252" s="69"/>
      <c r="I2252" s="69"/>
      <c r="CS2252"/>
      <c r="CT2252"/>
      <c r="CU2252"/>
      <c r="CV2252"/>
      <c r="CW2252"/>
      <c r="CX2252"/>
      <c r="CY2252"/>
    </row>
    <row r="2253" spans="2:103" s="60" customFormat="1" x14ac:dyDescent="0.5">
      <c r="B2253" s="87"/>
      <c r="C2253" s="106"/>
      <c r="D2253" s="91"/>
      <c r="E2253" s="91"/>
      <c r="F2253" s="91"/>
      <c r="G2253" s="91"/>
      <c r="H2253" s="69"/>
      <c r="I2253" s="69"/>
      <c r="CS2253"/>
      <c r="CT2253"/>
      <c r="CU2253"/>
      <c r="CV2253"/>
      <c r="CW2253"/>
      <c r="CX2253"/>
      <c r="CY2253"/>
    </row>
    <row r="2254" spans="2:103" s="60" customFormat="1" x14ac:dyDescent="0.5">
      <c r="B2254" s="87"/>
      <c r="C2254" s="106"/>
      <c r="D2254" s="91"/>
      <c r="E2254" s="91"/>
      <c r="F2254" s="91"/>
      <c r="G2254" s="91"/>
      <c r="H2254" s="69"/>
      <c r="I2254" s="69"/>
      <c r="CS2254"/>
      <c r="CT2254"/>
      <c r="CU2254"/>
      <c r="CV2254"/>
      <c r="CW2254"/>
      <c r="CX2254"/>
      <c r="CY2254"/>
    </row>
    <row r="2255" spans="2:103" s="60" customFormat="1" x14ac:dyDescent="0.5">
      <c r="B2255" s="87"/>
      <c r="C2255" s="106"/>
      <c r="D2255" s="91"/>
      <c r="E2255" s="91"/>
      <c r="F2255" s="91"/>
      <c r="G2255" s="91"/>
      <c r="H2255" s="69"/>
      <c r="I2255" s="69"/>
      <c r="CS2255"/>
      <c r="CT2255"/>
      <c r="CU2255"/>
      <c r="CV2255"/>
      <c r="CW2255"/>
      <c r="CX2255"/>
      <c r="CY2255"/>
    </row>
    <row r="2256" spans="2:103" s="60" customFormat="1" x14ac:dyDescent="0.5">
      <c r="B2256" s="87"/>
      <c r="C2256" s="106"/>
      <c r="D2256" s="91"/>
      <c r="E2256" s="91"/>
      <c r="F2256" s="91"/>
      <c r="G2256" s="91"/>
      <c r="H2256" s="69"/>
      <c r="I2256" s="69"/>
      <c r="CS2256"/>
      <c r="CT2256"/>
      <c r="CU2256"/>
      <c r="CV2256"/>
      <c r="CW2256"/>
      <c r="CX2256"/>
      <c r="CY2256"/>
    </row>
    <row r="2257" spans="2:103" s="60" customFormat="1" x14ac:dyDescent="0.5">
      <c r="B2257" s="87"/>
      <c r="C2257" s="106"/>
      <c r="D2257" s="91"/>
      <c r="E2257" s="91"/>
      <c r="F2257" s="91"/>
      <c r="G2257" s="91"/>
      <c r="H2257" s="69"/>
      <c r="I2257" s="69"/>
      <c r="CS2257"/>
      <c r="CT2257"/>
      <c r="CU2257"/>
      <c r="CV2257"/>
      <c r="CW2257"/>
      <c r="CX2257"/>
      <c r="CY2257"/>
    </row>
    <row r="2258" spans="2:103" s="60" customFormat="1" x14ac:dyDescent="0.5">
      <c r="B2258" s="87"/>
      <c r="C2258" s="106"/>
      <c r="D2258" s="91"/>
      <c r="E2258" s="91"/>
      <c r="F2258" s="91"/>
      <c r="G2258" s="91"/>
      <c r="H2258" s="69"/>
      <c r="I2258" s="69"/>
      <c r="CS2258"/>
      <c r="CT2258"/>
      <c r="CU2258"/>
      <c r="CV2258"/>
      <c r="CW2258"/>
      <c r="CX2258"/>
      <c r="CY2258"/>
    </row>
    <row r="2259" spans="2:103" s="60" customFormat="1" x14ac:dyDescent="0.5">
      <c r="B2259" s="87"/>
      <c r="C2259" s="106"/>
      <c r="D2259" s="91"/>
      <c r="E2259" s="91"/>
      <c r="F2259" s="91"/>
      <c r="G2259" s="91"/>
      <c r="H2259" s="69"/>
      <c r="I2259" s="69"/>
      <c r="CS2259"/>
      <c r="CT2259"/>
      <c r="CU2259"/>
      <c r="CV2259"/>
      <c r="CW2259"/>
      <c r="CX2259"/>
      <c r="CY2259"/>
    </row>
    <row r="2260" spans="2:103" s="60" customFormat="1" x14ac:dyDescent="0.5">
      <c r="B2260" s="87"/>
      <c r="C2260" s="106"/>
      <c r="D2260" s="91"/>
      <c r="E2260" s="91"/>
      <c r="F2260" s="91"/>
      <c r="G2260" s="91"/>
      <c r="H2260" s="69"/>
      <c r="I2260" s="69"/>
      <c r="CS2260"/>
      <c r="CT2260"/>
      <c r="CU2260"/>
      <c r="CV2260"/>
      <c r="CW2260"/>
      <c r="CX2260"/>
      <c r="CY2260"/>
    </row>
    <row r="2261" spans="2:103" s="60" customFormat="1" x14ac:dyDescent="0.5">
      <c r="B2261" s="87"/>
      <c r="C2261" s="106"/>
      <c r="D2261" s="91"/>
      <c r="E2261" s="91"/>
      <c r="F2261" s="91"/>
      <c r="G2261" s="91"/>
      <c r="H2261" s="69"/>
      <c r="I2261" s="69"/>
      <c r="CS2261"/>
      <c r="CT2261"/>
      <c r="CU2261"/>
      <c r="CV2261"/>
      <c r="CW2261"/>
      <c r="CX2261"/>
      <c r="CY2261"/>
    </row>
    <row r="2262" spans="2:103" s="60" customFormat="1" x14ac:dyDescent="0.5">
      <c r="B2262" s="87"/>
      <c r="C2262" s="106"/>
      <c r="D2262" s="91"/>
      <c r="E2262" s="91"/>
      <c r="F2262" s="91"/>
      <c r="G2262" s="91"/>
      <c r="H2262" s="69"/>
      <c r="I2262" s="69"/>
      <c r="CS2262"/>
      <c r="CT2262"/>
      <c r="CU2262"/>
      <c r="CV2262"/>
      <c r="CW2262"/>
      <c r="CX2262"/>
      <c r="CY2262"/>
    </row>
    <row r="2263" spans="2:103" s="60" customFormat="1" x14ac:dyDescent="0.5">
      <c r="B2263" s="87"/>
      <c r="C2263" s="106"/>
      <c r="D2263" s="91"/>
      <c r="E2263" s="91"/>
      <c r="F2263" s="91"/>
      <c r="G2263" s="91"/>
      <c r="H2263" s="69"/>
      <c r="I2263" s="69"/>
      <c r="CS2263"/>
      <c r="CT2263"/>
      <c r="CU2263"/>
      <c r="CV2263"/>
      <c r="CW2263"/>
      <c r="CX2263"/>
      <c r="CY2263"/>
    </row>
    <row r="2264" spans="2:103" s="60" customFormat="1" x14ac:dyDescent="0.5">
      <c r="B2264" s="87"/>
      <c r="C2264" s="106"/>
      <c r="D2264" s="91"/>
      <c r="E2264" s="91"/>
      <c r="F2264" s="91"/>
      <c r="G2264" s="91"/>
      <c r="H2264" s="69"/>
      <c r="I2264" s="69"/>
      <c r="CS2264"/>
      <c r="CT2264"/>
      <c r="CU2264"/>
      <c r="CV2264"/>
      <c r="CW2264"/>
      <c r="CX2264"/>
      <c r="CY2264"/>
    </row>
    <row r="2265" spans="2:103" s="60" customFormat="1" x14ac:dyDescent="0.5">
      <c r="B2265" s="87"/>
      <c r="C2265" s="106"/>
      <c r="D2265" s="91"/>
      <c r="E2265" s="91"/>
      <c r="F2265" s="91"/>
      <c r="G2265" s="91"/>
      <c r="H2265" s="69"/>
      <c r="I2265" s="69"/>
      <c r="CS2265"/>
      <c r="CT2265"/>
      <c r="CU2265"/>
      <c r="CV2265"/>
      <c r="CW2265"/>
      <c r="CX2265"/>
      <c r="CY2265"/>
    </row>
    <row r="2266" spans="2:103" s="60" customFormat="1" x14ac:dyDescent="0.5">
      <c r="B2266" s="87"/>
      <c r="C2266" s="106"/>
      <c r="D2266" s="91"/>
      <c r="E2266" s="91"/>
      <c r="F2266" s="91"/>
      <c r="G2266" s="91"/>
      <c r="H2266" s="69"/>
      <c r="I2266" s="69"/>
      <c r="CS2266"/>
      <c r="CT2266"/>
      <c r="CU2266"/>
      <c r="CV2266"/>
      <c r="CW2266"/>
      <c r="CX2266"/>
      <c r="CY2266"/>
    </row>
    <row r="2267" spans="2:103" s="60" customFormat="1" x14ac:dyDescent="0.5">
      <c r="B2267" s="87"/>
      <c r="C2267" s="106"/>
      <c r="D2267" s="91"/>
      <c r="E2267" s="91"/>
      <c r="F2267" s="91"/>
      <c r="G2267" s="91"/>
      <c r="H2267" s="69"/>
      <c r="I2267" s="69"/>
      <c r="CS2267"/>
      <c r="CT2267"/>
      <c r="CU2267"/>
      <c r="CV2267"/>
      <c r="CW2267"/>
      <c r="CX2267"/>
      <c r="CY2267"/>
    </row>
    <row r="2268" spans="2:103" s="60" customFormat="1" x14ac:dyDescent="0.5">
      <c r="B2268" s="87"/>
      <c r="C2268" s="106"/>
      <c r="D2268" s="91"/>
      <c r="E2268" s="91"/>
      <c r="F2268" s="91"/>
      <c r="G2268" s="91"/>
      <c r="H2268" s="69"/>
      <c r="I2268" s="69"/>
      <c r="CS2268"/>
      <c r="CT2268"/>
      <c r="CU2268"/>
      <c r="CV2268"/>
      <c r="CW2268"/>
      <c r="CX2268"/>
      <c r="CY2268"/>
    </row>
    <row r="2269" spans="2:103" s="60" customFormat="1" x14ac:dyDescent="0.5">
      <c r="B2269" s="87"/>
      <c r="C2269" s="106"/>
      <c r="D2269" s="91"/>
      <c r="E2269" s="91"/>
      <c r="F2269" s="91"/>
      <c r="G2269" s="91"/>
      <c r="H2269" s="69"/>
      <c r="I2269" s="69"/>
      <c r="CS2269"/>
      <c r="CT2269"/>
      <c r="CU2269"/>
      <c r="CV2269"/>
      <c r="CW2269"/>
      <c r="CX2269"/>
      <c r="CY2269"/>
    </row>
    <row r="2270" spans="2:103" s="60" customFormat="1" x14ac:dyDescent="0.5">
      <c r="B2270" s="87"/>
      <c r="C2270" s="106"/>
      <c r="D2270" s="91"/>
      <c r="E2270" s="91"/>
      <c r="F2270" s="91"/>
      <c r="G2270" s="91"/>
      <c r="H2270" s="69"/>
      <c r="I2270" s="69"/>
      <c r="CS2270"/>
      <c r="CT2270"/>
      <c r="CU2270"/>
      <c r="CV2270"/>
      <c r="CW2270"/>
      <c r="CX2270"/>
      <c r="CY2270"/>
    </row>
    <row r="2271" spans="2:103" s="60" customFormat="1" x14ac:dyDescent="0.5">
      <c r="B2271" s="87"/>
      <c r="C2271" s="106"/>
      <c r="D2271" s="91"/>
      <c r="E2271" s="91"/>
      <c r="F2271" s="91"/>
      <c r="G2271" s="91"/>
      <c r="H2271" s="69"/>
      <c r="I2271" s="69"/>
      <c r="CS2271"/>
      <c r="CT2271"/>
      <c r="CU2271"/>
      <c r="CV2271"/>
      <c r="CW2271"/>
      <c r="CX2271"/>
      <c r="CY2271"/>
    </row>
    <row r="2272" spans="2:103" s="60" customFormat="1" x14ac:dyDescent="0.5">
      <c r="B2272" s="87"/>
      <c r="C2272" s="106"/>
      <c r="D2272" s="91"/>
      <c r="E2272" s="91"/>
      <c r="F2272" s="91"/>
      <c r="G2272" s="91"/>
      <c r="H2272" s="69"/>
      <c r="I2272" s="69"/>
      <c r="CS2272"/>
      <c r="CT2272"/>
      <c r="CU2272"/>
      <c r="CV2272"/>
      <c r="CW2272"/>
      <c r="CX2272"/>
      <c r="CY2272"/>
    </row>
    <row r="2273" spans="2:103" s="60" customFormat="1" x14ac:dyDescent="0.5">
      <c r="B2273" s="87"/>
      <c r="C2273" s="106"/>
      <c r="D2273" s="91"/>
      <c r="E2273" s="91"/>
      <c r="F2273" s="91"/>
      <c r="G2273" s="91"/>
      <c r="H2273" s="69"/>
      <c r="I2273" s="69"/>
      <c r="CS2273"/>
      <c r="CT2273"/>
      <c r="CU2273"/>
      <c r="CV2273"/>
      <c r="CW2273"/>
      <c r="CX2273"/>
      <c r="CY2273"/>
    </row>
    <row r="2274" spans="2:103" s="60" customFormat="1" x14ac:dyDescent="0.5">
      <c r="B2274" s="87"/>
      <c r="C2274" s="106"/>
      <c r="D2274" s="91"/>
      <c r="E2274" s="91"/>
      <c r="F2274" s="91"/>
      <c r="G2274" s="91"/>
      <c r="H2274" s="69"/>
      <c r="I2274" s="69"/>
      <c r="CS2274"/>
      <c r="CT2274"/>
      <c r="CU2274"/>
      <c r="CV2274"/>
      <c r="CW2274"/>
      <c r="CX2274"/>
      <c r="CY2274"/>
    </row>
    <row r="2275" spans="2:103" s="60" customFormat="1" x14ac:dyDescent="0.5">
      <c r="B2275" s="87"/>
      <c r="C2275" s="106"/>
      <c r="D2275" s="91"/>
      <c r="E2275" s="91"/>
      <c r="F2275" s="91"/>
      <c r="G2275" s="91"/>
      <c r="H2275" s="69"/>
      <c r="I2275" s="69"/>
      <c r="CS2275"/>
      <c r="CT2275"/>
      <c r="CU2275"/>
      <c r="CV2275"/>
      <c r="CW2275"/>
      <c r="CX2275"/>
      <c r="CY2275"/>
    </row>
    <row r="2276" spans="2:103" s="60" customFormat="1" x14ac:dyDescent="0.5">
      <c r="B2276" s="87"/>
      <c r="C2276" s="106"/>
      <c r="D2276" s="91"/>
      <c r="E2276" s="91"/>
      <c r="F2276" s="91"/>
      <c r="G2276" s="91"/>
      <c r="H2276" s="69"/>
      <c r="I2276" s="69"/>
      <c r="CS2276"/>
      <c r="CT2276"/>
      <c r="CU2276"/>
      <c r="CV2276"/>
      <c r="CW2276"/>
      <c r="CX2276"/>
      <c r="CY2276"/>
    </row>
    <row r="2277" spans="2:103" s="60" customFormat="1" x14ac:dyDescent="0.5">
      <c r="B2277" s="87"/>
      <c r="C2277" s="106"/>
      <c r="D2277" s="91"/>
      <c r="E2277" s="91"/>
      <c r="F2277" s="91"/>
      <c r="G2277" s="91"/>
      <c r="H2277" s="69"/>
      <c r="I2277" s="69"/>
      <c r="CS2277"/>
      <c r="CT2277"/>
      <c r="CU2277"/>
      <c r="CV2277"/>
      <c r="CW2277"/>
      <c r="CX2277"/>
      <c r="CY2277"/>
    </row>
    <row r="2278" spans="2:103" s="60" customFormat="1" x14ac:dyDescent="0.5">
      <c r="B2278" s="87"/>
      <c r="C2278" s="106"/>
      <c r="D2278" s="91"/>
      <c r="E2278" s="91"/>
      <c r="F2278" s="91"/>
      <c r="G2278" s="91"/>
      <c r="H2278" s="69"/>
      <c r="I2278" s="69"/>
      <c r="CS2278"/>
      <c r="CT2278"/>
      <c r="CU2278"/>
      <c r="CV2278"/>
      <c r="CW2278"/>
      <c r="CX2278"/>
      <c r="CY2278"/>
    </row>
    <row r="2279" spans="2:103" s="60" customFormat="1" x14ac:dyDescent="0.5">
      <c r="B2279" s="87"/>
      <c r="C2279" s="106"/>
      <c r="D2279" s="91"/>
      <c r="E2279" s="91"/>
      <c r="F2279" s="91"/>
      <c r="G2279" s="91"/>
      <c r="H2279" s="69"/>
      <c r="I2279" s="69"/>
      <c r="CS2279"/>
      <c r="CT2279"/>
      <c r="CU2279"/>
      <c r="CV2279"/>
      <c r="CW2279"/>
      <c r="CX2279"/>
      <c r="CY2279"/>
    </row>
    <row r="2280" spans="2:103" s="60" customFormat="1" x14ac:dyDescent="0.5">
      <c r="B2280" s="87"/>
      <c r="C2280" s="106"/>
      <c r="D2280" s="91"/>
      <c r="E2280" s="91"/>
      <c r="F2280" s="91"/>
      <c r="G2280" s="91"/>
      <c r="H2280" s="69"/>
      <c r="I2280" s="69"/>
      <c r="CS2280"/>
      <c r="CT2280"/>
      <c r="CU2280"/>
      <c r="CV2280"/>
      <c r="CW2280"/>
      <c r="CX2280"/>
      <c r="CY2280"/>
    </row>
    <row r="2281" spans="2:103" s="60" customFormat="1" x14ac:dyDescent="0.5">
      <c r="B2281" s="87"/>
      <c r="C2281" s="106"/>
      <c r="D2281" s="91"/>
      <c r="E2281" s="91"/>
      <c r="F2281" s="91"/>
      <c r="G2281" s="91"/>
      <c r="H2281" s="69"/>
      <c r="I2281" s="69"/>
      <c r="CS2281"/>
      <c r="CT2281"/>
      <c r="CU2281"/>
      <c r="CV2281"/>
      <c r="CW2281"/>
      <c r="CX2281"/>
      <c r="CY2281"/>
    </row>
    <row r="2282" spans="2:103" s="60" customFormat="1" x14ac:dyDescent="0.5">
      <c r="B2282" s="87"/>
      <c r="C2282" s="106"/>
      <c r="D2282" s="91"/>
      <c r="E2282" s="91"/>
      <c r="F2282" s="91"/>
      <c r="G2282" s="91"/>
      <c r="H2282" s="69"/>
      <c r="I2282" s="69"/>
      <c r="CS2282"/>
      <c r="CT2282"/>
      <c r="CU2282"/>
      <c r="CV2282"/>
      <c r="CW2282"/>
      <c r="CX2282"/>
      <c r="CY2282"/>
    </row>
    <row r="2283" spans="2:103" s="60" customFormat="1" x14ac:dyDescent="0.5">
      <c r="B2283" s="87"/>
      <c r="C2283" s="106"/>
      <c r="D2283" s="91"/>
      <c r="E2283" s="91"/>
      <c r="F2283" s="91"/>
      <c r="G2283" s="91"/>
      <c r="H2283" s="69"/>
      <c r="I2283" s="69"/>
      <c r="CS2283"/>
      <c r="CT2283"/>
      <c r="CU2283"/>
      <c r="CV2283"/>
      <c r="CW2283"/>
      <c r="CX2283"/>
      <c r="CY2283"/>
    </row>
    <row r="2284" spans="2:103" s="60" customFormat="1" x14ac:dyDescent="0.5">
      <c r="B2284" s="87"/>
      <c r="C2284" s="106"/>
      <c r="D2284" s="91"/>
      <c r="E2284" s="91"/>
      <c r="F2284" s="91"/>
      <c r="G2284" s="91"/>
      <c r="H2284" s="69"/>
      <c r="I2284" s="69"/>
      <c r="CS2284"/>
      <c r="CT2284"/>
      <c r="CU2284"/>
      <c r="CV2284"/>
      <c r="CW2284"/>
      <c r="CX2284"/>
      <c r="CY2284"/>
    </row>
    <row r="2285" spans="2:103" s="60" customFormat="1" x14ac:dyDescent="0.5">
      <c r="B2285" s="87"/>
      <c r="C2285" s="106"/>
      <c r="D2285" s="91"/>
      <c r="E2285" s="91"/>
      <c r="F2285" s="91"/>
      <c r="G2285" s="91"/>
      <c r="H2285" s="69"/>
      <c r="I2285" s="69"/>
      <c r="CS2285"/>
      <c r="CT2285"/>
      <c r="CU2285"/>
      <c r="CV2285"/>
      <c r="CW2285"/>
      <c r="CX2285"/>
      <c r="CY2285"/>
    </row>
    <row r="2286" spans="2:103" s="60" customFormat="1" x14ac:dyDescent="0.5">
      <c r="B2286" s="87"/>
      <c r="C2286" s="106"/>
      <c r="D2286" s="91"/>
      <c r="E2286" s="91"/>
      <c r="F2286" s="91"/>
      <c r="G2286" s="91"/>
      <c r="H2286" s="69"/>
      <c r="I2286" s="69"/>
      <c r="CS2286"/>
      <c r="CT2286"/>
      <c r="CU2286"/>
      <c r="CV2286"/>
      <c r="CW2286"/>
      <c r="CX2286"/>
      <c r="CY2286"/>
    </row>
    <row r="2287" spans="2:103" s="60" customFormat="1" x14ac:dyDescent="0.5">
      <c r="B2287" s="87"/>
      <c r="C2287" s="106"/>
      <c r="D2287" s="91"/>
      <c r="E2287" s="91"/>
      <c r="F2287" s="91"/>
      <c r="G2287" s="91"/>
      <c r="H2287" s="69"/>
      <c r="I2287" s="69"/>
      <c r="CS2287"/>
      <c r="CT2287"/>
      <c r="CU2287"/>
      <c r="CV2287"/>
      <c r="CW2287"/>
      <c r="CX2287"/>
      <c r="CY2287"/>
    </row>
    <row r="2288" spans="2:103" s="60" customFormat="1" x14ac:dyDescent="0.5">
      <c r="B2288" s="87"/>
      <c r="C2288" s="106"/>
      <c r="D2288" s="91"/>
      <c r="E2288" s="91"/>
      <c r="F2288" s="91"/>
      <c r="G2288" s="91"/>
      <c r="H2288" s="69"/>
      <c r="I2288" s="69"/>
      <c r="CS2288"/>
      <c r="CT2288"/>
      <c r="CU2288"/>
      <c r="CV2288"/>
      <c r="CW2288"/>
      <c r="CX2288"/>
      <c r="CY2288"/>
    </row>
    <row r="2289" spans="2:103" s="60" customFormat="1" x14ac:dyDescent="0.5">
      <c r="B2289" s="87"/>
      <c r="C2289" s="106"/>
      <c r="D2289" s="91"/>
      <c r="E2289" s="91"/>
      <c r="F2289" s="91"/>
      <c r="G2289" s="91"/>
      <c r="H2289" s="69"/>
      <c r="I2289" s="69"/>
      <c r="CS2289"/>
      <c r="CT2289"/>
      <c r="CU2289"/>
      <c r="CV2289"/>
      <c r="CW2289"/>
      <c r="CX2289"/>
      <c r="CY2289"/>
    </row>
    <row r="2290" spans="2:103" s="60" customFormat="1" x14ac:dyDescent="0.5">
      <c r="B2290" s="87"/>
      <c r="C2290" s="106"/>
      <c r="D2290" s="91"/>
      <c r="E2290" s="91"/>
      <c r="F2290" s="91"/>
      <c r="G2290" s="91"/>
      <c r="H2290" s="69"/>
      <c r="I2290" s="69"/>
      <c r="CS2290"/>
      <c r="CT2290"/>
      <c r="CU2290"/>
      <c r="CV2290"/>
      <c r="CW2290"/>
      <c r="CX2290"/>
      <c r="CY2290"/>
    </row>
    <row r="2291" spans="2:103" s="60" customFormat="1" x14ac:dyDescent="0.5">
      <c r="B2291" s="87"/>
      <c r="C2291" s="106"/>
      <c r="D2291" s="91"/>
      <c r="E2291" s="91"/>
      <c r="F2291" s="91"/>
      <c r="G2291" s="91"/>
      <c r="H2291" s="69"/>
      <c r="I2291" s="69"/>
      <c r="CS2291"/>
      <c r="CT2291"/>
      <c r="CU2291"/>
      <c r="CV2291"/>
      <c r="CW2291"/>
      <c r="CX2291"/>
      <c r="CY2291"/>
    </row>
    <row r="2292" spans="2:103" s="60" customFormat="1" x14ac:dyDescent="0.5">
      <c r="B2292" s="87"/>
      <c r="C2292" s="106"/>
      <c r="D2292" s="91"/>
      <c r="E2292" s="91"/>
      <c r="F2292" s="91"/>
      <c r="G2292" s="91"/>
      <c r="H2292" s="69"/>
      <c r="I2292" s="69"/>
      <c r="CS2292"/>
      <c r="CT2292"/>
      <c r="CU2292"/>
      <c r="CV2292"/>
      <c r="CW2292"/>
      <c r="CX2292"/>
      <c r="CY2292"/>
    </row>
    <row r="2293" spans="2:103" s="60" customFormat="1" x14ac:dyDescent="0.5">
      <c r="B2293" s="87"/>
      <c r="C2293" s="106"/>
      <c r="D2293" s="91"/>
      <c r="E2293" s="91"/>
      <c r="F2293" s="91"/>
      <c r="G2293" s="91"/>
      <c r="H2293" s="69"/>
      <c r="I2293" s="69"/>
      <c r="CS2293"/>
      <c r="CT2293"/>
      <c r="CU2293"/>
      <c r="CV2293"/>
      <c r="CW2293"/>
      <c r="CX2293"/>
      <c r="CY2293"/>
    </row>
    <row r="2294" spans="2:103" s="60" customFormat="1" x14ac:dyDescent="0.5">
      <c r="B2294" s="87"/>
      <c r="C2294" s="106"/>
      <c r="D2294" s="91"/>
      <c r="E2294" s="91"/>
      <c r="F2294" s="91"/>
      <c r="G2294" s="91"/>
      <c r="H2294" s="69"/>
      <c r="I2294" s="69"/>
      <c r="CS2294"/>
      <c r="CT2294"/>
      <c r="CU2294"/>
      <c r="CV2294"/>
      <c r="CW2294"/>
      <c r="CX2294"/>
      <c r="CY2294"/>
    </row>
    <row r="2295" spans="2:103" s="60" customFormat="1" x14ac:dyDescent="0.5">
      <c r="B2295" s="87"/>
      <c r="C2295" s="106"/>
      <c r="D2295" s="91"/>
      <c r="E2295" s="91"/>
      <c r="F2295" s="91"/>
      <c r="G2295" s="91"/>
      <c r="H2295" s="69"/>
      <c r="I2295" s="69"/>
      <c r="CS2295"/>
      <c r="CT2295"/>
      <c r="CU2295"/>
      <c r="CV2295"/>
      <c r="CW2295"/>
      <c r="CX2295"/>
      <c r="CY2295"/>
    </row>
    <row r="2296" spans="2:103" s="60" customFormat="1" x14ac:dyDescent="0.5">
      <c r="B2296" s="87"/>
      <c r="C2296" s="106"/>
      <c r="D2296" s="91"/>
      <c r="E2296" s="91"/>
      <c r="F2296" s="91"/>
      <c r="G2296" s="91"/>
      <c r="H2296" s="69"/>
      <c r="I2296" s="69"/>
      <c r="CS2296"/>
      <c r="CT2296"/>
      <c r="CU2296"/>
      <c r="CV2296"/>
      <c r="CW2296"/>
      <c r="CX2296"/>
      <c r="CY2296"/>
    </row>
    <row r="2297" spans="2:103" s="60" customFormat="1" x14ac:dyDescent="0.5">
      <c r="B2297" s="87"/>
      <c r="C2297" s="106"/>
      <c r="D2297" s="91"/>
      <c r="E2297" s="91"/>
      <c r="F2297" s="91"/>
      <c r="G2297" s="91"/>
      <c r="H2297" s="69"/>
      <c r="I2297" s="69"/>
      <c r="CS2297"/>
      <c r="CT2297"/>
      <c r="CU2297"/>
      <c r="CV2297"/>
      <c r="CW2297"/>
      <c r="CX2297"/>
      <c r="CY2297"/>
    </row>
    <row r="2298" spans="2:103" s="60" customFormat="1" x14ac:dyDescent="0.5">
      <c r="B2298" s="87"/>
      <c r="C2298" s="106"/>
      <c r="D2298" s="91"/>
      <c r="E2298" s="91"/>
      <c r="F2298" s="91"/>
      <c r="G2298" s="91"/>
      <c r="H2298" s="69"/>
      <c r="I2298" s="69"/>
      <c r="CS2298"/>
      <c r="CT2298"/>
      <c r="CU2298"/>
      <c r="CV2298"/>
      <c r="CW2298"/>
      <c r="CX2298"/>
      <c r="CY2298"/>
    </row>
    <row r="2299" spans="2:103" s="60" customFormat="1" x14ac:dyDescent="0.5">
      <c r="B2299" s="87"/>
      <c r="C2299" s="106"/>
      <c r="D2299" s="91"/>
      <c r="E2299" s="91"/>
      <c r="F2299" s="91"/>
      <c r="G2299" s="91"/>
      <c r="H2299" s="69"/>
      <c r="I2299" s="69"/>
      <c r="CS2299"/>
      <c r="CT2299"/>
      <c r="CU2299"/>
      <c r="CV2299"/>
      <c r="CW2299"/>
      <c r="CX2299"/>
      <c r="CY2299"/>
    </row>
    <row r="2300" spans="2:103" s="60" customFormat="1" x14ac:dyDescent="0.5">
      <c r="B2300" s="87"/>
      <c r="C2300" s="106"/>
      <c r="D2300" s="91"/>
      <c r="E2300" s="91"/>
      <c r="F2300" s="91"/>
      <c r="G2300" s="91"/>
      <c r="H2300" s="69"/>
      <c r="I2300" s="69"/>
      <c r="CS2300"/>
      <c r="CT2300"/>
      <c r="CU2300"/>
      <c r="CV2300"/>
      <c r="CW2300"/>
      <c r="CX2300"/>
      <c r="CY2300"/>
    </row>
    <row r="2301" spans="2:103" s="60" customFormat="1" x14ac:dyDescent="0.5">
      <c r="B2301" s="87"/>
      <c r="C2301" s="106"/>
      <c r="D2301" s="91"/>
      <c r="E2301" s="91"/>
      <c r="F2301" s="91"/>
      <c r="G2301" s="91"/>
      <c r="H2301" s="69"/>
      <c r="I2301" s="69"/>
      <c r="CS2301"/>
      <c r="CT2301"/>
      <c r="CU2301"/>
      <c r="CV2301"/>
      <c r="CW2301"/>
      <c r="CX2301"/>
      <c r="CY2301"/>
    </row>
    <row r="2302" spans="2:103" s="60" customFormat="1" x14ac:dyDescent="0.5">
      <c r="B2302" s="87"/>
      <c r="C2302" s="106"/>
      <c r="D2302" s="91"/>
      <c r="E2302" s="91"/>
      <c r="F2302" s="91"/>
      <c r="G2302" s="91"/>
      <c r="H2302" s="69"/>
      <c r="I2302" s="69"/>
      <c r="CS2302"/>
      <c r="CT2302"/>
      <c r="CU2302"/>
      <c r="CV2302"/>
      <c r="CW2302"/>
      <c r="CX2302"/>
      <c r="CY2302"/>
    </row>
    <row r="2303" spans="2:103" s="60" customFormat="1" x14ac:dyDescent="0.5">
      <c r="B2303" s="87"/>
      <c r="C2303" s="106"/>
      <c r="D2303" s="91"/>
      <c r="E2303" s="91"/>
      <c r="F2303" s="91"/>
      <c r="G2303" s="91"/>
      <c r="H2303" s="69"/>
      <c r="I2303" s="69"/>
      <c r="CS2303"/>
      <c r="CT2303"/>
      <c r="CU2303"/>
      <c r="CV2303"/>
      <c r="CW2303"/>
      <c r="CX2303"/>
      <c r="CY2303"/>
    </row>
    <row r="2304" spans="2:103" s="60" customFormat="1" x14ac:dyDescent="0.5">
      <c r="B2304" s="87"/>
      <c r="C2304" s="106"/>
      <c r="D2304" s="91"/>
      <c r="E2304" s="91"/>
      <c r="F2304" s="91"/>
      <c r="G2304" s="91"/>
      <c r="H2304" s="69"/>
      <c r="I2304" s="69"/>
      <c r="CS2304"/>
      <c r="CT2304"/>
      <c r="CU2304"/>
      <c r="CV2304"/>
      <c r="CW2304"/>
      <c r="CX2304"/>
      <c r="CY2304"/>
    </row>
    <row r="2305" spans="2:103" s="60" customFormat="1" x14ac:dyDescent="0.5">
      <c r="B2305" s="87"/>
      <c r="C2305" s="106"/>
      <c r="D2305" s="91"/>
      <c r="E2305" s="91"/>
      <c r="F2305" s="91"/>
      <c r="G2305" s="91"/>
      <c r="H2305" s="69"/>
      <c r="I2305" s="69"/>
      <c r="CS2305"/>
      <c r="CT2305"/>
      <c r="CU2305"/>
      <c r="CV2305"/>
      <c r="CW2305"/>
      <c r="CX2305"/>
      <c r="CY2305"/>
    </row>
    <row r="2306" spans="2:103" s="60" customFormat="1" x14ac:dyDescent="0.5">
      <c r="B2306" s="87"/>
      <c r="C2306" s="106"/>
      <c r="D2306" s="91"/>
      <c r="E2306" s="91"/>
      <c r="F2306" s="91"/>
      <c r="G2306" s="91"/>
      <c r="H2306" s="69"/>
      <c r="I2306" s="69"/>
      <c r="CS2306"/>
      <c r="CT2306"/>
      <c r="CU2306"/>
      <c r="CV2306"/>
      <c r="CW2306"/>
      <c r="CX2306"/>
      <c r="CY2306"/>
    </row>
    <row r="2307" spans="2:103" s="60" customFormat="1" x14ac:dyDescent="0.5">
      <c r="B2307" s="87"/>
      <c r="C2307" s="106"/>
      <c r="D2307" s="91"/>
      <c r="E2307" s="91"/>
      <c r="F2307" s="91"/>
      <c r="G2307" s="91"/>
      <c r="H2307" s="69"/>
      <c r="I2307" s="69"/>
      <c r="CS2307"/>
      <c r="CT2307"/>
      <c r="CU2307"/>
      <c r="CV2307"/>
      <c r="CW2307"/>
      <c r="CX2307"/>
      <c r="CY2307"/>
    </row>
    <row r="2308" spans="2:103" s="60" customFormat="1" x14ac:dyDescent="0.5">
      <c r="B2308" s="87"/>
      <c r="C2308" s="106"/>
      <c r="D2308" s="91"/>
      <c r="E2308" s="91"/>
      <c r="F2308" s="91"/>
      <c r="G2308" s="91"/>
      <c r="H2308" s="69"/>
      <c r="I2308" s="69"/>
      <c r="CS2308"/>
      <c r="CT2308"/>
      <c r="CU2308"/>
      <c r="CV2308"/>
      <c r="CW2308"/>
      <c r="CX2308"/>
      <c r="CY2308"/>
    </row>
    <row r="2309" spans="2:103" s="60" customFormat="1" x14ac:dyDescent="0.5">
      <c r="B2309" s="87"/>
      <c r="C2309" s="106"/>
      <c r="D2309" s="91"/>
      <c r="E2309" s="91"/>
      <c r="F2309" s="91"/>
      <c r="G2309" s="91"/>
      <c r="H2309" s="69"/>
      <c r="I2309" s="69"/>
      <c r="CS2309"/>
      <c r="CT2309"/>
      <c r="CU2309"/>
      <c r="CV2309"/>
      <c r="CW2309"/>
      <c r="CX2309"/>
      <c r="CY2309"/>
    </row>
    <row r="2310" spans="2:103" s="60" customFormat="1" x14ac:dyDescent="0.5">
      <c r="B2310" s="87"/>
      <c r="C2310" s="106"/>
      <c r="D2310" s="91"/>
      <c r="E2310" s="91"/>
      <c r="F2310" s="91"/>
      <c r="G2310" s="91"/>
      <c r="H2310" s="69"/>
      <c r="I2310" s="69"/>
      <c r="CS2310"/>
      <c r="CT2310"/>
      <c r="CU2310"/>
      <c r="CV2310"/>
      <c r="CW2310"/>
      <c r="CX2310"/>
      <c r="CY2310"/>
    </row>
    <row r="2311" spans="2:103" s="60" customFormat="1" x14ac:dyDescent="0.5">
      <c r="B2311" s="87"/>
      <c r="C2311" s="106"/>
      <c r="D2311" s="91"/>
      <c r="E2311" s="91"/>
      <c r="F2311" s="91"/>
      <c r="G2311" s="91"/>
      <c r="H2311" s="69"/>
      <c r="I2311" s="69"/>
      <c r="CS2311"/>
      <c r="CT2311"/>
      <c r="CU2311"/>
      <c r="CV2311"/>
      <c r="CW2311"/>
      <c r="CX2311"/>
      <c r="CY2311"/>
    </row>
    <row r="2312" spans="2:103" s="60" customFormat="1" x14ac:dyDescent="0.5">
      <c r="B2312" s="87"/>
      <c r="C2312" s="106"/>
      <c r="D2312" s="91"/>
      <c r="E2312" s="91"/>
      <c r="F2312" s="91"/>
      <c r="G2312" s="91"/>
      <c r="H2312" s="69"/>
      <c r="I2312" s="69"/>
      <c r="CS2312"/>
      <c r="CT2312"/>
      <c r="CU2312"/>
      <c r="CV2312"/>
      <c r="CW2312"/>
      <c r="CX2312"/>
      <c r="CY2312"/>
    </row>
    <row r="2313" spans="2:103" s="60" customFormat="1" x14ac:dyDescent="0.5">
      <c r="B2313" s="87"/>
      <c r="C2313" s="106"/>
      <c r="D2313" s="91"/>
      <c r="E2313" s="91"/>
      <c r="F2313" s="91"/>
      <c r="G2313" s="91"/>
      <c r="H2313" s="69"/>
      <c r="I2313" s="69"/>
      <c r="CS2313"/>
      <c r="CT2313"/>
      <c r="CU2313"/>
      <c r="CV2313"/>
      <c r="CW2313"/>
      <c r="CX2313"/>
      <c r="CY2313"/>
    </row>
    <row r="2314" spans="2:103" s="60" customFormat="1" x14ac:dyDescent="0.5">
      <c r="B2314" s="87"/>
      <c r="C2314" s="106"/>
      <c r="D2314" s="91"/>
      <c r="E2314" s="91"/>
      <c r="F2314" s="91"/>
      <c r="G2314" s="91"/>
      <c r="H2314" s="69"/>
      <c r="I2314" s="69"/>
      <c r="CS2314"/>
      <c r="CT2314"/>
      <c r="CU2314"/>
      <c r="CV2314"/>
      <c r="CW2314"/>
      <c r="CX2314"/>
      <c r="CY2314"/>
    </row>
    <row r="2315" spans="2:103" s="60" customFormat="1" x14ac:dyDescent="0.5">
      <c r="B2315" s="87"/>
      <c r="C2315" s="106"/>
      <c r="D2315" s="91"/>
      <c r="E2315" s="91"/>
      <c r="F2315" s="91"/>
      <c r="G2315" s="91"/>
      <c r="H2315" s="69"/>
      <c r="I2315" s="69"/>
      <c r="CS2315"/>
      <c r="CT2315"/>
      <c r="CU2315"/>
      <c r="CV2315"/>
      <c r="CW2315"/>
      <c r="CX2315"/>
      <c r="CY2315"/>
    </row>
    <row r="2316" spans="2:103" s="60" customFormat="1" x14ac:dyDescent="0.5">
      <c r="B2316" s="87"/>
      <c r="C2316" s="106"/>
      <c r="D2316" s="91"/>
      <c r="E2316" s="91"/>
      <c r="F2316" s="91"/>
      <c r="G2316" s="91"/>
      <c r="H2316" s="69"/>
      <c r="I2316" s="69"/>
      <c r="CS2316"/>
      <c r="CT2316"/>
      <c r="CU2316"/>
      <c r="CV2316"/>
      <c r="CW2316"/>
      <c r="CX2316"/>
      <c r="CY2316"/>
    </row>
    <row r="2317" spans="2:103" s="60" customFormat="1" x14ac:dyDescent="0.5">
      <c r="B2317" s="87"/>
      <c r="C2317" s="106"/>
      <c r="D2317" s="91"/>
      <c r="E2317" s="91"/>
      <c r="F2317" s="91"/>
      <c r="G2317" s="91"/>
      <c r="H2317" s="69"/>
      <c r="I2317" s="69"/>
      <c r="CS2317"/>
      <c r="CT2317"/>
      <c r="CU2317"/>
      <c r="CV2317"/>
      <c r="CW2317"/>
      <c r="CX2317"/>
      <c r="CY2317"/>
    </row>
    <row r="2318" spans="2:103" s="60" customFormat="1" x14ac:dyDescent="0.5">
      <c r="B2318" s="87"/>
      <c r="C2318" s="106"/>
      <c r="D2318" s="91"/>
      <c r="E2318" s="91"/>
      <c r="F2318" s="91"/>
      <c r="G2318" s="91"/>
      <c r="H2318" s="69"/>
      <c r="I2318" s="69"/>
      <c r="CS2318"/>
      <c r="CT2318"/>
      <c r="CU2318"/>
      <c r="CV2318"/>
      <c r="CW2318"/>
      <c r="CX2318"/>
      <c r="CY2318"/>
    </row>
    <row r="2319" spans="2:103" s="60" customFormat="1" x14ac:dyDescent="0.5">
      <c r="B2319" s="87"/>
      <c r="C2319" s="106"/>
      <c r="D2319" s="91"/>
      <c r="E2319" s="91"/>
      <c r="F2319" s="91"/>
      <c r="G2319" s="91"/>
      <c r="H2319" s="69"/>
      <c r="I2319" s="69"/>
      <c r="CS2319"/>
      <c r="CT2319"/>
      <c r="CU2319"/>
      <c r="CV2319"/>
      <c r="CW2319"/>
      <c r="CX2319"/>
      <c r="CY2319"/>
    </row>
    <row r="2320" spans="2:103" s="60" customFormat="1" x14ac:dyDescent="0.5">
      <c r="B2320" s="87"/>
      <c r="C2320" s="106"/>
      <c r="D2320" s="91"/>
      <c r="E2320" s="91"/>
      <c r="F2320" s="91"/>
      <c r="G2320" s="91"/>
      <c r="H2320" s="69"/>
      <c r="I2320" s="69"/>
      <c r="CS2320"/>
      <c r="CT2320"/>
      <c r="CU2320"/>
      <c r="CV2320"/>
      <c r="CW2320"/>
      <c r="CX2320"/>
      <c r="CY2320"/>
    </row>
    <row r="2321" spans="2:103" s="60" customFormat="1" x14ac:dyDescent="0.5">
      <c r="B2321" s="87"/>
      <c r="C2321" s="106"/>
      <c r="D2321" s="91"/>
      <c r="E2321" s="91"/>
      <c r="F2321" s="91"/>
      <c r="G2321" s="91"/>
      <c r="H2321" s="69"/>
      <c r="I2321" s="69"/>
      <c r="CS2321"/>
      <c r="CT2321"/>
      <c r="CU2321"/>
      <c r="CV2321"/>
      <c r="CW2321"/>
      <c r="CX2321"/>
      <c r="CY2321"/>
    </row>
    <row r="2322" spans="2:103" s="60" customFormat="1" x14ac:dyDescent="0.5">
      <c r="B2322" s="87"/>
      <c r="C2322" s="106"/>
      <c r="D2322" s="91"/>
      <c r="E2322" s="91"/>
      <c r="F2322" s="91"/>
      <c r="G2322" s="91"/>
      <c r="H2322" s="69"/>
      <c r="I2322" s="69"/>
      <c r="CS2322"/>
      <c r="CT2322"/>
      <c r="CU2322"/>
      <c r="CV2322"/>
      <c r="CW2322"/>
      <c r="CX2322"/>
      <c r="CY2322"/>
    </row>
    <row r="2323" spans="2:103" s="60" customFormat="1" x14ac:dyDescent="0.5">
      <c r="B2323" s="87"/>
      <c r="C2323" s="106"/>
      <c r="D2323" s="91"/>
      <c r="E2323" s="91"/>
      <c r="F2323" s="91"/>
      <c r="G2323" s="91"/>
      <c r="H2323" s="69"/>
      <c r="I2323" s="69"/>
      <c r="CS2323"/>
      <c r="CT2323"/>
      <c r="CU2323"/>
      <c r="CV2323"/>
      <c r="CW2323"/>
      <c r="CX2323"/>
      <c r="CY2323"/>
    </row>
    <row r="2324" spans="2:103" s="60" customFormat="1" x14ac:dyDescent="0.5">
      <c r="B2324" s="87"/>
      <c r="C2324" s="106"/>
      <c r="D2324" s="91"/>
      <c r="E2324" s="91"/>
      <c r="F2324" s="91"/>
      <c r="G2324" s="91"/>
      <c r="H2324" s="69"/>
      <c r="I2324" s="69"/>
      <c r="CS2324"/>
      <c r="CT2324"/>
      <c r="CU2324"/>
      <c r="CV2324"/>
      <c r="CW2324"/>
      <c r="CX2324"/>
      <c r="CY2324"/>
    </row>
    <row r="2325" spans="2:103" s="60" customFormat="1" x14ac:dyDescent="0.5">
      <c r="B2325" s="87"/>
      <c r="C2325" s="106"/>
      <c r="D2325" s="91"/>
      <c r="E2325" s="91"/>
      <c r="F2325" s="91"/>
      <c r="G2325" s="91"/>
      <c r="H2325" s="69"/>
      <c r="I2325" s="69"/>
      <c r="CS2325"/>
      <c r="CT2325"/>
      <c r="CU2325"/>
      <c r="CV2325"/>
      <c r="CW2325"/>
      <c r="CX2325"/>
      <c r="CY2325"/>
    </row>
    <row r="2326" spans="2:103" s="60" customFormat="1" x14ac:dyDescent="0.5">
      <c r="B2326" s="87"/>
      <c r="C2326" s="106"/>
      <c r="D2326" s="91"/>
      <c r="E2326" s="91"/>
      <c r="F2326" s="91"/>
      <c r="G2326" s="91"/>
      <c r="H2326" s="69"/>
      <c r="I2326" s="69"/>
      <c r="CS2326"/>
      <c r="CT2326"/>
      <c r="CU2326"/>
      <c r="CV2326"/>
      <c r="CW2326"/>
      <c r="CX2326"/>
      <c r="CY2326"/>
    </row>
    <row r="2327" spans="2:103" s="60" customFormat="1" x14ac:dyDescent="0.5">
      <c r="B2327" s="87"/>
      <c r="C2327" s="106"/>
      <c r="D2327" s="91"/>
      <c r="E2327" s="91"/>
      <c r="F2327" s="91"/>
      <c r="G2327" s="91"/>
      <c r="H2327" s="69"/>
      <c r="I2327" s="69"/>
      <c r="CS2327"/>
      <c r="CT2327"/>
      <c r="CU2327"/>
      <c r="CV2327"/>
      <c r="CW2327"/>
      <c r="CX2327"/>
      <c r="CY2327"/>
    </row>
    <row r="2328" spans="2:103" s="60" customFormat="1" x14ac:dyDescent="0.5">
      <c r="B2328" s="87"/>
      <c r="C2328" s="106"/>
      <c r="D2328" s="91"/>
      <c r="E2328" s="91"/>
      <c r="F2328" s="91"/>
      <c r="G2328" s="91"/>
      <c r="H2328" s="69"/>
      <c r="I2328" s="69"/>
      <c r="CS2328"/>
      <c r="CT2328"/>
      <c r="CU2328"/>
      <c r="CV2328"/>
      <c r="CW2328"/>
      <c r="CX2328"/>
      <c r="CY2328"/>
    </row>
    <row r="2329" spans="2:103" s="60" customFormat="1" x14ac:dyDescent="0.5">
      <c r="B2329" s="87"/>
      <c r="C2329" s="106"/>
      <c r="D2329" s="91"/>
      <c r="E2329" s="91"/>
      <c r="F2329" s="91"/>
      <c r="G2329" s="91"/>
      <c r="H2329" s="69"/>
      <c r="I2329" s="69"/>
      <c r="CS2329"/>
      <c r="CT2329"/>
      <c r="CU2329"/>
      <c r="CV2329"/>
      <c r="CW2329"/>
      <c r="CX2329"/>
      <c r="CY2329"/>
    </row>
    <row r="2330" spans="2:103" s="60" customFormat="1" x14ac:dyDescent="0.5">
      <c r="B2330" s="87"/>
      <c r="C2330" s="106"/>
      <c r="D2330" s="91"/>
      <c r="E2330" s="91"/>
      <c r="F2330" s="91"/>
      <c r="G2330" s="91"/>
      <c r="H2330" s="69"/>
      <c r="I2330" s="69"/>
      <c r="CS2330"/>
      <c r="CT2330"/>
      <c r="CU2330"/>
      <c r="CV2330"/>
      <c r="CW2330"/>
      <c r="CX2330"/>
      <c r="CY2330"/>
    </row>
    <row r="2331" spans="2:103" s="60" customFormat="1" x14ac:dyDescent="0.5">
      <c r="B2331" s="87"/>
      <c r="C2331" s="106"/>
      <c r="D2331" s="91"/>
      <c r="E2331" s="91"/>
      <c r="F2331" s="91"/>
      <c r="G2331" s="91"/>
      <c r="H2331" s="69"/>
      <c r="I2331" s="69"/>
      <c r="CS2331"/>
      <c r="CT2331"/>
      <c r="CU2331"/>
      <c r="CV2331"/>
      <c r="CW2331"/>
      <c r="CX2331"/>
      <c r="CY2331"/>
    </row>
    <row r="2332" spans="2:103" s="60" customFormat="1" x14ac:dyDescent="0.5">
      <c r="B2332" s="87"/>
      <c r="C2332" s="106"/>
      <c r="D2332" s="91"/>
      <c r="E2332" s="91"/>
      <c r="F2332" s="91"/>
      <c r="G2332" s="91"/>
      <c r="H2332" s="69"/>
      <c r="I2332" s="69"/>
      <c r="CS2332"/>
      <c r="CT2332"/>
      <c r="CU2332"/>
      <c r="CV2332"/>
      <c r="CW2332"/>
      <c r="CX2332"/>
      <c r="CY2332"/>
    </row>
    <row r="2333" spans="2:103" s="60" customFormat="1" x14ac:dyDescent="0.5">
      <c r="B2333" s="87"/>
      <c r="C2333" s="106"/>
      <c r="D2333" s="91"/>
      <c r="E2333" s="91"/>
      <c r="F2333" s="91"/>
      <c r="G2333" s="91"/>
      <c r="H2333" s="69"/>
      <c r="I2333" s="69"/>
      <c r="CS2333"/>
      <c r="CT2333"/>
      <c r="CU2333"/>
      <c r="CV2333"/>
      <c r="CW2333"/>
      <c r="CX2333"/>
      <c r="CY2333"/>
    </row>
    <row r="2334" spans="2:103" s="60" customFormat="1" x14ac:dyDescent="0.5">
      <c r="B2334" s="87"/>
      <c r="C2334" s="106"/>
      <c r="D2334" s="91"/>
      <c r="E2334" s="91"/>
      <c r="F2334" s="91"/>
      <c r="G2334" s="91"/>
      <c r="H2334" s="69"/>
      <c r="I2334" s="69"/>
      <c r="CS2334"/>
      <c r="CT2334"/>
      <c r="CU2334"/>
      <c r="CV2334"/>
      <c r="CW2334"/>
      <c r="CX2334"/>
      <c r="CY2334"/>
    </row>
    <row r="2335" spans="2:103" s="60" customFormat="1" x14ac:dyDescent="0.5">
      <c r="B2335" s="87"/>
      <c r="C2335" s="106"/>
      <c r="D2335" s="91"/>
      <c r="E2335" s="91"/>
      <c r="F2335" s="91"/>
      <c r="G2335" s="91"/>
      <c r="H2335" s="69"/>
      <c r="I2335" s="69"/>
      <c r="CS2335"/>
      <c r="CT2335"/>
      <c r="CU2335"/>
      <c r="CV2335"/>
      <c r="CW2335"/>
      <c r="CX2335"/>
      <c r="CY2335"/>
    </row>
    <row r="2336" spans="2:103" s="60" customFormat="1" x14ac:dyDescent="0.5">
      <c r="B2336" s="87"/>
      <c r="C2336" s="106"/>
      <c r="D2336" s="91"/>
      <c r="E2336" s="91"/>
      <c r="F2336" s="91"/>
      <c r="G2336" s="91"/>
      <c r="H2336" s="69"/>
      <c r="I2336" s="69"/>
      <c r="CS2336"/>
      <c r="CT2336"/>
      <c r="CU2336"/>
      <c r="CV2336"/>
      <c r="CW2336"/>
      <c r="CX2336"/>
      <c r="CY2336"/>
    </row>
    <row r="2337" spans="2:103" s="60" customFormat="1" x14ac:dyDescent="0.5">
      <c r="B2337" s="87"/>
      <c r="C2337" s="106"/>
      <c r="D2337" s="91"/>
      <c r="E2337" s="91"/>
      <c r="F2337" s="91"/>
      <c r="G2337" s="91"/>
      <c r="H2337" s="69"/>
      <c r="I2337" s="69"/>
      <c r="CS2337"/>
      <c r="CT2337"/>
      <c r="CU2337"/>
      <c r="CV2337"/>
      <c r="CW2337"/>
      <c r="CX2337"/>
      <c r="CY2337"/>
    </row>
    <row r="2338" spans="2:103" s="60" customFormat="1" x14ac:dyDescent="0.5">
      <c r="B2338" s="87"/>
      <c r="C2338" s="106"/>
      <c r="D2338" s="91"/>
      <c r="E2338" s="91"/>
      <c r="F2338" s="91"/>
      <c r="G2338" s="91"/>
      <c r="H2338" s="69"/>
      <c r="I2338" s="69"/>
      <c r="CS2338"/>
      <c r="CT2338"/>
      <c r="CU2338"/>
      <c r="CV2338"/>
      <c r="CW2338"/>
      <c r="CX2338"/>
      <c r="CY2338"/>
    </row>
    <row r="2339" spans="2:103" s="60" customFormat="1" x14ac:dyDescent="0.5">
      <c r="B2339" s="87"/>
      <c r="C2339" s="106"/>
      <c r="D2339" s="91"/>
      <c r="E2339" s="91"/>
      <c r="F2339" s="91"/>
      <c r="G2339" s="91"/>
      <c r="H2339" s="69"/>
      <c r="I2339" s="69"/>
      <c r="CS2339"/>
      <c r="CT2339"/>
      <c r="CU2339"/>
      <c r="CV2339"/>
      <c r="CW2339"/>
      <c r="CX2339"/>
      <c r="CY2339"/>
    </row>
    <row r="2340" spans="2:103" s="60" customFormat="1" x14ac:dyDescent="0.5">
      <c r="B2340" s="87"/>
      <c r="C2340" s="106"/>
      <c r="D2340" s="91"/>
      <c r="E2340" s="91"/>
      <c r="F2340" s="91"/>
      <c r="G2340" s="91"/>
      <c r="H2340" s="69"/>
      <c r="I2340" s="69"/>
      <c r="CS2340"/>
      <c r="CT2340"/>
      <c r="CU2340"/>
      <c r="CV2340"/>
      <c r="CW2340"/>
      <c r="CX2340"/>
      <c r="CY2340"/>
    </row>
    <row r="2341" spans="2:103" s="60" customFormat="1" x14ac:dyDescent="0.5">
      <c r="B2341" s="87"/>
      <c r="C2341" s="106"/>
      <c r="D2341" s="91"/>
      <c r="E2341" s="91"/>
      <c r="F2341" s="91"/>
      <c r="G2341" s="91"/>
      <c r="H2341" s="69"/>
      <c r="I2341" s="69"/>
      <c r="CS2341"/>
      <c r="CT2341"/>
      <c r="CU2341"/>
      <c r="CV2341"/>
      <c r="CW2341"/>
      <c r="CX2341"/>
      <c r="CY2341"/>
    </row>
    <row r="2342" spans="2:103" s="60" customFormat="1" x14ac:dyDescent="0.5">
      <c r="B2342" s="87"/>
      <c r="C2342" s="106"/>
      <c r="D2342" s="91"/>
      <c r="E2342" s="91"/>
      <c r="F2342" s="91"/>
      <c r="G2342" s="91"/>
      <c r="H2342" s="69"/>
      <c r="I2342" s="69"/>
      <c r="CS2342"/>
      <c r="CT2342"/>
      <c r="CU2342"/>
      <c r="CV2342"/>
      <c r="CW2342"/>
      <c r="CX2342"/>
      <c r="CY2342"/>
    </row>
    <row r="2343" spans="2:103" s="60" customFormat="1" x14ac:dyDescent="0.5">
      <c r="B2343" s="87"/>
      <c r="C2343" s="106"/>
      <c r="D2343" s="91"/>
      <c r="E2343" s="91"/>
      <c r="F2343" s="91"/>
      <c r="G2343" s="91"/>
      <c r="H2343" s="69"/>
      <c r="I2343" s="69"/>
      <c r="CS2343"/>
      <c r="CT2343"/>
      <c r="CU2343"/>
      <c r="CV2343"/>
      <c r="CW2343"/>
      <c r="CX2343"/>
      <c r="CY2343"/>
    </row>
    <row r="2344" spans="2:103" s="60" customFormat="1" x14ac:dyDescent="0.5">
      <c r="B2344" s="87"/>
      <c r="C2344" s="106"/>
      <c r="D2344" s="91"/>
      <c r="E2344" s="91"/>
      <c r="F2344" s="91"/>
      <c r="G2344" s="91"/>
      <c r="H2344" s="69"/>
      <c r="I2344" s="69"/>
      <c r="CS2344"/>
      <c r="CT2344"/>
      <c r="CU2344"/>
      <c r="CV2344"/>
      <c r="CW2344"/>
      <c r="CX2344"/>
      <c r="CY2344"/>
    </row>
    <row r="2345" spans="2:103" s="60" customFormat="1" x14ac:dyDescent="0.5">
      <c r="B2345" s="87"/>
      <c r="C2345" s="106"/>
      <c r="D2345" s="91"/>
      <c r="E2345" s="91"/>
      <c r="F2345" s="91"/>
      <c r="G2345" s="91"/>
      <c r="H2345" s="69"/>
      <c r="I2345" s="69"/>
      <c r="CS2345"/>
      <c r="CT2345"/>
      <c r="CU2345"/>
      <c r="CV2345"/>
      <c r="CW2345"/>
      <c r="CX2345"/>
      <c r="CY2345"/>
    </row>
    <row r="2346" spans="2:103" s="60" customFormat="1" x14ac:dyDescent="0.5">
      <c r="B2346" s="87"/>
      <c r="C2346" s="106"/>
      <c r="D2346" s="91"/>
      <c r="E2346" s="91"/>
      <c r="F2346" s="91"/>
      <c r="G2346" s="91"/>
      <c r="H2346" s="69"/>
      <c r="I2346" s="69"/>
      <c r="CS2346"/>
      <c r="CT2346"/>
      <c r="CU2346"/>
      <c r="CV2346"/>
      <c r="CW2346"/>
      <c r="CX2346"/>
      <c r="CY2346"/>
    </row>
    <row r="2347" spans="2:103" s="60" customFormat="1" x14ac:dyDescent="0.5">
      <c r="B2347" s="87"/>
      <c r="C2347" s="106"/>
      <c r="D2347" s="91"/>
      <c r="E2347" s="91"/>
      <c r="F2347" s="91"/>
      <c r="G2347" s="91"/>
      <c r="H2347" s="69"/>
      <c r="I2347" s="69"/>
      <c r="CS2347"/>
      <c r="CT2347"/>
      <c r="CU2347"/>
      <c r="CV2347"/>
      <c r="CW2347"/>
      <c r="CX2347"/>
      <c r="CY2347"/>
    </row>
    <row r="2348" spans="2:103" s="60" customFormat="1" x14ac:dyDescent="0.5">
      <c r="B2348" s="87"/>
      <c r="C2348" s="106"/>
      <c r="D2348" s="91"/>
      <c r="E2348" s="91"/>
      <c r="F2348" s="91"/>
      <c r="G2348" s="91"/>
      <c r="H2348" s="69"/>
      <c r="I2348" s="69"/>
      <c r="CS2348"/>
      <c r="CT2348"/>
      <c r="CU2348"/>
      <c r="CV2348"/>
      <c r="CW2348"/>
      <c r="CX2348"/>
      <c r="CY2348"/>
    </row>
    <row r="2349" spans="2:103" s="60" customFormat="1" x14ac:dyDescent="0.5">
      <c r="B2349" s="87"/>
      <c r="C2349" s="106"/>
      <c r="D2349" s="91"/>
      <c r="E2349" s="91"/>
      <c r="F2349" s="91"/>
      <c r="G2349" s="91"/>
      <c r="H2349" s="69"/>
      <c r="I2349" s="69"/>
      <c r="CS2349"/>
      <c r="CT2349"/>
      <c r="CU2349"/>
      <c r="CV2349"/>
      <c r="CW2349"/>
      <c r="CX2349"/>
      <c r="CY2349"/>
    </row>
    <row r="2350" spans="2:103" s="60" customFormat="1" x14ac:dyDescent="0.5">
      <c r="B2350" s="87"/>
      <c r="C2350" s="106"/>
      <c r="D2350" s="91"/>
      <c r="E2350" s="91"/>
      <c r="F2350" s="91"/>
      <c r="G2350" s="91"/>
      <c r="H2350" s="69"/>
      <c r="I2350" s="69"/>
      <c r="CS2350"/>
      <c r="CT2350"/>
      <c r="CU2350"/>
      <c r="CV2350"/>
      <c r="CW2350"/>
      <c r="CX2350"/>
      <c r="CY2350"/>
    </row>
    <row r="2351" spans="2:103" s="60" customFormat="1" x14ac:dyDescent="0.5">
      <c r="B2351" s="87"/>
      <c r="C2351" s="106"/>
      <c r="D2351" s="91"/>
      <c r="E2351" s="91"/>
      <c r="F2351" s="91"/>
      <c r="G2351" s="91"/>
      <c r="H2351" s="69"/>
      <c r="I2351" s="69"/>
      <c r="CS2351"/>
      <c r="CT2351"/>
      <c r="CU2351"/>
      <c r="CV2351"/>
      <c r="CW2351"/>
      <c r="CX2351"/>
      <c r="CY2351"/>
    </row>
    <row r="2352" spans="2:103" s="60" customFormat="1" x14ac:dyDescent="0.5">
      <c r="B2352" s="87"/>
      <c r="C2352" s="106"/>
      <c r="D2352" s="91"/>
      <c r="E2352" s="91"/>
      <c r="F2352" s="91"/>
      <c r="G2352" s="91"/>
      <c r="H2352" s="69"/>
      <c r="I2352" s="69"/>
      <c r="CS2352"/>
      <c r="CT2352"/>
      <c r="CU2352"/>
      <c r="CV2352"/>
      <c r="CW2352"/>
      <c r="CX2352"/>
      <c r="CY2352"/>
    </row>
    <row r="2353" spans="2:103" s="60" customFormat="1" x14ac:dyDescent="0.5">
      <c r="B2353" s="87"/>
      <c r="C2353" s="106"/>
      <c r="D2353" s="91"/>
      <c r="E2353" s="91"/>
      <c r="F2353" s="91"/>
      <c r="G2353" s="91"/>
      <c r="H2353" s="69"/>
      <c r="I2353" s="69"/>
      <c r="CS2353"/>
      <c r="CT2353"/>
      <c r="CU2353"/>
      <c r="CV2353"/>
      <c r="CW2353"/>
      <c r="CX2353"/>
      <c r="CY2353"/>
    </row>
    <row r="2354" spans="2:103" s="60" customFormat="1" x14ac:dyDescent="0.5">
      <c r="B2354" s="87"/>
      <c r="C2354" s="106"/>
      <c r="D2354" s="91"/>
      <c r="E2354" s="91"/>
      <c r="F2354" s="91"/>
      <c r="G2354" s="91"/>
      <c r="H2354" s="69"/>
      <c r="I2354" s="69"/>
      <c r="CS2354"/>
      <c r="CT2354"/>
      <c r="CU2354"/>
      <c r="CV2354"/>
      <c r="CW2354"/>
      <c r="CX2354"/>
      <c r="CY2354"/>
    </row>
    <row r="2355" spans="2:103" s="60" customFormat="1" x14ac:dyDescent="0.5">
      <c r="B2355" s="87"/>
      <c r="C2355" s="106"/>
      <c r="D2355" s="91"/>
      <c r="E2355" s="91"/>
      <c r="F2355" s="91"/>
      <c r="G2355" s="91"/>
      <c r="H2355" s="69"/>
      <c r="I2355" s="69"/>
      <c r="CS2355"/>
      <c r="CT2355"/>
      <c r="CU2355"/>
      <c r="CV2355"/>
      <c r="CW2355"/>
      <c r="CX2355"/>
      <c r="CY2355"/>
    </row>
    <row r="2356" spans="2:103" s="60" customFormat="1" x14ac:dyDescent="0.5">
      <c r="B2356" s="87"/>
      <c r="C2356" s="106"/>
      <c r="D2356" s="91"/>
      <c r="E2356" s="91"/>
      <c r="F2356" s="91"/>
      <c r="G2356" s="91"/>
      <c r="H2356" s="69"/>
      <c r="I2356" s="69"/>
      <c r="CS2356"/>
      <c r="CT2356"/>
      <c r="CU2356"/>
      <c r="CV2356"/>
      <c r="CW2356"/>
      <c r="CX2356"/>
      <c r="CY2356"/>
    </row>
    <row r="2357" spans="2:103" s="60" customFormat="1" x14ac:dyDescent="0.5">
      <c r="B2357" s="87"/>
      <c r="C2357" s="106"/>
      <c r="D2357" s="91"/>
      <c r="E2357" s="91"/>
      <c r="F2357" s="91"/>
      <c r="G2357" s="91"/>
      <c r="H2357" s="69"/>
      <c r="I2357" s="69"/>
      <c r="CS2357"/>
      <c r="CT2357"/>
      <c r="CU2357"/>
      <c r="CV2357"/>
      <c r="CW2357"/>
      <c r="CX2357"/>
      <c r="CY2357"/>
    </row>
    <row r="2358" spans="2:103" s="60" customFormat="1" x14ac:dyDescent="0.5">
      <c r="B2358" s="87"/>
      <c r="C2358" s="106"/>
      <c r="D2358" s="91"/>
      <c r="E2358" s="91"/>
      <c r="F2358" s="91"/>
      <c r="G2358" s="91"/>
      <c r="H2358" s="69"/>
      <c r="I2358" s="69"/>
      <c r="CS2358"/>
      <c r="CT2358"/>
      <c r="CU2358"/>
      <c r="CV2358"/>
      <c r="CW2358"/>
      <c r="CX2358"/>
      <c r="CY2358"/>
    </row>
    <row r="2359" spans="2:103" s="60" customFormat="1" x14ac:dyDescent="0.5">
      <c r="B2359" s="87"/>
      <c r="C2359" s="106"/>
      <c r="D2359" s="91"/>
      <c r="E2359" s="91"/>
      <c r="F2359" s="91"/>
      <c r="G2359" s="91"/>
      <c r="H2359" s="69"/>
      <c r="I2359" s="69"/>
      <c r="CS2359"/>
      <c r="CT2359"/>
      <c r="CU2359"/>
      <c r="CV2359"/>
      <c r="CW2359"/>
      <c r="CX2359"/>
      <c r="CY2359"/>
    </row>
    <row r="2360" spans="2:103" s="60" customFormat="1" x14ac:dyDescent="0.5">
      <c r="B2360" s="87"/>
      <c r="C2360" s="106"/>
      <c r="D2360" s="91"/>
      <c r="E2360" s="91"/>
      <c r="F2360" s="91"/>
      <c r="G2360" s="91"/>
      <c r="H2360" s="69"/>
      <c r="I2360" s="69"/>
      <c r="CS2360"/>
      <c r="CT2360"/>
      <c r="CU2360"/>
      <c r="CV2360"/>
      <c r="CW2360"/>
      <c r="CX2360"/>
      <c r="CY2360"/>
    </row>
    <row r="2361" spans="2:103" s="60" customFormat="1" x14ac:dyDescent="0.5">
      <c r="B2361" s="87"/>
      <c r="C2361" s="106"/>
      <c r="D2361" s="91"/>
      <c r="E2361" s="91"/>
      <c r="F2361" s="91"/>
      <c r="G2361" s="91"/>
      <c r="H2361" s="69"/>
      <c r="I2361" s="69"/>
      <c r="CS2361"/>
      <c r="CT2361"/>
      <c r="CU2361"/>
      <c r="CV2361"/>
      <c r="CW2361"/>
      <c r="CX2361"/>
      <c r="CY2361"/>
    </row>
    <row r="2362" spans="2:103" s="60" customFormat="1" x14ac:dyDescent="0.5">
      <c r="B2362" s="87"/>
      <c r="C2362" s="106"/>
      <c r="D2362" s="91"/>
      <c r="E2362" s="91"/>
      <c r="F2362" s="91"/>
      <c r="G2362" s="91"/>
      <c r="H2362" s="69"/>
      <c r="I2362" s="69"/>
      <c r="CS2362"/>
      <c r="CT2362"/>
      <c r="CU2362"/>
      <c r="CV2362"/>
      <c r="CW2362"/>
      <c r="CX2362"/>
      <c r="CY2362"/>
    </row>
    <row r="2363" spans="2:103" s="60" customFormat="1" x14ac:dyDescent="0.5">
      <c r="B2363" s="87"/>
      <c r="C2363" s="106"/>
      <c r="D2363" s="91"/>
      <c r="E2363" s="91"/>
      <c r="F2363" s="91"/>
      <c r="G2363" s="91"/>
      <c r="H2363" s="69"/>
      <c r="I2363" s="69"/>
      <c r="CS2363"/>
      <c r="CT2363"/>
      <c r="CU2363"/>
      <c r="CV2363"/>
      <c r="CW2363"/>
      <c r="CX2363"/>
      <c r="CY2363"/>
    </row>
    <row r="2364" spans="2:103" s="60" customFormat="1" x14ac:dyDescent="0.5">
      <c r="B2364" s="87"/>
      <c r="C2364" s="106"/>
      <c r="D2364" s="91"/>
      <c r="E2364" s="91"/>
      <c r="F2364" s="91"/>
      <c r="G2364" s="91"/>
      <c r="H2364" s="69"/>
      <c r="I2364" s="69"/>
      <c r="CS2364"/>
      <c r="CT2364"/>
      <c r="CU2364"/>
      <c r="CV2364"/>
      <c r="CW2364"/>
      <c r="CX2364"/>
      <c r="CY2364"/>
    </row>
    <row r="2365" spans="2:103" s="60" customFormat="1" x14ac:dyDescent="0.5">
      <c r="B2365" s="87"/>
      <c r="C2365" s="106"/>
      <c r="D2365" s="91"/>
      <c r="E2365" s="91"/>
      <c r="F2365" s="91"/>
      <c r="G2365" s="91"/>
      <c r="H2365" s="69"/>
      <c r="I2365" s="69"/>
      <c r="CS2365"/>
      <c r="CT2365"/>
      <c r="CU2365"/>
      <c r="CV2365"/>
      <c r="CW2365"/>
      <c r="CX2365"/>
      <c r="CY2365"/>
    </row>
    <row r="2366" spans="2:103" s="60" customFormat="1" x14ac:dyDescent="0.5">
      <c r="B2366" s="87"/>
      <c r="C2366" s="106"/>
      <c r="D2366" s="91"/>
      <c r="E2366" s="91"/>
      <c r="F2366" s="91"/>
      <c r="G2366" s="91"/>
      <c r="H2366" s="69"/>
      <c r="I2366" s="69"/>
      <c r="CS2366"/>
      <c r="CT2366"/>
      <c r="CU2366"/>
      <c r="CV2366"/>
      <c r="CW2366"/>
      <c r="CX2366"/>
      <c r="CY2366"/>
    </row>
    <row r="2367" spans="2:103" s="60" customFormat="1" x14ac:dyDescent="0.5">
      <c r="B2367" s="87"/>
      <c r="C2367" s="106"/>
      <c r="D2367" s="91"/>
      <c r="E2367" s="91"/>
      <c r="F2367" s="91"/>
      <c r="G2367" s="91"/>
      <c r="H2367" s="69"/>
      <c r="I2367" s="69"/>
      <c r="CS2367"/>
      <c r="CT2367"/>
      <c r="CU2367"/>
      <c r="CV2367"/>
      <c r="CW2367"/>
      <c r="CX2367"/>
      <c r="CY2367"/>
    </row>
    <row r="2368" spans="2:103" s="60" customFormat="1" x14ac:dyDescent="0.5">
      <c r="B2368" s="87"/>
      <c r="C2368" s="106"/>
      <c r="D2368" s="91"/>
      <c r="E2368" s="91"/>
      <c r="F2368" s="91"/>
      <c r="G2368" s="91"/>
      <c r="H2368" s="69"/>
      <c r="I2368" s="69"/>
      <c r="CS2368"/>
      <c r="CT2368"/>
      <c r="CU2368"/>
      <c r="CV2368"/>
      <c r="CW2368"/>
      <c r="CX2368"/>
      <c r="CY2368"/>
    </row>
    <row r="2369" spans="2:103" s="60" customFormat="1" x14ac:dyDescent="0.5">
      <c r="B2369" s="87"/>
      <c r="C2369" s="106"/>
      <c r="D2369" s="91"/>
      <c r="E2369" s="91"/>
      <c r="F2369" s="91"/>
      <c r="G2369" s="91"/>
      <c r="H2369" s="69"/>
      <c r="I2369" s="69"/>
      <c r="CS2369"/>
      <c r="CT2369"/>
      <c r="CU2369"/>
      <c r="CV2369"/>
      <c r="CW2369"/>
      <c r="CX2369"/>
      <c r="CY2369"/>
    </row>
    <row r="2370" spans="2:103" s="60" customFormat="1" x14ac:dyDescent="0.5">
      <c r="B2370" s="87"/>
      <c r="C2370" s="106"/>
      <c r="D2370" s="91"/>
      <c r="E2370" s="91"/>
      <c r="F2370" s="91"/>
      <c r="G2370" s="91"/>
      <c r="H2370" s="69"/>
      <c r="I2370" s="69"/>
      <c r="CS2370"/>
      <c r="CT2370"/>
      <c r="CU2370"/>
      <c r="CV2370"/>
      <c r="CW2370"/>
      <c r="CX2370"/>
      <c r="CY2370"/>
    </row>
    <row r="2371" spans="2:103" s="60" customFormat="1" x14ac:dyDescent="0.5">
      <c r="B2371" s="87"/>
      <c r="C2371" s="106"/>
      <c r="D2371" s="91"/>
      <c r="E2371" s="91"/>
      <c r="F2371" s="91"/>
      <c r="G2371" s="91"/>
      <c r="H2371" s="69"/>
      <c r="I2371" s="69"/>
      <c r="CS2371"/>
      <c r="CT2371"/>
      <c r="CU2371"/>
      <c r="CV2371"/>
      <c r="CW2371"/>
      <c r="CX2371"/>
      <c r="CY2371"/>
    </row>
    <row r="2372" spans="2:103" s="60" customFormat="1" x14ac:dyDescent="0.5">
      <c r="B2372" s="87"/>
      <c r="C2372" s="106"/>
      <c r="D2372" s="91"/>
      <c r="E2372" s="91"/>
      <c r="F2372" s="91"/>
      <c r="G2372" s="91"/>
      <c r="H2372" s="69"/>
      <c r="I2372" s="69"/>
      <c r="CS2372"/>
      <c r="CT2372"/>
      <c r="CU2372"/>
      <c r="CV2372"/>
      <c r="CW2372"/>
      <c r="CX2372"/>
      <c r="CY2372"/>
    </row>
    <row r="2373" spans="2:103" s="60" customFormat="1" x14ac:dyDescent="0.5">
      <c r="B2373" s="87"/>
      <c r="C2373" s="106"/>
      <c r="D2373" s="91"/>
      <c r="E2373" s="91"/>
      <c r="F2373" s="91"/>
      <c r="G2373" s="91"/>
      <c r="H2373" s="69"/>
      <c r="I2373" s="69"/>
      <c r="CS2373"/>
      <c r="CT2373"/>
      <c r="CU2373"/>
      <c r="CV2373"/>
      <c r="CW2373"/>
      <c r="CX2373"/>
      <c r="CY2373"/>
    </row>
    <row r="2374" spans="2:103" s="60" customFormat="1" x14ac:dyDescent="0.5">
      <c r="B2374" s="87"/>
      <c r="C2374" s="106"/>
      <c r="D2374" s="91"/>
      <c r="E2374" s="91"/>
      <c r="F2374" s="91"/>
      <c r="G2374" s="91"/>
      <c r="H2374" s="69"/>
      <c r="I2374" s="69"/>
      <c r="CS2374"/>
      <c r="CT2374"/>
      <c r="CU2374"/>
      <c r="CV2374"/>
      <c r="CW2374"/>
      <c r="CX2374"/>
      <c r="CY2374"/>
    </row>
    <row r="2375" spans="2:103" s="60" customFormat="1" x14ac:dyDescent="0.5">
      <c r="B2375" s="87"/>
      <c r="C2375" s="106"/>
      <c r="D2375" s="91"/>
      <c r="E2375" s="91"/>
      <c r="F2375" s="91"/>
      <c r="G2375" s="91"/>
      <c r="H2375" s="69"/>
      <c r="I2375" s="69"/>
      <c r="CS2375"/>
      <c r="CT2375"/>
      <c r="CU2375"/>
      <c r="CV2375"/>
      <c r="CW2375"/>
      <c r="CX2375"/>
      <c r="CY2375"/>
    </row>
    <row r="2376" spans="2:103" s="60" customFormat="1" x14ac:dyDescent="0.5">
      <c r="B2376" s="87"/>
      <c r="C2376" s="106"/>
      <c r="D2376" s="91"/>
      <c r="E2376" s="91"/>
      <c r="F2376" s="91"/>
      <c r="G2376" s="91"/>
      <c r="H2376" s="69"/>
      <c r="I2376" s="69"/>
      <c r="CS2376"/>
      <c r="CT2376"/>
      <c r="CU2376"/>
      <c r="CV2376"/>
      <c r="CW2376"/>
      <c r="CX2376"/>
      <c r="CY2376"/>
    </row>
    <row r="2377" spans="2:103" s="60" customFormat="1" x14ac:dyDescent="0.5">
      <c r="B2377" s="87"/>
      <c r="C2377" s="106"/>
      <c r="D2377" s="91"/>
      <c r="E2377" s="91"/>
      <c r="F2377" s="91"/>
      <c r="G2377" s="91"/>
      <c r="H2377" s="69"/>
      <c r="I2377" s="69"/>
      <c r="CS2377"/>
      <c r="CT2377"/>
      <c r="CU2377"/>
      <c r="CV2377"/>
      <c r="CW2377"/>
      <c r="CX2377"/>
      <c r="CY2377"/>
    </row>
    <row r="2378" spans="2:103" s="60" customFormat="1" x14ac:dyDescent="0.5">
      <c r="B2378" s="87"/>
      <c r="C2378" s="106"/>
      <c r="D2378" s="91"/>
      <c r="E2378" s="91"/>
      <c r="F2378" s="91"/>
      <c r="G2378" s="91"/>
      <c r="H2378" s="69"/>
      <c r="I2378" s="69"/>
      <c r="CS2378"/>
      <c r="CT2378"/>
      <c r="CU2378"/>
      <c r="CV2378"/>
      <c r="CW2378"/>
      <c r="CX2378"/>
      <c r="CY2378"/>
    </row>
    <row r="2379" spans="2:103" s="60" customFormat="1" x14ac:dyDescent="0.5">
      <c r="B2379" s="87"/>
      <c r="C2379" s="106"/>
      <c r="D2379" s="91"/>
      <c r="E2379" s="91"/>
      <c r="F2379" s="91"/>
      <c r="G2379" s="91"/>
      <c r="H2379" s="69"/>
      <c r="I2379" s="69"/>
      <c r="CS2379"/>
      <c r="CT2379"/>
      <c r="CU2379"/>
      <c r="CV2379"/>
      <c r="CW2379"/>
      <c r="CX2379"/>
      <c r="CY2379"/>
    </row>
    <row r="2380" spans="2:103" s="60" customFormat="1" x14ac:dyDescent="0.5">
      <c r="B2380" s="87"/>
      <c r="C2380" s="106"/>
      <c r="D2380" s="91"/>
      <c r="E2380" s="91"/>
      <c r="F2380" s="91"/>
      <c r="G2380" s="91"/>
      <c r="H2380" s="69"/>
      <c r="I2380" s="69"/>
      <c r="CS2380"/>
      <c r="CT2380"/>
      <c r="CU2380"/>
      <c r="CV2380"/>
      <c r="CW2380"/>
      <c r="CX2380"/>
      <c r="CY2380"/>
    </row>
    <row r="2381" spans="2:103" s="60" customFormat="1" x14ac:dyDescent="0.5">
      <c r="B2381" s="87"/>
      <c r="C2381" s="106"/>
      <c r="D2381" s="91"/>
      <c r="E2381" s="91"/>
      <c r="F2381" s="91"/>
      <c r="G2381" s="91"/>
      <c r="H2381" s="69"/>
      <c r="I2381" s="69"/>
      <c r="CS2381"/>
      <c r="CT2381"/>
      <c r="CU2381"/>
      <c r="CV2381"/>
      <c r="CW2381"/>
      <c r="CX2381"/>
      <c r="CY2381"/>
    </row>
    <row r="2382" spans="2:103" s="60" customFormat="1" x14ac:dyDescent="0.5">
      <c r="B2382" s="87"/>
      <c r="C2382" s="106"/>
      <c r="D2382" s="91"/>
      <c r="E2382" s="91"/>
      <c r="F2382" s="91"/>
      <c r="G2382" s="91"/>
      <c r="H2382" s="69"/>
      <c r="I2382" s="69"/>
      <c r="CS2382"/>
      <c r="CT2382"/>
      <c r="CU2382"/>
      <c r="CV2382"/>
      <c r="CW2382"/>
      <c r="CX2382"/>
      <c r="CY2382"/>
    </row>
    <row r="2383" spans="2:103" s="60" customFormat="1" x14ac:dyDescent="0.5">
      <c r="B2383" s="87"/>
      <c r="C2383" s="106"/>
      <c r="D2383" s="91"/>
      <c r="E2383" s="91"/>
      <c r="F2383" s="91"/>
      <c r="G2383" s="91"/>
      <c r="H2383" s="69"/>
      <c r="I2383" s="69"/>
      <c r="CS2383"/>
      <c r="CT2383"/>
      <c r="CU2383"/>
      <c r="CV2383"/>
      <c r="CW2383"/>
      <c r="CX2383"/>
      <c r="CY2383"/>
    </row>
    <row r="2384" spans="2:103" s="60" customFormat="1" x14ac:dyDescent="0.5">
      <c r="B2384" s="87"/>
      <c r="C2384" s="106"/>
      <c r="D2384" s="91"/>
      <c r="E2384" s="91"/>
      <c r="F2384" s="91"/>
      <c r="G2384" s="91"/>
      <c r="H2384" s="69"/>
      <c r="I2384" s="69"/>
      <c r="CS2384"/>
      <c r="CT2384"/>
      <c r="CU2384"/>
      <c r="CV2384"/>
      <c r="CW2384"/>
      <c r="CX2384"/>
      <c r="CY2384"/>
    </row>
    <row r="2385" spans="2:103" s="60" customFormat="1" x14ac:dyDescent="0.5">
      <c r="B2385" s="87"/>
      <c r="C2385" s="106"/>
      <c r="D2385" s="91"/>
      <c r="E2385" s="91"/>
      <c r="F2385" s="91"/>
      <c r="G2385" s="91"/>
      <c r="H2385" s="69"/>
      <c r="I2385" s="69"/>
      <c r="CS2385"/>
      <c r="CT2385"/>
      <c r="CU2385"/>
      <c r="CV2385"/>
      <c r="CW2385"/>
      <c r="CX2385"/>
      <c r="CY2385"/>
    </row>
    <row r="2386" spans="2:103" s="60" customFormat="1" x14ac:dyDescent="0.5">
      <c r="B2386" s="87"/>
      <c r="C2386" s="106"/>
      <c r="D2386" s="91"/>
      <c r="E2386" s="91"/>
      <c r="F2386" s="91"/>
      <c r="G2386" s="91"/>
      <c r="H2386" s="69"/>
      <c r="I2386" s="69"/>
      <c r="CS2386"/>
      <c r="CT2386"/>
      <c r="CU2386"/>
      <c r="CV2386"/>
      <c r="CW2386"/>
      <c r="CX2386"/>
      <c r="CY2386"/>
    </row>
    <row r="2387" spans="2:103" s="60" customFormat="1" x14ac:dyDescent="0.5">
      <c r="B2387" s="87"/>
      <c r="C2387" s="106"/>
      <c r="D2387" s="91"/>
      <c r="E2387" s="91"/>
      <c r="F2387" s="91"/>
      <c r="G2387" s="91"/>
      <c r="H2387" s="69"/>
      <c r="I2387" s="69"/>
      <c r="CS2387"/>
      <c r="CT2387"/>
      <c r="CU2387"/>
      <c r="CV2387"/>
      <c r="CW2387"/>
      <c r="CX2387"/>
      <c r="CY2387"/>
    </row>
    <row r="2388" spans="2:103" s="60" customFormat="1" x14ac:dyDescent="0.5">
      <c r="B2388" s="87"/>
      <c r="C2388" s="106"/>
      <c r="D2388" s="91"/>
      <c r="E2388" s="91"/>
      <c r="F2388" s="91"/>
      <c r="G2388" s="91"/>
      <c r="H2388" s="69"/>
      <c r="I2388" s="69"/>
      <c r="CS2388"/>
      <c r="CT2388"/>
      <c r="CU2388"/>
      <c r="CV2388"/>
      <c r="CW2388"/>
      <c r="CX2388"/>
      <c r="CY2388"/>
    </row>
    <row r="2389" spans="2:103" s="60" customFormat="1" x14ac:dyDescent="0.5">
      <c r="B2389" s="87"/>
      <c r="C2389" s="106"/>
      <c r="D2389" s="91"/>
      <c r="E2389" s="91"/>
      <c r="F2389" s="91"/>
      <c r="G2389" s="91"/>
      <c r="H2389" s="69"/>
      <c r="I2389" s="69"/>
      <c r="CS2389"/>
      <c r="CT2389"/>
      <c r="CU2389"/>
      <c r="CV2389"/>
      <c r="CW2389"/>
      <c r="CX2389"/>
      <c r="CY2389"/>
    </row>
    <row r="2390" spans="2:103" s="60" customFormat="1" x14ac:dyDescent="0.5">
      <c r="B2390" s="87"/>
      <c r="C2390" s="106"/>
      <c r="D2390" s="91"/>
      <c r="E2390" s="91"/>
      <c r="F2390" s="91"/>
      <c r="G2390" s="91"/>
      <c r="H2390" s="69"/>
      <c r="I2390" s="69"/>
      <c r="CS2390"/>
      <c r="CT2390"/>
      <c r="CU2390"/>
      <c r="CV2390"/>
      <c r="CW2390"/>
      <c r="CX2390"/>
      <c r="CY2390"/>
    </row>
    <row r="2391" spans="2:103" s="60" customFormat="1" x14ac:dyDescent="0.5">
      <c r="B2391" s="87"/>
      <c r="C2391" s="106"/>
      <c r="D2391" s="91"/>
      <c r="E2391" s="91"/>
      <c r="F2391" s="91"/>
      <c r="G2391" s="91"/>
      <c r="H2391" s="69"/>
      <c r="I2391" s="69"/>
      <c r="CS2391"/>
      <c r="CT2391"/>
      <c r="CU2391"/>
      <c r="CV2391"/>
      <c r="CW2391"/>
      <c r="CX2391"/>
      <c r="CY2391"/>
    </row>
    <row r="2392" spans="2:103" s="60" customFormat="1" x14ac:dyDescent="0.5">
      <c r="B2392" s="87"/>
      <c r="C2392" s="106"/>
      <c r="D2392" s="91"/>
      <c r="E2392" s="91"/>
      <c r="F2392" s="91"/>
      <c r="G2392" s="91"/>
      <c r="H2392" s="69"/>
      <c r="I2392" s="69"/>
      <c r="CS2392"/>
      <c r="CT2392"/>
      <c r="CU2392"/>
      <c r="CV2392"/>
      <c r="CW2392"/>
      <c r="CX2392"/>
      <c r="CY2392"/>
    </row>
    <row r="2393" spans="2:103" s="60" customFormat="1" x14ac:dyDescent="0.5">
      <c r="B2393" s="87"/>
      <c r="C2393" s="106"/>
      <c r="D2393" s="91"/>
      <c r="E2393" s="91"/>
      <c r="F2393" s="91"/>
      <c r="G2393" s="91"/>
      <c r="H2393" s="69"/>
      <c r="I2393" s="69"/>
      <c r="CS2393"/>
      <c r="CT2393"/>
      <c r="CU2393"/>
      <c r="CV2393"/>
      <c r="CW2393"/>
      <c r="CX2393"/>
      <c r="CY2393"/>
    </row>
    <row r="2394" spans="2:103" s="60" customFormat="1" x14ac:dyDescent="0.5">
      <c r="B2394" s="87"/>
      <c r="C2394" s="106"/>
      <c r="D2394" s="91"/>
      <c r="E2394" s="91"/>
      <c r="F2394" s="91"/>
      <c r="G2394" s="91"/>
      <c r="H2394" s="69"/>
      <c r="I2394" s="69"/>
      <c r="CS2394"/>
      <c r="CT2394"/>
      <c r="CU2394"/>
      <c r="CV2394"/>
      <c r="CW2394"/>
      <c r="CX2394"/>
      <c r="CY2394"/>
    </row>
    <row r="2395" spans="2:103" s="60" customFormat="1" x14ac:dyDescent="0.5">
      <c r="B2395" s="87"/>
      <c r="C2395" s="106"/>
      <c r="D2395" s="91"/>
      <c r="E2395" s="91"/>
      <c r="F2395" s="91"/>
      <c r="G2395" s="91"/>
      <c r="H2395" s="69"/>
      <c r="I2395" s="69"/>
      <c r="CS2395"/>
      <c r="CT2395"/>
      <c r="CU2395"/>
      <c r="CV2395"/>
      <c r="CW2395"/>
      <c r="CX2395"/>
      <c r="CY2395"/>
    </row>
    <row r="2396" spans="2:103" s="60" customFormat="1" x14ac:dyDescent="0.5">
      <c r="B2396" s="87"/>
      <c r="C2396" s="106"/>
      <c r="D2396" s="91"/>
      <c r="E2396" s="91"/>
      <c r="F2396" s="91"/>
      <c r="G2396" s="91"/>
      <c r="H2396" s="69"/>
      <c r="I2396" s="69"/>
      <c r="CS2396"/>
      <c r="CT2396"/>
      <c r="CU2396"/>
      <c r="CV2396"/>
      <c r="CW2396"/>
      <c r="CX2396"/>
      <c r="CY2396"/>
    </row>
    <row r="2397" spans="2:103" s="60" customFormat="1" x14ac:dyDescent="0.5">
      <c r="B2397" s="87"/>
      <c r="C2397" s="106"/>
      <c r="D2397" s="91"/>
      <c r="E2397" s="91"/>
      <c r="F2397" s="91"/>
      <c r="G2397" s="91"/>
      <c r="H2397" s="69"/>
      <c r="I2397" s="69"/>
      <c r="CS2397"/>
      <c r="CT2397"/>
      <c r="CU2397"/>
      <c r="CV2397"/>
      <c r="CW2397"/>
      <c r="CX2397"/>
      <c r="CY2397"/>
    </row>
    <row r="2398" spans="2:103" s="60" customFormat="1" x14ac:dyDescent="0.5">
      <c r="B2398" s="87"/>
      <c r="C2398" s="106"/>
      <c r="D2398" s="91"/>
      <c r="E2398" s="91"/>
      <c r="F2398" s="91"/>
      <c r="G2398" s="91"/>
      <c r="H2398" s="69"/>
      <c r="I2398" s="69"/>
      <c r="CS2398"/>
      <c r="CT2398"/>
      <c r="CU2398"/>
      <c r="CV2398"/>
      <c r="CW2398"/>
      <c r="CX2398"/>
      <c r="CY2398"/>
    </row>
    <row r="2399" spans="2:103" s="60" customFormat="1" x14ac:dyDescent="0.5">
      <c r="B2399" s="87"/>
      <c r="C2399" s="106"/>
      <c r="D2399" s="91"/>
      <c r="E2399" s="91"/>
      <c r="F2399" s="91"/>
      <c r="G2399" s="91"/>
      <c r="H2399" s="69"/>
      <c r="I2399" s="69"/>
      <c r="CS2399"/>
      <c r="CT2399"/>
      <c r="CU2399"/>
      <c r="CV2399"/>
      <c r="CW2399"/>
      <c r="CX2399"/>
      <c r="CY2399"/>
    </row>
    <row r="2400" spans="2:103" s="60" customFormat="1" x14ac:dyDescent="0.5">
      <c r="B2400" s="87"/>
      <c r="C2400" s="106"/>
      <c r="D2400" s="91"/>
      <c r="E2400" s="91"/>
      <c r="F2400" s="91"/>
      <c r="G2400" s="91"/>
      <c r="H2400" s="69"/>
      <c r="I2400" s="69"/>
      <c r="CS2400"/>
      <c r="CT2400"/>
      <c r="CU2400"/>
      <c r="CV2400"/>
      <c r="CW2400"/>
      <c r="CX2400"/>
      <c r="CY2400"/>
    </row>
    <row r="2401" spans="2:103" s="60" customFormat="1" x14ac:dyDescent="0.5">
      <c r="B2401" s="87"/>
      <c r="C2401" s="106"/>
      <c r="D2401" s="91"/>
      <c r="E2401" s="91"/>
      <c r="F2401" s="91"/>
      <c r="G2401" s="91"/>
      <c r="H2401" s="69"/>
      <c r="I2401" s="69"/>
      <c r="CS2401"/>
      <c r="CT2401"/>
      <c r="CU2401"/>
      <c r="CV2401"/>
      <c r="CW2401"/>
      <c r="CX2401"/>
      <c r="CY2401"/>
    </row>
    <row r="2402" spans="2:103" s="60" customFormat="1" x14ac:dyDescent="0.5">
      <c r="B2402" s="87"/>
      <c r="C2402" s="106"/>
      <c r="D2402" s="91"/>
      <c r="E2402" s="91"/>
      <c r="F2402" s="91"/>
      <c r="G2402" s="91"/>
      <c r="H2402" s="69"/>
      <c r="I2402" s="69"/>
      <c r="CS2402"/>
      <c r="CT2402"/>
      <c r="CU2402"/>
      <c r="CV2402"/>
      <c r="CW2402"/>
      <c r="CX2402"/>
      <c r="CY2402"/>
    </row>
    <row r="2403" spans="2:103" s="60" customFormat="1" x14ac:dyDescent="0.5">
      <c r="B2403" s="87"/>
      <c r="C2403" s="106"/>
      <c r="D2403" s="91"/>
      <c r="E2403" s="91"/>
      <c r="F2403" s="91"/>
      <c r="G2403" s="91"/>
      <c r="H2403" s="69"/>
      <c r="I2403" s="69"/>
      <c r="CS2403"/>
      <c r="CT2403"/>
      <c r="CU2403"/>
      <c r="CV2403"/>
      <c r="CW2403"/>
      <c r="CX2403"/>
      <c r="CY2403"/>
    </row>
    <row r="2404" spans="2:103" s="60" customFormat="1" x14ac:dyDescent="0.5">
      <c r="B2404" s="87"/>
      <c r="C2404" s="106"/>
      <c r="D2404" s="91"/>
      <c r="E2404" s="91"/>
      <c r="F2404" s="91"/>
      <c r="G2404" s="91"/>
      <c r="H2404" s="69"/>
      <c r="I2404" s="69"/>
      <c r="CS2404"/>
      <c r="CT2404"/>
      <c r="CU2404"/>
      <c r="CV2404"/>
      <c r="CW2404"/>
      <c r="CX2404"/>
      <c r="CY2404"/>
    </row>
    <row r="2405" spans="2:103" s="60" customFormat="1" x14ac:dyDescent="0.5">
      <c r="B2405" s="87"/>
      <c r="C2405" s="106"/>
      <c r="D2405" s="91"/>
      <c r="E2405" s="91"/>
      <c r="F2405" s="91"/>
      <c r="G2405" s="91"/>
      <c r="H2405" s="69"/>
      <c r="I2405" s="69"/>
      <c r="CS2405"/>
      <c r="CT2405"/>
      <c r="CU2405"/>
      <c r="CV2405"/>
      <c r="CW2405"/>
      <c r="CX2405"/>
      <c r="CY2405"/>
    </row>
    <row r="2406" spans="2:103" s="60" customFormat="1" x14ac:dyDescent="0.5">
      <c r="B2406" s="87"/>
      <c r="C2406" s="106"/>
      <c r="D2406" s="91"/>
      <c r="E2406" s="91"/>
      <c r="F2406" s="91"/>
      <c r="G2406" s="91"/>
      <c r="H2406" s="69"/>
      <c r="I2406" s="69"/>
      <c r="CS2406"/>
      <c r="CT2406"/>
      <c r="CU2406"/>
      <c r="CV2406"/>
      <c r="CW2406"/>
      <c r="CX2406"/>
      <c r="CY2406"/>
    </row>
    <row r="2407" spans="2:103" s="60" customFormat="1" x14ac:dyDescent="0.5">
      <c r="B2407" s="87"/>
      <c r="C2407" s="106"/>
      <c r="D2407" s="91"/>
      <c r="E2407" s="91"/>
      <c r="F2407" s="91"/>
      <c r="G2407" s="91"/>
      <c r="H2407" s="69"/>
      <c r="I2407" s="69"/>
      <c r="CS2407"/>
      <c r="CT2407"/>
      <c r="CU2407"/>
      <c r="CV2407"/>
      <c r="CW2407"/>
      <c r="CX2407"/>
      <c r="CY2407"/>
    </row>
    <row r="2408" spans="2:103" s="60" customFormat="1" x14ac:dyDescent="0.5">
      <c r="B2408" s="87"/>
      <c r="C2408" s="106"/>
      <c r="D2408" s="91"/>
      <c r="E2408" s="91"/>
      <c r="F2408" s="91"/>
      <c r="G2408" s="91"/>
      <c r="H2408" s="69"/>
      <c r="I2408" s="69"/>
      <c r="CS2408"/>
      <c r="CT2408"/>
      <c r="CU2408"/>
      <c r="CV2408"/>
      <c r="CW2408"/>
      <c r="CX2408"/>
      <c r="CY2408"/>
    </row>
    <row r="2409" spans="2:103" s="60" customFormat="1" x14ac:dyDescent="0.5">
      <c r="B2409" s="87"/>
      <c r="C2409" s="106"/>
      <c r="D2409" s="91"/>
      <c r="E2409" s="91"/>
      <c r="F2409" s="91"/>
      <c r="G2409" s="91"/>
      <c r="H2409" s="69"/>
      <c r="I2409" s="69"/>
      <c r="CS2409"/>
      <c r="CT2409"/>
      <c r="CU2409"/>
      <c r="CV2409"/>
      <c r="CW2409"/>
      <c r="CX2409"/>
      <c r="CY2409"/>
    </row>
    <row r="2410" spans="2:103" s="60" customFormat="1" x14ac:dyDescent="0.5">
      <c r="B2410" s="87"/>
      <c r="C2410" s="106"/>
      <c r="D2410" s="91"/>
      <c r="E2410" s="91"/>
      <c r="F2410" s="91"/>
      <c r="G2410" s="91"/>
      <c r="H2410" s="69"/>
      <c r="I2410" s="69"/>
      <c r="CS2410"/>
      <c r="CT2410"/>
      <c r="CU2410"/>
      <c r="CV2410"/>
      <c r="CW2410"/>
      <c r="CX2410"/>
      <c r="CY2410"/>
    </row>
    <row r="2411" spans="2:103" s="60" customFormat="1" x14ac:dyDescent="0.5">
      <c r="B2411" s="87"/>
      <c r="C2411" s="106"/>
      <c r="D2411" s="91"/>
      <c r="E2411" s="91"/>
      <c r="F2411" s="91"/>
      <c r="G2411" s="91"/>
      <c r="H2411" s="69"/>
      <c r="I2411" s="69"/>
      <c r="CS2411"/>
      <c r="CT2411"/>
      <c r="CU2411"/>
      <c r="CV2411"/>
      <c r="CW2411"/>
      <c r="CX2411"/>
      <c r="CY2411"/>
    </row>
    <row r="2412" spans="2:103" s="60" customFormat="1" x14ac:dyDescent="0.5">
      <c r="B2412" s="87"/>
      <c r="C2412" s="106"/>
      <c r="D2412" s="91"/>
      <c r="E2412" s="91"/>
      <c r="F2412" s="91"/>
      <c r="G2412" s="91"/>
      <c r="H2412" s="69"/>
      <c r="I2412" s="69"/>
      <c r="CS2412"/>
      <c r="CT2412"/>
      <c r="CU2412"/>
      <c r="CV2412"/>
      <c r="CW2412"/>
      <c r="CX2412"/>
      <c r="CY2412"/>
    </row>
    <row r="2413" spans="2:103" s="60" customFormat="1" x14ac:dyDescent="0.5">
      <c r="B2413" s="87"/>
      <c r="C2413" s="106"/>
      <c r="D2413" s="91"/>
      <c r="E2413" s="91"/>
      <c r="F2413" s="91"/>
      <c r="G2413" s="91"/>
      <c r="H2413" s="69"/>
      <c r="I2413" s="69"/>
      <c r="CS2413"/>
      <c r="CT2413"/>
      <c r="CU2413"/>
      <c r="CV2413"/>
      <c r="CW2413"/>
      <c r="CX2413"/>
      <c r="CY2413"/>
    </row>
    <row r="2414" spans="2:103" s="60" customFormat="1" x14ac:dyDescent="0.5">
      <c r="B2414" s="87"/>
      <c r="C2414" s="106"/>
      <c r="D2414" s="91"/>
      <c r="E2414" s="91"/>
      <c r="F2414" s="91"/>
      <c r="G2414" s="91"/>
      <c r="H2414" s="69"/>
      <c r="I2414" s="69"/>
      <c r="CS2414"/>
      <c r="CT2414"/>
      <c r="CU2414"/>
      <c r="CV2414"/>
      <c r="CW2414"/>
      <c r="CX2414"/>
      <c r="CY2414"/>
    </row>
    <row r="2415" spans="2:103" s="60" customFormat="1" x14ac:dyDescent="0.5">
      <c r="B2415" s="87"/>
      <c r="C2415" s="106"/>
      <c r="D2415" s="91"/>
      <c r="E2415" s="91"/>
      <c r="F2415" s="91"/>
      <c r="G2415" s="91"/>
      <c r="H2415" s="69"/>
      <c r="I2415" s="69"/>
      <c r="CS2415"/>
      <c r="CT2415"/>
      <c r="CU2415"/>
      <c r="CV2415"/>
      <c r="CW2415"/>
      <c r="CX2415"/>
      <c r="CY2415"/>
    </row>
    <row r="2416" spans="2:103" s="60" customFormat="1" x14ac:dyDescent="0.5">
      <c r="B2416" s="87"/>
      <c r="C2416" s="106"/>
      <c r="D2416" s="91"/>
      <c r="E2416" s="91"/>
      <c r="F2416" s="91"/>
      <c r="G2416" s="91"/>
      <c r="H2416" s="69"/>
      <c r="I2416" s="69"/>
      <c r="CS2416"/>
      <c r="CT2416"/>
      <c r="CU2416"/>
      <c r="CV2416"/>
      <c r="CW2416"/>
      <c r="CX2416"/>
      <c r="CY2416"/>
    </row>
    <row r="2417" spans="2:103" s="60" customFormat="1" x14ac:dyDescent="0.5">
      <c r="B2417" s="87"/>
      <c r="C2417" s="106"/>
      <c r="D2417" s="91"/>
      <c r="E2417" s="91"/>
      <c r="F2417" s="91"/>
      <c r="G2417" s="91"/>
      <c r="H2417" s="69"/>
      <c r="I2417" s="69"/>
      <c r="CS2417"/>
      <c r="CT2417"/>
      <c r="CU2417"/>
      <c r="CV2417"/>
      <c r="CW2417"/>
      <c r="CX2417"/>
      <c r="CY2417"/>
    </row>
    <row r="2418" spans="2:103" s="60" customFormat="1" x14ac:dyDescent="0.5">
      <c r="B2418" s="87"/>
      <c r="C2418" s="106"/>
      <c r="D2418" s="91"/>
      <c r="E2418" s="91"/>
      <c r="F2418" s="91"/>
      <c r="G2418" s="91"/>
      <c r="H2418" s="69"/>
      <c r="I2418" s="69"/>
      <c r="CS2418"/>
      <c r="CT2418"/>
      <c r="CU2418"/>
      <c r="CV2418"/>
      <c r="CW2418"/>
      <c r="CX2418"/>
      <c r="CY2418"/>
    </row>
    <row r="2419" spans="2:103" s="60" customFormat="1" x14ac:dyDescent="0.5">
      <c r="B2419" s="87"/>
      <c r="C2419" s="106"/>
      <c r="D2419" s="91"/>
      <c r="E2419" s="91"/>
      <c r="F2419" s="91"/>
      <c r="G2419" s="91"/>
      <c r="H2419" s="69"/>
      <c r="I2419" s="69"/>
      <c r="CS2419"/>
      <c r="CT2419"/>
      <c r="CU2419"/>
      <c r="CV2419"/>
      <c r="CW2419"/>
      <c r="CX2419"/>
      <c r="CY2419"/>
    </row>
    <row r="2420" spans="2:103" s="60" customFormat="1" x14ac:dyDescent="0.5">
      <c r="B2420" s="87"/>
      <c r="C2420" s="106"/>
      <c r="D2420" s="91"/>
      <c r="E2420" s="91"/>
      <c r="F2420" s="91"/>
      <c r="G2420" s="91"/>
      <c r="H2420" s="69"/>
      <c r="I2420" s="69"/>
      <c r="CS2420"/>
      <c r="CT2420"/>
      <c r="CU2420"/>
      <c r="CV2420"/>
      <c r="CW2420"/>
      <c r="CX2420"/>
      <c r="CY2420"/>
    </row>
    <row r="2421" spans="2:103" s="60" customFormat="1" x14ac:dyDescent="0.5">
      <c r="B2421" s="87"/>
      <c r="C2421" s="106"/>
      <c r="D2421" s="91"/>
      <c r="E2421" s="91"/>
      <c r="F2421" s="91"/>
      <c r="G2421" s="91"/>
      <c r="H2421" s="69"/>
      <c r="I2421" s="69"/>
      <c r="CS2421"/>
      <c r="CT2421"/>
      <c r="CU2421"/>
      <c r="CV2421"/>
      <c r="CW2421"/>
      <c r="CX2421"/>
      <c r="CY2421"/>
    </row>
    <row r="2422" spans="2:103" s="60" customFormat="1" x14ac:dyDescent="0.5">
      <c r="B2422" s="87"/>
      <c r="C2422" s="106"/>
      <c r="D2422" s="91"/>
      <c r="E2422" s="91"/>
      <c r="F2422" s="91"/>
      <c r="G2422" s="91"/>
      <c r="H2422" s="69"/>
      <c r="I2422" s="69"/>
      <c r="CS2422"/>
      <c r="CT2422"/>
      <c r="CU2422"/>
      <c r="CV2422"/>
      <c r="CW2422"/>
      <c r="CX2422"/>
      <c r="CY2422"/>
    </row>
    <row r="2423" spans="2:103" s="60" customFormat="1" x14ac:dyDescent="0.5">
      <c r="B2423" s="87"/>
      <c r="C2423" s="106"/>
      <c r="D2423" s="91"/>
      <c r="E2423" s="91"/>
      <c r="F2423" s="91"/>
      <c r="G2423" s="91"/>
      <c r="H2423" s="69"/>
      <c r="I2423" s="69"/>
      <c r="CS2423"/>
      <c r="CT2423"/>
      <c r="CU2423"/>
      <c r="CV2423"/>
      <c r="CW2423"/>
      <c r="CX2423"/>
      <c r="CY2423"/>
    </row>
    <row r="2424" spans="2:103" s="60" customFormat="1" x14ac:dyDescent="0.5">
      <c r="B2424" s="87"/>
      <c r="C2424" s="106"/>
      <c r="D2424" s="91"/>
      <c r="E2424" s="91"/>
      <c r="F2424" s="91"/>
      <c r="G2424" s="91"/>
      <c r="H2424" s="69"/>
      <c r="I2424" s="69"/>
      <c r="CS2424"/>
      <c r="CT2424"/>
      <c r="CU2424"/>
      <c r="CV2424"/>
      <c r="CW2424"/>
      <c r="CX2424"/>
      <c r="CY2424"/>
    </row>
    <row r="2425" spans="2:103" s="60" customFormat="1" x14ac:dyDescent="0.5">
      <c r="B2425" s="87"/>
      <c r="C2425" s="106"/>
      <c r="D2425" s="91"/>
      <c r="E2425" s="91"/>
      <c r="F2425" s="91"/>
      <c r="G2425" s="91"/>
      <c r="H2425" s="69"/>
      <c r="I2425" s="69"/>
      <c r="CS2425"/>
      <c r="CT2425"/>
      <c r="CU2425"/>
      <c r="CV2425"/>
      <c r="CW2425"/>
      <c r="CX2425"/>
      <c r="CY2425"/>
    </row>
    <row r="2441" spans="2:9" s="60" customFormat="1" x14ac:dyDescent="0.5">
      <c r="B2441" s="66"/>
      <c r="C2441" s="97"/>
      <c r="D2441" s="71"/>
      <c r="E2441" s="71"/>
      <c r="F2441" s="71"/>
      <c r="G2441" s="71"/>
      <c r="H2441" s="69"/>
      <c r="I2441" s="69"/>
    </row>
    <row r="2442" spans="2:9" s="60" customFormat="1" x14ac:dyDescent="0.5">
      <c r="B2442" s="66"/>
      <c r="C2442" s="97"/>
      <c r="D2442" s="71"/>
      <c r="E2442" s="71"/>
      <c r="F2442" s="71"/>
      <c r="G2442" s="71"/>
      <c r="H2442" s="69"/>
      <c r="I2442" s="69"/>
    </row>
    <row r="2443" spans="2:9" s="60" customFormat="1" x14ac:dyDescent="0.5">
      <c r="B2443" s="66"/>
      <c r="C2443" s="97"/>
      <c r="D2443" s="71"/>
      <c r="E2443" s="71"/>
      <c r="F2443" s="71"/>
      <c r="G2443" s="71"/>
      <c r="H2443" s="69"/>
      <c r="I2443" s="69"/>
    </row>
    <row r="2444" spans="2:9" s="60" customFormat="1" x14ac:dyDescent="0.5">
      <c r="B2444" s="66"/>
      <c r="C2444" s="97"/>
      <c r="D2444" s="71"/>
      <c r="E2444" s="71"/>
      <c r="F2444" s="71"/>
      <c r="G2444" s="71"/>
      <c r="H2444" s="69"/>
      <c r="I2444" s="69"/>
    </row>
    <row r="2445" spans="2:9" s="60" customFormat="1" x14ac:dyDescent="0.5">
      <c r="B2445" s="66"/>
      <c r="C2445" s="97"/>
      <c r="D2445" s="71"/>
      <c r="E2445" s="71"/>
      <c r="F2445" s="71"/>
      <c r="G2445" s="71"/>
      <c r="H2445" s="69"/>
      <c r="I2445" s="69"/>
    </row>
    <row r="2446" spans="2:9" s="60" customFormat="1" x14ac:dyDescent="0.5">
      <c r="B2446" s="66"/>
      <c r="C2446" s="97"/>
      <c r="D2446" s="71"/>
      <c r="E2446" s="71"/>
      <c r="F2446" s="71"/>
      <c r="G2446" s="71"/>
      <c r="H2446" s="69"/>
      <c r="I2446" s="69"/>
    </row>
    <row r="2447" spans="2:9" s="60" customFormat="1" x14ac:dyDescent="0.5">
      <c r="B2447" s="66"/>
      <c r="C2447" s="97"/>
      <c r="D2447" s="71"/>
      <c r="E2447" s="71"/>
      <c r="F2447" s="71"/>
      <c r="G2447" s="71"/>
      <c r="H2447" s="69"/>
      <c r="I2447" s="69"/>
    </row>
    <row r="2448" spans="2:9" s="60" customFormat="1" x14ac:dyDescent="0.5">
      <c r="B2448" s="66"/>
      <c r="C2448" s="97"/>
      <c r="D2448" s="71"/>
      <c r="E2448" s="71"/>
      <c r="F2448" s="71"/>
      <c r="G2448" s="71"/>
      <c r="H2448" s="69"/>
      <c r="I2448" s="69"/>
    </row>
    <row r="2449" spans="2:9" s="60" customFormat="1" x14ac:dyDescent="0.5">
      <c r="B2449" s="66"/>
      <c r="C2449" s="97"/>
      <c r="D2449" s="71"/>
      <c r="E2449" s="71"/>
      <c r="F2449" s="71"/>
      <c r="G2449" s="71"/>
      <c r="H2449" s="69"/>
      <c r="I2449" s="69"/>
    </row>
    <row r="2450" spans="2:9" s="60" customFormat="1" x14ac:dyDescent="0.5">
      <c r="B2450" s="66"/>
      <c r="C2450" s="97"/>
      <c r="D2450" s="71"/>
      <c r="E2450" s="71"/>
      <c r="F2450" s="71"/>
      <c r="G2450" s="71"/>
      <c r="H2450" s="69"/>
      <c r="I2450" s="69"/>
    </row>
    <row r="2451" spans="2:9" s="60" customFormat="1" x14ac:dyDescent="0.5">
      <c r="B2451" s="66"/>
      <c r="C2451" s="97"/>
      <c r="D2451" s="71"/>
      <c r="E2451" s="71"/>
      <c r="F2451" s="71"/>
      <c r="G2451" s="71"/>
      <c r="H2451" s="69"/>
      <c r="I2451" s="69"/>
    </row>
    <row r="2452" spans="2:9" s="60" customFormat="1" x14ac:dyDescent="0.5">
      <c r="B2452" s="66"/>
      <c r="C2452" s="97"/>
      <c r="D2452" s="71"/>
      <c r="E2452" s="71"/>
      <c r="F2452" s="71"/>
      <c r="G2452" s="71"/>
      <c r="H2452" s="69"/>
      <c r="I2452" s="69"/>
    </row>
    <row r="2453" spans="2:9" s="60" customFormat="1" x14ac:dyDescent="0.5">
      <c r="B2453" s="66"/>
      <c r="C2453" s="97"/>
      <c r="D2453" s="71"/>
      <c r="E2453" s="71"/>
      <c r="F2453" s="71"/>
      <c r="G2453" s="71"/>
      <c r="H2453" s="69"/>
      <c r="I2453" s="69"/>
    </row>
    <row r="2454" spans="2:9" s="60" customFormat="1" x14ac:dyDescent="0.5">
      <c r="B2454" s="66"/>
      <c r="C2454" s="97"/>
      <c r="D2454" s="71"/>
      <c r="E2454" s="71"/>
      <c r="F2454" s="71"/>
      <c r="G2454" s="71"/>
      <c r="H2454" s="69"/>
      <c r="I2454" s="69"/>
    </row>
    <row r="2455" spans="2:9" s="60" customFormat="1" x14ac:dyDescent="0.5">
      <c r="B2455" s="66"/>
      <c r="C2455" s="97"/>
      <c r="D2455" s="71"/>
      <c r="E2455" s="71"/>
      <c r="F2455" s="71"/>
      <c r="G2455" s="71"/>
      <c r="H2455" s="69"/>
      <c r="I2455" s="69"/>
    </row>
    <row r="2456" spans="2:9" s="60" customFormat="1" x14ac:dyDescent="0.5">
      <c r="B2456" s="66"/>
      <c r="C2456" s="97"/>
      <c r="D2456" s="71"/>
      <c r="E2456" s="71"/>
      <c r="F2456" s="71"/>
      <c r="G2456" s="71"/>
      <c r="H2456" s="69"/>
      <c r="I2456" s="69"/>
    </row>
    <row r="2457" spans="2:9" s="60" customFormat="1" x14ac:dyDescent="0.5">
      <c r="B2457" s="66"/>
      <c r="C2457" s="97"/>
      <c r="D2457" s="71"/>
      <c r="E2457" s="71"/>
      <c r="F2457" s="71"/>
      <c r="G2457" s="71"/>
      <c r="H2457" s="69"/>
      <c r="I2457" s="69"/>
    </row>
    <row r="2458" spans="2:9" s="60" customFormat="1" x14ac:dyDescent="0.5">
      <c r="B2458" s="66"/>
      <c r="C2458" s="97"/>
      <c r="D2458" s="71"/>
      <c r="E2458" s="71"/>
      <c r="F2458" s="71"/>
      <c r="G2458" s="71"/>
      <c r="H2458" s="69"/>
      <c r="I2458" s="69"/>
    </row>
    <row r="2459" spans="2:9" s="60" customFormat="1" x14ac:dyDescent="0.5">
      <c r="B2459" s="66"/>
      <c r="C2459" s="97"/>
      <c r="D2459" s="71"/>
      <c r="E2459" s="71"/>
      <c r="F2459" s="71"/>
      <c r="G2459" s="71"/>
      <c r="H2459" s="69"/>
      <c r="I2459" s="69"/>
    </row>
    <row r="2460" spans="2:9" s="60" customFormat="1" x14ac:dyDescent="0.5">
      <c r="B2460" s="66"/>
      <c r="C2460" s="97"/>
      <c r="D2460" s="71"/>
      <c r="E2460" s="71"/>
      <c r="F2460" s="71"/>
      <c r="G2460" s="71"/>
      <c r="H2460" s="69"/>
      <c r="I2460" s="69"/>
    </row>
    <row r="2461" spans="2:9" s="60" customFormat="1" x14ac:dyDescent="0.5">
      <c r="B2461" s="66"/>
      <c r="C2461" s="97"/>
      <c r="D2461" s="71"/>
      <c r="E2461" s="71"/>
      <c r="F2461" s="71"/>
      <c r="G2461" s="71"/>
      <c r="H2461" s="69"/>
      <c r="I2461" s="69"/>
    </row>
    <row r="2462" spans="2:9" s="60" customFormat="1" x14ac:dyDescent="0.5">
      <c r="B2462" s="66"/>
      <c r="C2462" s="97"/>
      <c r="D2462" s="71"/>
      <c r="E2462" s="71"/>
      <c r="F2462" s="71"/>
      <c r="G2462" s="71"/>
      <c r="H2462" s="69"/>
      <c r="I2462" s="69"/>
    </row>
    <row r="2463" spans="2:9" s="60" customFormat="1" x14ac:dyDescent="0.5">
      <c r="B2463" s="66"/>
      <c r="C2463" s="97"/>
      <c r="D2463" s="71"/>
      <c r="E2463" s="71"/>
      <c r="F2463" s="71"/>
      <c r="G2463" s="71"/>
      <c r="H2463" s="69"/>
      <c r="I2463" s="69"/>
    </row>
    <row r="2464" spans="2:9" s="60" customFormat="1" x14ac:dyDescent="0.5">
      <c r="B2464" s="66"/>
      <c r="C2464" s="97"/>
      <c r="D2464" s="71"/>
      <c r="E2464" s="71"/>
      <c r="F2464" s="71"/>
      <c r="G2464" s="71"/>
      <c r="H2464" s="69"/>
      <c r="I2464" s="69"/>
    </row>
    <row r="2465" spans="2:9" s="60" customFormat="1" x14ac:dyDescent="0.5">
      <c r="B2465" s="66"/>
      <c r="C2465" s="97"/>
      <c r="D2465" s="71"/>
      <c r="E2465" s="71"/>
      <c r="F2465" s="71"/>
      <c r="G2465" s="71"/>
      <c r="H2465" s="69"/>
      <c r="I2465" s="69"/>
    </row>
    <row r="2466" spans="2:9" s="60" customFormat="1" x14ac:dyDescent="0.5">
      <c r="B2466" s="66"/>
      <c r="C2466" s="97"/>
      <c r="D2466" s="71"/>
      <c r="E2466" s="71"/>
      <c r="F2466" s="71"/>
      <c r="G2466" s="71"/>
      <c r="H2466" s="69"/>
      <c r="I2466" s="69"/>
    </row>
    <row r="2467" spans="2:9" s="60" customFormat="1" x14ac:dyDescent="0.5">
      <c r="B2467" s="66"/>
      <c r="C2467" s="97"/>
      <c r="D2467" s="71"/>
      <c r="E2467" s="71"/>
      <c r="F2467" s="71"/>
      <c r="G2467" s="71"/>
      <c r="H2467" s="69"/>
      <c r="I2467" s="69"/>
    </row>
    <row r="2468" spans="2:9" s="60" customFormat="1" x14ac:dyDescent="0.5">
      <c r="B2468" s="66"/>
      <c r="C2468" s="97"/>
      <c r="D2468" s="71"/>
      <c r="E2468" s="71"/>
      <c r="F2468" s="71"/>
      <c r="G2468" s="71"/>
      <c r="H2468" s="69"/>
      <c r="I2468" s="69"/>
    </row>
    <row r="2469" spans="2:9" s="60" customFormat="1" x14ac:dyDescent="0.5">
      <c r="B2469" s="66"/>
      <c r="C2469" s="97"/>
      <c r="D2469" s="71"/>
      <c r="E2469" s="71"/>
      <c r="F2469" s="71"/>
      <c r="G2469" s="71"/>
      <c r="H2469" s="69"/>
      <c r="I2469" s="69"/>
    </row>
    <row r="2470" spans="2:9" s="60" customFormat="1" x14ac:dyDescent="0.5">
      <c r="B2470" s="66"/>
      <c r="C2470" s="97"/>
      <c r="D2470" s="71"/>
      <c r="E2470" s="71"/>
      <c r="F2470" s="71"/>
      <c r="G2470" s="71"/>
      <c r="H2470" s="69"/>
      <c r="I2470" s="69"/>
    </row>
    <row r="2471" spans="2:9" s="60" customFormat="1" x14ac:dyDescent="0.5">
      <c r="B2471" s="66"/>
      <c r="C2471" s="97"/>
      <c r="D2471" s="71"/>
      <c r="E2471" s="71"/>
      <c r="F2471" s="71"/>
      <c r="G2471" s="71"/>
      <c r="H2471" s="69"/>
      <c r="I2471" s="69"/>
    </row>
    <row r="2472" spans="2:9" s="60" customFormat="1" x14ac:dyDescent="0.5">
      <c r="B2472" s="66"/>
      <c r="C2472" s="97"/>
      <c r="D2472" s="71"/>
      <c r="E2472" s="71"/>
      <c r="F2472" s="71"/>
      <c r="G2472" s="71"/>
      <c r="H2472" s="69"/>
      <c r="I2472" s="69"/>
    </row>
    <row r="2473" spans="2:9" s="60" customFormat="1" x14ac:dyDescent="0.5">
      <c r="B2473" s="66"/>
      <c r="C2473" s="97"/>
      <c r="D2473" s="71"/>
      <c r="E2473" s="71"/>
      <c r="F2473" s="71"/>
      <c r="G2473" s="71"/>
      <c r="H2473" s="69"/>
      <c r="I2473" s="69"/>
    </row>
    <row r="2474" spans="2:9" s="60" customFormat="1" x14ac:dyDescent="0.5">
      <c r="B2474" s="66"/>
      <c r="C2474" s="97"/>
      <c r="D2474" s="71"/>
      <c r="E2474" s="71"/>
      <c r="F2474" s="71"/>
      <c r="G2474" s="71"/>
      <c r="H2474" s="69"/>
      <c r="I2474" s="69"/>
    </row>
    <row r="2475" spans="2:9" s="60" customFormat="1" x14ac:dyDescent="0.5">
      <c r="B2475" s="66"/>
      <c r="C2475" s="97"/>
      <c r="D2475" s="71"/>
      <c r="E2475" s="71"/>
      <c r="F2475" s="71"/>
      <c r="G2475" s="71"/>
      <c r="H2475" s="69"/>
      <c r="I2475" s="69"/>
    </row>
    <row r="2476" spans="2:9" s="60" customFormat="1" x14ac:dyDescent="0.5">
      <c r="B2476" s="66"/>
      <c r="C2476" s="97"/>
      <c r="D2476" s="71"/>
      <c r="E2476" s="71"/>
      <c r="F2476" s="71"/>
      <c r="G2476" s="71"/>
      <c r="H2476" s="69"/>
      <c r="I2476" s="69"/>
    </row>
    <row r="2477" spans="2:9" s="60" customFormat="1" x14ac:dyDescent="0.5">
      <c r="B2477" s="66"/>
      <c r="C2477" s="97"/>
      <c r="D2477" s="71"/>
      <c r="E2477" s="71"/>
      <c r="F2477" s="71"/>
      <c r="G2477" s="71"/>
      <c r="H2477" s="69"/>
      <c r="I2477" s="69"/>
    </row>
    <row r="2478" spans="2:9" s="60" customFormat="1" x14ac:dyDescent="0.5">
      <c r="B2478" s="66"/>
      <c r="C2478" s="97"/>
      <c r="D2478" s="71"/>
      <c r="E2478" s="71"/>
      <c r="F2478" s="71"/>
      <c r="G2478" s="71"/>
      <c r="H2478" s="69"/>
      <c r="I2478" s="69"/>
    </row>
    <row r="2479" spans="2:9" s="60" customFormat="1" x14ac:dyDescent="0.5">
      <c r="B2479" s="66"/>
      <c r="C2479" s="97"/>
      <c r="D2479" s="71"/>
      <c r="E2479" s="71"/>
      <c r="F2479" s="71"/>
      <c r="G2479" s="71"/>
      <c r="H2479" s="69"/>
      <c r="I2479" s="69"/>
    </row>
    <row r="2480" spans="2:9" s="60" customFormat="1" x14ac:dyDescent="0.5">
      <c r="B2480" s="66"/>
      <c r="C2480" s="97"/>
      <c r="D2480" s="71"/>
      <c r="E2480" s="71"/>
      <c r="F2480" s="71"/>
      <c r="G2480" s="71"/>
      <c r="H2480" s="69"/>
      <c r="I2480" s="69"/>
    </row>
    <row r="2481" spans="2:9" s="60" customFormat="1" x14ac:dyDescent="0.5">
      <c r="B2481" s="66"/>
      <c r="C2481" s="97"/>
      <c r="D2481" s="71"/>
      <c r="E2481" s="71"/>
      <c r="F2481" s="71"/>
      <c r="G2481" s="71"/>
      <c r="H2481" s="69"/>
      <c r="I2481" s="69"/>
    </row>
    <row r="2482" spans="2:9" s="60" customFormat="1" x14ac:dyDescent="0.5">
      <c r="B2482" s="66"/>
      <c r="C2482" s="97"/>
      <c r="D2482" s="71"/>
      <c r="E2482" s="71"/>
      <c r="F2482" s="71"/>
      <c r="G2482" s="71"/>
      <c r="H2482" s="69"/>
      <c r="I2482" s="69"/>
    </row>
    <row r="2483" spans="2:9" s="60" customFormat="1" x14ac:dyDescent="0.5">
      <c r="B2483" s="66"/>
      <c r="C2483" s="97"/>
      <c r="D2483" s="71"/>
      <c r="E2483" s="71"/>
      <c r="F2483" s="71"/>
      <c r="G2483" s="71"/>
      <c r="H2483" s="69"/>
      <c r="I2483" s="69"/>
    </row>
    <row r="2484" spans="2:9" s="60" customFormat="1" x14ac:dyDescent="0.5">
      <c r="B2484" s="66"/>
      <c r="C2484" s="97"/>
      <c r="D2484" s="71"/>
      <c r="E2484" s="71"/>
      <c r="F2484" s="71"/>
      <c r="G2484" s="71"/>
      <c r="H2484" s="69"/>
      <c r="I2484" s="69"/>
    </row>
    <row r="2485" spans="2:9" s="60" customFormat="1" x14ac:dyDescent="0.5">
      <c r="B2485" s="66"/>
      <c r="C2485" s="97"/>
      <c r="D2485" s="71"/>
      <c r="E2485" s="71"/>
      <c r="F2485" s="71"/>
      <c r="G2485" s="71"/>
      <c r="H2485" s="69"/>
      <c r="I2485" s="69"/>
    </row>
    <row r="2486" spans="2:9" s="60" customFormat="1" x14ac:dyDescent="0.5">
      <c r="B2486" s="66"/>
      <c r="C2486" s="97"/>
      <c r="D2486" s="71"/>
      <c r="E2486" s="71"/>
      <c r="F2486" s="71"/>
      <c r="G2486" s="71"/>
      <c r="H2486" s="69"/>
      <c r="I2486" s="69"/>
    </row>
    <row r="2487" spans="2:9" s="60" customFormat="1" x14ac:dyDescent="0.5">
      <c r="B2487" s="66"/>
      <c r="C2487" s="97"/>
      <c r="D2487" s="71"/>
      <c r="E2487" s="71"/>
      <c r="F2487" s="71"/>
      <c r="G2487" s="71"/>
      <c r="H2487" s="69"/>
      <c r="I2487" s="69"/>
    </row>
    <row r="2488" spans="2:9" s="60" customFormat="1" x14ac:dyDescent="0.5">
      <c r="B2488" s="66"/>
      <c r="C2488" s="97"/>
      <c r="D2488" s="71"/>
      <c r="E2488" s="71"/>
      <c r="F2488" s="71"/>
      <c r="G2488" s="71"/>
      <c r="H2488" s="69"/>
      <c r="I2488" s="69"/>
    </row>
    <row r="2489" spans="2:9" s="60" customFormat="1" x14ac:dyDescent="0.5">
      <c r="B2489" s="66"/>
      <c r="C2489" s="97"/>
      <c r="D2489" s="71"/>
      <c r="E2489" s="71"/>
      <c r="F2489" s="71"/>
      <c r="G2489" s="71"/>
      <c r="H2489" s="69"/>
      <c r="I2489" s="69"/>
    </row>
    <row r="2490" spans="2:9" s="60" customFormat="1" x14ac:dyDescent="0.5">
      <c r="B2490" s="66"/>
      <c r="C2490" s="97"/>
      <c r="D2490" s="71"/>
      <c r="E2490" s="71"/>
      <c r="F2490" s="71"/>
      <c r="G2490" s="71"/>
      <c r="H2490" s="69"/>
      <c r="I2490" s="69"/>
    </row>
    <row r="2491" spans="2:9" s="60" customFormat="1" x14ac:dyDescent="0.5">
      <c r="B2491" s="66"/>
      <c r="C2491" s="97"/>
      <c r="D2491" s="71"/>
      <c r="E2491" s="71"/>
      <c r="F2491" s="71"/>
      <c r="G2491" s="71"/>
      <c r="H2491" s="69"/>
      <c r="I2491" s="69"/>
    </row>
    <row r="2492" spans="2:9" s="60" customFormat="1" x14ac:dyDescent="0.5">
      <c r="B2492" s="66"/>
      <c r="C2492" s="97"/>
      <c r="D2492" s="71"/>
      <c r="E2492" s="71"/>
      <c r="F2492" s="71"/>
      <c r="G2492" s="71"/>
      <c r="H2492" s="69"/>
      <c r="I2492" s="69"/>
    </row>
    <row r="2493" spans="2:9" s="60" customFormat="1" x14ac:dyDescent="0.5">
      <c r="B2493" s="66"/>
      <c r="C2493" s="97"/>
      <c r="D2493" s="71"/>
      <c r="E2493" s="71"/>
      <c r="F2493" s="71"/>
      <c r="G2493" s="71"/>
      <c r="H2493" s="69"/>
      <c r="I2493" s="69"/>
    </row>
    <row r="2494" spans="2:9" s="60" customFormat="1" x14ac:dyDescent="0.5">
      <c r="B2494" s="66"/>
      <c r="C2494" s="97"/>
      <c r="D2494" s="71"/>
      <c r="E2494" s="71"/>
      <c r="F2494" s="71"/>
      <c r="G2494" s="71"/>
      <c r="H2494" s="69"/>
      <c r="I2494" s="69"/>
    </row>
    <row r="2495" spans="2:9" s="60" customFormat="1" x14ac:dyDescent="0.5">
      <c r="B2495" s="66"/>
      <c r="C2495" s="97"/>
      <c r="D2495" s="71"/>
      <c r="E2495" s="71"/>
      <c r="F2495" s="71"/>
      <c r="G2495" s="71"/>
      <c r="H2495" s="69"/>
      <c r="I2495" s="69"/>
    </row>
    <row r="2496" spans="2:9" s="60" customFormat="1" x14ac:dyDescent="0.5">
      <c r="B2496" s="66"/>
      <c r="C2496" s="97"/>
      <c r="D2496" s="71"/>
      <c r="E2496" s="71"/>
      <c r="F2496" s="71"/>
      <c r="G2496" s="71"/>
      <c r="H2496" s="69"/>
      <c r="I2496" s="69"/>
    </row>
    <row r="2497" spans="2:9" s="60" customFormat="1" x14ac:dyDescent="0.5">
      <c r="B2497" s="66"/>
      <c r="C2497" s="97"/>
      <c r="D2497" s="71"/>
      <c r="E2497" s="71"/>
      <c r="F2497" s="71"/>
      <c r="G2497" s="71"/>
      <c r="H2497" s="69"/>
      <c r="I2497" s="69"/>
    </row>
    <row r="2498" spans="2:9" s="60" customFormat="1" x14ac:dyDescent="0.5">
      <c r="B2498" s="66"/>
      <c r="C2498" s="97"/>
      <c r="D2498" s="71"/>
      <c r="E2498" s="71"/>
      <c r="F2498" s="71"/>
      <c r="G2498" s="71"/>
      <c r="H2498" s="69"/>
      <c r="I2498" s="69"/>
    </row>
    <row r="2499" spans="2:9" s="60" customFormat="1" x14ac:dyDescent="0.5">
      <c r="B2499" s="66"/>
      <c r="C2499" s="97"/>
      <c r="D2499" s="71"/>
      <c r="E2499" s="71"/>
      <c r="F2499" s="71"/>
      <c r="G2499" s="71"/>
      <c r="H2499" s="69"/>
      <c r="I2499" s="69"/>
    </row>
    <row r="2500" spans="2:9" s="60" customFormat="1" x14ac:dyDescent="0.5">
      <c r="B2500" s="66"/>
      <c r="C2500" s="97"/>
      <c r="D2500" s="71"/>
      <c r="E2500" s="71"/>
      <c r="F2500" s="71"/>
      <c r="G2500" s="71"/>
      <c r="H2500" s="69"/>
      <c r="I2500" s="69"/>
    </row>
    <row r="2501" spans="2:9" s="60" customFormat="1" x14ac:dyDescent="0.5">
      <c r="B2501" s="66"/>
      <c r="C2501" s="97"/>
      <c r="D2501" s="71"/>
      <c r="E2501" s="71"/>
      <c r="F2501" s="71"/>
      <c r="G2501" s="71"/>
      <c r="H2501" s="69"/>
      <c r="I2501" s="69"/>
    </row>
    <row r="2502" spans="2:9" s="60" customFormat="1" x14ac:dyDescent="0.5">
      <c r="B2502" s="66"/>
      <c r="C2502" s="97"/>
      <c r="D2502" s="71"/>
      <c r="E2502" s="71"/>
      <c r="F2502" s="71"/>
      <c r="G2502" s="71"/>
      <c r="H2502" s="69"/>
      <c r="I2502" s="69"/>
    </row>
    <row r="2503" spans="2:9" s="60" customFormat="1" x14ac:dyDescent="0.5">
      <c r="B2503" s="66"/>
      <c r="C2503" s="97"/>
      <c r="D2503" s="71"/>
      <c r="E2503" s="71"/>
      <c r="F2503" s="71"/>
      <c r="G2503" s="71"/>
      <c r="H2503" s="69"/>
      <c r="I2503" s="69"/>
    </row>
    <row r="2504" spans="2:9" s="60" customFormat="1" x14ac:dyDescent="0.5">
      <c r="B2504" s="66"/>
      <c r="C2504" s="97"/>
      <c r="D2504" s="71"/>
      <c r="E2504" s="71"/>
      <c r="F2504" s="71"/>
      <c r="G2504" s="71"/>
      <c r="H2504" s="69"/>
      <c r="I2504" s="69"/>
    </row>
    <row r="2505" spans="2:9" s="60" customFormat="1" x14ac:dyDescent="0.5">
      <c r="B2505" s="66"/>
      <c r="C2505" s="97"/>
      <c r="D2505" s="71"/>
      <c r="E2505" s="71"/>
      <c r="F2505" s="71"/>
      <c r="G2505" s="71"/>
      <c r="H2505" s="69"/>
      <c r="I2505" s="69"/>
    </row>
    <row r="2506" spans="2:9" s="60" customFormat="1" x14ac:dyDescent="0.5">
      <c r="B2506" s="66"/>
      <c r="C2506" s="97"/>
      <c r="D2506" s="71"/>
      <c r="E2506" s="71"/>
      <c r="F2506" s="71"/>
      <c r="G2506" s="71"/>
      <c r="H2506" s="69"/>
      <c r="I2506" s="69"/>
    </row>
    <row r="2507" spans="2:9" s="60" customFormat="1" x14ac:dyDescent="0.5">
      <c r="B2507" s="66"/>
      <c r="C2507" s="97"/>
      <c r="D2507" s="71"/>
      <c r="E2507" s="71"/>
      <c r="F2507" s="71"/>
      <c r="G2507" s="71"/>
      <c r="H2507" s="69"/>
      <c r="I2507" s="69"/>
    </row>
    <row r="2508" spans="2:9" s="60" customFormat="1" x14ac:dyDescent="0.5">
      <c r="B2508" s="66"/>
      <c r="C2508" s="97"/>
      <c r="D2508" s="71"/>
      <c r="E2508" s="71"/>
      <c r="F2508" s="71"/>
      <c r="G2508" s="71"/>
      <c r="H2508" s="69"/>
      <c r="I2508" s="69"/>
    </row>
    <row r="2509" spans="2:9" s="60" customFormat="1" x14ac:dyDescent="0.5">
      <c r="B2509" s="66"/>
      <c r="C2509" s="97"/>
      <c r="D2509" s="71"/>
      <c r="E2509" s="71"/>
      <c r="F2509" s="71"/>
      <c r="G2509" s="71"/>
      <c r="H2509" s="69"/>
      <c r="I2509" s="69"/>
    </row>
    <row r="2510" spans="2:9" s="60" customFormat="1" x14ac:dyDescent="0.5">
      <c r="B2510" s="66"/>
      <c r="C2510" s="97"/>
      <c r="D2510" s="71"/>
      <c r="E2510" s="71"/>
      <c r="F2510" s="71"/>
      <c r="G2510" s="71"/>
      <c r="H2510" s="69"/>
      <c r="I2510" s="69"/>
    </row>
    <row r="2511" spans="2:9" s="60" customFormat="1" x14ac:dyDescent="0.5">
      <c r="B2511" s="66"/>
      <c r="C2511" s="97"/>
      <c r="D2511" s="71"/>
      <c r="E2511" s="71"/>
      <c r="F2511" s="71"/>
      <c r="G2511" s="71"/>
      <c r="H2511" s="69"/>
      <c r="I2511" s="69"/>
    </row>
    <row r="2512" spans="2:9" s="60" customFormat="1" x14ac:dyDescent="0.5">
      <c r="B2512" s="66"/>
      <c r="C2512" s="97"/>
      <c r="D2512" s="71"/>
      <c r="E2512" s="71"/>
      <c r="F2512" s="71"/>
      <c r="G2512" s="71"/>
      <c r="H2512" s="69"/>
      <c r="I2512" s="69"/>
    </row>
    <row r="2513" spans="2:9" s="60" customFormat="1" x14ac:dyDescent="0.5">
      <c r="B2513" s="66"/>
      <c r="C2513" s="97"/>
      <c r="D2513" s="71"/>
      <c r="E2513" s="71"/>
      <c r="F2513" s="71"/>
      <c r="G2513" s="71"/>
      <c r="H2513" s="69"/>
      <c r="I2513" s="69"/>
    </row>
    <row r="2514" spans="2:9" s="60" customFormat="1" x14ac:dyDescent="0.5">
      <c r="B2514" s="66"/>
      <c r="C2514" s="97"/>
      <c r="D2514" s="71"/>
      <c r="E2514" s="71"/>
      <c r="F2514" s="71"/>
      <c r="G2514" s="71"/>
      <c r="H2514" s="69"/>
      <c r="I2514" s="69"/>
    </row>
    <row r="2515" spans="2:9" s="60" customFormat="1" x14ac:dyDescent="0.5">
      <c r="B2515" s="66"/>
      <c r="C2515" s="97"/>
      <c r="D2515" s="71"/>
      <c r="E2515" s="71"/>
      <c r="F2515" s="71"/>
      <c r="G2515" s="71"/>
      <c r="H2515" s="69"/>
      <c r="I2515" s="69"/>
    </row>
    <row r="2516" spans="2:9" s="60" customFormat="1" x14ac:dyDescent="0.5">
      <c r="B2516" s="66"/>
      <c r="C2516" s="97"/>
      <c r="D2516" s="71"/>
      <c r="E2516" s="71"/>
      <c r="F2516" s="71"/>
      <c r="G2516" s="71"/>
      <c r="H2516" s="69"/>
      <c r="I2516" s="69"/>
    </row>
    <row r="2517" spans="2:9" s="60" customFormat="1" x14ac:dyDescent="0.5">
      <c r="B2517" s="66"/>
      <c r="C2517" s="97"/>
      <c r="D2517" s="71"/>
      <c r="E2517" s="71"/>
      <c r="F2517" s="71"/>
      <c r="G2517" s="71"/>
      <c r="H2517" s="69"/>
      <c r="I2517" s="69"/>
    </row>
    <row r="2518" spans="2:9" s="60" customFormat="1" x14ac:dyDescent="0.5">
      <c r="B2518" s="66"/>
      <c r="C2518" s="97"/>
      <c r="D2518" s="71"/>
      <c r="E2518" s="71"/>
      <c r="F2518" s="71"/>
      <c r="G2518" s="71"/>
      <c r="H2518" s="69"/>
      <c r="I2518" s="69"/>
    </row>
    <row r="2519" spans="2:9" s="60" customFormat="1" x14ac:dyDescent="0.5">
      <c r="B2519" s="66"/>
      <c r="C2519" s="97"/>
      <c r="D2519" s="71"/>
      <c r="E2519" s="71"/>
      <c r="F2519" s="71"/>
      <c r="G2519" s="71"/>
      <c r="H2519" s="69"/>
      <c r="I2519" s="69"/>
    </row>
    <row r="2520" spans="2:9" s="60" customFormat="1" x14ac:dyDescent="0.5">
      <c r="B2520" s="66"/>
      <c r="C2520" s="97"/>
      <c r="D2520" s="71"/>
      <c r="E2520" s="71"/>
      <c r="F2520" s="71"/>
      <c r="G2520" s="71"/>
      <c r="H2520" s="69"/>
      <c r="I2520" s="69"/>
    </row>
    <row r="2521" spans="2:9" s="60" customFormat="1" x14ac:dyDescent="0.5">
      <c r="B2521" s="66"/>
      <c r="C2521" s="97"/>
      <c r="D2521" s="71"/>
      <c r="E2521" s="71"/>
      <c r="F2521" s="71"/>
      <c r="G2521" s="71"/>
      <c r="H2521" s="69"/>
      <c r="I2521" s="69"/>
    </row>
    <row r="2522" spans="2:9" s="60" customFormat="1" x14ac:dyDescent="0.5">
      <c r="B2522" s="66"/>
      <c r="C2522" s="97"/>
      <c r="D2522" s="71"/>
      <c r="E2522" s="71"/>
      <c r="F2522" s="71"/>
      <c r="G2522" s="71"/>
      <c r="H2522" s="69"/>
      <c r="I2522" s="69"/>
    </row>
    <row r="2523" spans="2:9" s="60" customFormat="1" x14ac:dyDescent="0.5">
      <c r="B2523" s="66"/>
      <c r="C2523" s="97"/>
      <c r="D2523" s="71"/>
      <c r="E2523" s="71"/>
      <c r="F2523" s="71"/>
      <c r="G2523" s="71"/>
      <c r="H2523" s="69"/>
      <c r="I2523" s="69"/>
    </row>
    <row r="2524" spans="2:9" s="60" customFormat="1" x14ac:dyDescent="0.5">
      <c r="B2524" s="66"/>
      <c r="C2524" s="97"/>
      <c r="D2524" s="71"/>
      <c r="E2524" s="71"/>
      <c r="F2524" s="71"/>
      <c r="G2524" s="71"/>
      <c r="H2524" s="69"/>
      <c r="I2524" s="69"/>
    </row>
    <row r="2525" spans="2:9" s="60" customFormat="1" x14ac:dyDescent="0.5">
      <c r="B2525" s="66"/>
      <c r="C2525" s="97"/>
      <c r="D2525" s="71"/>
      <c r="E2525" s="71"/>
      <c r="F2525" s="71"/>
      <c r="G2525" s="71"/>
      <c r="H2525" s="69"/>
      <c r="I2525" s="69"/>
    </row>
    <row r="2526" spans="2:9" s="60" customFormat="1" x14ac:dyDescent="0.5">
      <c r="B2526" s="66"/>
      <c r="C2526" s="97"/>
      <c r="D2526" s="71"/>
      <c r="E2526" s="71"/>
      <c r="F2526" s="71"/>
      <c r="G2526" s="71"/>
      <c r="H2526" s="69"/>
      <c r="I2526" s="69"/>
    </row>
    <row r="2527" spans="2:9" s="60" customFormat="1" x14ac:dyDescent="0.5">
      <c r="B2527" s="66"/>
      <c r="C2527" s="97"/>
      <c r="D2527" s="71"/>
      <c r="E2527" s="71"/>
      <c r="F2527" s="71"/>
      <c r="G2527" s="71"/>
      <c r="H2527" s="69"/>
      <c r="I2527" s="69"/>
    </row>
    <row r="2528" spans="2:9" s="60" customFormat="1" x14ac:dyDescent="0.5">
      <c r="B2528" s="66"/>
      <c r="C2528" s="97"/>
      <c r="D2528" s="71"/>
      <c r="E2528" s="71"/>
      <c r="F2528" s="71"/>
      <c r="G2528" s="71"/>
      <c r="H2528" s="69"/>
      <c r="I2528" s="69"/>
    </row>
    <row r="2529" spans="2:9" s="60" customFormat="1" x14ac:dyDescent="0.5">
      <c r="B2529" s="66"/>
      <c r="C2529" s="97"/>
      <c r="D2529" s="71"/>
      <c r="E2529" s="71"/>
      <c r="F2529" s="71"/>
      <c r="G2529" s="71"/>
      <c r="H2529" s="69"/>
      <c r="I2529" s="69"/>
    </row>
    <row r="2530" spans="2:9" s="60" customFormat="1" x14ac:dyDescent="0.5">
      <c r="B2530" s="66"/>
      <c r="C2530" s="97"/>
      <c r="D2530" s="71"/>
      <c r="E2530" s="71"/>
      <c r="F2530" s="71"/>
      <c r="G2530" s="71"/>
      <c r="H2530" s="69"/>
      <c r="I2530" s="69"/>
    </row>
    <row r="2531" spans="2:9" s="60" customFormat="1" x14ac:dyDescent="0.5">
      <c r="B2531" s="66"/>
      <c r="C2531" s="97"/>
      <c r="D2531" s="71"/>
      <c r="E2531" s="71"/>
      <c r="F2531" s="71"/>
      <c r="G2531" s="71"/>
      <c r="H2531" s="69"/>
      <c r="I2531" s="69"/>
    </row>
    <row r="2532" spans="2:9" s="60" customFormat="1" x14ac:dyDescent="0.5">
      <c r="B2532" s="66"/>
      <c r="C2532" s="97"/>
      <c r="D2532" s="71"/>
      <c r="E2532" s="71"/>
      <c r="F2532" s="71"/>
      <c r="G2532" s="71"/>
      <c r="H2532" s="69"/>
      <c r="I2532" s="69"/>
    </row>
    <row r="2533" spans="2:9" s="60" customFormat="1" x14ac:dyDescent="0.5">
      <c r="B2533" s="66"/>
      <c r="C2533" s="97"/>
      <c r="D2533" s="71"/>
      <c r="E2533" s="71"/>
      <c r="F2533" s="71"/>
      <c r="G2533" s="71"/>
      <c r="H2533" s="69"/>
      <c r="I2533" s="69"/>
    </row>
    <row r="2534" spans="2:9" s="60" customFormat="1" x14ac:dyDescent="0.5">
      <c r="B2534" s="66"/>
      <c r="C2534" s="97"/>
      <c r="D2534" s="71"/>
      <c r="E2534" s="71"/>
      <c r="F2534" s="71"/>
      <c r="G2534" s="71"/>
      <c r="H2534" s="69"/>
      <c r="I2534" s="69"/>
    </row>
    <row r="2535" spans="2:9" s="60" customFormat="1" x14ac:dyDescent="0.5">
      <c r="B2535" s="66"/>
      <c r="C2535" s="97"/>
      <c r="D2535" s="71"/>
      <c r="E2535" s="71"/>
      <c r="F2535" s="71"/>
      <c r="G2535" s="71"/>
      <c r="H2535" s="69"/>
      <c r="I2535" s="69"/>
    </row>
    <row r="2536" spans="2:9" s="60" customFormat="1" x14ac:dyDescent="0.5">
      <c r="B2536" s="66"/>
      <c r="C2536" s="97"/>
      <c r="D2536" s="71"/>
      <c r="E2536" s="71"/>
      <c r="F2536" s="71"/>
      <c r="G2536" s="71"/>
      <c r="H2536" s="69"/>
      <c r="I2536" s="69"/>
    </row>
    <row r="2537" spans="2:9" s="60" customFormat="1" x14ac:dyDescent="0.5">
      <c r="B2537" s="66"/>
      <c r="C2537" s="97"/>
      <c r="D2537" s="71"/>
      <c r="E2537" s="71"/>
      <c r="F2537" s="71"/>
      <c r="G2537" s="71"/>
      <c r="H2537" s="69"/>
      <c r="I2537" s="69"/>
    </row>
    <row r="2538" spans="2:9" s="60" customFormat="1" x14ac:dyDescent="0.5">
      <c r="B2538" s="66"/>
      <c r="C2538" s="97"/>
      <c r="D2538" s="71"/>
      <c r="E2538" s="71"/>
      <c r="F2538" s="71"/>
      <c r="G2538" s="71"/>
      <c r="H2538" s="69"/>
      <c r="I2538" s="69"/>
    </row>
    <row r="2539" spans="2:9" s="60" customFormat="1" x14ac:dyDescent="0.5">
      <c r="B2539" s="66"/>
      <c r="C2539" s="97"/>
      <c r="D2539" s="71"/>
      <c r="E2539" s="71"/>
      <c r="F2539" s="71"/>
      <c r="G2539" s="71"/>
      <c r="H2539" s="69"/>
      <c r="I2539" s="69"/>
    </row>
    <row r="2540" spans="2:9" s="60" customFormat="1" x14ac:dyDescent="0.5">
      <c r="B2540" s="66"/>
      <c r="C2540" s="97"/>
      <c r="D2540" s="71"/>
      <c r="E2540" s="71"/>
      <c r="F2540" s="71"/>
      <c r="G2540" s="71"/>
      <c r="H2540" s="69"/>
      <c r="I2540" s="69"/>
    </row>
    <row r="2541" spans="2:9" s="60" customFormat="1" x14ac:dyDescent="0.5">
      <c r="B2541" s="66"/>
      <c r="C2541" s="97"/>
      <c r="D2541" s="71"/>
      <c r="E2541" s="71"/>
      <c r="F2541" s="71"/>
      <c r="G2541" s="71"/>
      <c r="H2541" s="69"/>
      <c r="I2541" s="69"/>
    </row>
    <row r="2542" spans="2:9" s="60" customFormat="1" x14ac:dyDescent="0.5">
      <c r="B2542" s="66"/>
      <c r="C2542" s="97"/>
      <c r="D2542" s="71"/>
      <c r="E2542" s="71"/>
      <c r="F2542" s="71"/>
      <c r="G2542" s="71"/>
      <c r="H2542" s="69"/>
      <c r="I2542" s="69"/>
    </row>
    <row r="2543" spans="2:9" s="60" customFormat="1" x14ac:dyDescent="0.5">
      <c r="B2543" s="66"/>
      <c r="C2543" s="97"/>
      <c r="D2543" s="71"/>
      <c r="E2543" s="71"/>
      <c r="F2543" s="71"/>
      <c r="G2543" s="71"/>
      <c r="H2543" s="69"/>
      <c r="I2543" s="69"/>
    </row>
    <row r="2544" spans="2:9" s="60" customFormat="1" x14ac:dyDescent="0.5">
      <c r="B2544" s="66"/>
      <c r="C2544" s="97"/>
      <c r="D2544" s="71"/>
      <c r="E2544" s="71"/>
      <c r="F2544" s="71"/>
      <c r="G2544" s="71"/>
      <c r="H2544" s="69"/>
      <c r="I2544" s="69"/>
    </row>
    <row r="2545" spans="2:9" s="60" customFormat="1" x14ac:dyDescent="0.5">
      <c r="B2545" s="66"/>
      <c r="C2545" s="97"/>
      <c r="D2545" s="71"/>
      <c r="E2545" s="71"/>
      <c r="F2545" s="71"/>
      <c r="G2545" s="71"/>
      <c r="H2545" s="69"/>
      <c r="I2545" s="69"/>
    </row>
    <row r="2546" spans="2:9" s="60" customFormat="1" x14ac:dyDescent="0.5">
      <c r="B2546" s="66"/>
      <c r="C2546" s="97"/>
      <c r="D2546" s="71"/>
      <c r="E2546" s="71"/>
      <c r="F2546" s="71"/>
      <c r="G2546" s="71"/>
      <c r="H2546" s="69"/>
      <c r="I2546" s="69"/>
    </row>
    <row r="2547" spans="2:9" s="60" customFormat="1" x14ac:dyDescent="0.5">
      <c r="B2547" s="66"/>
      <c r="C2547" s="97"/>
      <c r="D2547" s="71"/>
      <c r="E2547" s="71"/>
      <c r="F2547" s="71"/>
      <c r="G2547" s="71"/>
      <c r="H2547" s="69"/>
      <c r="I2547" s="69"/>
    </row>
    <row r="2548" spans="2:9" s="60" customFormat="1" x14ac:dyDescent="0.5">
      <c r="B2548" s="66"/>
      <c r="C2548" s="97"/>
      <c r="D2548" s="71"/>
      <c r="E2548" s="71"/>
      <c r="F2548" s="71"/>
      <c r="G2548" s="71"/>
      <c r="H2548" s="69"/>
      <c r="I2548" s="69"/>
    </row>
    <row r="2549" spans="2:9" s="60" customFormat="1" x14ac:dyDescent="0.5">
      <c r="B2549" s="66"/>
      <c r="C2549" s="97"/>
      <c r="D2549" s="71"/>
      <c r="E2549" s="71"/>
      <c r="F2549" s="71"/>
      <c r="G2549" s="71"/>
      <c r="H2549" s="69"/>
      <c r="I2549" s="69"/>
    </row>
    <row r="2550" spans="2:9" s="60" customFormat="1" x14ac:dyDescent="0.5">
      <c r="B2550" s="66"/>
      <c r="C2550" s="97"/>
      <c r="D2550" s="71"/>
      <c r="E2550" s="71"/>
      <c r="F2550" s="71"/>
      <c r="G2550" s="71"/>
      <c r="H2550" s="69"/>
      <c r="I2550" s="69"/>
    </row>
    <row r="2551" spans="2:9" s="60" customFormat="1" x14ac:dyDescent="0.5">
      <c r="B2551" s="66"/>
      <c r="C2551" s="97"/>
      <c r="D2551" s="71"/>
      <c r="E2551" s="71"/>
      <c r="F2551" s="71"/>
      <c r="G2551" s="71"/>
      <c r="H2551" s="69"/>
      <c r="I2551" s="69"/>
    </row>
    <row r="2552" spans="2:9" s="60" customFormat="1" x14ac:dyDescent="0.5">
      <c r="B2552" s="66"/>
      <c r="C2552" s="97"/>
      <c r="D2552" s="71"/>
      <c r="E2552" s="71"/>
      <c r="F2552" s="71"/>
      <c r="G2552" s="71"/>
      <c r="H2552" s="69"/>
      <c r="I2552" s="69"/>
    </row>
    <row r="2553" spans="2:9" s="60" customFormat="1" x14ac:dyDescent="0.5">
      <c r="B2553" s="66"/>
      <c r="C2553" s="97"/>
      <c r="D2553" s="71"/>
      <c r="E2553" s="71"/>
      <c r="F2553" s="71"/>
      <c r="G2553" s="71"/>
      <c r="H2553" s="69"/>
      <c r="I2553" s="69"/>
    </row>
    <row r="2554" spans="2:9" s="60" customFormat="1" x14ac:dyDescent="0.5">
      <c r="B2554" s="66"/>
      <c r="C2554" s="97"/>
      <c r="D2554" s="71"/>
      <c r="E2554" s="71"/>
      <c r="F2554" s="71"/>
      <c r="G2554" s="71"/>
      <c r="H2554" s="69"/>
      <c r="I2554" s="69"/>
    </row>
    <row r="2555" spans="2:9" s="60" customFormat="1" x14ac:dyDescent="0.5">
      <c r="B2555" s="66"/>
      <c r="C2555" s="97"/>
      <c r="D2555" s="71"/>
      <c r="E2555" s="71"/>
      <c r="F2555" s="71"/>
      <c r="G2555" s="71"/>
      <c r="H2555" s="69"/>
      <c r="I2555" s="69"/>
    </row>
    <row r="2556" spans="2:9" s="60" customFormat="1" x14ac:dyDescent="0.5">
      <c r="B2556" s="66"/>
      <c r="C2556" s="97"/>
      <c r="D2556" s="71"/>
      <c r="E2556" s="71"/>
      <c r="F2556" s="71"/>
      <c r="G2556" s="71"/>
      <c r="H2556" s="69"/>
      <c r="I2556" s="69"/>
    </row>
    <row r="2557" spans="2:9" s="60" customFormat="1" x14ac:dyDescent="0.5">
      <c r="B2557" s="66"/>
      <c r="C2557" s="97"/>
      <c r="D2557" s="71"/>
      <c r="E2557" s="71"/>
      <c r="F2557" s="71"/>
      <c r="G2557" s="71"/>
      <c r="H2557" s="69"/>
      <c r="I2557" s="69"/>
    </row>
    <row r="2558" spans="2:9" s="60" customFormat="1" x14ac:dyDescent="0.5">
      <c r="B2558" s="66"/>
      <c r="C2558" s="97"/>
      <c r="D2558" s="71"/>
      <c r="E2558" s="71"/>
      <c r="F2558" s="71"/>
      <c r="G2558" s="71"/>
      <c r="H2558" s="69"/>
      <c r="I2558" s="69"/>
    </row>
    <row r="2559" spans="2:9" s="60" customFormat="1" x14ac:dyDescent="0.5">
      <c r="B2559" s="66"/>
      <c r="C2559" s="97"/>
      <c r="D2559" s="71"/>
      <c r="E2559" s="71"/>
      <c r="F2559" s="71"/>
      <c r="G2559" s="71"/>
      <c r="H2559" s="69"/>
      <c r="I2559" s="69"/>
    </row>
    <row r="2560" spans="2:9" s="60" customFormat="1" x14ac:dyDescent="0.5">
      <c r="B2560" s="66"/>
      <c r="C2560" s="97"/>
      <c r="D2560" s="71"/>
      <c r="E2560" s="71"/>
      <c r="F2560" s="71"/>
      <c r="G2560" s="71"/>
      <c r="H2560" s="69"/>
      <c r="I2560" s="69"/>
    </row>
    <row r="2561" spans="2:9" s="60" customFormat="1" x14ac:dyDescent="0.5">
      <c r="B2561" s="66"/>
      <c r="C2561" s="97"/>
      <c r="D2561" s="71"/>
      <c r="E2561" s="71"/>
      <c r="F2561" s="71"/>
      <c r="G2561" s="71"/>
      <c r="H2561" s="69"/>
      <c r="I2561" s="69"/>
    </row>
    <row r="2562" spans="2:9" s="60" customFormat="1" x14ac:dyDescent="0.5">
      <c r="B2562" s="66"/>
      <c r="C2562" s="97"/>
      <c r="D2562" s="71"/>
      <c r="E2562" s="71"/>
      <c r="F2562" s="71"/>
      <c r="G2562" s="71"/>
      <c r="H2562" s="69"/>
      <c r="I2562" s="69"/>
    </row>
    <row r="2563" spans="2:9" s="60" customFormat="1" x14ac:dyDescent="0.5">
      <c r="B2563" s="66"/>
      <c r="C2563" s="97"/>
      <c r="D2563" s="71"/>
      <c r="E2563" s="71"/>
      <c r="F2563" s="71"/>
      <c r="G2563" s="71"/>
      <c r="H2563" s="69"/>
      <c r="I2563" s="69"/>
    </row>
    <row r="2564" spans="2:9" s="60" customFormat="1" x14ac:dyDescent="0.5">
      <c r="B2564" s="66"/>
      <c r="C2564" s="97"/>
      <c r="D2564" s="71"/>
      <c r="E2564" s="71"/>
      <c r="F2564" s="71"/>
      <c r="G2564" s="71"/>
      <c r="H2564" s="69"/>
      <c r="I2564" s="69"/>
    </row>
    <row r="2565" spans="2:9" s="60" customFormat="1" x14ac:dyDescent="0.5">
      <c r="B2565" s="66"/>
      <c r="C2565" s="97"/>
      <c r="D2565" s="71"/>
      <c r="E2565" s="71"/>
      <c r="F2565" s="71"/>
      <c r="G2565" s="71"/>
      <c r="H2565" s="69"/>
      <c r="I2565" s="69"/>
    </row>
    <row r="2566" spans="2:9" s="60" customFormat="1" x14ac:dyDescent="0.5">
      <c r="B2566" s="66"/>
      <c r="C2566" s="97"/>
      <c r="D2566" s="71"/>
      <c r="E2566" s="71"/>
      <c r="F2566" s="71"/>
      <c r="G2566" s="71"/>
      <c r="H2566" s="69"/>
      <c r="I2566" s="69"/>
    </row>
    <row r="2567" spans="2:9" s="60" customFormat="1" x14ac:dyDescent="0.5">
      <c r="B2567" s="66"/>
      <c r="C2567" s="97"/>
      <c r="D2567" s="71"/>
      <c r="E2567" s="71"/>
      <c r="F2567" s="71"/>
      <c r="G2567" s="71"/>
      <c r="H2567" s="69"/>
      <c r="I2567" s="69"/>
    </row>
    <row r="2568" spans="2:9" s="60" customFormat="1" x14ac:dyDescent="0.5">
      <c r="B2568" s="66"/>
      <c r="C2568" s="97"/>
      <c r="D2568" s="71"/>
      <c r="E2568" s="71"/>
      <c r="F2568" s="71"/>
      <c r="G2568" s="71"/>
      <c r="H2568" s="69"/>
      <c r="I2568" s="69"/>
    </row>
    <row r="2569" spans="2:9" s="60" customFormat="1" x14ac:dyDescent="0.5">
      <c r="B2569" s="66"/>
      <c r="C2569" s="97"/>
      <c r="D2569" s="71"/>
      <c r="E2569" s="71"/>
      <c r="F2569" s="71"/>
      <c r="G2569" s="71"/>
      <c r="H2569" s="69"/>
      <c r="I2569" s="69"/>
    </row>
    <row r="2570" spans="2:9" s="60" customFormat="1" x14ac:dyDescent="0.5">
      <c r="B2570" s="66"/>
      <c r="C2570" s="97"/>
      <c r="D2570" s="71"/>
      <c r="E2570" s="71"/>
      <c r="F2570" s="71"/>
      <c r="G2570" s="71"/>
      <c r="H2570" s="69"/>
      <c r="I2570" s="69"/>
    </row>
    <row r="2571" spans="2:9" s="60" customFormat="1" x14ac:dyDescent="0.5">
      <c r="B2571" s="66"/>
      <c r="C2571" s="97"/>
      <c r="D2571" s="71"/>
      <c r="E2571" s="71"/>
      <c r="F2571" s="71"/>
      <c r="G2571" s="71"/>
      <c r="H2571" s="69"/>
      <c r="I2571" s="69"/>
    </row>
    <row r="2572" spans="2:9" s="60" customFormat="1" x14ac:dyDescent="0.5">
      <c r="B2572" s="66"/>
      <c r="C2572" s="97"/>
      <c r="D2572" s="71"/>
      <c r="E2572" s="71"/>
      <c r="F2572" s="71"/>
      <c r="G2572" s="71"/>
      <c r="H2572" s="69"/>
      <c r="I2572" s="69"/>
    </row>
    <row r="2573" spans="2:9" s="60" customFormat="1" x14ac:dyDescent="0.5">
      <c r="B2573" s="66"/>
      <c r="C2573" s="97"/>
      <c r="D2573" s="71"/>
      <c r="E2573" s="71"/>
      <c r="F2573" s="71"/>
      <c r="G2573" s="71"/>
      <c r="H2573" s="69"/>
      <c r="I2573" s="69"/>
    </row>
    <row r="2574" spans="2:9" s="60" customFormat="1" x14ac:dyDescent="0.5">
      <c r="B2574" s="66"/>
      <c r="C2574" s="97"/>
      <c r="D2574" s="71"/>
      <c r="E2574" s="71"/>
      <c r="F2574" s="71"/>
      <c r="G2574" s="71"/>
      <c r="H2574" s="69"/>
      <c r="I2574" s="69"/>
    </row>
    <row r="2575" spans="2:9" s="60" customFormat="1" x14ac:dyDescent="0.5">
      <c r="B2575" s="66"/>
      <c r="C2575" s="97"/>
      <c r="D2575" s="71"/>
      <c r="E2575" s="71"/>
      <c r="F2575" s="71"/>
      <c r="G2575" s="71"/>
      <c r="H2575" s="69"/>
      <c r="I2575" s="69"/>
    </row>
    <row r="2576" spans="2:9" s="60" customFormat="1" x14ac:dyDescent="0.5">
      <c r="B2576" s="66"/>
      <c r="C2576" s="97"/>
      <c r="D2576" s="71"/>
      <c r="E2576" s="71"/>
      <c r="F2576" s="71"/>
      <c r="G2576" s="71"/>
      <c r="H2576" s="69"/>
      <c r="I2576" s="69"/>
    </row>
    <row r="2577" spans="2:9" s="60" customFormat="1" x14ac:dyDescent="0.5">
      <c r="B2577" s="66"/>
      <c r="C2577" s="97"/>
      <c r="D2577" s="71"/>
      <c r="E2577" s="71"/>
      <c r="F2577" s="71"/>
      <c r="G2577" s="71"/>
      <c r="H2577" s="69"/>
      <c r="I2577" s="69"/>
    </row>
    <row r="2578" spans="2:9" s="60" customFormat="1" x14ac:dyDescent="0.5">
      <c r="B2578" s="66"/>
      <c r="C2578" s="97"/>
      <c r="D2578" s="71"/>
      <c r="E2578" s="71"/>
      <c r="F2578" s="71"/>
      <c r="G2578" s="71"/>
      <c r="H2578" s="69"/>
      <c r="I2578" s="69"/>
    </row>
    <row r="2579" spans="2:9" s="60" customFormat="1" x14ac:dyDescent="0.5">
      <c r="B2579" s="66"/>
      <c r="C2579" s="97"/>
      <c r="D2579" s="71"/>
      <c r="E2579" s="71"/>
      <c r="F2579" s="71"/>
      <c r="G2579" s="71"/>
      <c r="H2579" s="69"/>
      <c r="I2579" s="69"/>
    </row>
    <row r="2580" spans="2:9" s="60" customFormat="1" x14ac:dyDescent="0.5">
      <c r="B2580" s="66"/>
      <c r="C2580" s="97"/>
      <c r="D2580" s="71"/>
      <c r="E2580" s="71"/>
      <c r="F2580" s="71"/>
      <c r="G2580" s="71"/>
      <c r="H2580" s="69"/>
      <c r="I2580" s="69"/>
    </row>
    <row r="2581" spans="2:9" s="60" customFormat="1" x14ac:dyDescent="0.5">
      <c r="B2581" s="66"/>
      <c r="C2581" s="97"/>
      <c r="D2581" s="71"/>
      <c r="E2581" s="71"/>
      <c r="F2581" s="71"/>
      <c r="G2581" s="71"/>
      <c r="H2581" s="69"/>
      <c r="I2581" s="69"/>
    </row>
    <row r="2582" spans="2:9" s="60" customFormat="1" x14ac:dyDescent="0.5">
      <c r="B2582" s="66"/>
      <c r="C2582" s="97"/>
      <c r="D2582" s="71"/>
      <c r="E2582" s="71"/>
      <c r="F2582" s="71"/>
      <c r="G2582" s="71"/>
      <c r="H2582" s="69"/>
      <c r="I2582" s="69"/>
    </row>
    <row r="2583" spans="2:9" s="60" customFormat="1" x14ac:dyDescent="0.5">
      <c r="B2583" s="66"/>
      <c r="C2583" s="97"/>
      <c r="D2583" s="71"/>
      <c r="E2583" s="71"/>
      <c r="F2583" s="71"/>
      <c r="G2583" s="71"/>
      <c r="H2583" s="69"/>
      <c r="I2583" s="69"/>
    </row>
    <row r="2584" spans="2:9" s="60" customFormat="1" x14ac:dyDescent="0.5">
      <c r="B2584" s="66"/>
      <c r="C2584" s="97"/>
      <c r="D2584" s="71"/>
      <c r="E2584" s="71"/>
      <c r="F2584" s="71"/>
      <c r="G2584" s="71"/>
      <c r="H2584" s="69"/>
      <c r="I2584" s="69"/>
    </row>
    <row r="2585" spans="2:9" s="60" customFormat="1" x14ac:dyDescent="0.5">
      <c r="B2585" s="66"/>
      <c r="C2585" s="97"/>
      <c r="D2585" s="71"/>
      <c r="E2585" s="71"/>
      <c r="F2585" s="71"/>
      <c r="G2585" s="71"/>
      <c r="H2585" s="69"/>
      <c r="I2585" s="69"/>
    </row>
    <row r="2586" spans="2:9" s="60" customFormat="1" x14ac:dyDescent="0.5">
      <c r="B2586" s="66"/>
      <c r="C2586" s="97"/>
      <c r="D2586" s="71"/>
      <c r="E2586" s="71"/>
      <c r="F2586" s="71"/>
      <c r="G2586" s="71"/>
      <c r="H2586" s="69"/>
      <c r="I2586" s="69"/>
    </row>
    <row r="2587" spans="2:9" s="60" customFormat="1" x14ac:dyDescent="0.5">
      <c r="B2587" s="66"/>
      <c r="C2587" s="97"/>
      <c r="D2587" s="71"/>
      <c r="E2587" s="71"/>
      <c r="F2587" s="71"/>
      <c r="G2587" s="71"/>
      <c r="H2587" s="69"/>
      <c r="I2587" s="69"/>
    </row>
    <row r="2588" spans="2:9" s="60" customFormat="1" x14ac:dyDescent="0.5">
      <c r="B2588" s="66"/>
      <c r="C2588" s="97"/>
      <c r="D2588" s="71"/>
      <c r="E2588" s="71"/>
      <c r="F2588" s="71"/>
      <c r="G2588" s="71"/>
      <c r="H2588" s="69"/>
      <c r="I2588" s="69"/>
    </row>
    <row r="2589" spans="2:9" s="60" customFormat="1" x14ac:dyDescent="0.5">
      <c r="B2589" s="66"/>
      <c r="C2589" s="97"/>
      <c r="D2589" s="71"/>
      <c r="E2589" s="71"/>
      <c r="F2589" s="71"/>
      <c r="G2589" s="71"/>
      <c r="H2589" s="69"/>
      <c r="I2589" s="69"/>
    </row>
    <row r="2590" spans="2:9" s="60" customFormat="1" x14ac:dyDescent="0.5">
      <c r="B2590" s="66"/>
      <c r="C2590" s="97"/>
      <c r="D2590" s="71"/>
      <c r="E2590" s="71"/>
      <c r="F2590" s="71"/>
      <c r="G2590" s="71"/>
      <c r="H2590" s="69"/>
      <c r="I2590" s="69"/>
    </row>
    <row r="2591" spans="2:9" s="60" customFormat="1" x14ac:dyDescent="0.5">
      <c r="B2591" s="66"/>
      <c r="C2591" s="97"/>
      <c r="D2591" s="71"/>
      <c r="E2591" s="71"/>
      <c r="F2591" s="71"/>
      <c r="G2591" s="71"/>
      <c r="H2591" s="69"/>
      <c r="I2591" s="69"/>
    </row>
    <row r="2592" spans="2:9" s="60" customFormat="1" x14ac:dyDescent="0.5">
      <c r="B2592" s="66"/>
      <c r="C2592" s="97"/>
      <c r="D2592" s="71"/>
      <c r="E2592" s="71"/>
      <c r="F2592" s="71"/>
      <c r="G2592" s="71"/>
      <c r="H2592" s="69"/>
      <c r="I2592" s="69"/>
    </row>
    <row r="2593" spans="2:9" s="60" customFormat="1" x14ac:dyDescent="0.5">
      <c r="B2593" s="66"/>
      <c r="C2593" s="97"/>
      <c r="D2593" s="71"/>
      <c r="E2593" s="71"/>
      <c r="F2593" s="71"/>
      <c r="G2593" s="71"/>
      <c r="H2593" s="69"/>
      <c r="I2593" s="69"/>
    </row>
    <row r="2594" spans="2:9" s="60" customFormat="1" x14ac:dyDescent="0.5">
      <c r="B2594" s="66"/>
      <c r="C2594" s="97"/>
      <c r="D2594" s="71"/>
      <c r="E2594" s="71"/>
      <c r="F2594" s="71"/>
      <c r="G2594" s="71"/>
      <c r="H2594" s="69"/>
      <c r="I2594" s="69"/>
    </row>
    <row r="2595" spans="2:9" s="60" customFormat="1" x14ac:dyDescent="0.5">
      <c r="B2595" s="66"/>
      <c r="C2595" s="97"/>
      <c r="D2595" s="71"/>
      <c r="E2595" s="71"/>
      <c r="F2595" s="71"/>
      <c r="G2595" s="71"/>
      <c r="H2595" s="69"/>
      <c r="I2595" s="69"/>
    </row>
    <row r="2596" spans="2:9" s="60" customFormat="1" x14ac:dyDescent="0.5">
      <c r="B2596" s="66"/>
      <c r="C2596" s="97"/>
      <c r="D2596" s="71"/>
      <c r="E2596" s="71"/>
      <c r="F2596" s="71"/>
      <c r="G2596" s="71"/>
      <c r="H2596" s="69"/>
      <c r="I2596" s="69"/>
    </row>
    <row r="2597" spans="2:9" s="60" customFormat="1" x14ac:dyDescent="0.5">
      <c r="B2597" s="66"/>
      <c r="C2597" s="97"/>
      <c r="D2597" s="71"/>
      <c r="E2597" s="71"/>
      <c r="F2597" s="71"/>
      <c r="G2597" s="71"/>
      <c r="H2597" s="69"/>
      <c r="I2597" s="69"/>
    </row>
    <row r="2598" spans="2:9" s="60" customFormat="1" x14ac:dyDescent="0.5">
      <c r="B2598" s="66"/>
      <c r="C2598" s="97"/>
      <c r="D2598" s="71"/>
      <c r="E2598" s="71"/>
      <c r="F2598" s="71"/>
      <c r="G2598" s="71"/>
      <c r="H2598" s="69"/>
      <c r="I2598" s="69"/>
    </row>
    <row r="2599" spans="2:9" s="60" customFormat="1" x14ac:dyDescent="0.5">
      <c r="B2599" s="66"/>
      <c r="C2599" s="97"/>
      <c r="D2599" s="71"/>
      <c r="E2599" s="71"/>
      <c r="F2599" s="71"/>
      <c r="G2599" s="71"/>
      <c r="H2599" s="69"/>
      <c r="I2599" s="69"/>
    </row>
    <row r="2600" spans="2:9" s="60" customFormat="1" x14ac:dyDescent="0.5">
      <c r="B2600" s="66"/>
      <c r="C2600" s="97"/>
      <c r="D2600" s="71"/>
      <c r="E2600" s="71"/>
      <c r="F2600" s="71"/>
      <c r="G2600" s="71"/>
      <c r="H2600" s="69"/>
      <c r="I2600" s="69"/>
    </row>
    <row r="2601" spans="2:9" s="60" customFormat="1" x14ac:dyDescent="0.5">
      <c r="B2601" s="66"/>
      <c r="C2601" s="97"/>
      <c r="D2601" s="71"/>
      <c r="E2601" s="71"/>
      <c r="F2601" s="71"/>
      <c r="G2601" s="71"/>
      <c r="H2601" s="69"/>
      <c r="I2601" s="69"/>
    </row>
    <row r="2602" spans="2:9" s="60" customFormat="1" x14ac:dyDescent="0.5">
      <c r="B2602" s="66"/>
      <c r="C2602" s="97"/>
      <c r="D2602" s="71"/>
      <c r="E2602" s="71"/>
      <c r="F2602" s="71"/>
      <c r="G2602" s="71"/>
      <c r="H2602" s="69"/>
      <c r="I2602" s="69"/>
    </row>
    <row r="2603" spans="2:9" s="60" customFormat="1" x14ac:dyDescent="0.5">
      <c r="B2603" s="66"/>
      <c r="C2603" s="97"/>
      <c r="D2603" s="71"/>
      <c r="E2603" s="71"/>
      <c r="F2603" s="71"/>
      <c r="G2603" s="71"/>
      <c r="H2603" s="69"/>
      <c r="I2603" s="69"/>
    </row>
    <row r="2604" spans="2:9" s="60" customFormat="1" x14ac:dyDescent="0.5">
      <c r="B2604" s="66"/>
      <c r="C2604" s="97"/>
      <c r="D2604" s="71"/>
      <c r="E2604" s="71"/>
      <c r="F2604" s="71"/>
      <c r="G2604" s="71"/>
      <c r="H2604" s="69"/>
      <c r="I2604" s="69"/>
    </row>
    <row r="2605" spans="2:9" s="60" customFormat="1" x14ac:dyDescent="0.5">
      <c r="B2605" s="66"/>
      <c r="C2605" s="97"/>
      <c r="D2605" s="71"/>
      <c r="E2605" s="71"/>
      <c r="F2605" s="71"/>
      <c r="G2605" s="71"/>
      <c r="H2605" s="69"/>
      <c r="I2605" s="69"/>
    </row>
    <row r="2606" spans="2:9" s="60" customFormat="1" x14ac:dyDescent="0.5">
      <c r="B2606" s="66"/>
      <c r="C2606" s="97"/>
      <c r="D2606" s="71"/>
      <c r="E2606" s="71"/>
      <c r="F2606" s="71"/>
      <c r="G2606" s="71"/>
      <c r="H2606" s="69"/>
      <c r="I2606" s="69"/>
    </row>
    <row r="2607" spans="2:9" s="60" customFormat="1" x14ac:dyDescent="0.5">
      <c r="B2607" s="66"/>
      <c r="C2607" s="97"/>
      <c r="D2607" s="71"/>
      <c r="E2607" s="71"/>
      <c r="F2607" s="71"/>
      <c r="G2607" s="71"/>
      <c r="H2607" s="69"/>
      <c r="I2607" s="69"/>
    </row>
    <row r="2608" spans="2:9" s="60" customFormat="1" x14ac:dyDescent="0.5">
      <c r="B2608" s="66"/>
      <c r="C2608" s="97"/>
      <c r="D2608" s="71"/>
      <c r="E2608" s="71"/>
      <c r="F2608" s="71"/>
      <c r="G2608" s="71"/>
      <c r="H2608" s="69"/>
      <c r="I2608" s="69"/>
    </row>
    <row r="2609" spans="2:9" s="60" customFormat="1" x14ac:dyDescent="0.5">
      <c r="B2609" s="66"/>
      <c r="C2609" s="97"/>
      <c r="D2609" s="71"/>
      <c r="E2609" s="71"/>
      <c r="F2609" s="71"/>
      <c r="G2609" s="71"/>
      <c r="H2609" s="69"/>
      <c r="I2609" s="69"/>
    </row>
    <row r="2610" spans="2:9" s="60" customFormat="1" x14ac:dyDescent="0.5">
      <c r="B2610" s="66"/>
      <c r="C2610" s="97"/>
      <c r="D2610" s="71"/>
      <c r="E2610" s="71"/>
      <c r="F2610" s="71"/>
      <c r="G2610" s="71"/>
      <c r="H2610" s="69"/>
      <c r="I2610" s="69"/>
    </row>
    <row r="2611" spans="2:9" s="60" customFormat="1" x14ac:dyDescent="0.5">
      <c r="B2611" s="66"/>
      <c r="C2611" s="97"/>
      <c r="D2611" s="71"/>
      <c r="E2611" s="71"/>
      <c r="F2611" s="71"/>
      <c r="G2611" s="71"/>
      <c r="H2611" s="69"/>
      <c r="I2611" s="69"/>
    </row>
    <row r="2612" spans="2:9" s="60" customFormat="1" x14ac:dyDescent="0.5">
      <c r="B2612" s="66"/>
      <c r="C2612" s="97"/>
      <c r="D2612" s="71"/>
      <c r="E2612" s="71"/>
      <c r="F2612" s="71"/>
      <c r="G2612" s="71"/>
      <c r="H2612" s="69"/>
      <c r="I2612" s="69"/>
    </row>
    <row r="2613" spans="2:9" s="60" customFormat="1" x14ac:dyDescent="0.5">
      <c r="B2613" s="66"/>
      <c r="C2613" s="97"/>
      <c r="D2613" s="71"/>
      <c r="E2613" s="71"/>
      <c r="F2613" s="71"/>
      <c r="G2613" s="71"/>
      <c r="H2613" s="69"/>
      <c r="I2613" s="69"/>
    </row>
    <row r="2614" spans="2:9" s="60" customFormat="1" x14ac:dyDescent="0.5">
      <c r="B2614" s="66"/>
      <c r="C2614" s="97"/>
      <c r="D2614" s="71"/>
      <c r="E2614" s="71"/>
      <c r="F2614" s="71"/>
      <c r="G2614" s="71"/>
      <c r="H2614" s="69"/>
      <c r="I2614" s="69"/>
    </row>
    <row r="2615" spans="2:9" s="60" customFormat="1" x14ac:dyDescent="0.5">
      <c r="B2615" s="66"/>
      <c r="C2615" s="97"/>
      <c r="D2615" s="71"/>
      <c r="E2615" s="71"/>
      <c r="F2615" s="71"/>
      <c r="G2615" s="71"/>
      <c r="H2615" s="69"/>
      <c r="I2615" s="69"/>
    </row>
    <row r="2616" spans="2:9" s="60" customFormat="1" x14ac:dyDescent="0.5">
      <c r="B2616" s="66"/>
      <c r="C2616" s="97"/>
      <c r="D2616" s="71"/>
      <c r="E2616" s="71"/>
      <c r="F2616" s="71"/>
      <c r="G2616" s="71"/>
      <c r="H2616" s="69"/>
      <c r="I2616" s="69"/>
    </row>
    <row r="2617" spans="2:9" s="60" customFormat="1" x14ac:dyDescent="0.5">
      <c r="B2617" s="66"/>
      <c r="C2617" s="97"/>
      <c r="D2617" s="71"/>
      <c r="E2617" s="71"/>
      <c r="F2617" s="71"/>
      <c r="G2617" s="71"/>
      <c r="H2617" s="69"/>
      <c r="I2617" s="69"/>
    </row>
    <row r="2618" spans="2:9" s="60" customFormat="1" x14ac:dyDescent="0.5">
      <c r="B2618" s="66"/>
      <c r="C2618" s="97"/>
      <c r="D2618" s="71"/>
      <c r="E2618" s="71"/>
      <c r="F2618" s="71"/>
      <c r="G2618" s="71"/>
      <c r="H2618" s="69"/>
      <c r="I2618" s="69"/>
    </row>
    <row r="2619" spans="2:9" s="60" customFormat="1" x14ac:dyDescent="0.5">
      <c r="B2619" s="66"/>
      <c r="C2619" s="97"/>
      <c r="D2619" s="71"/>
      <c r="E2619" s="71"/>
      <c r="F2619" s="71"/>
      <c r="G2619" s="71"/>
      <c r="H2619" s="69"/>
      <c r="I2619" s="69"/>
    </row>
    <row r="2620" spans="2:9" s="60" customFormat="1" x14ac:dyDescent="0.5">
      <c r="B2620" s="66"/>
      <c r="C2620" s="97"/>
      <c r="D2620" s="71"/>
      <c r="E2620" s="71"/>
      <c r="F2620" s="71"/>
      <c r="G2620" s="71"/>
      <c r="H2620" s="69"/>
      <c r="I2620" s="69"/>
    </row>
    <row r="2621" spans="2:9" s="60" customFormat="1" x14ac:dyDescent="0.5">
      <c r="B2621" s="66"/>
      <c r="C2621" s="97"/>
      <c r="D2621" s="71"/>
      <c r="E2621" s="71"/>
      <c r="F2621" s="71"/>
      <c r="G2621" s="71"/>
      <c r="H2621" s="69"/>
      <c r="I2621" s="69"/>
    </row>
    <row r="2622" spans="2:9" s="60" customFormat="1" x14ac:dyDescent="0.5">
      <c r="B2622" s="66"/>
      <c r="C2622" s="97"/>
      <c r="D2622" s="71"/>
      <c r="E2622" s="71"/>
      <c r="F2622" s="71"/>
      <c r="G2622" s="71"/>
      <c r="H2622" s="69"/>
      <c r="I2622" s="69"/>
    </row>
    <row r="2623" spans="2:9" s="60" customFormat="1" x14ac:dyDescent="0.5">
      <c r="B2623" s="66"/>
      <c r="C2623" s="97"/>
      <c r="D2623" s="71"/>
      <c r="E2623" s="71"/>
      <c r="F2623" s="71"/>
      <c r="G2623" s="71"/>
      <c r="H2623" s="69"/>
      <c r="I2623" s="69"/>
    </row>
    <row r="2624" spans="2:9" s="60" customFormat="1" x14ac:dyDescent="0.5">
      <c r="B2624" s="66"/>
      <c r="C2624" s="97"/>
      <c r="D2624" s="71"/>
      <c r="E2624" s="71"/>
      <c r="F2624" s="71"/>
      <c r="G2624" s="71"/>
      <c r="H2624" s="69"/>
      <c r="I2624" s="69"/>
    </row>
    <row r="2625" spans="2:9" s="60" customFormat="1" x14ac:dyDescent="0.5">
      <c r="B2625" s="66"/>
      <c r="C2625" s="97"/>
      <c r="D2625" s="71"/>
      <c r="E2625" s="71"/>
      <c r="F2625" s="71"/>
      <c r="G2625" s="71"/>
      <c r="H2625" s="69"/>
      <c r="I2625" s="69"/>
    </row>
    <row r="2626" spans="2:9" s="60" customFormat="1" x14ac:dyDescent="0.5">
      <c r="B2626" s="66"/>
      <c r="C2626" s="97"/>
      <c r="D2626" s="71"/>
      <c r="E2626" s="71"/>
      <c r="F2626" s="71"/>
      <c r="G2626" s="71"/>
      <c r="H2626" s="69"/>
      <c r="I2626" s="69"/>
    </row>
    <row r="2627" spans="2:9" s="60" customFormat="1" x14ac:dyDescent="0.5">
      <c r="B2627" s="66"/>
      <c r="C2627" s="97"/>
      <c r="D2627" s="71"/>
      <c r="E2627" s="71"/>
      <c r="F2627" s="71"/>
      <c r="G2627" s="71"/>
      <c r="H2627" s="69"/>
      <c r="I2627" s="69"/>
    </row>
    <row r="2628" spans="2:9" s="60" customFormat="1" x14ac:dyDescent="0.5">
      <c r="B2628" s="66"/>
      <c r="C2628" s="97"/>
      <c r="D2628" s="71"/>
      <c r="E2628" s="71"/>
      <c r="F2628" s="71"/>
      <c r="G2628" s="71"/>
      <c r="H2628" s="69"/>
      <c r="I2628" s="69"/>
    </row>
    <row r="2629" spans="2:9" s="60" customFormat="1" x14ac:dyDescent="0.5">
      <c r="B2629" s="66"/>
      <c r="C2629" s="97"/>
      <c r="D2629" s="71"/>
      <c r="E2629" s="71"/>
      <c r="F2629" s="71"/>
      <c r="G2629" s="71"/>
      <c r="H2629" s="69"/>
      <c r="I2629" s="69"/>
    </row>
    <row r="2630" spans="2:9" s="60" customFormat="1" x14ac:dyDescent="0.5">
      <c r="B2630" s="66"/>
      <c r="C2630" s="97"/>
      <c r="D2630" s="71"/>
      <c r="E2630" s="71"/>
      <c r="F2630" s="71"/>
      <c r="G2630" s="71"/>
      <c r="H2630" s="69"/>
      <c r="I2630" s="69"/>
    </row>
    <row r="2631" spans="2:9" s="60" customFormat="1" x14ac:dyDescent="0.5">
      <c r="B2631" s="66"/>
      <c r="C2631" s="97"/>
      <c r="D2631" s="71"/>
      <c r="E2631" s="71"/>
      <c r="F2631" s="71"/>
      <c r="G2631" s="71"/>
      <c r="H2631" s="69"/>
      <c r="I2631" s="69"/>
    </row>
    <row r="2632" spans="2:9" s="60" customFormat="1" x14ac:dyDescent="0.5">
      <c r="B2632" s="66"/>
      <c r="C2632" s="97"/>
      <c r="D2632" s="71"/>
      <c r="E2632" s="71"/>
      <c r="F2632" s="71"/>
      <c r="G2632" s="71"/>
      <c r="H2632" s="69"/>
      <c r="I2632" s="69"/>
    </row>
    <row r="2633" spans="2:9" s="60" customFormat="1" x14ac:dyDescent="0.5">
      <c r="B2633" s="66"/>
      <c r="C2633" s="97"/>
      <c r="D2633" s="71"/>
      <c r="E2633" s="71"/>
      <c r="F2633" s="71"/>
      <c r="G2633" s="71"/>
      <c r="H2633" s="69"/>
      <c r="I2633" s="69"/>
    </row>
    <row r="2634" spans="2:9" s="60" customFormat="1" x14ac:dyDescent="0.5">
      <c r="B2634" s="66"/>
      <c r="C2634" s="97"/>
      <c r="D2634" s="71"/>
      <c r="E2634" s="71"/>
      <c r="F2634" s="71"/>
      <c r="G2634" s="71"/>
      <c r="H2634" s="69"/>
      <c r="I2634" s="69"/>
    </row>
    <row r="2635" spans="2:9" s="60" customFormat="1" x14ac:dyDescent="0.5">
      <c r="B2635" s="66"/>
      <c r="C2635" s="97"/>
      <c r="D2635" s="71"/>
      <c r="E2635" s="71"/>
      <c r="F2635" s="71"/>
      <c r="G2635" s="71"/>
      <c r="H2635" s="69"/>
      <c r="I2635" s="69"/>
    </row>
    <row r="2636" spans="2:9" s="60" customFormat="1" x14ac:dyDescent="0.5">
      <c r="B2636" s="66"/>
      <c r="C2636" s="97"/>
      <c r="D2636" s="71"/>
      <c r="E2636" s="71"/>
      <c r="F2636" s="71"/>
      <c r="G2636" s="71"/>
      <c r="H2636" s="69"/>
      <c r="I2636" s="69"/>
    </row>
    <row r="2637" spans="2:9" s="60" customFormat="1" x14ac:dyDescent="0.5">
      <c r="B2637" s="66"/>
      <c r="C2637" s="97"/>
      <c r="D2637" s="71"/>
      <c r="E2637" s="71"/>
      <c r="F2637" s="71"/>
      <c r="G2637" s="71"/>
      <c r="H2637" s="69"/>
      <c r="I2637" s="69"/>
    </row>
    <row r="2638" spans="2:9" s="60" customFormat="1" x14ac:dyDescent="0.5">
      <c r="B2638" s="66"/>
      <c r="C2638" s="97"/>
      <c r="D2638" s="71"/>
      <c r="E2638" s="71"/>
      <c r="F2638" s="71"/>
      <c r="G2638" s="71"/>
      <c r="H2638" s="69"/>
      <c r="I2638" s="69"/>
    </row>
    <row r="2639" spans="2:9" s="60" customFormat="1" x14ac:dyDescent="0.5">
      <c r="B2639" s="66"/>
      <c r="C2639" s="97"/>
      <c r="D2639" s="71"/>
      <c r="E2639" s="71"/>
      <c r="F2639" s="71"/>
      <c r="G2639" s="71"/>
      <c r="H2639" s="69"/>
      <c r="I2639" s="69"/>
    </row>
    <row r="2640" spans="2:9" s="60" customFormat="1" x14ac:dyDescent="0.5">
      <c r="B2640" s="66"/>
      <c r="C2640" s="97"/>
      <c r="D2640" s="71"/>
      <c r="E2640" s="71"/>
      <c r="F2640" s="71"/>
      <c r="G2640" s="71"/>
      <c r="H2640" s="69"/>
      <c r="I2640" s="69"/>
    </row>
    <row r="2641" spans="2:9" s="60" customFormat="1" x14ac:dyDescent="0.5">
      <c r="B2641" s="66"/>
      <c r="C2641" s="97"/>
      <c r="D2641" s="71"/>
      <c r="E2641" s="71"/>
      <c r="F2641" s="71"/>
      <c r="G2641" s="71"/>
      <c r="H2641" s="69"/>
      <c r="I2641" s="69"/>
    </row>
    <row r="2642" spans="2:9" s="60" customFormat="1" x14ac:dyDescent="0.5">
      <c r="B2642" s="66"/>
      <c r="C2642" s="97"/>
      <c r="D2642" s="71"/>
      <c r="E2642" s="71"/>
      <c r="F2642" s="71"/>
      <c r="G2642" s="71"/>
      <c r="H2642" s="69"/>
      <c r="I2642" s="69"/>
    </row>
    <row r="2643" spans="2:9" s="60" customFormat="1" x14ac:dyDescent="0.5">
      <c r="B2643" s="66"/>
      <c r="C2643" s="97"/>
      <c r="D2643" s="71"/>
      <c r="E2643" s="71"/>
      <c r="F2643" s="71"/>
      <c r="G2643" s="71"/>
      <c r="H2643" s="69"/>
      <c r="I2643" s="69"/>
    </row>
    <row r="2644" spans="2:9" s="60" customFormat="1" x14ac:dyDescent="0.5">
      <c r="B2644" s="66"/>
      <c r="C2644" s="97"/>
      <c r="D2644" s="71"/>
      <c r="E2644" s="71"/>
      <c r="F2644" s="71"/>
      <c r="G2644" s="71"/>
      <c r="H2644" s="69"/>
      <c r="I2644" s="69"/>
    </row>
    <row r="2645" spans="2:9" s="60" customFormat="1" x14ac:dyDescent="0.5">
      <c r="B2645" s="66"/>
      <c r="C2645" s="97"/>
      <c r="D2645" s="71"/>
      <c r="E2645" s="71"/>
      <c r="F2645" s="71"/>
      <c r="G2645" s="71"/>
      <c r="H2645" s="69"/>
      <c r="I2645" s="69"/>
    </row>
    <row r="2646" spans="2:9" s="60" customFormat="1" x14ac:dyDescent="0.5">
      <c r="B2646" s="66"/>
      <c r="C2646" s="97"/>
      <c r="D2646" s="71"/>
      <c r="E2646" s="71"/>
      <c r="F2646" s="71"/>
      <c r="G2646" s="71"/>
      <c r="H2646" s="69"/>
      <c r="I2646" s="69"/>
    </row>
    <row r="2647" spans="2:9" s="60" customFormat="1" x14ac:dyDescent="0.5">
      <c r="B2647" s="66"/>
      <c r="C2647" s="97"/>
      <c r="D2647" s="71"/>
      <c r="E2647" s="71"/>
      <c r="F2647" s="71"/>
      <c r="G2647" s="71"/>
      <c r="H2647" s="69"/>
      <c r="I2647" s="69"/>
    </row>
    <row r="2648" spans="2:9" s="60" customFormat="1" x14ac:dyDescent="0.5">
      <c r="B2648" s="66"/>
      <c r="C2648" s="97"/>
      <c r="D2648" s="71"/>
      <c r="E2648" s="71"/>
      <c r="F2648" s="71"/>
      <c r="G2648" s="71"/>
      <c r="H2648" s="69"/>
      <c r="I2648" s="69"/>
    </row>
    <row r="2649" spans="2:9" s="60" customFormat="1" x14ac:dyDescent="0.5">
      <c r="B2649" s="66"/>
      <c r="C2649" s="97"/>
      <c r="D2649" s="71"/>
      <c r="E2649" s="71"/>
      <c r="F2649" s="71"/>
      <c r="G2649" s="71"/>
      <c r="H2649" s="69"/>
      <c r="I2649" s="69"/>
    </row>
    <row r="2650" spans="2:9" s="60" customFormat="1" x14ac:dyDescent="0.5">
      <c r="B2650" s="66"/>
      <c r="C2650" s="97"/>
      <c r="D2650" s="71"/>
      <c r="E2650" s="71"/>
      <c r="F2650" s="71"/>
      <c r="G2650" s="71"/>
      <c r="H2650" s="69"/>
      <c r="I2650" s="69"/>
    </row>
    <row r="2651" spans="2:9" s="60" customFormat="1" x14ac:dyDescent="0.5">
      <c r="B2651" s="66"/>
      <c r="C2651" s="97"/>
      <c r="D2651" s="71"/>
      <c r="E2651" s="71"/>
      <c r="F2651" s="71"/>
      <c r="G2651" s="71"/>
      <c r="H2651" s="69"/>
      <c r="I2651" s="69"/>
    </row>
    <row r="2652" spans="2:9" s="60" customFormat="1" x14ac:dyDescent="0.5">
      <c r="B2652" s="66"/>
      <c r="C2652" s="97"/>
      <c r="D2652" s="71"/>
      <c r="E2652" s="71"/>
      <c r="F2652" s="71"/>
      <c r="G2652" s="71"/>
      <c r="H2652" s="69"/>
      <c r="I2652" s="69"/>
    </row>
    <row r="2653" spans="2:9" s="60" customFormat="1" x14ac:dyDescent="0.5">
      <c r="B2653" s="66"/>
      <c r="C2653" s="97"/>
      <c r="D2653" s="71"/>
      <c r="E2653" s="71"/>
      <c r="F2653" s="71"/>
      <c r="G2653" s="71"/>
      <c r="H2653" s="69"/>
      <c r="I2653" s="69"/>
    </row>
    <row r="2654" spans="2:9" s="60" customFormat="1" x14ac:dyDescent="0.5">
      <c r="B2654" s="66"/>
      <c r="C2654" s="97"/>
      <c r="D2654" s="71"/>
      <c r="E2654" s="71"/>
      <c r="F2654" s="71"/>
      <c r="G2654" s="71"/>
      <c r="H2654" s="69"/>
      <c r="I2654" s="69"/>
    </row>
    <row r="2655" spans="2:9" s="60" customFormat="1" x14ac:dyDescent="0.5">
      <c r="B2655" s="66"/>
      <c r="C2655" s="97"/>
      <c r="D2655" s="71"/>
      <c r="E2655" s="71"/>
      <c r="F2655" s="71"/>
      <c r="G2655" s="71"/>
      <c r="H2655" s="69"/>
      <c r="I2655" s="69"/>
    </row>
    <row r="2656" spans="2:9" s="60" customFormat="1" x14ac:dyDescent="0.5">
      <c r="B2656" s="66"/>
      <c r="C2656" s="97"/>
      <c r="D2656" s="71"/>
      <c r="E2656" s="71"/>
      <c r="F2656" s="71"/>
      <c r="G2656" s="71"/>
      <c r="H2656" s="69"/>
      <c r="I2656" s="69"/>
    </row>
    <row r="2657" spans="2:9" s="60" customFormat="1" x14ac:dyDescent="0.5">
      <c r="B2657" s="66"/>
      <c r="C2657" s="97"/>
      <c r="D2657" s="71"/>
      <c r="E2657" s="71"/>
      <c r="F2657" s="71"/>
      <c r="G2657" s="71"/>
      <c r="H2657" s="69"/>
      <c r="I2657" s="69"/>
    </row>
    <row r="2658" spans="2:9" s="60" customFormat="1" x14ac:dyDescent="0.5">
      <c r="B2658" s="66"/>
      <c r="C2658" s="97"/>
      <c r="D2658" s="71"/>
      <c r="E2658" s="71"/>
      <c r="F2658" s="71"/>
      <c r="G2658" s="71"/>
      <c r="H2658" s="69"/>
      <c r="I2658" s="69"/>
    </row>
    <row r="2659" spans="2:9" s="60" customFormat="1" x14ac:dyDescent="0.5">
      <c r="B2659" s="66"/>
      <c r="C2659" s="97"/>
      <c r="D2659" s="71"/>
      <c r="E2659" s="71"/>
      <c r="F2659" s="71"/>
      <c r="G2659" s="71"/>
      <c r="H2659" s="69"/>
      <c r="I2659" s="69"/>
    </row>
    <row r="2660" spans="2:9" s="60" customFormat="1" x14ac:dyDescent="0.5">
      <c r="B2660" s="66"/>
      <c r="C2660" s="97"/>
      <c r="D2660" s="71"/>
      <c r="E2660" s="71"/>
      <c r="F2660" s="71"/>
      <c r="G2660" s="71"/>
      <c r="H2660" s="69"/>
      <c r="I2660" s="69"/>
    </row>
    <row r="2661" spans="2:9" s="60" customFormat="1" x14ac:dyDescent="0.5">
      <c r="B2661" s="66"/>
      <c r="C2661" s="97"/>
      <c r="D2661" s="71"/>
      <c r="E2661" s="71"/>
      <c r="F2661" s="71"/>
      <c r="G2661" s="71"/>
      <c r="H2661" s="69"/>
      <c r="I2661" s="69"/>
    </row>
    <row r="2662" spans="2:9" s="60" customFormat="1" x14ac:dyDescent="0.5">
      <c r="B2662" s="66"/>
      <c r="C2662" s="97"/>
      <c r="D2662" s="71"/>
      <c r="E2662" s="71"/>
      <c r="F2662" s="71"/>
      <c r="G2662" s="71"/>
      <c r="H2662" s="69"/>
      <c r="I2662" s="69"/>
    </row>
    <row r="2663" spans="2:9" s="60" customFormat="1" x14ac:dyDescent="0.5">
      <c r="B2663" s="66"/>
      <c r="C2663" s="97"/>
      <c r="D2663" s="71"/>
      <c r="E2663" s="71"/>
      <c r="F2663" s="71"/>
      <c r="G2663" s="71"/>
      <c r="H2663" s="69"/>
      <c r="I2663" s="69"/>
    </row>
    <row r="2664" spans="2:9" s="60" customFormat="1" x14ac:dyDescent="0.5">
      <c r="B2664" s="66"/>
      <c r="C2664" s="97"/>
      <c r="D2664" s="71"/>
      <c r="E2664" s="71"/>
      <c r="F2664" s="71"/>
      <c r="G2664" s="71"/>
      <c r="H2664" s="69"/>
      <c r="I2664" s="69"/>
    </row>
    <row r="2665" spans="2:9" s="60" customFormat="1" x14ac:dyDescent="0.5">
      <c r="B2665" s="66"/>
      <c r="C2665" s="97"/>
      <c r="D2665" s="71"/>
      <c r="E2665" s="71"/>
      <c r="F2665" s="71"/>
      <c r="G2665" s="71"/>
      <c r="H2665" s="69"/>
      <c r="I2665" s="69"/>
    </row>
    <row r="2666" spans="2:9" s="60" customFormat="1" x14ac:dyDescent="0.5">
      <c r="B2666" s="66"/>
      <c r="C2666" s="97"/>
      <c r="D2666" s="71"/>
      <c r="E2666" s="71"/>
      <c r="F2666" s="71"/>
      <c r="G2666" s="71"/>
      <c r="H2666" s="69"/>
      <c r="I2666" s="69"/>
    </row>
    <row r="2667" spans="2:9" s="60" customFormat="1" x14ac:dyDescent="0.5">
      <c r="B2667" s="66"/>
      <c r="C2667" s="97"/>
      <c r="D2667" s="71"/>
      <c r="E2667" s="71"/>
      <c r="F2667" s="71"/>
      <c r="G2667" s="71"/>
      <c r="H2667" s="69"/>
      <c r="I2667" s="69"/>
    </row>
    <row r="2668" spans="2:9" s="60" customFormat="1" x14ac:dyDescent="0.5">
      <c r="B2668" s="66"/>
      <c r="C2668" s="97"/>
      <c r="D2668" s="71"/>
      <c r="E2668" s="71"/>
      <c r="F2668" s="71"/>
      <c r="G2668" s="71"/>
      <c r="H2668" s="69"/>
      <c r="I2668" s="69"/>
    </row>
    <row r="2669" spans="2:9" s="60" customFormat="1" x14ac:dyDescent="0.5">
      <c r="B2669" s="66"/>
      <c r="C2669" s="97"/>
      <c r="D2669" s="71"/>
      <c r="E2669" s="71"/>
      <c r="F2669" s="71"/>
      <c r="G2669" s="71"/>
      <c r="H2669" s="69"/>
      <c r="I2669" s="69"/>
    </row>
    <row r="2670" spans="2:9" s="60" customFormat="1" x14ac:dyDescent="0.5">
      <c r="B2670" s="66"/>
      <c r="C2670" s="97"/>
      <c r="D2670" s="71"/>
      <c r="E2670" s="71"/>
      <c r="F2670" s="71"/>
      <c r="G2670" s="71"/>
      <c r="H2670" s="69"/>
      <c r="I2670" s="69"/>
    </row>
    <row r="2671" spans="2:9" s="60" customFormat="1" x14ac:dyDescent="0.5">
      <c r="B2671" s="66"/>
      <c r="C2671" s="97"/>
      <c r="D2671" s="71"/>
      <c r="E2671" s="71"/>
      <c r="F2671" s="71"/>
      <c r="G2671" s="71"/>
      <c r="H2671" s="69"/>
      <c r="I2671" s="69"/>
    </row>
    <row r="2672" spans="2:9" s="60" customFormat="1" x14ac:dyDescent="0.5">
      <c r="B2672" s="66"/>
      <c r="C2672" s="97"/>
      <c r="D2672" s="71"/>
      <c r="E2672" s="71"/>
      <c r="F2672" s="71"/>
      <c r="G2672" s="71"/>
      <c r="H2672" s="69"/>
      <c r="I2672" s="69"/>
    </row>
    <row r="2673" spans="2:9" s="60" customFormat="1" x14ac:dyDescent="0.5">
      <c r="B2673" s="66"/>
      <c r="C2673" s="97"/>
      <c r="D2673" s="71"/>
      <c r="E2673" s="71"/>
      <c r="F2673" s="71"/>
      <c r="G2673" s="71"/>
      <c r="H2673" s="69"/>
      <c r="I2673" s="69"/>
    </row>
    <row r="2674" spans="2:9" s="60" customFormat="1" x14ac:dyDescent="0.5">
      <c r="B2674" s="66"/>
      <c r="C2674" s="97"/>
      <c r="D2674" s="71"/>
      <c r="E2674" s="71"/>
      <c r="F2674" s="71"/>
      <c r="G2674" s="71"/>
      <c r="H2674" s="69"/>
      <c r="I2674" s="69"/>
    </row>
    <row r="2675" spans="2:9" s="60" customFormat="1" x14ac:dyDescent="0.5">
      <c r="B2675" s="66"/>
      <c r="C2675" s="97"/>
      <c r="D2675" s="71"/>
      <c r="E2675" s="71"/>
      <c r="F2675" s="71"/>
      <c r="G2675" s="71"/>
      <c r="H2675" s="69"/>
      <c r="I2675" s="69"/>
    </row>
    <row r="2676" spans="2:9" s="60" customFormat="1" x14ac:dyDescent="0.5">
      <c r="B2676" s="66"/>
      <c r="C2676" s="97"/>
      <c r="D2676" s="71"/>
      <c r="E2676" s="71"/>
      <c r="F2676" s="71"/>
      <c r="G2676" s="71"/>
      <c r="H2676" s="69"/>
      <c r="I2676" s="69"/>
    </row>
    <row r="2677" spans="2:9" s="60" customFormat="1" x14ac:dyDescent="0.5">
      <c r="B2677" s="66"/>
      <c r="C2677" s="97"/>
      <c r="D2677" s="71"/>
      <c r="E2677" s="71"/>
      <c r="F2677" s="71"/>
      <c r="G2677" s="71"/>
      <c r="H2677" s="69"/>
      <c r="I2677" s="69"/>
    </row>
    <row r="2678" spans="2:9" s="60" customFormat="1" x14ac:dyDescent="0.5">
      <c r="B2678" s="66"/>
      <c r="C2678" s="97"/>
      <c r="D2678" s="71"/>
      <c r="E2678" s="71"/>
      <c r="F2678" s="71"/>
      <c r="G2678" s="71"/>
      <c r="H2678" s="69"/>
      <c r="I2678" s="69"/>
    </row>
    <row r="2679" spans="2:9" s="60" customFormat="1" x14ac:dyDescent="0.5">
      <c r="B2679" s="66"/>
      <c r="C2679" s="97"/>
      <c r="D2679" s="71"/>
      <c r="E2679" s="71"/>
      <c r="F2679" s="71"/>
      <c r="G2679" s="71"/>
      <c r="H2679" s="69"/>
      <c r="I2679" s="69"/>
    </row>
    <row r="2680" spans="2:9" s="60" customFormat="1" x14ac:dyDescent="0.5">
      <c r="B2680" s="66"/>
      <c r="C2680" s="97"/>
      <c r="D2680" s="71"/>
      <c r="E2680" s="71"/>
      <c r="F2680" s="71"/>
      <c r="G2680" s="71"/>
      <c r="H2680" s="69"/>
      <c r="I2680" s="69"/>
    </row>
    <row r="2681" spans="2:9" s="60" customFormat="1" x14ac:dyDescent="0.5">
      <c r="B2681" s="66"/>
      <c r="C2681" s="97"/>
      <c r="D2681" s="71"/>
      <c r="E2681" s="71"/>
      <c r="F2681" s="71"/>
      <c r="G2681" s="71"/>
      <c r="H2681" s="69"/>
      <c r="I2681" s="69"/>
    </row>
    <row r="2682" spans="2:9" s="60" customFormat="1" x14ac:dyDescent="0.5">
      <c r="B2682" s="66"/>
      <c r="C2682" s="97"/>
      <c r="D2682" s="71"/>
      <c r="E2682" s="71"/>
      <c r="F2682" s="71"/>
      <c r="G2682" s="71"/>
      <c r="H2682" s="69"/>
      <c r="I2682" s="69"/>
    </row>
    <row r="2683" spans="2:9" s="60" customFormat="1" x14ac:dyDescent="0.5">
      <c r="B2683" s="66"/>
      <c r="C2683" s="97"/>
      <c r="D2683" s="71"/>
      <c r="E2683" s="71"/>
      <c r="F2683" s="71"/>
      <c r="G2683" s="71"/>
      <c r="H2683" s="69"/>
      <c r="I2683" s="69"/>
    </row>
    <row r="2684" spans="2:9" s="60" customFormat="1" x14ac:dyDescent="0.5">
      <c r="B2684" s="66"/>
      <c r="C2684" s="97"/>
      <c r="D2684" s="71"/>
      <c r="E2684" s="71"/>
      <c r="F2684" s="71"/>
      <c r="G2684" s="71"/>
      <c r="H2684" s="69"/>
      <c r="I2684" s="69"/>
    </row>
    <row r="2685" spans="2:9" s="60" customFormat="1" x14ac:dyDescent="0.5">
      <c r="B2685" s="66"/>
      <c r="C2685" s="97"/>
      <c r="D2685" s="71"/>
      <c r="E2685" s="71"/>
      <c r="F2685" s="71"/>
      <c r="G2685" s="71"/>
      <c r="H2685" s="69"/>
      <c r="I2685" s="69"/>
    </row>
    <row r="2686" spans="2:9" s="60" customFormat="1" x14ac:dyDescent="0.5">
      <c r="B2686" s="66"/>
      <c r="C2686" s="97"/>
      <c r="D2686" s="71"/>
      <c r="E2686" s="71"/>
      <c r="F2686" s="71"/>
      <c r="G2686" s="71"/>
      <c r="H2686" s="69"/>
      <c r="I2686" s="69"/>
    </row>
    <row r="2687" spans="2:9" s="60" customFormat="1" x14ac:dyDescent="0.5">
      <c r="B2687" s="66"/>
      <c r="C2687" s="97"/>
      <c r="D2687" s="71"/>
      <c r="E2687" s="71"/>
      <c r="F2687" s="71"/>
      <c r="G2687" s="71"/>
      <c r="H2687" s="69"/>
      <c r="I2687" s="69"/>
    </row>
    <row r="2688" spans="2:9" s="60" customFormat="1" x14ac:dyDescent="0.5">
      <c r="B2688" s="66"/>
      <c r="C2688" s="97"/>
      <c r="D2688" s="71"/>
      <c r="E2688" s="71"/>
      <c r="F2688" s="71"/>
      <c r="G2688" s="71"/>
      <c r="H2688" s="69"/>
      <c r="I2688" s="69"/>
    </row>
    <row r="2689" spans="2:9" s="60" customFormat="1" x14ac:dyDescent="0.5">
      <c r="B2689" s="66"/>
      <c r="C2689" s="97"/>
      <c r="D2689" s="71"/>
      <c r="E2689" s="71"/>
      <c r="F2689" s="71"/>
      <c r="G2689" s="71"/>
      <c r="H2689" s="69"/>
      <c r="I2689" s="69"/>
    </row>
    <row r="2690" spans="2:9" s="60" customFormat="1" x14ac:dyDescent="0.5">
      <c r="B2690" s="66"/>
      <c r="C2690" s="97"/>
      <c r="D2690" s="71"/>
      <c r="E2690" s="71"/>
      <c r="F2690" s="71"/>
      <c r="G2690" s="71"/>
      <c r="H2690" s="69"/>
      <c r="I2690" s="69"/>
    </row>
    <row r="2691" spans="2:9" s="60" customFormat="1" x14ac:dyDescent="0.5">
      <c r="B2691" s="66"/>
      <c r="C2691" s="97"/>
      <c r="D2691" s="71"/>
      <c r="E2691" s="71"/>
      <c r="F2691" s="71"/>
      <c r="G2691" s="71"/>
      <c r="H2691" s="69"/>
      <c r="I2691" s="69"/>
    </row>
    <row r="2692" spans="2:9" s="60" customFormat="1" x14ac:dyDescent="0.5">
      <c r="B2692" s="66"/>
      <c r="C2692" s="97"/>
      <c r="D2692" s="71"/>
      <c r="E2692" s="71"/>
      <c r="F2692" s="71"/>
      <c r="G2692" s="71"/>
      <c r="H2692" s="69"/>
      <c r="I2692" s="69"/>
    </row>
    <row r="2693" spans="2:9" s="60" customFormat="1" x14ac:dyDescent="0.5">
      <c r="B2693" s="66"/>
      <c r="C2693" s="97"/>
      <c r="D2693" s="71"/>
      <c r="E2693" s="71"/>
      <c r="F2693" s="71"/>
      <c r="G2693" s="71"/>
      <c r="H2693" s="69"/>
      <c r="I2693" s="69"/>
    </row>
    <row r="2694" spans="2:9" s="60" customFormat="1" x14ac:dyDescent="0.5">
      <c r="B2694" s="66"/>
      <c r="C2694" s="97"/>
      <c r="D2694" s="71"/>
      <c r="E2694" s="71"/>
      <c r="F2694" s="71"/>
      <c r="G2694" s="71"/>
      <c r="H2694" s="69"/>
      <c r="I2694" s="69"/>
    </row>
    <row r="2695" spans="2:9" s="60" customFormat="1" x14ac:dyDescent="0.5">
      <c r="B2695" s="66"/>
      <c r="C2695" s="97"/>
      <c r="D2695" s="71"/>
      <c r="E2695" s="71"/>
      <c r="F2695" s="71"/>
      <c r="G2695" s="71"/>
      <c r="H2695" s="69"/>
      <c r="I2695" s="69"/>
    </row>
    <row r="2696" spans="2:9" s="60" customFormat="1" x14ac:dyDescent="0.5">
      <c r="B2696" s="66"/>
      <c r="C2696" s="97"/>
      <c r="D2696" s="71"/>
      <c r="E2696" s="71"/>
      <c r="F2696" s="71"/>
      <c r="G2696" s="71"/>
      <c r="H2696" s="69"/>
      <c r="I2696" s="69"/>
    </row>
    <row r="2697" spans="2:9" s="60" customFormat="1" x14ac:dyDescent="0.5">
      <c r="B2697" s="66"/>
      <c r="C2697" s="97"/>
      <c r="D2697" s="71"/>
      <c r="E2697" s="71"/>
      <c r="F2697" s="71"/>
      <c r="G2697" s="71"/>
      <c r="H2697" s="69"/>
      <c r="I2697" s="69"/>
    </row>
    <row r="2698" spans="2:9" s="60" customFormat="1" x14ac:dyDescent="0.5">
      <c r="B2698" s="66"/>
      <c r="C2698" s="97"/>
      <c r="D2698" s="71"/>
      <c r="E2698" s="71"/>
      <c r="F2698" s="71"/>
      <c r="G2698" s="71"/>
      <c r="H2698" s="69"/>
      <c r="I2698" s="69"/>
    </row>
    <row r="2699" spans="2:9" s="60" customFormat="1" x14ac:dyDescent="0.5">
      <c r="B2699" s="66"/>
      <c r="C2699" s="97"/>
      <c r="D2699" s="71"/>
      <c r="E2699" s="71"/>
      <c r="F2699" s="71"/>
      <c r="G2699" s="71"/>
      <c r="H2699" s="69"/>
      <c r="I2699" s="69"/>
    </row>
    <row r="2700" spans="2:9" s="60" customFormat="1" x14ac:dyDescent="0.5">
      <c r="B2700" s="66"/>
      <c r="C2700" s="97"/>
      <c r="D2700" s="71"/>
      <c r="E2700" s="71"/>
      <c r="F2700" s="71"/>
      <c r="G2700" s="71"/>
      <c r="H2700" s="69"/>
      <c r="I2700" s="69"/>
    </row>
    <row r="2701" spans="2:9" s="60" customFormat="1" x14ac:dyDescent="0.5">
      <c r="B2701" s="66"/>
      <c r="C2701" s="97"/>
      <c r="D2701" s="71"/>
      <c r="E2701" s="71"/>
      <c r="F2701" s="71"/>
      <c r="G2701" s="71"/>
      <c r="H2701" s="69"/>
      <c r="I2701" s="69"/>
    </row>
    <row r="2702" spans="2:9" s="60" customFormat="1" x14ac:dyDescent="0.5">
      <c r="B2702" s="66"/>
      <c r="C2702" s="97"/>
      <c r="D2702" s="71"/>
      <c r="E2702" s="71"/>
      <c r="F2702" s="71"/>
      <c r="G2702" s="71"/>
      <c r="H2702" s="69"/>
      <c r="I2702" s="69"/>
    </row>
    <row r="2703" spans="2:9" s="60" customFormat="1" x14ac:dyDescent="0.5">
      <c r="B2703" s="66"/>
      <c r="C2703" s="97"/>
      <c r="D2703" s="71"/>
      <c r="E2703" s="71"/>
      <c r="F2703" s="71"/>
      <c r="G2703" s="71"/>
      <c r="H2703" s="69"/>
      <c r="I2703" s="69"/>
    </row>
    <row r="2704" spans="2:9" s="60" customFormat="1" x14ac:dyDescent="0.5">
      <c r="B2704" s="66"/>
      <c r="C2704" s="97"/>
      <c r="D2704" s="71"/>
      <c r="E2704" s="71"/>
      <c r="F2704" s="71"/>
      <c r="G2704" s="71"/>
      <c r="H2704" s="69"/>
      <c r="I2704" s="69"/>
    </row>
    <row r="2705" spans="2:9" s="60" customFormat="1" x14ac:dyDescent="0.5">
      <c r="B2705" s="66"/>
      <c r="C2705" s="97"/>
      <c r="D2705" s="71"/>
      <c r="E2705" s="71"/>
      <c r="F2705" s="71"/>
      <c r="G2705" s="71"/>
      <c r="H2705" s="69"/>
      <c r="I2705" s="69"/>
    </row>
    <row r="2706" spans="2:9" s="60" customFormat="1" x14ac:dyDescent="0.5">
      <c r="B2706" s="66"/>
      <c r="C2706" s="97"/>
      <c r="D2706" s="71"/>
      <c r="E2706" s="71"/>
      <c r="F2706" s="71"/>
      <c r="G2706" s="71"/>
      <c r="H2706" s="69"/>
      <c r="I2706" s="69"/>
    </row>
    <row r="2707" spans="2:9" s="60" customFormat="1" x14ac:dyDescent="0.5">
      <c r="B2707" s="66"/>
      <c r="C2707" s="97"/>
      <c r="D2707" s="71"/>
      <c r="E2707" s="71"/>
      <c r="F2707" s="71"/>
      <c r="G2707" s="71"/>
      <c r="H2707" s="69"/>
      <c r="I2707" s="69"/>
    </row>
    <row r="2708" spans="2:9" s="60" customFormat="1" x14ac:dyDescent="0.5">
      <c r="B2708" s="66"/>
      <c r="C2708" s="97"/>
      <c r="D2708" s="71"/>
      <c r="E2708" s="71"/>
      <c r="F2708" s="71"/>
      <c r="G2708" s="71"/>
      <c r="H2708" s="69"/>
      <c r="I2708" s="69"/>
    </row>
    <row r="2709" spans="2:9" s="60" customFormat="1" x14ac:dyDescent="0.5">
      <c r="B2709" s="66"/>
      <c r="C2709" s="97"/>
      <c r="D2709" s="71"/>
      <c r="E2709" s="71"/>
      <c r="F2709" s="71"/>
      <c r="G2709" s="71"/>
      <c r="H2709" s="69"/>
      <c r="I2709" s="69"/>
    </row>
    <row r="2710" spans="2:9" s="60" customFormat="1" x14ac:dyDescent="0.5">
      <c r="B2710" s="66"/>
      <c r="C2710" s="97"/>
      <c r="D2710" s="71"/>
      <c r="E2710" s="71"/>
      <c r="F2710" s="71"/>
      <c r="G2710" s="71"/>
      <c r="H2710" s="69"/>
      <c r="I2710" s="69"/>
    </row>
    <row r="2711" spans="2:9" s="60" customFormat="1" x14ac:dyDescent="0.5">
      <c r="B2711" s="66"/>
      <c r="C2711" s="97"/>
      <c r="D2711" s="71"/>
      <c r="E2711" s="71"/>
      <c r="F2711" s="71"/>
      <c r="G2711" s="71"/>
      <c r="H2711" s="69"/>
      <c r="I2711" s="69"/>
    </row>
    <row r="2712" spans="2:9" s="60" customFormat="1" x14ac:dyDescent="0.5">
      <c r="B2712" s="66"/>
      <c r="C2712" s="97"/>
      <c r="D2712" s="71"/>
      <c r="E2712" s="71"/>
      <c r="F2712" s="71"/>
      <c r="G2712" s="71"/>
      <c r="H2712" s="69"/>
      <c r="I2712" s="69"/>
    </row>
    <row r="2713" spans="2:9" s="60" customFormat="1" x14ac:dyDescent="0.5">
      <c r="B2713" s="66"/>
      <c r="C2713" s="97"/>
      <c r="D2713" s="71"/>
      <c r="E2713" s="71"/>
      <c r="F2713" s="71"/>
      <c r="G2713" s="71"/>
      <c r="H2713" s="69"/>
      <c r="I2713" s="69"/>
    </row>
    <row r="2714" spans="2:9" s="60" customFormat="1" x14ac:dyDescent="0.5">
      <c r="B2714" s="66"/>
      <c r="C2714" s="97"/>
      <c r="D2714" s="71"/>
      <c r="E2714" s="71"/>
      <c r="F2714" s="71"/>
      <c r="G2714" s="71"/>
      <c r="H2714" s="69"/>
      <c r="I2714" s="69"/>
    </row>
    <row r="2715" spans="2:9" s="60" customFormat="1" x14ac:dyDescent="0.5">
      <c r="B2715" s="66"/>
      <c r="C2715" s="97"/>
      <c r="D2715" s="71"/>
      <c r="E2715" s="71"/>
      <c r="F2715" s="71"/>
      <c r="G2715" s="71"/>
      <c r="H2715" s="69"/>
      <c r="I2715" s="69"/>
    </row>
    <row r="2716" spans="2:9" s="60" customFormat="1" x14ac:dyDescent="0.5">
      <c r="B2716" s="66"/>
      <c r="C2716" s="97"/>
      <c r="D2716" s="71"/>
      <c r="E2716" s="71"/>
      <c r="F2716" s="71"/>
      <c r="G2716" s="71"/>
      <c r="H2716" s="69"/>
      <c r="I2716" s="69"/>
    </row>
    <row r="2717" spans="2:9" s="60" customFormat="1" x14ac:dyDescent="0.5">
      <c r="B2717" s="66"/>
      <c r="C2717" s="97"/>
      <c r="D2717" s="71"/>
      <c r="E2717" s="71"/>
      <c r="F2717" s="71"/>
      <c r="G2717" s="71"/>
      <c r="H2717" s="69"/>
      <c r="I2717" s="69"/>
    </row>
    <row r="2718" spans="2:9" s="60" customFormat="1" x14ac:dyDescent="0.5">
      <c r="B2718" s="66"/>
      <c r="C2718" s="97"/>
      <c r="D2718" s="71"/>
      <c r="E2718" s="71"/>
      <c r="F2718" s="71"/>
      <c r="G2718" s="71"/>
      <c r="H2718" s="69"/>
      <c r="I2718" s="69"/>
    </row>
    <row r="2719" spans="2:9" s="60" customFormat="1" x14ac:dyDescent="0.5">
      <c r="B2719" s="66"/>
      <c r="C2719" s="97"/>
      <c r="D2719" s="71"/>
      <c r="E2719" s="71"/>
      <c r="F2719" s="71"/>
      <c r="G2719" s="71"/>
      <c r="H2719" s="69"/>
      <c r="I2719" s="69"/>
    </row>
    <row r="2720" spans="2:9" s="60" customFormat="1" x14ac:dyDescent="0.5">
      <c r="B2720" s="66"/>
      <c r="C2720" s="97"/>
      <c r="D2720" s="71"/>
      <c r="E2720" s="71"/>
      <c r="F2720" s="71"/>
      <c r="G2720" s="71"/>
      <c r="H2720" s="69"/>
      <c r="I2720" s="69"/>
    </row>
    <row r="2721" spans="2:9" s="60" customFormat="1" x14ac:dyDescent="0.5">
      <c r="B2721" s="66"/>
      <c r="C2721" s="97"/>
      <c r="D2721" s="71"/>
      <c r="E2721" s="71"/>
      <c r="F2721" s="71"/>
      <c r="G2721" s="71"/>
      <c r="H2721" s="69"/>
      <c r="I2721" s="69"/>
    </row>
    <row r="2722" spans="2:9" s="60" customFormat="1" x14ac:dyDescent="0.5">
      <c r="B2722" s="66"/>
      <c r="C2722" s="97"/>
      <c r="D2722" s="71"/>
      <c r="E2722" s="71"/>
      <c r="F2722" s="71"/>
      <c r="G2722" s="71"/>
      <c r="H2722" s="69"/>
      <c r="I2722" s="69"/>
    </row>
    <row r="2723" spans="2:9" s="60" customFormat="1" x14ac:dyDescent="0.5">
      <c r="B2723" s="66"/>
      <c r="C2723" s="97"/>
      <c r="D2723" s="71"/>
      <c r="E2723" s="71"/>
      <c r="F2723" s="71"/>
      <c r="G2723" s="71"/>
      <c r="H2723" s="69"/>
      <c r="I2723" s="69"/>
    </row>
    <row r="2724" spans="2:9" s="60" customFormat="1" x14ac:dyDescent="0.5">
      <c r="B2724" s="66"/>
      <c r="C2724" s="97"/>
      <c r="D2724" s="71"/>
      <c r="E2724" s="71"/>
      <c r="F2724" s="71"/>
      <c r="G2724" s="71"/>
      <c r="H2724" s="69"/>
      <c r="I2724" s="69"/>
    </row>
    <row r="2725" spans="2:9" s="60" customFormat="1" x14ac:dyDescent="0.5">
      <c r="B2725" s="66"/>
      <c r="C2725" s="97"/>
      <c r="D2725" s="71"/>
      <c r="E2725" s="71"/>
      <c r="F2725" s="71"/>
      <c r="G2725" s="71"/>
      <c r="H2725" s="69"/>
      <c r="I2725" s="69"/>
    </row>
    <row r="2726" spans="2:9" s="60" customFormat="1" x14ac:dyDescent="0.5">
      <c r="B2726" s="66"/>
      <c r="C2726" s="97"/>
      <c r="D2726" s="71"/>
      <c r="E2726" s="71"/>
      <c r="F2726" s="71"/>
      <c r="G2726" s="71"/>
      <c r="H2726" s="69"/>
      <c r="I2726" s="69"/>
    </row>
    <row r="2727" spans="2:9" s="60" customFormat="1" x14ac:dyDescent="0.5">
      <c r="B2727" s="66"/>
      <c r="C2727" s="97"/>
      <c r="D2727" s="71"/>
      <c r="E2727" s="71"/>
      <c r="F2727" s="71"/>
      <c r="G2727" s="71"/>
      <c r="H2727" s="69"/>
      <c r="I2727" s="69"/>
    </row>
    <row r="2728" spans="2:9" s="60" customFormat="1" x14ac:dyDescent="0.5">
      <c r="B2728" s="66"/>
      <c r="C2728" s="97"/>
      <c r="D2728" s="71"/>
      <c r="E2728" s="71"/>
      <c r="F2728" s="71"/>
      <c r="G2728" s="71"/>
      <c r="H2728" s="69"/>
      <c r="I2728" s="69"/>
    </row>
    <row r="2729" spans="2:9" s="60" customFormat="1" x14ac:dyDescent="0.5">
      <c r="B2729" s="66"/>
      <c r="C2729" s="97"/>
      <c r="D2729" s="71"/>
      <c r="E2729" s="71"/>
      <c r="F2729" s="71"/>
      <c r="G2729" s="71"/>
      <c r="H2729" s="69"/>
      <c r="I2729" s="69"/>
    </row>
    <row r="2730" spans="2:9" s="60" customFormat="1" x14ac:dyDescent="0.5">
      <c r="B2730" s="66"/>
      <c r="C2730" s="97"/>
      <c r="D2730" s="71"/>
      <c r="E2730" s="71"/>
      <c r="F2730" s="71"/>
      <c r="G2730" s="71"/>
      <c r="H2730" s="69"/>
      <c r="I2730" s="69"/>
    </row>
    <row r="2731" spans="2:9" s="60" customFormat="1" x14ac:dyDescent="0.5">
      <c r="B2731" s="66"/>
      <c r="C2731" s="97"/>
      <c r="D2731" s="71"/>
      <c r="E2731" s="71"/>
      <c r="F2731" s="71"/>
      <c r="G2731" s="71"/>
      <c r="H2731" s="69"/>
      <c r="I2731" s="69"/>
    </row>
    <row r="2732" spans="2:9" s="60" customFormat="1" x14ac:dyDescent="0.5">
      <c r="B2732" s="66"/>
      <c r="C2732" s="97"/>
      <c r="D2732" s="71"/>
      <c r="E2732" s="71"/>
      <c r="F2732" s="71"/>
      <c r="G2732" s="71"/>
      <c r="H2732" s="69"/>
      <c r="I2732" s="69"/>
    </row>
    <row r="2733" spans="2:9" s="60" customFormat="1" x14ac:dyDescent="0.5">
      <c r="B2733" s="66"/>
      <c r="C2733" s="97"/>
      <c r="D2733" s="71"/>
      <c r="E2733" s="71"/>
      <c r="F2733" s="71"/>
      <c r="G2733" s="71"/>
      <c r="H2733" s="69"/>
      <c r="I2733" s="69"/>
    </row>
    <row r="2734" spans="2:9" s="60" customFormat="1" x14ac:dyDescent="0.5">
      <c r="B2734" s="66"/>
      <c r="C2734" s="97"/>
      <c r="D2734" s="71"/>
      <c r="E2734" s="71"/>
      <c r="F2734" s="71"/>
      <c r="G2734" s="71"/>
      <c r="H2734" s="69"/>
      <c r="I2734" s="69"/>
    </row>
    <row r="2735" spans="2:9" s="60" customFormat="1" x14ac:dyDescent="0.5">
      <c r="B2735" s="66"/>
      <c r="C2735" s="97"/>
      <c r="D2735" s="71"/>
      <c r="E2735" s="71"/>
      <c r="F2735" s="71"/>
      <c r="G2735" s="71"/>
      <c r="H2735" s="69"/>
      <c r="I2735" s="69"/>
    </row>
    <row r="2736" spans="2:9" s="60" customFormat="1" x14ac:dyDescent="0.5">
      <c r="B2736" s="66"/>
      <c r="C2736" s="97"/>
      <c r="D2736" s="71"/>
      <c r="E2736" s="71"/>
      <c r="F2736" s="71"/>
      <c r="G2736" s="71"/>
      <c r="H2736" s="69"/>
      <c r="I2736" s="69"/>
    </row>
    <row r="2737" spans="2:9" s="60" customFormat="1" x14ac:dyDescent="0.5">
      <c r="B2737" s="66"/>
      <c r="C2737" s="97"/>
      <c r="D2737" s="71"/>
      <c r="E2737" s="71"/>
      <c r="F2737" s="71"/>
      <c r="G2737" s="71"/>
      <c r="H2737" s="69"/>
      <c r="I2737" s="69"/>
    </row>
    <row r="2738" spans="2:9" s="60" customFormat="1" x14ac:dyDescent="0.5">
      <c r="B2738" s="66"/>
      <c r="C2738" s="97"/>
      <c r="D2738" s="71"/>
      <c r="E2738" s="71"/>
      <c r="F2738" s="71"/>
      <c r="G2738" s="71"/>
      <c r="H2738" s="69"/>
      <c r="I2738" s="69"/>
    </row>
    <row r="2739" spans="2:9" s="60" customFormat="1" x14ac:dyDescent="0.5">
      <c r="B2739" s="66"/>
      <c r="C2739" s="97"/>
      <c r="D2739" s="71"/>
      <c r="E2739" s="71"/>
      <c r="F2739" s="71"/>
      <c r="G2739" s="71"/>
      <c r="H2739" s="69"/>
      <c r="I2739" s="69"/>
    </row>
    <row r="2740" spans="2:9" s="60" customFormat="1" x14ac:dyDescent="0.5">
      <c r="B2740" s="66"/>
      <c r="C2740" s="97"/>
      <c r="D2740" s="71"/>
      <c r="E2740" s="71"/>
      <c r="F2740" s="71"/>
      <c r="G2740" s="71"/>
      <c r="H2740" s="69"/>
      <c r="I2740" s="69"/>
    </row>
    <row r="2741" spans="2:9" s="60" customFormat="1" x14ac:dyDescent="0.5">
      <c r="B2741" s="66"/>
      <c r="C2741" s="97"/>
      <c r="D2741" s="71"/>
      <c r="E2741" s="71"/>
      <c r="F2741" s="71"/>
      <c r="G2741" s="71"/>
      <c r="H2741" s="69"/>
      <c r="I2741" s="69"/>
    </row>
    <row r="2742" spans="2:9" s="60" customFormat="1" x14ac:dyDescent="0.5">
      <c r="B2742" s="66"/>
      <c r="C2742" s="97"/>
      <c r="D2742" s="71"/>
      <c r="E2742" s="71"/>
      <c r="F2742" s="71"/>
      <c r="G2742" s="71"/>
      <c r="H2742" s="69"/>
      <c r="I2742" s="69"/>
    </row>
    <row r="2743" spans="2:9" s="60" customFormat="1" x14ac:dyDescent="0.5">
      <c r="B2743" s="66"/>
      <c r="C2743" s="97"/>
      <c r="D2743" s="71"/>
      <c r="E2743" s="71"/>
      <c r="F2743" s="71"/>
      <c r="G2743" s="71"/>
      <c r="H2743" s="69"/>
      <c r="I2743" s="69"/>
    </row>
    <row r="2744" spans="2:9" s="60" customFormat="1" x14ac:dyDescent="0.5">
      <c r="B2744" s="66"/>
      <c r="C2744" s="97"/>
      <c r="D2744" s="71"/>
      <c r="E2744" s="71"/>
      <c r="F2744" s="71"/>
      <c r="G2744" s="71"/>
      <c r="H2744" s="69"/>
      <c r="I2744" s="69"/>
    </row>
    <row r="2745" spans="2:9" s="60" customFormat="1" x14ac:dyDescent="0.5">
      <c r="B2745" s="66"/>
      <c r="C2745" s="97"/>
      <c r="D2745" s="71"/>
      <c r="E2745" s="71"/>
      <c r="F2745" s="71"/>
      <c r="G2745" s="71"/>
      <c r="H2745" s="69"/>
      <c r="I2745" s="69"/>
    </row>
    <row r="2746" spans="2:9" s="60" customFormat="1" x14ac:dyDescent="0.5">
      <c r="B2746" s="66"/>
      <c r="C2746" s="97"/>
      <c r="D2746" s="71"/>
      <c r="E2746" s="71"/>
      <c r="F2746" s="71"/>
      <c r="G2746" s="71"/>
      <c r="H2746" s="69"/>
      <c r="I2746" s="69"/>
    </row>
    <row r="2747" spans="2:9" s="60" customFormat="1" x14ac:dyDescent="0.5">
      <c r="B2747" s="66"/>
      <c r="C2747" s="97"/>
      <c r="D2747" s="71"/>
      <c r="E2747" s="71"/>
      <c r="F2747" s="71"/>
      <c r="G2747" s="71"/>
      <c r="H2747" s="69"/>
      <c r="I2747" s="69"/>
    </row>
    <row r="2748" spans="2:9" s="60" customFormat="1" x14ac:dyDescent="0.5">
      <c r="B2748" s="66"/>
      <c r="C2748" s="97"/>
      <c r="D2748" s="71"/>
      <c r="E2748" s="71"/>
      <c r="F2748" s="71"/>
      <c r="G2748" s="71"/>
      <c r="H2748" s="69"/>
      <c r="I2748" s="69"/>
    </row>
    <row r="2749" spans="2:9" s="60" customFormat="1" x14ac:dyDescent="0.5">
      <c r="B2749" s="66"/>
      <c r="C2749" s="97"/>
      <c r="D2749" s="71"/>
      <c r="E2749" s="71"/>
      <c r="F2749" s="71"/>
      <c r="G2749" s="71"/>
      <c r="H2749" s="69"/>
      <c r="I2749" s="69"/>
    </row>
    <row r="2750" spans="2:9" s="60" customFormat="1" x14ac:dyDescent="0.5">
      <c r="B2750" s="66"/>
      <c r="C2750" s="97"/>
      <c r="D2750" s="71"/>
      <c r="E2750" s="71"/>
      <c r="F2750" s="71"/>
      <c r="G2750" s="71"/>
      <c r="H2750" s="69"/>
      <c r="I2750" s="69"/>
    </row>
    <row r="2751" spans="2:9" s="60" customFormat="1" x14ac:dyDescent="0.5">
      <c r="B2751" s="66"/>
      <c r="C2751" s="97"/>
      <c r="D2751" s="71"/>
      <c r="E2751" s="71"/>
      <c r="F2751" s="71"/>
      <c r="G2751" s="71"/>
      <c r="H2751" s="69"/>
      <c r="I2751" s="69"/>
    </row>
    <row r="2752" spans="2:9" s="60" customFormat="1" x14ac:dyDescent="0.5">
      <c r="B2752" s="66"/>
      <c r="C2752" s="97"/>
      <c r="D2752" s="71"/>
      <c r="E2752" s="71"/>
      <c r="F2752" s="71"/>
      <c r="G2752" s="71"/>
      <c r="H2752" s="69"/>
      <c r="I2752" s="69"/>
    </row>
    <row r="2753" spans="2:9" s="60" customFormat="1" x14ac:dyDescent="0.5">
      <c r="B2753" s="66"/>
      <c r="C2753" s="97"/>
      <c r="D2753" s="71"/>
      <c r="E2753" s="71"/>
      <c r="F2753" s="71"/>
      <c r="G2753" s="71"/>
      <c r="H2753" s="69"/>
      <c r="I2753" s="69"/>
    </row>
    <row r="2754" spans="2:9" s="60" customFormat="1" x14ac:dyDescent="0.5">
      <c r="B2754" s="66"/>
      <c r="C2754" s="97"/>
      <c r="D2754" s="71"/>
      <c r="E2754" s="71"/>
      <c r="F2754" s="71"/>
      <c r="G2754" s="71"/>
      <c r="H2754" s="69"/>
      <c r="I2754" s="69"/>
    </row>
    <row r="2755" spans="2:9" s="60" customFormat="1" x14ac:dyDescent="0.5">
      <c r="B2755" s="66"/>
      <c r="C2755" s="97"/>
      <c r="D2755" s="71"/>
      <c r="E2755" s="71"/>
      <c r="F2755" s="71"/>
      <c r="G2755" s="71"/>
      <c r="H2755" s="69"/>
      <c r="I2755" s="69"/>
    </row>
    <row r="2756" spans="2:9" s="60" customFormat="1" x14ac:dyDescent="0.5">
      <c r="B2756" s="66"/>
      <c r="C2756" s="97"/>
      <c r="D2756" s="71"/>
      <c r="E2756" s="71"/>
      <c r="F2756" s="71"/>
      <c r="G2756" s="71"/>
      <c r="H2756" s="69"/>
      <c r="I2756" s="69"/>
    </row>
    <row r="2757" spans="2:9" s="60" customFormat="1" x14ac:dyDescent="0.5">
      <c r="B2757" s="66"/>
      <c r="C2757" s="97"/>
      <c r="D2757" s="71"/>
      <c r="E2757" s="71"/>
      <c r="F2757" s="71"/>
      <c r="G2757" s="71"/>
      <c r="H2757" s="69"/>
      <c r="I2757" s="69"/>
    </row>
    <row r="2758" spans="2:9" s="60" customFormat="1" x14ac:dyDescent="0.5">
      <c r="B2758" s="66"/>
      <c r="C2758" s="97"/>
      <c r="D2758" s="71"/>
      <c r="E2758" s="71"/>
      <c r="F2758" s="71"/>
      <c r="G2758" s="71"/>
      <c r="H2758" s="69"/>
      <c r="I2758" s="69"/>
    </row>
    <row r="2759" spans="2:9" s="60" customFormat="1" x14ac:dyDescent="0.5">
      <c r="B2759" s="66"/>
      <c r="C2759" s="97"/>
      <c r="D2759" s="71"/>
      <c r="E2759" s="71"/>
      <c r="F2759" s="71"/>
      <c r="G2759" s="71"/>
      <c r="H2759" s="69"/>
      <c r="I2759" s="69"/>
    </row>
    <row r="2760" spans="2:9" s="60" customFormat="1" x14ac:dyDescent="0.5">
      <c r="B2760" s="66"/>
      <c r="C2760" s="97"/>
      <c r="D2760" s="71"/>
      <c r="E2760" s="71"/>
      <c r="F2760" s="71"/>
      <c r="G2760" s="71"/>
      <c r="H2760" s="69"/>
      <c r="I2760" s="69"/>
    </row>
    <row r="2761" spans="2:9" s="60" customFormat="1" x14ac:dyDescent="0.5">
      <c r="B2761" s="66"/>
      <c r="C2761" s="97"/>
      <c r="D2761" s="71"/>
      <c r="E2761" s="71"/>
      <c r="F2761" s="71"/>
      <c r="G2761" s="71"/>
      <c r="H2761" s="69"/>
      <c r="I2761" s="69"/>
    </row>
    <row r="2762" spans="2:9" s="60" customFormat="1" x14ac:dyDescent="0.5">
      <c r="B2762" s="66"/>
      <c r="C2762" s="97"/>
      <c r="D2762" s="71"/>
      <c r="E2762" s="71"/>
      <c r="F2762" s="71"/>
      <c r="G2762" s="71"/>
      <c r="H2762" s="69"/>
      <c r="I2762" s="69"/>
    </row>
    <row r="2763" spans="2:9" s="60" customFormat="1" x14ac:dyDescent="0.5">
      <c r="B2763" s="66"/>
      <c r="C2763" s="97"/>
      <c r="D2763" s="71"/>
      <c r="E2763" s="71"/>
      <c r="F2763" s="71"/>
      <c r="G2763" s="71"/>
      <c r="H2763" s="69"/>
      <c r="I2763" s="69"/>
    </row>
    <row r="2764" spans="2:9" s="60" customFormat="1" x14ac:dyDescent="0.5">
      <c r="B2764" s="66"/>
      <c r="C2764" s="97"/>
      <c r="D2764" s="71"/>
      <c r="E2764" s="71"/>
      <c r="F2764" s="71"/>
      <c r="G2764" s="71"/>
      <c r="H2764" s="69"/>
      <c r="I2764" s="69"/>
    </row>
    <row r="2765" spans="2:9" s="60" customFormat="1" x14ac:dyDescent="0.5">
      <c r="B2765" s="66"/>
      <c r="C2765" s="97"/>
      <c r="D2765" s="71"/>
      <c r="E2765" s="71"/>
      <c r="F2765" s="71"/>
      <c r="G2765" s="71"/>
      <c r="H2765" s="69"/>
      <c r="I2765" s="69"/>
    </row>
    <row r="2766" spans="2:9" s="60" customFormat="1" x14ac:dyDescent="0.5">
      <c r="B2766" s="66"/>
      <c r="C2766" s="97"/>
      <c r="D2766" s="71"/>
      <c r="E2766" s="71"/>
      <c r="F2766" s="71"/>
      <c r="G2766" s="71"/>
      <c r="H2766" s="69"/>
      <c r="I2766" s="69"/>
    </row>
    <row r="2767" spans="2:9" s="60" customFormat="1" x14ac:dyDescent="0.5">
      <c r="B2767" s="66"/>
      <c r="C2767" s="97"/>
      <c r="D2767" s="71"/>
      <c r="E2767" s="71"/>
      <c r="F2767" s="71"/>
      <c r="G2767" s="71"/>
      <c r="H2767" s="69"/>
      <c r="I2767" s="69"/>
    </row>
    <row r="2768" spans="2:9" s="60" customFormat="1" x14ac:dyDescent="0.5">
      <c r="B2768" s="66"/>
      <c r="C2768" s="97"/>
      <c r="D2768" s="71"/>
      <c r="E2768" s="71"/>
      <c r="F2768" s="71"/>
      <c r="G2768" s="71"/>
      <c r="H2768" s="69"/>
      <c r="I2768" s="69"/>
    </row>
    <row r="2769" spans="2:9" s="60" customFormat="1" x14ac:dyDescent="0.5">
      <c r="B2769" s="66"/>
      <c r="C2769" s="97"/>
      <c r="D2769" s="71"/>
      <c r="E2769" s="71"/>
      <c r="F2769" s="71"/>
      <c r="G2769" s="71"/>
      <c r="H2769" s="69"/>
      <c r="I2769" s="69"/>
    </row>
    <row r="2770" spans="2:9" s="60" customFormat="1" x14ac:dyDescent="0.5">
      <c r="B2770" s="66"/>
      <c r="C2770" s="97"/>
      <c r="D2770" s="71"/>
      <c r="E2770" s="71"/>
      <c r="F2770" s="71"/>
      <c r="G2770" s="71"/>
      <c r="H2770" s="69"/>
      <c r="I2770" s="69"/>
    </row>
    <row r="2771" spans="2:9" s="60" customFormat="1" x14ac:dyDescent="0.5">
      <c r="B2771" s="66"/>
      <c r="C2771" s="97"/>
      <c r="D2771" s="71"/>
      <c r="E2771" s="71"/>
      <c r="F2771" s="71"/>
      <c r="G2771" s="71"/>
      <c r="H2771" s="69"/>
      <c r="I2771" s="69"/>
    </row>
    <row r="2772" spans="2:9" s="60" customFormat="1" x14ac:dyDescent="0.5">
      <c r="B2772" s="66"/>
      <c r="C2772" s="97"/>
      <c r="D2772" s="71"/>
      <c r="E2772" s="71"/>
      <c r="F2772" s="71"/>
      <c r="G2772" s="71"/>
      <c r="H2772" s="69"/>
      <c r="I2772" s="69"/>
    </row>
    <row r="2773" spans="2:9" s="60" customFormat="1" x14ac:dyDescent="0.5">
      <c r="B2773" s="66"/>
      <c r="C2773" s="97"/>
      <c r="D2773" s="71"/>
      <c r="E2773" s="71"/>
      <c r="F2773" s="71"/>
      <c r="G2773" s="71"/>
      <c r="H2773" s="69"/>
      <c r="I2773" s="69"/>
    </row>
    <row r="2774" spans="2:9" s="60" customFormat="1" x14ac:dyDescent="0.5">
      <c r="B2774" s="66"/>
      <c r="C2774" s="97"/>
      <c r="D2774" s="71"/>
      <c r="E2774" s="71"/>
      <c r="F2774" s="71"/>
      <c r="G2774" s="71"/>
      <c r="H2774" s="69"/>
      <c r="I2774" s="69"/>
    </row>
    <row r="2775" spans="2:9" s="60" customFormat="1" x14ac:dyDescent="0.5">
      <c r="B2775" s="66"/>
      <c r="C2775" s="97"/>
      <c r="D2775" s="71"/>
      <c r="E2775" s="71"/>
      <c r="F2775" s="71"/>
      <c r="G2775" s="71"/>
      <c r="H2775" s="69"/>
      <c r="I2775" s="69"/>
    </row>
    <row r="2776" spans="2:9" s="60" customFormat="1" x14ac:dyDescent="0.5">
      <c r="B2776" s="66"/>
      <c r="C2776" s="97"/>
      <c r="D2776" s="71"/>
      <c r="E2776" s="71"/>
      <c r="F2776" s="71"/>
      <c r="G2776" s="71"/>
      <c r="H2776" s="69"/>
      <c r="I2776" s="69"/>
    </row>
    <row r="2777" spans="2:9" s="60" customFormat="1" x14ac:dyDescent="0.5">
      <c r="B2777" s="66"/>
      <c r="C2777" s="97"/>
      <c r="D2777" s="71"/>
      <c r="E2777" s="71"/>
      <c r="F2777" s="71"/>
      <c r="G2777" s="71"/>
      <c r="H2777" s="69"/>
      <c r="I2777" s="69"/>
    </row>
    <row r="2778" spans="2:9" s="60" customFormat="1" x14ac:dyDescent="0.5">
      <c r="B2778" s="66"/>
      <c r="C2778" s="97"/>
      <c r="D2778" s="71"/>
      <c r="E2778" s="71"/>
      <c r="F2778" s="71"/>
      <c r="G2778" s="71"/>
      <c r="H2778" s="69"/>
      <c r="I2778" s="69"/>
    </row>
    <row r="2779" spans="2:9" s="60" customFormat="1" x14ac:dyDescent="0.5">
      <c r="B2779" s="66"/>
      <c r="C2779" s="97"/>
      <c r="D2779" s="71"/>
      <c r="E2779" s="71"/>
      <c r="F2779" s="71"/>
      <c r="G2779" s="71"/>
      <c r="H2779" s="69"/>
      <c r="I2779" s="69"/>
    </row>
    <row r="2780" spans="2:9" s="60" customFormat="1" x14ac:dyDescent="0.5">
      <c r="B2780" s="66"/>
      <c r="C2780" s="97"/>
      <c r="D2780" s="71"/>
      <c r="E2780" s="71"/>
      <c r="F2780" s="71"/>
      <c r="G2780" s="71"/>
      <c r="H2780" s="69"/>
      <c r="I2780" s="69"/>
    </row>
    <row r="2781" spans="2:9" s="60" customFormat="1" x14ac:dyDescent="0.5">
      <c r="B2781" s="66"/>
      <c r="C2781" s="97"/>
      <c r="D2781" s="71"/>
      <c r="E2781" s="71"/>
      <c r="F2781" s="71"/>
      <c r="G2781" s="71"/>
      <c r="H2781" s="69"/>
      <c r="I2781" s="69"/>
    </row>
    <row r="2782" spans="2:9" s="60" customFormat="1" x14ac:dyDescent="0.5">
      <c r="B2782" s="66"/>
      <c r="C2782" s="97"/>
      <c r="D2782" s="71"/>
      <c r="E2782" s="71"/>
      <c r="F2782" s="71"/>
      <c r="G2782" s="71"/>
      <c r="H2782" s="69"/>
      <c r="I2782" s="69"/>
    </row>
    <row r="2783" spans="2:9" s="60" customFormat="1" x14ac:dyDescent="0.5">
      <c r="B2783" s="66"/>
      <c r="C2783" s="97"/>
      <c r="D2783" s="71"/>
      <c r="E2783" s="71"/>
      <c r="F2783" s="71"/>
      <c r="G2783" s="71"/>
      <c r="H2783" s="69"/>
      <c r="I2783" s="69"/>
    </row>
    <row r="2784" spans="2:9" s="60" customFormat="1" x14ac:dyDescent="0.5">
      <c r="B2784" s="66"/>
      <c r="C2784" s="97"/>
      <c r="D2784" s="71"/>
      <c r="E2784" s="71"/>
      <c r="F2784" s="71"/>
      <c r="G2784" s="71"/>
      <c r="H2784" s="69"/>
      <c r="I2784" s="69"/>
    </row>
    <row r="2785" spans="2:9" s="60" customFormat="1" x14ac:dyDescent="0.5">
      <c r="B2785" s="66"/>
      <c r="C2785" s="97"/>
      <c r="D2785" s="71"/>
      <c r="E2785" s="71"/>
      <c r="F2785" s="71"/>
      <c r="G2785" s="71"/>
      <c r="H2785" s="69"/>
      <c r="I2785" s="69"/>
    </row>
    <row r="2786" spans="2:9" s="60" customFormat="1" x14ac:dyDescent="0.5">
      <c r="B2786" s="66"/>
      <c r="C2786" s="97"/>
      <c r="D2786" s="71"/>
      <c r="E2786" s="71"/>
      <c r="F2786" s="71"/>
      <c r="G2786" s="71"/>
      <c r="H2786" s="69"/>
      <c r="I2786" s="69"/>
    </row>
    <row r="2787" spans="2:9" s="60" customFormat="1" x14ac:dyDescent="0.5">
      <c r="B2787" s="66"/>
      <c r="C2787" s="97"/>
      <c r="D2787" s="71"/>
      <c r="E2787" s="71"/>
      <c r="F2787" s="71"/>
      <c r="G2787" s="71"/>
      <c r="H2787" s="69"/>
      <c r="I2787" s="69"/>
    </row>
    <row r="2788" spans="2:9" s="60" customFormat="1" x14ac:dyDescent="0.5">
      <c r="B2788" s="66"/>
      <c r="C2788" s="97"/>
      <c r="D2788" s="71"/>
      <c r="E2788" s="71"/>
      <c r="F2788" s="71"/>
      <c r="G2788" s="71"/>
      <c r="H2788" s="69"/>
      <c r="I2788" s="69"/>
    </row>
    <row r="2789" spans="2:9" s="60" customFormat="1" x14ac:dyDescent="0.5">
      <c r="B2789" s="66"/>
      <c r="C2789" s="97"/>
      <c r="D2789" s="71"/>
      <c r="E2789" s="71"/>
      <c r="F2789" s="71"/>
      <c r="G2789" s="71"/>
      <c r="H2789" s="69"/>
      <c r="I2789" s="69"/>
    </row>
    <row r="2790" spans="2:9" s="60" customFormat="1" x14ac:dyDescent="0.5">
      <c r="B2790" s="66"/>
      <c r="C2790" s="97"/>
      <c r="D2790" s="71"/>
      <c r="E2790" s="71"/>
      <c r="F2790" s="71"/>
      <c r="G2790" s="71"/>
      <c r="H2790" s="69"/>
      <c r="I2790" s="69"/>
    </row>
    <row r="2791" spans="2:9" s="60" customFormat="1" x14ac:dyDescent="0.5">
      <c r="B2791" s="66"/>
      <c r="C2791" s="97"/>
      <c r="D2791" s="71"/>
      <c r="E2791" s="71"/>
      <c r="F2791" s="71"/>
      <c r="G2791" s="71"/>
      <c r="H2791" s="69"/>
      <c r="I2791" s="69"/>
    </row>
    <row r="2792" spans="2:9" s="60" customFormat="1" x14ac:dyDescent="0.5">
      <c r="B2792" s="66"/>
      <c r="C2792" s="97"/>
      <c r="D2792" s="71"/>
      <c r="E2792" s="71"/>
      <c r="F2792" s="71"/>
      <c r="G2792" s="71"/>
      <c r="H2792" s="69"/>
      <c r="I2792" s="69"/>
    </row>
    <row r="2793" spans="2:9" s="60" customFormat="1" x14ac:dyDescent="0.5">
      <c r="B2793" s="66"/>
      <c r="C2793" s="97"/>
      <c r="D2793" s="71"/>
      <c r="E2793" s="71"/>
      <c r="F2793" s="71"/>
      <c r="G2793" s="71"/>
      <c r="H2793" s="69"/>
      <c r="I2793" s="69"/>
    </row>
    <row r="2794" spans="2:9" s="60" customFormat="1" x14ac:dyDescent="0.5">
      <c r="B2794" s="66"/>
      <c r="C2794" s="97"/>
      <c r="D2794" s="71"/>
      <c r="E2794" s="71"/>
      <c r="F2794" s="71"/>
      <c r="G2794" s="71"/>
      <c r="H2794" s="69"/>
      <c r="I2794" s="69"/>
    </row>
    <row r="2795" spans="2:9" s="60" customFormat="1" x14ac:dyDescent="0.5">
      <c r="B2795" s="66"/>
      <c r="C2795" s="97"/>
      <c r="D2795" s="71"/>
      <c r="E2795" s="71"/>
      <c r="F2795" s="71"/>
      <c r="G2795" s="71"/>
      <c r="H2795" s="69"/>
      <c r="I2795" s="69"/>
    </row>
    <row r="2796" spans="2:9" s="60" customFormat="1" x14ac:dyDescent="0.5">
      <c r="B2796" s="66"/>
      <c r="C2796" s="97"/>
      <c r="D2796" s="71"/>
      <c r="E2796" s="71"/>
      <c r="F2796" s="71"/>
      <c r="G2796" s="71"/>
      <c r="H2796" s="69"/>
      <c r="I2796" s="69"/>
    </row>
    <row r="2797" spans="2:9" s="60" customFormat="1" x14ac:dyDescent="0.5">
      <c r="B2797" s="66"/>
      <c r="C2797" s="97"/>
      <c r="D2797" s="71"/>
      <c r="E2797" s="71"/>
      <c r="F2797" s="71"/>
      <c r="G2797" s="71"/>
      <c r="H2797" s="69"/>
      <c r="I2797" s="69"/>
    </row>
    <row r="2798" spans="2:9" s="60" customFormat="1" x14ac:dyDescent="0.5">
      <c r="B2798" s="66"/>
      <c r="C2798" s="97"/>
      <c r="D2798" s="71"/>
      <c r="E2798" s="71"/>
      <c r="F2798" s="71"/>
      <c r="G2798" s="71"/>
      <c r="H2798" s="69"/>
      <c r="I2798" s="69"/>
    </row>
    <row r="2799" spans="2:9" s="60" customFormat="1" x14ac:dyDescent="0.5">
      <c r="B2799" s="66"/>
      <c r="C2799" s="97"/>
      <c r="D2799" s="71"/>
      <c r="E2799" s="71"/>
      <c r="F2799" s="71"/>
      <c r="G2799" s="71"/>
      <c r="H2799" s="69"/>
      <c r="I2799" s="69"/>
    </row>
    <row r="2800" spans="2:9" s="60" customFormat="1" x14ac:dyDescent="0.5">
      <c r="B2800" s="66"/>
      <c r="C2800" s="97"/>
      <c r="D2800" s="71"/>
      <c r="E2800" s="71"/>
      <c r="F2800" s="71"/>
      <c r="G2800" s="71"/>
      <c r="H2800" s="69"/>
      <c r="I2800" s="69"/>
    </row>
    <row r="2801" spans="2:9" s="60" customFormat="1" x14ac:dyDescent="0.5">
      <c r="B2801" s="66"/>
      <c r="C2801" s="97"/>
      <c r="D2801" s="71"/>
      <c r="E2801" s="71"/>
      <c r="F2801" s="71"/>
      <c r="G2801" s="71"/>
      <c r="H2801" s="69"/>
      <c r="I2801" s="69"/>
    </row>
    <row r="2802" spans="2:9" s="60" customFormat="1" x14ac:dyDescent="0.5">
      <c r="B2802" s="66"/>
      <c r="C2802" s="97"/>
      <c r="D2802" s="71"/>
      <c r="E2802" s="71"/>
      <c r="F2802" s="71"/>
      <c r="G2802" s="71"/>
      <c r="H2802" s="69"/>
      <c r="I2802" s="69"/>
    </row>
    <row r="2803" spans="2:9" s="60" customFormat="1" x14ac:dyDescent="0.5">
      <c r="B2803" s="66"/>
      <c r="C2803" s="97"/>
      <c r="D2803" s="71"/>
      <c r="E2803" s="71"/>
      <c r="F2803" s="71"/>
      <c r="G2803" s="71"/>
      <c r="H2803" s="69"/>
      <c r="I2803" s="69"/>
    </row>
    <row r="2804" spans="2:9" s="60" customFormat="1" x14ac:dyDescent="0.5">
      <c r="B2804" s="66"/>
      <c r="C2804" s="97"/>
      <c r="D2804" s="71"/>
      <c r="E2804" s="71"/>
      <c r="F2804" s="71"/>
      <c r="G2804" s="71"/>
      <c r="H2804" s="69"/>
      <c r="I2804" s="69"/>
    </row>
    <row r="2805" spans="2:9" s="60" customFormat="1" x14ac:dyDescent="0.5">
      <c r="B2805" s="66"/>
      <c r="C2805" s="97"/>
      <c r="D2805" s="71"/>
      <c r="E2805" s="71"/>
      <c r="F2805" s="71"/>
      <c r="G2805" s="71"/>
      <c r="H2805" s="69"/>
      <c r="I2805" s="69"/>
    </row>
    <row r="2806" spans="2:9" s="60" customFormat="1" x14ac:dyDescent="0.5">
      <c r="B2806" s="66"/>
      <c r="C2806" s="97"/>
      <c r="D2806" s="71"/>
      <c r="E2806" s="71"/>
      <c r="F2806" s="71"/>
      <c r="G2806" s="71"/>
      <c r="H2806" s="69"/>
      <c r="I2806" s="69"/>
    </row>
    <row r="2807" spans="2:9" s="60" customFormat="1" x14ac:dyDescent="0.5">
      <c r="B2807" s="66"/>
      <c r="C2807" s="97"/>
      <c r="D2807" s="71"/>
      <c r="E2807" s="71"/>
      <c r="F2807" s="71"/>
      <c r="G2807" s="71"/>
      <c r="H2807" s="69"/>
      <c r="I2807" s="69"/>
    </row>
    <row r="2808" spans="2:9" s="60" customFormat="1" x14ac:dyDescent="0.5">
      <c r="B2808" s="66"/>
      <c r="C2808" s="97"/>
      <c r="D2808" s="71"/>
      <c r="E2808" s="71"/>
      <c r="F2808" s="71"/>
      <c r="G2808" s="71"/>
      <c r="H2808" s="69"/>
      <c r="I2808" s="69"/>
    </row>
    <row r="2809" spans="2:9" s="60" customFormat="1" x14ac:dyDescent="0.5">
      <c r="B2809" s="66"/>
      <c r="C2809" s="97"/>
      <c r="D2809" s="71"/>
      <c r="E2809" s="71"/>
      <c r="F2809" s="71"/>
      <c r="G2809" s="71"/>
      <c r="H2809" s="69"/>
      <c r="I2809" s="69"/>
    </row>
    <row r="2810" spans="2:9" s="60" customFormat="1" x14ac:dyDescent="0.5">
      <c r="B2810" s="66"/>
      <c r="C2810" s="97"/>
      <c r="D2810" s="71"/>
      <c r="E2810" s="71"/>
      <c r="F2810" s="71"/>
      <c r="G2810" s="71"/>
      <c r="H2810" s="69"/>
      <c r="I2810" s="69"/>
    </row>
    <row r="2811" spans="2:9" s="60" customFormat="1" x14ac:dyDescent="0.5">
      <c r="B2811" s="66"/>
      <c r="C2811" s="97"/>
      <c r="D2811" s="71"/>
      <c r="E2811" s="71"/>
      <c r="F2811" s="71"/>
      <c r="G2811" s="71"/>
      <c r="H2811" s="69"/>
      <c r="I2811" s="69"/>
    </row>
    <row r="2812" spans="2:9" s="60" customFormat="1" x14ac:dyDescent="0.5">
      <c r="B2812" s="66"/>
      <c r="C2812" s="97"/>
      <c r="D2812" s="71"/>
      <c r="E2812" s="71"/>
      <c r="F2812" s="71"/>
      <c r="G2812" s="71"/>
      <c r="H2812" s="69"/>
      <c r="I2812" s="69"/>
    </row>
    <row r="2813" spans="2:9" s="60" customFormat="1" x14ac:dyDescent="0.5">
      <c r="B2813" s="66"/>
      <c r="C2813" s="97"/>
      <c r="D2813" s="71"/>
      <c r="E2813" s="71"/>
      <c r="F2813" s="71"/>
      <c r="G2813" s="71"/>
      <c r="H2813" s="69"/>
      <c r="I2813" s="69"/>
    </row>
    <row r="2814" spans="2:9" s="60" customFormat="1" x14ac:dyDescent="0.5">
      <c r="B2814" s="66"/>
      <c r="C2814" s="97"/>
      <c r="D2814" s="71"/>
      <c r="E2814" s="71"/>
      <c r="F2814" s="71"/>
      <c r="G2814" s="71"/>
      <c r="H2814" s="69"/>
      <c r="I2814" s="69"/>
    </row>
    <row r="2815" spans="2:9" s="60" customFormat="1" x14ac:dyDescent="0.5">
      <c r="B2815" s="66"/>
      <c r="C2815" s="97"/>
      <c r="D2815" s="71"/>
      <c r="E2815" s="71"/>
      <c r="F2815" s="71"/>
      <c r="G2815" s="71"/>
      <c r="H2815" s="69"/>
      <c r="I2815" s="69"/>
    </row>
    <row r="2816" spans="2:9" s="60" customFormat="1" x14ac:dyDescent="0.5">
      <c r="B2816" s="66"/>
      <c r="C2816" s="97"/>
      <c r="D2816" s="71"/>
      <c r="E2816" s="71"/>
      <c r="F2816" s="71"/>
      <c r="G2816" s="71"/>
      <c r="H2816" s="69"/>
      <c r="I2816" s="69"/>
    </row>
    <row r="2817" spans="2:9" s="60" customFormat="1" x14ac:dyDescent="0.5">
      <c r="B2817" s="66"/>
      <c r="C2817" s="97"/>
      <c r="D2817" s="71"/>
      <c r="E2817" s="71"/>
      <c r="F2817" s="71"/>
      <c r="G2817" s="71"/>
      <c r="H2817" s="69"/>
      <c r="I2817" s="69"/>
    </row>
    <row r="2818" spans="2:9" s="60" customFormat="1" x14ac:dyDescent="0.5">
      <c r="B2818" s="66"/>
      <c r="C2818" s="97"/>
      <c r="D2818" s="71"/>
      <c r="E2818" s="71"/>
      <c r="F2818" s="71"/>
      <c r="G2818" s="71"/>
      <c r="H2818" s="69"/>
      <c r="I2818" s="69"/>
    </row>
    <row r="2819" spans="2:9" s="60" customFormat="1" x14ac:dyDescent="0.5">
      <c r="B2819" s="66"/>
      <c r="C2819" s="97"/>
      <c r="D2819" s="71"/>
      <c r="E2819" s="71"/>
      <c r="F2819" s="71"/>
      <c r="G2819" s="71"/>
      <c r="H2819" s="69"/>
      <c r="I2819" s="69"/>
    </row>
    <row r="2820" spans="2:9" s="60" customFormat="1" x14ac:dyDescent="0.5">
      <c r="B2820" s="66"/>
      <c r="C2820" s="97"/>
      <c r="D2820" s="71"/>
      <c r="E2820" s="71"/>
      <c r="F2820" s="71"/>
      <c r="G2820" s="71"/>
      <c r="H2820" s="69"/>
      <c r="I2820" s="69"/>
    </row>
    <row r="2821" spans="2:9" s="60" customFormat="1" x14ac:dyDescent="0.5">
      <c r="B2821" s="66"/>
      <c r="C2821" s="97"/>
      <c r="D2821" s="71"/>
      <c r="E2821" s="71"/>
      <c r="F2821" s="71"/>
      <c r="G2821" s="71"/>
      <c r="H2821" s="69"/>
      <c r="I2821" s="69"/>
    </row>
    <row r="2822" spans="2:9" s="60" customFormat="1" x14ac:dyDescent="0.5">
      <c r="B2822" s="66"/>
      <c r="C2822" s="97"/>
      <c r="D2822" s="71"/>
      <c r="E2822" s="71"/>
      <c r="F2822" s="71"/>
      <c r="G2822" s="71"/>
      <c r="H2822" s="69"/>
      <c r="I2822" s="69"/>
    </row>
    <row r="2823" spans="2:9" s="60" customFormat="1" x14ac:dyDescent="0.5">
      <c r="B2823" s="66"/>
      <c r="C2823" s="97"/>
      <c r="D2823" s="71"/>
      <c r="E2823" s="71"/>
      <c r="F2823" s="71"/>
      <c r="G2823" s="71"/>
      <c r="H2823" s="69"/>
      <c r="I2823" s="69"/>
    </row>
    <row r="2824" spans="2:9" s="60" customFormat="1" x14ac:dyDescent="0.5">
      <c r="B2824" s="66"/>
      <c r="C2824" s="97"/>
      <c r="D2824" s="71"/>
      <c r="E2824" s="71"/>
      <c r="F2824" s="71"/>
      <c r="G2824" s="71"/>
      <c r="H2824" s="69"/>
      <c r="I2824" s="69"/>
    </row>
    <row r="2825" spans="2:9" s="60" customFormat="1" x14ac:dyDescent="0.5">
      <c r="B2825" s="66"/>
      <c r="C2825" s="97"/>
      <c r="D2825" s="71"/>
      <c r="E2825" s="71"/>
      <c r="F2825" s="71"/>
      <c r="G2825" s="71"/>
      <c r="H2825" s="69"/>
      <c r="I2825" s="69"/>
    </row>
    <row r="2826" spans="2:9" s="60" customFormat="1" x14ac:dyDescent="0.5">
      <c r="B2826" s="66"/>
      <c r="C2826" s="97"/>
      <c r="D2826" s="71"/>
      <c r="E2826" s="71"/>
      <c r="F2826" s="71"/>
      <c r="G2826" s="71"/>
      <c r="H2826" s="69"/>
      <c r="I2826" s="69"/>
    </row>
    <row r="2827" spans="2:9" s="60" customFormat="1" x14ac:dyDescent="0.5">
      <c r="B2827" s="66"/>
      <c r="C2827" s="97"/>
      <c r="D2827" s="71"/>
      <c r="E2827" s="71"/>
      <c r="F2827" s="71"/>
      <c r="G2827" s="71"/>
      <c r="H2827" s="69"/>
      <c r="I2827" s="69"/>
    </row>
    <row r="2828" spans="2:9" s="60" customFormat="1" x14ac:dyDescent="0.5">
      <c r="B2828" s="66"/>
      <c r="C2828" s="97"/>
      <c r="D2828" s="71"/>
      <c r="E2828" s="71"/>
      <c r="F2828" s="71"/>
      <c r="G2828" s="71"/>
      <c r="H2828" s="69"/>
      <c r="I2828" s="69"/>
    </row>
    <row r="2829" spans="2:9" s="60" customFormat="1" x14ac:dyDescent="0.5">
      <c r="B2829" s="66"/>
      <c r="C2829" s="97"/>
      <c r="D2829" s="71"/>
      <c r="E2829" s="71"/>
      <c r="F2829" s="71"/>
      <c r="G2829" s="71"/>
      <c r="H2829" s="69"/>
      <c r="I2829" s="69"/>
    </row>
    <row r="2830" spans="2:9" s="60" customFormat="1" x14ac:dyDescent="0.5">
      <c r="B2830" s="66"/>
      <c r="C2830" s="97"/>
      <c r="D2830" s="71"/>
      <c r="E2830" s="71"/>
      <c r="F2830" s="71"/>
      <c r="G2830" s="71"/>
      <c r="H2830" s="69"/>
      <c r="I2830" s="69"/>
    </row>
    <row r="2831" spans="2:9" s="60" customFormat="1" x14ac:dyDescent="0.5">
      <c r="B2831" s="66"/>
      <c r="C2831" s="97"/>
      <c r="D2831" s="71"/>
      <c r="E2831" s="71"/>
      <c r="F2831" s="71"/>
      <c r="G2831" s="71"/>
      <c r="H2831" s="69"/>
      <c r="I2831" s="69"/>
    </row>
    <row r="2832" spans="2:9" s="60" customFormat="1" x14ac:dyDescent="0.5">
      <c r="B2832" s="66"/>
      <c r="C2832" s="97"/>
      <c r="D2832" s="71"/>
      <c r="E2832" s="71"/>
      <c r="F2832" s="71"/>
      <c r="G2832" s="71"/>
      <c r="H2832" s="69"/>
      <c r="I2832" s="69"/>
    </row>
    <row r="2833" spans="2:9" s="60" customFormat="1" x14ac:dyDescent="0.5">
      <c r="B2833" s="66"/>
      <c r="C2833" s="97"/>
      <c r="D2833" s="71"/>
      <c r="E2833" s="71"/>
      <c r="F2833" s="71"/>
      <c r="G2833" s="71"/>
      <c r="H2833" s="69"/>
      <c r="I2833" s="69"/>
    </row>
    <row r="2834" spans="2:9" s="60" customFormat="1" x14ac:dyDescent="0.5">
      <c r="B2834" s="66"/>
      <c r="C2834" s="97"/>
      <c r="D2834" s="71"/>
      <c r="E2834" s="71"/>
      <c r="F2834" s="71"/>
      <c r="G2834" s="71"/>
      <c r="H2834" s="69"/>
      <c r="I2834" s="69"/>
    </row>
    <row r="2835" spans="2:9" s="60" customFormat="1" x14ac:dyDescent="0.5">
      <c r="B2835" s="66"/>
      <c r="C2835" s="97"/>
      <c r="D2835" s="71"/>
      <c r="E2835" s="71"/>
      <c r="F2835" s="71"/>
      <c r="G2835" s="71"/>
      <c r="H2835" s="69"/>
      <c r="I2835" s="69"/>
    </row>
    <row r="2836" spans="2:9" s="60" customFormat="1" x14ac:dyDescent="0.5">
      <c r="B2836" s="66"/>
      <c r="C2836" s="97"/>
      <c r="D2836" s="71"/>
      <c r="E2836" s="71"/>
      <c r="F2836" s="71"/>
      <c r="G2836" s="71"/>
      <c r="H2836" s="69"/>
      <c r="I2836" s="69"/>
    </row>
    <row r="2837" spans="2:9" s="60" customFormat="1" x14ac:dyDescent="0.5">
      <c r="B2837" s="66"/>
      <c r="C2837" s="97"/>
      <c r="D2837" s="71"/>
      <c r="E2837" s="71"/>
      <c r="F2837" s="71"/>
      <c r="G2837" s="71"/>
      <c r="H2837" s="69"/>
      <c r="I2837" s="69"/>
    </row>
    <row r="2838" spans="2:9" s="60" customFormat="1" x14ac:dyDescent="0.5">
      <c r="B2838" s="66"/>
      <c r="C2838" s="97"/>
      <c r="D2838" s="71"/>
      <c r="E2838" s="71"/>
      <c r="F2838" s="71"/>
      <c r="G2838" s="71"/>
      <c r="H2838" s="69"/>
      <c r="I2838" s="69"/>
    </row>
    <row r="2839" spans="2:9" s="60" customFormat="1" x14ac:dyDescent="0.5">
      <c r="B2839" s="66"/>
      <c r="C2839" s="97"/>
      <c r="D2839" s="71"/>
      <c r="E2839" s="71"/>
      <c r="F2839" s="71"/>
      <c r="G2839" s="71"/>
      <c r="H2839" s="69"/>
      <c r="I2839" s="69"/>
    </row>
    <row r="2840" spans="2:9" s="60" customFormat="1" x14ac:dyDescent="0.5">
      <c r="B2840" s="66"/>
      <c r="C2840" s="97"/>
      <c r="D2840" s="71"/>
      <c r="E2840" s="71"/>
      <c r="F2840" s="71"/>
      <c r="G2840" s="71"/>
      <c r="H2840" s="69"/>
      <c r="I2840" s="69"/>
    </row>
    <row r="2841" spans="2:9" s="60" customFormat="1" x14ac:dyDescent="0.5">
      <c r="B2841" s="66"/>
      <c r="C2841" s="97"/>
      <c r="D2841" s="71"/>
      <c r="E2841" s="71"/>
      <c r="F2841" s="71"/>
      <c r="G2841" s="71"/>
      <c r="H2841" s="69"/>
      <c r="I2841" s="69"/>
    </row>
    <row r="2842" spans="2:9" s="60" customFormat="1" x14ac:dyDescent="0.5">
      <c r="B2842" s="66"/>
      <c r="C2842" s="97"/>
      <c r="D2842" s="71"/>
      <c r="E2842" s="71"/>
      <c r="F2842" s="71"/>
      <c r="G2842" s="71"/>
      <c r="H2842" s="69"/>
      <c r="I2842" s="69"/>
    </row>
    <row r="2843" spans="2:9" s="60" customFormat="1" x14ac:dyDescent="0.5">
      <c r="B2843" s="66"/>
      <c r="C2843" s="97"/>
      <c r="D2843" s="71"/>
      <c r="E2843" s="71"/>
      <c r="F2843" s="71"/>
      <c r="G2843" s="71"/>
      <c r="H2843" s="69"/>
      <c r="I2843" s="69"/>
    </row>
    <row r="2844" spans="2:9" s="60" customFormat="1" x14ac:dyDescent="0.5">
      <c r="B2844" s="66"/>
      <c r="C2844" s="97"/>
      <c r="D2844" s="71"/>
      <c r="E2844" s="71"/>
      <c r="F2844" s="71"/>
      <c r="G2844" s="71"/>
      <c r="H2844" s="69"/>
      <c r="I2844" s="69"/>
    </row>
    <row r="2845" spans="2:9" s="60" customFormat="1" x14ac:dyDescent="0.5">
      <c r="B2845" s="66"/>
      <c r="C2845" s="97"/>
      <c r="D2845" s="71"/>
      <c r="E2845" s="71"/>
      <c r="F2845" s="71"/>
      <c r="G2845" s="71"/>
      <c r="H2845" s="69"/>
      <c r="I2845" s="69"/>
    </row>
    <row r="2846" spans="2:9" s="60" customFormat="1" x14ac:dyDescent="0.5">
      <c r="B2846" s="66"/>
      <c r="C2846" s="97"/>
      <c r="D2846" s="71"/>
      <c r="E2846" s="71"/>
      <c r="F2846" s="71"/>
      <c r="G2846" s="71"/>
      <c r="H2846" s="69"/>
      <c r="I2846" s="69"/>
    </row>
    <row r="2847" spans="2:9" s="60" customFormat="1" x14ac:dyDescent="0.5">
      <c r="B2847" s="66"/>
      <c r="C2847" s="97"/>
      <c r="D2847" s="71"/>
      <c r="E2847" s="71"/>
      <c r="F2847" s="71"/>
      <c r="G2847" s="71"/>
      <c r="H2847" s="69"/>
      <c r="I2847" s="69"/>
    </row>
    <row r="2848" spans="2:9" s="60" customFormat="1" x14ac:dyDescent="0.5">
      <c r="B2848" s="66"/>
      <c r="C2848" s="97"/>
      <c r="D2848" s="71"/>
      <c r="E2848" s="71"/>
      <c r="F2848" s="71"/>
      <c r="G2848" s="71"/>
      <c r="H2848" s="69"/>
      <c r="I2848" s="69"/>
    </row>
    <row r="2849" spans="2:9" s="60" customFormat="1" x14ac:dyDescent="0.5">
      <c r="B2849" s="66"/>
      <c r="C2849" s="97"/>
      <c r="D2849" s="71"/>
      <c r="E2849" s="71"/>
      <c r="F2849" s="71"/>
      <c r="G2849" s="71"/>
      <c r="H2849" s="69"/>
      <c r="I2849" s="69"/>
    </row>
    <row r="2850" spans="2:9" s="60" customFormat="1" x14ac:dyDescent="0.5">
      <c r="B2850" s="66"/>
      <c r="C2850" s="97"/>
      <c r="D2850" s="71"/>
      <c r="E2850" s="71"/>
      <c r="F2850" s="71"/>
      <c r="G2850" s="71"/>
      <c r="H2850" s="69"/>
      <c r="I2850" s="69"/>
    </row>
    <row r="2851" spans="2:9" s="60" customFormat="1" x14ac:dyDescent="0.5">
      <c r="B2851" s="66"/>
      <c r="C2851" s="97"/>
      <c r="D2851" s="71"/>
      <c r="E2851" s="71"/>
      <c r="F2851" s="71"/>
      <c r="G2851" s="71"/>
      <c r="H2851" s="69"/>
      <c r="I2851" s="69"/>
    </row>
    <row r="2852" spans="2:9" s="60" customFormat="1" x14ac:dyDescent="0.5">
      <c r="B2852" s="66"/>
      <c r="C2852" s="97"/>
      <c r="D2852" s="71"/>
      <c r="E2852" s="71"/>
      <c r="F2852" s="71"/>
      <c r="G2852" s="71"/>
      <c r="H2852" s="69"/>
      <c r="I2852" s="69"/>
    </row>
    <row r="2853" spans="2:9" s="60" customFormat="1" x14ac:dyDescent="0.5">
      <c r="B2853" s="66"/>
      <c r="C2853" s="97"/>
      <c r="D2853" s="71"/>
      <c r="E2853" s="71"/>
      <c r="F2853" s="71"/>
      <c r="G2853" s="71"/>
      <c r="H2853" s="69"/>
      <c r="I2853" s="69"/>
    </row>
    <row r="2854" spans="2:9" s="60" customFormat="1" x14ac:dyDescent="0.5">
      <c r="B2854" s="66"/>
      <c r="C2854" s="97"/>
      <c r="D2854" s="71"/>
      <c r="E2854" s="71"/>
      <c r="F2854" s="71"/>
      <c r="G2854" s="71"/>
      <c r="H2854" s="69"/>
      <c r="I2854" s="69"/>
    </row>
    <row r="2855" spans="2:9" s="60" customFormat="1" x14ac:dyDescent="0.5">
      <c r="B2855" s="66"/>
      <c r="C2855" s="97"/>
      <c r="D2855" s="71"/>
      <c r="E2855" s="71"/>
      <c r="F2855" s="71"/>
      <c r="G2855" s="71"/>
      <c r="H2855" s="69"/>
      <c r="I2855" s="69"/>
    </row>
    <row r="2856" spans="2:9" s="60" customFormat="1" x14ac:dyDescent="0.5">
      <c r="B2856" s="66"/>
      <c r="C2856" s="97"/>
      <c r="D2856" s="71"/>
      <c r="E2856" s="71"/>
      <c r="F2856" s="71"/>
      <c r="G2856" s="71"/>
      <c r="H2856" s="69"/>
      <c r="I2856" s="69"/>
    </row>
    <row r="2857" spans="2:9" s="60" customFormat="1" x14ac:dyDescent="0.5">
      <c r="B2857" s="66"/>
      <c r="C2857" s="97"/>
      <c r="D2857" s="71"/>
      <c r="E2857" s="71"/>
      <c r="F2857" s="71"/>
      <c r="G2857" s="71"/>
      <c r="H2857" s="69"/>
      <c r="I2857" s="69"/>
    </row>
    <row r="2858" spans="2:9" s="60" customFormat="1" x14ac:dyDescent="0.5">
      <c r="B2858" s="66"/>
      <c r="C2858" s="97"/>
      <c r="D2858" s="71"/>
      <c r="E2858" s="71"/>
      <c r="F2858" s="71"/>
      <c r="G2858" s="71"/>
      <c r="H2858" s="69"/>
      <c r="I2858" s="69"/>
    </row>
    <row r="2859" spans="2:9" s="60" customFormat="1" x14ac:dyDescent="0.5">
      <c r="B2859" s="66"/>
      <c r="C2859" s="97"/>
      <c r="D2859" s="71"/>
      <c r="E2859" s="71"/>
      <c r="F2859" s="71"/>
      <c r="G2859" s="71"/>
      <c r="H2859" s="69"/>
      <c r="I2859" s="69"/>
    </row>
    <row r="2860" spans="2:9" s="60" customFormat="1" x14ac:dyDescent="0.5">
      <c r="B2860" s="66"/>
      <c r="C2860" s="97"/>
      <c r="D2860" s="71"/>
      <c r="E2860" s="71"/>
      <c r="F2860" s="71"/>
      <c r="G2860" s="71"/>
      <c r="H2860" s="69"/>
      <c r="I2860" s="69"/>
    </row>
    <row r="2861" spans="2:9" s="60" customFormat="1" x14ac:dyDescent="0.5">
      <c r="B2861" s="66"/>
      <c r="C2861" s="97"/>
      <c r="D2861" s="71"/>
      <c r="E2861" s="71"/>
      <c r="F2861" s="71"/>
      <c r="G2861" s="71"/>
      <c r="H2861" s="69"/>
      <c r="I2861" s="69"/>
    </row>
    <row r="2862" spans="2:9" s="60" customFormat="1" x14ac:dyDescent="0.5">
      <c r="B2862" s="66"/>
      <c r="C2862" s="97"/>
      <c r="D2862" s="71"/>
      <c r="E2862" s="71"/>
      <c r="F2862" s="71"/>
      <c r="G2862" s="71"/>
      <c r="H2862" s="69"/>
      <c r="I2862" s="69"/>
    </row>
    <row r="2863" spans="2:9" s="60" customFormat="1" x14ac:dyDescent="0.5">
      <c r="B2863" s="66"/>
      <c r="C2863" s="97"/>
      <c r="D2863" s="71"/>
      <c r="E2863" s="71"/>
      <c r="F2863" s="71"/>
      <c r="G2863" s="71"/>
      <c r="H2863" s="69"/>
      <c r="I2863" s="69"/>
    </row>
    <row r="2864" spans="2:9" s="60" customFormat="1" x14ac:dyDescent="0.5">
      <c r="B2864" s="66"/>
      <c r="C2864" s="97"/>
      <c r="D2864" s="71"/>
      <c r="E2864" s="71"/>
      <c r="F2864" s="71"/>
      <c r="G2864" s="71"/>
      <c r="H2864" s="69"/>
      <c r="I2864" s="69"/>
    </row>
    <row r="2865" spans="2:9" s="60" customFormat="1" x14ac:dyDescent="0.5">
      <c r="B2865" s="66"/>
      <c r="C2865" s="97"/>
      <c r="D2865" s="71"/>
      <c r="E2865" s="71"/>
      <c r="F2865" s="71"/>
      <c r="G2865" s="71"/>
      <c r="H2865" s="69"/>
      <c r="I2865" s="69"/>
    </row>
    <row r="2866" spans="2:9" s="60" customFormat="1" x14ac:dyDescent="0.5">
      <c r="B2866" s="66"/>
      <c r="C2866" s="97"/>
      <c r="D2866" s="71"/>
      <c r="E2866" s="71"/>
      <c r="F2866" s="71"/>
      <c r="G2866" s="71"/>
      <c r="H2866" s="69"/>
      <c r="I2866" s="69"/>
    </row>
    <row r="2867" spans="2:9" s="60" customFormat="1" x14ac:dyDescent="0.5">
      <c r="B2867" s="66"/>
      <c r="C2867" s="97"/>
      <c r="D2867" s="71"/>
      <c r="E2867" s="71"/>
      <c r="F2867" s="71"/>
      <c r="G2867" s="71"/>
      <c r="H2867" s="69"/>
      <c r="I2867" s="69"/>
    </row>
    <row r="2868" spans="2:9" s="60" customFormat="1" x14ac:dyDescent="0.5">
      <c r="B2868" s="66"/>
      <c r="C2868" s="97"/>
      <c r="D2868" s="71"/>
      <c r="E2868" s="71"/>
      <c r="F2868" s="71"/>
      <c r="G2868" s="71"/>
      <c r="H2868" s="69"/>
      <c r="I2868" s="69"/>
    </row>
    <row r="2869" spans="2:9" s="60" customFormat="1" x14ac:dyDescent="0.5">
      <c r="B2869" s="66"/>
      <c r="C2869" s="97"/>
      <c r="D2869" s="71"/>
      <c r="E2869" s="71"/>
      <c r="F2869" s="71"/>
      <c r="G2869" s="71"/>
      <c r="H2869" s="69"/>
      <c r="I2869" s="69"/>
    </row>
    <row r="2870" spans="2:9" s="60" customFormat="1" x14ac:dyDescent="0.5">
      <c r="B2870" s="66"/>
      <c r="C2870" s="97"/>
      <c r="D2870" s="71"/>
      <c r="E2870" s="71"/>
      <c r="F2870" s="71"/>
      <c r="G2870" s="71"/>
      <c r="H2870" s="69"/>
      <c r="I2870" s="69"/>
    </row>
    <row r="2871" spans="2:9" s="60" customFormat="1" x14ac:dyDescent="0.5">
      <c r="B2871" s="66"/>
      <c r="C2871" s="97"/>
      <c r="D2871" s="71"/>
      <c r="E2871" s="71"/>
      <c r="F2871" s="71"/>
      <c r="G2871" s="71"/>
      <c r="H2871" s="69"/>
      <c r="I2871" s="69"/>
    </row>
    <row r="2872" spans="2:9" s="60" customFormat="1" x14ac:dyDescent="0.5">
      <c r="B2872" s="66"/>
      <c r="C2872" s="97"/>
      <c r="D2872" s="71"/>
      <c r="E2872" s="71"/>
      <c r="F2872" s="71"/>
      <c r="G2872" s="71"/>
      <c r="H2872" s="69"/>
      <c r="I2872" s="69"/>
    </row>
    <row r="2873" spans="2:9" s="60" customFormat="1" x14ac:dyDescent="0.5">
      <c r="B2873" s="66"/>
      <c r="C2873" s="97"/>
      <c r="D2873" s="71"/>
      <c r="E2873" s="71"/>
      <c r="F2873" s="71"/>
      <c r="G2873" s="71"/>
      <c r="H2873" s="69"/>
      <c r="I2873" s="69"/>
    </row>
    <row r="2874" spans="2:9" s="60" customFormat="1" x14ac:dyDescent="0.5">
      <c r="B2874" s="66"/>
      <c r="C2874" s="97"/>
      <c r="D2874" s="71"/>
      <c r="E2874" s="71"/>
      <c r="F2874" s="71"/>
      <c r="G2874" s="71"/>
      <c r="H2874" s="69"/>
      <c r="I2874" s="69"/>
    </row>
    <row r="2875" spans="2:9" s="60" customFormat="1" x14ac:dyDescent="0.5">
      <c r="B2875" s="66"/>
      <c r="C2875" s="97"/>
      <c r="D2875" s="71"/>
      <c r="E2875" s="71"/>
      <c r="F2875" s="71"/>
      <c r="G2875" s="71"/>
      <c r="H2875" s="69"/>
      <c r="I2875" s="69"/>
    </row>
    <row r="2876" spans="2:9" s="60" customFormat="1" x14ac:dyDescent="0.5">
      <c r="B2876" s="66"/>
      <c r="C2876" s="97"/>
      <c r="D2876" s="71"/>
      <c r="E2876" s="71"/>
      <c r="F2876" s="71"/>
      <c r="G2876" s="71"/>
      <c r="H2876" s="69"/>
      <c r="I2876" s="69"/>
    </row>
    <row r="2877" spans="2:9" s="60" customFormat="1" x14ac:dyDescent="0.5">
      <c r="B2877" s="66"/>
      <c r="C2877" s="97"/>
      <c r="D2877" s="71"/>
      <c r="E2877" s="71"/>
      <c r="F2877" s="71"/>
      <c r="G2877" s="71"/>
      <c r="H2877" s="69"/>
      <c r="I2877" s="69"/>
    </row>
    <row r="2878" spans="2:9" s="60" customFormat="1" x14ac:dyDescent="0.5">
      <c r="B2878" s="66"/>
      <c r="C2878" s="97"/>
      <c r="D2878" s="71"/>
      <c r="E2878" s="71"/>
      <c r="F2878" s="71"/>
      <c r="G2878" s="71"/>
      <c r="H2878" s="69"/>
      <c r="I2878" s="69"/>
    </row>
    <row r="2879" spans="2:9" s="60" customFormat="1" x14ac:dyDescent="0.5">
      <c r="B2879" s="66"/>
      <c r="C2879" s="97"/>
      <c r="D2879" s="71"/>
      <c r="E2879" s="71"/>
      <c r="F2879" s="71"/>
      <c r="G2879" s="71"/>
      <c r="H2879" s="69"/>
      <c r="I2879" s="69"/>
    </row>
    <row r="2880" spans="2:9" s="60" customFormat="1" x14ac:dyDescent="0.5">
      <c r="B2880" s="66"/>
      <c r="C2880" s="97"/>
      <c r="D2880" s="71"/>
      <c r="E2880" s="71"/>
      <c r="F2880" s="71"/>
      <c r="G2880" s="71"/>
      <c r="H2880" s="69"/>
      <c r="I2880" s="69"/>
    </row>
    <row r="2881" spans="2:9" s="60" customFormat="1" x14ac:dyDescent="0.5">
      <c r="B2881" s="66"/>
      <c r="C2881" s="97"/>
      <c r="D2881" s="71"/>
      <c r="E2881" s="71"/>
      <c r="F2881" s="71"/>
      <c r="G2881" s="71"/>
      <c r="H2881" s="69"/>
      <c r="I2881" s="69"/>
    </row>
    <row r="2882" spans="2:9" s="60" customFormat="1" x14ac:dyDescent="0.5">
      <c r="B2882" s="66"/>
      <c r="C2882" s="97"/>
      <c r="D2882" s="71"/>
      <c r="E2882" s="71"/>
      <c r="F2882" s="71"/>
      <c r="G2882" s="71"/>
      <c r="H2882" s="69"/>
      <c r="I2882" s="69"/>
    </row>
    <row r="2883" spans="2:9" s="60" customFormat="1" x14ac:dyDescent="0.5">
      <c r="B2883" s="66"/>
      <c r="C2883" s="97"/>
      <c r="D2883" s="71"/>
      <c r="E2883" s="71"/>
      <c r="F2883" s="71"/>
      <c r="G2883" s="71"/>
      <c r="H2883" s="69"/>
      <c r="I2883" s="69"/>
    </row>
    <row r="2884" spans="2:9" s="60" customFormat="1" x14ac:dyDescent="0.5">
      <c r="B2884" s="66"/>
      <c r="C2884" s="97"/>
      <c r="D2884" s="71"/>
      <c r="E2884" s="71"/>
      <c r="F2884" s="71"/>
      <c r="G2884" s="71"/>
      <c r="H2884" s="69"/>
      <c r="I2884" s="69"/>
    </row>
    <row r="2885" spans="2:9" s="60" customFormat="1" x14ac:dyDescent="0.5">
      <c r="B2885" s="66"/>
      <c r="C2885" s="97"/>
      <c r="D2885" s="71"/>
      <c r="E2885" s="71"/>
      <c r="F2885" s="71"/>
      <c r="G2885" s="71"/>
      <c r="H2885" s="69"/>
      <c r="I2885" s="69"/>
    </row>
    <row r="2886" spans="2:9" s="60" customFormat="1" x14ac:dyDescent="0.5">
      <c r="B2886" s="66"/>
      <c r="C2886" s="97"/>
      <c r="D2886" s="71"/>
      <c r="E2886" s="71"/>
      <c r="F2886" s="71"/>
      <c r="G2886" s="71"/>
      <c r="H2886" s="69"/>
      <c r="I2886" s="69"/>
    </row>
    <row r="2887" spans="2:9" s="60" customFormat="1" x14ac:dyDescent="0.5">
      <c r="B2887" s="66"/>
      <c r="C2887" s="97"/>
      <c r="D2887" s="71"/>
      <c r="E2887" s="71"/>
      <c r="F2887" s="71"/>
      <c r="G2887" s="71"/>
      <c r="H2887" s="69"/>
      <c r="I2887" s="69"/>
    </row>
    <row r="2888" spans="2:9" s="60" customFormat="1" x14ac:dyDescent="0.5">
      <c r="B2888" s="66"/>
      <c r="C2888" s="97"/>
      <c r="D2888" s="71"/>
      <c r="E2888" s="71"/>
      <c r="F2888" s="71"/>
      <c r="G2888" s="71"/>
      <c r="H2888" s="69"/>
      <c r="I2888" s="69"/>
    </row>
    <row r="2889" spans="2:9" s="60" customFormat="1" x14ac:dyDescent="0.5">
      <c r="B2889" s="66"/>
      <c r="C2889" s="97"/>
      <c r="D2889" s="71"/>
      <c r="E2889" s="71"/>
      <c r="F2889" s="71"/>
      <c r="G2889" s="71"/>
      <c r="H2889" s="69"/>
      <c r="I2889" s="69"/>
    </row>
    <row r="2890" spans="2:9" s="60" customFormat="1" x14ac:dyDescent="0.5">
      <c r="B2890" s="66"/>
      <c r="C2890" s="97"/>
      <c r="D2890" s="71"/>
      <c r="E2890" s="71"/>
      <c r="F2890" s="71"/>
      <c r="G2890" s="71"/>
      <c r="H2890" s="69"/>
      <c r="I2890" s="69"/>
    </row>
    <row r="2891" spans="2:9" s="60" customFormat="1" x14ac:dyDescent="0.5">
      <c r="B2891" s="66"/>
      <c r="C2891" s="97"/>
      <c r="D2891" s="71"/>
      <c r="E2891" s="71"/>
      <c r="F2891" s="71"/>
      <c r="G2891" s="71"/>
      <c r="H2891" s="69"/>
      <c r="I2891" s="69"/>
    </row>
    <row r="2892" spans="2:9" s="60" customFormat="1" x14ac:dyDescent="0.5">
      <c r="B2892" s="66"/>
      <c r="C2892" s="97"/>
      <c r="D2892" s="71"/>
      <c r="E2892" s="71"/>
      <c r="F2892" s="71"/>
      <c r="G2892" s="71"/>
      <c r="H2892" s="69"/>
      <c r="I2892" s="69"/>
    </row>
    <row r="2893" spans="2:9" s="60" customFormat="1" x14ac:dyDescent="0.5">
      <c r="B2893" s="66"/>
      <c r="C2893" s="97"/>
      <c r="D2893" s="71"/>
      <c r="E2893" s="71"/>
      <c r="F2893" s="71"/>
      <c r="G2893" s="71"/>
      <c r="H2893" s="69"/>
      <c r="I2893" s="69"/>
    </row>
    <row r="2894" spans="2:9" s="60" customFormat="1" x14ac:dyDescent="0.5">
      <c r="B2894" s="66"/>
      <c r="C2894" s="97"/>
      <c r="D2894" s="71"/>
      <c r="E2894" s="71"/>
      <c r="F2894" s="71"/>
      <c r="G2894" s="71"/>
      <c r="H2894" s="69"/>
      <c r="I2894" s="69"/>
    </row>
    <row r="2895" spans="2:9" s="60" customFormat="1" x14ac:dyDescent="0.5">
      <c r="B2895" s="66"/>
      <c r="C2895" s="97"/>
      <c r="D2895" s="71"/>
      <c r="E2895" s="71"/>
      <c r="F2895" s="71"/>
      <c r="G2895" s="71"/>
      <c r="H2895" s="69"/>
      <c r="I2895" s="69"/>
    </row>
    <row r="2896" spans="2:9" s="60" customFormat="1" x14ac:dyDescent="0.5">
      <c r="B2896" s="66"/>
      <c r="C2896" s="97"/>
      <c r="D2896" s="71"/>
      <c r="E2896" s="71"/>
      <c r="F2896" s="71"/>
      <c r="G2896" s="71"/>
      <c r="H2896" s="69"/>
      <c r="I2896" s="69"/>
    </row>
    <row r="2897" spans="2:9" s="60" customFormat="1" x14ac:dyDescent="0.5">
      <c r="B2897" s="66"/>
      <c r="C2897" s="97"/>
      <c r="D2897" s="71"/>
      <c r="E2897" s="71"/>
      <c r="F2897" s="71"/>
      <c r="G2897" s="71"/>
      <c r="H2897" s="69"/>
      <c r="I2897" s="69"/>
    </row>
    <row r="2898" spans="2:9" s="60" customFormat="1" x14ac:dyDescent="0.5">
      <c r="B2898" s="66"/>
      <c r="C2898" s="97"/>
      <c r="D2898" s="71"/>
      <c r="E2898" s="71"/>
      <c r="F2898" s="71"/>
      <c r="G2898" s="71"/>
      <c r="H2898" s="69"/>
      <c r="I2898" s="69"/>
    </row>
    <row r="2899" spans="2:9" s="60" customFormat="1" x14ac:dyDescent="0.5">
      <c r="B2899" s="66"/>
      <c r="C2899" s="97"/>
      <c r="D2899" s="71"/>
      <c r="E2899" s="71"/>
      <c r="F2899" s="71"/>
      <c r="G2899" s="71"/>
      <c r="H2899" s="69"/>
      <c r="I2899" s="69"/>
    </row>
    <row r="2900" spans="2:9" s="60" customFormat="1" x14ac:dyDescent="0.5">
      <c r="B2900" s="66"/>
      <c r="C2900" s="97"/>
      <c r="D2900" s="71"/>
      <c r="E2900" s="71"/>
      <c r="F2900" s="71"/>
      <c r="G2900" s="71"/>
      <c r="H2900" s="69"/>
      <c r="I2900" s="69"/>
    </row>
    <row r="2901" spans="2:9" s="60" customFormat="1" x14ac:dyDescent="0.5">
      <c r="B2901" s="66"/>
      <c r="C2901" s="97"/>
      <c r="D2901" s="71"/>
      <c r="E2901" s="71"/>
      <c r="F2901" s="71"/>
      <c r="G2901" s="71"/>
      <c r="H2901" s="69"/>
      <c r="I2901" s="69"/>
    </row>
    <row r="2902" spans="2:9" s="60" customFormat="1" x14ac:dyDescent="0.5">
      <c r="B2902" s="66"/>
      <c r="C2902" s="97"/>
      <c r="D2902" s="71"/>
      <c r="E2902" s="71"/>
      <c r="F2902" s="71"/>
      <c r="G2902" s="71"/>
      <c r="H2902" s="69"/>
      <c r="I2902" s="69"/>
    </row>
    <row r="2903" spans="2:9" s="60" customFormat="1" x14ac:dyDescent="0.5">
      <c r="B2903" s="66"/>
      <c r="C2903" s="97"/>
      <c r="D2903" s="71"/>
      <c r="E2903" s="71"/>
      <c r="F2903" s="71"/>
      <c r="G2903" s="71"/>
      <c r="H2903" s="69"/>
      <c r="I2903" s="69"/>
    </row>
    <row r="2904" spans="2:9" s="60" customFormat="1" x14ac:dyDescent="0.5">
      <c r="B2904" s="66"/>
      <c r="C2904" s="97"/>
      <c r="D2904" s="71"/>
      <c r="E2904" s="71"/>
      <c r="F2904" s="71"/>
      <c r="G2904" s="71"/>
      <c r="H2904" s="69"/>
      <c r="I2904" s="69"/>
    </row>
    <row r="2905" spans="2:9" s="60" customFormat="1" x14ac:dyDescent="0.5">
      <c r="B2905" s="66"/>
      <c r="C2905" s="97"/>
      <c r="D2905" s="71"/>
      <c r="E2905" s="71"/>
      <c r="F2905" s="71"/>
      <c r="G2905" s="71"/>
      <c r="H2905" s="69"/>
      <c r="I2905" s="69"/>
    </row>
    <row r="2906" spans="2:9" s="60" customFormat="1" x14ac:dyDescent="0.5">
      <c r="B2906" s="66"/>
      <c r="C2906" s="97"/>
      <c r="D2906" s="71"/>
      <c r="E2906" s="71"/>
      <c r="F2906" s="71"/>
      <c r="G2906" s="71"/>
      <c r="H2906" s="69"/>
      <c r="I2906" s="69"/>
    </row>
    <row r="2907" spans="2:9" s="60" customFormat="1" x14ac:dyDescent="0.5">
      <c r="B2907" s="66"/>
      <c r="C2907" s="97"/>
      <c r="D2907" s="71"/>
      <c r="E2907" s="71"/>
      <c r="F2907" s="71"/>
      <c r="G2907" s="71"/>
      <c r="H2907" s="69"/>
      <c r="I2907" s="69"/>
    </row>
    <row r="2908" spans="2:9" s="60" customFormat="1" x14ac:dyDescent="0.5">
      <c r="B2908" s="66"/>
      <c r="C2908" s="97"/>
      <c r="D2908" s="71"/>
      <c r="E2908" s="71"/>
      <c r="F2908" s="71"/>
      <c r="G2908" s="71"/>
      <c r="H2908" s="69"/>
      <c r="I2908" s="69"/>
    </row>
    <row r="2909" spans="2:9" s="60" customFormat="1" x14ac:dyDescent="0.5">
      <c r="B2909" s="66"/>
      <c r="C2909" s="97"/>
      <c r="D2909" s="71"/>
      <c r="E2909" s="71"/>
      <c r="F2909" s="71"/>
      <c r="G2909" s="71"/>
      <c r="H2909" s="69"/>
      <c r="I2909" s="69"/>
    </row>
    <row r="2910" spans="2:9" s="60" customFormat="1" x14ac:dyDescent="0.5">
      <c r="B2910" s="66"/>
      <c r="C2910" s="97"/>
      <c r="D2910" s="71"/>
      <c r="E2910" s="71"/>
      <c r="F2910" s="71"/>
      <c r="G2910" s="71"/>
      <c r="H2910" s="69"/>
      <c r="I2910" s="69"/>
    </row>
    <row r="2911" spans="2:9" s="60" customFormat="1" x14ac:dyDescent="0.5">
      <c r="B2911" s="66"/>
      <c r="C2911" s="97"/>
      <c r="D2911" s="71"/>
      <c r="E2911" s="71"/>
      <c r="F2911" s="71"/>
      <c r="G2911" s="71"/>
      <c r="H2911" s="69"/>
      <c r="I2911" s="69"/>
    </row>
    <row r="2912" spans="2:9" s="60" customFormat="1" x14ac:dyDescent="0.5">
      <c r="B2912" s="66"/>
      <c r="C2912" s="97"/>
      <c r="D2912" s="71"/>
      <c r="E2912" s="71"/>
      <c r="F2912" s="71"/>
      <c r="G2912" s="71"/>
      <c r="H2912" s="69"/>
      <c r="I2912" s="69"/>
    </row>
    <row r="2913" spans="2:9" s="60" customFormat="1" x14ac:dyDescent="0.5">
      <c r="B2913" s="66"/>
      <c r="C2913" s="97"/>
      <c r="D2913" s="71"/>
      <c r="E2913" s="71"/>
      <c r="F2913" s="71"/>
      <c r="G2913" s="71"/>
      <c r="H2913" s="69"/>
      <c r="I2913" s="69"/>
    </row>
    <row r="2914" spans="2:9" s="60" customFormat="1" x14ac:dyDescent="0.5">
      <c r="B2914" s="66"/>
      <c r="C2914" s="97"/>
      <c r="D2914" s="71"/>
      <c r="E2914" s="71"/>
      <c r="F2914" s="71"/>
      <c r="G2914" s="71"/>
      <c r="H2914" s="69"/>
      <c r="I2914" s="69"/>
    </row>
  </sheetData>
  <mergeCells count="24">
    <mergeCell ref="B444:I444"/>
    <mergeCell ref="B1:I1"/>
    <mergeCell ref="B46:I46"/>
    <mergeCell ref="B82:I82"/>
    <mergeCell ref="B149:I149"/>
    <mergeCell ref="B175:I175"/>
    <mergeCell ref="B216:I216"/>
    <mergeCell ref="B271:I271"/>
    <mergeCell ref="B288:I288"/>
    <mergeCell ref="B332:I332"/>
    <mergeCell ref="B357:I357"/>
    <mergeCell ref="B370:I370"/>
    <mergeCell ref="B784:I784"/>
    <mergeCell ref="B472:I472"/>
    <mergeCell ref="B495:I495"/>
    <mergeCell ref="B526:I526"/>
    <mergeCell ref="B553:I553"/>
    <mergeCell ref="B571:I571"/>
    <mergeCell ref="B582:I582"/>
    <mergeCell ref="B617:I617"/>
    <mergeCell ref="B649:I649"/>
    <mergeCell ref="B670:I670"/>
    <mergeCell ref="B708:I708"/>
    <mergeCell ref="B752:I752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98CB2-AE7F-4B65-868D-21F69E1C9E9D}">
  <dimension ref="A1:CY2913"/>
  <sheetViews>
    <sheetView showGridLines="0" topLeftCell="A672" workbookViewId="0">
      <selection activeCell="K887" sqref="K887"/>
    </sheetView>
  </sheetViews>
  <sheetFormatPr defaultColWidth="9" defaultRowHeight="15" x14ac:dyDescent="0.4"/>
  <cols>
    <col min="1" max="1" width="5.59765625" style="10" customWidth="1"/>
    <col min="2" max="2" width="7.86328125" style="44" customWidth="1"/>
    <col min="3" max="3" width="51.265625" style="43" customWidth="1"/>
    <col min="4" max="4" width="5.86328125" style="50" customWidth="1"/>
    <col min="5" max="5" width="12.86328125" style="50" customWidth="1"/>
    <col min="6" max="6" width="13.86328125" style="50" customWidth="1"/>
    <col min="7" max="7" width="10" style="50" customWidth="1"/>
    <col min="8" max="8" width="15.73046875" style="9" customWidth="1"/>
    <col min="9" max="9" width="15.73046875" style="9" bestFit="1" customWidth="1"/>
    <col min="10" max="96" width="9" style="10"/>
    <col min="97" max="16384" width="9" style="37"/>
  </cols>
  <sheetData>
    <row r="1" spans="2:9" s="10" customFormat="1" ht="15" customHeight="1" x14ac:dyDescent="0.4">
      <c r="B1" s="124" t="s">
        <v>443</v>
      </c>
      <c r="C1" s="125"/>
      <c r="D1" s="125"/>
      <c r="E1" s="125"/>
      <c r="F1" s="125"/>
      <c r="G1" s="125"/>
      <c r="H1" s="125"/>
      <c r="I1" s="126"/>
    </row>
    <row r="2" spans="2:9" s="10" customFormat="1" ht="30" x14ac:dyDescent="0.4">
      <c r="B2" s="51" t="s">
        <v>21</v>
      </c>
      <c r="C2" s="51" t="s">
        <v>20</v>
      </c>
      <c r="D2" s="51" t="s">
        <v>19</v>
      </c>
      <c r="E2" s="51" t="s">
        <v>523</v>
      </c>
      <c r="F2" s="51" t="s">
        <v>524</v>
      </c>
      <c r="G2" s="51" t="s">
        <v>525</v>
      </c>
      <c r="H2" s="52" t="s">
        <v>18</v>
      </c>
      <c r="I2" s="52" t="s">
        <v>17</v>
      </c>
    </row>
    <row r="3" spans="2:9" s="10" customFormat="1" ht="30" x14ac:dyDescent="0.4">
      <c r="B3" s="11">
        <v>1</v>
      </c>
      <c r="C3" s="12" t="s">
        <v>107</v>
      </c>
      <c r="D3" s="13">
        <v>1</v>
      </c>
      <c r="E3" s="13"/>
      <c r="F3" s="13"/>
      <c r="G3" s="13"/>
      <c r="H3" s="14">
        <v>281.15999999999997</v>
      </c>
      <c r="I3" s="14">
        <v>281.15999999999997</v>
      </c>
    </row>
    <row r="4" spans="2:9" s="10" customFormat="1" ht="30" x14ac:dyDescent="0.4">
      <c r="B4" s="11">
        <v>2</v>
      </c>
      <c r="C4" s="12" t="s">
        <v>81</v>
      </c>
      <c r="D4" s="13">
        <v>1</v>
      </c>
      <c r="E4" s="13"/>
      <c r="F4" s="13"/>
      <c r="G4" s="13"/>
      <c r="H4" s="14">
        <v>281.15999999999997</v>
      </c>
      <c r="I4" s="14">
        <v>281.15999999999997</v>
      </c>
    </row>
    <row r="5" spans="2:9" s="10" customFormat="1" x14ac:dyDescent="0.4">
      <c r="B5" s="11">
        <v>3</v>
      </c>
      <c r="C5" s="12" t="s">
        <v>76</v>
      </c>
      <c r="D5" s="13">
        <v>4</v>
      </c>
      <c r="E5" s="13"/>
      <c r="F5" s="13"/>
      <c r="G5" s="13"/>
      <c r="H5" s="14">
        <v>83.52000000000001</v>
      </c>
      <c r="I5" s="14">
        <v>334.08000000000004</v>
      </c>
    </row>
    <row r="6" spans="2:9" s="10" customFormat="1" ht="45" x14ac:dyDescent="0.4">
      <c r="B6" s="11">
        <v>4</v>
      </c>
      <c r="C6" s="12" t="s">
        <v>430</v>
      </c>
      <c r="D6" s="13">
        <v>1</v>
      </c>
      <c r="E6" s="13"/>
      <c r="F6" s="13"/>
      <c r="G6" s="13"/>
      <c r="H6" s="14">
        <v>498.6</v>
      </c>
      <c r="I6" s="14">
        <v>498.6</v>
      </c>
    </row>
    <row r="7" spans="2:9" s="10" customFormat="1" ht="30" x14ac:dyDescent="0.4">
      <c r="B7" s="11">
        <v>5</v>
      </c>
      <c r="C7" s="12" t="s">
        <v>77</v>
      </c>
      <c r="D7" s="13">
        <v>1</v>
      </c>
      <c r="E7" s="13"/>
      <c r="F7" s="13"/>
      <c r="G7" s="13"/>
      <c r="H7" s="14">
        <v>74.88000000000001</v>
      </c>
      <c r="I7" s="14">
        <v>74.88000000000001</v>
      </c>
    </row>
    <row r="8" spans="2:9" s="10" customFormat="1" x14ac:dyDescent="0.4">
      <c r="B8" s="11">
        <v>6</v>
      </c>
      <c r="C8" s="12" t="s">
        <v>78</v>
      </c>
      <c r="D8" s="13">
        <v>1</v>
      </c>
      <c r="E8" s="13"/>
      <c r="F8" s="13"/>
      <c r="G8" s="13"/>
      <c r="H8" s="14">
        <v>46.44</v>
      </c>
      <c r="I8" s="14">
        <v>46.44</v>
      </c>
    </row>
    <row r="9" spans="2:9" s="10" customFormat="1" ht="60" x14ac:dyDescent="0.4">
      <c r="B9" s="11">
        <v>7</v>
      </c>
      <c r="C9" s="12" t="s">
        <v>429</v>
      </c>
      <c r="D9" s="13">
        <v>1</v>
      </c>
      <c r="E9" s="13"/>
      <c r="F9" s="13"/>
      <c r="G9" s="13"/>
      <c r="H9" s="14">
        <v>1934.28</v>
      </c>
      <c r="I9" s="14">
        <v>1934.28</v>
      </c>
    </row>
    <row r="10" spans="2:9" s="10" customFormat="1" x14ac:dyDescent="0.4">
      <c r="B10" s="11">
        <v>8</v>
      </c>
      <c r="C10" s="12" t="s">
        <v>72</v>
      </c>
      <c r="D10" s="13">
        <v>3</v>
      </c>
      <c r="E10" s="13"/>
      <c r="F10" s="13"/>
      <c r="G10" s="13"/>
      <c r="H10" s="14">
        <v>213.12</v>
      </c>
      <c r="I10" s="14">
        <v>639.36</v>
      </c>
    </row>
    <row r="11" spans="2:9" s="10" customFormat="1" x14ac:dyDescent="0.4">
      <c r="B11" s="11">
        <v>9</v>
      </c>
      <c r="C11" s="12" t="s">
        <v>276</v>
      </c>
      <c r="D11" s="13">
        <v>3</v>
      </c>
      <c r="E11" s="13"/>
      <c r="F11" s="13"/>
      <c r="G11" s="13"/>
      <c r="H11" s="14">
        <v>288</v>
      </c>
      <c r="I11" s="14">
        <v>864</v>
      </c>
    </row>
    <row r="12" spans="2:9" s="10" customFormat="1" ht="30" x14ac:dyDescent="0.4">
      <c r="B12" s="11">
        <v>10</v>
      </c>
      <c r="C12" s="12" t="s">
        <v>378</v>
      </c>
      <c r="D12" s="13">
        <v>2</v>
      </c>
      <c r="E12" s="13"/>
      <c r="F12" s="13"/>
      <c r="G12" s="13"/>
      <c r="H12" s="14">
        <v>136.07999999999998</v>
      </c>
      <c r="I12" s="14">
        <v>272.15999999999997</v>
      </c>
    </row>
    <row r="13" spans="2:9" s="10" customFormat="1" ht="30" x14ac:dyDescent="0.4">
      <c r="B13" s="11">
        <v>11</v>
      </c>
      <c r="C13" s="12" t="s">
        <v>423</v>
      </c>
      <c r="D13" s="13">
        <v>1</v>
      </c>
      <c r="E13" s="13"/>
      <c r="F13" s="13"/>
      <c r="G13" s="13"/>
      <c r="H13" s="14">
        <v>1024.56</v>
      </c>
      <c r="I13" s="14">
        <v>1024.56</v>
      </c>
    </row>
    <row r="14" spans="2:9" s="10" customFormat="1" x14ac:dyDescent="0.4">
      <c r="B14" s="11">
        <v>12</v>
      </c>
      <c r="C14" s="12" t="s">
        <v>92</v>
      </c>
      <c r="D14" s="13">
        <v>10</v>
      </c>
      <c r="E14" s="13"/>
      <c r="F14" s="13"/>
      <c r="G14" s="13"/>
      <c r="H14" s="14">
        <v>113.4</v>
      </c>
      <c r="I14" s="14">
        <v>1134</v>
      </c>
    </row>
    <row r="15" spans="2:9" s="10" customFormat="1" ht="30" x14ac:dyDescent="0.4">
      <c r="B15" s="11">
        <v>13</v>
      </c>
      <c r="C15" s="12" t="s">
        <v>73</v>
      </c>
      <c r="D15" s="13">
        <v>1</v>
      </c>
      <c r="E15" s="13"/>
      <c r="F15" s="13"/>
      <c r="G15" s="13"/>
      <c r="H15" s="14">
        <v>566.64</v>
      </c>
      <c r="I15" s="14">
        <v>566.64</v>
      </c>
    </row>
    <row r="16" spans="2:9" s="10" customFormat="1" ht="30" x14ac:dyDescent="0.4">
      <c r="B16" s="11">
        <v>14</v>
      </c>
      <c r="C16" s="12" t="s">
        <v>66</v>
      </c>
      <c r="D16" s="13">
        <v>6</v>
      </c>
      <c r="E16" s="13"/>
      <c r="F16" s="13"/>
      <c r="G16" s="13"/>
      <c r="H16" s="14">
        <v>116.28</v>
      </c>
      <c r="I16" s="14">
        <v>697.68000000000006</v>
      </c>
    </row>
    <row r="17" spans="2:9" s="10" customFormat="1" ht="30" x14ac:dyDescent="0.4">
      <c r="B17" s="11">
        <v>15</v>
      </c>
      <c r="C17" s="12" t="s">
        <v>65</v>
      </c>
      <c r="D17" s="13">
        <v>6</v>
      </c>
      <c r="E17" s="13"/>
      <c r="F17" s="13"/>
      <c r="G17" s="13"/>
      <c r="H17" s="14">
        <v>113.4</v>
      </c>
      <c r="I17" s="14">
        <v>680.40000000000009</v>
      </c>
    </row>
    <row r="18" spans="2:9" s="10" customFormat="1" ht="30" x14ac:dyDescent="0.4">
      <c r="B18" s="11">
        <v>16</v>
      </c>
      <c r="C18" s="12" t="s">
        <v>117</v>
      </c>
      <c r="D18" s="13">
        <v>6</v>
      </c>
      <c r="E18" s="13"/>
      <c r="F18" s="13"/>
      <c r="G18" s="13"/>
      <c r="H18" s="14">
        <v>142.56</v>
      </c>
      <c r="I18" s="14">
        <v>855.36</v>
      </c>
    </row>
    <row r="19" spans="2:9" s="10" customFormat="1" ht="30" x14ac:dyDescent="0.4">
      <c r="B19" s="11">
        <v>17</v>
      </c>
      <c r="C19" s="12" t="s">
        <v>197</v>
      </c>
      <c r="D19" s="13">
        <v>6</v>
      </c>
      <c r="E19" s="13"/>
      <c r="F19" s="13"/>
      <c r="G19" s="13"/>
      <c r="H19" s="14">
        <v>139.68</v>
      </c>
      <c r="I19" s="14">
        <v>838.08</v>
      </c>
    </row>
    <row r="20" spans="2:9" s="10" customFormat="1" ht="30" x14ac:dyDescent="0.4">
      <c r="B20" s="11">
        <v>18</v>
      </c>
      <c r="C20" s="12" t="s">
        <v>369</v>
      </c>
      <c r="D20" s="13">
        <v>2</v>
      </c>
      <c r="E20" s="13"/>
      <c r="F20" s="13"/>
      <c r="G20" s="13"/>
      <c r="H20" s="14">
        <v>181.44</v>
      </c>
      <c r="I20" s="14">
        <v>362.88</v>
      </c>
    </row>
    <row r="21" spans="2:9" s="10" customFormat="1" ht="30" x14ac:dyDescent="0.4">
      <c r="B21" s="11">
        <v>19</v>
      </c>
      <c r="C21" s="12" t="s">
        <v>370</v>
      </c>
      <c r="D21" s="13">
        <v>2</v>
      </c>
      <c r="E21" s="13"/>
      <c r="F21" s="13"/>
      <c r="G21" s="13"/>
      <c r="H21" s="14">
        <v>252.35999999999996</v>
      </c>
      <c r="I21" s="14">
        <v>504.71999999999991</v>
      </c>
    </row>
    <row r="22" spans="2:9" s="10" customFormat="1" x14ac:dyDescent="0.4">
      <c r="B22" s="11">
        <v>20</v>
      </c>
      <c r="C22" s="12" t="s">
        <v>278</v>
      </c>
      <c r="D22" s="13">
        <v>4</v>
      </c>
      <c r="E22" s="13"/>
      <c r="F22" s="13"/>
      <c r="G22" s="13"/>
      <c r="H22" s="14">
        <v>291.95999999999998</v>
      </c>
      <c r="I22" s="14">
        <v>1167.8399999999999</v>
      </c>
    </row>
    <row r="23" spans="2:9" s="10" customFormat="1" ht="30" x14ac:dyDescent="0.4">
      <c r="B23" s="11">
        <v>21</v>
      </c>
      <c r="C23" s="12" t="s">
        <v>428</v>
      </c>
      <c r="D23" s="13">
        <v>2</v>
      </c>
      <c r="E23" s="13"/>
      <c r="F23" s="13"/>
      <c r="G23" s="13"/>
      <c r="H23" s="14">
        <v>182.15999999999997</v>
      </c>
      <c r="I23" s="14">
        <v>364.31999999999994</v>
      </c>
    </row>
    <row r="24" spans="2:9" s="10" customFormat="1" ht="30" x14ac:dyDescent="0.4">
      <c r="B24" s="11">
        <v>22</v>
      </c>
      <c r="C24" s="12" t="s">
        <v>316</v>
      </c>
      <c r="D24" s="13">
        <v>1</v>
      </c>
      <c r="E24" s="13"/>
      <c r="F24" s="13"/>
      <c r="G24" s="13"/>
      <c r="H24" s="14">
        <v>135.35999999999999</v>
      </c>
      <c r="I24" s="14">
        <v>135.35999999999999</v>
      </c>
    </row>
    <row r="25" spans="2:9" s="10" customFormat="1" ht="30" x14ac:dyDescent="0.4">
      <c r="B25" s="11">
        <v>23</v>
      </c>
      <c r="C25" s="12" t="s">
        <v>198</v>
      </c>
      <c r="D25" s="13">
        <v>1</v>
      </c>
      <c r="E25" s="13"/>
      <c r="F25" s="13"/>
      <c r="G25" s="13"/>
      <c r="H25" s="14">
        <v>131.76</v>
      </c>
      <c r="I25" s="14">
        <v>131.76</v>
      </c>
    </row>
    <row r="26" spans="2:9" s="10" customFormat="1" ht="30" x14ac:dyDescent="0.4">
      <c r="B26" s="11">
        <v>24</v>
      </c>
      <c r="C26" s="12" t="s">
        <v>269</v>
      </c>
      <c r="D26" s="13">
        <v>2</v>
      </c>
      <c r="E26" s="13"/>
      <c r="F26" s="13"/>
      <c r="G26" s="13"/>
      <c r="H26" s="14">
        <v>204.84000000000003</v>
      </c>
      <c r="I26" s="14">
        <v>409.68000000000006</v>
      </c>
    </row>
    <row r="27" spans="2:9" s="10" customFormat="1" ht="30" x14ac:dyDescent="0.4">
      <c r="B27" s="11">
        <v>25</v>
      </c>
      <c r="C27" s="12" t="s">
        <v>427</v>
      </c>
      <c r="D27" s="13">
        <v>1</v>
      </c>
      <c r="E27" s="13"/>
      <c r="F27" s="13"/>
      <c r="G27" s="13"/>
      <c r="H27" s="14">
        <v>252</v>
      </c>
      <c r="I27" s="14">
        <v>252</v>
      </c>
    </row>
    <row r="28" spans="2:9" s="10" customFormat="1" ht="30" x14ac:dyDescent="0.4">
      <c r="B28" s="11">
        <v>26</v>
      </c>
      <c r="C28" s="12" t="s">
        <v>426</v>
      </c>
      <c r="D28" s="13">
        <v>1</v>
      </c>
      <c r="E28" s="13"/>
      <c r="F28" s="13"/>
      <c r="G28" s="13"/>
      <c r="H28" s="14">
        <v>275.76</v>
      </c>
      <c r="I28" s="14">
        <v>275.76</v>
      </c>
    </row>
    <row r="29" spans="2:9" s="10" customFormat="1" ht="30" x14ac:dyDescent="0.4">
      <c r="B29" s="11">
        <v>27</v>
      </c>
      <c r="C29" s="12" t="s">
        <v>425</v>
      </c>
      <c r="D29" s="13">
        <v>1</v>
      </c>
      <c r="E29" s="13"/>
      <c r="F29" s="13"/>
      <c r="G29" s="13"/>
      <c r="H29" s="14">
        <v>189</v>
      </c>
      <c r="I29" s="14">
        <v>189</v>
      </c>
    </row>
    <row r="30" spans="2:9" s="10" customFormat="1" ht="30" x14ac:dyDescent="0.4">
      <c r="B30" s="11">
        <v>28</v>
      </c>
      <c r="C30" s="12" t="s">
        <v>395</v>
      </c>
      <c r="D30" s="13">
        <v>2</v>
      </c>
      <c r="E30" s="13"/>
      <c r="F30" s="13"/>
      <c r="G30" s="13"/>
      <c r="H30" s="14">
        <v>182.15999999999997</v>
      </c>
      <c r="I30" s="14">
        <v>364.31999999999994</v>
      </c>
    </row>
    <row r="31" spans="2:9" s="10" customFormat="1" ht="30" x14ac:dyDescent="0.4">
      <c r="B31" s="11">
        <v>29</v>
      </c>
      <c r="C31" s="12" t="s">
        <v>424</v>
      </c>
      <c r="D31" s="13">
        <v>1</v>
      </c>
      <c r="E31" s="13"/>
      <c r="F31" s="13"/>
      <c r="G31" s="13"/>
      <c r="H31" s="14">
        <v>177.47999999999996</v>
      </c>
      <c r="I31" s="14">
        <v>177.47999999999996</v>
      </c>
    </row>
    <row r="32" spans="2:9" s="10" customFormat="1" ht="30" x14ac:dyDescent="0.4">
      <c r="B32" s="11">
        <v>30</v>
      </c>
      <c r="C32" s="12" t="s">
        <v>377</v>
      </c>
      <c r="D32" s="13">
        <v>1</v>
      </c>
      <c r="E32" s="13"/>
      <c r="F32" s="13"/>
      <c r="G32" s="13"/>
      <c r="H32" s="14">
        <v>213.12</v>
      </c>
      <c r="I32" s="14">
        <v>213.12</v>
      </c>
    </row>
    <row r="33" spans="2:9" s="10" customFormat="1" ht="30" x14ac:dyDescent="0.4">
      <c r="B33" s="11">
        <v>31</v>
      </c>
      <c r="C33" s="12" t="s">
        <v>423</v>
      </c>
      <c r="D33" s="13">
        <v>1</v>
      </c>
      <c r="E33" s="13"/>
      <c r="F33" s="13"/>
      <c r="G33" s="13"/>
      <c r="H33" s="14">
        <v>1024.56</v>
      </c>
      <c r="I33" s="14">
        <v>1024.56</v>
      </c>
    </row>
    <row r="34" spans="2:9" s="10" customFormat="1" ht="34.5" customHeight="1" x14ac:dyDescent="0.4">
      <c r="B34" s="11">
        <v>32</v>
      </c>
      <c r="C34" s="12" t="s">
        <v>422</v>
      </c>
      <c r="D34" s="13">
        <v>2</v>
      </c>
      <c r="E34" s="13"/>
      <c r="F34" s="13"/>
      <c r="G34" s="13"/>
      <c r="H34" s="14">
        <v>243.35999999999999</v>
      </c>
      <c r="I34" s="14">
        <v>486.71999999999997</v>
      </c>
    </row>
    <row r="35" spans="2:9" s="10" customFormat="1" ht="30" x14ac:dyDescent="0.4">
      <c r="B35" s="11">
        <v>33</v>
      </c>
      <c r="C35" s="12" t="s">
        <v>367</v>
      </c>
      <c r="D35" s="13">
        <v>3</v>
      </c>
      <c r="E35" s="13"/>
      <c r="F35" s="13"/>
      <c r="G35" s="13"/>
      <c r="H35" s="14">
        <v>286.2</v>
      </c>
      <c r="I35" s="14">
        <v>858.59999999999991</v>
      </c>
    </row>
    <row r="36" spans="2:9" s="10" customFormat="1" ht="30" x14ac:dyDescent="0.4">
      <c r="B36" s="11">
        <v>34</v>
      </c>
      <c r="C36" s="12" t="s">
        <v>287</v>
      </c>
      <c r="D36" s="13">
        <v>2</v>
      </c>
      <c r="E36" s="13"/>
      <c r="F36" s="13"/>
      <c r="G36" s="13"/>
      <c r="H36" s="14">
        <v>271.44</v>
      </c>
      <c r="I36" s="14">
        <v>542.88</v>
      </c>
    </row>
    <row r="37" spans="2:9" s="10" customFormat="1" ht="30" x14ac:dyDescent="0.4">
      <c r="B37" s="11">
        <v>35</v>
      </c>
      <c r="C37" s="12" t="s">
        <v>421</v>
      </c>
      <c r="D37" s="13">
        <v>2</v>
      </c>
      <c r="E37" s="13"/>
      <c r="F37" s="13"/>
      <c r="G37" s="13"/>
      <c r="H37" s="14">
        <v>354.95999999999992</v>
      </c>
      <c r="I37" s="14">
        <v>709.91999999999985</v>
      </c>
    </row>
    <row r="38" spans="2:9" s="10" customFormat="1" ht="30" x14ac:dyDescent="0.4">
      <c r="B38" s="11">
        <v>36</v>
      </c>
      <c r="C38" s="12" t="s">
        <v>420</v>
      </c>
      <c r="D38" s="13">
        <v>2</v>
      </c>
      <c r="E38" s="13"/>
      <c r="F38" s="13"/>
      <c r="G38" s="13"/>
      <c r="H38" s="14">
        <v>219.24</v>
      </c>
      <c r="I38" s="14">
        <v>438.48</v>
      </c>
    </row>
    <row r="39" spans="2:9" s="10" customFormat="1" ht="30" x14ac:dyDescent="0.4">
      <c r="B39" s="11">
        <v>37</v>
      </c>
      <c r="C39" s="12" t="s">
        <v>419</v>
      </c>
      <c r="D39" s="13">
        <v>2</v>
      </c>
      <c r="E39" s="13"/>
      <c r="F39" s="13"/>
      <c r="G39" s="13"/>
      <c r="H39" s="14">
        <v>158.4</v>
      </c>
      <c r="I39" s="14">
        <v>316.8</v>
      </c>
    </row>
    <row r="40" spans="2:9" s="10" customFormat="1" ht="30" x14ac:dyDescent="0.4">
      <c r="B40" s="11">
        <v>38</v>
      </c>
      <c r="C40" s="12" t="s">
        <v>418</v>
      </c>
      <c r="D40" s="13">
        <v>2</v>
      </c>
      <c r="E40" s="13"/>
      <c r="F40" s="13"/>
      <c r="G40" s="13"/>
      <c r="H40" s="14">
        <v>250.56</v>
      </c>
      <c r="I40" s="14">
        <v>501.12</v>
      </c>
    </row>
    <row r="41" spans="2:9" s="10" customFormat="1" ht="30" x14ac:dyDescent="0.4">
      <c r="B41" s="11">
        <v>39</v>
      </c>
      <c r="C41" s="12" t="s">
        <v>417</v>
      </c>
      <c r="D41" s="13">
        <v>1</v>
      </c>
      <c r="E41" s="13"/>
      <c r="F41" s="13"/>
      <c r="G41" s="13"/>
      <c r="H41" s="14">
        <v>1027.44</v>
      </c>
      <c r="I41" s="14">
        <v>1027.44</v>
      </c>
    </row>
    <row r="42" spans="2:9" s="10" customFormat="1" ht="30" x14ac:dyDescent="0.4">
      <c r="B42" s="11">
        <v>40</v>
      </c>
      <c r="C42" s="12" t="s">
        <v>358</v>
      </c>
      <c r="D42" s="13">
        <v>1</v>
      </c>
      <c r="E42" s="13"/>
      <c r="F42" s="13"/>
      <c r="G42" s="13"/>
      <c r="H42" s="14">
        <v>967.31999999999994</v>
      </c>
      <c r="I42" s="14">
        <v>967.31999999999994</v>
      </c>
    </row>
    <row r="43" spans="2:9" s="10" customFormat="1" ht="60" x14ac:dyDescent="0.4">
      <c r="B43" s="11">
        <v>41</v>
      </c>
      <c r="C43" s="12" t="s">
        <v>352</v>
      </c>
      <c r="D43" s="13">
        <v>1</v>
      </c>
      <c r="E43" s="13"/>
      <c r="F43" s="13"/>
      <c r="G43" s="13"/>
      <c r="H43" s="14">
        <v>8480</v>
      </c>
      <c r="I43" s="14">
        <v>8480</v>
      </c>
    </row>
    <row r="44" spans="2:9" s="10" customFormat="1" x14ac:dyDescent="0.4">
      <c r="B44" s="15"/>
      <c r="C44" s="16"/>
      <c r="D44" s="17">
        <f>SUM(D3:D43)</f>
        <v>94</v>
      </c>
      <c r="E44" s="45"/>
      <c r="F44" s="45"/>
      <c r="G44" s="45"/>
      <c r="H44" s="9"/>
      <c r="I44" s="18">
        <f>SUM(I3:I43)</f>
        <v>30924.919999999995</v>
      </c>
    </row>
    <row r="45" spans="2:9" s="10" customFormat="1" ht="15.75" customHeight="1" x14ac:dyDescent="0.4">
      <c r="B45" s="15"/>
      <c r="C45" s="19"/>
      <c r="D45" s="45"/>
      <c r="E45" s="45"/>
      <c r="F45" s="45"/>
      <c r="G45" s="45"/>
      <c r="H45" s="9"/>
      <c r="I45" s="9"/>
    </row>
    <row r="46" spans="2:9" s="10" customFormat="1" ht="15" customHeight="1" x14ac:dyDescent="0.4">
      <c r="B46" s="124" t="s">
        <v>444</v>
      </c>
      <c r="C46" s="125"/>
      <c r="D46" s="125"/>
      <c r="E46" s="125"/>
      <c r="F46" s="125"/>
      <c r="G46" s="125"/>
      <c r="H46" s="125"/>
      <c r="I46" s="126"/>
    </row>
    <row r="47" spans="2:9" s="10" customFormat="1" ht="30" x14ac:dyDescent="0.4">
      <c r="B47" s="51" t="s">
        <v>21</v>
      </c>
      <c r="C47" s="51" t="s">
        <v>20</v>
      </c>
      <c r="D47" s="51" t="s">
        <v>19</v>
      </c>
      <c r="E47" s="51" t="s">
        <v>523</v>
      </c>
      <c r="F47" s="51" t="s">
        <v>524</v>
      </c>
      <c r="G47" s="51" t="s">
        <v>525</v>
      </c>
      <c r="H47" s="52" t="s">
        <v>18</v>
      </c>
      <c r="I47" s="52" t="s">
        <v>17</v>
      </c>
    </row>
    <row r="48" spans="2:9" s="10" customFormat="1" x14ac:dyDescent="0.4">
      <c r="B48" s="108">
        <v>1</v>
      </c>
      <c r="C48" s="12" t="s">
        <v>76</v>
      </c>
      <c r="D48" s="13">
        <v>4</v>
      </c>
      <c r="E48" s="13"/>
      <c r="F48" s="13"/>
      <c r="G48" s="13"/>
      <c r="H48" s="14">
        <v>83.52000000000001</v>
      </c>
      <c r="I48" s="14">
        <v>334.08000000000004</v>
      </c>
    </row>
    <row r="49" spans="2:9" s="10" customFormat="1" x14ac:dyDescent="0.4">
      <c r="B49" s="108">
        <v>2</v>
      </c>
      <c r="C49" s="12" t="s">
        <v>100</v>
      </c>
      <c r="D49" s="13">
        <v>1</v>
      </c>
      <c r="E49" s="13"/>
      <c r="F49" s="13"/>
      <c r="G49" s="13"/>
      <c r="H49" s="14">
        <v>146.88</v>
      </c>
      <c r="I49" s="14">
        <v>146.88</v>
      </c>
    </row>
    <row r="50" spans="2:9" s="10" customFormat="1" ht="30" x14ac:dyDescent="0.4">
      <c r="B50" s="108">
        <v>3</v>
      </c>
      <c r="C50" s="12" t="s">
        <v>416</v>
      </c>
      <c r="D50" s="13">
        <v>1</v>
      </c>
      <c r="E50" s="13"/>
      <c r="F50" s="13"/>
      <c r="G50" s="13"/>
      <c r="H50" s="14">
        <v>198.72</v>
      </c>
      <c r="I50" s="14">
        <v>198.72</v>
      </c>
    </row>
    <row r="51" spans="2:9" s="10" customFormat="1" ht="30" x14ac:dyDescent="0.4">
      <c r="B51" s="108">
        <v>4</v>
      </c>
      <c r="C51" s="12" t="s">
        <v>73</v>
      </c>
      <c r="D51" s="13">
        <v>1</v>
      </c>
      <c r="E51" s="13"/>
      <c r="F51" s="13"/>
      <c r="G51" s="13"/>
      <c r="H51" s="14">
        <v>566.64</v>
      </c>
      <c r="I51" s="14">
        <v>566.64</v>
      </c>
    </row>
    <row r="52" spans="2:9" s="10" customFormat="1" ht="30" x14ac:dyDescent="0.4">
      <c r="B52" s="108">
        <v>5</v>
      </c>
      <c r="C52" s="12" t="s">
        <v>366</v>
      </c>
      <c r="D52" s="13">
        <v>1</v>
      </c>
      <c r="E52" s="13"/>
      <c r="F52" s="13"/>
      <c r="G52" s="13"/>
      <c r="H52" s="14">
        <v>268.2</v>
      </c>
      <c r="I52" s="14">
        <v>268.2</v>
      </c>
    </row>
    <row r="53" spans="2:9" s="10" customFormat="1" ht="30" x14ac:dyDescent="0.4">
      <c r="B53" s="108">
        <v>6</v>
      </c>
      <c r="C53" s="12" t="s">
        <v>287</v>
      </c>
      <c r="D53" s="13">
        <v>1</v>
      </c>
      <c r="E53" s="13"/>
      <c r="F53" s="13"/>
      <c r="G53" s="13"/>
      <c r="H53" s="14">
        <v>271.44</v>
      </c>
      <c r="I53" s="14">
        <v>271.44</v>
      </c>
    </row>
    <row r="54" spans="2:9" s="10" customFormat="1" ht="30" x14ac:dyDescent="0.4">
      <c r="B54" s="108">
        <v>7</v>
      </c>
      <c r="C54" s="12" t="s">
        <v>70</v>
      </c>
      <c r="D54" s="13">
        <v>1</v>
      </c>
      <c r="E54" s="13"/>
      <c r="F54" s="13"/>
      <c r="G54" s="13"/>
      <c r="H54" s="14">
        <v>109.08</v>
      </c>
      <c r="I54" s="14">
        <v>109.08</v>
      </c>
    </row>
    <row r="55" spans="2:9" s="10" customFormat="1" ht="30" x14ac:dyDescent="0.4">
      <c r="B55" s="108">
        <v>8</v>
      </c>
      <c r="C55" s="12" t="s">
        <v>240</v>
      </c>
      <c r="D55" s="13">
        <v>1</v>
      </c>
      <c r="E55" s="13"/>
      <c r="F55" s="13"/>
      <c r="G55" s="13"/>
      <c r="H55" s="14">
        <v>104.76</v>
      </c>
      <c r="I55" s="14">
        <v>104.76</v>
      </c>
    </row>
    <row r="56" spans="2:9" s="10" customFormat="1" ht="30" x14ac:dyDescent="0.4">
      <c r="B56" s="108">
        <v>9</v>
      </c>
      <c r="C56" s="12" t="s">
        <v>123</v>
      </c>
      <c r="D56" s="13">
        <v>2</v>
      </c>
      <c r="E56" s="13"/>
      <c r="F56" s="13"/>
      <c r="G56" s="13"/>
      <c r="H56" s="14">
        <v>98.28</v>
      </c>
      <c r="I56" s="14">
        <v>196.56</v>
      </c>
    </row>
    <row r="57" spans="2:9" s="10" customFormat="1" ht="30" x14ac:dyDescent="0.4">
      <c r="B57" s="108">
        <v>10</v>
      </c>
      <c r="C57" s="12" t="s">
        <v>81</v>
      </c>
      <c r="D57" s="13">
        <v>1</v>
      </c>
      <c r="E57" s="13"/>
      <c r="F57" s="13"/>
      <c r="G57" s="13"/>
      <c r="H57" s="14">
        <v>281.15999999999997</v>
      </c>
      <c r="I57" s="14">
        <v>281.15999999999997</v>
      </c>
    </row>
    <row r="58" spans="2:9" s="10" customFormat="1" ht="30" x14ac:dyDescent="0.4">
      <c r="B58" s="108">
        <v>11</v>
      </c>
      <c r="C58" s="12" t="s">
        <v>107</v>
      </c>
      <c r="D58" s="13">
        <v>1</v>
      </c>
      <c r="E58" s="13"/>
      <c r="F58" s="13"/>
      <c r="G58" s="13"/>
      <c r="H58" s="14">
        <v>281.15999999999997</v>
      </c>
      <c r="I58" s="14">
        <v>281.15999999999997</v>
      </c>
    </row>
    <row r="59" spans="2:9" s="10" customFormat="1" ht="30" x14ac:dyDescent="0.4">
      <c r="B59" s="108">
        <v>12</v>
      </c>
      <c r="C59" s="12" t="s">
        <v>415</v>
      </c>
      <c r="D59" s="13">
        <v>1</v>
      </c>
      <c r="E59" s="13"/>
      <c r="F59" s="13"/>
      <c r="G59" s="13"/>
      <c r="H59" s="14">
        <v>114.48</v>
      </c>
      <c r="I59" s="14">
        <v>114.48</v>
      </c>
    </row>
    <row r="60" spans="2:9" s="10" customFormat="1" ht="30" x14ac:dyDescent="0.4">
      <c r="B60" s="108">
        <v>13</v>
      </c>
      <c r="C60" s="12" t="s">
        <v>414</v>
      </c>
      <c r="D60" s="13">
        <v>1</v>
      </c>
      <c r="E60" s="13"/>
      <c r="F60" s="13"/>
      <c r="G60" s="13"/>
      <c r="H60" s="14">
        <v>110.88000000000001</v>
      </c>
      <c r="I60" s="14">
        <v>110.88000000000001</v>
      </c>
    </row>
    <row r="61" spans="2:9" s="10" customFormat="1" ht="30" x14ac:dyDescent="0.4">
      <c r="B61" s="108">
        <v>14</v>
      </c>
      <c r="C61" s="12" t="s">
        <v>221</v>
      </c>
      <c r="D61" s="13">
        <v>1</v>
      </c>
      <c r="E61" s="13"/>
      <c r="F61" s="13"/>
      <c r="G61" s="13"/>
      <c r="H61" s="14">
        <v>463.68</v>
      </c>
      <c r="I61" s="14">
        <v>463.68</v>
      </c>
    </row>
    <row r="62" spans="2:9" s="10" customFormat="1" ht="30" x14ac:dyDescent="0.4">
      <c r="B62" s="108">
        <v>15</v>
      </c>
      <c r="C62" s="12" t="s">
        <v>139</v>
      </c>
      <c r="D62" s="13">
        <v>1</v>
      </c>
      <c r="E62" s="13"/>
      <c r="F62" s="13"/>
      <c r="G62" s="13"/>
      <c r="H62" s="14">
        <v>126.35999999999999</v>
      </c>
      <c r="I62" s="14">
        <v>126.35999999999999</v>
      </c>
    </row>
    <row r="63" spans="2:9" s="10" customFormat="1" ht="30" x14ac:dyDescent="0.4">
      <c r="B63" s="108">
        <v>16</v>
      </c>
      <c r="C63" s="12" t="s">
        <v>198</v>
      </c>
      <c r="D63" s="13">
        <v>1</v>
      </c>
      <c r="E63" s="13"/>
      <c r="F63" s="13"/>
      <c r="G63" s="13"/>
      <c r="H63" s="14">
        <v>131.76</v>
      </c>
      <c r="I63" s="14">
        <v>131.76</v>
      </c>
    </row>
    <row r="64" spans="2:9" s="10" customFormat="1" ht="30" x14ac:dyDescent="0.4">
      <c r="B64" s="108">
        <v>17</v>
      </c>
      <c r="C64" s="12" t="s">
        <v>111</v>
      </c>
      <c r="D64" s="13">
        <v>1</v>
      </c>
      <c r="E64" s="13"/>
      <c r="F64" s="13"/>
      <c r="G64" s="13"/>
      <c r="H64" s="14">
        <v>84.24</v>
      </c>
      <c r="I64" s="14">
        <v>84.24</v>
      </c>
    </row>
    <row r="65" spans="2:9" s="10" customFormat="1" ht="30" x14ac:dyDescent="0.4">
      <c r="B65" s="108">
        <v>18</v>
      </c>
      <c r="C65" s="12" t="s">
        <v>91</v>
      </c>
      <c r="D65" s="13">
        <v>1</v>
      </c>
      <c r="E65" s="13"/>
      <c r="F65" s="13"/>
      <c r="G65" s="13"/>
      <c r="H65" s="14">
        <v>87.12</v>
      </c>
      <c r="I65" s="14">
        <v>87.12</v>
      </c>
    </row>
    <row r="66" spans="2:9" s="10" customFormat="1" ht="45" x14ac:dyDescent="0.4">
      <c r="B66" s="108">
        <v>19</v>
      </c>
      <c r="C66" s="12" t="s">
        <v>61</v>
      </c>
      <c r="D66" s="13">
        <v>2</v>
      </c>
      <c r="E66" s="13"/>
      <c r="F66" s="13"/>
      <c r="G66" s="13"/>
      <c r="H66" s="14">
        <v>153</v>
      </c>
      <c r="I66" s="14">
        <v>306</v>
      </c>
    </row>
    <row r="67" spans="2:9" s="10" customFormat="1" x14ac:dyDescent="0.4">
      <c r="B67" s="108">
        <v>20</v>
      </c>
      <c r="C67" s="12" t="s">
        <v>413</v>
      </c>
      <c r="D67" s="13">
        <v>2</v>
      </c>
      <c r="E67" s="13"/>
      <c r="F67" s="13"/>
      <c r="G67" s="13"/>
      <c r="H67" s="14">
        <v>174.59999999999997</v>
      </c>
      <c r="I67" s="14">
        <v>349.19999999999993</v>
      </c>
    </row>
    <row r="68" spans="2:9" s="10" customFormat="1" x14ac:dyDescent="0.4">
      <c r="B68" s="108">
        <v>21</v>
      </c>
      <c r="C68" s="12" t="s">
        <v>412</v>
      </c>
      <c r="D68" s="13">
        <v>1</v>
      </c>
      <c r="E68" s="13"/>
      <c r="F68" s="13"/>
      <c r="G68" s="13"/>
      <c r="H68" s="14">
        <v>200.51999999999998</v>
      </c>
      <c r="I68" s="14">
        <v>200.51999999999998</v>
      </c>
    </row>
    <row r="69" spans="2:9" s="10" customFormat="1" x14ac:dyDescent="0.4">
      <c r="B69" s="108">
        <v>22</v>
      </c>
      <c r="C69" s="12" t="s">
        <v>72</v>
      </c>
      <c r="D69" s="13">
        <v>2</v>
      </c>
      <c r="E69" s="13"/>
      <c r="F69" s="13"/>
      <c r="G69" s="13"/>
      <c r="H69" s="14">
        <v>213.12</v>
      </c>
      <c r="I69" s="14">
        <v>426.24</v>
      </c>
    </row>
    <row r="70" spans="2:9" s="10" customFormat="1" x14ac:dyDescent="0.4">
      <c r="B70" s="108">
        <v>23</v>
      </c>
      <c r="C70" s="12" t="s">
        <v>63</v>
      </c>
      <c r="D70" s="13">
        <v>2</v>
      </c>
      <c r="E70" s="13"/>
      <c r="F70" s="13"/>
      <c r="G70" s="13"/>
      <c r="H70" s="14">
        <v>113.4</v>
      </c>
      <c r="I70" s="14">
        <v>226.8</v>
      </c>
    </row>
    <row r="71" spans="2:9" s="10" customFormat="1" x14ac:dyDescent="0.4">
      <c r="B71" s="108">
        <v>24</v>
      </c>
      <c r="C71" s="12" t="s">
        <v>64</v>
      </c>
      <c r="D71" s="13">
        <v>2</v>
      </c>
      <c r="E71" s="13"/>
      <c r="F71" s="13"/>
      <c r="G71" s="13"/>
      <c r="H71" s="14">
        <v>116.28</v>
      </c>
      <c r="I71" s="14">
        <v>232.56</v>
      </c>
    </row>
    <row r="72" spans="2:9" s="10" customFormat="1" ht="30" x14ac:dyDescent="0.4">
      <c r="B72" s="108">
        <v>25</v>
      </c>
      <c r="C72" s="12" t="s">
        <v>66</v>
      </c>
      <c r="D72" s="13">
        <v>4</v>
      </c>
      <c r="E72" s="13"/>
      <c r="F72" s="13"/>
      <c r="G72" s="13"/>
      <c r="H72" s="14">
        <v>116.28</v>
      </c>
      <c r="I72" s="14">
        <v>465.12</v>
      </c>
    </row>
    <row r="73" spans="2:9" s="10" customFormat="1" ht="30" x14ac:dyDescent="0.4">
      <c r="B73" s="108">
        <v>26</v>
      </c>
      <c r="C73" s="12" t="s">
        <v>65</v>
      </c>
      <c r="D73" s="13">
        <v>4</v>
      </c>
      <c r="E73" s="13"/>
      <c r="F73" s="13"/>
      <c r="G73" s="13"/>
      <c r="H73" s="14">
        <v>113.4</v>
      </c>
      <c r="I73" s="14">
        <v>453.6</v>
      </c>
    </row>
    <row r="74" spans="2:9" s="10" customFormat="1" ht="30" x14ac:dyDescent="0.4">
      <c r="B74" s="108">
        <v>27</v>
      </c>
      <c r="C74" s="12" t="s">
        <v>265</v>
      </c>
      <c r="D74" s="13">
        <v>2</v>
      </c>
      <c r="E74" s="13"/>
      <c r="F74" s="13"/>
      <c r="G74" s="13"/>
      <c r="H74" s="14">
        <v>154.08000000000001</v>
      </c>
      <c r="I74" s="14">
        <v>308.16000000000003</v>
      </c>
    </row>
    <row r="75" spans="2:9" s="10" customFormat="1" ht="30" x14ac:dyDescent="0.4">
      <c r="B75" s="108">
        <v>28</v>
      </c>
      <c r="C75" s="12" t="s">
        <v>118</v>
      </c>
      <c r="D75" s="13">
        <v>2</v>
      </c>
      <c r="E75" s="13"/>
      <c r="F75" s="13"/>
      <c r="G75" s="13"/>
      <c r="H75" s="14">
        <v>156.96</v>
      </c>
      <c r="I75" s="14">
        <v>313.92</v>
      </c>
    </row>
    <row r="76" spans="2:9" s="10" customFormat="1" ht="30" x14ac:dyDescent="0.4">
      <c r="B76" s="108">
        <v>29</v>
      </c>
      <c r="C76" s="12" t="s">
        <v>351</v>
      </c>
      <c r="D76" s="13">
        <v>6</v>
      </c>
      <c r="E76" s="13"/>
      <c r="F76" s="13"/>
      <c r="G76" s="13"/>
      <c r="H76" s="14">
        <v>151.56</v>
      </c>
      <c r="I76" s="14">
        <v>909.36</v>
      </c>
    </row>
    <row r="77" spans="2:9" s="10" customFormat="1" ht="30" x14ac:dyDescent="0.4">
      <c r="B77" s="108">
        <v>30</v>
      </c>
      <c r="C77" s="12" t="s">
        <v>217</v>
      </c>
      <c r="D77" s="13">
        <v>2</v>
      </c>
      <c r="E77" s="13"/>
      <c r="F77" s="13"/>
      <c r="G77" s="13"/>
      <c r="H77" s="14">
        <v>174.59999999999997</v>
      </c>
      <c r="I77" s="14">
        <v>349.19999999999993</v>
      </c>
    </row>
    <row r="78" spans="2:9" s="10" customFormat="1" ht="30" x14ac:dyDescent="0.4">
      <c r="B78" s="108">
        <v>31</v>
      </c>
      <c r="C78" s="12" t="s">
        <v>411</v>
      </c>
      <c r="D78" s="13">
        <v>1</v>
      </c>
      <c r="E78" s="13"/>
      <c r="F78" s="13"/>
      <c r="G78" s="13"/>
      <c r="H78" s="14">
        <v>404.28000000000003</v>
      </c>
      <c r="I78" s="14">
        <v>404.28000000000003</v>
      </c>
    </row>
    <row r="79" spans="2:9" s="10" customFormat="1" ht="30" x14ac:dyDescent="0.4">
      <c r="B79" s="108">
        <v>32</v>
      </c>
      <c r="C79" s="12" t="s">
        <v>410</v>
      </c>
      <c r="D79" s="13">
        <v>2</v>
      </c>
      <c r="E79" s="13"/>
      <c r="F79" s="13"/>
      <c r="G79" s="13"/>
      <c r="H79" s="14">
        <v>184.32000000000002</v>
      </c>
      <c r="I79" s="14">
        <v>368.64000000000004</v>
      </c>
    </row>
    <row r="80" spans="2:9" s="10" customFormat="1" ht="60" x14ac:dyDescent="0.4">
      <c r="B80" s="108">
        <v>33</v>
      </c>
      <c r="C80" s="12" t="s">
        <v>409</v>
      </c>
      <c r="D80" s="13">
        <v>1</v>
      </c>
      <c r="E80" s="13"/>
      <c r="F80" s="13"/>
      <c r="G80" s="13"/>
      <c r="H80" s="14">
        <v>9400</v>
      </c>
      <c r="I80" s="14">
        <v>9400</v>
      </c>
    </row>
    <row r="81" spans="2:9" s="10" customFormat="1" x14ac:dyDescent="0.4">
      <c r="B81" s="15"/>
      <c r="C81" s="19"/>
      <c r="D81" s="20">
        <f>SUM(D48:D80)</f>
        <v>57</v>
      </c>
      <c r="E81" s="20"/>
      <c r="F81" s="20"/>
      <c r="G81" s="20"/>
      <c r="H81" s="9"/>
      <c r="I81" s="18">
        <f>SUM(I48:I80)</f>
        <v>18590.800000000003</v>
      </c>
    </row>
    <row r="82" spans="2:9" s="10" customFormat="1" ht="15.75" customHeight="1" x14ac:dyDescent="0.4">
      <c r="B82" s="15"/>
      <c r="C82" s="19"/>
      <c r="D82" s="45"/>
      <c r="E82" s="45"/>
      <c r="F82" s="45"/>
      <c r="G82" s="45"/>
      <c r="H82" s="9"/>
      <c r="I82" s="9"/>
    </row>
    <row r="83" spans="2:9" s="10" customFormat="1" ht="15" customHeight="1" x14ac:dyDescent="0.4">
      <c r="B83" s="124" t="s">
        <v>445</v>
      </c>
      <c r="C83" s="125"/>
      <c r="D83" s="125"/>
      <c r="E83" s="125"/>
      <c r="F83" s="125"/>
      <c r="G83" s="125"/>
      <c r="H83" s="125"/>
      <c r="I83" s="126"/>
    </row>
    <row r="84" spans="2:9" s="10" customFormat="1" ht="30" x14ac:dyDescent="0.4">
      <c r="B84" s="51" t="s">
        <v>21</v>
      </c>
      <c r="C84" s="51" t="s">
        <v>20</v>
      </c>
      <c r="D84" s="51" t="s">
        <v>19</v>
      </c>
      <c r="E84" s="51" t="s">
        <v>523</v>
      </c>
      <c r="F84" s="51" t="s">
        <v>524</v>
      </c>
      <c r="G84" s="51" t="s">
        <v>525</v>
      </c>
      <c r="H84" s="52" t="s">
        <v>18</v>
      </c>
      <c r="I84" s="52" t="s">
        <v>17</v>
      </c>
    </row>
    <row r="85" spans="2:9" s="10" customFormat="1" x14ac:dyDescent="0.4">
      <c r="B85" s="11">
        <v>1</v>
      </c>
      <c r="C85" s="12" t="s">
        <v>461</v>
      </c>
      <c r="D85" s="13">
        <v>1</v>
      </c>
      <c r="E85" s="13"/>
      <c r="F85" s="13"/>
      <c r="G85" s="13"/>
      <c r="H85" s="14">
        <v>105.696</v>
      </c>
      <c r="I85" s="14">
        <f>H85*D85</f>
        <v>105.696</v>
      </c>
    </row>
    <row r="86" spans="2:9" s="10" customFormat="1" x14ac:dyDescent="0.4">
      <c r="B86" s="11">
        <v>2</v>
      </c>
      <c r="C86" s="12" t="s">
        <v>462</v>
      </c>
      <c r="D86" s="13">
        <v>1</v>
      </c>
      <c r="E86" s="13"/>
      <c r="F86" s="13"/>
      <c r="G86" s="13"/>
      <c r="H86" s="14">
        <v>105.696</v>
      </c>
      <c r="I86" s="14">
        <f t="shared" ref="I86:I147" si="0">H86*D86</f>
        <v>105.696</v>
      </c>
    </row>
    <row r="87" spans="2:9" s="10" customFormat="1" x14ac:dyDescent="0.4">
      <c r="B87" s="11">
        <v>3</v>
      </c>
      <c r="C87" s="12" t="s">
        <v>463</v>
      </c>
      <c r="D87" s="13">
        <v>1</v>
      </c>
      <c r="E87" s="13"/>
      <c r="F87" s="13"/>
      <c r="G87" s="13"/>
      <c r="H87" s="14">
        <v>1920.0959999999998</v>
      </c>
      <c r="I87" s="14">
        <f t="shared" si="0"/>
        <v>1920.0959999999998</v>
      </c>
    </row>
    <row r="88" spans="2:9" s="10" customFormat="1" x14ac:dyDescent="0.4">
      <c r="B88" s="11">
        <v>4</v>
      </c>
      <c r="C88" s="12" t="s">
        <v>464</v>
      </c>
      <c r="D88" s="13">
        <v>1</v>
      </c>
      <c r="E88" s="13"/>
      <c r="F88" s="13"/>
      <c r="G88" s="13"/>
      <c r="H88" s="14">
        <v>1152</v>
      </c>
      <c r="I88" s="14">
        <f t="shared" si="0"/>
        <v>1152</v>
      </c>
    </row>
    <row r="89" spans="2:9" s="10" customFormat="1" x14ac:dyDescent="0.4">
      <c r="B89" s="11">
        <v>5</v>
      </c>
      <c r="C89" s="12" t="s">
        <v>465</v>
      </c>
      <c r="D89" s="13">
        <v>1</v>
      </c>
      <c r="E89" s="13"/>
      <c r="F89" s="13"/>
      <c r="G89" s="13"/>
      <c r="H89" s="14">
        <v>192.09599999999998</v>
      </c>
      <c r="I89" s="14">
        <f t="shared" si="0"/>
        <v>192.09599999999998</v>
      </c>
    </row>
    <row r="90" spans="2:9" s="10" customFormat="1" x14ac:dyDescent="0.4">
      <c r="B90" s="11">
        <v>6</v>
      </c>
      <c r="C90" s="12" t="s">
        <v>466</v>
      </c>
      <c r="D90" s="13">
        <v>1</v>
      </c>
      <c r="E90" s="13"/>
      <c r="F90" s="13"/>
      <c r="G90" s="13"/>
      <c r="H90" s="14">
        <v>192.09599999999998</v>
      </c>
      <c r="I90" s="14">
        <f t="shared" si="0"/>
        <v>192.09599999999998</v>
      </c>
    </row>
    <row r="91" spans="2:9" s="10" customFormat="1" x14ac:dyDescent="0.4">
      <c r="B91" s="11">
        <v>7</v>
      </c>
      <c r="C91" s="12" t="s">
        <v>467</v>
      </c>
      <c r="D91" s="13">
        <v>1</v>
      </c>
      <c r="E91" s="13"/>
      <c r="F91" s="13"/>
      <c r="G91" s="13"/>
      <c r="H91" s="14">
        <v>288</v>
      </c>
      <c r="I91" s="14">
        <f t="shared" si="0"/>
        <v>288</v>
      </c>
    </row>
    <row r="92" spans="2:9" s="10" customFormat="1" x14ac:dyDescent="0.4">
      <c r="B92" s="11">
        <v>8</v>
      </c>
      <c r="C92" s="12" t="s">
        <v>468</v>
      </c>
      <c r="D92" s="13">
        <v>1</v>
      </c>
      <c r="E92" s="13"/>
      <c r="F92" s="13"/>
      <c r="G92" s="13"/>
      <c r="H92" s="14">
        <v>336.096</v>
      </c>
      <c r="I92" s="14">
        <f t="shared" si="0"/>
        <v>336.096</v>
      </c>
    </row>
    <row r="93" spans="2:9" s="10" customFormat="1" x14ac:dyDescent="0.4">
      <c r="B93" s="11">
        <v>9</v>
      </c>
      <c r="C93" s="12" t="s">
        <v>469</v>
      </c>
      <c r="D93" s="13">
        <v>1</v>
      </c>
      <c r="E93" s="13"/>
      <c r="F93" s="13"/>
      <c r="G93" s="13"/>
      <c r="H93" s="14">
        <v>48.095999999999997</v>
      </c>
      <c r="I93" s="14">
        <f t="shared" si="0"/>
        <v>48.095999999999997</v>
      </c>
    </row>
    <row r="94" spans="2:9" s="10" customFormat="1" x14ac:dyDescent="0.4">
      <c r="B94" s="11">
        <v>10</v>
      </c>
      <c r="C94" s="12" t="s">
        <v>470</v>
      </c>
      <c r="D94" s="13">
        <v>1</v>
      </c>
      <c r="E94" s="13"/>
      <c r="F94" s="13"/>
      <c r="G94" s="13"/>
      <c r="H94" s="14">
        <v>48.095999999999997</v>
      </c>
      <c r="I94" s="14">
        <f t="shared" si="0"/>
        <v>48.095999999999997</v>
      </c>
    </row>
    <row r="95" spans="2:9" s="10" customFormat="1" x14ac:dyDescent="0.4">
      <c r="B95" s="11">
        <v>11</v>
      </c>
      <c r="C95" s="12" t="s">
        <v>471</v>
      </c>
      <c r="D95" s="13">
        <v>1</v>
      </c>
      <c r="E95" s="13"/>
      <c r="F95" s="13"/>
      <c r="G95" s="13"/>
      <c r="H95" s="14">
        <v>48.095999999999997</v>
      </c>
      <c r="I95" s="14">
        <f t="shared" si="0"/>
        <v>48.095999999999997</v>
      </c>
    </row>
    <row r="96" spans="2:9" s="10" customFormat="1" x14ac:dyDescent="0.4">
      <c r="B96" s="11">
        <v>12</v>
      </c>
      <c r="C96" s="12" t="s">
        <v>76</v>
      </c>
      <c r="D96" s="13">
        <v>4</v>
      </c>
      <c r="E96" s="13"/>
      <c r="F96" s="13"/>
      <c r="G96" s="13"/>
      <c r="H96" s="14">
        <v>83.52000000000001</v>
      </c>
      <c r="I96" s="14">
        <f t="shared" si="0"/>
        <v>334.08000000000004</v>
      </c>
    </row>
    <row r="97" spans="2:9" s="10" customFormat="1" x14ac:dyDescent="0.4">
      <c r="B97" s="11">
        <v>13</v>
      </c>
      <c r="C97" s="12" t="s">
        <v>473</v>
      </c>
      <c r="D97" s="13">
        <v>8</v>
      </c>
      <c r="E97" s="13"/>
      <c r="F97" s="13"/>
      <c r="G97" s="13"/>
      <c r="H97" s="14">
        <v>50.687999999999995</v>
      </c>
      <c r="I97" s="14">
        <f t="shared" si="0"/>
        <v>405.50399999999996</v>
      </c>
    </row>
    <row r="98" spans="2:9" s="10" customFormat="1" x14ac:dyDescent="0.4">
      <c r="B98" s="11">
        <v>14</v>
      </c>
      <c r="C98" s="12" t="s">
        <v>474</v>
      </c>
      <c r="D98" s="13">
        <v>2</v>
      </c>
      <c r="E98" s="13"/>
      <c r="F98" s="13"/>
      <c r="G98" s="13"/>
      <c r="H98" s="14">
        <v>59.6</v>
      </c>
      <c r="I98" s="14">
        <f t="shared" si="0"/>
        <v>119.2</v>
      </c>
    </row>
    <row r="99" spans="2:9" s="10" customFormat="1" x14ac:dyDescent="0.4">
      <c r="B99" s="11">
        <v>15</v>
      </c>
      <c r="C99" s="12" t="s">
        <v>475</v>
      </c>
      <c r="D99" s="13">
        <v>1</v>
      </c>
      <c r="E99" s="13"/>
      <c r="F99" s="13"/>
      <c r="G99" s="13"/>
      <c r="H99" s="14">
        <v>158.4</v>
      </c>
      <c r="I99" s="14">
        <f t="shared" si="0"/>
        <v>158.4</v>
      </c>
    </row>
    <row r="100" spans="2:9" s="10" customFormat="1" x14ac:dyDescent="0.4">
      <c r="B100" s="11">
        <v>16</v>
      </c>
      <c r="C100" s="12" t="s">
        <v>476</v>
      </c>
      <c r="D100" s="13">
        <v>4</v>
      </c>
      <c r="E100" s="13"/>
      <c r="F100" s="13"/>
      <c r="G100" s="13"/>
      <c r="H100" s="14">
        <v>67.103999999999999</v>
      </c>
      <c r="I100" s="14">
        <f t="shared" si="0"/>
        <v>268.416</v>
      </c>
    </row>
    <row r="101" spans="2:9" s="10" customFormat="1" x14ac:dyDescent="0.4">
      <c r="B101" s="11">
        <v>17</v>
      </c>
      <c r="C101" s="12" t="s">
        <v>477</v>
      </c>
      <c r="D101" s="13">
        <v>6</v>
      </c>
      <c r="E101" s="13"/>
      <c r="F101" s="13"/>
      <c r="G101" s="13"/>
      <c r="H101" s="14">
        <v>62.495999999999995</v>
      </c>
      <c r="I101" s="14">
        <f t="shared" si="0"/>
        <v>374.976</v>
      </c>
    </row>
    <row r="102" spans="2:9" s="10" customFormat="1" x14ac:dyDescent="0.4">
      <c r="B102" s="11">
        <v>18</v>
      </c>
      <c r="C102" s="12" t="s">
        <v>478</v>
      </c>
      <c r="D102" s="13">
        <v>4</v>
      </c>
      <c r="E102" s="13"/>
      <c r="F102" s="13"/>
      <c r="G102" s="13"/>
      <c r="H102" s="14">
        <v>144</v>
      </c>
      <c r="I102" s="14">
        <f t="shared" si="0"/>
        <v>576</v>
      </c>
    </row>
    <row r="103" spans="2:9" s="10" customFormat="1" x14ac:dyDescent="0.4">
      <c r="B103" s="11">
        <v>19</v>
      </c>
      <c r="C103" s="12" t="s">
        <v>479</v>
      </c>
      <c r="D103" s="13">
        <v>4</v>
      </c>
      <c r="E103" s="13"/>
      <c r="F103" s="13"/>
      <c r="G103" s="13"/>
      <c r="H103" s="14">
        <v>239.904</v>
      </c>
      <c r="I103" s="14">
        <f t="shared" si="0"/>
        <v>959.61599999999999</v>
      </c>
    </row>
    <row r="104" spans="2:9" s="10" customFormat="1" x14ac:dyDescent="0.4">
      <c r="B104" s="11">
        <v>20</v>
      </c>
      <c r="C104" s="12" t="s">
        <v>480</v>
      </c>
      <c r="D104" s="13">
        <v>1</v>
      </c>
      <c r="E104" s="13"/>
      <c r="F104" s="13"/>
      <c r="G104" s="13"/>
      <c r="H104" s="14">
        <v>48.095999999999997</v>
      </c>
      <c r="I104" s="14">
        <f t="shared" si="0"/>
        <v>48.095999999999997</v>
      </c>
    </row>
    <row r="105" spans="2:9" s="10" customFormat="1" x14ac:dyDescent="0.4">
      <c r="B105" s="11">
        <v>21</v>
      </c>
      <c r="C105" s="12" t="s">
        <v>481</v>
      </c>
      <c r="D105" s="13">
        <v>1</v>
      </c>
      <c r="E105" s="13"/>
      <c r="F105" s="13"/>
      <c r="G105" s="13"/>
      <c r="H105" s="14">
        <v>62.495999999999995</v>
      </c>
      <c r="I105" s="14">
        <f t="shared" si="0"/>
        <v>62.495999999999995</v>
      </c>
    </row>
    <row r="106" spans="2:9" s="10" customFormat="1" x14ac:dyDescent="0.4">
      <c r="B106" s="11">
        <v>22</v>
      </c>
      <c r="C106" s="12" t="s">
        <v>482</v>
      </c>
      <c r="D106" s="13">
        <v>1</v>
      </c>
      <c r="E106" s="13"/>
      <c r="F106" s="13"/>
      <c r="G106" s="13"/>
      <c r="H106" s="14">
        <v>72</v>
      </c>
      <c r="I106" s="14">
        <f t="shared" si="0"/>
        <v>72</v>
      </c>
    </row>
    <row r="107" spans="2:9" s="10" customFormat="1" x14ac:dyDescent="0.4">
      <c r="B107" s="11">
        <v>23</v>
      </c>
      <c r="C107" s="12" t="s">
        <v>483</v>
      </c>
      <c r="D107" s="13">
        <v>1</v>
      </c>
      <c r="E107" s="13"/>
      <c r="F107" s="13"/>
      <c r="G107" s="13"/>
      <c r="H107" s="14">
        <v>120.09599999999999</v>
      </c>
      <c r="I107" s="14">
        <f t="shared" si="0"/>
        <v>120.09599999999999</v>
      </c>
    </row>
    <row r="108" spans="2:9" s="10" customFormat="1" x14ac:dyDescent="0.4">
      <c r="B108" s="11">
        <v>24</v>
      </c>
      <c r="C108" s="12" t="s">
        <v>484</v>
      </c>
      <c r="D108" s="13">
        <v>1</v>
      </c>
      <c r="E108" s="13"/>
      <c r="F108" s="13"/>
      <c r="G108" s="13"/>
      <c r="H108" s="14">
        <v>43.2</v>
      </c>
      <c r="I108" s="14">
        <f t="shared" si="0"/>
        <v>43.2</v>
      </c>
    </row>
    <row r="109" spans="2:9" s="10" customFormat="1" x14ac:dyDescent="0.4">
      <c r="B109" s="11">
        <v>25</v>
      </c>
      <c r="C109" s="12" t="s">
        <v>485</v>
      </c>
      <c r="D109" s="13">
        <v>1</v>
      </c>
      <c r="E109" s="13"/>
      <c r="F109" s="13"/>
      <c r="G109" s="13"/>
      <c r="H109" s="14">
        <v>67.103999999999999</v>
      </c>
      <c r="I109" s="14">
        <f t="shared" si="0"/>
        <v>67.103999999999999</v>
      </c>
    </row>
    <row r="110" spans="2:9" s="10" customFormat="1" x14ac:dyDescent="0.4">
      <c r="B110" s="11">
        <v>26</v>
      </c>
      <c r="C110" s="12" t="s">
        <v>486</v>
      </c>
      <c r="D110" s="13">
        <v>2</v>
      </c>
      <c r="E110" s="13"/>
      <c r="F110" s="13"/>
      <c r="G110" s="13"/>
      <c r="H110" s="14">
        <v>115.19999999999999</v>
      </c>
      <c r="I110" s="14">
        <f t="shared" si="0"/>
        <v>230.39999999999998</v>
      </c>
    </row>
    <row r="111" spans="2:9" s="10" customFormat="1" x14ac:dyDescent="0.4">
      <c r="B111" s="11">
        <v>27</v>
      </c>
      <c r="C111" s="12" t="s">
        <v>487</v>
      </c>
      <c r="D111" s="13">
        <v>2</v>
      </c>
      <c r="E111" s="13"/>
      <c r="F111" s="13"/>
      <c r="G111" s="13"/>
      <c r="H111" s="14">
        <v>172.8</v>
      </c>
      <c r="I111" s="14">
        <f t="shared" si="0"/>
        <v>345.6</v>
      </c>
    </row>
    <row r="112" spans="2:9" s="10" customFormat="1" x14ac:dyDescent="0.4">
      <c r="B112" s="11">
        <v>28</v>
      </c>
      <c r="C112" s="12" t="s">
        <v>488</v>
      </c>
      <c r="D112" s="13">
        <v>2</v>
      </c>
      <c r="E112" s="13"/>
      <c r="F112" s="13"/>
      <c r="G112" s="13"/>
      <c r="H112" s="14">
        <v>211.10399999999998</v>
      </c>
      <c r="I112" s="14">
        <f t="shared" si="0"/>
        <v>422.20799999999997</v>
      </c>
    </row>
    <row r="113" spans="2:9" s="10" customFormat="1" x14ac:dyDescent="0.4">
      <c r="B113" s="11">
        <v>29</v>
      </c>
      <c r="C113" s="12" t="s">
        <v>489</v>
      </c>
      <c r="D113" s="13">
        <v>8</v>
      </c>
      <c r="E113" s="13"/>
      <c r="F113" s="13"/>
      <c r="G113" s="13"/>
      <c r="H113" s="14">
        <v>115.19999999999999</v>
      </c>
      <c r="I113" s="14">
        <f t="shared" si="0"/>
        <v>921.59999999999991</v>
      </c>
    </row>
    <row r="114" spans="2:9" s="10" customFormat="1" x14ac:dyDescent="0.4">
      <c r="B114" s="11">
        <v>30</v>
      </c>
      <c r="C114" s="12" t="s">
        <v>490</v>
      </c>
      <c r="D114" s="13">
        <v>8</v>
      </c>
      <c r="E114" s="13"/>
      <c r="F114" s="13"/>
      <c r="G114" s="13"/>
      <c r="H114" s="14">
        <v>115.19999999999999</v>
      </c>
      <c r="I114" s="14">
        <f t="shared" si="0"/>
        <v>921.59999999999991</v>
      </c>
    </row>
    <row r="115" spans="2:9" s="10" customFormat="1" x14ac:dyDescent="0.4">
      <c r="B115" s="11">
        <v>31</v>
      </c>
      <c r="C115" s="12" t="s">
        <v>491</v>
      </c>
      <c r="D115" s="13">
        <v>2</v>
      </c>
      <c r="E115" s="13"/>
      <c r="F115" s="13"/>
      <c r="G115" s="13"/>
      <c r="H115" s="14">
        <v>268.70400000000001</v>
      </c>
      <c r="I115" s="14">
        <f t="shared" si="0"/>
        <v>537.40800000000002</v>
      </c>
    </row>
    <row r="116" spans="2:9" s="10" customFormat="1" x14ac:dyDescent="0.4">
      <c r="B116" s="11">
        <v>32</v>
      </c>
      <c r="C116" s="12" t="s">
        <v>492</v>
      </c>
      <c r="D116" s="13">
        <v>1</v>
      </c>
      <c r="E116" s="13"/>
      <c r="F116" s="13"/>
      <c r="G116" s="13"/>
      <c r="H116" s="14">
        <v>239.904</v>
      </c>
      <c r="I116" s="14">
        <f t="shared" si="0"/>
        <v>239.904</v>
      </c>
    </row>
    <row r="117" spans="2:9" s="10" customFormat="1" ht="30" x14ac:dyDescent="0.4">
      <c r="B117" s="11">
        <v>33</v>
      </c>
      <c r="C117" s="12" t="s">
        <v>493</v>
      </c>
      <c r="D117" s="13">
        <v>2</v>
      </c>
      <c r="E117" s="13"/>
      <c r="F117" s="13"/>
      <c r="G117" s="13"/>
      <c r="H117" s="14">
        <v>369.50400000000002</v>
      </c>
      <c r="I117" s="14">
        <f t="shared" si="0"/>
        <v>739.00800000000004</v>
      </c>
    </row>
    <row r="118" spans="2:9" s="10" customFormat="1" x14ac:dyDescent="0.4">
      <c r="B118" s="11">
        <v>34</v>
      </c>
      <c r="C118" s="12" t="s">
        <v>494</v>
      </c>
      <c r="D118" s="13">
        <v>1</v>
      </c>
      <c r="E118" s="13"/>
      <c r="F118" s="13"/>
      <c r="G118" s="13"/>
      <c r="H118" s="14">
        <v>172.8</v>
      </c>
      <c r="I118" s="14">
        <f t="shared" si="0"/>
        <v>172.8</v>
      </c>
    </row>
    <row r="119" spans="2:9" s="10" customFormat="1" x14ac:dyDescent="0.4">
      <c r="B119" s="11">
        <v>35</v>
      </c>
      <c r="C119" s="12" t="s">
        <v>495</v>
      </c>
      <c r="D119" s="13">
        <v>1</v>
      </c>
      <c r="E119" s="13"/>
      <c r="F119" s="13"/>
      <c r="G119" s="13"/>
      <c r="H119" s="14">
        <v>167.904</v>
      </c>
      <c r="I119" s="14">
        <f t="shared" si="0"/>
        <v>167.904</v>
      </c>
    </row>
    <row r="120" spans="2:9" s="10" customFormat="1" x14ac:dyDescent="0.4">
      <c r="B120" s="11">
        <v>36</v>
      </c>
      <c r="C120" s="12" t="s">
        <v>496</v>
      </c>
      <c r="D120" s="13">
        <v>2</v>
      </c>
      <c r="E120" s="13"/>
      <c r="F120" s="13"/>
      <c r="G120" s="13"/>
      <c r="H120" s="14">
        <v>211.10399999999998</v>
      </c>
      <c r="I120" s="14">
        <f t="shared" si="0"/>
        <v>422.20799999999997</v>
      </c>
    </row>
    <row r="121" spans="2:9" s="10" customFormat="1" x14ac:dyDescent="0.4">
      <c r="B121" s="11">
        <v>37</v>
      </c>
      <c r="C121" s="12" t="s">
        <v>497</v>
      </c>
      <c r="D121" s="13">
        <v>10</v>
      </c>
      <c r="E121" s="13"/>
      <c r="F121" s="13"/>
      <c r="G121" s="13"/>
      <c r="H121" s="14">
        <v>120.09599999999999</v>
      </c>
      <c r="I121" s="14">
        <f t="shared" si="0"/>
        <v>1200.9599999999998</v>
      </c>
    </row>
    <row r="122" spans="2:9" s="10" customFormat="1" x14ac:dyDescent="0.4">
      <c r="B122" s="11">
        <v>38</v>
      </c>
      <c r="C122" s="12" t="s">
        <v>498</v>
      </c>
      <c r="D122" s="13">
        <v>8</v>
      </c>
      <c r="E122" s="13"/>
      <c r="F122" s="13"/>
      <c r="G122" s="13"/>
      <c r="H122" s="14">
        <v>115.19999999999999</v>
      </c>
      <c r="I122" s="14">
        <f t="shared" si="0"/>
        <v>921.59999999999991</v>
      </c>
    </row>
    <row r="123" spans="2:9" s="10" customFormat="1" x14ac:dyDescent="0.4">
      <c r="B123" s="11">
        <v>39</v>
      </c>
      <c r="C123" s="12" t="s">
        <v>499</v>
      </c>
      <c r="D123" s="13">
        <v>10</v>
      </c>
      <c r="E123" s="13"/>
      <c r="F123" s="13"/>
      <c r="G123" s="13"/>
      <c r="H123" s="14">
        <v>120.09599999999999</v>
      </c>
      <c r="I123" s="14">
        <f t="shared" si="0"/>
        <v>1200.9599999999998</v>
      </c>
    </row>
    <row r="124" spans="2:9" s="10" customFormat="1" x14ac:dyDescent="0.4">
      <c r="B124" s="11">
        <v>40</v>
      </c>
      <c r="C124" s="12" t="s">
        <v>500</v>
      </c>
      <c r="D124" s="13">
        <v>6</v>
      </c>
      <c r="E124" s="13"/>
      <c r="F124" s="13"/>
      <c r="G124" s="13"/>
      <c r="H124" s="14">
        <v>115.19999999999999</v>
      </c>
      <c r="I124" s="14">
        <f t="shared" si="0"/>
        <v>691.19999999999993</v>
      </c>
    </row>
    <row r="125" spans="2:9" s="10" customFormat="1" x14ac:dyDescent="0.4">
      <c r="B125" s="11">
        <v>41</v>
      </c>
      <c r="C125" s="12" t="s">
        <v>501</v>
      </c>
      <c r="D125" s="13">
        <v>4</v>
      </c>
      <c r="E125" s="13"/>
      <c r="F125" s="13"/>
      <c r="G125" s="13"/>
      <c r="H125" s="14">
        <v>129.6</v>
      </c>
      <c r="I125" s="14">
        <f t="shared" si="0"/>
        <v>518.4</v>
      </c>
    </row>
    <row r="126" spans="2:9" s="10" customFormat="1" x14ac:dyDescent="0.4">
      <c r="B126" s="11">
        <v>42</v>
      </c>
      <c r="C126" s="12" t="s">
        <v>502</v>
      </c>
      <c r="D126" s="13">
        <v>6</v>
      </c>
      <c r="E126" s="13"/>
      <c r="F126" s="13"/>
      <c r="G126" s="13"/>
      <c r="H126" s="14">
        <v>124.70399999999999</v>
      </c>
      <c r="I126" s="14">
        <f t="shared" si="0"/>
        <v>748.22399999999993</v>
      </c>
    </row>
    <row r="127" spans="2:9" s="10" customFormat="1" x14ac:dyDescent="0.4">
      <c r="B127" s="11">
        <v>43</v>
      </c>
      <c r="C127" s="12" t="s">
        <v>503</v>
      </c>
      <c r="D127" s="13">
        <v>4</v>
      </c>
      <c r="E127" s="13"/>
      <c r="F127" s="13"/>
      <c r="G127" s="13"/>
      <c r="H127" s="14">
        <v>216</v>
      </c>
      <c r="I127" s="14">
        <f t="shared" si="0"/>
        <v>864</v>
      </c>
    </row>
    <row r="128" spans="2:9" s="10" customFormat="1" x14ac:dyDescent="0.4">
      <c r="B128" s="11">
        <v>44</v>
      </c>
      <c r="C128" s="12" t="s">
        <v>504</v>
      </c>
      <c r="D128" s="13">
        <v>2</v>
      </c>
      <c r="E128" s="13"/>
      <c r="F128" s="13"/>
      <c r="G128" s="13"/>
      <c r="H128" s="14">
        <v>239.904</v>
      </c>
      <c r="I128" s="14">
        <f t="shared" si="0"/>
        <v>479.80799999999999</v>
      </c>
    </row>
    <row r="129" spans="2:9" s="10" customFormat="1" x14ac:dyDescent="0.4">
      <c r="B129" s="11">
        <v>45</v>
      </c>
      <c r="C129" s="12" t="s">
        <v>505</v>
      </c>
      <c r="D129" s="13">
        <v>1</v>
      </c>
      <c r="E129" s="13"/>
      <c r="F129" s="13"/>
      <c r="G129" s="13"/>
      <c r="H129" s="14">
        <v>120.09599999999999</v>
      </c>
      <c r="I129" s="14">
        <f t="shared" si="0"/>
        <v>120.09599999999999</v>
      </c>
    </row>
    <row r="130" spans="2:9" s="10" customFormat="1" x14ac:dyDescent="0.4">
      <c r="B130" s="11">
        <v>46</v>
      </c>
      <c r="C130" s="12" t="s">
        <v>506</v>
      </c>
      <c r="D130" s="13">
        <v>2</v>
      </c>
      <c r="E130" s="13"/>
      <c r="F130" s="13"/>
      <c r="G130" s="13"/>
      <c r="H130" s="14">
        <v>144</v>
      </c>
      <c r="I130" s="14">
        <f t="shared" si="0"/>
        <v>288</v>
      </c>
    </row>
    <row r="131" spans="2:9" s="10" customFormat="1" x14ac:dyDescent="0.4">
      <c r="B131" s="11">
        <v>47</v>
      </c>
      <c r="C131" s="12" t="s">
        <v>507</v>
      </c>
      <c r="D131" s="13">
        <v>2</v>
      </c>
      <c r="E131" s="13"/>
      <c r="F131" s="13"/>
      <c r="G131" s="13"/>
      <c r="H131" s="14">
        <v>239.904</v>
      </c>
      <c r="I131" s="14">
        <f t="shared" si="0"/>
        <v>479.80799999999999</v>
      </c>
    </row>
    <row r="132" spans="2:9" s="10" customFormat="1" x14ac:dyDescent="0.4">
      <c r="B132" s="11">
        <v>48</v>
      </c>
      <c r="C132" s="12" t="s">
        <v>508</v>
      </c>
      <c r="D132" s="13">
        <v>1</v>
      </c>
      <c r="E132" s="13"/>
      <c r="F132" s="13"/>
      <c r="G132" s="13"/>
      <c r="H132" s="14">
        <v>283.10400000000004</v>
      </c>
      <c r="I132" s="14">
        <f t="shared" si="0"/>
        <v>283.10400000000004</v>
      </c>
    </row>
    <row r="133" spans="2:9" s="10" customFormat="1" x14ac:dyDescent="0.4">
      <c r="B133" s="11">
        <v>49</v>
      </c>
      <c r="C133" s="12" t="s">
        <v>509</v>
      </c>
      <c r="D133" s="13">
        <v>1</v>
      </c>
      <c r="E133" s="13"/>
      <c r="F133" s="13"/>
      <c r="G133" s="13"/>
      <c r="H133" s="14">
        <v>480.09600000000006</v>
      </c>
      <c r="I133" s="14">
        <f t="shared" si="0"/>
        <v>480.09600000000006</v>
      </c>
    </row>
    <row r="134" spans="2:9" s="10" customFormat="1" x14ac:dyDescent="0.4">
      <c r="B134" s="11">
        <v>50</v>
      </c>
      <c r="C134" s="12" t="s">
        <v>510</v>
      </c>
      <c r="D134" s="13">
        <v>1</v>
      </c>
      <c r="E134" s="13"/>
      <c r="F134" s="13"/>
      <c r="G134" s="13"/>
      <c r="H134" s="14">
        <v>167.904</v>
      </c>
      <c r="I134" s="14">
        <f t="shared" si="0"/>
        <v>167.904</v>
      </c>
    </row>
    <row r="135" spans="2:9" s="10" customFormat="1" x14ac:dyDescent="0.4">
      <c r="B135" s="11">
        <v>51</v>
      </c>
      <c r="C135" s="12" t="s">
        <v>511</v>
      </c>
      <c r="D135" s="13">
        <v>2</v>
      </c>
      <c r="E135" s="13"/>
      <c r="F135" s="13"/>
      <c r="G135" s="13"/>
      <c r="H135" s="14">
        <v>791.99999999999989</v>
      </c>
      <c r="I135" s="14">
        <f t="shared" si="0"/>
        <v>1583.9999999999998</v>
      </c>
    </row>
    <row r="136" spans="2:9" s="10" customFormat="1" x14ac:dyDescent="0.4">
      <c r="B136" s="11">
        <v>52</v>
      </c>
      <c r="C136" s="12" t="s">
        <v>512</v>
      </c>
      <c r="D136" s="13">
        <v>1</v>
      </c>
      <c r="E136" s="13"/>
      <c r="F136" s="13"/>
      <c r="G136" s="13"/>
      <c r="H136" s="14">
        <v>26.495999999999999</v>
      </c>
      <c r="I136" s="14">
        <f t="shared" si="0"/>
        <v>26.495999999999999</v>
      </c>
    </row>
    <row r="137" spans="2:9" s="10" customFormat="1" x14ac:dyDescent="0.4">
      <c r="B137" s="11">
        <v>53</v>
      </c>
      <c r="C137" s="12" t="s">
        <v>513</v>
      </c>
      <c r="D137" s="13">
        <v>1</v>
      </c>
      <c r="E137" s="13"/>
      <c r="F137" s="13"/>
      <c r="G137" s="13"/>
      <c r="H137" s="14">
        <v>137.952</v>
      </c>
      <c r="I137" s="14">
        <f t="shared" si="0"/>
        <v>137.952</v>
      </c>
    </row>
    <row r="138" spans="2:9" s="10" customFormat="1" x14ac:dyDescent="0.4">
      <c r="B138" s="11">
        <v>54</v>
      </c>
      <c r="C138" s="12" t="s">
        <v>514</v>
      </c>
      <c r="D138" s="13">
        <v>1</v>
      </c>
      <c r="E138" s="13"/>
      <c r="F138" s="13"/>
      <c r="G138" s="13"/>
      <c r="H138" s="14">
        <v>161.85599999999999</v>
      </c>
      <c r="I138" s="14">
        <f t="shared" si="0"/>
        <v>161.85599999999999</v>
      </c>
    </row>
    <row r="139" spans="2:9" s="10" customFormat="1" x14ac:dyDescent="0.4">
      <c r="B139" s="11">
        <v>55</v>
      </c>
      <c r="C139" s="12" t="s">
        <v>515</v>
      </c>
      <c r="D139" s="13">
        <v>1</v>
      </c>
      <c r="E139" s="13"/>
      <c r="F139" s="13"/>
      <c r="G139" s="13"/>
      <c r="H139" s="14">
        <v>137.952</v>
      </c>
      <c r="I139" s="14">
        <f t="shared" si="0"/>
        <v>137.952</v>
      </c>
    </row>
    <row r="140" spans="2:9" s="10" customFormat="1" x14ac:dyDescent="0.4">
      <c r="B140" s="11">
        <v>56</v>
      </c>
      <c r="C140" s="12" t="s">
        <v>516</v>
      </c>
      <c r="D140" s="13">
        <v>1</v>
      </c>
      <c r="E140" s="13"/>
      <c r="F140" s="13"/>
      <c r="G140" s="13"/>
      <c r="H140" s="14">
        <v>161.85599999999999</v>
      </c>
      <c r="I140" s="14">
        <f t="shared" si="0"/>
        <v>161.85599999999999</v>
      </c>
    </row>
    <row r="141" spans="2:9" s="10" customFormat="1" x14ac:dyDescent="0.4">
      <c r="B141" s="11">
        <v>57</v>
      </c>
      <c r="C141" s="12" t="s">
        <v>517</v>
      </c>
      <c r="D141" s="13">
        <v>2</v>
      </c>
      <c r="E141" s="13"/>
      <c r="F141" s="13"/>
      <c r="G141" s="13"/>
      <c r="H141" s="14">
        <v>209.95199999999997</v>
      </c>
      <c r="I141" s="14">
        <f t="shared" si="0"/>
        <v>419.90399999999994</v>
      </c>
    </row>
    <row r="142" spans="2:9" s="10" customFormat="1" x14ac:dyDescent="0.4">
      <c r="B142" s="11">
        <v>58</v>
      </c>
      <c r="C142" s="12" t="s">
        <v>518</v>
      </c>
      <c r="D142" s="13">
        <v>1</v>
      </c>
      <c r="E142" s="13"/>
      <c r="F142" s="13"/>
      <c r="G142" s="13"/>
      <c r="H142" s="14">
        <v>204.19200000000001</v>
      </c>
      <c r="I142" s="14">
        <f t="shared" si="0"/>
        <v>204.19200000000001</v>
      </c>
    </row>
    <row r="143" spans="2:9" s="10" customFormat="1" x14ac:dyDescent="0.4">
      <c r="B143" s="11">
        <v>59</v>
      </c>
      <c r="C143" s="12" t="s">
        <v>519</v>
      </c>
      <c r="D143" s="13">
        <v>1</v>
      </c>
      <c r="E143" s="13"/>
      <c r="F143" s="13"/>
      <c r="G143" s="13"/>
      <c r="H143" s="14">
        <v>156.096</v>
      </c>
      <c r="I143" s="14">
        <f t="shared" si="0"/>
        <v>156.096</v>
      </c>
    </row>
    <row r="144" spans="2:9" s="10" customFormat="1" x14ac:dyDescent="0.4">
      <c r="B144" s="11">
        <v>60</v>
      </c>
      <c r="C144" s="12" t="s">
        <v>520</v>
      </c>
      <c r="D144" s="13">
        <v>1</v>
      </c>
      <c r="E144" s="13"/>
      <c r="F144" s="13"/>
      <c r="G144" s="13"/>
      <c r="H144" s="14">
        <v>345.6</v>
      </c>
      <c r="I144" s="14">
        <f t="shared" si="0"/>
        <v>345.6</v>
      </c>
    </row>
    <row r="145" spans="1:9" s="10" customFormat="1" x14ac:dyDescent="0.4">
      <c r="B145" s="11">
        <v>61</v>
      </c>
      <c r="C145" s="12" t="s">
        <v>521</v>
      </c>
      <c r="D145" s="13">
        <v>1</v>
      </c>
      <c r="E145" s="13"/>
      <c r="F145" s="13"/>
      <c r="G145" s="13"/>
      <c r="H145" s="14">
        <v>345.6</v>
      </c>
      <c r="I145" s="14">
        <f t="shared" si="0"/>
        <v>345.6</v>
      </c>
    </row>
    <row r="146" spans="1:9" s="10" customFormat="1" x14ac:dyDescent="0.4">
      <c r="B146" s="11">
        <v>62</v>
      </c>
      <c r="C146" s="12" t="s">
        <v>522</v>
      </c>
      <c r="D146" s="13">
        <v>1</v>
      </c>
      <c r="E146" s="13"/>
      <c r="F146" s="13"/>
      <c r="G146" s="13"/>
      <c r="H146" s="14">
        <v>345.6</v>
      </c>
      <c r="I146" s="14">
        <f t="shared" si="0"/>
        <v>345.6</v>
      </c>
    </row>
    <row r="147" spans="1:9" s="10" customFormat="1" ht="60" x14ac:dyDescent="0.4">
      <c r="B147" s="11">
        <v>63</v>
      </c>
      <c r="C147" s="12" t="s">
        <v>314</v>
      </c>
      <c r="D147" s="13">
        <v>2</v>
      </c>
      <c r="E147" s="13"/>
      <c r="F147" s="13"/>
      <c r="G147" s="13"/>
      <c r="H147" s="14">
        <v>8840</v>
      </c>
      <c r="I147" s="14">
        <f t="shared" si="0"/>
        <v>17680</v>
      </c>
    </row>
    <row r="148" spans="1:9" s="10" customFormat="1" x14ac:dyDescent="0.4">
      <c r="B148" s="15"/>
      <c r="C148" s="19"/>
      <c r="D148" s="20">
        <f>SUM(D85:D147)</f>
        <v>155</v>
      </c>
      <c r="E148" s="20"/>
      <c r="F148" s="20"/>
      <c r="G148" s="20"/>
      <c r="H148" s="9"/>
      <c r="I148" s="18">
        <f>SUM(I85:I147)</f>
        <v>43317.152000000002</v>
      </c>
    </row>
    <row r="149" spans="1:9" customFormat="1" ht="14.25" x14ac:dyDescent="0.45">
      <c r="A149" s="7"/>
      <c r="C149" s="56"/>
      <c r="D149" s="8"/>
      <c r="E149" s="8"/>
      <c r="F149" s="8"/>
      <c r="G149" s="8"/>
      <c r="H149" s="8"/>
    </row>
    <row r="150" spans="1:9" s="10" customFormat="1" ht="15" customHeight="1" x14ac:dyDescent="0.4">
      <c r="B150" s="124" t="s">
        <v>446</v>
      </c>
      <c r="C150" s="125"/>
      <c r="D150" s="125"/>
      <c r="E150" s="125"/>
      <c r="F150" s="125"/>
      <c r="G150" s="125"/>
      <c r="H150" s="125"/>
      <c r="I150" s="126"/>
    </row>
    <row r="151" spans="1:9" s="10" customFormat="1" ht="30" x14ac:dyDescent="0.4">
      <c r="B151" s="51" t="s">
        <v>21</v>
      </c>
      <c r="C151" s="51" t="s">
        <v>20</v>
      </c>
      <c r="D151" s="51" t="s">
        <v>19</v>
      </c>
      <c r="E151" s="51" t="s">
        <v>523</v>
      </c>
      <c r="F151" s="51" t="s">
        <v>524</v>
      </c>
      <c r="G151" s="51" t="s">
        <v>525</v>
      </c>
      <c r="H151" s="52" t="s">
        <v>18</v>
      </c>
      <c r="I151" s="52" t="s">
        <v>17</v>
      </c>
    </row>
    <row r="152" spans="1:9" s="10" customFormat="1" x14ac:dyDescent="0.4">
      <c r="B152" s="108">
        <v>1</v>
      </c>
      <c r="C152" s="12" t="s">
        <v>76</v>
      </c>
      <c r="D152" s="13">
        <v>2</v>
      </c>
      <c r="E152" s="13"/>
      <c r="F152" s="13"/>
      <c r="G152" s="13"/>
      <c r="H152" s="14">
        <v>83.52000000000001</v>
      </c>
      <c r="I152" s="14">
        <f>H152*D152</f>
        <v>167.04000000000002</v>
      </c>
    </row>
    <row r="153" spans="1:9" s="10" customFormat="1" x14ac:dyDescent="0.4">
      <c r="B153" s="11">
        <v>2</v>
      </c>
      <c r="C153" s="12" t="s">
        <v>164</v>
      </c>
      <c r="D153" s="13">
        <v>1</v>
      </c>
      <c r="E153" s="13"/>
      <c r="F153" s="13"/>
      <c r="G153" s="13"/>
      <c r="H153" s="14">
        <v>352.08</v>
      </c>
      <c r="I153" s="14">
        <f t="shared" ref="I153:I173" si="1">H153*D153</f>
        <v>352.08</v>
      </c>
    </row>
    <row r="154" spans="1:9" s="10" customFormat="1" x14ac:dyDescent="0.4">
      <c r="B154" s="11">
        <v>3</v>
      </c>
      <c r="C154" s="12" t="s">
        <v>389</v>
      </c>
      <c r="D154" s="13">
        <v>1</v>
      </c>
      <c r="E154" s="13"/>
      <c r="F154" s="13"/>
      <c r="G154" s="13"/>
      <c r="H154" s="14">
        <v>323.28000000000003</v>
      </c>
      <c r="I154" s="14">
        <f t="shared" si="1"/>
        <v>323.28000000000003</v>
      </c>
    </row>
    <row r="155" spans="1:9" s="10" customFormat="1" x14ac:dyDescent="0.4">
      <c r="B155" s="11">
        <v>4</v>
      </c>
      <c r="C155" s="12" t="s">
        <v>165</v>
      </c>
      <c r="D155" s="13">
        <v>1</v>
      </c>
      <c r="E155" s="13"/>
      <c r="F155" s="13"/>
      <c r="G155" s="13"/>
      <c r="H155" s="14">
        <v>230.03999999999996</v>
      </c>
      <c r="I155" s="14">
        <f t="shared" si="1"/>
        <v>230.03999999999996</v>
      </c>
    </row>
    <row r="156" spans="1:9" s="10" customFormat="1" x14ac:dyDescent="0.4">
      <c r="B156" s="11">
        <v>5</v>
      </c>
      <c r="C156" s="12" t="s">
        <v>397</v>
      </c>
      <c r="D156" s="13">
        <v>1</v>
      </c>
      <c r="E156" s="13"/>
      <c r="F156" s="13"/>
      <c r="G156" s="13"/>
      <c r="H156" s="14">
        <v>169.91999999999996</v>
      </c>
      <c r="I156" s="14">
        <f t="shared" si="1"/>
        <v>169.91999999999996</v>
      </c>
    </row>
    <row r="157" spans="1:9" s="10" customFormat="1" ht="30" x14ac:dyDescent="0.4">
      <c r="B157" s="11">
        <v>6</v>
      </c>
      <c r="C157" s="12" t="s">
        <v>408</v>
      </c>
      <c r="D157" s="13">
        <v>1</v>
      </c>
      <c r="E157" s="13"/>
      <c r="F157" s="13"/>
      <c r="G157" s="13"/>
      <c r="H157" s="14">
        <v>309.24</v>
      </c>
      <c r="I157" s="14">
        <f t="shared" si="1"/>
        <v>309.24</v>
      </c>
    </row>
    <row r="158" spans="1:9" s="10" customFormat="1" ht="30" x14ac:dyDescent="0.4">
      <c r="B158" s="11">
        <v>7</v>
      </c>
      <c r="C158" s="12" t="s">
        <v>407</v>
      </c>
      <c r="D158" s="13">
        <v>1</v>
      </c>
      <c r="E158" s="13"/>
      <c r="F158" s="13"/>
      <c r="G158" s="13"/>
      <c r="H158" s="14">
        <v>306.36</v>
      </c>
      <c r="I158" s="14">
        <f t="shared" si="1"/>
        <v>306.36</v>
      </c>
    </row>
    <row r="159" spans="1:9" s="10" customFormat="1" ht="30" x14ac:dyDescent="0.4">
      <c r="B159" s="11">
        <v>8</v>
      </c>
      <c r="C159" s="12" t="s">
        <v>406</v>
      </c>
      <c r="D159" s="13">
        <v>1</v>
      </c>
      <c r="E159" s="13"/>
      <c r="F159" s="13"/>
      <c r="G159" s="13"/>
      <c r="H159" s="14">
        <v>496.8</v>
      </c>
      <c r="I159" s="14">
        <f t="shared" si="1"/>
        <v>496.8</v>
      </c>
    </row>
    <row r="160" spans="1:9" s="10" customFormat="1" ht="30" x14ac:dyDescent="0.4">
      <c r="B160" s="11">
        <v>9</v>
      </c>
      <c r="C160" s="12" t="s">
        <v>405</v>
      </c>
      <c r="D160" s="13">
        <v>1</v>
      </c>
      <c r="E160" s="13"/>
      <c r="F160" s="13"/>
      <c r="G160" s="13"/>
      <c r="H160" s="14">
        <v>496.8</v>
      </c>
      <c r="I160" s="14">
        <f t="shared" si="1"/>
        <v>496.8</v>
      </c>
    </row>
    <row r="161" spans="2:9" s="10" customFormat="1" ht="30" x14ac:dyDescent="0.4">
      <c r="B161" s="11">
        <v>10</v>
      </c>
      <c r="C161" s="12" t="s">
        <v>404</v>
      </c>
      <c r="D161" s="13">
        <v>1</v>
      </c>
      <c r="E161" s="13"/>
      <c r="F161" s="13"/>
      <c r="G161" s="13"/>
      <c r="H161" s="14">
        <v>496.8</v>
      </c>
      <c r="I161" s="14">
        <f t="shared" si="1"/>
        <v>496.8</v>
      </c>
    </row>
    <row r="162" spans="2:9" s="10" customFormat="1" ht="30" x14ac:dyDescent="0.4">
      <c r="B162" s="11">
        <v>11</v>
      </c>
      <c r="C162" s="12" t="s">
        <v>403</v>
      </c>
      <c r="D162" s="13">
        <v>1</v>
      </c>
      <c r="E162" s="13"/>
      <c r="F162" s="13"/>
      <c r="G162" s="13"/>
      <c r="H162" s="14">
        <v>249.12</v>
      </c>
      <c r="I162" s="14">
        <f t="shared" si="1"/>
        <v>249.12</v>
      </c>
    </row>
    <row r="163" spans="2:9" s="10" customFormat="1" ht="30" x14ac:dyDescent="0.4">
      <c r="B163" s="11">
        <v>12</v>
      </c>
      <c r="C163" s="12" t="s">
        <v>402</v>
      </c>
      <c r="D163" s="13">
        <v>1</v>
      </c>
      <c r="E163" s="13"/>
      <c r="F163" s="13"/>
      <c r="G163" s="13"/>
      <c r="H163" s="14">
        <v>249.12</v>
      </c>
      <c r="I163" s="14">
        <f t="shared" si="1"/>
        <v>249.12</v>
      </c>
    </row>
    <row r="164" spans="2:9" s="10" customFormat="1" ht="30" x14ac:dyDescent="0.4">
      <c r="B164" s="11">
        <v>13</v>
      </c>
      <c r="C164" s="12" t="s">
        <v>401</v>
      </c>
      <c r="D164" s="13">
        <v>1</v>
      </c>
      <c r="E164" s="13"/>
      <c r="F164" s="13"/>
      <c r="G164" s="13"/>
      <c r="H164" s="14">
        <v>249.12</v>
      </c>
      <c r="I164" s="14">
        <f t="shared" si="1"/>
        <v>249.12</v>
      </c>
    </row>
    <row r="165" spans="2:9" s="10" customFormat="1" ht="30" x14ac:dyDescent="0.4">
      <c r="B165" s="11">
        <v>14</v>
      </c>
      <c r="C165" s="12" t="s">
        <v>400</v>
      </c>
      <c r="D165" s="13">
        <v>1</v>
      </c>
      <c r="E165" s="13"/>
      <c r="F165" s="13"/>
      <c r="G165" s="13"/>
      <c r="H165" s="14">
        <v>249.12</v>
      </c>
      <c r="I165" s="14">
        <f t="shared" si="1"/>
        <v>249.12</v>
      </c>
    </row>
    <row r="166" spans="2:9" s="10" customFormat="1" ht="30" x14ac:dyDescent="0.4">
      <c r="B166" s="11">
        <v>15</v>
      </c>
      <c r="C166" s="12" t="s">
        <v>317</v>
      </c>
      <c r="D166" s="13">
        <v>1</v>
      </c>
      <c r="E166" s="13"/>
      <c r="F166" s="13"/>
      <c r="G166" s="13"/>
      <c r="H166" s="14">
        <v>262.08000000000004</v>
      </c>
      <c r="I166" s="14">
        <f t="shared" si="1"/>
        <v>262.08000000000004</v>
      </c>
    </row>
    <row r="167" spans="2:9" s="10" customFormat="1" ht="30" x14ac:dyDescent="0.4">
      <c r="B167" s="11">
        <v>16</v>
      </c>
      <c r="C167" s="12" t="s">
        <v>399</v>
      </c>
      <c r="D167" s="13">
        <v>1</v>
      </c>
      <c r="E167" s="13"/>
      <c r="F167" s="13"/>
      <c r="G167" s="13"/>
      <c r="H167" s="14">
        <v>175.32</v>
      </c>
      <c r="I167" s="14">
        <f t="shared" si="1"/>
        <v>175.32</v>
      </c>
    </row>
    <row r="168" spans="2:9" s="10" customFormat="1" x14ac:dyDescent="0.4">
      <c r="B168" s="11">
        <v>17</v>
      </c>
      <c r="C168" s="12" t="s">
        <v>398</v>
      </c>
      <c r="D168" s="13">
        <v>1</v>
      </c>
      <c r="E168" s="13"/>
      <c r="F168" s="13"/>
      <c r="G168" s="13"/>
      <c r="H168" s="14">
        <v>352.08</v>
      </c>
      <c r="I168" s="14">
        <f t="shared" si="1"/>
        <v>352.08</v>
      </c>
    </row>
    <row r="169" spans="2:9" s="10" customFormat="1" x14ac:dyDescent="0.4">
      <c r="B169" s="11">
        <v>18</v>
      </c>
      <c r="C169" s="12" t="s">
        <v>100</v>
      </c>
      <c r="D169" s="13">
        <v>1</v>
      </c>
      <c r="E169" s="13"/>
      <c r="F169" s="13"/>
      <c r="G169" s="13"/>
      <c r="H169" s="14">
        <v>146.88</v>
      </c>
      <c r="I169" s="14">
        <f t="shared" si="1"/>
        <v>146.88</v>
      </c>
    </row>
    <row r="170" spans="2:9" s="10" customFormat="1" ht="30" x14ac:dyDescent="0.4">
      <c r="B170" s="11">
        <v>19</v>
      </c>
      <c r="C170" s="12" t="s">
        <v>365</v>
      </c>
      <c r="D170" s="13">
        <v>1</v>
      </c>
      <c r="E170" s="13"/>
      <c r="F170" s="13"/>
      <c r="G170" s="13"/>
      <c r="H170" s="14">
        <v>130.68</v>
      </c>
      <c r="I170" s="14">
        <f t="shared" si="1"/>
        <v>130.68</v>
      </c>
    </row>
    <row r="171" spans="2:9" s="10" customFormat="1" ht="30" x14ac:dyDescent="0.4">
      <c r="B171" s="11">
        <v>20</v>
      </c>
      <c r="C171" s="12" t="s">
        <v>121</v>
      </c>
      <c r="D171" s="13">
        <v>1</v>
      </c>
      <c r="E171" s="13"/>
      <c r="F171" s="13"/>
      <c r="G171" s="13"/>
      <c r="H171" s="14">
        <v>126.35999999999999</v>
      </c>
      <c r="I171" s="14">
        <f t="shared" si="1"/>
        <v>126.35999999999999</v>
      </c>
    </row>
    <row r="172" spans="2:9" s="10" customFormat="1" ht="30" x14ac:dyDescent="0.4">
      <c r="B172" s="11">
        <v>21</v>
      </c>
      <c r="C172" s="12" t="s">
        <v>73</v>
      </c>
      <c r="D172" s="13">
        <v>1</v>
      </c>
      <c r="E172" s="13"/>
      <c r="F172" s="13"/>
      <c r="G172" s="13"/>
      <c r="H172" s="14">
        <v>566.64</v>
      </c>
      <c r="I172" s="14">
        <f t="shared" si="1"/>
        <v>566.64</v>
      </c>
    </row>
    <row r="173" spans="2:9" s="10" customFormat="1" ht="60" x14ac:dyDescent="0.4">
      <c r="B173" s="11">
        <v>22</v>
      </c>
      <c r="C173" s="12" t="s">
        <v>314</v>
      </c>
      <c r="D173" s="13">
        <v>1</v>
      </c>
      <c r="E173" s="13"/>
      <c r="F173" s="13"/>
      <c r="G173" s="13"/>
      <c r="H173" s="14">
        <v>8840</v>
      </c>
      <c r="I173" s="14">
        <f t="shared" si="1"/>
        <v>8840</v>
      </c>
    </row>
    <row r="174" spans="2:9" s="10" customFormat="1" x14ac:dyDescent="0.4">
      <c r="B174" s="15"/>
      <c r="C174" s="16"/>
      <c r="D174" s="17">
        <f>SUM(D152:D173)</f>
        <v>23</v>
      </c>
      <c r="E174" s="45"/>
      <c r="F174" s="45"/>
      <c r="G174" s="45"/>
      <c r="H174" s="9"/>
      <c r="I174" s="18">
        <f>SUM(I152:I173)</f>
        <v>14944.880000000001</v>
      </c>
    </row>
    <row r="176" spans="2:9" s="10" customFormat="1" ht="15" customHeight="1" x14ac:dyDescent="0.4">
      <c r="B176" s="124" t="s">
        <v>447</v>
      </c>
      <c r="C176" s="125"/>
      <c r="D176" s="125"/>
      <c r="E176" s="125"/>
      <c r="F176" s="125"/>
      <c r="G176" s="125"/>
      <c r="H176" s="125"/>
      <c r="I176" s="126"/>
    </row>
    <row r="177" spans="2:9" s="10" customFormat="1" ht="30" x14ac:dyDescent="0.4">
      <c r="B177" s="51" t="s">
        <v>21</v>
      </c>
      <c r="C177" s="51" t="s">
        <v>20</v>
      </c>
      <c r="D177" s="51" t="s">
        <v>19</v>
      </c>
      <c r="E177" s="51" t="s">
        <v>523</v>
      </c>
      <c r="F177" s="51" t="s">
        <v>524</v>
      </c>
      <c r="G177" s="51" t="s">
        <v>525</v>
      </c>
      <c r="H177" s="52" t="s">
        <v>18</v>
      </c>
      <c r="I177" s="52" t="s">
        <v>17</v>
      </c>
    </row>
    <row r="178" spans="2:9" s="10" customFormat="1" x14ac:dyDescent="0.4">
      <c r="B178" s="11">
        <v>1</v>
      </c>
      <c r="C178" s="12" t="s">
        <v>76</v>
      </c>
      <c r="D178" s="13">
        <v>3</v>
      </c>
      <c r="E178" s="13"/>
      <c r="F178" s="13"/>
      <c r="G178" s="13"/>
      <c r="H178" s="14">
        <v>83.52000000000001</v>
      </c>
      <c r="I178" s="14">
        <f>H178*D178</f>
        <v>250.56000000000003</v>
      </c>
    </row>
    <row r="179" spans="2:9" s="10" customFormat="1" x14ac:dyDescent="0.4">
      <c r="B179" s="11">
        <v>2</v>
      </c>
      <c r="C179" s="12" t="s">
        <v>397</v>
      </c>
      <c r="D179" s="13">
        <v>1</v>
      </c>
      <c r="E179" s="13"/>
      <c r="F179" s="13"/>
      <c r="G179" s="13"/>
      <c r="H179" s="14">
        <v>169.91999999999996</v>
      </c>
      <c r="I179" s="14">
        <f t="shared" ref="I179:I214" si="2">H179*D179</f>
        <v>169.91999999999996</v>
      </c>
    </row>
    <row r="180" spans="2:9" s="10" customFormat="1" x14ac:dyDescent="0.4">
      <c r="B180" s="11">
        <v>3</v>
      </c>
      <c r="C180" s="12" t="s">
        <v>100</v>
      </c>
      <c r="D180" s="13">
        <v>1</v>
      </c>
      <c r="E180" s="13"/>
      <c r="F180" s="13"/>
      <c r="G180" s="13"/>
      <c r="H180" s="14">
        <v>146.88</v>
      </c>
      <c r="I180" s="14">
        <f t="shared" si="2"/>
        <v>146.88</v>
      </c>
    </row>
    <row r="181" spans="2:9" s="10" customFormat="1" ht="30" x14ac:dyDescent="0.4">
      <c r="B181" s="11">
        <v>4</v>
      </c>
      <c r="C181" s="12" t="s">
        <v>396</v>
      </c>
      <c r="D181" s="13">
        <v>4</v>
      </c>
      <c r="E181" s="13"/>
      <c r="F181" s="13"/>
      <c r="G181" s="13"/>
      <c r="H181" s="14">
        <v>286.2</v>
      </c>
      <c r="I181" s="14">
        <f t="shared" si="2"/>
        <v>1144.8</v>
      </c>
    </row>
    <row r="182" spans="2:9" s="10" customFormat="1" ht="30" x14ac:dyDescent="0.4">
      <c r="B182" s="11">
        <v>5</v>
      </c>
      <c r="C182" s="12" t="s">
        <v>366</v>
      </c>
      <c r="D182" s="13">
        <v>2</v>
      </c>
      <c r="E182" s="13"/>
      <c r="F182" s="13"/>
      <c r="G182" s="13"/>
      <c r="H182" s="14">
        <v>268.2</v>
      </c>
      <c r="I182" s="14">
        <f t="shared" si="2"/>
        <v>536.4</v>
      </c>
    </row>
    <row r="183" spans="2:9" s="10" customFormat="1" x14ac:dyDescent="0.4">
      <c r="B183" s="11">
        <v>6</v>
      </c>
      <c r="C183" s="12" t="s">
        <v>72</v>
      </c>
      <c r="D183" s="13">
        <v>6</v>
      </c>
      <c r="E183" s="13"/>
      <c r="F183" s="13"/>
      <c r="G183" s="13"/>
      <c r="H183" s="14">
        <v>213.12</v>
      </c>
      <c r="I183" s="14">
        <f t="shared" si="2"/>
        <v>1278.72</v>
      </c>
    </row>
    <row r="184" spans="2:9" s="10" customFormat="1" ht="30" x14ac:dyDescent="0.4">
      <c r="B184" s="11">
        <v>7</v>
      </c>
      <c r="C184" s="12" t="s">
        <v>70</v>
      </c>
      <c r="D184" s="13">
        <v>2</v>
      </c>
      <c r="E184" s="13"/>
      <c r="F184" s="13"/>
      <c r="G184" s="13"/>
      <c r="H184" s="14">
        <v>109.08</v>
      </c>
      <c r="I184" s="14">
        <f t="shared" si="2"/>
        <v>218.16</v>
      </c>
    </row>
    <row r="185" spans="2:9" s="10" customFormat="1" ht="30" x14ac:dyDescent="0.4">
      <c r="B185" s="11">
        <v>8</v>
      </c>
      <c r="C185" s="12" t="s">
        <v>365</v>
      </c>
      <c r="D185" s="13">
        <v>2</v>
      </c>
      <c r="E185" s="13"/>
      <c r="F185" s="13"/>
      <c r="G185" s="13"/>
      <c r="H185" s="14">
        <v>130.68</v>
      </c>
      <c r="I185" s="14">
        <f t="shared" si="2"/>
        <v>261.36</v>
      </c>
    </row>
    <row r="186" spans="2:9" s="10" customFormat="1" ht="30" x14ac:dyDescent="0.4">
      <c r="B186" s="11">
        <v>9</v>
      </c>
      <c r="C186" s="12" t="s">
        <v>395</v>
      </c>
      <c r="D186" s="13">
        <v>1</v>
      </c>
      <c r="E186" s="13"/>
      <c r="F186" s="13"/>
      <c r="G186" s="13"/>
      <c r="H186" s="14">
        <v>182.15999999999997</v>
      </c>
      <c r="I186" s="14">
        <f t="shared" si="2"/>
        <v>182.15999999999997</v>
      </c>
    </row>
    <row r="187" spans="2:9" s="10" customFormat="1" ht="30" x14ac:dyDescent="0.4">
      <c r="B187" s="11">
        <v>10</v>
      </c>
      <c r="C187" s="12" t="s">
        <v>121</v>
      </c>
      <c r="D187" s="13">
        <v>1</v>
      </c>
      <c r="E187" s="13"/>
      <c r="F187" s="13"/>
      <c r="G187" s="13"/>
      <c r="H187" s="14">
        <v>126.35999999999999</v>
      </c>
      <c r="I187" s="14">
        <f t="shared" si="2"/>
        <v>126.35999999999999</v>
      </c>
    </row>
    <row r="188" spans="2:9" s="10" customFormat="1" ht="30" x14ac:dyDescent="0.4">
      <c r="B188" s="11">
        <v>11</v>
      </c>
      <c r="C188" s="12" t="s">
        <v>379</v>
      </c>
      <c r="D188" s="13">
        <v>1</v>
      </c>
      <c r="E188" s="13"/>
      <c r="F188" s="13"/>
      <c r="G188" s="13"/>
      <c r="H188" s="14">
        <v>131.76</v>
      </c>
      <c r="I188" s="14">
        <f t="shared" si="2"/>
        <v>131.76</v>
      </c>
    </row>
    <row r="189" spans="2:9" s="10" customFormat="1" x14ac:dyDescent="0.4">
      <c r="B189" s="11">
        <v>12</v>
      </c>
      <c r="C189" s="12" t="s">
        <v>92</v>
      </c>
      <c r="D189" s="13">
        <v>5</v>
      </c>
      <c r="E189" s="13"/>
      <c r="F189" s="13"/>
      <c r="G189" s="13"/>
      <c r="H189" s="14">
        <v>113.4</v>
      </c>
      <c r="I189" s="14">
        <f t="shared" si="2"/>
        <v>567</v>
      </c>
    </row>
    <row r="190" spans="2:9" s="10" customFormat="1" ht="30" x14ac:dyDescent="0.4">
      <c r="B190" s="11">
        <v>13</v>
      </c>
      <c r="C190" s="12" t="s">
        <v>73</v>
      </c>
      <c r="D190" s="13">
        <v>1</v>
      </c>
      <c r="E190" s="13"/>
      <c r="F190" s="13"/>
      <c r="G190" s="13"/>
      <c r="H190" s="14">
        <v>566.64</v>
      </c>
      <c r="I190" s="14">
        <f t="shared" si="2"/>
        <v>566.64</v>
      </c>
    </row>
    <row r="191" spans="2:9" s="10" customFormat="1" x14ac:dyDescent="0.4">
      <c r="B191" s="11">
        <v>14</v>
      </c>
      <c r="C191" s="12" t="s">
        <v>64</v>
      </c>
      <c r="D191" s="13">
        <v>4</v>
      </c>
      <c r="E191" s="13"/>
      <c r="F191" s="13"/>
      <c r="G191" s="13"/>
      <c r="H191" s="14">
        <v>116.28</v>
      </c>
      <c r="I191" s="14">
        <f t="shared" si="2"/>
        <v>465.12</v>
      </c>
    </row>
    <row r="192" spans="2:9" s="10" customFormat="1" ht="30" x14ac:dyDescent="0.4">
      <c r="B192" s="11">
        <v>15</v>
      </c>
      <c r="C192" s="12" t="s">
        <v>117</v>
      </c>
      <c r="D192" s="13">
        <v>4</v>
      </c>
      <c r="E192" s="13"/>
      <c r="F192" s="13"/>
      <c r="G192" s="13"/>
      <c r="H192" s="14">
        <v>142.56</v>
      </c>
      <c r="I192" s="14">
        <f t="shared" si="2"/>
        <v>570.24</v>
      </c>
    </row>
    <row r="193" spans="2:9" s="10" customFormat="1" x14ac:dyDescent="0.4">
      <c r="B193" s="11">
        <v>16</v>
      </c>
      <c r="C193" s="12" t="s">
        <v>63</v>
      </c>
      <c r="D193" s="13">
        <v>4</v>
      </c>
      <c r="E193" s="13"/>
      <c r="F193" s="13"/>
      <c r="G193" s="13"/>
      <c r="H193" s="14">
        <v>113.4</v>
      </c>
      <c r="I193" s="14">
        <f t="shared" si="2"/>
        <v>453.6</v>
      </c>
    </row>
    <row r="194" spans="2:9" s="10" customFormat="1" ht="30" x14ac:dyDescent="0.4">
      <c r="B194" s="11">
        <v>17</v>
      </c>
      <c r="C194" s="12" t="s">
        <v>394</v>
      </c>
      <c r="D194" s="13">
        <v>8</v>
      </c>
      <c r="E194" s="13"/>
      <c r="F194" s="13"/>
      <c r="G194" s="13"/>
      <c r="H194" s="14">
        <v>215.28000000000003</v>
      </c>
      <c r="I194" s="14">
        <f t="shared" si="2"/>
        <v>1722.2400000000002</v>
      </c>
    </row>
    <row r="195" spans="2:9" s="10" customFormat="1" ht="30" x14ac:dyDescent="0.4">
      <c r="B195" s="11">
        <v>18</v>
      </c>
      <c r="C195" s="12" t="s">
        <v>393</v>
      </c>
      <c r="D195" s="13">
        <v>4</v>
      </c>
      <c r="E195" s="13"/>
      <c r="F195" s="13"/>
      <c r="G195" s="13"/>
      <c r="H195" s="14">
        <v>212.40000000000003</v>
      </c>
      <c r="I195" s="14">
        <f t="shared" si="2"/>
        <v>849.60000000000014</v>
      </c>
    </row>
    <row r="196" spans="2:9" s="10" customFormat="1" ht="30" x14ac:dyDescent="0.4">
      <c r="B196" s="11">
        <v>19</v>
      </c>
      <c r="C196" s="12" t="s">
        <v>392</v>
      </c>
      <c r="D196" s="13">
        <v>1</v>
      </c>
      <c r="E196" s="13"/>
      <c r="F196" s="13"/>
      <c r="G196" s="13"/>
      <c r="H196" s="14">
        <v>263.15999999999997</v>
      </c>
      <c r="I196" s="14">
        <f t="shared" si="2"/>
        <v>263.15999999999997</v>
      </c>
    </row>
    <row r="197" spans="2:9" s="10" customFormat="1" ht="30" x14ac:dyDescent="0.4">
      <c r="B197" s="11">
        <v>20</v>
      </c>
      <c r="C197" s="12" t="s">
        <v>350</v>
      </c>
      <c r="D197" s="13">
        <v>1</v>
      </c>
      <c r="E197" s="13"/>
      <c r="F197" s="13"/>
      <c r="G197" s="13"/>
      <c r="H197" s="14">
        <v>838.8</v>
      </c>
      <c r="I197" s="14">
        <f t="shared" si="2"/>
        <v>838.8</v>
      </c>
    </row>
    <row r="198" spans="2:9" s="10" customFormat="1" ht="30" x14ac:dyDescent="0.4">
      <c r="B198" s="11">
        <v>21</v>
      </c>
      <c r="C198" s="12" t="s">
        <v>358</v>
      </c>
      <c r="D198" s="13">
        <v>1</v>
      </c>
      <c r="E198" s="13"/>
      <c r="F198" s="13"/>
      <c r="G198" s="13"/>
      <c r="H198" s="14">
        <v>967.31999999999994</v>
      </c>
      <c r="I198" s="14">
        <f t="shared" si="2"/>
        <v>967.31999999999994</v>
      </c>
    </row>
    <row r="199" spans="2:9" s="10" customFormat="1" x14ac:dyDescent="0.4">
      <c r="B199" s="11">
        <v>22</v>
      </c>
      <c r="C199" s="12" t="s">
        <v>165</v>
      </c>
      <c r="D199" s="13">
        <v>2</v>
      </c>
      <c r="E199" s="13"/>
      <c r="F199" s="13"/>
      <c r="G199" s="13"/>
      <c r="H199" s="14">
        <v>230.03999999999996</v>
      </c>
      <c r="I199" s="14">
        <f t="shared" si="2"/>
        <v>460.07999999999993</v>
      </c>
    </row>
    <row r="200" spans="2:9" s="10" customFormat="1" ht="30" x14ac:dyDescent="0.4">
      <c r="B200" s="11">
        <v>23</v>
      </c>
      <c r="C200" s="12" t="s">
        <v>58</v>
      </c>
      <c r="D200" s="13">
        <v>1</v>
      </c>
      <c r="E200" s="13"/>
      <c r="F200" s="13"/>
      <c r="G200" s="13"/>
      <c r="H200" s="14">
        <v>51.48</v>
      </c>
      <c r="I200" s="14">
        <f t="shared" si="2"/>
        <v>51.48</v>
      </c>
    </row>
    <row r="201" spans="2:9" s="10" customFormat="1" ht="30" x14ac:dyDescent="0.4">
      <c r="B201" s="11">
        <v>24</v>
      </c>
      <c r="C201" s="12" t="s">
        <v>316</v>
      </c>
      <c r="D201" s="13">
        <v>1</v>
      </c>
      <c r="E201" s="13"/>
      <c r="F201" s="13"/>
      <c r="G201" s="13"/>
      <c r="H201" s="14">
        <v>135.35999999999999</v>
      </c>
      <c r="I201" s="14">
        <f t="shared" si="2"/>
        <v>135.35999999999999</v>
      </c>
    </row>
    <row r="202" spans="2:9" s="10" customFormat="1" ht="30" x14ac:dyDescent="0.4">
      <c r="B202" s="11">
        <v>25</v>
      </c>
      <c r="C202" s="12" t="s">
        <v>83</v>
      </c>
      <c r="D202" s="13">
        <v>1</v>
      </c>
      <c r="E202" s="13"/>
      <c r="F202" s="13"/>
      <c r="G202" s="13"/>
      <c r="H202" s="14">
        <v>104.03999999999999</v>
      </c>
      <c r="I202" s="14">
        <f t="shared" si="2"/>
        <v>104.03999999999999</v>
      </c>
    </row>
    <row r="203" spans="2:9" s="10" customFormat="1" ht="30" x14ac:dyDescent="0.4">
      <c r="B203" s="11">
        <v>26</v>
      </c>
      <c r="C203" s="12" t="s">
        <v>112</v>
      </c>
      <c r="D203" s="13">
        <v>1</v>
      </c>
      <c r="E203" s="13"/>
      <c r="F203" s="13"/>
      <c r="G203" s="13"/>
      <c r="H203" s="14">
        <v>164.15999999999997</v>
      </c>
      <c r="I203" s="14">
        <f t="shared" si="2"/>
        <v>164.15999999999997</v>
      </c>
    </row>
    <row r="204" spans="2:9" s="10" customFormat="1" ht="30" x14ac:dyDescent="0.4">
      <c r="B204" s="11">
        <v>27</v>
      </c>
      <c r="C204" s="12" t="s">
        <v>319</v>
      </c>
      <c r="D204" s="13">
        <v>2</v>
      </c>
      <c r="E204" s="13"/>
      <c r="F204" s="13"/>
      <c r="G204" s="13"/>
      <c r="H204" s="14">
        <v>492.84</v>
      </c>
      <c r="I204" s="14">
        <f t="shared" si="2"/>
        <v>985.68</v>
      </c>
    </row>
    <row r="205" spans="2:9" s="10" customFormat="1" ht="30" x14ac:dyDescent="0.4">
      <c r="B205" s="11">
        <v>28</v>
      </c>
      <c r="C205" s="12" t="s">
        <v>385</v>
      </c>
      <c r="D205" s="13">
        <v>2</v>
      </c>
      <c r="E205" s="13"/>
      <c r="F205" s="13"/>
      <c r="G205" s="13"/>
      <c r="H205" s="14">
        <v>492.84</v>
      </c>
      <c r="I205" s="14">
        <f t="shared" si="2"/>
        <v>985.68</v>
      </c>
    </row>
    <row r="206" spans="2:9" s="10" customFormat="1" x14ac:dyDescent="0.4">
      <c r="B206" s="11">
        <v>29</v>
      </c>
      <c r="C206" s="12" t="s">
        <v>391</v>
      </c>
      <c r="D206" s="13">
        <v>1</v>
      </c>
      <c r="E206" s="13"/>
      <c r="F206" s="13"/>
      <c r="G206" s="13"/>
      <c r="H206" s="14">
        <v>1453.32</v>
      </c>
      <c r="I206" s="14">
        <f t="shared" si="2"/>
        <v>1453.32</v>
      </c>
    </row>
    <row r="207" spans="2:9" s="10" customFormat="1" x14ac:dyDescent="0.4">
      <c r="B207" s="11">
        <v>30</v>
      </c>
      <c r="C207" s="12" t="s">
        <v>390</v>
      </c>
      <c r="D207" s="13">
        <v>4</v>
      </c>
      <c r="E207" s="13"/>
      <c r="F207" s="13"/>
      <c r="G207" s="13"/>
      <c r="H207" s="14">
        <v>1159.9199999999998</v>
      </c>
      <c r="I207" s="14">
        <f t="shared" si="2"/>
        <v>4639.6799999999994</v>
      </c>
    </row>
    <row r="208" spans="2:9" s="10" customFormat="1" x14ac:dyDescent="0.4">
      <c r="B208" s="11">
        <v>31</v>
      </c>
      <c r="C208" s="12" t="s">
        <v>389</v>
      </c>
      <c r="D208" s="13">
        <v>2</v>
      </c>
      <c r="E208" s="13"/>
      <c r="F208" s="13"/>
      <c r="G208" s="13"/>
      <c r="H208" s="14">
        <v>323.28000000000003</v>
      </c>
      <c r="I208" s="14">
        <f t="shared" si="2"/>
        <v>646.56000000000006</v>
      </c>
    </row>
    <row r="209" spans="2:9" s="10" customFormat="1" ht="30" x14ac:dyDescent="0.4">
      <c r="B209" s="11">
        <v>32</v>
      </c>
      <c r="C209" s="12" t="s">
        <v>388</v>
      </c>
      <c r="D209" s="13">
        <v>1</v>
      </c>
      <c r="E209" s="13"/>
      <c r="F209" s="13"/>
      <c r="G209" s="13"/>
      <c r="H209" s="14">
        <v>560.88</v>
      </c>
      <c r="I209" s="14">
        <f t="shared" si="2"/>
        <v>560.88</v>
      </c>
    </row>
    <row r="210" spans="2:9" s="10" customFormat="1" x14ac:dyDescent="0.4">
      <c r="B210" s="11">
        <v>33</v>
      </c>
      <c r="C210" s="12" t="s">
        <v>387</v>
      </c>
      <c r="D210" s="13">
        <v>1</v>
      </c>
      <c r="E210" s="13"/>
      <c r="F210" s="13"/>
      <c r="G210" s="13"/>
      <c r="H210" s="14">
        <v>460.79999999999995</v>
      </c>
      <c r="I210" s="14">
        <f t="shared" si="2"/>
        <v>460.79999999999995</v>
      </c>
    </row>
    <row r="211" spans="2:9" s="10" customFormat="1" x14ac:dyDescent="0.4">
      <c r="B211" s="11">
        <v>34</v>
      </c>
      <c r="C211" s="12" t="s">
        <v>165</v>
      </c>
      <c r="D211" s="13">
        <v>1</v>
      </c>
      <c r="E211" s="13"/>
      <c r="F211" s="13"/>
      <c r="G211" s="13"/>
      <c r="H211" s="14">
        <v>230.03999999999996</v>
      </c>
      <c r="I211" s="14">
        <f t="shared" si="2"/>
        <v>230.03999999999996</v>
      </c>
    </row>
    <row r="212" spans="2:9" s="10" customFormat="1" ht="30" x14ac:dyDescent="0.4">
      <c r="B212" s="11">
        <v>35</v>
      </c>
      <c r="C212" s="12" t="s">
        <v>386</v>
      </c>
      <c r="D212" s="13">
        <v>2</v>
      </c>
      <c r="E212" s="13"/>
      <c r="F212" s="13"/>
      <c r="G212" s="13"/>
      <c r="H212" s="14">
        <v>300.59999999999997</v>
      </c>
      <c r="I212" s="14">
        <f t="shared" si="2"/>
        <v>601.19999999999993</v>
      </c>
    </row>
    <row r="213" spans="2:9" s="10" customFormat="1" ht="30" x14ac:dyDescent="0.4">
      <c r="B213" s="11">
        <v>36</v>
      </c>
      <c r="C213" s="12" t="s">
        <v>385</v>
      </c>
      <c r="D213" s="13">
        <v>1</v>
      </c>
      <c r="E213" s="13"/>
      <c r="F213" s="13"/>
      <c r="G213" s="13"/>
      <c r="H213" s="14">
        <v>492.84</v>
      </c>
      <c r="I213" s="14">
        <f t="shared" si="2"/>
        <v>492.84</v>
      </c>
    </row>
    <row r="214" spans="2:9" s="10" customFormat="1" ht="60" x14ac:dyDescent="0.4">
      <c r="B214" s="11">
        <v>37</v>
      </c>
      <c r="C214" s="12" t="s">
        <v>0</v>
      </c>
      <c r="D214" s="13">
        <v>1</v>
      </c>
      <c r="E214" s="13"/>
      <c r="F214" s="13"/>
      <c r="G214" s="13"/>
      <c r="H214" s="14">
        <v>9400</v>
      </c>
      <c r="I214" s="14">
        <f t="shared" si="2"/>
        <v>9400</v>
      </c>
    </row>
    <row r="215" spans="2:9" s="10" customFormat="1" x14ac:dyDescent="0.4">
      <c r="B215" s="15"/>
      <c r="C215" s="16"/>
      <c r="D215" s="17">
        <f>SUM(D178:D214)</f>
        <v>81</v>
      </c>
      <c r="E215" s="45"/>
      <c r="F215" s="45"/>
      <c r="G215" s="45"/>
      <c r="H215" s="9"/>
      <c r="I215" s="18">
        <f>SUM(I178:I214)</f>
        <v>33082.600000000006</v>
      </c>
    </row>
    <row r="216" spans="2:9" s="10" customFormat="1" x14ac:dyDescent="0.4">
      <c r="B216" s="15"/>
      <c r="C216" s="19"/>
      <c r="D216" s="20"/>
      <c r="E216" s="20"/>
      <c r="F216" s="20"/>
      <c r="G216" s="20"/>
      <c r="H216" s="9"/>
      <c r="I216" s="9"/>
    </row>
    <row r="217" spans="2:9" s="10" customFormat="1" ht="15" customHeight="1" x14ac:dyDescent="0.4">
      <c r="B217" s="124" t="s">
        <v>448</v>
      </c>
      <c r="C217" s="125"/>
      <c r="D217" s="125"/>
      <c r="E217" s="125"/>
      <c r="F217" s="125"/>
      <c r="G217" s="125"/>
      <c r="H217" s="125"/>
      <c r="I217" s="126"/>
    </row>
    <row r="218" spans="2:9" s="10" customFormat="1" ht="30" x14ac:dyDescent="0.4">
      <c r="B218" s="51" t="s">
        <v>21</v>
      </c>
      <c r="C218" s="51" t="s">
        <v>20</v>
      </c>
      <c r="D218" s="51" t="s">
        <v>19</v>
      </c>
      <c r="E218" s="51" t="s">
        <v>523</v>
      </c>
      <c r="F218" s="51" t="s">
        <v>524</v>
      </c>
      <c r="G218" s="51" t="s">
        <v>525</v>
      </c>
      <c r="H218" s="52" t="s">
        <v>18</v>
      </c>
      <c r="I218" s="52" t="s">
        <v>17</v>
      </c>
    </row>
    <row r="219" spans="2:9" s="10" customFormat="1" x14ac:dyDescent="0.4">
      <c r="B219" s="11">
        <v>1</v>
      </c>
      <c r="C219" s="12" t="s">
        <v>384</v>
      </c>
      <c r="D219" s="21">
        <v>1</v>
      </c>
      <c r="E219" s="21"/>
      <c r="F219" s="21"/>
      <c r="G219" s="21"/>
      <c r="H219" s="14">
        <v>927.36</v>
      </c>
      <c r="I219" s="14">
        <f>H219*D219</f>
        <v>927.36</v>
      </c>
    </row>
    <row r="220" spans="2:9" s="10" customFormat="1" ht="30" x14ac:dyDescent="0.4">
      <c r="B220" s="11">
        <v>2</v>
      </c>
      <c r="C220" s="12" t="s">
        <v>383</v>
      </c>
      <c r="D220" s="22">
        <v>1</v>
      </c>
      <c r="E220" s="22"/>
      <c r="F220" s="22"/>
      <c r="G220" s="22"/>
      <c r="H220" s="14">
        <v>921.59999999999991</v>
      </c>
      <c r="I220" s="14">
        <f t="shared" ref="I220:I269" si="3">H220*D220</f>
        <v>921.59999999999991</v>
      </c>
    </row>
    <row r="221" spans="2:9" s="10" customFormat="1" ht="30" x14ac:dyDescent="0.4">
      <c r="B221" s="11">
        <v>3</v>
      </c>
      <c r="C221" s="12" t="s">
        <v>81</v>
      </c>
      <c r="D221" s="22">
        <v>1</v>
      </c>
      <c r="E221" s="22"/>
      <c r="F221" s="22"/>
      <c r="G221" s="22"/>
      <c r="H221" s="14">
        <v>281.15999999999997</v>
      </c>
      <c r="I221" s="14">
        <f t="shared" si="3"/>
        <v>281.15999999999997</v>
      </c>
    </row>
    <row r="222" spans="2:9" s="10" customFormat="1" ht="30" x14ac:dyDescent="0.4">
      <c r="B222" s="11">
        <v>4</v>
      </c>
      <c r="C222" s="12" t="s">
        <v>351</v>
      </c>
      <c r="D222" s="22">
        <v>2</v>
      </c>
      <c r="E222" s="22"/>
      <c r="F222" s="22"/>
      <c r="G222" s="22"/>
      <c r="H222" s="14">
        <v>151.56</v>
      </c>
      <c r="I222" s="14">
        <f t="shared" si="3"/>
        <v>303.12</v>
      </c>
    </row>
    <row r="223" spans="2:9" s="10" customFormat="1" ht="30" x14ac:dyDescent="0.4">
      <c r="B223" s="11">
        <v>5</v>
      </c>
      <c r="C223" s="12" t="s">
        <v>89</v>
      </c>
      <c r="D223" s="22">
        <v>2</v>
      </c>
      <c r="E223" s="22"/>
      <c r="F223" s="22"/>
      <c r="G223" s="22"/>
      <c r="H223" s="14">
        <v>772.92000000000007</v>
      </c>
      <c r="I223" s="14">
        <f t="shared" si="3"/>
        <v>1545.8400000000001</v>
      </c>
    </row>
    <row r="224" spans="2:9" s="10" customFormat="1" ht="30" x14ac:dyDescent="0.4">
      <c r="B224" s="11">
        <v>6</v>
      </c>
      <c r="C224" s="12" t="s">
        <v>382</v>
      </c>
      <c r="D224" s="22">
        <v>2</v>
      </c>
      <c r="E224" s="22"/>
      <c r="F224" s="22"/>
      <c r="G224" s="22"/>
      <c r="H224" s="14">
        <v>116.28</v>
      </c>
      <c r="I224" s="14">
        <f t="shared" si="3"/>
        <v>232.56</v>
      </c>
    </row>
    <row r="225" spans="2:9" s="10" customFormat="1" ht="30" x14ac:dyDescent="0.4">
      <c r="B225" s="11">
        <v>7</v>
      </c>
      <c r="C225" s="12" t="s">
        <v>381</v>
      </c>
      <c r="D225" s="22">
        <v>1</v>
      </c>
      <c r="E225" s="22"/>
      <c r="F225" s="22"/>
      <c r="G225" s="22"/>
      <c r="H225" s="14">
        <v>1167.8399999999999</v>
      </c>
      <c r="I225" s="14">
        <f t="shared" si="3"/>
        <v>1167.8399999999999</v>
      </c>
    </row>
    <row r="226" spans="2:9" s="10" customFormat="1" ht="30" x14ac:dyDescent="0.4">
      <c r="B226" s="11">
        <v>8</v>
      </c>
      <c r="C226" s="12" t="s">
        <v>369</v>
      </c>
      <c r="D226" s="22">
        <v>1</v>
      </c>
      <c r="E226" s="22"/>
      <c r="F226" s="22"/>
      <c r="G226" s="22"/>
      <c r="H226" s="14">
        <v>181.44</v>
      </c>
      <c r="I226" s="14">
        <f t="shared" si="3"/>
        <v>181.44</v>
      </c>
    </row>
    <row r="227" spans="2:9" s="10" customFormat="1" ht="30" x14ac:dyDescent="0.4">
      <c r="B227" s="11">
        <v>9</v>
      </c>
      <c r="C227" s="12" t="s">
        <v>380</v>
      </c>
      <c r="D227" s="22">
        <v>1</v>
      </c>
      <c r="E227" s="22"/>
      <c r="F227" s="22"/>
      <c r="G227" s="22"/>
      <c r="H227" s="14">
        <v>337.32</v>
      </c>
      <c r="I227" s="14">
        <f t="shared" si="3"/>
        <v>337.32</v>
      </c>
    </row>
    <row r="228" spans="2:9" s="10" customFormat="1" x14ac:dyDescent="0.4">
      <c r="B228" s="11">
        <v>10</v>
      </c>
      <c r="C228" s="12" t="s">
        <v>276</v>
      </c>
      <c r="D228" s="22">
        <v>2</v>
      </c>
      <c r="E228" s="22"/>
      <c r="F228" s="22"/>
      <c r="G228" s="22"/>
      <c r="H228" s="14">
        <v>288</v>
      </c>
      <c r="I228" s="14">
        <f t="shared" si="3"/>
        <v>576</v>
      </c>
    </row>
    <row r="229" spans="2:9" s="10" customFormat="1" ht="30" x14ac:dyDescent="0.4">
      <c r="B229" s="11">
        <v>11</v>
      </c>
      <c r="C229" s="12" t="s">
        <v>355</v>
      </c>
      <c r="D229" s="22">
        <v>1</v>
      </c>
      <c r="E229" s="22"/>
      <c r="F229" s="22"/>
      <c r="G229" s="22"/>
      <c r="H229" s="14">
        <v>996.12000000000012</v>
      </c>
      <c r="I229" s="14">
        <f t="shared" si="3"/>
        <v>996.12000000000012</v>
      </c>
    </row>
    <row r="230" spans="2:9" s="10" customFormat="1" ht="30" x14ac:dyDescent="0.4">
      <c r="B230" s="11">
        <v>12</v>
      </c>
      <c r="C230" s="12" t="s">
        <v>379</v>
      </c>
      <c r="D230" s="22">
        <v>2</v>
      </c>
      <c r="E230" s="22"/>
      <c r="F230" s="22"/>
      <c r="G230" s="22"/>
      <c r="H230" s="14">
        <v>131.76</v>
      </c>
      <c r="I230" s="14">
        <f t="shared" si="3"/>
        <v>263.52</v>
      </c>
    </row>
    <row r="231" spans="2:9" s="10" customFormat="1" ht="30" x14ac:dyDescent="0.4">
      <c r="B231" s="11">
        <v>13</v>
      </c>
      <c r="C231" s="12" t="s">
        <v>378</v>
      </c>
      <c r="D231" s="22">
        <v>1</v>
      </c>
      <c r="E231" s="22"/>
      <c r="F231" s="22"/>
      <c r="G231" s="22"/>
      <c r="H231" s="14">
        <v>136.07999999999998</v>
      </c>
      <c r="I231" s="14">
        <f t="shared" si="3"/>
        <v>136.07999999999998</v>
      </c>
    </row>
    <row r="232" spans="2:9" s="10" customFormat="1" ht="30" x14ac:dyDescent="0.4">
      <c r="B232" s="11">
        <v>14</v>
      </c>
      <c r="C232" s="12" t="s">
        <v>377</v>
      </c>
      <c r="D232" s="22">
        <v>1</v>
      </c>
      <c r="E232" s="22"/>
      <c r="F232" s="22"/>
      <c r="G232" s="22"/>
      <c r="H232" s="14">
        <v>213.12</v>
      </c>
      <c r="I232" s="14">
        <f t="shared" si="3"/>
        <v>213.12</v>
      </c>
    </row>
    <row r="233" spans="2:9" s="10" customFormat="1" ht="30" x14ac:dyDescent="0.4">
      <c r="B233" s="11">
        <v>15</v>
      </c>
      <c r="C233" s="12" t="s">
        <v>376</v>
      </c>
      <c r="D233" s="22">
        <v>1</v>
      </c>
      <c r="E233" s="22"/>
      <c r="F233" s="22"/>
      <c r="G233" s="22"/>
      <c r="H233" s="14">
        <v>309.24</v>
      </c>
      <c r="I233" s="14">
        <f t="shared" si="3"/>
        <v>309.24</v>
      </c>
    </row>
    <row r="234" spans="2:9" s="10" customFormat="1" x14ac:dyDescent="0.4">
      <c r="B234" s="11">
        <v>16</v>
      </c>
      <c r="C234" s="12" t="s">
        <v>72</v>
      </c>
      <c r="D234" s="22">
        <v>6</v>
      </c>
      <c r="E234" s="22"/>
      <c r="F234" s="22"/>
      <c r="G234" s="22"/>
      <c r="H234" s="14">
        <v>213.12</v>
      </c>
      <c r="I234" s="14">
        <f t="shared" si="3"/>
        <v>1278.72</v>
      </c>
    </row>
    <row r="235" spans="2:9" s="10" customFormat="1" ht="30" x14ac:dyDescent="0.4">
      <c r="B235" s="11">
        <v>17</v>
      </c>
      <c r="C235" s="12" t="s">
        <v>375</v>
      </c>
      <c r="D235" s="22">
        <v>2</v>
      </c>
      <c r="E235" s="22"/>
      <c r="F235" s="22"/>
      <c r="G235" s="22"/>
      <c r="H235" s="14">
        <v>330.48</v>
      </c>
      <c r="I235" s="14">
        <f t="shared" si="3"/>
        <v>660.96</v>
      </c>
    </row>
    <row r="236" spans="2:9" s="10" customFormat="1" ht="30" x14ac:dyDescent="0.4">
      <c r="B236" s="11">
        <v>18</v>
      </c>
      <c r="C236" s="12" t="s">
        <v>374</v>
      </c>
      <c r="D236" s="22">
        <v>1</v>
      </c>
      <c r="E236" s="22"/>
      <c r="F236" s="22"/>
      <c r="G236" s="22"/>
      <c r="H236" s="14">
        <v>299.88</v>
      </c>
      <c r="I236" s="14">
        <f t="shared" si="3"/>
        <v>299.88</v>
      </c>
    </row>
    <row r="237" spans="2:9" s="10" customFormat="1" ht="30" x14ac:dyDescent="0.4">
      <c r="B237" s="11">
        <v>19</v>
      </c>
      <c r="C237" s="12" t="s">
        <v>373</v>
      </c>
      <c r="D237" s="22">
        <v>2</v>
      </c>
      <c r="E237" s="22"/>
      <c r="F237" s="22"/>
      <c r="G237" s="22"/>
      <c r="H237" s="14">
        <v>216.35999999999999</v>
      </c>
      <c r="I237" s="14">
        <f t="shared" si="3"/>
        <v>432.71999999999997</v>
      </c>
    </row>
    <row r="238" spans="2:9" s="10" customFormat="1" ht="30" x14ac:dyDescent="0.4">
      <c r="B238" s="11">
        <v>20</v>
      </c>
      <c r="C238" s="12" t="s">
        <v>351</v>
      </c>
      <c r="D238" s="22">
        <v>5</v>
      </c>
      <c r="E238" s="22"/>
      <c r="F238" s="22"/>
      <c r="G238" s="22"/>
      <c r="H238" s="14">
        <v>151.56</v>
      </c>
      <c r="I238" s="14">
        <f t="shared" si="3"/>
        <v>757.8</v>
      </c>
    </row>
    <row r="239" spans="2:9" s="10" customFormat="1" ht="30" x14ac:dyDescent="0.4">
      <c r="B239" s="11">
        <v>21</v>
      </c>
      <c r="C239" s="12" t="s">
        <v>368</v>
      </c>
      <c r="D239" s="22">
        <v>2</v>
      </c>
      <c r="E239" s="22"/>
      <c r="F239" s="22"/>
      <c r="G239" s="22"/>
      <c r="H239" s="14">
        <v>178.56</v>
      </c>
      <c r="I239" s="14">
        <f t="shared" si="3"/>
        <v>357.12</v>
      </c>
    </row>
    <row r="240" spans="2:9" s="10" customFormat="1" ht="30" x14ac:dyDescent="0.4">
      <c r="B240" s="11">
        <v>22</v>
      </c>
      <c r="C240" s="12" t="s">
        <v>73</v>
      </c>
      <c r="D240" s="22">
        <v>1</v>
      </c>
      <c r="E240" s="22"/>
      <c r="F240" s="22"/>
      <c r="G240" s="22"/>
      <c r="H240" s="14">
        <v>566.64</v>
      </c>
      <c r="I240" s="14">
        <f t="shared" si="3"/>
        <v>566.64</v>
      </c>
    </row>
    <row r="241" spans="2:9" s="10" customFormat="1" ht="30" x14ac:dyDescent="0.4">
      <c r="B241" s="11">
        <v>23</v>
      </c>
      <c r="C241" s="12" t="s">
        <v>372</v>
      </c>
      <c r="D241" s="22">
        <v>1</v>
      </c>
      <c r="E241" s="22"/>
      <c r="F241" s="22"/>
      <c r="G241" s="22"/>
      <c r="H241" s="14">
        <v>944.64</v>
      </c>
      <c r="I241" s="14">
        <f t="shared" si="3"/>
        <v>944.64</v>
      </c>
    </row>
    <row r="242" spans="2:9" s="10" customFormat="1" ht="30" x14ac:dyDescent="0.4">
      <c r="B242" s="11">
        <v>24</v>
      </c>
      <c r="C242" s="12" t="s">
        <v>371</v>
      </c>
      <c r="D242" s="22">
        <v>1</v>
      </c>
      <c r="E242" s="22"/>
      <c r="F242" s="22"/>
      <c r="G242" s="22"/>
      <c r="H242" s="14">
        <v>1087.56</v>
      </c>
      <c r="I242" s="14">
        <f t="shared" si="3"/>
        <v>1087.56</v>
      </c>
    </row>
    <row r="243" spans="2:9" s="10" customFormat="1" ht="30" x14ac:dyDescent="0.4">
      <c r="B243" s="11">
        <v>25</v>
      </c>
      <c r="C243" s="12" t="s">
        <v>370</v>
      </c>
      <c r="D243" s="22">
        <v>2</v>
      </c>
      <c r="E243" s="22"/>
      <c r="F243" s="22"/>
      <c r="G243" s="22"/>
      <c r="H243" s="14">
        <v>252.35999999999996</v>
      </c>
      <c r="I243" s="14">
        <f t="shared" si="3"/>
        <v>504.71999999999991</v>
      </c>
    </row>
    <row r="244" spans="2:9" s="10" customFormat="1" ht="30" x14ac:dyDescent="0.4">
      <c r="B244" s="11">
        <v>26</v>
      </c>
      <c r="C244" s="12" t="s">
        <v>197</v>
      </c>
      <c r="D244" s="22">
        <v>4</v>
      </c>
      <c r="E244" s="22"/>
      <c r="F244" s="22"/>
      <c r="G244" s="22"/>
      <c r="H244" s="14">
        <v>139.68</v>
      </c>
      <c r="I244" s="14">
        <f t="shared" si="3"/>
        <v>558.72</v>
      </c>
    </row>
    <row r="245" spans="2:9" s="10" customFormat="1" ht="30" x14ac:dyDescent="0.4">
      <c r="B245" s="11">
        <v>27</v>
      </c>
      <c r="C245" s="12" t="s">
        <v>117</v>
      </c>
      <c r="D245" s="22">
        <v>4</v>
      </c>
      <c r="E245" s="22"/>
      <c r="F245" s="22"/>
      <c r="G245" s="22"/>
      <c r="H245" s="14">
        <v>142.56</v>
      </c>
      <c r="I245" s="14">
        <f t="shared" si="3"/>
        <v>570.24</v>
      </c>
    </row>
    <row r="246" spans="2:9" s="10" customFormat="1" ht="30" x14ac:dyDescent="0.4">
      <c r="B246" s="11">
        <v>28</v>
      </c>
      <c r="C246" s="12" t="s">
        <v>369</v>
      </c>
      <c r="D246" s="22">
        <v>3</v>
      </c>
      <c r="E246" s="22"/>
      <c r="F246" s="22"/>
      <c r="G246" s="22"/>
      <c r="H246" s="14">
        <v>181.44</v>
      </c>
      <c r="I246" s="14">
        <f t="shared" si="3"/>
        <v>544.31999999999994</v>
      </c>
    </row>
    <row r="247" spans="2:9" s="10" customFormat="1" ht="30" x14ac:dyDescent="0.4">
      <c r="B247" s="11">
        <v>29</v>
      </c>
      <c r="C247" s="12" t="s">
        <v>368</v>
      </c>
      <c r="D247" s="22">
        <v>6</v>
      </c>
      <c r="E247" s="22"/>
      <c r="F247" s="22"/>
      <c r="G247" s="22"/>
      <c r="H247" s="14">
        <v>178.56</v>
      </c>
      <c r="I247" s="14">
        <f t="shared" si="3"/>
        <v>1071.3600000000001</v>
      </c>
    </row>
    <row r="248" spans="2:9" s="10" customFormat="1" ht="30" x14ac:dyDescent="0.4">
      <c r="B248" s="11">
        <v>30</v>
      </c>
      <c r="C248" s="12" t="s">
        <v>367</v>
      </c>
      <c r="D248" s="22">
        <v>2</v>
      </c>
      <c r="E248" s="22"/>
      <c r="F248" s="22"/>
      <c r="G248" s="22"/>
      <c r="H248" s="14">
        <v>286.2</v>
      </c>
      <c r="I248" s="14">
        <f t="shared" si="3"/>
        <v>572.4</v>
      </c>
    </row>
    <row r="249" spans="2:9" s="10" customFormat="1" ht="30" x14ac:dyDescent="0.4">
      <c r="B249" s="11">
        <v>31</v>
      </c>
      <c r="C249" s="12" t="s">
        <v>366</v>
      </c>
      <c r="D249" s="22">
        <v>1</v>
      </c>
      <c r="E249" s="22"/>
      <c r="F249" s="22"/>
      <c r="G249" s="22"/>
      <c r="H249" s="14">
        <v>268.2</v>
      </c>
      <c r="I249" s="14">
        <f t="shared" si="3"/>
        <v>268.2</v>
      </c>
    </row>
    <row r="250" spans="2:9" s="10" customFormat="1" ht="30" x14ac:dyDescent="0.4">
      <c r="B250" s="11">
        <v>32</v>
      </c>
      <c r="C250" s="12" t="s">
        <v>107</v>
      </c>
      <c r="D250" s="22">
        <v>1</v>
      </c>
      <c r="E250" s="22"/>
      <c r="F250" s="22"/>
      <c r="G250" s="22"/>
      <c r="H250" s="14">
        <v>281.15999999999997</v>
      </c>
      <c r="I250" s="14">
        <f t="shared" si="3"/>
        <v>281.15999999999997</v>
      </c>
    </row>
    <row r="251" spans="2:9" s="10" customFormat="1" ht="30" x14ac:dyDescent="0.4">
      <c r="B251" s="11">
        <v>33</v>
      </c>
      <c r="C251" s="12" t="s">
        <v>365</v>
      </c>
      <c r="D251" s="22">
        <v>1</v>
      </c>
      <c r="E251" s="22"/>
      <c r="F251" s="22"/>
      <c r="G251" s="22"/>
      <c r="H251" s="14">
        <v>130.68</v>
      </c>
      <c r="I251" s="14">
        <f t="shared" si="3"/>
        <v>130.68</v>
      </c>
    </row>
    <row r="252" spans="2:9" s="10" customFormat="1" ht="30" x14ac:dyDescent="0.4">
      <c r="B252" s="11">
        <v>34</v>
      </c>
      <c r="C252" s="12" t="s">
        <v>364</v>
      </c>
      <c r="D252" s="22">
        <v>3</v>
      </c>
      <c r="E252" s="22"/>
      <c r="F252" s="22"/>
      <c r="G252" s="22"/>
      <c r="H252" s="14">
        <v>255.24</v>
      </c>
      <c r="I252" s="14">
        <f t="shared" si="3"/>
        <v>765.72</v>
      </c>
    </row>
    <row r="253" spans="2:9" s="10" customFormat="1" ht="30" x14ac:dyDescent="0.4">
      <c r="B253" s="11">
        <v>35</v>
      </c>
      <c r="C253" s="12" t="s">
        <v>363</v>
      </c>
      <c r="D253" s="22">
        <v>1</v>
      </c>
      <c r="E253" s="22"/>
      <c r="F253" s="22"/>
      <c r="G253" s="22"/>
      <c r="H253" s="14">
        <v>298.44</v>
      </c>
      <c r="I253" s="14">
        <f t="shared" si="3"/>
        <v>298.44</v>
      </c>
    </row>
    <row r="254" spans="2:9" s="10" customFormat="1" ht="30" x14ac:dyDescent="0.4">
      <c r="B254" s="11">
        <v>36</v>
      </c>
      <c r="C254" s="12" t="s">
        <v>363</v>
      </c>
      <c r="D254" s="22">
        <v>1</v>
      </c>
      <c r="E254" s="22"/>
      <c r="F254" s="22"/>
      <c r="G254" s="22"/>
      <c r="H254" s="14">
        <v>298.44</v>
      </c>
      <c r="I254" s="14">
        <f t="shared" si="3"/>
        <v>298.44</v>
      </c>
    </row>
    <row r="255" spans="2:9" s="10" customFormat="1" ht="30" x14ac:dyDescent="0.4">
      <c r="B255" s="11">
        <v>37</v>
      </c>
      <c r="C255" s="12" t="s">
        <v>66</v>
      </c>
      <c r="D255" s="22">
        <v>2</v>
      </c>
      <c r="E255" s="22"/>
      <c r="F255" s="22"/>
      <c r="G255" s="22"/>
      <c r="H255" s="14">
        <v>116.28</v>
      </c>
      <c r="I255" s="14">
        <f t="shared" si="3"/>
        <v>232.56</v>
      </c>
    </row>
    <row r="256" spans="2:9" s="10" customFormat="1" ht="30" x14ac:dyDescent="0.4">
      <c r="B256" s="11">
        <v>38</v>
      </c>
      <c r="C256" s="12" t="s">
        <v>362</v>
      </c>
      <c r="D256" s="22">
        <v>1</v>
      </c>
      <c r="E256" s="22"/>
      <c r="F256" s="22"/>
      <c r="G256" s="22"/>
      <c r="H256" s="14">
        <v>400.68000000000006</v>
      </c>
      <c r="I256" s="14">
        <f t="shared" si="3"/>
        <v>400.68000000000006</v>
      </c>
    </row>
    <row r="257" spans="2:9" s="10" customFormat="1" x14ac:dyDescent="0.4">
      <c r="B257" s="11">
        <v>39</v>
      </c>
      <c r="C257" s="12" t="s">
        <v>361</v>
      </c>
      <c r="D257" s="22">
        <v>2</v>
      </c>
      <c r="E257" s="22"/>
      <c r="F257" s="22"/>
      <c r="G257" s="22"/>
      <c r="H257" s="14">
        <v>230.03999999999996</v>
      </c>
      <c r="I257" s="14">
        <f t="shared" si="3"/>
        <v>460.07999999999993</v>
      </c>
    </row>
    <row r="258" spans="2:9" s="10" customFormat="1" ht="30" x14ac:dyDescent="0.4">
      <c r="B258" s="11">
        <v>40</v>
      </c>
      <c r="C258" s="12" t="s">
        <v>360</v>
      </c>
      <c r="D258" s="22">
        <v>1</v>
      </c>
      <c r="E258" s="22"/>
      <c r="F258" s="22"/>
      <c r="G258" s="22"/>
      <c r="H258" s="14">
        <v>517.31999999999994</v>
      </c>
      <c r="I258" s="14">
        <f t="shared" si="3"/>
        <v>517.31999999999994</v>
      </c>
    </row>
    <row r="259" spans="2:9" s="10" customFormat="1" ht="30" x14ac:dyDescent="0.4">
      <c r="B259" s="11">
        <v>41</v>
      </c>
      <c r="C259" s="12" t="s">
        <v>319</v>
      </c>
      <c r="D259" s="22">
        <v>1</v>
      </c>
      <c r="E259" s="22"/>
      <c r="F259" s="22"/>
      <c r="G259" s="22"/>
      <c r="H259" s="14">
        <v>492.84</v>
      </c>
      <c r="I259" s="14">
        <f t="shared" si="3"/>
        <v>492.84</v>
      </c>
    </row>
    <row r="260" spans="2:9" s="10" customFormat="1" x14ac:dyDescent="0.4">
      <c r="B260" s="11">
        <v>42</v>
      </c>
      <c r="C260" s="12" t="s">
        <v>359</v>
      </c>
      <c r="D260" s="22">
        <v>1</v>
      </c>
      <c r="E260" s="22"/>
      <c r="F260" s="22"/>
      <c r="G260" s="22"/>
      <c r="H260" s="14">
        <v>211.68</v>
      </c>
      <c r="I260" s="14">
        <f t="shared" si="3"/>
        <v>211.68</v>
      </c>
    </row>
    <row r="261" spans="2:9" s="10" customFormat="1" ht="30" x14ac:dyDescent="0.4">
      <c r="B261" s="11">
        <v>43</v>
      </c>
      <c r="C261" s="12" t="s">
        <v>358</v>
      </c>
      <c r="D261" s="22">
        <v>1</v>
      </c>
      <c r="E261" s="22"/>
      <c r="F261" s="22"/>
      <c r="G261" s="22"/>
      <c r="H261" s="14">
        <v>967.31999999999994</v>
      </c>
      <c r="I261" s="14">
        <f t="shared" si="3"/>
        <v>967.31999999999994</v>
      </c>
    </row>
    <row r="262" spans="2:9" s="10" customFormat="1" x14ac:dyDescent="0.4">
      <c r="B262" s="11">
        <v>44</v>
      </c>
      <c r="C262" s="12" t="s">
        <v>100</v>
      </c>
      <c r="D262" s="22">
        <v>1</v>
      </c>
      <c r="E262" s="22"/>
      <c r="F262" s="22"/>
      <c r="G262" s="22"/>
      <c r="H262" s="14">
        <v>146.88</v>
      </c>
      <c r="I262" s="14">
        <f t="shared" si="3"/>
        <v>146.88</v>
      </c>
    </row>
    <row r="263" spans="2:9" s="10" customFormat="1" ht="30" x14ac:dyDescent="0.4">
      <c r="B263" s="11">
        <v>45</v>
      </c>
      <c r="C263" s="12" t="s">
        <v>357</v>
      </c>
      <c r="D263" s="23">
        <v>2</v>
      </c>
      <c r="E263" s="23"/>
      <c r="F263" s="23"/>
      <c r="G263" s="23"/>
      <c r="H263" s="14">
        <v>320.39999999999998</v>
      </c>
      <c r="I263" s="14">
        <f t="shared" si="3"/>
        <v>640.79999999999995</v>
      </c>
    </row>
    <row r="264" spans="2:9" s="10" customFormat="1" ht="30" x14ac:dyDescent="0.4">
      <c r="B264" s="11">
        <v>46</v>
      </c>
      <c r="C264" s="12" t="s">
        <v>356</v>
      </c>
      <c r="D264" s="22">
        <v>2</v>
      </c>
      <c r="E264" s="22"/>
      <c r="F264" s="22"/>
      <c r="G264" s="22"/>
      <c r="H264" s="14">
        <v>281.52</v>
      </c>
      <c r="I264" s="14">
        <f t="shared" si="3"/>
        <v>563.04</v>
      </c>
    </row>
    <row r="265" spans="2:9" s="10" customFormat="1" ht="30" x14ac:dyDescent="0.4">
      <c r="B265" s="11">
        <v>47</v>
      </c>
      <c r="C265" s="12" t="s">
        <v>355</v>
      </c>
      <c r="D265" s="22">
        <v>2</v>
      </c>
      <c r="E265" s="22"/>
      <c r="F265" s="22"/>
      <c r="G265" s="22"/>
      <c r="H265" s="14">
        <v>996.12000000000012</v>
      </c>
      <c r="I265" s="14">
        <f t="shared" si="3"/>
        <v>1992.2400000000002</v>
      </c>
    </row>
    <row r="266" spans="2:9" s="10" customFormat="1" ht="30" x14ac:dyDescent="0.4">
      <c r="B266" s="11">
        <v>48</v>
      </c>
      <c r="C266" s="12" t="s">
        <v>354</v>
      </c>
      <c r="D266" s="22">
        <v>2</v>
      </c>
      <c r="E266" s="22"/>
      <c r="F266" s="22"/>
      <c r="G266" s="22"/>
      <c r="H266" s="14">
        <v>1024.56</v>
      </c>
      <c r="I266" s="14">
        <f t="shared" si="3"/>
        <v>2049.12</v>
      </c>
    </row>
    <row r="267" spans="2:9" s="10" customFormat="1" ht="30" x14ac:dyDescent="0.4">
      <c r="B267" s="11">
        <v>49</v>
      </c>
      <c r="C267" s="12" t="s">
        <v>353</v>
      </c>
      <c r="D267" s="22">
        <v>2</v>
      </c>
      <c r="E267" s="22"/>
      <c r="F267" s="22"/>
      <c r="G267" s="22"/>
      <c r="H267" s="14">
        <v>594.71999999999991</v>
      </c>
      <c r="I267" s="14">
        <f t="shared" si="3"/>
        <v>1189.4399999999998</v>
      </c>
    </row>
    <row r="268" spans="2:9" s="10" customFormat="1" x14ac:dyDescent="0.4">
      <c r="B268" s="11">
        <v>50</v>
      </c>
      <c r="C268" s="12" t="s">
        <v>76</v>
      </c>
      <c r="D268" s="23">
        <v>4</v>
      </c>
      <c r="E268" s="23"/>
      <c r="F268" s="23"/>
      <c r="G268" s="23"/>
      <c r="H268" s="14">
        <v>83.52000000000001</v>
      </c>
      <c r="I268" s="14">
        <f t="shared" si="3"/>
        <v>334.08000000000004</v>
      </c>
    </row>
    <row r="269" spans="2:9" s="10" customFormat="1" ht="60" x14ac:dyDescent="0.4">
      <c r="B269" s="11">
        <v>51</v>
      </c>
      <c r="C269" s="12" t="s">
        <v>352</v>
      </c>
      <c r="D269" s="13">
        <v>1</v>
      </c>
      <c r="E269" s="13"/>
      <c r="F269" s="13"/>
      <c r="G269" s="13"/>
      <c r="H269" s="14">
        <v>8480</v>
      </c>
      <c r="I269" s="14">
        <f t="shared" si="3"/>
        <v>8480</v>
      </c>
    </row>
    <row r="270" spans="2:9" s="10" customFormat="1" x14ac:dyDescent="0.4">
      <c r="B270" s="15"/>
      <c r="C270" s="16"/>
      <c r="D270" s="17">
        <f>SUM(D219:D269)</f>
        <v>95</v>
      </c>
      <c r="E270" s="45"/>
      <c r="F270" s="45"/>
      <c r="G270" s="45"/>
      <c r="H270" s="9"/>
      <c r="I270" s="18">
        <f>SUM(I219:I269)</f>
        <v>39320.840000000004</v>
      </c>
    </row>
    <row r="271" spans="2:9" s="10" customFormat="1" ht="15.75" customHeight="1" x14ac:dyDescent="0.4">
      <c r="B271" s="15"/>
      <c r="C271" s="19"/>
      <c r="D271" s="45"/>
      <c r="E271" s="45"/>
      <c r="F271" s="45"/>
      <c r="G271" s="45"/>
      <c r="H271" s="9"/>
      <c r="I271" s="9"/>
    </row>
    <row r="272" spans="2:9" s="10" customFormat="1" ht="15" customHeight="1" x14ac:dyDescent="0.4">
      <c r="B272" s="124" t="s">
        <v>449</v>
      </c>
      <c r="C272" s="125"/>
      <c r="D272" s="125"/>
      <c r="E272" s="125"/>
      <c r="F272" s="125"/>
      <c r="G272" s="125"/>
      <c r="H272" s="125"/>
      <c r="I272" s="126"/>
    </row>
    <row r="273" spans="2:9" s="10" customFormat="1" ht="30" x14ac:dyDescent="0.4">
      <c r="B273" s="51" t="s">
        <v>21</v>
      </c>
      <c r="C273" s="51" t="s">
        <v>20</v>
      </c>
      <c r="D273" s="51" t="s">
        <v>19</v>
      </c>
      <c r="E273" s="51" t="s">
        <v>523</v>
      </c>
      <c r="F273" s="51" t="s">
        <v>524</v>
      </c>
      <c r="G273" s="51" t="s">
        <v>525</v>
      </c>
      <c r="H273" s="52" t="s">
        <v>18</v>
      </c>
      <c r="I273" s="52" t="s">
        <v>17</v>
      </c>
    </row>
    <row r="274" spans="2:9" s="10" customFormat="1" ht="30" x14ac:dyDescent="0.4">
      <c r="B274" s="11">
        <v>1</v>
      </c>
      <c r="C274" s="12" t="s">
        <v>107</v>
      </c>
      <c r="D274" s="13">
        <v>1</v>
      </c>
      <c r="E274" s="13"/>
      <c r="F274" s="13"/>
      <c r="G274" s="13"/>
      <c r="H274" s="14">
        <v>281.15999999999997</v>
      </c>
      <c r="I274" s="14">
        <f>H274*D274</f>
        <v>281.15999999999997</v>
      </c>
    </row>
    <row r="275" spans="2:9" s="10" customFormat="1" x14ac:dyDescent="0.4">
      <c r="B275" s="11">
        <v>2</v>
      </c>
      <c r="C275" s="12" t="s">
        <v>100</v>
      </c>
      <c r="D275" s="13">
        <v>1</v>
      </c>
      <c r="E275" s="13"/>
      <c r="F275" s="13"/>
      <c r="G275" s="13"/>
      <c r="H275" s="14">
        <v>146.88</v>
      </c>
      <c r="I275" s="14">
        <f t="shared" ref="I275:I286" si="4">H275*D275</f>
        <v>146.88</v>
      </c>
    </row>
    <row r="276" spans="2:9" s="10" customFormat="1" ht="30" x14ac:dyDescent="0.4">
      <c r="B276" s="11">
        <v>3</v>
      </c>
      <c r="C276" s="12" t="s">
        <v>73</v>
      </c>
      <c r="D276" s="13">
        <v>1</v>
      </c>
      <c r="E276" s="13"/>
      <c r="F276" s="13"/>
      <c r="G276" s="13"/>
      <c r="H276" s="14">
        <v>566.64</v>
      </c>
      <c r="I276" s="14">
        <f t="shared" si="4"/>
        <v>566.64</v>
      </c>
    </row>
    <row r="277" spans="2:9" s="10" customFormat="1" ht="30" x14ac:dyDescent="0.4">
      <c r="B277" s="11">
        <v>4</v>
      </c>
      <c r="C277" s="12" t="s">
        <v>351</v>
      </c>
      <c r="D277" s="13">
        <v>4</v>
      </c>
      <c r="E277" s="13"/>
      <c r="F277" s="13"/>
      <c r="G277" s="13"/>
      <c r="H277" s="14">
        <v>151.56</v>
      </c>
      <c r="I277" s="14">
        <f t="shared" si="4"/>
        <v>606.24</v>
      </c>
    </row>
    <row r="278" spans="2:9" s="10" customFormat="1" x14ac:dyDescent="0.4">
      <c r="B278" s="11">
        <v>5</v>
      </c>
      <c r="C278" s="12" t="s">
        <v>72</v>
      </c>
      <c r="D278" s="13">
        <v>2</v>
      </c>
      <c r="E278" s="13"/>
      <c r="F278" s="13"/>
      <c r="G278" s="13"/>
      <c r="H278" s="14">
        <v>213.12</v>
      </c>
      <c r="I278" s="14">
        <f t="shared" si="4"/>
        <v>426.24</v>
      </c>
    </row>
    <row r="279" spans="2:9" s="10" customFormat="1" x14ac:dyDescent="0.4">
      <c r="B279" s="11">
        <v>6</v>
      </c>
      <c r="C279" s="12" t="s">
        <v>63</v>
      </c>
      <c r="D279" s="13">
        <v>4</v>
      </c>
      <c r="E279" s="13"/>
      <c r="F279" s="13"/>
      <c r="G279" s="13"/>
      <c r="H279" s="14">
        <v>113.4</v>
      </c>
      <c r="I279" s="14">
        <f t="shared" si="4"/>
        <v>453.6</v>
      </c>
    </row>
    <row r="280" spans="2:9" s="10" customFormat="1" ht="30" x14ac:dyDescent="0.4">
      <c r="B280" s="11">
        <v>7</v>
      </c>
      <c r="C280" s="12" t="s">
        <v>62</v>
      </c>
      <c r="D280" s="13">
        <v>2</v>
      </c>
      <c r="E280" s="13"/>
      <c r="F280" s="13"/>
      <c r="G280" s="13"/>
      <c r="H280" s="14">
        <v>121.32</v>
      </c>
      <c r="I280" s="14">
        <f t="shared" si="4"/>
        <v>242.64</v>
      </c>
    </row>
    <row r="281" spans="2:9" s="10" customFormat="1" ht="30" x14ac:dyDescent="0.4">
      <c r="B281" s="11">
        <v>8</v>
      </c>
      <c r="C281" s="12" t="s">
        <v>316</v>
      </c>
      <c r="D281" s="13">
        <v>1</v>
      </c>
      <c r="E281" s="13"/>
      <c r="F281" s="13"/>
      <c r="G281" s="13"/>
      <c r="H281" s="14">
        <v>135.35999999999999</v>
      </c>
      <c r="I281" s="14">
        <f t="shared" si="4"/>
        <v>135.35999999999999</v>
      </c>
    </row>
    <row r="282" spans="2:9" s="10" customFormat="1" ht="30" x14ac:dyDescent="0.4">
      <c r="B282" s="11">
        <v>9</v>
      </c>
      <c r="C282" s="12" t="s">
        <v>350</v>
      </c>
      <c r="D282" s="13">
        <v>1</v>
      </c>
      <c r="E282" s="13"/>
      <c r="F282" s="13"/>
      <c r="G282" s="13"/>
      <c r="H282" s="14">
        <v>838.8</v>
      </c>
      <c r="I282" s="14">
        <f t="shared" si="4"/>
        <v>838.8</v>
      </c>
    </row>
    <row r="283" spans="2:9" s="10" customFormat="1" ht="30" x14ac:dyDescent="0.4">
      <c r="B283" s="11">
        <v>10</v>
      </c>
      <c r="C283" s="12" t="s">
        <v>122</v>
      </c>
      <c r="D283" s="13">
        <v>1</v>
      </c>
      <c r="E283" s="13"/>
      <c r="F283" s="13"/>
      <c r="G283" s="13"/>
      <c r="H283" s="14">
        <v>94.320000000000007</v>
      </c>
      <c r="I283" s="14">
        <f t="shared" si="4"/>
        <v>94.320000000000007</v>
      </c>
    </row>
    <row r="284" spans="2:9" s="10" customFormat="1" ht="30" x14ac:dyDescent="0.4">
      <c r="B284" s="11">
        <v>11</v>
      </c>
      <c r="C284" s="12" t="s">
        <v>123</v>
      </c>
      <c r="D284" s="13">
        <v>1</v>
      </c>
      <c r="E284" s="13"/>
      <c r="F284" s="13"/>
      <c r="G284" s="13"/>
      <c r="H284" s="14">
        <v>98.28</v>
      </c>
      <c r="I284" s="14">
        <f t="shared" si="4"/>
        <v>98.28</v>
      </c>
    </row>
    <row r="285" spans="2:9" s="10" customFormat="1" x14ac:dyDescent="0.4">
      <c r="B285" s="11">
        <v>12</v>
      </c>
      <c r="C285" s="12" t="s">
        <v>76</v>
      </c>
      <c r="D285" s="13">
        <v>1</v>
      </c>
      <c r="E285" s="13"/>
      <c r="F285" s="13"/>
      <c r="G285" s="13"/>
      <c r="H285" s="14">
        <v>83.52000000000001</v>
      </c>
      <c r="I285" s="14">
        <f t="shared" si="4"/>
        <v>83.52000000000001</v>
      </c>
    </row>
    <row r="286" spans="2:9" s="10" customFormat="1" ht="60" x14ac:dyDescent="0.4">
      <c r="B286" s="13">
        <v>13</v>
      </c>
      <c r="C286" s="12" t="s">
        <v>349</v>
      </c>
      <c r="D286" s="13">
        <v>1</v>
      </c>
      <c r="E286" s="13"/>
      <c r="F286" s="13"/>
      <c r="G286" s="13"/>
      <c r="H286" s="14">
        <v>8360</v>
      </c>
      <c r="I286" s="14">
        <f t="shared" si="4"/>
        <v>8360</v>
      </c>
    </row>
    <row r="287" spans="2:9" s="10" customFormat="1" x14ac:dyDescent="0.4">
      <c r="B287" s="15"/>
      <c r="C287" s="16"/>
      <c r="D287" s="17">
        <f>SUM(D274:D286)</f>
        <v>21</v>
      </c>
      <c r="E287" s="45"/>
      <c r="F287" s="45"/>
      <c r="G287" s="45"/>
      <c r="H287" s="9"/>
      <c r="I287" s="18">
        <f>SUM(I274:I286)</f>
        <v>12333.68</v>
      </c>
    </row>
    <row r="288" spans="2:9" s="10" customFormat="1" ht="15.75" customHeight="1" x14ac:dyDescent="0.4">
      <c r="B288" s="15"/>
      <c r="C288" s="19"/>
      <c r="D288" s="45"/>
      <c r="E288" s="45"/>
      <c r="F288" s="45"/>
      <c r="G288" s="45"/>
      <c r="H288" s="9"/>
      <c r="I288" s="9"/>
    </row>
    <row r="289" spans="2:9" s="10" customFormat="1" ht="15" customHeight="1" x14ac:dyDescent="0.4">
      <c r="B289" s="124" t="s">
        <v>450</v>
      </c>
      <c r="C289" s="125"/>
      <c r="D289" s="125"/>
      <c r="E289" s="125"/>
      <c r="F289" s="125"/>
      <c r="G289" s="125"/>
      <c r="H289" s="125"/>
      <c r="I289" s="126"/>
    </row>
    <row r="290" spans="2:9" s="10" customFormat="1" ht="30" x14ac:dyDescent="0.4">
      <c r="B290" s="51" t="s">
        <v>21</v>
      </c>
      <c r="C290" s="51" t="s">
        <v>20</v>
      </c>
      <c r="D290" s="51" t="s">
        <v>19</v>
      </c>
      <c r="E290" s="51" t="s">
        <v>523</v>
      </c>
      <c r="F290" s="51" t="s">
        <v>524</v>
      </c>
      <c r="G290" s="51" t="s">
        <v>525</v>
      </c>
      <c r="H290" s="52" t="s">
        <v>18</v>
      </c>
      <c r="I290" s="52" t="s">
        <v>17</v>
      </c>
    </row>
    <row r="291" spans="2:9" s="10" customFormat="1" x14ac:dyDescent="0.4">
      <c r="B291" s="11">
        <v>1</v>
      </c>
      <c r="C291" s="12" t="s">
        <v>155</v>
      </c>
      <c r="D291" s="13">
        <v>1</v>
      </c>
      <c r="E291" s="13"/>
      <c r="F291" s="13"/>
      <c r="G291" s="13"/>
      <c r="H291" s="14">
        <v>48.095999999999997</v>
      </c>
      <c r="I291" s="14">
        <f>H291*D291</f>
        <v>48.095999999999997</v>
      </c>
    </row>
    <row r="292" spans="2:9" s="10" customFormat="1" ht="30" x14ac:dyDescent="0.4">
      <c r="B292" s="11">
        <v>2</v>
      </c>
      <c r="C292" s="12" t="s">
        <v>141</v>
      </c>
      <c r="D292" s="13">
        <v>1</v>
      </c>
      <c r="E292" s="13"/>
      <c r="F292" s="13"/>
      <c r="G292" s="13"/>
      <c r="H292" s="14">
        <v>54.800000000000004</v>
      </c>
      <c r="I292" s="14">
        <f t="shared" ref="I292:I331" si="5">H292*D292</f>
        <v>54.800000000000004</v>
      </c>
    </row>
    <row r="293" spans="2:9" s="10" customFormat="1" x14ac:dyDescent="0.4">
      <c r="B293" s="11">
        <v>3</v>
      </c>
      <c r="C293" s="12" t="s">
        <v>348</v>
      </c>
      <c r="D293" s="13">
        <v>1</v>
      </c>
      <c r="E293" s="13"/>
      <c r="F293" s="13"/>
      <c r="G293" s="13"/>
      <c r="H293" s="14">
        <v>288</v>
      </c>
      <c r="I293" s="14">
        <f t="shared" si="5"/>
        <v>288</v>
      </c>
    </row>
    <row r="294" spans="2:9" s="10" customFormat="1" ht="30" x14ac:dyDescent="0.4">
      <c r="B294" s="11">
        <v>4</v>
      </c>
      <c r="C294" s="12" t="s">
        <v>347</v>
      </c>
      <c r="D294" s="13">
        <v>1</v>
      </c>
      <c r="E294" s="13"/>
      <c r="F294" s="13"/>
      <c r="G294" s="13"/>
      <c r="H294" s="14">
        <v>158.4</v>
      </c>
      <c r="I294" s="14">
        <f t="shared" si="5"/>
        <v>158.4</v>
      </c>
    </row>
    <row r="295" spans="2:9" s="10" customFormat="1" ht="30" x14ac:dyDescent="0.4">
      <c r="B295" s="11">
        <v>5</v>
      </c>
      <c r="C295" s="12" t="s">
        <v>346</v>
      </c>
      <c r="D295" s="13">
        <v>1</v>
      </c>
      <c r="E295" s="13"/>
      <c r="F295" s="13"/>
      <c r="G295" s="13"/>
      <c r="H295" s="14">
        <v>172.8</v>
      </c>
      <c r="I295" s="14">
        <f t="shared" si="5"/>
        <v>172.8</v>
      </c>
    </row>
    <row r="296" spans="2:9" s="10" customFormat="1" ht="30" x14ac:dyDescent="0.4">
      <c r="B296" s="11">
        <v>6</v>
      </c>
      <c r="C296" s="12" t="s">
        <v>345</v>
      </c>
      <c r="D296" s="13">
        <v>1</v>
      </c>
      <c r="E296" s="13"/>
      <c r="F296" s="13"/>
      <c r="G296" s="13"/>
      <c r="H296" s="14">
        <v>172.8</v>
      </c>
      <c r="I296" s="14">
        <f t="shared" si="5"/>
        <v>172.8</v>
      </c>
    </row>
    <row r="297" spans="2:9" s="10" customFormat="1" x14ac:dyDescent="0.4">
      <c r="B297" s="11">
        <v>7</v>
      </c>
      <c r="C297" s="12" t="s">
        <v>344</v>
      </c>
      <c r="D297" s="13">
        <v>1</v>
      </c>
      <c r="E297" s="13"/>
      <c r="F297" s="13"/>
      <c r="G297" s="13"/>
      <c r="H297" s="14">
        <v>336.096</v>
      </c>
      <c r="I297" s="14">
        <f t="shared" si="5"/>
        <v>336.096</v>
      </c>
    </row>
    <row r="298" spans="2:9" s="10" customFormat="1" x14ac:dyDescent="0.4">
      <c r="B298" s="11">
        <v>8</v>
      </c>
      <c r="C298" s="12" t="s">
        <v>343</v>
      </c>
      <c r="D298" s="13">
        <v>1</v>
      </c>
      <c r="E298" s="13"/>
      <c r="F298" s="13"/>
      <c r="G298" s="13"/>
      <c r="H298" s="14">
        <v>144</v>
      </c>
      <c r="I298" s="14">
        <f t="shared" si="5"/>
        <v>144</v>
      </c>
    </row>
    <row r="299" spans="2:9" s="10" customFormat="1" x14ac:dyDescent="0.4">
      <c r="B299" s="11">
        <v>9</v>
      </c>
      <c r="C299" s="12" t="s">
        <v>342</v>
      </c>
      <c r="D299" s="13">
        <v>1</v>
      </c>
      <c r="E299" s="13"/>
      <c r="F299" s="13"/>
      <c r="G299" s="13"/>
      <c r="H299" s="14">
        <v>172.8</v>
      </c>
      <c r="I299" s="14">
        <f t="shared" si="5"/>
        <v>172.8</v>
      </c>
    </row>
    <row r="300" spans="2:9" s="10" customFormat="1" x14ac:dyDescent="0.4">
      <c r="B300" s="11">
        <v>10</v>
      </c>
      <c r="C300" s="12" t="s">
        <v>341</v>
      </c>
      <c r="D300" s="13">
        <v>1</v>
      </c>
      <c r="E300" s="13"/>
      <c r="F300" s="13"/>
      <c r="G300" s="13"/>
      <c r="H300" s="14">
        <v>172.8</v>
      </c>
      <c r="I300" s="14">
        <f t="shared" si="5"/>
        <v>172.8</v>
      </c>
    </row>
    <row r="301" spans="2:9" s="10" customFormat="1" ht="30" x14ac:dyDescent="0.4">
      <c r="B301" s="11">
        <v>11</v>
      </c>
      <c r="C301" s="12" t="s">
        <v>340</v>
      </c>
      <c r="D301" s="13">
        <v>1</v>
      </c>
      <c r="E301" s="13"/>
      <c r="F301" s="13"/>
      <c r="G301" s="13"/>
      <c r="H301" s="14">
        <v>172.8</v>
      </c>
      <c r="I301" s="14">
        <f t="shared" si="5"/>
        <v>172.8</v>
      </c>
    </row>
    <row r="302" spans="2:9" s="10" customFormat="1" x14ac:dyDescent="0.4">
      <c r="B302" s="11">
        <v>12</v>
      </c>
      <c r="C302" s="12" t="s">
        <v>339</v>
      </c>
      <c r="D302" s="13">
        <v>1</v>
      </c>
      <c r="E302" s="13"/>
      <c r="F302" s="13"/>
      <c r="G302" s="13"/>
      <c r="H302" s="14">
        <v>172.8</v>
      </c>
      <c r="I302" s="14">
        <f t="shared" si="5"/>
        <v>172.8</v>
      </c>
    </row>
    <row r="303" spans="2:9" s="10" customFormat="1" ht="30" x14ac:dyDescent="0.4">
      <c r="B303" s="11">
        <v>13</v>
      </c>
      <c r="C303" s="12" t="s">
        <v>338</v>
      </c>
      <c r="D303" s="13">
        <v>1</v>
      </c>
      <c r="E303" s="13"/>
      <c r="F303" s="13"/>
      <c r="G303" s="13"/>
      <c r="H303" s="14">
        <v>211.10399999999998</v>
      </c>
      <c r="I303" s="14">
        <f t="shared" si="5"/>
        <v>211.10399999999998</v>
      </c>
    </row>
    <row r="304" spans="2:9" s="10" customFormat="1" ht="30" x14ac:dyDescent="0.4">
      <c r="B304" s="11">
        <v>14</v>
      </c>
      <c r="C304" s="12" t="s">
        <v>97</v>
      </c>
      <c r="D304" s="13">
        <v>1</v>
      </c>
      <c r="E304" s="13"/>
      <c r="F304" s="13"/>
      <c r="G304" s="13"/>
      <c r="H304" s="14">
        <v>144</v>
      </c>
      <c r="I304" s="14">
        <f t="shared" si="5"/>
        <v>144</v>
      </c>
    </row>
    <row r="305" spans="2:9" s="10" customFormat="1" ht="30" x14ac:dyDescent="0.4">
      <c r="B305" s="11">
        <v>15</v>
      </c>
      <c r="C305" s="12" t="s">
        <v>337</v>
      </c>
      <c r="D305" s="13">
        <v>2</v>
      </c>
      <c r="E305" s="13"/>
      <c r="F305" s="13"/>
      <c r="G305" s="13"/>
      <c r="H305" s="14">
        <v>144</v>
      </c>
      <c r="I305" s="14">
        <f t="shared" si="5"/>
        <v>288</v>
      </c>
    </row>
    <row r="306" spans="2:9" s="10" customFormat="1" ht="30" x14ac:dyDescent="0.4">
      <c r="B306" s="11">
        <v>16</v>
      </c>
      <c r="C306" s="12" t="s">
        <v>154</v>
      </c>
      <c r="D306" s="13">
        <v>1</v>
      </c>
      <c r="E306" s="13"/>
      <c r="F306" s="13"/>
      <c r="G306" s="13"/>
      <c r="H306" s="14">
        <v>230.39999999999998</v>
      </c>
      <c r="I306" s="14">
        <f t="shared" si="5"/>
        <v>230.39999999999998</v>
      </c>
    </row>
    <row r="307" spans="2:9" s="10" customFormat="1" x14ac:dyDescent="0.4">
      <c r="B307" s="11">
        <v>17</v>
      </c>
      <c r="C307" s="12" t="s">
        <v>124</v>
      </c>
      <c r="D307" s="13">
        <v>1</v>
      </c>
      <c r="E307" s="13"/>
      <c r="F307" s="13"/>
      <c r="G307" s="13"/>
      <c r="H307" s="14">
        <v>815.90399999999988</v>
      </c>
      <c r="I307" s="14">
        <f t="shared" si="5"/>
        <v>815.90399999999988</v>
      </c>
    </row>
    <row r="308" spans="2:9" s="10" customFormat="1" ht="30" x14ac:dyDescent="0.4">
      <c r="B308" s="11">
        <v>18</v>
      </c>
      <c r="C308" s="12" t="s">
        <v>336</v>
      </c>
      <c r="D308" s="13">
        <v>2</v>
      </c>
      <c r="E308" s="13"/>
      <c r="F308" s="13"/>
      <c r="G308" s="13"/>
      <c r="H308" s="14">
        <v>86.4</v>
      </c>
      <c r="I308" s="14">
        <f t="shared" si="5"/>
        <v>172.8</v>
      </c>
    </row>
    <row r="309" spans="2:9" s="10" customFormat="1" ht="30" x14ac:dyDescent="0.4">
      <c r="B309" s="11">
        <v>19</v>
      </c>
      <c r="C309" s="12" t="s">
        <v>71</v>
      </c>
      <c r="D309" s="13">
        <v>1</v>
      </c>
      <c r="E309" s="13"/>
      <c r="F309" s="13"/>
      <c r="G309" s="13"/>
      <c r="H309" s="14">
        <v>67.103999999999999</v>
      </c>
      <c r="I309" s="14">
        <f t="shared" si="5"/>
        <v>67.103999999999999</v>
      </c>
    </row>
    <row r="310" spans="2:9" s="10" customFormat="1" ht="30" x14ac:dyDescent="0.4">
      <c r="B310" s="11">
        <v>20</v>
      </c>
      <c r="C310" s="12" t="s">
        <v>335</v>
      </c>
      <c r="D310" s="13">
        <v>1</v>
      </c>
      <c r="E310" s="13"/>
      <c r="F310" s="13"/>
      <c r="G310" s="13"/>
      <c r="H310" s="14">
        <v>76.896000000000001</v>
      </c>
      <c r="I310" s="14">
        <f t="shared" si="5"/>
        <v>76.896000000000001</v>
      </c>
    </row>
    <row r="311" spans="2:9" s="10" customFormat="1" x14ac:dyDescent="0.4">
      <c r="B311" s="11">
        <v>21</v>
      </c>
      <c r="C311" s="12" t="s">
        <v>334</v>
      </c>
      <c r="D311" s="13">
        <v>1</v>
      </c>
      <c r="E311" s="13"/>
      <c r="F311" s="13"/>
      <c r="G311" s="13"/>
      <c r="H311" s="14">
        <v>1008</v>
      </c>
      <c r="I311" s="14">
        <f t="shared" si="5"/>
        <v>1008</v>
      </c>
    </row>
    <row r="312" spans="2:9" s="10" customFormat="1" x14ac:dyDescent="0.4">
      <c r="B312" s="11">
        <v>22</v>
      </c>
      <c r="C312" s="12" t="s">
        <v>333</v>
      </c>
      <c r="D312" s="13">
        <v>1</v>
      </c>
      <c r="E312" s="13"/>
      <c r="F312" s="13"/>
      <c r="G312" s="13"/>
      <c r="H312" s="14">
        <v>1008</v>
      </c>
      <c r="I312" s="14">
        <f t="shared" si="5"/>
        <v>1008</v>
      </c>
    </row>
    <row r="313" spans="2:9" s="10" customFormat="1" x14ac:dyDescent="0.4">
      <c r="B313" s="11">
        <v>23</v>
      </c>
      <c r="C313" s="12" t="s">
        <v>332</v>
      </c>
      <c r="D313" s="13">
        <v>1</v>
      </c>
      <c r="E313" s="13"/>
      <c r="F313" s="13"/>
      <c r="G313" s="13"/>
      <c r="H313" s="14">
        <v>1008</v>
      </c>
      <c r="I313" s="14">
        <f t="shared" si="5"/>
        <v>1008</v>
      </c>
    </row>
    <row r="314" spans="2:9" s="10" customFormat="1" x14ac:dyDescent="0.4">
      <c r="B314" s="11">
        <v>24</v>
      </c>
      <c r="C314" s="12" t="s">
        <v>331</v>
      </c>
      <c r="D314" s="13">
        <v>1</v>
      </c>
      <c r="E314" s="13"/>
      <c r="F314" s="13"/>
      <c r="G314" s="13"/>
      <c r="H314" s="14">
        <v>1008</v>
      </c>
      <c r="I314" s="14">
        <f t="shared" si="5"/>
        <v>1008</v>
      </c>
    </row>
    <row r="315" spans="2:9" s="10" customFormat="1" ht="30" x14ac:dyDescent="0.4">
      <c r="B315" s="11">
        <v>25</v>
      </c>
      <c r="C315" s="12" t="s">
        <v>330</v>
      </c>
      <c r="D315" s="13">
        <v>1</v>
      </c>
      <c r="E315" s="13"/>
      <c r="F315" s="13"/>
      <c r="G315" s="13"/>
      <c r="H315" s="14">
        <v>1008</v>
      </c>
      <c r="I315" s="14">
        <f t="shared" si="5"/>
        <v>1008</v>
      </c>
    </row>
    <row r="316" spans="2:9" s="10" customFormat="1" ht="30" x14ac:dyDescent="0.4">
      <c r="B316" s="11">
        <v>26</v>
      </c>
      <c r="C316" s="12" t="s">
        <v>66</v>
      </c>
      <c r="D316" s="13">
        <v>1</v>
      </c>
      <c r="E316" s="13"/>
      <c r="F316" s="13"/>
      <c r="G316" s="13"/>
      <c r="H316" s="14">
        <v>120.09599999999999</v>
      </c>
      <c r="I316" s="14">
        <f t="shared" si="5"/>
        <v>120.09599999999999</v>
      </c>
    </row>
    <row r="317" spans="2:9" s="10" customFormat="1" ht="30" x14ac:dyDescent="0.4">
      <c r="B317" s="11">
        <v>27</v>
      </c>
      <c r="C317" s="12" t="s">
        <v>329</v>
      </c>
      <c r="D317" s="13">
        <v>1</v>
      </c>
      <c r="E317" s="13"/>
      <c r="F317" s="13"/>
      <c r="G317" s="13"/>
      <c r="H317" s="14">
        <v>10986.687999999998</v>
      </c>
      <c r="I317" s="14">
        <f t="shared" si="5"/>
        <v>10986.687999999998</v>
      </c>
    </row>
    <row r="318" spans="2:9" s="10" customFormat="1" ht="30" x14ac:dyDescent="0.4">
      <c r="B318" s="11">
        <v>28</v>
      </c>
      <c r="C318" s="12" t="s">
        <v>328</v>
      </c>
      <c r="D318" s="13">
        <v>1</v>
      </c>
      <c r="E318" s="13"/>
      <c r="F318" s="13"/>
      <c r="G318" s="13"/>
      <c r="H318" s="14">
        <v>8452.232</v>
      </c>
      <c r="I318" s="14">
        <f t="shared" si="5"/>
        <v>8452.232</v>
      </c>
    </row>
    <row r="319" spans="2:9" s="10" customFormat="1" ht="30" x14ac:dyDescent="0.4">
      <c r="B319" s="11">
        <v>29</v>
      </c>
      <c r="C319" s="12" t="s">
        <v>327</v>
      </c>
      <c r="D319" s="13">
        <v>1</v>
      </c>
      <c r="E319" s="13"/>
      <c r="F319" s="13"/>
      <c r="G319" s="13"/>
      <c r="H319" s="14">
        <v>7846.0879999999997</v>
      </c>
      <c r="I319" s="14">
        <f t="shared" si="5"/>
        <v>7846.0879999999997</v>
      </c>
    </row>
    <row r="320" spans="2:9" s="10" customFormat="1" x14ac:dyDescent="0.4">
      <c r="B320" s="11">
        <v>30</v>
      </c>
      <c r="C320" s="12" t="s">
        <v>326</v>
      </c>
      <c r="D320" s="13">
        <v>1</v>
      </c>
      <c r="E320" s="13"/>
      <c r="F320" s="13"/>
      <c r="G320" s="13"/>
      <c r="H320" s="14">
        <v>864</v>
      </c>
      <c r="I320" s="14">
        <f t="shared" si="5"/>
        <v>864</v>
      </c>
    </row>
    <row r="321" spans="2:9" s="10" customFormat="1" ht="30" x14ac:dyDescent="0.4">
      <c r="B321" s="11">
        <v>31</v>
      </c>
      <c r="C321" s="12" t="s">
        <v>325</v>
      </c>
      <c r="D321" s="13">
        <v>1</v>
      </c>
      <c r="E321" s="13"/>
      <c r="F321" s="13"/>
      <c r="G321" s="13"/>
      <c r="H321" s="14">
        <v>864</v>
      </c>
      <c r="I321" s="14">
        <f t="shared" si="5"/>
        <v>864</v>
      </c>
    </row>
    <row r="322" spans="2:9" s="10" customFormat="1" ht="45" x14ac:dyDescent="0.4">
      <c r="B322" s="11">
        <v>32</v>
      </c>
      <c r="C322" s="12" t="s">
        <v>61</v>
      </c>
      <c r="D322" s="13">
        <v>1</v>
      </c>
      <c r="E322" s="13"/>
      <c r="F322" s="13"/>
      <c r="G322" s="13"/>
      <c r="H322" s="14">
        <v>153.50400000000002</v>
      </c>
      <c r="I322" s="14">
        <f t="shared" si="5"/>
        <v>153.50400000000002</v>
      </c>
    </row>
    <row r="323" spans="2:9" s="10" customFormat="1" ht="45" x14ac:dyDescent="0.4">
      <c r="B323" s="11">
        <v>33</v>
      </c>
      <c r="C323" s="12" t="s">
        <v>116</v>
      </c>
      <c r="D323" s="13">
        <v>1</v>
      </c>
      <c r="E323" s="13"/>
      <c r="F323" s="13"/>
      <c r="G323" s="13"/>
      <c r="H323" s="14">
        <v>167.904</v>
      </c>
      <c r="I323" s="14">
        <f t="shared" si="5"/>
        <v>167.904</v>
      </c>
    </row>
    <row r="324" spans="2:9" s="10" customFormat="1" ht="30" x14ac:dyDescent="0.4">
      <c r="B324" s="11">
        <v>34</v>
      </c>
      <c r="C324" s="12" t="s">
        <v>324</v>
      </c>
      <c r="D324" s="13">
        <v>1</v>
      </c>
      <c r="E324" s="13"/>
      <c r="F324" s="13"/>
      <c r="G324" s="13"/>
      <c r="H324" s="14">
        <v>432</v>
      </c>
      <c r="I324" s="14">
        <f t="shared" si="5"/>
        <v>432</v>
      </c>
    </row>
    <row r="325" spans="2:9" s="10" customFormat="1" x14ac:dyDescent="0.4">
      <c r="B325" s="11">
        <v>35</v>
      </c>
      <c r="C325" s="12" t="s">
        <v>323</v>
      </c>
      <c r="D325" s="13">
        <v>1</v>
      </c>
      <c r="E325" s="13"/>
      <c r="F325" s="13"/>
      <c r="G325" s="13"/>
      <c r="H325" s="14">
        <v>920</v>
      </c>
      <c r="I325" s="14">
        <f t="shared" si="5"/>
        <v>920</v>
      </c>
    </row>
    <row r="326" spans="2:9" s="10" customFormat="1" ht="30" x14ac:dyDescent="0.4">
      <c r="B326" s="11">
        <v>36</v>
      </c>
      <c r="C326" s="12" t="s">
        <v>322</v>
      </c>
      <c r="D326" s="13">
        <v>1</v>
      </c>
      <c r="E326" s="13"/>
      <c r="F326" s="13"/>
      <c r="G326" s="13"/>
      <c r="H326" s="14">
        <v>220.89599999999996</v>
      </c>
      <c r="I326" s="14">
        <f t="shared" si="5"/>
        <v>220.89599999999996</v>
      </c>
    </row>
    <row r="327" spans="2:9" s="10" customFormat="1" ht="30" x14ac:dyDescent="0.4">
      <c r="B327" s="11">
        <v>37</v>
      </c>
      <c r="C327" s="12" t="s">
        <v>321</v>
      </c>
      <c r="D327" s="13">
        <v>1</v>
      </c>
      <c r="E327" s="13"/>
      <c r="F327" s="13"/>
      <c r="G327" s="13"/>
      <c r="H327" s="14">
        <v>204.19200000000001</v>
      </c>
      <c r="I327" s="14">
        <f t="shared" si="5"/>
        <v>204.19200000000001</v>
      </c>
    </row>
    <row r="328" spans="2:9" s="10" customFormat="1" ht="30" x14ac:dyDescent="0.4">
      <c r="B328" s="11">
        <v>38</v>
      </c>
      <c r="C328" s="12" t="s">
        <v>143</v>
      </c>
      <c r="D328" s="13">
        <v>1</v>
      </c>
      <c r="E328" s="13"/>
      <c r="F328" s="13"/>
      <c r="G328" s="13"/>
      <c r="H328" s="14">
        <v>95.903999999999996</v>
      </c>
      <c r="I328" s="14">
        <f t="shared" si="5"/>
        <v>95.903999999999996</v>
      </c>
    </row>
    <row r="329" spans="2:9" s="10" customFormat="1" x14ac:dyDescent="0.4">
      <c r="B329" s="11">
        <v>39</v>
      </c>
      <c r="C329" s="12" t="s">
        <v>76</v>
      </c>
      <c r="D329" s="23">
        <v>3</v>
      </c>
      <c r="E329" s="23"/>
      <c r="F329" s="23"/>
      <c r="G329" s="23"/>
      <c r="H329" s="14">
        <v>83.52000000000001</v>
      </c>
      <c r="I329" s="14">
        <f t="shared" si="5"/>
        <v>250.56000000000003</v>
      </c>
    </row>
    <row r="330" spans="2:9" s="10" customFormat="1" ht="30" x14ac:dyDescent="0.4">
      <c r="B330" s="11">
        <v>40</v>
      </c>
      <c r="C330" s="12" t="s">
        <v>320</v>
      </c>
      <c r="D330" s="13">
        <v>1</v>
      </c>
      <c r="E330" s="13"/>
      <c r="F330" s="13"/>
      <c r="G330" s="13"/>
      <c r="H330" s="14">
        <v>239.904</v>
      </c>
      <c r="I330" s="14">
        <f t="shared" si="5"/>
        <v>239.904</v>
      </c>
    </row>
    <row r="331" spans="2:9" s="10" customFormat="1" ht="60" x14ac:dyDescent="0.4">
      <c r="B331" s="11">
        <v>41</v>
      </c>
      <c r="C331" s="12" t="s">
        <v>228</v>
      </c>
      <c r="D331" s="13">
        <v>1</v>
      </c>
      <c r="E331" s="13"/>
      <c r="F331" s="13"/>
      <c r="G331" s="13"/>
      <c r="H331" s="14">
        <v>8840</v>
      </c>
      <c r="I331" s="14">
        <f t="shared" si="5"/>
        <v>8840</v>
      </c>
    </row>
    <row r="332" spans="2:9" s="10" customFormat="1" x14ac:dyDescent="0.4">
      <c r="B332" s="15"/>
      <c r="C332" s="16"/>
      <c r="D332" s="17">
        <f>SUM(D291:D331)</f>
        <v>45</v>
      </c>
      <c r="E332" s="45"/>
      <c r="F332" s="45"/>
      <c r="G332" s="45"/>
      <c r="I332" s="24">
        <f>SUM(I291:I331)</f>
        <v>49770.368000000009</v>
      </c>
    </row>
    <row r="333" spans="2:9" s="10" customFormat="1" ht="13.9" x14ac:dyDescent="0.4">
      <c r="B333" s="25"/>
      <c r="C333" s="57"/>
    </row>
    <row r="334" spans="2:9" s="10" customFormat="1" ht="15" customHeight="1" x14ac:dyDescent="0.4">
      <c r="B334" s="124" t="s">
        <v>451</v>
      </c>
      <c r="C334" s="125"/>
      <c r="D334" s="125"/>
      <c r="E334" s="125"/>
      <c r="F334" s="125"/>
      <c r="G334" s="125"/>
      <c r="H334" s="125"/>
      <c r="I334" s="126"/>
    </row>
    <row r="335" spans="2:9" s="10" customFormat="1" ht="30" x14ac:dyDescent="0.4">
      <c r="B335" s="51" t="s">
        <v>21</v>
      </c>
      <c r="C335" s="51" t="s">
        <v>20</v>
      </c>
      <c r="D335" s="51" t="s">
        <v>19</v>
      </c>
      <c r="E335" s="51" t="s">
        <v>523</v>
      </c>
      <c r="F335" s="51" t="s">
        <v>524</v>
      </c>
      <c r="G335" s="51" t="s">
        <v>525</v>
      </c>
      <c r="H335" s="52" t="s">
        <v>18</v>
      </c>
      <c r="I335" s="52" t="s">
        <v>17</v>
      </c>
    </row>
    <row r="336" spans="2:9" s="10" customFormat="1" ht="30" x14ac:dyDescent="0.4">
      <c r="B336" s="11">
        <v>1</v>
      </c>
      <c r="C336" s="12" t="s">
        <v>81</v>
      </c>
      <c r="D336" s="13">
        <v>1</v>
      </c>
      <c r="E336" s="13"/>
      <c r="F336" s="13"/>
      <c r="G336" s="13"/>
      <c r="H336" s="14">
        <v>281.15999999999997</v>
      </c>
      <c r="I336" s="14">
        <f>H336*D336</f>
        <v>281.15999999999997</v>
      </c>
    </row>
    <row r="337" spans="2:9" s="10" customFormat="1" ht="30" x14ac:dyDescent="0.4">
      <c r="B337" s="11">
        <v>2</v>
      </c>
      <c r="C337" s="12" t="s">
        <v>319</v>
      </c>
      <c r="D337" s="13">
        <v>1</v>
      </c>
      <c r="E337" s="13"/>
      <c r="F337" s="13"/>
      <c r="G337" s="13"/>
      <c r="H337" s="14">
        <v>492.84</v>
      </c>
      <c r="I337" s="14">
        <f t="shared" ref="I337:I357" si="6">H337*D337</f>
        <v>492.84</v>
      </c>
    </row>
    <row r="338" spans="2:9" s="10" customFormat="1" x14ac:dyDescent="0.4">
      <c r="B338" s="11">
        <v>3</v>
      </c>
      <c r="C338" s="12" t="s">
        <v>318</v>
      </c>
      <c r="D338" s="13">
        <v>1</v>
      </c>
      <c r="E338" s="13"/>
      <c r="F338" s="13"/>
      <c r="G338" s="13"/>
      <c r="H338" s="14">
        <v>955.6</v>
      </c>
      <c r="I338" s="14">
        <f t="shared" si="6"/>
        <v>955.6</v>
      </c>
    </row>
    <row r="339" spans="2:9" s="10" customFormat="1" x14ac:dyDescent="0.4">
      <c r="B339" s="11">
        <v>4</v>
      </c>
      <c r="C339" s="12" t="s">
        <v>76</v>
      </c>
      <c r="D339" s="13">
        <v>2</v>
      </c>
      <c r="E339" s="13"/>
      <c r="F339" s="13"/>
      <c r="G339" s="13"/>
      <c r="H339" s="14">
        <v>83.52000000000001</v>
      </c>
      <c r="I339" s="14">
        <f t="shared" si="6"/>
        <v>167.04000000000002</v>
      </c>
    </row>
    <row r="340" spans="2:9" s="10" customFormat="1" x14ac:dyDescent="0.4">
      <c r="B340" s="11">
        <v>5</v>
      </c>
      <c r="C340" s="12" t="s">
        <v>100</v>
      </c>
      <c r="D340" s="13">
        <v>1</v>
      </c>
      <c r="E340" s="13"/>
      <c r="F340" s="13"/>
      <c r="G340" s="13"/>
      <c r="H340" s="14">
        <v>146.88</v>
      </c>
      <c r="I340" s="14">
        <f t="shared" si="6"/>
        <v>146.88</v>
      </c>
    </row>
    <row r="341" spans="2:9" s="10" customFormat="1" ht="30" x14ac:dyDescent="0.4">
      <c r="B341" s="11">
        <v>6</v>
      </c>
      <c r="C341" s="12" t="s">
        <v>73</v>
      </c>
      <c r="D341" s="13">
        <v>1</v>
      </c>
      <c r="E341" s="13"/>
      <c r="F341" s="13"/>
      <c r="G341" s="13"/>
      <c r="H341" s="14">
        <v>566.64</v>
      </c>
      <c r="I341" s="14">
        <f t="shared" si="6"/>
        <v>566.64</v>
      </c>
    </row>
    <row r="342" spans="2:9" s="10" customFormat="1" ht="30" x14ac:dyDescent="0.4">
      <c r="B342" s="11">
        <v>7</v>
      </c>
      <c r="C342" s="12" t="s">
        <v>68</v>
      </c>
      <c r="D342" s="13">
        <v>1</v>
      </c>
      <c r="E342" s="13"/>
      <c r="F342" s="13"/>
      <c r="G342" s="13"/>
      <c r="H342" s="14">
        <v>109.08</v>
      </c>
      <c r="I342" s="14">
        <f t="shared" si="6"/>
        <v>109.08</v>
      </c>
    </row>
    <row r="343" spans="2:9" s="10" customFormat="1" ht="30" x14ac:dyDescent="0.4">
      <c r="B343" s="11">
        <v>8</v>
      </c>
      <c r="C343" s="12" t="s">
        <v>70</v>
      </c>
      <c r="D343" s="13">
        <v>1</v>
      </c>
      <c r="E343" s="13"/>
      <c r="F343" s="13"/>
      <c r="G343" s="13"/>
      <c r="H343" s="14">
        <v>109.08</v>
      </c>
      <c r="I343" s="14">
        <f t="shared" si="6"/>
        <v>109.08</v>
      </c>
    </row>
    <row r="344" spans="2:9" s="10" customFormat="1" ht="30" x14ac:dyDescent="0.4">
      <c r="B344" s="11">
        <v>9</v>
      </c>
      <c r="C344" s="12" t="s">
        <v>317</v>
      </c>
      <c r="D344" s="13">
        <v>1</v>
      </c>
      <c r="E344" s="13"/>
      <c r="F344" s="13"/>
      <c r="G344" s="13"/>
      <c r="H344" s="14">
        <v>262.08000000000004</v>
      </c>
      <c r="I344" s="14">
        <f t="shared" si="6"/>
        <v>262.08000000000004</v>
      </c>
    </row>
    <row r="345" spans="2:9" s="10" customFormat="1" x14ac:dyDescent="0.4">
      <c r="B345" s="11">
        <v>10</v>
      </c>
      <c r="C345" s="12" t="s">
        <v>72</v>
      </c>
      <c r="D345" s="13">
        <v>4</v>
      </c>
      <c r="E345" s="13"/>
      <c r="F345" s="13"/>
      <c r="G345" s="13"/>
      <c r="H345" s="14">
        <v>213.12</v>
      </c>
      <c r="I345" s="14">
        <f t="shared" si="6"/>
        <v>852.48</v>
      </c>
    </row>
    <row r="346" spans="2:9" s="10" customFormat="1" x14ac:dyDescent="0.4">
      <c r="B346" s="11">
        <v>11</v>
      </c>
      <c r="C346" s="12" t="s">
        <v>92</v>
      </c>
      <c r="D346" s="13">
        <v>6</v>
      </c>
      <c r="E346" s="13"/>
      <c r="F346" s="13"/>
      <c r="G346" s="13"/>
      <c r="H346" s="14">
        <v>113.4</v>
      </c>
      <c r="I346" s="14">
        <f t="shared" si="6"/>
        <v>680.40000000000009</v>
      </c>
    </row>
    <row r="347" spans="2:9" s="10" customFormat="1" ht="30" x14ac:dyDescent="0.4">
      <c r="B347" s="11">
        <v>12</v>
      </c>
      <c r="C347" s="12" t="s">
        <v>117</v>
      </c>
      <c r="D347" s="13">
        <v>4</v>
      </c>
      <c r="E347" s="13"/>
      <c r="F347" s="13"/>
      <c r="G347" s="13"/>
      <c r="H347" s="14">
        <v>142.56</v>
      </c>
      <c r="I347" s="14">
        <f t="shared" si="6"/>
        <v>570.24</v>
      </c>
    </row>
    <row r="348" spans="2:9" s="10" customFormat="1" ht="30" x14ac:dyDescent="0.4">
      <c r="B348" s="11">
        <v>13</v>
      </c>
      <c r="C348" s="12" t="s">
        <v>197</v>
      </c>
      <c r="D348" s="13">
        <v>2</v>
      </c>
      <c r="E348" s="13"/>
      <c r="F348" s="13"/>
      <c r="G348" s="13"/>
      <c r="H348" s="14">
        <v>139.68</v>
      </c>
      <c r="I348" s="14">
        <f t="shared" si="6"/>
        <v>279.36</v>
      </c>
    </row>
    <row r="349" spans="2:9" s="10" customFormat="1" ht="30" x14ac:dyDescent="0.4">
      <c r="B349" s="11">
        <v>14</v>
      </c>
      <c r="C349" s="12" t="s">
        <v>118</v>
      </c>
      <c r="D349" s="13">
        <v>2</v>
      </c>
      <c r="E349" s="13"/>
      <c r="F349" s="13"/>
      <c r="G349" s="13"/>
      <c r="H349" s="14">
        <v>156.96</v>
      </c>
      <c r="I349" s="14">
        <f t="shared" si="6"/>
        <v>313.92</v>
      </c>
    </row>
    <row r="350" spans="2:9" s="10" customFormat="1" ht="30" x14ac:dyDescent="0.4">
      <c r="B350" s="11">
        <v>15</v>
      </c>
      <c r="C350" s="12" t="s">
        <v>265</v>
      </c>
      <c r="D350" s="13">
        <v>2</v>
      </c>
      <c r="E350" s="13"/>
      <c r="F350" s="13"/>
      <c r="G350" s="13"/>
      <c r="H350" s="14">
        <v>154.08000000000001</v>
      </c>
      <c r="I350" s="14">
        <f t="shared" si="6"/>
        <v>308.16000000000003</v>
      </c>
    </row>
    <row r="351" spans="2:9" s="10" customFormat="1" ht="45" x14ac:dyDescent="0.4">
      <c r="B351" s="11">
        <v>16</v>
      </c>
      <c r="C351" s="12" t="s">
        <v>116</v>
      </c>
      <c r="D351" s="13">
        <v>2</v>
      </c>
      <c r="E351" s="13"/>
      <c r="F351" s="13"/>
      <c r="G351" s="13"/>
      <c r="H351" s="14">
        <v>171.71999999999997</v>
      </c>
      <c r="I351" s="14">
        <f t="shared" si="6"/>
        <v>343.43999999999994</v>
      </c>
    </row>
    <row r="352" spans="2:9" s="10" customFormat="1" ht="30" x14ac:dyDescent="0.4">
      <c r="B352" s="11">
        <v>17</v>
      </c>
      <c r="C352" s="12" t="s">
        <v>316</v>
      </c>
      <c r="D352" s="13">
        <v>2</v>
      </c>
      <c r="E352" s="13"/>
      <c r="F352" s="13"/>
      <c r="G352" s="13"/>
      <c r="H352" s="14">
        <v>135.35999999999999</v>
      </c>
      <c r="I352" s="14">
        <f t="shared" si="6"/>
        <v>270.71999999999997</v>
      </c>
    </row>
    <row r="353" spans="2:9" s="10" customFormat="1" ht="30" x14ac:dyDescent="0.4">
      <c r="B353" s="11">
        <v>18</v>
      </c>
      <c r="C353" s="12" t="s">
        <v>198</v>
      </c>
      <c r="D353" s="13">
        <v>1</v>
      </c>
      <c r="E353" s="13"/>
      <c r="F353" s="13"/>
      <c r="G353" s="13"/>
      <c r="H353" s="14">
        <v>131.76</v>
      </c>
      <c r="I353" s="14">
        <f t="shared" si="6"/>
        <v>131.76</v>
      </c>
    </row>
    <row r="354" spans="2:9" s="10" customFormat="1" ht="30" x14ac:dyDescent="0.4">
      <c r="B354" s="11">
        <v>19</v>
      </c>
      <c r="C354" s="12" t="s">
        <v>110</v>
      </c>
      <c r="D354" s="13">
        <v>1</v>
      </c>
      <c r="E354" s="13"/>
      <c r="F354" s="13"/>
      <c r="G354" s="13"/>
      <c r="H354" s="14">
        <v>161.28</v>
      </c>
      <c r="I354" s="14">
        <f t="shared" si="6"/>
        <v>161.28</v>
      </c>
    </row>
    <row r="355" spans="2:9" s="10" customFormat="1" x14ac:dyDescent="0.4">
      <c r="B355" s="11">
        <v>20</v>
      </c>
      <c r="C355" s="12" t="s">
        <v>315</v>
      </c>
      <c r="D355" s="13">
        <v>1</v>
      </c>
      <c r="E355" s="13"/>
      <c r="F355" s="13"/>
      <c r="G355" s="13"/>
      <c r="H355" s="14">
        <v>529.92000000000007</v>
      </c>
      <c r="I355" s="14">
        <f t="shared" si="6"/>
        <v>529.92000000000007</v>
      </c>
    </row>
    <row r="356" spans="2:9" s="10" customFormat="1" x14ac:dyDescent="0.4">
      <c r="B356" s="11">
        <v>21</v>
      </c>
      <c r="C356" s="12" t="s">
        <v>76</v>
      </c>
      <c r="D356" s="23">
        <v>3</v>
      </c>
      <c r="E356" s="23"/>
      <c r="F356" s="23"/>
      <c r="G356" s="23"/>
      <c r="H356" s="14">
        <v>83.52000000000001</v>
      </c>
      <c r="I356" s="14">
        <f t="shared" si="6"/>
        <v>250.56000000000003</v>
      </c>
    </row>
    <row r="357" spans="2:9" s="10" customFormat="1" ht="60" x14ac:dyDescent="0.4">
      <c r="B357" s="11">
        <v>22</v>
      </c>
      <c r="C357" s="12" t="s">
        <v>314</v>
      </c>
      <c r="D357" s="13">
        <v>1</v>
      </c>
      <c r="E357" s="13"/>
      <c r="F357" s="13"/>
      <c r="G357" s="13"/>
      <c r="H357" s="14">
        <v>8840</v>
      </c>
      <c r="I357" s="14">
        <f t="shared" si="6"/>
        <v>8840</v>
      </c>
    </row>
    <row r="358" spans="2:9" s="10" customFormat="1" x14ac:dyDescent="0.4">
      <c r="B358" s="15"/>
      <c r="C358" s="16"/>
      <c r="D358" s="17">
        <f>SUM(D336:D357)</f>
        <v>41</v>
      </c>
      <c r="E358" s="45"/>
      <c r="F358" s="45"/>
      <c r="G358" s="45"/>
      <c r="H358" s="9"/>
      <c r="I358" s="18">
        <f>SUM(I336:I357)</f>
        <v>16622.64</v>
      </c>
    </row>
    <row r="359" spans="2:9" s="10" customFormat="1" ht="15.75" customHeight="1" x14ac:dyDescent="0.4">
      <c r="B359" s="15"/>
      <c r="C359" s="19"/>
      <c r="D359" s="45"/>
      <c r="E359" s="45"/>
      <c r="F359" s="45"/>
      <c r="G359" s="45"/>
      <c r="H359" s="9"/>
      <c r="I359" s="9"/>
    </row>
    <row r="360" spans="2:9" s="10" customFormat="1" ht="15" customHeight="1" x14ac:dyDescent="0.4">
      <c r="B360" s="124" t="s">
        <v>452</v>
      </c>
      <c r="C360" s="125"/>
      <c r="D360" s="125"/>
      <c r="E360" s="125"/>
      <c r="F360" s="125"/>
      <c r="G360" s="125"/>
      <c r="H360" s="125"/>
      <c r="I360" s="126"/>
    </row>
    <row r="361" spans="2:9" s="10" customFormat="1" ht="30" x14ac:dyDescent="0.4">
      <c r="B361" s="51" t="s">
        <v>21</v>
      </c>
      <c r="C361" s="51" t="s">
        <v>20</v>
      </c>
      <c r="D361" s="51" t="s">
        <v>19</v>
      </c>
      <c r="E361" s="51" t="s">
        <v>523</v>
      </c>
      <c r="F361" s="51" t="s">
        <v>524</v>
      </c>
      <c r="G361" s="51" t="s">
        <v>525</v>
      </c>
      <c r="H361" s="52" t="s">
        <v>18</v>
      </c>
      <c r="I361" s="52" t="s">
        <v>17</v>
      </c>
    </row>
    <row r="362" spans="2:9" s="10" customFormat="1" x14ac:dyDescent="0.4">
      <c r="B362" s="11">
        <v>1</v>
      </c>
      <c r="C362" s="12" t="s">
        <v>100</v>
      </c>
      <c r="D362" s="13">
        <v>1</v>
      </c>
      <c r="E362" s="13"/>
      <c r="F362" s="13"/>
      <c r="G362" s="13"/>
      <c r="H362" s="14">
        <v>146.88</v>
      </c>
      <c r="I362" s="14">
        <f>H362*D362</f>
        <v>146.88</v>
      </c>
    </row>
    <row r="363" spans="2:9" s="10" customFormat="1" ht="30" x14ac:dyDescent="0.4">
      <c r="B363" s="11">
        <v>2</v>
      </c>
      <c r="C363" s="12" t="s">
        <v>73</v>
      </c>
      <c r="D363" s="13">
        <v>1</v>
      </c>
      <c r="E363" s="13"/>
      <c r="F363" s="13"/>
      <c r="G363" s="13"/>
      <c r="H363" s="14">
        <v>566.64</v>
      </c>
      <c r="I363" s="14">
        <f t="shared" ref="I363:I371" si="7">H363*D363</f>
        <v>566.64</v>
      </c>
    </row>
    <row r="364" spans="2:9" s="10" customFormat="1" ht="30" x14ac:dyDescent="0.4">
      <c r="B364" s="11">
        <v>3</v>
      </c>
      <c r="C364" s="12" t="s">
        <v>70</v>
      </c>
      <c r="D364" s="13">
        <v>1</v>
      </c>
      <c r="E364" s="13"/>
      <c r="F364" s="13"/>
      <c r="G364" s="13"/>
      <c r="H364" s="14">
        <v>109.08</v>
      </c>
      <c r="I364" s="14">
        <f t="shared" si="7"/>
        <v>109.08</v>
      </c>
    </row>
    <row r="365" spans="2:9" s="10" customFormat="1" ht="30" x14ac:dyDescent="0.4">
      <c r="B365" s="11">
        <v>4</v>
      </c>
      <c r="C365" s="12" t="s">
        <v>313</v>
      </c>
      <c r="D365" s="13">
        <v>1</v>
      </c>
      <c r="E365" s="13"/>
      <c r="F365" s="13"/>
      <c r="G365" s="13"/>
      <c r="H365" s="14">
        <v>162.71999999999997</v>
      </c>
      <c r="I365" s="14">
        <f t="shared" si="7"/>
        <v>162.71999999999997</v>
      </c>
    </row>
    <row r="366" spans="2:9" s="10" customFormat="1" x14ac:dyDescent="0.4">
      <c r="B366" s="11">
        <v>5</v>
      </c>
      <c r="C366" s="12" t="s">
        <v>63</v>
      </c>
      <c r="D366" s="13">
        <v>2</v>
      </c>
      <c r="E366" s="13"/>
      <c r="F366" s="13"/>
      <c r="G366" s="13"/>
      <c r="H366" s="14">
        <v>113.4</v>
      </c>
      <c r="I366" s="14">
        <f t="shared" si="7"/>
        <v>226.8</v>
      </c>
    </row>
    <row r="367" spans="2:9" s="10" customFormat="1" ht="30" x14ac:dyDescent="0.4">
      <c r="B367" s="11">
        <v>6</v>
      </c>
      <c r="C367" s="12" t="s">
        <v>312</v>
      </c>
      <c r="D367" s="13">
        <v>2</v>
      </c>
      <c r="E367" s="13"/>
      <c r="F367" s="13"/>
      <c r="G367" s="13"/>
      <c r="H367" s="14">
        <v>159.12</v>
      </c>
      <c r="I367" s="14">
        <f t="shared" si="7"/>
        <v>318.24</v>
      </c>
    </row>
    <row r="368" spans="2:9" s="10" customFormat="1" ht="45" x14ac:dyDescent="0.4">
      <c r="B368" s="11">
        <v>7</v>
      </c>
      <c r="C368" s="12" t="s">
        <v>116</v>
      </c>
      <c r="D368" s="13">
        <v>1</v>
      </c>
      <c r="E368" s="13"/>
      <c r="F368" s="13"/>
      <c r="G368" s="13"/>
      <c r="H368" s="14">
        <v>171.71999999999997</v>
      </c>
      <c r="I368" s="14">
        <f t="shared" si="7"/>
        <v>171.71999999999997</v>
      </c>
    </row>
    <row r="369" spans="2:9" s="10" customFormat="1" ht="30" x14ac:dyDescent="0.4">
      <c r="B369" s="11">
        <v>8</v>
      </c>
      <c r="C369" s="12" t="s">
        <v>198</v>
      </c>
      <c r="D369" s="13">
        <v>1</v>
      </c>
      <c r="E369" s="13"/>
      <c r="F369" s="13"/>
      <c r="G369" s="13"/>
      <c r="H369" s="14">
        <v>131.76</v>
      </c>
      <c r="I369" s="14">
        <f t="shared" si="7"/>
        <v>131.76</v>
      </c>
    </row>
    <row r="370" spans="2:9" s="10" customFormat="1" x14ac:dyDescent="0.4">
      <c r="B370" s="11">
        <v>9</v>
      </c>
      <c r="C370" s="12" t="s">
        <v>76</v>
      </c>
      <c r="D370" s="23">
        <v>1</v>
      </c>
      <c r="E370" s="23"/>
      <c r="F370" s="23"/>
      <c r="G370" s="23"/>
      <c r="H370" s="14">
        <v>83.52000000000001</v>
      </c>
      <c r="I370" s="14">
        <f t="shared" si="7"/>
        <v>83.52000000000001</v>
      </c>
    </row>
    <row r="371" spans="2:9" s="10" customFormat="1" ht="45" x14ac:dyDescent="0.4">
      <c r="B371" s="13">
        <v>10</v>
      </c>
      <c r="C371" s="12" t="s">
        <v>163</v>
      </c>
      <c r="D371" s="13">
        <v>1</v>
      </c>
      <c r="E371" s="13"/>
      <c r="F371" s="13"/>
      <c r="G371" s="13"/>
      <c r="H371" s="14">
        <v>8480</v>
      </c>
      <c r="I371" s="14">
        <f t="shared" si="7"/>
        <v>8480</v>
      </c>
    </row>
    <row r="372" spans="2:9" s="10" customFormat="1" x14ac:dyDescent="0.4">
      <c r="B372" s="15"/>
      <c r="C372" s="16"/>
      <c r="D372" s="17">
        <f>SUM(D362:D371)</f>
        <v>12</v>
      </c>
      <c r="E372" s="45"/>
      <c r="F372" s="45"/>
      <c r="G372" s="45"/>
      <c r="H372" s="9"/>
      <c r="I372" s="18">
        <f>SUM(I362:I371)</f>
        <v>10397.36</v>
      </c>
    </row>
    <row r="373" spans="2:9" s="10" customFormat="1" ht="15.75" customHeight="1" x14ac:dyDescent="0.4">
      <c r="B373" s="15"/>
      <c r="C373" s="19"/>
      <c r="D373" s="45"/>
      <c r="E373" s="45"/>
      <c r="F373" s="45"/>
      <c r="G373" s="45"/>
      <c r="H373" s="9"/>
      <c r="I373" s="9"/>
    </row>
    <row r="374" spans="2:9" s="10" customFormat="1" ht="15" customHeight="1" x14ac:dyDescent="0.4">
      <c r="B374" s="124" t="s">
        <v>453</v>
      </c>
      <c r="C374" s="125"/>
      <c r="D374" s="125"/>
      <c r="E374" s="125"/>
      <c r="F374" s="125"/>
      <c r="G374" s="125"/>
      <c r="H374" s="125"/>
      <c r="I374" s="126"/>
    </row>
    <row r="375" spans="2:9" s="10" customFormat="1" ht="30" x14ac:dyDescent="0.4">
      <c r="B375" s="51" t="s">
        <v>21</v>
      </c>
      <c r="C375" s="51" t="s">
        <v>20</v>
      </c>
      <c r="D375" s="51" t="s">
        <v>19</v>
      </c>
      <c r="E375" s="51" t="s">
        <v>523</v>
      </c>
      <c r="F375" s="51" t="s">
        <v>524</v>
      </c>
      <c r="G375" s="51" t="s">
        <v>525</v>
      </c>
      <c r="H375" s="52" t="s">
        <v>18</v>
      </c>
      <c r="I375" s="52" t="s">
        <v>17</v>
      </c>
    </row>
    <row r="376" spans="2:9" s="10" customFormat="1" ht="30" x14ac:dyDescent="0.4">
      <c r="B376" s="11">
        <v>1</v>
      </c>
      <c r="C376" s="12" t="s">
        <v>107</v>
      </c>
      <c r="D376" s="13">
        <v>1</v>
      </c>
      <c r="E376" s="13"/>
      <c r="F376" s="13"/>
      <c r="G376" s="13"/>
      <c r="H376" s="14">
        <v>281.15999999999997</v>
      </c>
      <c r="I376" s="14">
        <f>H376*D376</f>
        <v>281.15999999999997</v>
      </c>
    </row>
    <row r="377" spans="2:9" s="10" customFormat="1" ht="30" x14ac:dyDescent="0.4">
      <c r="B377" s="11">
        <v>2</v>
      </c>
      <c r="C377" s="12" t="s">
        <v>81</v>
      </c>
      <c r="D377" s="13">
        <v>1</v>
      </c>
      <c r="E377" s="13"/>
      <c r="F377" s="13"/>
      <c r="G377" s="13"/>
      <c r="H377" s="14">
        <v>281.15999999999997</v>
      </c>
      <c r="I377" s="14">
        <f t="shared" ref="I377:I440" si="8">H377*D377</f>
        <v>281.15999999999997</v>
      </c>
    </row>
    <row r="378" spans="2:9" s="10" customFormat="1" ht="30" x14ac:dyDescent="0.4">
      <c r="B378" s="11">
        <v>3</v>
      </c>
      <c r="C378" s="12" t="s">
        <v>137</v>
      </c>
      <c r="D378" s="13">
        <v>1</v>
      </c>
      <c r="E378" s="13"/>
      <c r="F378" s="13"/>
      <c r="G378" s="13"/>
      <c r="H378" s="14">
        <v>437.76</v>
      </c>
      <c r="I378" s="14">
        <f t="shared" si="8"/>
        <v>437.76</v>
      </c>
    </row>
    <row r="379" spans="2:9" s="10" customFormat="1" ht="30" x14ac:dyDescent="0.4">
      <c r="B379" s="11">
        <v>4</v>
      </c>
      <c r="C379" s="12" t="s">
        <v>311</v>
      </c>
      <c r="D379" s="13">
        <v>1</v>
      </c>
      <c r="E379" s="13"/>
      <c r="F379" s="13"/>
      <c r="G379" s="13"/>
      <c r="H379" s="14">
        <v>469.43999999999994</v>
      </c>
      <c r="I379" s="14">
        <f t="shared" si="8"/>
        <v>469.43999999999994</v>
      </c>
    </row>
    <row r="380" spans="2:9" s="10" customFormat="1" ht="30" x14ac:dyDescent="0.4">
      <c r="B380" s="11">
        <v>5</v>
      </c>
      <c r="C380" s="12" t="s">
        <v>310</v>
      </c>
      <c r="D380" s="13">
        <v>1</v>
      </c>
      <c r="E380" s="13"/>
      <c r="F380" s="13"/>
      <c r="G380" s="13"/>
      <c r="H380" s="14">
        <v>342.35999999999996</v>
      </c>
      <c r="I380" s="14">
        <f t="shared" si="8"/>
        <v>342.35999999999996</v>
      </c>
    </row>
    <row r="381" spans="2:9" s="10" customFormat="1" ht="45" x14ac:dyDescent="0.4">
      <c r="B381" s="11">
        <v>6</v>
      </c>
      <c r="C381" s="12" t="s">
        <v>309</v>
      </c>
      <c r="D381" s="13">
        <v>1</v>
      </c>
      <c r="E381" s="13"/>
      <c r="F381" s="13"/>
      <c r="G381" s="13"/>
      <c r="H381" s="14">
        <v>1319.4</v>
      </c>
      <c r="I381" s="14">
        <f t="shared" si="8"/>
        <v>1319.4</v>
      </c>
    </row>
    <row r="382" spans="2:9" s="10" customFormat="1" ht="45" x14ac:dyDescent="0.4">
      <c r="B382" s="11">
        <v>7</v>
      </c>
      <c r="C382" s="12" t="s">
        <v>308</v>
      </c>
      <c r="D382" s="13">
        <v>1</v>
      </c>
      <c r="E382" s="13"/>
      <c r="F382" s="13"/>
      <c r="G382" s="13"/>
      <c r="H382" s="14">
        <v>1574.28</v>
      </c>
      <c r="I382" s="14">
        <f t="shared" si="8"/>
        <v>1574.28</v>
      </c>
    </row>
    <row r="383" spans="2:9" s="10" customFormat="1" ht="45" x14ac:dyDescent="0.4">
      <c r="B383" s="11">
        <v>8</v>
      </c>
      <c r="C383" s="12" t="s">
        <v>140</v>
      </c>
      <c r="D383" s="13">
        <v>2</v>
      </c>
      <c r="E383" s="13"/>
      <c r="F383" s="13"/>
      <c r="G383" s="13"/>
      <c r="H383" s="14">
        <v>767.16</v>
      </c>
      <c r="I383" s="14">
        <f t="shared" si="8"/>
        <v>1534.32</v>
      </c>
    </row>
    <row r="384" spans="2:9" s="10" customFormat="1" ht="30" x14ac:dyDescent="0.4">
      <c r="B384" s="11">
        <v>9</v>
      </c>
      <c r="C384" s="12" t="s">
        <v>307</v>
      </c>
      <c r="D384" s="13">
        <v>2</v>
      </c>
      <c r="E384" s="13"/>
      <c r="F384" s="13"/>
      <c r="G384" s="13"/>
      <c r="H384" s="14">
        <v>1177.56</v>
      </c>
      <c r="I384" s="14">
        <f t="shared" si="8"/>
        <v>2355.12</v>
      </c>
    </row>
    <row r="385" spans="2:9" s="10" customFormat="1" ht="45" x14ac:dyDescent="0.4">
      <c r="B385" s="11">
        <v>10</v>
      </c>
      <c r="C385" s="12" t="s">
        <v>161</v>
      </c>
      <c r="D385" s="13">
        <v>1</v>
      </c>
      <c r="E385" s="13"/>
      <c r="F385" s="13"/>
      <c r="G385" s="13"/>
      <c r="H385" s="14">
        <v>975.6</v>
      </c>
      <c r="I385" s="14">
        <f t="shared" si="8"/>
        <v>975.6</v>
      </c>
    </row>
    <row r="386" spans="2:9" s="10" customFormat="1" ht="45" x14ac:dyDescent="0.4">
      <c r="B386" s="11">
        <v>11</v>
      </c>
      <c r="C386" s="12" t="s">
        <v>306</v>
      </c>
      <c r="D386" s="13">
        <v>1</v>
      </c>
      <c r="E386" s="13"/>
      <c r="F386" s="13"/>
      <c r="G386" s="13"/>
      <c r="H386" s="14">
        <v>1041.8399999999999</v>
      </c>
      <c r="I386" s="14">
        <f t="shared" si="8"/>
        <v>1041.8399999999999</v>
      </c>
    </row>
    <row r="387" spans="2:9" s="10" customFormat="1" ht="45" x14ac:dyDescent="0.4">
      <c r="B387" s="11">
        <v>12</v>
      </c>
      <c r="C387" s="12" t="s">
        <v>305</v>
      </c>
      <c r="D387" s="13">
        <v>1</v>
      </c>
      <c r="E387" s="13"/>
      <c r="F387" s="13"/>
      <c r="G387" s="13"/>
      <c r="H387" s="14">
        <v>1310.76</v>
      </c>
      <c r="I387" s="14">
        <f t="shared" si="8"/>
        <v>1310.76</v>
      </c>
    </row>
    <row r="388" spans="2:9" s="10" customFormat="1" ht="45" x14ac:dyDescent="0.4">
      <c r="B388" s="11">
        <v>13</v>
      </c>
      <c r="C388" s="12" t="s">
        <v>304</v>
      </c>
      <c r="D388" s="13">
        <v>1</v>
      </c>
      <c r="E388" s="13"/>
      <c r="F388" s="13"/>
      <c r="G388" s="13"/>
      <c r="H388" s="14">
        <v>137.51999999999998</v>
      </c>
      <c r="I388" s="14">
        <f t="shared" si="8"/>
        <v>137.51999999999998</v>
      </c>
    </row>
    <row r="389" spans="2:9" s="10" customFormat="1" ht="45" x14ac:dyDescent="0.4">
      <c r="B389" s="11">
        <v>14</v>
      </c>
      <c r="C389" s="12" t="s">
        <v>301</v>
      </c>
      <c r="D389" s="13">
        <v>1</v>
      </c>
      <c r="E389" s="13"/>
      <c r="F389" s="13"/>
      <c r="G389" s="13"/>
      <c r="H389" s="14">
        <v>191.88</v>
      </c>
      <c r="I389" s="14">
        <f t="shared" si="8"/>
        <v>191.88</v>
      </c>
    </row>
    <row r="390" spans="2:9" s="10" customFormat="1" x14ac:dyDescent="0.4">
      <c r="B390" s="11">
        <v>15</v>
      </c>
      <c r="C390" s="12" t="s">
        <v>76</v>
      </c>
      <c r="D390" s="13">
        <v>4</v>
      </c>
      <c r="E390" s="13"/>
      <c r="F390" s="13"/>
      <c r="G390" s="13"/>
      <c r="H390" s="14">
        <v>83.52000000000001</v>
      </c>
      <c r="I390" s="14">
        <f t="shared" si="8"/>
        <v>334.08000000000004</v>
      </c>
    </row>
    <row r="391" spans="2:9" s="10" customFormat="1" ht="45" x14ac:dyDescent="0.4">
      <c r="B391" s="11">
        <v>16</v>
      </c>
      <c r="C391" s="12" t="s">
        <v>303</v>
      </c>
      <c r="D391" s="13">
        <v>1</v>
      </c>
      <c r="E391" s="13"/>
      <c r="F391" s="13"/>
      <c r="G391" s="13"/>
      <c r="H391" s="14">
        <v>213.12</v>
      </c>
      <c r="I391" s="14">
        <f t="shared" si="8"/>
        <v>213.12</v>
      </c>
    </row>
    <row r="392" spans="2:9" s="10" customFormat="1" ht="45" x14ac:dyDescent="0.4">
      <c r="B392" s="11">
        <v>17</v>
      </c>
      <c r="C392" s="12" t="s">
        <v>302</v>
      </c>
      <c r="D392" s="13">
        <v>1</v>
      </c>
      <c r="E392" s="13"/>
      <c r="F392" s="13"/>
      <c r="G392" s="13"/>
      <c r="H392" s="14">
        <v>213.12</v>
      </c>
      <c r="I392" s="14">
        <f t="shared" si="8"/>
        <v>213.12</v>
      </c>
    </row>
    <row r="393" spans="2:9" s="10" customFormat="1" ht="45" x14ac:dyDescent="0.4">
      <c r="B393" s="11">
        <v>18</v>
      </c>
      <c r="C393" s="12" t="s">
        <v>301</v>
      </c>
      <c r="D393" s="13">
        <v>1</v>
      </c>
      <c r="E393" s="13"/>
      <c r="F393" s="13"/>
      <c r="G393" s="13"/>
      <c r="H393" s="14">
        <v>191.88</v>
      </c>
      <c r="I393" s="14">
        <f t="shared" si="8"/>
        <v>191.88</v>
      </c>
    </row>
    <row r="394" spans="2:9" s="10" customFormat="1" x14ac:dyDescent="0.4">
      <c r="B394" s="11">
        <v>19</v>
      </c>
      <c r="C394" s="12" t="s">
        <v>300</v>
      </c>
      <c r="D394" s="13">
        <v>2</v>
      </c>
      <c r="E394" s="13"/>
      <c r="F394" s="13"/>
      <c r="G394" s="13"/>
      <c r="H394" s="14">
        <v>377.64000000000004</v>
      </c>
      <c r="I394" s="14">
        <f t="shared" si="8"/>
        <v>755.28000000000009</v>
      </c>
    </row>
    <row r="395" spans="2:9" s="10" customFormat="1" x14ac:dyDescent="0.4">
      <c r="B395" s="11">
        <v>20</v>
      </c>
      <c r="C395" s="12" t="s">
        <v>299</v>
      </c>
      <c r="D395" s="13">
        <v>1</v>
      </c>
      <c r="E395" s="13"/>
      <c r="F395" s="13"/>
      <c r="G395" s="13"/>
      <c r="H395" s="14">
        <v>429.48</v>
      </c>
      <c r="I395" s="14">
        <f t="shared" si="8"/>
        <v>429.48</v>
      </c>
    </row>
    <row r="396" spans="2:9" s="10" customFormat="1" x14ac:dyDescent="0.4">
      <c r="B396" s="11">
        <v>21</v>
      </c>
      <c r="C396" s="12" t="s">
        <v>298</v>
      </c>
      <c r="D396" s="13">
        <v>1</v>
      </c>
      <c r="E396" s="13"/>
      <c r="F396" s="13"/>
      <c r="G396" s="13"/>
      <c r="H396" s="14">
        <v>457.92</v>
      </c>
      <c r="I396" s="14">
        <f t="shared" si="8"/>
        <v>457.92</v>
      </c>
    </row>
    <row r="397" spans="2:9" s="10" customFormat="1" ht="30" x14ac:dyDescent="0.4">
      <c r="B397" s="11">
        <v>22</v>
      </c>
      <c r="C397" s="12" t="s">
        <v>297</v>
      </c>
      <c r="D397" s="13">
        <v>1</v>
      </c>
      <c r="E397" s="13"/>
      <c r="F397" s="13"/>
      <c r="G397" s="13"/>
      <c r="H397" s="14">
        <v>187.92</v>
      </c>
      <c r="I397" s="14">
        <f t="shared" si="8"/>
        <v>187.92</v>
      </c>
    </row>
    <row r="398" spans="2:9" s="10" customFormat="1" ht="30" x14ac:dyDescent="0.4">
      <c r="B398" s="11">
        <v>23</v>
      </c>
      <c r="C398" s="12" t="s">
        <v>296</v>
      </c>
      <c r="D398" s="13">
        <v>1</v>
      </c>
      <c r="E398" s="13"/>
      <c r="F398" s="13"/>
      <c r="G398" s="13"/>
      <c r="H398" s="14">
        <v>242.64</v>
      </c>
      <c r="I398" s="14">
        <f t="shared" si="8"/>
        <v>242.64</v>
      </c>
    </row>
    <row r="399" spans="2:9" s="10" customFormat="1" ht="30" x14ac:dyDescent="0.4">
      <c r="B399" s="11">
        <v>24</v>
      </c>
      <c r="C399" s="12" t="s">
        <v>295</v>
      </c>
      <c r="D399" s="13">
        <v>1</v>
      </c>
      <c r="E399" s="13"/>
      <c r="F399" s="13"/>
      <c r="G399" s="13"/>
      <c r="H399" s="14">
        <v>264.96000000000004</v>
      </c>
      <c r="I399" s="14">
        <f t="shared" si="8"/>
        <v>264.96000000000004</v>
      </c>
    </row>
    <row r="400" spans="2:9" s="10" customFormat="1" ht="30" x14ac:dyDescent="0.4">
      <c r="B400" s="11">
        <v>25</v>
      </c>
      <c r="C400" s="12" t="s">
        <v>294</v>
      </c>
      <c r="D400" s="13">
        <v>1</v>
      </c>
      <c r="E400" s="13"/>
      <c r="F400" s="13"/>
      <c r="G400" s="13"/>
      <c r="H400" s="14">
        <v>264.96000000000004</v>
      </c>
      <c r="I400" s="14">
        <f t="shared" si="8"/>
        <v>264.96000000000004</v>
      </c>
    </row>
    <row r="401" spans="2:9" s="10" customFormat="1" ht="30" x14ac:dyDescent="0.4">
      <c r="B401" s="11">
        <v>26</v>
      </c>
      <c r="C401" s="12" t="s">
        <v>240</v>
      </c>
      <c r="D401" s="13">
        <v>2</v>
      </c>
      <c r="E401" s="13"/>
      <c r="F401" s="13"/>
      <c r="G401" s="13"/>
      <c r="H401" s="14">
        <v>104.76</v>
      </c>
      <c r="I401" s="14">
        <f t="shared" si="8"/>
        <v>209.52</v>
      </c>
    </row>
    <row r="402" spans="2:9" s="10" customFormat="1" ht="30" x14ac:dyDescent="0.4">
      <c r="B402" s="11">
        <v>27</v>
      </c>
      <c r="C402" s="12" t="s">
        <v>293</v>
      </c>
      <c r="D402" s="13">
        <v>2</v>
      </c>
      <c r="E402" s="13"/>
      <c r="F402" s="13"/>
      <c r="G402" s="13"/>
      <c r="H402" s="14">
        <v>105.84</v>
      </c>
      <c r="I402" s="14">
        <f t="shared" si="8"/>
        <v>211.68</v>
      </c>
    </row>
    <row r="403" spans="2:9" s="10" customFormat="1" ht="30" x14ac:dyDescent="0.4">
      <c r="B403" s="11">
        <v>28</v>
      </c>
      <c r="C403" s="12" t="s">
        <v>239</v>
      </c>
      <c r="D403" s="13">
        <v>2</v>
      </c>
      <c r="E403" s="13"/>
      <c r="F403" s="13"/>
      <c r="G403" s="13"/>
      <c r="H403" s="14">
        <v>77.040000000000006</v>
      </c>
      <c r="I403" s="14">
        <f t="shared" si="8"/>
        <v>154.08000000000001</v>
      </c>
    </row>
    <row r="404" spans="2:9" s="10" customFormat="1" ht="30" x14ac:dyDescent="0.4">
      <c r="B404" s="11">
        <v>29</v>
      </c>
      <c r="C404" s="12" t="s">
        <v>292</v>
      </c>
      <c r="D404" s="13">
        <v>1</v>
      </c>
      <c r="E404" s="13"/>
      <c r="F404" s="13"/>
      <c r="G404" s="13"/>
      <c r="H404" s="14">
        <v>463.68</v>
      </c>
      <c r="I404" s="14">
        <f t="shared" si="8"/>
        <v>463.68</v>
      </c>
    </row>
    <row r="405" spans="2:9" s="10" customFormat="1" x14ac:dyDescent="0.4">
      <c r="B405" s="11">
        <v>30</v>
      </c>
      <c r="C405" s="12" t="s">
        <v>291</v>
      </c>
      <c r="D405" s="13">
        <v>1</v>
      </c>
      <c r="E405" s="13"/>
      <c r="F405" s="13"/>
      <c r="G405" s="13"/>
      <c r="H405" s="14">
        <v>566.64</v>
      </c>
      <c r="I405" s="14">
        <f t="shared" si="8"/>
        <v>566.64</v>
      </c>
    </row>
    <row r="406" spans="2:9" s="10" customFormat="1" x14ac:dyDescent="0.4">
      <c r="B406" s="11">
        <v>31</v>
      </c>
      <c r="C406" s="12" t="s">
        <v>291</v>
      </c>
      <c r="D406" s="13">
        <v>1</v>
      </c>
      <c r="E406" s="13"/>
      <c r="F406" s="13"/>
      <c r="G406" s="13"/>
      <c r="H406" s="14">
        <v>566.64</v>
      </c>
      <c r="I406" s="14">
        <f t="shared" si="8"/>
        <v>566.64</v>
      </c>
    </row>
    <row r="407" spans="2:9" s="10" customFormat="1" ht="30" x14ac:dyDescent="0.4">
      <c r="B407" s="11">
        <v>32</v>
      </c>
      <c r="C407" s="12" t="s">
        <v>290</v>
      </c>
      <c r="D407" s="13">
        <v>1</v>
      </c>
      <c r="E407" s="13"/>
      <c r="F407" s="13"/>
      <c r="G407" s="13"/>
      <c r="H407" s="14">
        <v>566.64</v>
      </c>
      <c r="I407" s="14">
        <f t="shared" si="8"/>
        <v>566.64</v>
      </c>
    </row>
    <row r="408" spans="2:9" s="10" customFormat="1" ht="30" x14ac:dyDescent="0.4">
      <c r="B408" s="11">
        <v>33</v>
      </c>
      <c r="C408" s="12" t="s">
        <v>237</v>
      </c>
      <c r="D408" s="13">
        <v>8</v>
      </c>
      <c r="E408" s="13"/>
      <c r="F408" s="13"/>
      <c r="G408" s="13"/>
      <c r="H408" s="14">
        <v>151.56</v>
      </c>
      <c r="I408" s="14">
        <f t="shared" si="8"/>
        <v>1212.48</v>
      </c>
    </row>
    <row r="409" spans="2:9" s="10" customFormat="1" ht="30" x14ac:dyDescent="0.4">
      <c r="B409" s="11">
        <v>34</v>
      </c>
      <c r="C409" s="12" t="s">
        <v>236</v>
      </c>
      <c r="D409" s="13">
        <v>8</v>
      </c>
      <c r="E409" s="13"/>
      <c r="F409" s="13"/>
      <c r="G409" s="13"/>
      <c r="H409" s="14">
        <v>154.44</v>
      </c>
      <c r="I409" s="14">
        <f t="shared" si="8"/>
        <v>1235.52</v>
      </c>
    </row>
    <row r="410" spans="2:9" s="10" customFormat="1" x14ac:dyDescent="0.4">
      <c r="B410" s="11">
        <v>35</v>
      </c>
      <c r="C410" s="12" t="s">
        <v>63</v>
      </c>
      <c r="D410" s="13">
        <v>4</v>
      </c>
      <c r="E410" s="13"/>
      <c r="F410" s="13"/>
      <c r="G410" s="13"/>
      <c r="H410" s="14">
        <v>113.4</v>
      </c>
      <c r="I410" s="14">
        <f t="shared" si="8"/>
        <v>453.6</v>
      </c>
    </row>
    <row r="411" spans="2:9" s="10" customFormat="1" x14ac:dyDescent="0.4">
      <c r="B411" s="11">
        <v>36</v>
      </c>
      <c r="C411" s="12" t="s">
        <v>64</v>
      </c>
      <c r="D411" s="13">
        <v>4</v>
      </c>
      <c r="E411" s="13"/>
      <c r="F411" s="13"/>
      <c r="G411" s="13"/>
      <c r="H411" s="14">
        <v>116.28</v>
      </c>
      <c r="I411" s="14">
        <f t="shared" si="8"/>
        <v>465.12</v>
      </c>
    </row>
    <row r="412" spans="2:9" s="10" customFormat="1" ht="30" x14ac:dyDescent="0.4">
      <c r="B412" s="11">
        <v>37</v>
      </c>
      <c r="C412" s="12" t="s">
        <v>289</v>
      </c>
      <c r="D412" s="13">
        <v>4</v>
      </c>
      <c r="E412" s="13"/>
      <c r="F412" s="13"/>
      <c r="G412" s="13"/>
      <c r="H412" s="14">
        <v>139.68</v>
      </c>
      <c r="I412" s="14">
        <f t="shared" si="8"/>
        <v>558.72</v>
      </c>
    </row>
    <row r="413" spans="2:9" s="10" customFormat="1" x14ac:dyDescent="0.4">
      <c r="B413" s="11">
        <v>38</v>
      </c>
      <c r="C413" s="12" t="s">
        <v>288</v>
      </c>
      <c r="D413" s="13">
        <v>2</v>
      </c>
      <c r="E413" s="13"/>
      <c r="F413" s="13"/>
      <c r="G413" s="13"/>
      <c r="H413" s="14">
        <v>154.44</v>
      </c>
      <c r="I413" s="14">
        <f t="shared" si="8"/>
        <v>308.88</v>
      </c>
    </row>
    <row r="414" spans="2:9" s="10" customFormat="1" ht="30" x14ac:dyDescent="0.4">
      <c r="B414" s="11">
        <v>39</v>
      </c>
      <c r="C414" s="12" t="s">
        <v>62</v>
      </c>
      <c r="D414" s="13">
        <v>4</v>
      </c>
      <c r="E414" s="13"/>
      <c r="F414" s="13"/>
      <c r="G414" s="13"/>
      <c r="H414" s="14">
        <v>121.32</v>
      </c>
      <c r="I414" s="14">
        <f t="shared" si="8"/>
        <v>485.28</v>
      </c>
    </row>
    <row r="415" spans="2:9" s="10" customFormat="1" ht="30" x14ac:dyDescent="0.4">
      <c r="B415" s="11">
        <v>40</v>
      </c>
      <c r="C415" s="12" t="s">
        <v>217</v>
      </c>
      <c r="D415" s="13">
        <v>1</v>
      </c>
      <c r="E415" s="13"/>
      <c r="F415" s="13"/>
      <c r="G415" s="13"/>
      <c r="H415" s="14">
        <v>174.59999999999997</v>
      </c>
      <c r="I415" s="14">
        <f t="shared" si="8"/>
        <v>174.59999999999997</v>
      </c>
    </row>
    <row r="416" spans="2:9" s="10" customFormat="1" ht="30" x14ac:dyDescent="0.4">
      <c r="B416" s="11">
        <v>41</v>
      </c>
      <c r="C416" s="12" t="s">
        <v>238</v>
      </c>
      <c r="D416" s="13">
        <v>1</v>
      </c>
      <c r="E416" s="13"/>
      <c r="F416" s="13"/>
      <c r="G416" s="13"/>
      <c r="H416" s="14">
        <v>255.96</v>
      </c>
      <c r="I416" s="14">
        <f t="shared" si="8"/>
        <v>255.96</v>
      </c>
    </row>
    <row r="417" spans="2:9" s="10" customFormat="1" ht="30" x14ac:dyDescent="0.4">
      <c r="B417" s="11">
        <v>42</v>
      </c>
      <c r="C417" s="12" t="s">
        <v>235</v>
      </c>
      <c r="D417" s="13">
        <v>6</v>
      </c>
      <c r="E417" s="13"/>
      <c r="F417" s="13"/>
      <c r="G417" s="13"/>
      <c r="H417" s="14">
        <v>254.88</v>
      </c>
      <c r="I417" s="14">
        <f t="shared" si="8"/>
        <v>1529.28</v>
      </c>
    </row>
    <row r="418" spans="2:9" s="10" customFormat="1" ht="30" x14ac:dyDescent="0.4">
      <c r="B418" s="11">
        <v>43</v>
      </c>
      <c r="C418" s="12" t="s">
        <v>73</v>
      </c>
      <c r="D418" s="13">
        <v>2</v>
      </c>
      <c r="E418" s="13"/>
      <c r="F418" s="13"/>
      <c r="G418" s="13"/>
      <c r="H418" s="14">
        <v>566.64</v>
      </c>
      <c r="I418" s="14">
        <f t="shared" si="8"/>
        <v>1133.28</v>
      </c>
    </row>
    <row r="419" spans="2:9" s="10" customFormat="1" ht="30" x14ac:dyDescent="0.4">
      <c r="B419" s="11">
        <v>44</v>
      </c>
      <c r="C419" s="12" t="s">
        <v>287</v>
      </c>
      <c r="D419" s="13">
        <v>1</v>
      </c>
      <c r="E419" s="13"/>
      <c r="F419" s="13"/>
      <c r="G419" s="13"/>
      <c r="H419" s="14">
        <v>271.44</v>
      </c>
      <c r="I419" s="14">
        <f t="shared" si="8"/>
        <v>271.44</v>
      </c>
    </row>
    <row r="420" spans="2:9" s="10" customFormat="1" x14ac:dyDescent="0.4">
      <c r="B420" s="11">
        <v>45</v>
      </c>
      <c r="C420" s="12" t="s">
        <v>286</v>
      </c>
      <c r="D420" s="13">
        <v>1</v>
      </c>
      <c r="E420" s="13"/>
      <c r="F420" s="13"/>
      <c r="G420" s="13"/>
      <c r="H420" s="14">
        <v>497.88</v>
      </c>
      <c r="I420" s="14">
        <f t="shared" si="8"/>
        <v>497.88</v>
      </c>
    </row>
    <row r="421" spans="2:9" s="10" customFormat="1" x14ac:dyDescent="0.4">
      <c r="B421" s="11">
        <v>46</v>
      </c>
      <c r="C421" s="12" t="s">
        <v>285</v>
      </c>
      <c r="D421" s="13">
        <v>1</v>
      </c>
      <c r="E421" s="13"/>
      <c r="F421" s="13"/>
      <c r="G421" s="13"/>
      <c r="H421" s="14">
        <v>372.23999999999995</v>
      </c>
      <c r="I421" s="14">
        <f t="shared" si="8"/>
        <v>372.23999999999995</v>
      </c>
    </row>
    <row r="422" spans="2:9" s="10" customFormat="1" x14ac:dyDescent="0.4">
      <c r="B422" s="11">
        <v>47</v>
      </c>
      <c r="C422" s="12" t="s">
        <v>284</v>
      </c>
      <c r="D422" s="13">
        <v>1</v>
      </c>
      <c r="E422" s="13"/>
      <c r="F422" s="13"/>
      <c r="G422" s="13"/>
      <c r="H422" s="14">
        <v>377.64000000000004</v>
      </c>
      <c r="I422" s="14">
        <f t="shared" si="8"/>
        <v>377.64000000000004</v>
      </c>
    </row>
    <row r="423" spans="2:9" s="10" customFormat="1" ht="30" x14ac:dyDescent="0.4">
      <c r="B423" s="11">
        <v>48</v>
      </c>
      <c r="C423" s="12" t="s">
        <v>216</v>
      </c>
      <c r="D423" s="13">
        <v>1</v>
      </c>
      <c r="E423" s="13"/>
      <c r="F423" s="13"/>
      <c r="G423" s="13"/>
      <c r="H423" s="14">
        <v>457.92</v>
      </c>
      <c r="I423" s="14">
        <f t="shared" si="8"/>
        <v>457.92</v>
      </c>
    </row>
    <row r="424" spans="2:9" s="10" customFormat="1" ht="30" x14ac:dyDescent="0.4">
      <c r="B424" s="11">
        <v>49</v>
      </c>
      <c r="C424" s="12" t="s">
        <v>283</v>
      </c>
      <c r="D424" s="13">
        <v>1</v>
      </c>
      <c r="E424" s="13"/>
      <c r="F424" s="13"/>
      <c r="G424" s="13"/>
      <c r="H424" s="14">
        <v>1116.3600000000001</v>
      </c>
      <c r="I424" s="14">
        <f t="shared" si="8"/>
        <v>1116.3600000000001</v>
      </c>
    </row>
    <row r="425" spans="2:9" s="10" customFormat="1" ht="30" x14ac:dyDescent="0.4">
      <c r="B425" s="11">
        <v>50</v>
      </c>
      <c r="C425" s="12" t="s">
        <v>282</v>
      </c>
      <c r="D425" s="13">
        <v>1</v>
      </c>
      <c r="E425" s="13"/>
      <c r="F425" s="13"/>
      <c r="G425" s="13"/>
      <c r="H425" s="14">
        <v>772.92000000000007</v>
      </c>
      <c r="I425" s="14">
        <f t="shared" si="8"/>
        <v>772.92000000000007</v>
      </c>
    </row>
    <row r="426" spans="2:9" s="10" customFormat="1" ht="30" x14ac:dyDescent="0.4">
      <c r="B426" s="11">
        <v>51</v>
      </c>
      <c r="C426" s="12" t="s">
        <v>281</v>
      </c>
      <c r="D426" s="13">
        <v>1</v>
      </c>
      <c r="E426" s="13"/>
      <c r="F426" s="13"/>
      <c r="G426" s="13"/>
      <c r="H426" s="14">
        <v>944.64</v>
      </c>
      <c r="I426" s="14">
        <f t="shared" si="8"/>
        <v>944.64</v>
      </c>
    </row>
    <row r="427" spans="2:9" s="10" customFormat="1" x14ac:dyDescent="0.4">
      <c r="B427" s="11">
        <v>52</v>
      </c>
      <c r="C427" s="12" t="s">
        <v>280</v>
      </c>
      <c r="D427" s="13">
        <v>1</v>
      </c>
      <c r="E427" s="13"/>
      <c r="F427" s="13"/>
      <c r="G427" s="13"/>
      <c r="H427" s="14">
        <v>1373.7599999999998</v>
      </c>
      <c r="I427" s="14">
        <f t="shared" si="8"/>
        <v>1373.7599999999998</v>
      </c>
    </row>
    <row r="428" spans="2:9" s="10" customFormat="1" ht="30" x14ac:dyDescent="0.4">
      <c r="B428" s="11">
        <v>53</v>
      </c>
      <c r="C428" s="12" t="s">
        <v>215</v>
      </c>
      <c r="D428" s="13">
        <v>1</v>
      </c>
      <c r="E428" s="13"/>
      <c r="F428" s="13"/>
      <c r="G428" s="13"/>
      <c r="H428" s="14">
        <v>658.43999999999994</v>
      </c>
      <c r="I428" s="14">
        <f t="shared" si="8"/>
        <v>658.43999999999994</v>
      </c>
    </row>
    <row r="429" spans="2:9" s="10" customFormat="1" ht="30" x14ac:dyDescent="0.4">
      <c r="B429" s="11">
        <v>54</v>
      </c>
      <c r="C429" s="12" t="s">
        <v>279</v>
      </c>
      <c r="D429" s="13">
        <v>2</v>
      </c>
      <c r="E429" s="13"/>
      <c r="F429" s="13"/>
      <c r="G429" s="13"/>
      <c r="H429" s="14">
        <v>681.12000000000012</v>
      </c>
      <c r="I429" s="14">
        <f t="shared" si="8"/>
        <v>1362.2400000000002</v>
      </c>
    </row>
    <row r="430" spans="2:9" s="10" customFormat="1" x14ac:dyDescent="0.4">
      <c r="B430" s="11">
        <v>55</v>
      </c>
      <c r="C430" s="12" t="s">
        <v>278</v>
      </c>
      <c r="D430" s="13">
        <v>1</v>
      </c>
      <c r="E430" s="13"/>
      <c r="F430" s="13"/>
      <c r="G430" s="13"/>
      <c r="H430" s="14">
        <v>291.95999999999998</v>
      </c>
      <c r="I430" s="14">
        <f t="shared" si="8"/>
        <v>291.95999999999998</v>
      </c>
    </row>
    <row r="431" spans="2:9" s="10" customFormat="1" ht="30" x14ac:dyDescent="0.4">
      <c r="B431" s="11">
        <v>56</v>
      </c>
      <c r="C431" s="12" t="s">
        <v>277</v>
      </c>
      <c r="D431" s="13">
        <v>1</v>
      </c>
      <c r="E431" s="13"/>
      <c r="F431" s="13"/>
      <c r="G431" s="13"/>
      <c r="H431" s="14">
        <v>1044.72</v>
      </c>
      <c r="I431" s="14">
        <f t="shared" si="8"/>
        <v>1044.72</v>
      </c>
    </row>
    <row r="432" spans="2:9" s="10" customFormat="1" x14ac:dyDescent="0.4">
      <c r="B432" s="11">
        <v>57</v>
      </c>
      <c r="C432" s="12" t="s">
        <v>276</v>
      </c>
      <c r="D432" s="13">
        <v>2</v>
      </c>
      <c r="E432" s="13"/>
      <c r="F432" s="13"/>
      <c r="G432" s="13"/>
      <c r="H432" s="14">
        <v>288</v>
      </c>
      <c r="I432" s="14">
        <f t="shared" si="8"/>
        <v>576</v>
      </c>
    </row>
    <row r="433" spans="2:9" s="10" customFormat="1" ht="45" x14ac:dyDescent="0.4">
      <c r="B433" s="11">
        <v>58</v>
      </c>
      <c r="C433" s="12" t="s">
        <v>61</v>
      </c>
      <c r="D433" s="13">
        <v>2</v>
      </c>
      <c r="E433" s="13"/>
      <c r="F433" s="13"/>
      <c r="G433" s="13"/>
      <c r="H433" s="14">
        <v>153</v>
      </c>
      <c r="I433" s="14">
        <f t="shared" si="8"/>
        <v>306</v>
      </c>
    </row>
    <row r="434" spans="2:9" s="10" customFormat="1" ht="45" x14ac:dyDescent="0.4">
      <c r="B434" s="11">
        <v>59</v>
      </c>
      <c r="C434" s="12" t="s">
        <v>234</v>
      </c>
      <c r="D434" s="13">
        <v>1</v>
      </c>
      <c r="E434" s="13"/>
      <c r="F434" s="13"/>
      <c r="G434" s="13"/>
      <c r="H434" s="14">
        <v>134.64000000000001</v>
      </c>
      <c r="I434" s="14">
        <f t="shared" si="8"/>
        <v>134.64000000000001</v>
      </c>
    </row>
    <row r="435" spans="2:9" s="10" customFormat="1" ht="30" x14ac:dyDescent="0.4">
      <c r="B435" s="11">
        <v>60</v>
      </c>
      <c r="C435" s="12" t="s">
        <v>233</v>
      </c>
      <c r="D435" s="13">
        <v>1</v>
      </c>
      <c r="E435" s="13"/>
      <c r="F435" s="13"/>
      <c r="G435" s="13"/>
      <c r="H435" s="14">
        <v>855.72</v>
      </c>
      <c r="I435" s="14">
        <f t="shared" si="8"/>
        <v>855.72</v>
      </c>
    </row>
    <row r="436" spans="2:9" s="10" customFormat="1" ht="30" x14ac:dyDescent="0.4">
      <c r="B436" s="11">
        <v>61</v>
      </c>
      <c r="C436" s="12" t="s">
        <v>275</v>
      </c>
      <c r="D436" s="13">
        <v>1</v>
      </c>
      <c r="E436" s="13"/>
      <c r="F436" s="13"/>
      <c r="G436" s="13"/>
      <c r="H436" s="14">
        <v>873</v>
      </c>
      <c r="I436" s="14">
        <f t="shared" si="8"/>
        <v>873</v>
      </c>
    </row>
    <row r="437" spans="2:9" s="10" customFormat="1" ht="15.75" customHeight="1" x14ac:dyDescent="0.4">
      <c r="B437" s="11">
        <v>62</v>
      </c>
      <c r="C437" s="12" t="s">
        <v>274</v>
      </c>
      <c r="D437" s="13">
        <v>1</v>
      </c>
      <c r="E437" s="13"/>
      <c r="F437" s="13"/>
      <c r="G437" s="13"/>
      <c r="H437" s="14">
        <v>143.64000000000001</v>
      </c>
      <c r="I437" s="14">
        <f t="shared" si="8"/>
        <v>143.64000000000001</v>
      </c>
    </row>
    <row r="438" spans="2:9" s="10" customFormat="1" ht="30" x14ac:dyDescent="0.4">
      <c r="B438" s="11">
        <v>63</v>
      </c>
      <c r="C438" s="12" t="s">
        <v>273</v>
      </c>
      <c r="D438" s="13">
        <v>1</v>
      </c>
      <c r="E438" s="13"/>
      <c r="F438" s="13"/>
      <c r="G438" s="13"/>
      <c r="H438" s="14">
        <v>126.35999999999999</v>
      </c>
      <c r="I438" s="14">
        <f t="shared" si="8"/>
        <v>126.35999999999999</v>
      </c>
    </row>
    <row r="439" spans="2:9" s="10" customFormat="1" ht="30" x14ac:dyDescent="0.4">
      <c r="B439" s="11">
        <v>64</v>
      </c>
      <c r="C439" s="12" t="s">
        <v>272</v>
      </c>
      <c r="D439" s="13">
        <v>1</v>
      </c>
      <c r="E439" s="13"/>
      <c r="F439" s="13"/>
      <c r="G439" s="13"/>
      <c r="H439" s="14">
        <v>137.88</v>
      </c>
      <c r="I439" s="14">
        <f t="shared" si="8"/>
        <v>137.88</v>
      </c>
    </row>
    <row r="440" spans="2:9" s="10" customFormat="1" ht="30" x14ac:dyDescent="0.4">
      <c r="B440" s="11">
        <v>65</v>
      </c>
      <c r="C440" s="12" t="s">
        <v>271</v>
      </c>
      <c r="D440" s="13">
        <v>1</v>
      </c>
      <c r="E440" s="13"/>
      <c r="F440" s="13"/>
      <c r="G440" s="13"/>
      <c r="H440" s="14">
        <v>738.36000000000013</v>
      </c>
      <c r="I440" s="14">
        <f t="shared" si="8"/>
        <v>738.36000000000013</v>
      </c>
    </row>
    <row r="441" spans="2:9" s="10" customFormat="1" ht="30" x14ac:dyDescent="0.4">
      <c r="B441" s="11">
        <v>66</v>
      </c>
      <c r="C441" s="12" t="s">
        <v>270</v>
      </c>
      <c r="D441" s="13">
        <v>1</v>
      </c>
      <c r="E441" s="13"/>
      <c r="F441" s="13"/>
      <c r="G441" s="13"/>
      <c r="H441" s="14">
        <v>133.19999999999999</v>
      </c>
      <c r="I441" s="14">
        <f t="shared" ref="I441:I445" si="9">H441*D441</f>
        <v>133.19999999999999</v>
      </c>
    </row>
    <row r="442" spans="2:9" s="10" customFormat="1" ht="30" x14ac:dyDescent="0.4">
      <c r="B442" s="11">
        <v>67</v>
      </c>
      <c r="C442" s="12" t="s">
        <v>269</v>
      </c>
      <c r="D442" s="13">
        <v>1</v>
      </c>
      <c r="E442" s="13"/>
      <c r="F442" s="13"/>
      <c r="G442" s="13"/>
      <c r="H442" s="14">
        <v>204.84000000000003</v>
      </c>
      <c r="I442" s="14">
        <f t="shared" si="9"/>
        <v>204.84000000000003</v>
      </c>
    </row>
    <row r="443" spans="2:9" s="10" customFormat="1" ht="30" x14ac:dyDescent="0.4">
      <c r="B443" s="11">
        <v>68</v>
      </c>
      <c r="C443" s="12" t="s">
        <v>268</v>
      </c>
      <c r="D443" s="13">
        <v>1</v>
      </c>
      <c r="E443" s="13"/>
      <c r="F443" s="13"/>
      <c r="G443" s="13"/>
      <c r="H443" s="14">
        <v>84.24</v>
      </c>
      <c r="I443" s="14">
        <f t="shared" si="9"/>
        <v>84.24</v>
      </c>
    </row>
    <row r="444" spans="2:9" s="10" customFormat="1" ht="30" x14ac:dyDescent="0.4">
      <c r="B444" s="11">
        <v>69</v>
      </c>
      <c r="C444" s="12" t="s">
        <v>267</v>
      </c>
      <c r="D444" s="13">
        <v>1</v>
      </c>
      <c r="E444" s="13"/>
      <c r="F444" s="13"/>
      <c r="G444" s="13"/>
      <c r="H444" s="14">
        <v>86.76</v>
      </c>
      <c r="I444" s="14">
        <f t="shared" si="9"/>
        <v>86.76</v>
      </c>
    </row>
    <row r="445" spans="2:9" s="10" customFormat="1" ht="60" x14ac:dyDescent="0.4">
      <c r="B445" s="11">
        <v>70</v>
      </c>
      <c r="C445" s="12" t="s">
        <v>0</v>
      </c>
      <c r="D445" s="13">
        <v>2</v>
      </c>
      <c r="E445" s="13"/>
      <c r="F445" s="13"/>
      <c r="G445" s="13"/>
      <c r="H445" s="14">
        <v>9400</v>
      </c>
      <c r="I445" s="14">
        <f t="shared" si="9"/>
        <v>18800</v>
      </c>
    </row>
    <row r="446" spans="2:9" s="10" customFormat="1" x14ac:dyDescent="0.4">
      <c r="B446" s="15"/>
      <c r="C446" s="16"/>
      <c r="D446" s="17">
        <f>SUM(D376:D445)</f>
        <v>116</v>
      </c>
      <c r="E446" s="45"/>
      <c r="F446" s="45"/>
      <c r="G446" s="45"/>
      <c r="H446" s="9"/>
      <c r="I446" s="18">
        <f>SUM(I376:I445)</f>
        <v>59102.359999999979</v>
      </c>
    </row>
    <row r="447" spans="2:9" s="10" customFormat="1" ht="15.75" customHeight="1" x14ac:dyDescent="0.4">
      <c r="B447" s="15"/>
      <c r="C447" s="19"/>
      <c r="D447" s="45"/>
      <c r="E447" s="45"/>
      <c r="F447" s="45"/>
      <c r="G447" s="45"/>
      <c r="H447" s="9"/>
      <c r="I447" s="9"/>
    </row>
    <row r="448" spans="2:9" s="10" customFormat="1" ht="15" customHeight="1" x14ac:dyDescent="0.4">
      <c r="B448" s="124" t="s">
        <v>454</v>
      </c>
      <c r="C448" s="125"/>
      <c r="D448" s="125"/>
      <c r="E448" s="125"/>
      <c r="F448" s="125"/>
      <c r="G448" s="125"/>
      <c r="H448" s="125"/>
      <c r="I448" s="126"/>
    </row>
    <row r="449" spans="2:9" s="10" customFormat="1" ht="30" x14ac:dyDescent="0.4">
      <c r="B449" s="51" t="s">
        <v>21</v>
      </c>
      <c r="C449" s="51" t="s">
        <v>20</v>
      </c>
      <c r="D449" s="51" t="s">
        <v>19</v>
      </c>
      <c r="E449" s="51" t="s">
        <v>523</v>
      </c>
      <c r="F449" s="51" t="s">
        <v>524</v>
      </c>
      <c r="G449" s="51" t="s">
        <v>525</v>
      </c>
      <c r="H449" s="52" t="s">
        <v>18</v>
      </c>
      <c r="I449" s="52" t="s">
        <v>17</v>
      </c>
    </row>
    <row r="450" spans="2:9" s="10" customFormat="1" ht="30" x14ac:dyDescent="0.4">
      <c r="B450" s="11">
        <v>1</v>
      </c>
      <c r="C450" s="12" t="s">
        <v>107</v>
      </c>
      <c r="D450" s="13">
        <v>1</v>
      </c>
      <c r="E450" s="13"/>
      <c r="F450" s="13"/>
      <c r="G450" s="13"/>
      <c r="H450" s="14">
        <v>281.15999999999997</v>
      </c>
      <c r="I450" s="14">
        <f>H450*D450</f>
        <v>281.15999999999997</v>
      </c>
    </row>
    <row r="451" spans="2:9" s="10" customFormat="1" x14ac:dyDescent="0.4">
      <c r="B451" s="11">
        <v>2</v>
      </c>
      <c r="C451" s="12" t="s">
        <v>76</v>
      </c>
      <c r="D451" s="13">
        <v>2</v>
      </c>
      <c r="E451" s="13"/>
      <c r="F451" s="13"/>
      <c r="G451" s="13"/>
      <c r="H451" s="14">
        <v>83.52000000000001</v>
      </c>
      <c r="I451" s="14">
        <f t="shared" ref="I451:I473" si="10">H451*D451</f>
        <v>167.04000000000002</v>
      </c>
    </row>
    <row r="452" spans="2:9" s="10" customFormat="1" x14ac:dyDescent="0.4">
      <c r="B452" s="11">
        <v>3</v>
      </c>
      <c r="C452" s="12" t="s">
        <v>100</v>
      </c>
      <c r="D452" s="13">
        <v>1</v>
      </c>
      <c r="E452" s="13"/>
      <c r="F452" s="13"/>
      <c r="G452" s="13"/>
      <c r="H452" s="14">
        <v>146.88</v>
      </c>
      <c r="I452" s="14">
        <f t="shared" si="10"/>
        <v>146.88</v>
      </c>
    </row>
    <row r="453" spans="2:9" s="10" customFormat="1" ht="30" x14ac:dyDescent="0.4">
      <c r="B453" s="11">
        <v>4</v>
      </c>
      <c r="C453" s="12" t="s">
        <v>77</v>
      </c>
      <c r="D453" s="13">
        <v>1</v>
      </c>
      <c r="E453" s="13"/>
      <c r="F453" s="13"/>
      <c r="G453" s="13"/>
      <c r="H453" s="14">
        <v>74.88000000000001</v>
      </c>
      <c r="I453" s="14">
        <f t="shared" si="10"/>
        <v>74.88000000000001</v>
      </c>
    </row>
    <row r="454" spans="2:9" s="10" customFormat="1" x14ac:dyDescent="0.4">
      <c r="B454" s="11">
        <v>5</v>
      </c>
      <c r="C454" s="12" t="s">
        <v>78</v>
      </c>
      <c r="D454" s="13">
        <v>1</v>
      </c>
      <c r="E454" s="13"/>
      <c r="F454" s="13"/>
      <c r="G454" s="13"/>
      <c r="H454" s="14">
        <v>46.44</v>
      </c>
      <c r="I454" s="14">
        <f t="shared" si="10"/>
        <v>46.44</v>
      </c>
    </row>
    <row r="455" spans="2:9" s="10" customFormat="1" x14ac:dyDescent="0.4">
      <c r="B455" s="11">
        <v>6</v>
      </c>
      <c r="C455" s="12" t="s">
        <v>92</v>
      </c>
      <c r="D455" s="13">
        <v>2</v>
      </c>
      <c r="E455" s="13"/>
      <c r="F455" s="13"/>
      <c r="G455" s="13"/>
      <c r="H455" s="14">
        <v>113.4</v>
      </c>
      <c r="I455" s="14">
        <f t="shared" si="10"/>
        <v>226.8</v>
      </c>
    </row>
    <row r="456" spans="2:9" s="10" customFormat="1" ht="30" x14ac:dyDescent="0.4">
      <c r="B456" s="11">
        <v>7</v>
      </c>
      <c r="C456" s="12" t="s">
        <v>73</v>
      </c>
      <c r="D456" s="13">
        <v>1</v>
      </c>
      <c r="E456" s="13"/>
      <c r="F456" s="13"/>
      <c r="G456" s="13"/>
      <c r="H456" s="14">
        <v>566.64</v>
      </c>
      <c r="I456" s="14">
        <f t="shared" si="10"/>
        <v>566.64</v>
      </c>
    </row>
    <row r="457" spans="2:9" s="10" customFormat="1" x14ac:dyDescent="0.4">
      <c r="B457" s="11">
        <v>8</v>
      </c>
      <c r="C457" s="12" t="s">
        <v>72</v>
      </c>
      <c r="D457" s="13">
        <v>2</v>
      </c>
      <c r="E457" s="13"/>
      <c r="F457" s="13"/>
      <c r="G457" s="13"/>
      <c r="H457" s="14">
        <v>213.12</v>
      </c>
      <c r="I457" s="14">
        <f t="shared" si="10"/>
        <v>426.24</v>
      </c>
    </row>
    <row r="458" spans="2:9" s="10" customFormat="1" ht="30" x14ac:dyDescent="0.4">
      <c r="B458" s="11">
        <v>9</v>
      </c>
      <c r="C458" s="12" t="s">
        <v>71</v>
      </c>
      <c r="D458" s="13">
        <v>1</v>
      </c>
      <c r="E458" s="13"/>
      <c r="F458" s="13"/>
      <c r="G458" s="13"/>
      <c r="H458" s="14">
        <v>97.2</v>
      </c>
      <c r="I458" s="14">
        <f t="shared" si="10"/>
        <v>97.2</v>
      </c>
    </row>
    <row r="459" spans="2:9" s="10" customFormat="1" ht="30" x14ac:dyDescent="0.4">
      <c r="B459" s="11">
        <v>10</v>
      </c>
      <c r="C459" s="12" t="s">
        <v>123</v>
      </c>
      <c r="D459" s="13">
        <v>1</v>
      </c>
      <c r="E459" s="13"/>
      <c r="F459" s="13"/>
      <c r="G459" s="13"/>
      <c r="H459" s="14">
        <v>98.28</v>
      </c>
      <c r="I459" s="14">
        <f t="shared" si="10"/>
        <v>98.28</v>
      </c>
    </row>
    <row r="460" spans="2:9" s="10" customFormat="1" ht="30" x14ac:dyDescent="0.4">
      <c r="B460" s="11">
        <v>11</v>
      </c>
      <c r="C460" s="12" t="s">
        <v>69</v>
      </c>
      <c r="D460" s="13">
        <v>1</v>
      </c>
      <c r="E460" s="13"/>
      <c r="F460" s="13"/>
      <c r="G460" s="13"/>
      <c r="H460" s="14">
        <v>93.96</v>
      </c>
      <c r="I460" s="14">
        <f t="shared" si="10"/>
        <v>93.96</v>
      </c>
    </row>
    <row r="461" spans="2:9" s="10" customFormat="1" ht="30" x14ac:dyDescent="0.4">
      <c r="B461" s="11">
        <v>12</v>
      </c>
      <c r="C461" s="12" t="s">
        <v>266</v>
      </c>
      <c r="D461" s="13">
        <v>1</v>
      </c>
      <c r="E461" s="13"/>
      <c r="F461" s="13"/>
      <c r="G461" s="13"/>
      <c r="H461" s="14">
        <v>72.72</v>
      </c>
      <c r="I461" s="14">
        <f t="shared" si="10"/>
        <v>72.72</v>
      </c>
    </row>
    <row r="462" spans="2:9" s="10" customFormat="1" ht="30" x14ac:dyDescent="0.4">
      <c r="B462" s="11">
        <v>13</v>
      </c>
      <c r="C462" s="12" t="s">
        <v>66</v>
      </c>
      <c r="D462" s="13">
        <v>2</v>
      </c>
      <c r="E462" s="13"/>
      <c r="F462" s="13"/>
      <c r="G462" s="13"/>
      <c r="H462" s="14">
        <v>116.28</v>
      </c>
      <c r="I462" s="14">
        <f t="shared" si="10"/>
        <v>232.56</v>
      </c>
    </row>
    <row r="463" spans="2:9" s="10" customFormat="1" ht="30" x14ac:dyDescent="0.4">
      <c r="B463" s="11">
        <v>14</v>
      </c>
      <c r="C463" s="12" t="s">
        <v>65</v>
      </c>
      <c r="D463" s="13">
        <v>2</v>
      </c>
      <c r="E463" s="13"/>
      <c r="F463" s="13"/>
      <c r="G463" s="13"/>
      <c r="H463" s="14">
        <v>113.4</v>
      </c>
      <c r="I463" s="14">
        <f t="shared" si="10"/>
        <v>226.8</v>
      </c>
    </row>
    <row r="464" spans="2:9" s="10" customFormat="1" x14ac:dyDescent="0.4">
      <c r="B464" s="11">
        <v>15</v>
      </c>
      <c r="C464" s="12" t="s">
        <v>64</v>
      </c>
      <c r="D464" s="13">
        <v>2</v>
      </c>
      <c r="E464" s="13"/>
      <c r="F464" s="13"/>
      <c r="G464" s="13"/>
      <c r="H464" s="14">
        <v>116.28</v>
      </c>
      <c r="I464" s="14">
        <f t="shared" si="10"/>
        <v>232.56</v>
      </c>
    </row>
    <row r="465" spans="2:9" s="10" customFormat="1" x14ac:dyDescent="0.4">
      <c r="B465" s="11">
        <v>16</v>
      </c>
      <c r="C465" s="12" t="s">
        <v>63</v>
      </c>
      <c r="D465" s="13">
        <v>2</v>
      </c>
      <c r="E465" s="13"/>
      <c r="F465" s="13"/>
      <c r="G465" s="13"/>
      <c r="H465" s="14">
        <v>113.4</v>
      </c>
      <c r="I465" s="14">
        <f t="shared" si="10"/>
        <v>226.8</v>
      </c>
    </row>
    <row r="466" spans="2:9" s="10" customFormat="1" ht="30" x14ac:dyDescent="0.4">
      <c r="B466" s="11">
        <v>17</v>
      </c>
      <c r="C466" s="12" t="s">
        <v>197</v>
      </c>
      <c r="D466" s="13">
        <v>2</v>
      </c>
      <c r="E466" s="13"/>
      <c r="F466" s="13"/>
      <c r="G466" s="13"/>
      <c r="H466" s="14">
        <v>139.68</v>
      </c>
      <c r="I466" s="14">
        <f t="shared" si="10"/>
        <v>279.36</v>
      </c>
    </row>
    <row r="467" spans="2:9" s="10" customFormat="1" ht="30" x14ac:dyDescent="0.4">
      <c r="B467" s="11">
        <v>18</v>
      </c>
      <c r="C467" s="12" t="s">
        <v>62</v>
      </c>
      <c r="D467" s="13">
        <v>2</v>
      </c>
      <c r="E467" s="13"/>
      <c r="F467" s="13"/>
      <c r="G467" s="13"/>
      <c r="H467" s="14">
        <v>121.32</v>
      </c>
      <c r="I467" s="14">
        <f t="shared" si="10"/>
        <v>242.64</v>
      </c>
    </row>
    <row r="468" spans="2:9" s="10" customFormat="1" ht="30" x14ac:dyDescent="0.4">
      <c r="B468" s="11">
        <v>19</v>
      </c>
      <c r="C468" s="12" t="s">
        <v>265</v>
      </c>
      <c r="D468" s="13">
        <v>2</v>
      </c>
      <c r="E468" s="13"/>
      <c r="F468" s="13"/>
      <c r="G468" s="13"/>
      <c r="H468" s="14">
        <v>154.08000000000001</v>
      </c>
      <c r="I468" s="14">
        <f t="shared" si="10"/>
        <v>308.16000000000003</v>
      </c>
    </row>
    <row r="469" spans="2:9" s="10" customFormat="1" ht="45" x14ac:dyDescent="0.4">
      <c r="B469" s="11">
        <v>20</v>
      </c>
      <c r="C469" s="12" t="s">
        <v>234</v>
      </c>
      <c r="D469" s="13">
        <v>4</v>
      </c>
      <c r="E469" s="13"/>
      <c r="F469" s="13"/>
      <c r="G469" s="13"/>
      <c r="H469" s="14">
        <v>134.64000000000001</v>
      </c>
      <c r="I469" s="14">
        <f t="shared" si="10"/>
        <v>538.56000000000006</v>
      </c>
    </row>
    <row r="470" spans="2:9" s="10" customFormat="1" ht="45" x14ac:dyDescent="0.4">
      <c r="B470" s="11">
        <v>21</v>
      </c>
      <c r="C470" s="12" t="s">
        <v>61</v>
      </c>
      <c r="D470" s="13">
        <v>1</v>
      </c>
      <c r="E470" s="13"/>
      <c r="F470" s="13"/>
      <c r="G470" s="13"/>
      <c r="H470" s="14">
        <v>153</v>
      </c>
      <c r="I470" s="14">
        <f t="shared" si="10"/>
        <v>153</v>
      </c>
    </row>
    <row r="471" spans="2:9" s="10" customFormat="1" ht="30" x14ac:dyDescent="0.4">
      <c r="B471" s="11">
        <v>22</v>
      </c>
      <c r="C471" s="12" t="s">
        <v>91</v>
      </c>
      <c r="D471" s="13">
        <v>1</v>
      </c>
      <c r="E471" s="13"/>
      <c r="F471" s="13"/>
      <c r="G471" s="13"/>
      <c r="H471" s="14">
        <v>87.12</v>
      </c>
      <c r="I471" s="14">
        <f t="shared" si="10"/>
        <v>87.12</v>
      </c>
    </row>
    <row r="472" spans="2:9" s="10" customFormat="1" ht="30" x14ac:dyDescent="0.4">
      <c r="B472" s="11">
        <v>23</v>
      </c>
      <c r="C472" s="12" t="s">
        <v>138</v>
      </c>
      <c r="D472" s="13">
        <v>1</v>
      </c>
      <c r="E472" s="13"/>
      <c r="F472" s="13"/>
      <c r="G472" s="13"/>
      <c r="H472" s="14">
        <v>135</v>
      </c>
      <c r="I472" s="14">
        <f t="shared" si="10"/>
        <v>135</v>
      </c>
    </row>
    <row r="473" spans="2:9" s="10" customFormat="1" ht="60" x14ac:dyDescent="0.4">
      <c r="B473" s="11">
        <v>24</v>
      </c>
      <c r="C473" s="12" t="s">
        <v>264</v>
      </c>
      <c r="D473" s="13">
        <v>1</v>
      </c>
      <c r="E473" s="13"/>
      <c r="F473" s="13"/>
      <c r="G473" s="13"/>
      <c r="H473" s="14">
        <v>8360</v>
      </c>
      <c r="I473" s="14">
        <f t="shared" si="10"/>
        <v>8360</v>
      </c>
    </row>
    <row r="474" spans="2:9" s="10" customFormat="1" x14ac:dyDescent="0.4">
      <c r="B474" s="15"/>
      <c r="C474" s="16"/>
      <c r="D474" s="17">
        <f>SUM(D450:D473)</f>
        <v>37</v>
      </c>
      <c r="E474" s="45"/>
      <c r="F474" s="45"/>
      <c r="G474" s="45"/>
      <c r="I474" s="24">
        <f>SUM(I450:I473)</f>
        <v>13320.8</v>
      </c>
    </row>
    <row r="475" spans="2:9" s="10" customFormat="1" ht="15.75" customHeight="1" x14ac:dyDescent="0.4">
      <c r="B475" s="15"/>
      <c r="C475" s="19"/>
      <c r="D475" s="45"/>
      <c r="E475" s="45"/>
      <c r="F475" s="45"/>
      <c r="G475" s="45"/>
      <c r="H475" s="9"/>
      <c r="I475" s="9"/>
    </row>
    <row r="476" spans="2:9" s="10" customFormat="1" x14ac:dyDescent="0.4">
      <c r="B476" s="124" t="s">
        <v>455</v>
      </c>
      <c r="C476" s="125" t="s">
        <v>263</v>
      </c>
      <c r="D476" s="125"/>
      <c r="E476" s="125"/>
      <c r="F476" s="125"/>
      <c r="G476" s="125"/>
      <c r="H476" s="125"/>
      <c r="I476" s="126"/>
    </row>
    <row r="477" spans="2:9" s="10" customFormat="1" ht="30" x14ac:dyDescent="0.4">
      <c r="B477" s="51" t="s">
        <v>21</v>
      </c>
      <c r="C477" s="51" t="s">
        <v>20</v>
      </c>
      <c r="D477" s="51" t="s">
        <v>19</v>
      </c>
      <c r="E477" s="51" t="s">
        <v>523</v>
      </c>
      <c r="F477" s="51" t="s">
        <v>524</v>
      </c>
      <c r="G477" s="51" t="s">
        <v>525</v>
      </c>
      <c r="H477" s="52" t="s">
        <v>18</v>
      </c>
      <c r="I477" s="52" t="s">
        <v>17</v>
      </c>
    </row>
    <row r="478" spans="2:9" s="10" customFormat="1" ht="41.65" x14ac:dyDescent="0.4">
      <c r="B478" s="26">
        <v>1</v>
      </c>
      <c r="C478" s="27" t="s">
        <v>262</v>
      </c>
      <c r="D478" s="28">
        <v>1</v>
      </c>
      <c r="E478" s="28"/>
      <c r="F478" s="28"/>
      <c r="G478" s="28"/>
      <c r="H478" s="29">
        <v>12.692307692307693</v>
      </c>
      <c r="I478" s="29">
        <v>12.692307692307693</v>
      </c>
    </row>
    <row r="479" spans="2:9" s="10" customFormat="1" ht="83.25" x14ac:dyDescent="0.4">
      <c r="B479" s="30">
        <v>2</v>
      </c>
      <c r="C479" s="31" t="s">
        <v>261</v>
      </c>
      <c r="D479" s="28">
        <v>1</v>
      </c>
      <c r="E479" s="28"/>
      <c r="F479" s="28"/>
      <c r="G479" s="28"/>
      <c r="H479" s="29">
        <v>6734.2</v>
      </c>
      <c r="I479" s="29">
        <v>6734.2</v>
      </c>
    </row>
    <row r="480" spans="2:9" s="10" customFormat="1" ht="41.65" x14ac:dyDescent="0.4">
      <c r="B480" s="30">
        <v>3</v>
      </c>
      <c r="C480" s="31" t="s">
        <v>260</v>
      </c>
      <c r="D480" s="28">
        <v>1</v>
      </c>
      <c r="E480" s="28"/>
      <c r="F480" s="28"/>
      <c r="G480" s="28"/>
      <c r="H480" s="29">
        <v>380.79999999999995</v>
      </c>
      <c r="I480" s="29">
        <v>380.79999999999995</v>
      </c>
    </row>
    <row r="481" spans="2:103" s="10" customFormat="1" ht="41.65" x14ac:dyDescent="0.4">
      <c r="B481" s="30">
        <v>4</v>
      </c>
      <c r="C481" s="27" t="s">
        <v>259</v>
      </c>
      <c r="D481" s="32">
        <v>1</v>
      </c>
      <c r="E481" s="32"/>
      <c r="F481" s="32"/>
      <c r="G481" s="32"/>
      <c r="H481" s="29">
        <v>609.23076923076917</v>
      </c>
      <c r="I481" s="29">
        <v>609.23076923076917</v>
      </c>
    </row>
    <row r="482" spans="2:103" s="10" customFormat="1" ht="55.5" x14ac:dyDescent="0.4">
      <c r="B482" s="30">
        <v>6</v>
      </c>
      <c r="C482" s="27" t="s">
        <v>258</v>
      </c>
      <c r="D482" s="32">
        <v>1</v>
      </c>
      <c r="E482" s="32"/>
      <c r="F482" s="32"/>
      <c r="G482" s="32"/>
      <c r="H482" s="29">
        <v>560</v>
      </c>
      <c r="I482" s="29">
        <v>560</v>
      </c>
    </row>
    <row r="483" spans="2:103" s="10" customFormat="1" ht="55.5" x14ac:dyDescent="0.4">
      <c r="B483" s="30">
        <v>7</v>
      </c>
      <c r="C483" s="27" t="s">
        <v>257</v>
      </c>
      <c r="D483" s="32">
        <v>1</v>
      </c>
      <c r="E483" s="32"/>
      <c r="F483" s="32"/>
      <c r="G483" s="32"/>
      <c r="H483" s="29">
        <v>558.46153846153845</v>
      </c>
      <c r="I483" s="29">
        <v>558.46153846153845</v>
      </c>
    </row>
    <row r="484" spans="2:103" s="10" customFormat="1" ht="41.65" x14ac:dyDescent="0.4">
      <c r="B484" s="30">
        <v>8</v>
      </c>
      <c r="C484" s="27" t="s">
        <v>256</v>
      </c>
      <c r="D484" s="32">
        <v>1</v>
      </c>
      <c r="E484" s="32"/>
      <c r="F484" s="32"/>
      <c r="G484" s="32"/>
      <c r="H484" s="29">
        <v>431.59999999999997</v>
      </c>
      <c r="I484" s="29">
        <v>431.59999999999997</v>
      </c>
    </row>
    <row r="485" spans="2:103" s="10" customFormat="1" ht="41.65" x14ac:dyDescent="0.4">
      <c r="B485" s="30">
        <v>9</v>
      </c>
      <c r="C485" s="27" t="s">
        <v>255</v>
      </c>
      <c r="D485" s="32">
        <v>1</v>
      </c>
      <c r="E485" s="32"/>
      <c r="F485" s="32"/>
      <c r="G485" s="32"/>
      <c r="H485" s="29">
        <v>431.59999999999997</v>
      </c>
      <c r="I485" s="29">
        <v>431.59999999999997</v>
      </c>
    </row>
    <row r="486" spans="2:103" s="10" customFormat="1" ht="41.65" x14ac:dyDescent="0.4">
      <c r="B486" s="30">
        <v>10</v>
      </c>
      <c r="C486" s="27" t="s">
        <v>254</v>
      </c>
      <c r="D486" s="32">
        <v>1</v>
      </c>
      <c r="E486" s="32"/>
      <c r="F486" s="32"/>
      <c r="G486" s="32"/>
      <c r="H486" s="29">
        <v>558.40000000000009</v>
      </c>
      <c r="I486" s="29">
        <v>558.40000000000009</v>
      </c>
    </row>
    <row r="487" spans="2:103" s="10" customFormat="1" ht="55.5" x14ac:dyDescent="0.4">
      <c r="B487" s="30">
        <v>11</v>
      </c>
      <c r="C487" s="31" t="s">
        <v>253</v>
      </c>
      <c r="D487" s="28">
        <v>1</v>
      </c>
      <c r="E487" s="28"/>
      <c r="F487" s="28"/>
      <c r="G487" s="28"/>
      <c r="H487" s="29">
        <v>228.4</v>
      </c>
      <c r="I487" s="29">
        <v>228.4</v>
      </c>
    </row>
    <row r="488" spans="2:103" s="10" customFormat="1" ht="41.65" x14ac:dyDescent="0.4">
      <c r="B488" s="30">
        <v>12</v>
      </c>
      <c r="C488" s="33" t="s">
        <v>252</v>
      </c>
      <c r="D488" s="28">
        <v>1</v>
      </c>
      <c r="E488" s="28"/>
      <c r="F488" s="28"/>
      <c r="G488" s="28"/>
      <c r="H488" s="29">
        <v>260</v>
      </c>
      <c r="I488" s="29">
        <v>260</v>
      </c>
    </row>
    <row r="489" spans="2:103" s="10" customFormat="1" ht="41.65" x14ac:dyDescent="0.4">
      <c r="B489" s="30">
        <v>13</v>
      </c>
      <c r="C489" s="27" t="s">
        <v>251</v>
      </c>
      <c r="D489" s="32">
        <v>1</v>
      </c>
      <c r="E489" s="32"/>
      <c r="F489" s="32"/>
      <c r="G489" s="32"/>
      <c r="H489" s="29">
        <v>304.8</v>
      </c>
      <c r="I489" s="29">
        <v>304.8</v>
      </c>
    </row>
    <row r="490" spans="2:103" s="10" customFormat="1" ht="41.65" x14ac:dyDescent="0.4">
      <c r="B490" s="30">
        <v>14</v>
      </c>
      <c r="C490" s="27" t="s">
        <v>250</v>
      </c>
      <c r="D490" s="32">
        <v>1</v>
      </c>
      <c r="E490" s="32"/>
      <c r="F490" s="32"/>
      <c r="G490" s="32"/>
      <c r="H490" s="29">
        <v>203.2</v>
      </c>
      <c r="I490" s="29">
        <v>203.2</v>
      </c>
    </row>
    <row r="491" spans="2:103" s="10" customFormat="1" ht="27.75" x14ac:dyDescent="0.4">
      <c r="B491" s="30">
        <v>15</v>
      </c>
      <c r="C491" s="27" t="s">
        <v>249</v>
      </c>
      <c r="D491" s="32">
        <v>1</v>
      </c>
      <c r="E491" s="32"/>
      <c r="F491" s="32"/>
      <c r="G491" s="32"/>
      <c r="H491" s="29">
        <v>177.60000000000002</v>
      </c>
      <c r="I491" s="29">
        <v>177.60000000000002</v>
      </c>
    </row>
    <row r="492" spans="2:103" s="10" customFormat="1" ht="27.75" x14ac:dyDescent="0.4">
      <c r="B492" s="30">
        <v>16</v>
      </c>
      <c r="C492" s="27" t="s">
        <v>248</v>
      </c>
      <c r="D492" s="32">
        <v>1</v>
      </c>
      <c r="E492" s="32"/>
      <c r="F492" s="32"/>
      <c r="G492" s="32"/>
      <c r="H492" s="29">
        <v>228.4</v>
      </c>
      <c r="I492" s="29">
        <v>228.4</v>
      </c>
    </row>
    <row r="493" spans="2:103" s="10" customFormat="1" ht="41.65" x14ac:dyDescent="0.4">
      <c r="B493" s="30">
        <v>17</v>
      </c>
      <c r="C493" s="27" t="s">
        <v>247</v>
      </c>
      <c r="D493" s="32">
        <v>1</v>
      </c>
      <c r="E493" s="32"/>
      <c r="F493" s="32"/>
      <c r="G493" s="32"/>
      <c r="H493" s="29">
        <v>660.00000000000011</v>
      </c>
      <c r="I493" s="29">
        <v>660.00000000000011</v>
      </c>
    </row>
    <row r="494" spans="2:103" s="10" customFormat="1" ht="41.65" x14ac:dyDescent="0.4">
      <c r="B494" s="30">
        <v>18</v>
      </c>
      <c r="C494" s="27" t="s">
        <v>246</v>
      </c>
      <c r="D494" s="32">
        <v>1</v>
      </c>
      <c r="E494" s="32"/>
      <c r="F494" s="32"/>
      <c r="G494" s="32"/>
      <c r="H494" s="29">
        <v>300</v>
      </c>
      <c r="I494" s="29">
        <v>300</v>
      </c>
    </row>
    <row r="495" spans="2:103" s="10" customFormat="1" ht="55.5" x14ac:dyDescent="0.4">
      <c r="B495" s="30">
        <v>19</v>
      </c>
      <c r="C495" s="34" t="s">
        <v>245</v>
      </c>
      <c r="D495" s="32">
        <v>1</v>
      </c>
      <c r="E495" s="32"/>
      <c r="F495" s="32"/>
      <c r="G495" s="32"/>
      <c r="H495" s="29">
        <v>12947.582</v>
      </c>
      <c r="I495" s="29">
        <f>H495*D495</f>
        <v>12947.582</v>
      </c>
    </row>
    <row r="496" spans="2:103" s="10" customFormat="1" ht="83.25" x14ac:dyDescent="0.4">
      <c r="B496" s="30">
        <v>20</v>
      </c>
      <c r="C496" s="27" t="s">
        <v>244</v>
      </c>
      <c r="D496" s="35">
        <v>1</v>
      </c>
      <c r="E496" s="35"/>
      <c r="F496" s="35"/>
      <c r="G496" s="35"/>
      <c r="H496" s="36">
        <v>1095.3599999999999</v>
      </c>
      <c r="I496" s="36">
        <v>1095.3599999999999</v>
      </c>
      <c r="CS496" s="37"/>
      <c r="CT496" s="37"/>
      <c r="CU496" s="37"/>
      <c r="CV496" s="37"/>
      <c r="CW496" s="37"/>
      <c r="CX496" s="37"/>
      <c r="CY496" s="37"/>
    </row>
    <row r="497" spans="2:103" s="10" customFormat="1" ht="13.9" x14ac:dyDescent="0.4">
      <c r="B497" s="38"/>
      <c r="C497" s="39"/>
      <c r="D497" s="40">
        <f>SUM(D478:D496)</f>
        <v>19</v>
      </c>
      <c r="E497" s="40"/>
      <c r="F497" s="40"/>
      <c r="G497" s="40"/>
      <c r="H497" s="41"/>
      <c r="I497" s="41">
        <f>SUM(I478:I496)</f>
        <v>26682.32661538462</v>
      </c>
      <c r="CS497" s="37"/>
      <c r="CT497" s="37"/>
      <c r="CU497" s="37"/>
      <c r="CV497" s="37"/>
      <c r="CW497" s="37"/>
      <c r="CX497" s="37"/>
      <c r="CY497" s="37"/>
    </row>
    <row r="498" spans="2:103" s="10" customFormat="1" ht="13.9" x14ac:dyDescent="0.4">
      <c r="C498" s="57"/>
    </row>
    <row r="499" spans="2:103" s="10" customFormat="1" ht="15" customHeight="1" x14ac:dyDescent="0.4">
      <c r="B499" s="124" t="s">
        <v>434</v>
      </c>
      <c r="C499" s="125"/>
      <c r="D499" s="125"/>
      <c r="E499" s="125"/>
      <c r="F499" s="125"/>
      <c r="G499" s="125"/>
      <c r="H499" s="125"/>
      <c r="I499" s="126"/>
    </row>
    <row r="500" spans="2:103" s="10" customFormat="1" ht="30" x14ac:dyDescent="0.4">
      <c r="B500" s="51" t="s">
        <v>21</v>
      </c>
      <c r="C500" s="51" t="s">
        <v>20</v>
      </c>
      <c r="D500" s="51" t="s">
        <v>19</v>
      </c>
      <c r="E500" s="51" t="s">
        <v>523</v>
      </c>
      <c r="F500" s="51" t="s">
        <v>524</v>
      </c>
      <c r="G500" s="51" t="s">
        <v>525</v>
      </c>
      <c r="H500" s="52" t="s">
        <v>18</v>
      </c>
      <c r="I500" s="52" t="s">
        <v>17</v>
      </c>
    </row>
    <row r="501" spans="2:103" s="10" customFormat="1" ht="45" x14ac:dyDescent="0.4">
      <c r="B501" s="11">
        <v>1</v>
      </c>
      <c r="C501" s="12" t="s">
        <v>243</v>
      </c>
      <c r="D501" s="13">
        <v>1</v>
      </c>
      <c r="E501" s="13"/>
      <c r="F501" s="13"/>
      <c r="G501" s="13"/>
      <c r="H501" s="14">
        <v>1265.04</v>
      </c>
      <c r="I501" s="14">
        <f>H501*D501</f>
        <v>1265.04</v>
      </c>
    </row>
    <row r="502" spans="2:103" s="10" customFormat="1" ht="45" x14ac:dyDescent="0.4">
      <c r="B502" s="11">
        <v>2</v>
      </c>
      <c r="C502" s="12" t="s">
        <v>242</v>
      </c>
      <c r="D502" s="13">
        <v>2</v>
      </c>
      <c r="E502" s="13"/>
      <c r="F502" s="13"/>
      <c r="G502" s="13"/>
      <c r="H502" s="14">
        <v>180.35999999999999</v>
      </c>
      <c r="I502" s="14">
        <f t="shared" ref="I502:I527" si="11">H502*D502</f>
        <v>360.71999999999997</v>
      </c>
    </row>
    <row r="503" spans="2:103" s="10" customFormat="1" ht="30" x14ac:dyDescent="0.4">
      <c r="B503" s="11">
        <v>3</v>
      </c>
      <c r="C503" s="12" t="s">
        <v>107</v>
      </c>
      <c r="D503" s="13">
        <v>1</v>
      </c>
      <c r="E503" s="13"/>
      <c r="F503" s="13"/>
      <c r="G503" s="13"/>
      <c r="H503" s="14">
        <v>281.15999999999997</v>
      </c>
      <c r="I503" s="14">
        <f t="shared" si="11"/>
        <v>281.15999999999997</v>
      </c>
    </row>
    <row r="504" spans="2:103" s="10" customFormat="1" ht="30" x14ac:dyDescent="0.4">
      <c r="B504" s="11">
        <v>4</v>
      </c>
      <c r="C504" s="12" t="s">
        <v>81</v>
      </c>
      <c r="D504" s="13">
        <v>1</v>
      </c>
      <c r="E504" s="13"/>
      <c r="F504" s="13"/>
      <c r="G504" s="13"/>
      <c r="H504" s="14">
        <v>281.15999999999997</v>
      </c>
      <c r="I504" s="14">
        <f t="shared" si="11"/>
        <v>281.15999999999997</v>
      </c>
    </row>
    <row r="505" spans="2:103" s="10" customFormat="1" x14ac:dyDescent="0.4">
      <c r="B505" s="11">
        <v>5</v>
      </c>
      <c r="C505" s="12" t="s">
        <v>76</v>
      </c>
      <c r="D505" s="13">
        <v>4</v>
      </c>
      <c r="E505" s="13"/>
      <c r="F505" s="13"/>
      <c r="G505" s="13"/>
      <c r="H505" s="14">
        <v>83.52000000000001</v>
      </c>
      <c r="I505" s="14">
        <f t="shared" si="11"/>
        <v>334.08000000000004</v>
      </c>
    </row>
    <row r="506" spans="2:103" s="10" customFormat="1" ht="62.25" customHeight="1" x14ac:dyDescent="0.4">
      <c r="B506" s="11">
        <v>6</v>
      </c>
      <c r="C506" s="12" t="s">
        <v>241</v>
      </c>
      <c r="D506" s="13">
        <v>1</v>
      </c>
      <c r="E506" s="13"/>
      <c r="F506" s="13"/>
      <c r="G506" s="13"/>
      <c r="H506" s="14">
        <v>2318.4000000000005</v>
      </c>
      <c r="I506" s="14">
        <f t="shared" si="11"/>
        <v>2318.4000000000005</v>
      </c>
    </row>
    <row r="507" spans="2:103" s="10" customFormat="1" ht="30" x14ac:dyDescent="0.4">
      <c r="B507" s="11">
        <v>7</v>
      </c>
      <c r="C507" s="12" t="s">
        <v>240</v>
      </c>
      <c r="D507" s="13">
        <v>2</v>
      </c>
      <c r="E507" s="13"/>
      <c r="F507" s="13"/>
      <c r="G507" s="13"/>
      <c r="H507" s="14">
        <v>104.76</v>
      </c>
      <c r="I507" s="14">
        <f t="shared" si="11"/>
        <v>209.52</v>
      </c>
    </row>
    <row r="508" spans="2:103" s="10" customFormat="1" ht="30" x14ac:dyDescent="0.4">
      <c r="B508" s="11">
        <v>8</v>
      </c>
      <c r="C508" s="12" t="s">
        <v>239</v>
      </c>
      <c r="D508" s="13">
        <v>2</v>
      </c>
      <c r="E508" s="13"/>
      <c r="F508" s="13"/>
      <c r="G508" s="13"/>
      <c r="H508" s="14">
        <v>77.040000000000006</v>
      </c>
      <c r="I508" s="14">
        <f t="shared" si="11"/>
        <v>154.08000000000001</v>
      </c>
    </row>
    <row r="509" spans="2:103" s="10" customFormat="1" ht="30" x14ac:dyDescent="0.4">
      <c r="B509" s="11">
        <v>9</v>
      </c>
      <c r="C509" s="12" t="s">
        <v>71</v>
      </c>
      <c r="D509" s="13">
        <v>1</v>
      </c>
      <c r="E509" s="13"/>
      <c r="F509" s="13"/>
      <c r="G509" s="13"/>
      <c r="H509" s="14">
        <v>97.2</v>
      </c>
      <c r="I509" s="14">
        <f t="shared" si="11"/>
        <v>97.2</v>
      </c>
    </row>
    <row r="510" spans="2:103" s="10" customFormat="1" ht="30" x14ac:dyDescent="0.4">
      <c r="B510" s="11">
        <v>10</v>
      </c>
      <c r="C510" s="12" t="s">
        <v>69</v>
      </c>
      <c r="D510" s="13">
        <v>2</v>
      </c>
      <c r="E510" s="13"/>
      <c r="F510" s="13"/>
      <c r="G510" s="13"/>
      <c r="H510" s="14">
        <v>93.96</v>
      </c>
      <c r="I510" s="14">
        <f t="shared" si="11"/>
        <v>187.92</v>
      </c>
    </row>
    <row r="511" spans="2:103" s="10" customFormat="1" ht="30" x14ac:dyDescent="0.4">
      <c r="B511" s="11">
        <v>11</v>
      </c>
      <c r="C511" s="12" t="s">
        <v>238</v>
      </c>
      <c r="D511" s="13">
        <v>1</v>
      </c>
      <c r="E511" s="13"/>
      <c r="F511" s="13"/>
      <c r="G511" s="13"/>
      <c r="H511" s="14">
        <v>255.96</v>
      </c>
      <c r="I511" s="14">
        <f t="shared" si="11"/>
        <v>255.96</v>
      </c>
    </row>
    <row r="512" spans="2:103" s="10" customFormat="1" ht="30" x14ac:dyDescent="0.4">
      <c r="B512" s="11">
        <v>12</v>
      </c>
      <c r="C512" s="12" t="s">
        <v>217</v>
      </c>
      <c r="D512" s="13">
        <v>2</v>
      </c>
      <c r="E512" s="13"/>
      <c r="F512" s="13"/>
      <c r="G512" s="13"/>
      <c r="H512" s="14">
        <v>174.59999999999997</v>
      </c>
      <c r="I512" s="14">
        <f t="shared" si="11"/>
        <v>349.19999999999993</v>
      </c>
    </row>
    <row r="513" spans="2:9" s="10" customFormat="1" ht="30" x14ac:dyDescent="0.4">
      <c r="B513" s="11">
        <v>13</v>
      </c>
      <c r="C513" s="12" t="s">
        <v>237</v>
      </c>
      <c r="D513" s="13">
        <v>6</v>
      </c>
      <c r="E513" s="13"/>
      <c r="F513" s="13"/>
      <c r="G513" s="13"/>
      <c r="H513" s="14">
        <v>151.56</v>
      </c>
      <c r="I513" s="14">
        <f t="shared" si="11"/>
        <v>909.36</v>
      </c>
    </row>
    <row r="514" spans="2:9" s="10" customFormat="1" ht="30" x14ac:dyDescent="0.4">
      <c r="B514" s="11">
        <v>14</v>
      </c>
      <c r="C514" s="12" t="s">
        <v>236</v>
      </c>
      <c r="D514" s="13">
        <v>8</v>
      </c>
      <c r="E514" s="13"/>
      <c r="F514" s="13"/>
      <c r="G514" s="13"/>
      <c r="H514" s="14">
        <v>154.44</v>
      </c>
      <c r="I514" s="14">
        <f t="shared" si="11"/>
        <v>1235.52</v>
      </c>
    </row>
    <row r="515" spans="2:9" s="10" customFormat="1" x14ac:dyDescent="0.4">
      <c r="B515" s="11">
        <v>15</v>
      </c>
      <c r="C515" s="12" t="s">
        <v>63</v>
      </c>
      <c r="D515" s="13">
        <v>4</v>
      </c>
      <c r="E515" s="13"/>
      <c r="F515" s="13"/>
      <c r="G515" s="13"/>
      <c r="H515" s="14">
        <v>113.4</v>
      </c>
      <c r="I515" s="14">
        <f t="shared" si="11"/>
        <v>453.6</v>
      </c>
    </row>
    <row r="516" spans="2:9" s="10" customFormat="1" x14ac:dyDescent="0.4">
      <c r="B516" s="11">
        <v>16</v>
      </c>
      <c r="C516" s="12" t="s">
        <v>64</v>
      </c>
      <c r="D516" s="13">
        <v>6</v>
      </c>
      <c r="E516" s="13"/>
      <c r="F516" s="13"/>
      <c r="G516" s="13"/>
      <c r="H516" s="14">
        <v>116.28</v>
      </c>
      <c r="I516" s="14">
        <f t="shared" si="11"/>
        <v>697.68000000000006</v>
      </c>
    </row>
    <row r="517" spans="2:9" s="10" customFormat="1" ht="30" x14ac:dyDescent="0.4">
      <c r="B517" s="11">
        <v>17</v>
      </c>
      <c r="C517" s="12" t="s">
        <v>73</v>
      </c>
      <c r="D517" s="13">
        <v>2</v>
      </c>
      <c r="E517" s="13"/>
      <c r="F517" s="13"/>
      <c r="G517" s="13"/>
      <c r="H517" s="14">
        <v>566.64</v>
      </c>
      <c r="I517" s="14">
        <f t="shared" si="11"/>
        <v>1133.28</v>
      </c>
    </row>
    <row r="518" spans="2:9" s="10" customFormat="1" ht="30" x14ac:dyDescent="0.4">
      <c r="B518" s="11">
        <v>18</v>
      </c>
      <c r="C518" s="12" t="s">
        <v>235</v>
      </c>
      <c r="D518" s="13">
        <v>6</v>
      </c>
      <c r="E518" s="13"/>
      <c r="F518" s="13"/>
      <c r="G518" s="13"/>
      <c r="H518" s="14">
        <v>254.88</v>
      </c>
      <c r="I518" s="14">
        <f t="shared" si="11"/>
        <v>1529.28</v>
      </c>
    </row>
    <row r="519" spans="2:9" s="10" customFormat="1" ht="45" x14ac:dyDescent="0.4">
      <c r="B519" s="11">
        <v>19</v>
      </c>
      <c r="C519" s="12" t="s">
        <v>61</v>
      </c>
      <c r="D519" s="13">
        <v>1</v>
      </c>
      <c r="E519" s="13"/>
      <c r="F519" s="13"/>
      <c r="G519" s="13"/>
      <c r="H519" s="14">
        <v>153</v>
      </c>
      <c r="I519" s="14">
        <f t="shared" si="11"/>
        <v>153</v>
      </c>
    </row>
    <row r="520" spans="2:9" s="10" customFormat="1" ht="45" x14ac:dyDescent="0.4">
      <c r="B520" s="11">
        <v>20</v>
      </c>
      <c r="C520" s="12" t="s">
        <v>234</v>
      </c>
      <c r="D520" s="13">
        <v>1</v>
      </c>
      <c r="E520" s="13"/>
      <c r="F520" s="13"/>
      <c r="G520" s="13"/>
      <c r="H520" s="14">
        <v>134.64000000000001</v>
      </c>
      <c r="I520" s="14">
        <f t="shared" si="11"/>
        <v>134.64000000000001</v>
      </c>
    </row>
    <row r="521" spans="2:9" s="10" customFormat="1" ht="30" x14ac:dyDescent="0.4">
      <c r="B521" s="11">
        <v>21</v>
      </c>
      <c r="C521" s="12" t="s">
        <v>233</v>
      </c>
      <c r="D521" s="13">
        <v>1</v>
      </c>
      <c r="E521" s="13"/>
      <c r="F521" s="13"/>
      <c r="G521" s="13"/>
      <c r="H521" s="14">
        <v>855.72</v>
      </c>
      <c r="I521" s="14">
        <f t="shared" si="11"/>
        <v>855.72</v>
      </c>
    </row>
    <row r="522" spans="2:9" s="10" customFormat="1" ht="30" x14ac:dyDescent="0.4">
      <c r="B522" s="11">
        <v>22</v>
      </c>
      <c r="C522" s="12" t="s">
        <v>232</v>
      </c>
      <c r="D522" s="13">
        <v>1</v>
      </c>
      <c r="E522" s="13"/>
      <c r="F522" s="13"/>
      <c r="G522" s="13"/>
      <c r="H522" s="14">
        <v>92.160000000000011</v>
      </c>
      <c r="I522" s="14">
        <f t="shared" si="11"/>
        <v>92.160000000000011</v>
      </c>
    </row>
    <row r="523" spans="2:9" s="10" customFormat="1" ht="30" x14ac:dyDescent="0.4">
      <c r="B523" s="11">
        <v>23</v>
      </c>
      <c r="C523" s="12" t="s">
        <v>231</v>
      </c>
      <c r="D523" s="13">
        <v>1</v>
      </c>
      <c r="E523" s="13"/>
      <c r="F523" s="13"/>
      <c r="G523" s="13"/>
      <c r="H523" s="14">
        <v>95.76</v>
      </c>
      <c r="I523" s="14">
        <f t="shared" si="11"/>
        <v>95.76</v>
      </c>
    </row>
    <row r="524" spans="2:9" s="10" customFormat="1" ht="30" x14ac:dyDescent="0.4">
      <c r="B524" s="11">
        <v>24</v>
      </c>
      <c r="C524" s="12" t="s">
        <v>82</v>
      </c>
      <c r="D524" s="13">
        <v>1</v>
      </c>
      <c r="E524" s="13"/>
      <c r="F524" s="13"/>
      <c r="G524" s="13"/>
      <c r="H524" s="14">
        <v>137.88</v>
      </c>
      <c r="I524" s="14">
        <f t="shared" si="11"/>
        <v>137.88</v>
      </c>
    </row>
    <row r="525" spans="2:9" s="10" customFormat="1" ht="30" x14ac:dyDescent="0.4">
      <c r="B525" s="11">
        <v>25</v>
      </c>
      <c r="C525" s="12" t="s">
        <v>230</v>
      </c>
      <c r="D525" s="13">
        <v>1</v>
      </c>
      <c r="E525" s="13"/>
      <c r="F525" s="13"/>
      <c r="G525" s="13"/>
      <c r="H525" s="14">
        <v>118.44</v>
      </c>
      <c r="I525" s="14">
        <f t="shared" si="11"/>
        <v>118.44</v>
      </c>
    </row>
    <row r="526" spans="2:9" s="10" customFormat="1" ht="30" x14ac:dyDescent="0.4">
      <c r="B526" s="11">
        <v>26</v>
      </c>
      <c r="C526" s="12" t="s">
        <v>229</v>
      </c>
      <c r="D526" s="13">
        <v>1</v>
      </c>
      <c r="E526" s="13"/>
      <c r="F526" s="13"/>
      <c r="G526" s="13"/>
      <c r="H526" s="14">
        <v>134.64000000000001</v>
      </c>
      <c r="I526" s="14">
        <f t="shared" si="11"/>
        <v>134.64000000000001</v>
      </c>
    </row>
    <row r="527" spans="2:9" s="10" customFormat="1" ht="60" x14ac:dyDescent="0.4">
      <c r="B527" s="11">
        <v>27</v>
      </c>
      <c r="C527" s="12" t="s">
        <v>228</v>
      </c>
      <c r="D527" s="13">
        <v>1</v>
      </c>
      <c r="E527" s="13"/>
      <c r="F527" s="13"/>
      <c r="G527" s="13"/>
      <c r="H527" s="14">
        <v>8840</v>
      </c>
      <c r="I527" s="14">
        <f t="shared" si="11"/>
        <v>8840</v>
      </c>
    </row>
    <row r="528" spans="2:9" s="10" customFormat="1" x14ac:dyDescent="0.4">
      <c r="B528" s="15"/>
      <c r="C528" s="16"/>
      <c r="D528" s="17">
        <f>SUM(D501:D527)</f>
        <v>61</v>
      </c>
      <c r="E528" s="45"/>
      <c r="F528" s="45"/>
      <c r="G528" s="45"/>
      <c r="H528" s="9"/>
      <c r="I528" s="18">
        <f>SUM(I501:I527)</f>
        <v>22615.4</v>
      </c>
    </row>
    <row r="529" spans="2:9" s="10" customFormat="1" ht="13.9" x14ac:dyDescent="0.4">
      <c r="B529" s="25"/>
      <c r="C529" s="57"/>
    </row>
    <row r="530" spans="2:9" s="10" customFormat="1" ht="15" customHeight="1" x14ac:dyDescent="0.4">
      <c r="B530" s="124" t="s">
        <v>435</v>
      </c>
      <c r="C530" s="125"/>
      <c r="D530" s="125"/>
      <c r="E530" s="125"/>
      <c r="F530" s="125"/>
      <c r="G530" s="125"/>
      <c r="H530" s="125"/>
      <c r="I530" s="126"/>
    </row>
    <row r="531" spans="2:9" s="10" customFormat="1" ht="30" x14ac:dyDescent="0.4">
      <c r="B531" s="51" t="s">
        <v>21</v>
      </c>
      <c r="C531" s="51" t="s">
        <v>20</v>
      </c>
      <c r="D531" s="51" t="s">
        <v>19</v>
      </c>
      <c r="E531" s="51" t="s">
        <v>523</v>
      </c>
      <c r="F531" s="51" t="s">
        <v>524</v>
      </c>
      <c r="G531" s="51" t="s">
        <v>525</v>
      </c>
      <c r="H531" s="52" t="s">
        <v>18</v>
      </c>
      <c r="I531" s="52" t="s">
        <v>17</v>
      </c>
    </row>
    <row r="532" spans="2:9" s="10" customFormat="1" ht="45" x14ac:dyDescent="0.4">
      <c r="B532" s="11">
        <v>1</v>
      </c>
      <c r="C532" s="58" t="s">
        <v>227</v>
      </c>
      <c r="D532" s="13">
        <v>1</v>
      </c>
      <c r="E532" s="13"/>
      <c r="F532" s="13"/>
      <c r="G532" s="13"/>
      <c r="H532" s="14">
        <v>758.52</v>
      </c>
      <c r="I532" s="14">
        <f>H532*D532</f>
        <v>758.52</v>
      </c>
    </row>
    <row r="533" spans="2:9" s="10" customFormat="1" ht="65.25" customHeight="1" x14ac:dyDescent="0.4">
      <c r="B533" s="11">
        <v>2</v>
      </c>
      <c r="C533" s="12" t="s">
        <v>226</v>
      </c>
      <c r="D533" s="13">
        <v>1</v>
      </c>
      <c r="E533" s="13"/>
      <c r="F533" s="13"/>
      <c r="G533" s="13"/>
      <c r="H533" s="14">
        <v>242.64</v>
      </c>
      <c r="I533" s="14">
        <f t="shared" ref="I533:I555" si="12">H533*D533</f>
        <v>242.64</v>
      </c>
    </row>
    <row r="534" spans="2:9" s="10" customFormat="1" ht="30" x14ac:dyDescent="0.4">
      <c r="B534" s="11">
        <v>3</v>
      </c>
      <c r="C534" s="12" t="s">
        <v>225</v>
      </c>
      <c r="D534" s="13">
        <v>1</v>
      </c>
      <c r="E534" s="13"/>
      <c r="F534" s="13"/>
      <c r="G534" s="13"/>
      <c r="H534" s="14">
        <v>140.39999999999998</v>
      </c>
      <c r="I534" s="14">
        <f t="shared" si="12"/>
        <v>140.39999999999998</v>
      </c>
    </row>
    <row r="535" spans="2:9" s="10" customFormat="1" ht="30" x14ac:dyDescent="0.4">
      <c r="B535" s="11">
        <v>4</v>
      </c>
      <c r="C535" s="12" t="s">
        <v>224</v>
      </c>
      <c r="D535" s="13">
        <v>1</v>
      </c>
      <c r="E535" s="13"/>
      <c r="F535" s="13"/>
      <c r="G535" s="13"/>
      <c r="H535" s="14">
        <v>187.92</v>
      </c>
      <c r="I535" s="14">
        <f t="shared" si="12"/>
        <v>187.92</v>
      </c>
    </row>
    <row r="536" spans="2:9" s="10" customFormat="1" ht="30" x14ac:dyDescent="0.4">
      <c r="B536" s="11">
        <v>5</v>
      </c>
      <c r="C536" s="12" t="s">
        <v>223</v>
      </c>
      <c r="D536" s="13">
        <v>1</v>
      </c>
      <c r="E536" s="13"/>
      <c r="F536" s="13"/>
      <c r="G536" s="13"/>
      <c r="H536" s="14">
        <v>460.79999999999995</v>
      </c>
      <c r="I536" s="14">
        <f t="shared" si="12"/>
        <v>460.79999999999995</v>
      </c>
    </row>
    <row r="537" spans="2:9" s="10" customFormat="1" ht="30" x14ac:dyDescent="0.4">
      <c r="B537" s="11">
        <v>6</v>
      </c>
      <c r="C537" s="12" t="s">
        <v>222</v>
      </c>
      <c r="D537" s="13">
        <v>1</v>
      </c>
      <c r="E537" s="13"/>
      <c r="F537" s="13"/>
      <c r="G537" s="13"/>
      <c r="H537" s="14">
        <v>460.79999999999995</v>
      </c>
      <c r="I537" s="14">
        <f t="shared" si="12"/>
        <v>460.79999999999995</v>
      </c>
    </row>
    <row r="538" spans="2:9" s="10" customFormat="1" ht="30" x14ac:dyDescent="0.4">
      <c r="B538" s="11">
        <v>7</v>
      </c>
      <c r="C538" s="12" t="s">
        <v>71</v>
      </c>
      <c r="D538" s="13">
        <v>1</v>
      </c>
      <c r="E538" s="13"/>
      <c r="F538" s="13"/>
      <c r="G538" s="13"/>
      <c r="H538" s="14">
        <v>97.2</v>
      </c>
      <c r="I538" s="14">
        <f t="shared" si="12"/>
        <v>97.2</v>
      </c>
    </row>
    <row r="539" spans="2:9" s="10" customFormat="1" ht="30" x14ac:dyDescent="0.4">
      <c r="B539" s="11">
        <v>8</v>
      </c>
      <c r="C539" s="12" t="s">
        <v>69</v>
      </c>
      <c r="D539" s="13">
        <v>2</v>
      </c>
      <c r="E539" s="13"/>
      <c r="F539" s="13"/>
      <c r="G539" s="13"/>
      <c r="H539" s="14">
        <v>93.96</v>
      </c>
      <c r="I539" s="14">
        <f t="shared" si="12"/>
        <v>187.92</v>
      </c>
    </row>
    <row r="540" spans="2:9" s="10" customFormat="1" ht="30" x14ac:dyDescent="0.4">
      <c r="B540" s="11">
        <v>9</v>
      </c>
      <c r="C540" s="12" t="s">
        <v>221</v>
      </c>
      <c r="D540" s="13">
        <v>2</v>
      </c>
      <c r="E540" s="13"/>
      <c r="F540" s="13"/>
      <c r="G540" s="13"/>
      <c r="H540" s="14">
        <v>463.68</v>
      </c>
      <c r="I540" s="14">
        <f t="shared" si="12"/>
        <v>927.36</v>
      </c>
    </row>
    <row r="541" spans="2:9" s="10" customFormat="1" x14ac:dyDescent="0.4">
      <c r="B541" s="11">
        <v>10</v>
      </c>
      <c r="C541" s="12" t="s">
        <v>220</v>
      </c>
      <c r="D541" s="13">
        <v>1</v>
      </c>
      <c r="E541" s="13"/>
      <c r="F541" s="13"/>
      <c r="G541" s="13"/>
      <c r="H541" s="14">
        <v>535.31999999999994</v>
      </c>
      <c r="I541" s="14">
        <f t="shared" si="12"/>
        <v>535.31999999999994</v>
      </c>
    </row>
    <row r="542" spans="2:9" s="10" customFormat="1" x14ac:dyDescent="0.4">
      <c r="B542" s="11">
        <v>11</v>
      </c>
      <c r="C542" s="12" t="s">
        <v>219</v>
      </c>
      <c r="D542" s="13">
        <v>1</v>
      </c>
      <c r="E542" s="13"/>
      <c r="F542" s="13"/>
      <c r="G542" s="13"/>
      <c r="H542" s="14">
        <v>315</v>
      </c>
      <c r="I542" s="14">
        <f t="shared" si="12"/>
        <v>315</v>
      </c>
    </row>
    <row r="543" spans="2:9" s="10" customFormat="1" x14ac:dyDescent="0.4">
      <c r="B543" s="11">
        <v>12</v>
      </c>
      <c r="C543" s="12" t="s">
        <v>218</v>
      </c>
      <c r="D543" s="13">
        <v>1</v>
      </c>
      <c r="E543" s="13"/>
      <c r="F543" s="13"/>
      <c r="G543" s="13"/>
      <c r="H543" s="14">
        <v>320.39999999999998</v>
      </c>
      <c r="I543" s="14">
        <f t="shared" si="12"/>
        <v>320.39999999999998</v>
      </c>
    </row>
    <row r="544" spans="2:9" s="10" customFormat="1" ht="30" x14ac:dyDescent="0.4">
      <c r="B544" s="11">
        <v>13</v>
      </c>
      <c r="C544" s="12" t="s">
        <v>217</v>
      </c>
      <c r="D544" s="13">
        <v>1</v>
      </c>
      <c r="E544" s="13"/>
      <c r="F544" s="13"/>
      <c r="G544" s="13"/>
      <c r="H544" s="14">
        <v>174.59999999999997</v>
      </c>
      <c r="I544" s="14">
        <f t="shared" si="12"/>
        <v>174.59999999999997</v>
      </c>
    </row>
    <row r="545" spans="2:9" s="10" customFormat="1" ht="30" x14ac:dyDescent="0.4">
      <c r="B545" s="11">
        <v>14</v>
      </c>
      <c r="C545" s="12" t="s">
        <v>216</v>
      </c>
      <c r="D545" s="13">
        <v>1</v>
      </c>
      <c r="E545" s="13"/>
      <c r="F545" s="13"/>
      <c r="G545" s="13"/>
      <c r="H545" s="14">
        <v>457.92</v>
      </c>
      <c r="I545" s="14">
        <f t="shared" si="12"/>
        <v>457.92</v>
      </c>
    </row>
    <row r="546" spans="2:9" s="10" customFormat="1" ht="30" x14ac:dyDescent="0.4">
      <c r="B546" s="11">
        <v>15</v>
      </c>
      <c r="C546" s="12" t="s">
        <v>215</v>
      </c>
      <c r="D546" s="13">
        <v>1</v>
      </c>
      <c r="E546" s="13"/>
      <c r="F546" s="13"/>
      <c r="G546" s="13"/>
      <c r="H546" s="14">
        <v>658.43999999999994</v>
      </c>
      <c r="I546" s="14">
        <f t="shared" si="12"/>
        <v>658.43999999999994</v>
      </c>
    </row>
    <row r="547" spans="2:9" s="10" customFormat="1" x14ac:dyDescent="0.4">
      <c r="B547" s="11">
        <v>16</v>
      </c>
      <c r="C547" s="12" t="s">
        <v>214</v>
      </c>
      <c r="D547" s="13">
        <v>1</v>
      </c>
      <c r="E547" s="13"/>
      <c r="F547" s="13"/>
      <c r="G547" s="13"/>
      <c r="H547" s="14">
        <v>715.68</v>
      </c>
      <c r="I547" s="14">
        <f t="shared" si="12"/>
        <v>715.68</v>
      </c>
    </row>
    <row r="548" spans="2:9" s="10" customFormat="1" x14ac:dyDescent="0.4">
      <c r="B548" s="11">
        <v>17</v>
      </c>
      <c r="C548" s="12" t="s">
        <v>213</v>
      </c>
      <c r="D548" s="13">
        <v>1</v>
      </c>
      <c r="E548" s="13"/>
      <c r="F548" s="13"/>
      <c r="G548" s="13"/>
      <c r="H548" s="14">
        <v>781.56000000000006</v>
      </c>
      <c r="I548" s="14">
        <f t="shared" si="12"/>
        <v>781.56000000000006</v>
      </c>
    </row>
    <row r="549" spans="2:9" s="10" customFormat="1" ht="30" x14ac:dyDescent="0.4">
      <c r="B549" s="11">
        <v>18</v>
      </c>
      <c r="C549" s="12" t="s">
        <v>212</v>
      </c>
      <c r="D549" s="13">
        <v>1</v>
      </c>
      <c r="E549" s="13"/>
      <c r="F549" s="13"/>
      <c r="G549" s="13"/>
      <c r="H549" s="14">
        <v>844.2</v>
      </c>
      <c r="I549" s="14">
        <f t="shared" si="12"/>
        <v>844.2</v>
      </c>
    </row>
    <row r="550" spans="2:9" s="10" customFormat="1" ht="30" x14ac:dyDescent="0.4">
      <c r="B550" s="11">
        <v>19</v>
      </c>
      <c r="C550" s="12" t="s">
        <v>85</v>
      </c>
      <c r="D550" s="13">
        <v>1</v>
      </c>
      <c r="E550" s="13"/>
      <c r="F550" s="13"/>
      <c r="G550" s="13"/>
      <c r="H550" s="14">
        <v>669.60000000000014</v>
      </c>
      <c r="I550" s="14">
        <f t="shared" si="12"/>
        <v>669.60000000000014</v>
      </c>
    </row>
    <row r="551" spans="2:9" s="10" customFormat="1" x14ac:dyDescent="0.4">
      <c r="B551" s="11">
        <v>20</v>
      </c>
      <c r="C551" s="12" t="s">
        <v>211</v>
      </c>
      <c r="D551" s="13">
        <v>1</v>
      </c>
      <c r="E551" s="13"/>
      <c r="F551" s="13"/>
      <c r="G551" s="13"/>
      <c r="H551" s="14">
        <v>559.43999999999994</v>
      </c>
      <c r="I551" s="14">
        <f t="shared" si="12"/>
        <v>559.43999999999994</v>
      </c>
    </row>
    <row r="552" spans="2:9" s="10" customFormat="1" x14ac:dyDescent="0.4">
      <c r="B552" s="11">
        <v>21</v>
      </c>
      <c r="C552" s="12" t="s">
        <v>210</v>
      </c>
      <c r="D552" s="13">
        <v>1</v>
      </c>
      <c r="E552" s="13"/>
      <c r="F552" s="13"/>
      <c r="G552" s="13"/>
      <c r="H552" s="14">
        <v>1118.52</v>
      </c>
      <c r="I552" s="14">
        <f t="shared" si="12"/>
        <v>1118.52</v>
      </c>
    </row>
    <row r="553" spans="2:9" s="10" customFormat="1" x14ac:dyDescent="0.4">
      <c r="B553" s="11">
        <v>22</v>
      </c>
      <c r="C553" s="12" t="s">
        <v>209</v>
      </c>
      <c r="D553" s="13">
        <v>1</v>
      </c>
      <c r="E553" s="13"/>
      <c r="F553" s="13"/>
      <c r="G553" s="13"/>
      <c r="H553" s="14">
        <v>1175.76</v>
      </c>
      <c r="I553" s="14">
        <f t="shared" si="12"/>
        <v>1175.76</v>
      </c>
    </row>
    <row r="554" spans="2:9" s="10" customFormat="1" x14ac:dyDescent="0.4">
      <c r="B554" s="11">
        <v>23</v>
      </c>
      <c r="C554" s="12" t="s">
        <v>76</v>
      </c>
      <c r="D554" s="13">
        <v>2</v>
      </c>
      <c r="E554" s="13"/>
      <c r="F554" s="13"/>
      <c r="G554" s="13"/>
      <c r="H554" s="14">
        <v>83.52000000000001</v>
      </c>
      <c r="I554" s="14">
        <f t="shared" si="12"/>
        <v>167.04000000000002</v>
      </c>
    </row>
    <row r="555" spans="2:9" s="10" customFormat="1" ht="75" x14ac:dyDescent="0.4">
      <c r="B555" s="11">
        <v>24</v>
      </c>
      <c r="C555" s="12" t="s">
        <v>611</v>
      </c>
      <c r="D555" s="13">
        <v>1</v>
      </c>
      <c r="E555" s="13"/>
      <c r="F555" s="13"/>
      <c r="G555" s="13"/>
      <c r="H555" s="14"/>
      <c r="I555" s="14">
        <f t="shared" si="12"/>
        <v>0</v>
      </c>
    </row>
    <row r="556" spans="2:9" s="10" customFormat="1" x14ac:dyDescent="0.4">
      <c r="B556" s="15"/>
      <c r="C556" s="16"/>
      <c r="D556" s="17">
        <f>SUM(D532:D555)</f>
        <v>27</v>
      </c>
      <c r="E556" s="45"/>
      <c r="F556" s="45"/>
      <c r="G556" s="45"/>
      <c r="H556" s="9"/>
      <c r="I556" s="18">
        <f>SUM(I532:I555)</f>
        <v>11957.040000000003</v>
      </c>
    </row>
    <row r="557" spans="2:9" s="10" customFormat="1" x14ac:dyDescent="0.4">
      <c r="B557" s="15"/>
      <c r="C557" s="46"/>
      <c r="D557" s="47"/>
      <c r="E557" s="45"/>
      <c r="F557" s="45"/>
      <c r="G557" s="45"/>
      <c r="H557" s="9"/>
      <c r="I557" s="18"/>
    </row>
    <row r="558" spans="2:9" s="10" customFormat="1" ht="15" customHeight="1" x14ac:dyDescent="0.4">
      <c r="B558" s="124" t="s">
        <v>545</v>
      </c>
      <c r="C558" s="125"/>
      <c r="D558" s="125"/>
      <c r="E558" s="125"/>
      <c r="F558" s="125"/>
      <c r="G558" s="125"/>
      <c r="H558" s="125"/>
      <c r="I558" s="126"/>
    </row>
    <row r="559" spans="2:9" s="10" customFormat="1" ht="30" x14ac:dyDescent="0.4">
      <c r="B559" s="51" t="s">
        <v>21</v>
      </c>
      <c r="C559" s="51" t="s">
        <v>20</v>
      </c>
      <c r="D559" s="51" t="s">
        <v>19</v>
      </c>
      <c r="E559" s="51" t="s">
        <v>523</v>
      </c>
      <c r="F559" s="51" t="s">
        <v>524</v>
      </c>
      <c r="G559" s="51" t="s">
        <v>525</v>
      </c>
      <c r="H559" s="52" t="s">
        <v>18</v>
      </c>
      <c r="I559" s="52" t="s">
        <v>17</v>
      </c>
    </row>
    <row r="560" spans="2:9" s="10" customFormat="1" x14ac:dyDescent="0.4">
      <c r="B560" s="11">
        <v>1</v>
      </c>
      <c r="C560" s="58" t="s">
        <v>208</v>
      </c>
      <c r="D560" s="13">
        <v>1</v>
      </c>
      <c r="E560" s="13"/>
      <c r="F560" s="13"/>
      <c r="G560" s="13"/>
      <c r="H560" s="14">
        <v>146.88</v>
      </c>
      <c r="I560" s="14">
        <f>H560*D560</f>
        <v>146.88</v>
      </c>
    </row>
    <row r="561" spans="2:9" s="10" customFormat="1" x14ac:dyDescent="0.4">
      <c r="B561" s="11">
        <v>2</v>
      </c>
      <c r="C561" s="12" t="s">
        <v>207</v>
      </c>
      <c r="D561" s="13">
        <v>1</v>
      </c>
      <c r="E561" s="13"/>
      <c r="F561" s="13"/>
      <c r="G561" s="13"/>
      <c r="H561" s="14">
        <v>271.44</v>
      </c>
      <c r="I561" s="14">
        <f t="shared" ref="I561:I573" si="13">H561*D561</f>
        <v>271.44</v>
      </c>
    </row>
    <row r="562" spans="2:9" s="10" customFormat="1" ht="30" x14ac:dyDescent="0.4">
      <c r="B562" s="11">
        <v>3</v>
      </c>
      <c r="C562" s="12" t="s">
        <v>187</v>
      </c>
      <c r="D562" s="13">
        <v>1</v>
      </c>
      <c r="E562" s="13"/>
      <c r="F562" s="13"/>
      <c r="G562" s="13"/>
      <c r="H562" s="14">
        <v>109.08</v>
      </c>
      <c r="I562" s="14">
        <f t="shared" si="13"/>
        <v>109.08</v>
      </c>
    </row>
    <row r="563" spans="2:9" s="10" customFormat="1" ht="30" x14ac:dyDescent="0.4">
      <c r="B563" s="11">
        <v>4</v>
      </c>
      <c r="C563" s="12" t="s">
        <v>185</v>
      </c>
      <c r="D563" s="13">
        <v>1</v>
      </c>
      <c r="E563" s="13"/>
      <c r="F563" s="13"/>
      <c r="G563" s="13"/>
      <c r="H563" s="14">
        <v>109.08</v>
      </c>
      <c r="I563" s="14">
        <f t="shared" si="13"/>
        <v>109.08</v>
      </c>
    </row>
    <row r="564" spans="2:9" s="10" customFormat="1" x14ac:dyDescent="0.4">
      <c r="B564" s="11">
        <v>5</v>
      </c>
      <c r="C564" s="12" t="s">
        <v>206</v>
      </c>
      <c r="D564" s="13">
        <v>4</v>
      </c>
      <c r="E564" s="13"/>
      <c r="F564" s="13"/>
      <c r="G564" s="13"/>
      <c r="H564" s="14">
        <v>113.4</v>
      </c>
      <c r="I564" s="14">
        <f t="shared" si="13"/>
        <v>453.6</v>
      </c>
    </row>
    <row r="565" spans="2:9" s="10" customFormat="1" x14ac:dyDescent="0.4">
      <c r="B565" s="11">
        <v>6</v>
      </c>
      <c r="C565" s="12" t="s">
        <v>205</v>
      </c>
      <c r="D565" s="13">
        <v>1</v>
      </c>
      <c r="E565" s="13"/>
      <c r="F565" s="13"/>
      <c r="G565" s="13"/>
      <c r="H565" s="14">
        <v>171.71999999999997</v>
      </c>
      <c r="I565" s="14">
        <f t="shared" si="13"/>
        <v>171.71999999999997</v>
      </c>
    </row>
    <row r="566" spans="2:9" s="10" customFormat="1" ht="30" x14ac:dyDescent="0.4">
      <c r="B566" s="11">
        <v>7</v>
      </c>
      <c r="C566" s="12" t="s">
        <v>204</v>
      </c>
      <c r="D566" s="13">
        <v>1</v>
      </c>
      <c r="E566" s="13"/>
      <c r="F566" s="13"/>
      <c r="G566" s="13"/>
      <c r="H566" s="14">
        <v>135.35999999999999</v>
      </c>
      <c r="I566" s="14">
        <f t="shared" si="13"/>
        <v>135.35999999999999</v>
      </c>
    </row>
    <row r="567" spans="2:9" s="10" customFormat="1" x14ac:dyDescent="0.4">
      <c r="B567" s="11">
        <v>8</v>
      </c>
      <c r="C567" s="12" t="s">
        <v>190</v>
      </c>
      <c r="D567" s="13">
        <v>1</v>
      </c>
      <c r="E567" s="13"/>
      <c r="F567" s="13"/>
      <c r="G567" s="13"/>
      <c r="H567" s="14">
        <v>566.64</v>
      </c>
      <c r="I567" s="14">
        <f t="shared" si="13"/>
        <v>566.64</v>
      </c>
    </row>
    <row r="568" spans="2:9" s="10" customFormat="1" x14ac:dyDescent="0.4">
      <c r="B568" s="11">
        <v>9</v>
      </c>
      <c r="C568" s="12" t="s">
        <v>203</v>
      </c>
      <c r="D568" s="13">
        <v>1</v>
      </c>
      <c r="E568" s="13"/>
      <c r="F568" s="13"/>
      <c r="G568" s="13"/>
      <c r="H568" s="14">
        <v>271.44</v>
      </c>
      <c r="I568" s="14">
        <f t="shared" si="13"/>
        <v>271.44</v>
      </c>
    </row>
    <row r="569" spans="2:9" s="10" customFormat="1" x14ac:dyDescent="0.4">
      <c r="B569" s="11">
        <v>10</v>
      </c>
      <c r="C569" s="12" t="s">
        <v>202</v>
      </c>
      <c r="D569" s="13">
        <v>1</v>
      </c>
      <c r="E569" s="13"/>
      <c r="F569" s="13"/>
      <c r="G569" s="13"/>
      <c r="H569" s="14">
        <v>262.08000000000004</v>
      </c>
      <c r="I569" s="14">
        <f t="shared" si="13"/>
        <v>262.08000000000004</v>
      </c>
    </row>
    <row r="570" spans="2:9" s="10" customFormat="1" x14ac:dyDescent="0.4">
      <c r="B570" s="11">
        <v>11</v>
      </c>
      <c r="C570" s="12" t="s">
        <v>201</v>
      </c>
      <c r="D570" s="13">
        <v>1</v>
      </c>
      <c r="E570" s="13"/>
      <c r="F570" s="13"/>
      <c r="G570" s="13"/>
      <c r="H570" s="14">
        <v>517.31999999999994</v>
      </c>
      <c r="I570" s="14">
        <f t="shared" si="13"/>
        <v>517.31999999999994</v>
      </c>
    </row>
    <row r="571" spans="2:9" s="10" customFormat="1" x14ac:dyDescent="0.4">
      <c r="B571" s="11">
        <v>12</v>
      </c>
      <c r="C571" s="12" t="s">
        <v>200</v>
      </c>
      <c r="D571" s="13">
        <v>1</v>
      </c>
      <c r="E571" s="13"/>
      <c r="F571" s="13"/>
      <c r="G571" s="13"/>
      <c r="H571" s="14">
        <v>492.84</v>
      </c>
      <c r="I571" s="14">
        <f t="shared" si="13"/>
        <v>492.84</v>
      </c>
    </row>
    <row r="572" spans="2:9" s="10" customFormat="1" ht="30" x14ac:dyDescent="0.4">
      <c r="B572" s="11">
        <v>13</v>
      </c>
      <c r="C572" s="12" t="s">
        <v>193</v>
      </c>
      <c r="D572" s="13">
        <v>1</v>
      </c>
      <c r="E572" s="13"/>
      <c r="F572" s="13"/>
      <c r="G572" s="13"/>
      <c r="H572" s="14">
        <v>83.52000000000001</v>
      </c>
      <c r="I572" s="14">
        <f t="shared" si="13"/>
        <v>83.52000000000001</v>
      </c>
    </row>
    <row r="573" spans="2:9" s="10" customFormat="1" ht="75" x14ac:dyDescent="0.4">
      <c r="B573" s="11">
        <v>14</v>
      </c>
      <c r="C573" s="12" t="s">
        <v>142</v>
      </c>
      <c r="D573" s="13">
        <v>1</v>
      </c>
      <c r="E573" s="13"/>
      <c r="F573" s="13"/>
      <c r="G573" s="13"/>
      <c r="H573" s="14">
        <v>8643.44</v>
      </c>
      <c r="I573" s="14">
        <f t="shared" si="13"/>
        <v>8643.44</v>
      </c>
    </row>
    <row r="574" spans="2:9" s="10" customFormat="1" x14ac:dyDescent="0.4">
      <c r="B574" s="42"/>
      <c r="C574" s="43"/>
      <c r="D574" s="44">
        <f>SUM(D560:D573)</f>
        <v>17</v>
      </c>
      <c r="E574" s="44"/>
      <c r="F574" s="44"/>
      <c r="G574" s="44"/>
      <c r="H574" s="18"/>
      <c r="I574" s="18">
        <f>SUM(I560:I573)</f>
        <v>12234.44</v>
      </c>
    </row>
    <row r="575" spans="2:9" s="10" customFormat="1" x14ac:dyDescent="0.4">
      <c r="B575" s="42"/>
      <c r="C575" s="43"/>
      <c r="D575" s="44"/>
      <c r="E575" s="44"/>
      <c r="F575" s="44"/>
      <c r="G575" s="44"/>
      <c r="H575" s="18"/>
      <c r="I575" s="18"/>
    </row>
    <row r="576" spans="2:9" s="10" customFormat="1" ht="15.75" customHeight="1" x14ac:dyDescent="0.4">
      <c r="B576" s="124" t="s">
        <v>437</v>
      </c>
      <c r="C576" s="125"/>
      <c r="D576" s="125"/>
      <c r="E576" s="125"/>
      <c r="F576" s="125"/>
      <c r="G576" s="125"/>
      <c r="H576" s="125"/>
      <c r="I576" s="126"/>
    </row>
    <row r="577" spans="2:9" s="10" customFormat="1" ht="30" x14ac:dyDescent="0.4">
      <c r="B577" s="51" t="s">
        <v>21</v>
      </c>
      <c r="C577" s="51" t="s">
        <v>20</v>
      </c>
      <c r="D577" s="51" t="s">
        <v>19</v>
      </c>
      <c r="E577" s="51" t="s">
        <v>523</v>
      </c>
      <c r="F577" s="51" t="s">
        <v>524</v>
      </c>
      <c r="G577" s="51" t="s">
        <v>525</v>
      </c>
      <c r="H577" s="52" t="s">
        <v>18</v>
      </c>
      <c r="I577" s="52" t="s">
        <v>17</v>
      </c>
    </row>
    <row r="578" spans="2:9" s="10" customFormat="1" x14ac:dyDescent="0.4">
      <c r="B578" s="11">
        <v>1</v>
      </c>
      <c r="C578" s="12" t="s">
        <v>100</v>
      </c>
      <c r="D578" s="13">
        <v>1</v>
      </c>
      <c r="E578" s="13"/>
      <c r="F578" s="13"/>
      <c r="G578" s="13"/>
      <c r="H578" s="14">
        <v>146.88</v>
      </c>
      <c r="I578" s="14">
        <f>H578*D578</f>
        <v>146.88</v>
      </c>
    </row>
    <row r="579" spans="2:9" s="10" customFormat="1" ht="30" x14ac:dyDescent="0.4">
      <c r="B579" s="11">
        <v>2</v>
      </c>
      <c r="C579" s="12" t="s">
        <v>70</v>
      </c>
      <c r="D579" s="13">
        <v>1</v>
      </c>
      <c r="E579" s="13"/>
      <c r="F579" s="13"/>
      <c r="G579" s="13"/>
      <c r="H579" s="14">
        <v>109.08</v>
      </c>
      <c r="I579" s="14">
        <f t="shared" ref="I579:I584" si="14">H579*D579</f>
        <v>109.08</v>
      </c>
    </row>
    <row r="580" spans="2:9" s="10" customFormat="1" ht="30" x14ac:dyDescent="0.4">
      <c r="B580" s="11">
        <v>3</v>
      </c>
      <c r="C580" s="12" t="s">
        <v>199</v>
      </c>
      <c r="D580" s="13">
        <v>1</v>
      </c>
      <c r="E580" s="13"/>
      <c r="F580" s="13"/>
      <c r="G580" s="13"/>
      <c r="H580" s="14">
        <v>139.68</v>
      </c>
      <c r="I580" s="14">
        <f t="shared" si="14"/>
        <v>139.68</v>
      </c>
    </row>
    <row r="581" spans="2:9" s="10" customFormat="1" ht="30" x14ac:dyDescent="0.4">
      <c r="B581" s="11">
        <v>4</v>
      </c>
      <c r="C581" s="12" t="s">
        <v>198</v>
      </c>
      <c r="D581" s="13">
        <v>1</v>
      </c>
      <c r="E581" s="13"/>
      <c r="F581" s="13"/>
      <c r="G581" s="13"/>
      <c r="H581" s="14">
        <v>131.76</v>
      </c>
      <c r="I581" s="14">
        <f t="shared" si="14"/>
        <v>131.76</v>
      </c>
    </row>
    <row r="582" spans="2:9" s="10" customFormat="1" ht="30" x14ac:dyDescent="0.4">
      <c r="B582" s="11">
        <v>5</v>
      </c>
      <c r="C582" s="12" t="s">
        <v>197</v>
      </c>
      <c r="D582" s="13">
        <v>1</v>
      </c>
      <c r="E582" s="13"/>
      <c r="F582" s="13"/>
      <c r="G582" s="13"/>
      <c r="H582" s="14">
        <v>139.68</v>
      </c>
      <c r="I582" s="14">
        <f t="shared" si="14"/>
        <v>139.68</v>
      </c>
    </row>
    <row r="583" spans="2:9" s="10" customFormat="1" ht="45" x14ac:dyDescent="0.4">
      <c r="B583" s="13">
        <v>6</v>
      </c>
      <c r="C583" s="12" t="s">
        <v>61</v>
      </c>
      <c r="D583" s="11">
        <v>1</v>
      </c>
      <c r="E583" s="11"/>
      <c r="F583" s="11"/>
      <c r="G583" s="11"/>
      <c r="H583" s="14">
        <v>153</v>
      </c>
      <c r="I583" s="14">
        <f t="shared" si="14"/>
        <v>153</v>
      </c>
    </row>
    <row r="584" spans="2:9" s="10" customFormat="1" ht="20.25" customHeight="1" x14ac:dyDescent="0.4">
      <c r="B584" s="13">
        <v>7</v>
      </c>
      <c r="C584" s="53" t="s">
        <v>440</v>
      </c>
      <c r="D584" s="11">
        <v>1</v>
      </c>
      <c r="E584" s="11"/>
      <c r="F584" s="11"/>
      <c r="G584" s="11"/>
      <c r="H584" s="59">
        <v>544.79999999999995</v>
      </c>
      <c r="I584" s="14">
        <f t="shared" si="14"/>
        <v>544.79999999999995</v>
      </c>
    </row>
    <row r="585" spans="2:9" s="10" customFormat="1" x14ac:dyDescent="0.4">
      <c r="B585" s="15"/>
      <c r="C585" s="19"/>
      <c r="D585" s="45">
        <f>SUM(D578:D584)</f>
        <v>7</v>
      </c>
      <c r="E585" s="45"/>
      <c r="F585" s="45"/>
      <c r="G585" s="45"/>
      <c r="H585" s="9"/>
      <c r="I585" s="18">
        <f>SUM(I578:I584)</f>
        <v>1364.8799999999999</v>
      </c>
    </row>
    <row r="586" spans="2:9" s="10" customFormat="1" ht="15.75" customHeight="1" x14ac:dyDescent="0.4">
      <c r="B586" s="15"/>
      <c r="C586" s="19"/>
      <c r="D586" s="45"/>
      <c r="E586" s="45"/>
      <c r="F586" s="45"/>
      <c r="G586" s="45"/>
      <c r="H586" s="9"/>
      <c r="I586" s="9"/>
    </row>
    <row r="587" spans="2:9" s="10" customFormat="1" ht="15" customHeight="1" x14ac:dyDescent="0.4">
      <c r="B587" s="124" t="s">
        <v>438</v>
      </c>
      <c r="C587" s="125"/>
      <c r="D587" s="125"/>
      <c r="E587" s="125"/>
      <c r="F587" s="125"/>
      <c r="G587" s="125"/>
      <c r="H587" s="125"/>
      <c r="I587" s="126"/>
    </row>
    <row r="588" spans="2:9" s="10" customFormat="1" ht="30" x14ac:dyDescent="0.4">
      <c r="B588" s="51" t="s">
        <v>21</v>
      </c>
      <c r="C588" s="51" t="s">
        <v>20</v>
      </c>
      <c r="D588" s="51" t="s">
        <v>19</v>
      </c>
      <c r="E588" s="51" t="s">
        <v>523</v>
      </c>
      <c r="F588" s="51" t="s">
        <v>524</v>
      </c>
      <c r="G588" s="51" t="s">
        <v>525</v>
      </c>
      <c r="H588" s="52" t="s">
        <v>18</v>
      </c>
      <c r="I588" s="52" t="s">
        <v>17</v>
      </c>
    </row>
    <row r="589" spans="2:9" s="10" customFormat="1" x14ac:dyDescent="0.4">
      <c r="B589" s="11">
        <v>1</v>
      </c>
      <c r="C589" s="12" t="s">
        <v>196</v>
      </c>
      <c r="D589" s="13">
        <v>1</v>
      </c>
      <c r="E589" s="13"/>
      <c r="F589" s="13"/>
      <c r="G589" s="13"/>
      <c r="H589" s="14">
        <v>281.15999999999997</v>
      </c>
      <c r="I589" s="14">
        <f>H589*D589</f>
        <v>281.15999999999997</v>
      </c>
    </row>
    <row r="590" spans="2:9" s="10" customFormat="1" x14ac:dyDescent="0.4">
      <c r="B590" s="11">
        <v>2</v>
      </c>
      <c r="C590" s="12" t="s">
        <v>195</v>
      </c>
      <c r="D590" s="13">
        <v>1</v>
      </c>
      <c r="E590" s="13"/>
      <c r="F590" s="13"/>
      <c r="G590" s="13"/>
      <c r="H590" s="14">
        <v>33.456000000000003</v>
      </c>
      <c r="I590" s="14">
        <f t="shared" ref="I590:I616" si="15">H590*D590</f>
        <v>33.456000000000003</v>
      </c>
    </row>
    <row r="591" spans="2:9" s="10" customFormat="1" x14ac:dyDescent="0.4">
      <c r="B591" s="11">
        <v>3</v>
      </c>
      <c r="C591" s="12" t="s">
        <v>194</v>
      </c>
      <c r="D591" s="13">
        <v>1</v>
      </c>
      <c r="E591" s="13"/>
      <c r="F591" s="13"/>
      <c r="G591" s="13"/>
      <c r="H591" s="14">
        <v>74.88000000000001</v>
      </c>
      <c r="I591" s="14">
        <f t="shared" si="15"/>
        <v>74.88000000000001</v>
      </c>
    </row>
    <row r="592" spans="2:9" s="10" customFormat="1" ht="30" x14ac:dyDescent="0.4">
      <c r="B592" s="11">
        <v>4</v>
      </c>
      <c r="C592" s="12" t="s">
        <v>193</v>
      </c>
      <c r="D592" s="13">
        <v>4</v>
      </c>
      <c r="E592" s="13"/>
      <c r="F592" s="13"/>
      <c r="G592" s="13"/>
      <c r="H592" s="14">
        <v>83.52000000000001</v>
      </c>
      <c r="I592" s="14">
        <f t="shared" si="15"/>
        <v>334.08000000000004</v>
      </c>
    </row>
    <row r="593" spans="2:9" s="10" customFormat="1" ht="30" x14ac:dyDescent="0.4">
      <c r="B593" s="11">
        <v>5</v>
      </c>
      <c r="C593" s="12" t="s">
        <v>192</v>
      </c>
      <c r="D593" s="13">
        <v>1</v>
      </c>
      <c r="E593" s="13"/>
      <c r="F593" s="13"/>
      <c r="G593" s="13"/>
      <c r="H593" s="14">
        <v>893.16000000000008</v>
      </c>
      <c r="I593" s="14">
        <f t="shared" si="15"/>
        <v>893.16000000000008</v>
      </c>
    </row>
    <row r="594" spans="2:9" s="10" customFormat="1" x14ac:dyDescent="0.4">
      <c r="B594" s="11">
        <v>6</v>
      </c>
      <c r="C594" s="12" t="s">
        <v>191</v>
      </c>
      <c r="D594" s="13">
        <v>10</v>
      </c>
      <c r="E594" s="13"/>
      <c r="F594" s="13"/>
      <c r="G594" s="13"/>
      <c r="H594" s="14">
        <v>151.56</v>
      </c>
      <c r="I594" s="14">
        <f t="shared" si="15"/>
        <v>1515.6</v>
      </c>
    </row>
    <row r="595" spans="2:9" s="10" customFormat="1" x14ac:dyDescent="0.4">
      <c r="B595" s="11">
        <v>7</v>
      </c>
      <c r="C595" s="12" t="s">
        <v>190</v>
      </c>
      <c r="D595" s="13">
        <v>1</v>
      </c>
      <c r="E595" s="13"/>
      <c r="F595" s="13"/>
      <c r="G595" s="13"/>
      <c r="H595" s="14">
        <v>566.64</v>
      </c>
      <c r="I595" s="14">
        <f t="shared" si="15"/>
        <v>566.64</v>
      </c>
    </row>
    <row r="596" spans="2:9" s="10" customFormat="1" x14ac:dyDescent="0.4">
      <c r="B596" s="11">
        <v>8</v>
      </c>
      <c r="C596" s="12" t="s">
        <v>189</v>
      </c>
      <c r="D596" s="13">
        <v>2</v>
      </c>
      <c r="E596" s="13"/>
      <c r="F596" s="13"/>
      <c r="G596" s="13"/>
      <c r="H596" s="14">
        <v>213.12</v>
      </c>
      <c r="I596" s="14">
        <f t="shared" si="15"/>
        <v>426.24</v>
      </c>
    </row>
    <row r="597" spans="2:9" s="10" customFormat="1" x14ac:dyDescent="0.4">
      <c r="B597" s="11">
        <v>9</v>
      </c>
      <c r="C597" s="12" t="s">
        <v>188</v>
      </c>
      <c r="D597" s="13">
        <v>2</v>
      </c>
      <c r="E597" s="13"/>
      <c r="F597" s="13"/>
      <c r="G597" s="13"/>
      <c r="H597" s="14">
        <v>97.2</v>
      </c>
      <c r="I597" s="14">
        <f t="shared" si="15"/>
        <v>194.4</v>
      </c>
    </row>
    <row r="598" spans="2:9" s="10" customFormat="1" ht="30" x14ac:dyDescent="0.4">
      <c r="B598" s="11">
        <v>10</v>
      </c>
      <c r="C598" s="12" t="s">
        <v>187</v>
      </c>
      <c r="D598" s="13">
        <v>1</v>
      </c>
      <c r="E598" s="13"/>
      <c r="F598" s="13"/>
      <c r="G598" s="13"/>
      <c r="H598" s="14">
        <v>109.08</v>
      </c>
      <c r="I598" s="14">
        <f t="shared" si="15"/>
        <v>109.08</v>
      </c>
    </row>
    <row r="599" spans="2:9" s="10" customFormat="1" x14ac:dyDescent="0.4">
      <c r="B599" s="11">
        <v>11</v>
      </c>
      <c r="C599" s="12" t="s">
        <v>186</v>
      </c>
      <c r="D599" s="13">
        <v>2</v>
      </c>
      <c r="E599" s="13"/>
      <c r="F599" s="13"/>
      <c r="G599" s="13"/>
      <c r="H599" s="14">
        <v>93.96</v>
      </c>
      <c r="I599" s="14">
        <f t="shared" si="15"/>
        <v>187.92</v>
      </c>
    </row>
    <row r="600" spans="2:9" s="10" customFormat="1" ht="30" x14ac:dyDescent="0.4">
      <c r="B600" s="11">
        <v>12</v>
      </c>
      <c r="C600" s="12" t="s">
        <v>185</v>
      </c>
      <c r="D600" s="13">
        <v>1</v>
      </c>
      <c r="E600" s="13"/>
      <c r="F600" s="13"/>
      <c r="G600" s="13"/>
      <c r="H600" s="14">
        <v>109.08</v>
      </c>
      <c r="I600" s="14">
        <f t="shared" si="15"/>
        <v>109.08</v>
      </c>
    </row>
    <row r="601" spans="2:9" s="10" customFormat="1" x14ac:dyDescent="0.4">
      <c r="B601" s="11">
        <v>13</v>
      </c>
      <c r="C601" s="12" t="s">
        <v>184</v>
      </c>
      <c r="D601" s="13">
        <v>2</v>
      </c>
      <c r="E601" s="13"/>
      <c r="F601" s="13"/>
      <c r="G601" s="13"/>
      <c r="H601" s="14">
        <v>165.96</v>
      </c>
      <c r="I601" s="14">
        <f t="shared" si="15"/>
        <v>331.92</v>
      </c>
    </row>
    <row r="602" spans="2:9" s="10" customFormat="1" x14ac:dyDescent="0.4">
      <c r="B602" s="11">
        <v>14</v>
      </c>
      <c r="C602" s="12" t="s">
        <v>183</v>
      </c>
      <c r="D602" s="13">
        <v>6</v>
      </c>
      <c r="E602" s="13"/>
      <c r="F602" s="13"/>
      <c r="G602" s="13"/>
      <c r="H602" s="14">
        <v>116.28</v>
      </c>
      <c r="I602" s="14">
        <f t="shared" si="15"/>
        <v>697.68000000000006</v>
      </c>
    </row>
    <row r="603" spans="2:9" s="10" customFormat="1" x14ac:dyDescent="0.4">
      <c r="B603" s="11">
        <v>15</v>
      </c>
      <c r="C603" s="12" t="s">
        <v>182</v>
      </c>
      <c r="D603" s="13">
        <v>4</v>
      </c>
      <c r="E603" s="13"/>
      <c r="F603" s="13"/>
      <c r="G603" s="13"/>
      <c r="H603" s="14">
        <v>113.4</v>
      </c>
      <c r="I603" s="14">
        <f t="shared" si="15"/>
        <v>453.6</v>
      </c>
    </row>
    <row r="604" spans="2:9" s="10" customFormat="1" x14ac:dyDescent="0.4">
      <c r="B604" s="11">
        <v>16</v>
      </c>
      <c r="C604" s="12" t="s">
        <v>181</v>
      </c>
      <c r="D604" s="13">
        <v>6</v>
      </c>
      <c r="E604" s="13"/>
      <c r="F604" s="13"/>
      <c r="G604" s="13"/>
      <c r="H604" s="14">
        <v>116.28</v>
      </c>
      <c r="I604" s="14">
        <f t="shared" si="15"/>
        <v>697.68000000000006</v>
      </c>
    </row>
    <row r="605" spans="2:9" s="10" customFormat="1" x14ac:dyDescent="0.4">
      <c r="B605" s="11">
        <v>17</v>
      </c>
      <c r="C605" s="12" t="s">
        <v>180</v>
      </c>
      <c r="D605" s="13">
        <v>4</v>
      </c>
      <c r="E605" s="13"/>
      <c r="F605" s="13"/>
      <c r="G605" s="13"/>
      <c r="H605" s="14">
        <v>113.4</v>
      </c>
      <c r="I605" s="14">
        <f t="shared" si="15"/>
        <v>453.6</v>
      </c>
    </row>
    <row r="606" spans="2:9" s="10" customFormat="1" x14ac:dyDescent="0.4">
      <c r="B606" s="11">
        <v>18</v>
      </c>
      <c r="C606" s="12" t="s">
        <v>179</v>
      </c>
      <c r="D606" s="13">
        <v>2</v>
      </c>
      <c r="E606" s="13"/>
      <c r="F606" s="13"/>
      <c r="G606" s="13"/>
      <c r="H606" s="14">
        <v>121.32</v>
      </c>
      <c r="I606" s="14">
        <f t="shared" si="15"/>
        <v>242.64</v>
      </c>
    </row>
    <row r="607" spans="2:9" s="10" customFormat="1" x14ac:dyDescent="0.4">
      <c r="B607" s="11">
        <v>19</v>
      </c>
      <c r="C607" s="12" t="s">
        <v>178</v>
      </c>
      <c r="D607" s="13">
        <v>1</v>
      </c>
      <c r="E607" s="13"/>
      <c r="F607" s="13"/>
      <c r="G607" s="13"/>
      <c r="H607" s="14">
        <v>153</v>
      </c>
      <c r="I607" s="14">
        <f t="shared" si="15"/>
        <v>153</v>
      </c>
    </row>
    <row r="608" spans="2:9" s="10" customFormat="1" x14ac:dyDescent="0.4">
      <c r="B608" s="11">
        <v>20</v>
      </c>
      <c r="C608" s="12" t="s">
        <v>177</v>
      </c>
      <c r="D608" s="13">
        <v>1</v>
      </c>
      <c r="E608" s="13"/>
      <c r="F608" s="13"/>
      <c r="G608" s="13"/>
      <c r="H608" s="14">
        <v>20.519999999999996</v>
      </c>
      <c r="I608" s="14">
        <f t="shared" si="15"/>
        <v>20.519999999999996</v>
      </c>
    </row>
    <row r="609" spans="2:9" s="10" customFormat="1" x14ac:dyDescent="0.4">
      <c r="B609" s="11">
        <v>21</v>
      </c>
      <c r="C609" s="12" t="s">
        <v>176</v>
      </c>
      <c r="D609" s="13">
        <v>1</v>
      </c>
      <c r="E609" s="13"/>
      <c r="F609" s="13"/>
      <c r="G609" s="13"/>
      <c r="H609" s="14">
        <v>25.92</v>
      </c>
      <c r="I609" s="14">
        <f t="shared" si="15"/>
        <v>25.92</v>
      </c>
    </row>
    <row r="610" spans="2:9" s="10" customFormat="1" x14ac:dyDescent="0.4">
      <c r="B610" s="11">
        <v>22</v>
      </c>
      <c r="C610" s="12" t="s">
        <v>175</v>
      </c>
      <c r="D610" s="13">
        <v>1</v>
      </c>
      <c r="E610" s="13"/>
      <c r="F610" s="13"/>
      <c r="G610" s="13"/>
      <c r="H610" s="14">
        <v>51.48</v>
      </c>
      <c r="I610" s="14">
        <f t="shared" si="15"/>
        <v>51.48</v>
      </c>
    </row>
    <row r="611" spans="2:9" s="10" customFormat="1" ht="30" x14ac:dyDescent="0.4">
      <c r="B611" s="11">
        <v>23</v>
      </c>
      <c r="C611" s="12" t="s">
        <v>174</v>
      </c>
      <c r="D611" s="13">
        <v>1</v>
      </c>
      <c r="E611" s="13"/>
      <c r="F611" s="13"/>
      <c r="G611" s="13"/>
      <c r="H611" s="14">
        <v>151.56</v>
      </c>
      <c r="I611" s="14">
        <f t="shared" si="15"/>
        <v>151.56</v>
      </c>
    </row>
    <row r="612" spans="2:9" s="10" customFormat="1" x14ac:dyDescent="0.4">
      <c r="B612" s="11">
        <v>24</v>
      </c>
      <c r="C612" s="12" t="s">
        <v>173</v>
      </c>
      <c r="D612" s="13">
        <v>1</v>
      </c>
      <c r="E612" s="13"/>
      <c r="F612" s="13"/>
      <c r="G612" s="13"/>
      <c r="H612" s="14">
        <v>120.24</v>
      </c>
      <c r="I612" s="14">
        <f t="shared" si="15"/>
        <v>120.24</v>
      </c>
    </row>
    <row r="613" spans="2:9" s="10" customFormat="1" ht="30" x14ac:dyDescent="0.4">
      <c r="B613" s="11">
        <v>25</v>
      </c>
      <c r="C613" s="12" t="s">
        <v>172</v>
      </c>
      <c r="D613" s="13">
        <v>2</v>
      </c>
      <c r="E613" s="13"/>
      <c r="F613" s="13"/>
      <c r="G613" s="13"/>
      <c r="H613" s="14">
        <v>175.67999999999998</v>
      </c>
      <c r="I613" s="14">
        <f t="shared" si="15"/>
        <v>351.35999999999996</v>
      </c>
    </row>
    <row r="614" spans="2:9" s="10" customFormat="1" x14ac:dyDescent="0.4">
      <c r="B614" s="11">
        <v>26</v>
      </c>
      <c r="C614" s="12" t="s">
        <v>171</v>
      </c>
      <c r="D614" s="13">
        <v>1</v>
      </c>
      <c r="E614" s="13"/>
      <c r="F614" s="13"/>
      <c r="G614" s="13"/>
      <c r="H614" s="14">
        <v>662.4</v>
      </c>
      <c r="I614" s="14">
        <f t="shared" si="15"/>
        <v>662.4</v>
      </c>
    </row>
    <row r="615" spans="2:9" s="10" customFormat="1" x14ac:dyDescent="0.4">
      <c r="B615" s="11">
        <v>27</v>
      </c>
      <c r="C615" s="12" t="s">
        <v>170</v>
      </c>
      <c r="D615" s="13">
        <v>1</v>
      </c>
      <c r="E615" s="13"/>
      <c r="F615" s="13"/>
      <c r="G615" s="13"/>
      <c r="H615" s="14">
        <v>326.15999999999997</v>
      </c>
      <c r="I615" s="14">
        <f t="shared" si="15"/>
        <v>326.15999999999997</v>
      </c>
    </row>
    <row r="616" spans="2:9" s="10" customFormat="1" ht="60" x14ac:dyDescent="0.4">
      <c r="B616" s="11">
        <v>14</v>
      </c>
      <c r="C616" s="12" t="s">
        <v>352</v>
      </c>
      <c r="D616" s="13">
        <v>1</v>
      </c>
      <c r="E616" s="13"/>
      <c r="F616" s="13"/>
      <c r="G616" s="13"/>
      <c r="H616" s="14">
        <v>9400</v>
      </c>
      <c r="I616" s="14">
        <f t="shared" si="15"/>
        <v>9400</v>
      </c>
    </row>
    <row r="617" spans="2:9" s="10" customFormat="1" x14ac:dyDescent="0.4">
      <c r="B617" s="42"/>
      <c r="C617" s="43"/>
      <c r="D617" s="44">
        <f>SUM(D589:D616)</f>
        <v>62</v>
      </c>
      <c r="E617" s="44"/>
      <c r="F617" s="44"/>
      <c r="G617" s="44"/>
      <c r="H617" s="18"/>
      <c r="I617" s="18">
        <f>SUM(I589:I616)</f>
        <v>18865.456000000002</v>
      </c>
    </row>
    <row r="618" spans="2:9" s="10" customFormat="1" ht="15.75" customHeight="1" x14ac:dyDescent="0.4">
      <c r="B618" s="15"/>
      <c r="C618" s="19"/>
      <c r="D618" s="45"/>
      <c r="E618" s="45"/>
      <c r="F618" s="45"/>
      <c r="G618" s="45"/>
      <c r="H618" s="9"/>
      <c r="I618" s="9"/>
    </row>
    <row r="619" spans="2:9" s="10" customFormat="1" ht="15.75" customHeight="1" x14ac:dyDescent="0.4">
      <c r="B619" s="124" t="s">
        <v>439</v>
      </c>
      <c r="C619" s="125"/>
      <c r="D619" s="125"/>
      <c r="E619" s="125"/>
      <c r="F619" s="125"/>
      <c r="G619" s="125"/>
      <c r="H619" s="125"/>
      <c r="I619" s="126"/>
    </row>
    <row r="620" spans="2:9" s="10" customFormat="1" ht="30" x14ac:dyDescent="0.4">
      <c r="B620" s="51" t="s">
        <v>21</v>
      </c>
      <c r="C620" s="51" t="s">
        <v>20</v>
      </c>
      <c r="D620" s="51" t="s">
        <v>19</v>
      </c>
      <c r="E620" s="51" t="s">
        <v>523</v>
      </c>
      <c r="F620" s="51" t="s">
        <v>524</v>
      </c>
      <c r="G620" s="51" t="s">
        <v>525</v>
      </c>
      <c r="H620" s="52" t="s">
        <v>18</v>
      </c>
      <c r="I620" s="52" t="s">
        <v>17</v>
      </c>
    </row>
    <row r="621" spans="2:9" s="10" customFormat="1" x14ac:dyDescent="0.4">
      <c r="B621" s="11">
        <v>1</v>
      </c>
      <c r="C621" s="12" t="s">
        <v>162</v>
      </c>
      <c r="D621" s="13">
        <v>1</v>
      </c>
      <c r="E621" s="13"/>
      <c r="F621" s="13"/>
      <c r="G621" s="13"/>
      <c r="H621" s="14">
        <v>192.09599999999998</v>
      </c>
      <c r="I621" s="14">
        <f>H621*D621</f>
        <v>192.09599999999998</v>
      </c>
    </row>
    <row r="622" spans="2:9" s="10" customFormat="1" ht="45" x14ac:dyDescent="0.4">
      <c r="B622" s="11">
        <v>2</v>
      </c>
      <c r="C622" s="12" t="s">
        <v>161</v>
      </c>
      <c r="D622" s="13">
        <v>2</v>
      </c>
      <c r="E622" s="13"/>
      <c r="F622" s="13"/>
      <c r="G622" s="13"/>
      <c r="H622" s="14">
        <v>864</v>
      </c>
      <c r="I622" s="14">
        <f t="shared" ref="I622:I647" si="16">H622*D622</f>
        <v>1728</v>
      </c>
    </row>
    <row r="623" spans="2:9" s="10" customFormat="1" x14ac:dyDescent="0.4">
      <c r="B623" s="11">
        <v>3</v>
      </c>
      <c r="C623" s="12" t="s">
        <v>160</v>
      </c>
      <c r="D623" s="13">
        <v>3</v>
      </c>
      <c r="E623" s="13"/>
      <c r="F623" s="13"/>
      <c r="G623" s="13"/>
      <c r="H623" s="14">
        <v>226.08</v>
      </c>
      <c r="I623" s="14">
        <f t="shared" si="16"/>
        <v>678.24</v>
      </c>
    </row>
    <row r="624" spans="2:9" s="10" customFormat="1" x14ac:dyDescent="0.4">
      <c r="B624" s="11">
        <v>4</v>
      </c>
      <c r="C624" s="12" t="s">
        <v>159</v>
      </c>
      <c r="D624" s="13">
        <v>3</v>
      </c>
      <c r="E624" s="13"/>
      <c r="F624" s="13"/>
      <c r="G624" s="13"/>
      <c r="H624" s="14">
        <v>214.56</v>
      </c>
      <c r="I624" s="14">
        <f t="shared" si="16"/>
        <v>643.68000000000006</v>
      </c>
    </row>
    <row r="625" spans="2:9" s="10" customFormat="1" x14ac:dyDescent="0.4">
      <c r="B625" s="11">
        <v>5</v>
      </c>
      <c r="C625" s="12" t="s">
        <v>158</v>
      </c>
      <c r="D625" s="13">
        <v>3</v>
      </c>
      <c r="E625" s="13"/>
      <c r="F625" s="13"/>
      <c r="G625" s="13"/>
      <c r="H625" s="14">
        <v>214.56</v>
      </c>
      <c r="I625" s="14">
        <f t="shared" si="16"/>
        <v>643.68000000000006</v>
      </c>
    </row>
    <row r="626" spans="2:9" s="10" customFormat="1" x14ac:dyDescent="0.4">
      <c r="B626" s="11">
        <v>6</v>
      </c>
      <c r="C626" s="12" t="s">
        <v>157</v>
      </c>
      <c r="D626" s="13">
        <v>3</v>
      </c>
      <c r="E626" s="13"/>
      <c r="F626" s="13"/>
      <c r="G626" s="13"/>
      <c r="H626" s="14">
        <v>214.56</v>
      </c>
      <c r="I626" s="14">
        <f t="shared" si="16"/>
        <v>643.68000000000006</v>
      </c>
    </row>
    <row r="627" spans="2:9" s="10" customFormat="1" x14ac:dyDescent="0.4">
      <c r="B627" s="11">
        <v>7</v>
      </c>
      <c r="C627" s="12" t="s">
        <v>156</v>
      </c>
      <c r="D627" s="13">
        <v>3</v>
      </c>
      <c r="E627" s="13"/>
      <c r="F627" s="13"/>
      <c r="G627" s="13"/>
      <c r="H627" s="14">
        <v>214.56</v>
      </c>
      <c r="I627" s="14">
        <f t="shared" si="16"/>
        <v>643.68000000000006</v>
      </c>
    </row>
    <row r="628" spans="2:9" s="10" customFormat="1" x14ac:dyDescent="0.4">
      <c r="B628" s="11">
        <v>8</v>
      </c>
      <c r="C628" s="12" t="s">
        <v>155</v>
      </c>
      <c r="D628" s="13">
        <v>1</v>
      </c>
      <c r="E628" s="13"/>
      <c r="F628" s="13"/>
      <c r="G628" s="13"/>
      <c r="H628" s="14">
        <v>48.095999999999997</v>
      </c>
      <c r="I628" s="14">
        <f t="shared" si="16"/>
        <v>48.095999999999997</v>
      </c>
    </row>
    <row r="629" spans="2:9" s="10" customFormat="1" ht="30" x14ac:dyDescent="0.4">
      <c r="B629" s="11">
        <v>9</v>
      </c>
      <c r="C629" s="12" t="s">
        <v>154</v>
      </c>
      <c r="D629" s="13">
        <v>1</v>
      </c>
      <c r="E629" s="13"/>
      <c r="F629" s="13"/>
      <c r="G629" s="13"/>
      <c r="H629" s="14">
        <v>230.39999999999998</v>
      </c>
      <c r="I629" s="14">
        <f t="shared" si="16"/>
        <v>230.39999999999998</v>
      </c>
    </row>
    <row r="630" spans="2:9" s="10" customFormat="1" ht="30" x14ac:dyDescent="0.4">
      <c r="B630" s="11">
        <v>10</v>
      </c>
      <c r="C630" s="12" t="s">
        <v>71</v>
      </c>
      <c r="D630" s="13">
        <v>2</v>
      </c>
      <c r="E630" s="13"/>
      <c r="F630" s="13"/>
      <c r="G630" s="13"/>
      <c r="H630" s="14">
        <v>67.103999999999999</v>
      </c>
      <c r="I630" s="14">
        <f t="shared" si="16"/>
        <v>134.208</v>
      </c>
    </row>
    <row r="631" spans="2:9" s="10" customFormat="1" ht="30" x14ac:dyDescent="0.4">
      <c r="B631" s="11">
        <v>11</v>
      </c>
      <c r="C631" s="12" t="s">
        <v>69</v>
      </c>
      <c r="D631" s="13">
        <v>2</v>
      </c>
      <c r="E631" s="13"/>
      <c r="F631" s="13"/>
      <c r="G631" s="13"/>
      <c r="H631" s="14">
        <v>62.495999999999995</v>
      </c>
      <c r="I631" s="14">
        <f t="shared" si="16"/>
        <v>124.99199999999999</v>
      </c>
    </row>
    <row r="632" spans="2:9" s="10" customFormat="1" x14ac:dyDescent="0.4">
      <c r="B632" s="11">
        <v>12</v>
      </c>
      <c r="C632" s="12" t="s">
        <v>153</v>
      </c>
      <c r="D632" s="13">
        <v>6</v>
      </c>
      <c r="E632" s="13"/>
      <c r="F632" s="13"/>
      <c r="G632" s="13"/>
      <c r="H632" s="14">
        <v>115.19999999999999</v>
      </c>
      <c r="I632" s="14">
        <f t="shared" si="16"/>
        <v>691.19999999999993</v>
      </c>
    </row>
    <row r="633" spans="2:9" s="10" customFormat="1" x14ac:dyDescent="0.4">
      <c r="B633" s="11">
        <v>13</v>
      </c>
      <c r="C633" s="12" t="s">
        <v>152</v>
      </c>
      <c r="D633" s="13">
        <v>1</v>
      </c>
      <c r="E633" s="13"/>
      <c r="F633" s="13"/>
      <c r="G633" s="13"/>
      <c r="H633" s="14">
        <v>455.904</v>
      </c>
      <c r="I633" s="14">
        <f t="shared" si="16"/>
        <v>455.904</v>
      </c>
    </row>
    <row r="634" spans="2:9" s="10" customFormat="1" ht="30" x14ac:dyDescent="0.4">
      <c r="B634" s="11">
        <v>14</v>
      </c>
      <c r="C634" s="12" t="s">
        <v>151</v>
      </c>
      <c r="D634" s="13">
        <v>1</v>
      </c>
      <c r="E634" s="13"/>
      <c r="F634" s="13"/>
      <c r="G634" s="13"/>
      <c r="H634" s="14">
        <v>504</v>
      </c>
      <c r="I634" s="14">
        <f t="shared" si="16"/>
        <v>504</v>
      </c>
    </row>
    <row r="635" spans="2:9" s="10" customFormat="1" x14ac:dyDescent="0.4">
      <c r="B635" s="11">
        <v>15</v>
      </c>
      <c r="C635" s="12" t="s">
        <v>64</v>
      </c>
      <c r="D635" s="13">
        <v>2</v>
      </c>
      <c r="E635" s="13"/>
      <c r="F635" s="13"/>
      <c r="G635" s="13"/>
      <c r="H635" s="14">
        <v>120.09599999999999</v>
      </c>
      <c r="I635" s="14">
        <f t="shared" si="16"/>
        <v>240.19199999999998</v>
      </c>
    </row>
    <row r="636" spans="2:9" s="10" customFormat="1" x14ac:dyDescent="0.4">
      <c r="B636" s="11">
        <v>16</v>
      </c>
      <c r="C636" s="12" t="s">
        <v>63</v>
      </c>
      <c r="D636" s="13">
        <v>2</v>
      </c>
      <c r="E636" s="13"/>
      <c r="F636" s="13"/>
      <c r="G636" s="13"/>
      <c r="H636" s="14">
        <v>115.19999999999999</v>
      </c>
      <c r="I636" s="14">
        <f t="shared" si="16"/>
        <v>230.39999999999998</v>
      </c>
    </row>
    <row r="637" spans="2:9" s="10" customFormat="1" ht="30" x14ac:dyDescent="0.4">
      <c r="B637" s="11">
        <v>17</v>
      </c>
      <c r="C637" s="12" t="s">
        <v>150</v>
      </c>
      <c r="D637" s="13">
        <v>1</v>
      </c>
      <c r="E637" s="13"/>
      <c r="F637" s="13"/>
      <c r="G637" s="13"/>
      <c r="H637" s="14">
        <v>259.2</v>
      </c>
      <c r="I637" s="14">
        <f t="shared" si="16"/>
        <v>259.2</v>
      </c>
    </row>
    <row r="638" spans="2:9" s="10" customFormat="1" x14ac:dyDescent="0.4">
      <c r="B638" s="11">
        <v>18</v>
      </c>
      <c r="C638" s="12" t="s">
        <v>149</v>
      </c>
      <c r="D638" s="13">
        <v>1</v>
      </c>
      <c r="E638" s="13"/>
      <c r="F638" s="13"/>
      <c r="G638" s="13"/>
      <c r="H638" s="14">
        <v>115.19999999999999</v>
      </c>
      <c r="I638" s="14">
        <f t="shared" si="16"/>
        <v>115.19999999999999</v>
      </c>
    </row>
    <row r="639" spans="2:9" s="10" customFormat="1" x14ac:dyDescent="0.4">
      <c r="B639" s="11">
        <v>19</v>
      </c>
      <c r="C639" s="12" t="s">
        <v>148</v>
      </c>
      <c r="D639" s="13">
        <v>1</v>
      </c>
      <c r="E639" s="13"/>
      <c r="F639" s="13"/>
      <c r="G639" s="13"/>
      <c r="H639" s="14">
        <v>852.84</v>
      </c>
      <c r="I639" s="14">
        <f t="shared" si="16"/>
        <v>852.84</v>
      </c>
    </row>
    <row r="640" spans="2:9" s="10" customFormat="1" ht="45" x14ac:dyDescent="0.4">
      <c r="B640" s="11">
        <v>20</v>
      </c>
      <c r="C640" s="12" t="s">
        <v>61</v>
      </c>
      <c r="D640" s="13">
        <v>1</v>
      </c>
      <c r="E640" s="13"/>
      <c r="F640" s="13"/>
      <c r="G640" s="13"/>
      <c r="H640" s="14">
        <v>153.50400000000002</v>
      </c>
      <c r="I640" s="14">
        <f t="shared" si="16"/>
        <v>153.50400000000002</v>
      </c>
    </row>
    <row r="641" spans="1:11" s="10" customFormat="1" x14ac:dyDescent="0.4">
      <c r="B641" s="11">
        <v>21</v>
      </c>
      <c r="C641" s="12" t="s">
        <v>147</v>
      </c>
      <c r="D641" s="13">
        <v>1</v>
      </c>
      <c r="E641" s="13"/>
      <c r="F641" s="13"/>
      <c r="G641" s="13"/>
      <c r="H641" s="14">
        <v>920</v>
      </c>
      <c r="I641" s="14">
        <f t="shared" si="16"/>
        <v>920</v>
      </c>
    </row>
    <row r="642" spans="1:11" s="10" customFormat="1" ht="30" x14ac:dyDescent="0.4">
      <c r="B642" s="11">
        <v>22</v>
      </c>
      <c r="C642" s="12" t="s">
        <v>146</v>
      </c>
      <c r="D642" s="13">
        <v>1</v>
      </c>
      <c r="E642" s="13"/>
      <c r="F642" s="13"/>
      <c r="G642" s="13"/>
      <c r="H642" s="14">
        <v>1056.096</v>
      </c>
      <c r="I642" s="14">
        <f t="shared" si="16"/>
        <v>1056.096</v>
      </c>
    </row>
    <row r="643" spans="1:11" s="10" customFormat="1" ht="30" x14ac:dyDescent="0.4">
      <c r="B643" s="11">
        <v>23</v>
      </c>
      <c r="C643" s="12" t="s">
        <v>145</v>
      </c>
      <c r="D643" s="13">
        <v>1</v>
      </c>
      <c r="E643" s="13"/>
      <c r="F643" s="13"/>
      <c r="G643" s="13"/>
      <c r="H643" s="14">
        <v>1056.096</v>
      </c>
      <c r="I643" s="14">
        <f t="shared" si="16"/>
        <v>1056.096</v>
      </c>
    </row>
    <row r="644" spans="1:11" s="10" customFormat="1" ht="30" x14ac:dyDescent="0.4">
      <c r="B644" s="11">
        <v>24</v>
      </c>
      <c r="C644" s="12" t="s">
        <v>144</v>
      </c>
      <c r="D644" s="13">
        <v>1</v>
      </c>
      <c r="E644" s="13"/>
      <c r="F644" s="13"/>
      <c r="G644" s="13"/>
      <c r="H644" s="14">
        <v>1056.096</v>
      </c>
      <c r="I644" s="14">
        <f t="shared" si="16"/>
        <v>1056.096</v>
      </c>
    </row>
    <row r="645" spans="1:11" s="10" customFormat="1" ht="30" x14ac:dyDescent="0.4">
      <c r="B645" s="11">
        <v>25</v>
      </c>
      <c r="C645" s="12" t="s">
        <v>143</v>
      </c>
      <c r="D645" s="13">
        <v>1</v>
      </c>
      <c r="E645" s="13"/>
      <c r="F645" s="13"/>
      <c r="G645" s="13"/>
      <c r="H645" s="14">
        <v>95.903999999999996</v>
      </c>
      <c r="I645" s="14">
        <f t="shared" si="16"/>
        <v>95.903999999999996</v>
      </c>
    </row>
    <row r="646" spans="1:11" s="10" customFormat="1" ht="30" x14ac:dyDescent="0.4">
      <c r="B646" s="11">
        <v>26</v>
      </c>
      <c r="C646" s="12" t="s">
        <v>141</v>
      </c>
      <c r="D646" s="13">
        <v>1</v>
      </c>
      <c r="E646" s="13"/>
      <c r="F646" s="13"/>
      <c r="G646" s="13"/>
      <c r="H646" s="14">
        <v>54.800000000000004</v>
      </c>
      <c r="I646" s="14">
        <f t="shared" si="16"/>
        <v>54.800000000000004</v>
      </c>
    </row>
    <row r="647" spans="1:11" s="10" customFormat="1" ht="75" x14ac:dyDescent="0.4">
      <c r="B647" s="11">
        <v>27</v>
      </c>
      <c r="C647" s="12" t="s">
        <v>142</v>
      </c>
      <c r="D647" s="13">
        <v>1</v>
      </c>
      <c r="E647" s="13"/>
      <c r="F647" s="13"/>
      <c r="G647" s="13"/>
      <c r="H647" s="14">
        <v>8440</v>
      </c>
      <c r="I647" s="14">
        <f t="shared" si="16"/>
        <v>8440</v>
      </c>
    </row>
    <row r="648" spans="1:11" s="10" customFormat="1" x14ac:dyDescent="0.4">
      <c r="B648" s="15"/>
      <c r="C648" s="16"/>
      <c r="D648" s="17">
        <f>SUM(D621:D647)</f>
        <v>47</v>
      </c>
      <c r="E648" s="45"/>
      <c r="F648" s="45"/>
      <c r="G648" s="45"/>
      <c r="H648" s="9"/>
      <c r="I648" s="18">
        <f>SUM(I621:I647)</f>
        <v>21892.184000000001</v>
      </c>
    </row>
    <row r="649" spans="1:11" customFormat="1" ht="14.65" customHeight="1" x14ac:dyDescent="0.45">
      <c r="A649" s="7"/>
      <c r="C649" s="56"/>
      <c r="D649" s="8"/>
      <c r="E649" s="8"/>
      <c r="F649" s="8"/>
      <c r="G649" s="8"/>
      <c r="H649" s="8"/>
    </row>
    <row r="650" spans="1:11" customFormat="1" ht="14.65" customHeight="1" x14ac:dyDescent="0.45">
      <c r="A650" s="7"/>
      <c r="C650" s="56"/>
      <c r="D650" s="8"/>
      <c r="E650" s="8"/>
      <c r="F650" s="8"/>
      <c r="G650" s="8"/>
      <c r="H650" s="8"/>
    </row>
    <row r="651" spans="1:11" s="10" customFormat="1" ht="15.75" customHeight="1" x14ac:dyDescent="0.4">
      <c r="B651" s="127" t="s">
        <v>441</v>
      </c>
      <c r="C651" s="128"/>
      <c r="D651" s="128"/>
      <c r="E651" s="128"/>
      <c r="F651" s="128"/>
      <c r="G651" s="128"/>
      <c r="H651" s="128"/>
      <c r="I651" s="129"/>
      <c r="K651" s="10" t="s">
        <v>546</v>
      </c>
    </row>
    <row r="652" spans="1:11" s="10" customFormat="1" ht="30" x14ac:dyDescent="0.4">
      <c r="B652" s="51" t="s">
        <v>21</v>
      </c>
      <c r="C652" s="51" t="s">
        <v>20</v>
      </c>
      <c r="D652" s="51" t="s">
        <v>19</v>
      </c>
      <c r="E652" s="51" t="s">
        <v>523</v>
      </c>
      <c r="F652" s="51" t="s">
        <v>524</v>
      </c>
      <c r="G652" s="51" t="s">
        <v>525</v>
      </c>
      <c r="H652" s="52" t="s">
        <v>18</v>
      </c>
      <c r="I652" s="52" t="s">
        <v>17</v>
      </c>
    </row>
    <row r="653" spans="1:11" s="10" customFormat="1" ht="36.75" customHeight="1" x14ac:dyDescent="0.4">
      <c r="B653" s="13">
        <v>1</v>
      </c>
      <c r="C653" s="12" t="s">
        <v>16</v>
      </c>
      <c r="D653" s="22">
        <v>1</v>
      </c>
      <c r="E653" s="55"/>
      <c r="F653" s="55"/>
      <c r="G653" s="55"/>
      <c r="H653" s="49"/>
      <c r="I653" s="14"/>
    </row>
    <row r="654" spans="1:11" s="10" customFormat="1" ht="30" x14ac:dyDescent="0.4">
      <c r="B654" s="13">
        <v>2</v>
      </c>
      <c r="C654" s="12" t="s">
        <v>15</v>
      </c>
      <c r="D654" s="22">
        <v>6</v>
      </c>
      <c r="E654" s="55"/>
      <c r="F654" s="55"/>
      <c r="G654" s="55"/>
      <c r="H654" s="49"/>
      <c r="I654" s="14"/>
    </row>
    <row r="655" spans="1:11" s="10" customFormat="1" ht="30" x14ac:dyDescent="0.4">
      <c r="B655" s="13">
        <v>3</v>
      </c>
      <c r="C655" s="12" t="s">
        <v>14</v>
      </c>
      <c r="D655" s="22">
        <v>2</v>
      </c>
      <c r="E655" s="55"/>
      <c r="F655" s="55"/>
      <c r="G655" s="55"/>
      <c r="H655" s="49"/>
      <c r="I655" s="14"/>
    </row>
    <row r="656" spans="1:11" s="10" customFormat="1" ht="30" x14ac:dyDescent="0.4">
      <c r="B656" s="13">
        <v>4</v>
      </c>
      <c r="C656" s="12" t="s">
        <v>13</v>
      </c>
      <c r="D656" s="22">
        <v>1</v>
      </c>
      <c r="E656" s="55"/>
      <c r="F656" s="55"/>
      <c r="G656" s="55"/>
      <c r="H656" s="49"/>
      <c r="I656" s="14"/>
    </row>
    <row r="657" spans="2:9" s="10" customFormat="1" ht="30" x14ac:dyDescent="0.4">
      <c r="B657" s="13">
        <v>5</v>
      </c>
      <c r="C657" s="12" t="s">
        <v>12</v>
      </c>
      <c r="D657" s="22">
        <v>2</v>
      </c>
      <c r="E657" s="55"/>
      <c r="F657" s="55"/>
      <c r="G657" s="55"/>
      <c r="H657" s="49"/>
      <c r="I657" s="14"/>
    </row>
    <row r="658" spans="2:9" s="10" customFormat="1" ht="30" x14ac:dyDescent="0.4">
      <c r="B658" s="13">
        <v>6</v>
      </c>
      <c r="C658" s="12" t="s">
        <v>11</v>
      </c>
      <c r="D658" s="22">
        <v>2</v>
      </c>
      <c r="E658" s="55"/>
      <c r="F658" s="55"/>
      <c r="G658" s="55"/>
      <c r="H658" s="49"/>
      <c r="I658" s="14"/>
    </row>
    <row r="659" spans="2:9" s="10" customFormat="1" ht="45" x14ac:dyDescent="0.4">
      <c r="B659" s="13">
        <v>7</v>
      </c>
      <c r="C659" s="12" t="s">
        <v>10</v>
      </c>
      <c r="D659" s="22">
        <v>2</v>
      </c>
      <c r="E659" s="55"/>
      <c r="F659" s="55"/>
      <c r="G659" s="55"/>
      <c r="H659" s="49"/>
      <c r="I659" s="14"/>
    </row>
    <row r="660" spans="2:9" s="10" customFormat="1" ht="30" x14ac:dyDescent="0.4">
      <c r="B660" s="13">
        <v>8</v>
      </c>
      <c r="C660" s="12" t="s">
        <v>9</v>
      </c>
      <c r="D660" s="22">
        <v>1</v>
      </c>
      <c r="E660" s="55"/>
      <c r="F660" s="55"/>
      <c r="G660" s="55"/>
      <c r="H660" s="49"/>
      <c r="I660" s="14"/>
    </row>
    <row r="661" spans="2:9" s="10" customFormat="1" ht="30" x14ac:dyDescent="0.4">
      <c r="B661" s="13">
        <v>9</v>
      </c>
      <c r="C661" s="12" t="s">
        <v>8</v>
      </c>
      <c r="D661" s="22">
        <v>1</v>
      </c>
      <c r="E661" s="55"/>
      <c r="F661" s="55"/>
      <c r="G661" s="55"/>
      <c r="H661" s="49"/>
      <c r="I661" s="14"/>
    </row>
    <row r="662" spans="2:9" s="10" customFormat="1" ht="45" x14ac:dyDescent="0.4">
      <c r="B662" s="13">
        <v>10</v>
      </c>
      <c r="C662" s="12" t="s">
        <v>7</v>
      </c>
      <c r="D662" s="22">
        <v>1</v>
      </c>
      <c r="E662" s="55"/>
      <c r="F662" s="55"/>
      <c r="G662" s="55"/>
      <c r="H662" s="49"/>
      <c r="I662" s="14"/>
    </row>
    <row r="663" spans="2:9" s="10" customFormat="1" ht="30" x14ac:dyDescent="0.4">
      <c r="B663" s="13">
        <v>11</v>
      </c>
      <c r="C663" s="12" t="s">
        <v>6</v>
      </c>
      <c r="D663" s="22">
        <v>2</v>
      </c>
      <c r="E663" s="55"/>
      <c r="F663" s="55"/>
      <c r="G663" s="55"/>
      <c r="H663" s="49"/>
      <c r="I663" s="14"/>
    </row>
    <row r="664" spans="2:9" s="10" customFormat="1" ht="31.5" customHeight="1" x14ac:dyDescent="0.4">
      <c r="B664" s="13">
        <v>12</v>
      </c>
      <c r="C664" s="12" t="s">
        <v>5</v>
      </c>
      <c r="D664" s="22">
        <v>4</v>
      </c>
      <c r="E664" s="55"/>
      <c r="F664" s="55"/>
      <c r="G664" s="55"/>
      <c r="H664" s="49"/>
      <c r="I664" s="14"/>
    </row>
    <row r="665" spans="2:9" s="10" customFormat="1" ht="30" x14ac:dyDescent="0.4">
      <c r="B665" s="13">
        <v>13</v>
      </c>
      <c r="C665" s="12" t="s">
        <v>4</v>
      </c>
      <c r="D665" s="22">
        <v>2</v>
      </c>
      <c r="E665" s="55"/>
      <c r="F665" s="55"/>
      <c r="G665" s="55"/>
      <c r="H665" s="49"/>
      <c r="I665" s="14"/>
    </row>
    <row r="666" spans="2:9" s="10" customFormat="1" ht="30" x14ac:dyDescent="0.4">
      <c r="B666" s="13">
        <v>14</v>
      </c>
      <c r="C666" s="12" t="s">
        <v>3</v>
      </c>
      <c r="D666" s="22">
        <v>2</v>
      </c>
      <c r="E666" s="55"/>
      <c r="F666" s="55"/>
      <c r="G666" s="55"/>
      <c r="H666" s="49"/>
      <c r="I666" s="14"/>
    </row>
    <row r="667" spans="2:9" s="10" customFormat="1" ht="30" x14ac:dyDescent="0.4">
      <c r="B667" s="13">
        <v>15</v>
      </c>
      <c r="C667" s="12" t="s">
        <v>2</v>
      </c>
      <c r="D667" s="22">
        <v>2</v>
      </c>
      <c r="E667" s="55"/>
      <c r="F667" s="55"/>
      <c r="G667" s="55"/>
      <c r="H667" s="49"/>
      <c r="I667" s="14"/>
    </row>
    <row r="668" spans="2:9" s="10" customFormat="1" ht="30" x14ac:dyDescent="0.4">
      <c r="B668" s="13">
        <v>16</v>
      </c>
      <c r="C668" s="12" t="s">
        <v>1</v>
      </c>
      <c r="D668" s="22">
        <v>2</v>
      </c>
      <c r="E668" s="55"/>
      <c r="F668" s="55"/>
      <c r="G668" s="55"/>
      <c r="H668" s="49"/>
      <c r="I668" s="14"/>
    </row>
    <row r="669" spans="2:9" s="10" customFormat="1" ht="60" x14ac:dyDescent="0.4">
      <c r="B669" s="13">
        <v>34</v>
      </c>
      <c r="C669" s="12" t="s">
        <v>0</v>
      </c>
      <c r="D669" s="22">
        <v>1</v>
      </c>
      <c r="E669" s="55"/>
      <c r="F669" s="55"/>
      <c r="G669" s="55"/>
      <c r="H669" s="14">
        <v>9400</v>
      </c>
      <c r="I669" s="14">
        <v>8247.6</v>
      </c>
    </row>
    <row r="670" spans="2:9" s="10" customFormat="1" x14ac:dyDescent="0.4">
      <c r="B670" s="44"/>
      <c r="C670" s="43"/>
      <c r="D670" s="50">
        <f>SUM(D653:D669)</f>
        <v>34</v>
      </c>
      <c r="E670" s="50"/>
      <c r="F670" s="50"/>
      <c r="G670" s="50"/>
      <c r="H670" s="18"/>
      <c r="I670" s="18">
        <f>SUM(I653:I669)</f>
        <v>8247.6</v>
      </c>
    </row>
    <row r="671" spans="2:9" s="10" customFormat="1" x14ac:dyDescent="0.4">
      <c r="B671" s="15"/>
      <c r="C671" s="46"/>
      <c r="D671" s="47"/>
      <c r="E671" s="45"/>
      <c r="F671" s="45"/>
      <c r="G671" s="45"/>
      <c r="H671" s="9"/>
      <c r="I671" s="9"/>
    </row>
    <row r="672" spans="2:9" s="10" customFormat="1" ht="15.75" customHeight="1" x14ac:dyDescent="0.4">
      <c r="B672" s="124" t="s">
        <v>459</v>
      </c>
      <c r="C672" s="125"/>
      <c r="D672" s="125"/>
      <c r="E672" s="125"/>
      <c r="F672" s="125"/>
      <c r="G672" s="125"/>
      <c r="H672" s="125"/>
      <c r="I672" s="126"/>
    </row>
    <row r="673" spans="2:9" s="10" customFormat="1" ht="30" x14ac:dyDescent="0.4">
      <c r="B673" s="51" t="s">
        <v>21</v>
      </c>
      <c r="C673" s="51" t="s">
        <v>20</v>
      </c>
      <c r="D673" s="51" t="s">
        <v>19</v>
      </c>
      <c r="E673" s="51" t="s">
        <v>523</v>
      </c>
      <c r="F673" s="51" t="s">
        <v>524</v>
      </c>
      <c r="G673" s="51" t="s">
        <v>525</v>
      </c>
      <c r="H673" s="52" t="s">
        <v>18</v>
      </c>
      <c r="I673" s="52" t="s">
        <v>17</v>
      </c>
    </row>
    <row r="674" spans="2:9" s="10" customFormat="1" ht="30" x14ac:dyDescent="0.4">
      <c r="B674" s="13">
        <v>1</v>
      </c>
      <c r="C674" s="12" t="s">
        <v>54</v>
      </c>
      <c r="D674" s="22">
        <v>2</v>
      </c>
      <c r="E674" s="55"/>
      <c r="F674" s="55"/>
      <c r="G674" s="55"/>
      <c r="H674" s="49">
        <v>279.36</v>
      </c>
      <c r="I674" s="14">
        <f>H674*D674</f>
        <v>558.72</v>
      </c>
    </row>
    <row r="675" spans="2:9" s="10" customFormat="1" x14ac:dyDescent="0.4">
      <c r="B675" s="13">
        <v>2</v>
      </c>
      <c r="C675" s="12" t="s">
        <v>53</v>
      </c>
      <c r="D675" s="22">
        <v>1</v>
      </c>
      <c r="E675" s="55"/>
      <c r="F675" s="55"/>
      <c r="G675" s="55"/>
      <c r="H675" s="49">
        <v>1940.04</v>
      </c>
      <c r="I675" s="14">
        <f t="shared" ref="I675:I707" si="17">H675*D675</f>
        <v>1940.04</v>
      </c>
    </row>
    <row r="676" spans="2:9" s="10" customFormat="1" x14ac:dyDescent="0.4">
      <c r="B676" s="13">
        <v>3</v>
      </c>
      <c r="C676" s="12" t="s">
        <v>52</v>
      </c>
      <c r="D676" s="22">
        <v>1</v>
      </c>
      <c r="E676" s="55"/>
      <c r="F676" s="55"/>
      <c r="G676" s="55"/>
      <c r="H676" s="49">
        <v>1760.376</v>
      </c>
      <c r="I676" s="14">
        <f t="shared" si="17"/>
        <v>1760.376</v>
      </c>
    </row>
    <row r="677" spans="2:9" s="10" customFormat="1" x14ac:dyDescent="0.4">
      <c r="B677" s="13">
        <v>4</v>
      </c>
      <c r="C677" s="12" t="s">
        <v>51</v>
      </c>
      <c r="D677" s="22">
        <v>2</v>
      </c>
      <c r="E677" s="55"/>
      <c r="F677" s="55"/>
      <c r="G677" s="55"/>
      <c r="H677" s="49">
        <v>281.15999999999997</v>
      </c>
      <c r="I677" s="14">
        <f t="shared" si="17"/>
        <v>562.31999999999994</v>
      </c>
    </row>
    <row r="678" spans="2:9" s="10" customFormat="1" ht="30" x14ac:dyDescent="0.4">
      <c r="B678" s="13">
        <v>5</v>
      </c>
      <c r="C678" s="12" t="s">
        <v>50</v>
      </c>
      <c r="D678" s="22">
        <v>2</v>
      </c>
      <c r="E678" s="55"/>
      <c r="F678" s="55"/>
      <c r="G678" s="55"/>
      <c r="H678" s="49">
        <v>279.36</v>
      </c>
      <c r="I678" s="14">
        <f t="shared" si="17"/>
        <v>558.72</v>
      </c>
    </row>
    <row r="679" spans="2:9" s="10" customFormat="1" ht="30" x14ac:dyDescent="0.4">
      <c r="B679" s="13">
        <v>6</v>
      </c>
      <c r="C679" s="12" t="s">
        <v>49</v>
      </c>
      <c r="D679" s="22">
        <v>1</v>
      </c>
      <c r="E679" s="55"/>
      <c r="F679" s="55"/>
      <c r="G679" s="55"/>
      <c r="H679" s="49">
        <v>1177.56</v>
      </c>
      <c r="I679" s="14">
        <f t="shared" si="17"/>
        <v>1177.56</v>
      </c>
    </row>
    <row r="680" spans="2:9" s="10" customFormat="1" x14ac:dyDescent="0.4">
      <c r="B680" s="13">
        <v>7</v>
      </c>
      <c r="C680" s="12" t="s">
        <v>48</v>
      </c>
      <c r="D680" s="22">
        <v>1</v>
      </c>
      <c r="E680" s="55"/>
      <c r="F680" s="55"/>
      <c r="G680" s="55"/>
      <c r="H680" s="49">
        <v>146.88</v>
      </c>
      <c r="I680" s="14">
        <f t="shared" si="17"/>
        <v>146.88</v>
      </c>
    </row>
    <row r="681" spans="2:9" s="10" customFormat="1" ht="30" x14ac:dyDescent="0.4">
      <c r="B681" s="13">
        <v>8</v>
      </c>
      <c r="C681" s="12" t="s">
        <v>47</v>
      </c>
      <c r="D681" s="22">
        <v>1</v>
      </c>
      <c r="E681" s="55"/>
      <c r="F681" s="55"/>
      <c r="G681" s="55"/>
      <c r="H681" s="49">
        <v>496.8</v>
      </c>
      <c r="I681" s="14">
        <f t="shared" si="17"/>
        <v>496.8</v>
      </c>
    </row>
    <row r="682" spans="2:9" s="10" customFormat="1" ht="30" x14ac:dyDescent="0.4">
      <c r="B682" s="13">
        <v>9</v>
      </c>
      <c r="C682" s="12" t="s">
        <v>46</v>
      </c>
      <c r="D682" s="22">
        <v>1</v>
      </c>
      <c r="E682" s="55"/>
      <c r="F682" s="55"/>
      <c r="G682" s="55"/>
      <c r="H682" s="49">
        <v>496.8</v>
      </c>
      <c r="I682" s="14">
        <f t="shared" si="17"/>
        <v>496.8</v>
      </c>
    </row>
    <row r="683" spans="2:9" s="10" customFormat="1" ht="30" x14ac:dyDescent="0.4">
      <c r="B683" s="13">
        <v>10</v>
      </c>
      <c r="C683" s="12" t="s">
        <v>45</v>
      </c>
      <c r="D683" s="22">
        <v>1</v>
      </c>
      <c r="E683" s="55"/>
      <c r="F683" s="55"/>
      <c r="G683" s="55"/>
      <c r="H683" s="49">
        <v>205.56</v>
      </c>
      <c r="I683" s="14">
        <f t="shared" si="17"/>
        <v>205.56</v>
      </c>
    </row>
    <row r="684" spans="2:9" s="10" customFormat="1" x14ac:dyDescent="0.4">
      <c r="B684" s="13">
        <v>11</v>
      </c>
      <c r="C684" s="12" t="s">
        <v>44</v>
      </c>
      <c r="D684" s="22">
        <v>1</v>
      </c>
      <c r="E684" s="55"/>
      <c r="F684" s="55"/>
      <c r="G684" s="55"/>
      <c r="H684" s="49">
        <v>97.2</v>
      </c>
      <c r="I684" s="14">
        <f t="shared" si="17"/>
        <v>97.2</v>
      </c>
    </row>
    <row r="685" spans="2:9" s="10" customFormat="1" x14ac:dyDescent="0.4">
      <c r="B685" s="13">
        <v>12</v>
      </c>
      <c r="C685" s="12" t="s">
        <v>43</v>
      </c>
      <c r="D685" s="22">
        <v>4</v>
      </c>
      <c r="E685" s="55"/>
      <c r="F685" s="55"/>
      <c r="G685" s="55"/>
      <c r="H685" s="49">
        <v>213.12</v>
      </c>
      <c r="I685" s="14">
        <f t="shared" si="17"/>
        <v>852.48</v>
      </c>
    </row>
    <row r="686" spans="2:9" s="10" customFormat="1" ht="30" x14ac:dyDescent="0.4">
      <c r="B686" s="13">
        <v>13</v>
      </c>
      <c r="C686" s="12" t="s">
        <v>42</v>
      </c>
      <c r="D686" s="22">
        <v>2</v>
      </c>
      <c r="E686" s="55"/>
      <c r="F686" s="55"/>
      <c r="G686" s="55"/>
      <c r="H686" s="49">
        <v>130.68</v>
      </c>
      <c r="I686" s="14">
        <f t="shared" si="17"/>
        <v>261.36</v>
      </c>
    </row>
    <row r="687" spans="2:9" s="10" customFormat="1" ht="30" x14ac:dyDescent="0.4">
      <c r="B687" s="13">
        <v>14</v>
      </c>
      <c r="C687" s="12" t="s">
        <v>41</v>
      </c>
      <c r="D687" s="22">
        <v>2</v>
      </c>
      <c r="E687" s="55"/>
      <c r="F687" s="55"/>
      <c r="G687" s="55"/>
      <c r="H687" s="49">
        <v>126.35999999999999</v>
      </c>
      <c r="I687" s="14">
        <f t="shared" si="17"/>
        <v>252.71999999999997</v>
      </c>
    </row>
    <row r="688" spans="2:9" s="10" customFormat="1" x14ac:dyDescent="0.4">
      <c r="B688" s="13">
        <v>15</v>
      </c>
      <c r="C688" s="12" t="s">
        <v>40</v>
      </c>
      <c r="D688" s="22">
        <v>6</v>
      </c>
      <c r="E688" s="55"/>
      <c r="F688" s="55"/>
      <c r="G688" s="55"/>
      <c r="H688" s="49">
        <v>113.4</v>
      </c>
      <c r="I688" s="14">
        <f t="shared" si="17"/>
        <v>680.40000000000009</v>
      </c>
    </row>
    <row r="689" spans="2:9" s="10" customFormat="1" x14ac:dyDescent="0.4">
      <c r="B689" s="13">
        <v>16</v>
      </c>
      <c r="C689" s="12" t="s">
        <v>39</v>
      </c>
      <c r="D689" s="22">
        <v>1</v>
      </c>
      <c r="E689" s="55"/>
      <c r="F689" s="55"/>
      <c r="G689" s="55"/>
      <c r="H689" s="49">
        <v>566.64</v>
      </c>
      <c r="I689" s="14">
        <f t="shared" si="17"/>
        <v>566.64</v>
      </c>
    </row>
    <row r="690" spans="2:9" s="10" customFormat="1" x14ac:dyDescent="0.4">
      <c r="B690" s="13">
        <v>17</v>
      </c>
      <c r="C690" s="12" t="s">
        <v>38</v>
      </c>
      <c r="D690" s="22">
        <v>1</v>
      </c>
      <c r="E690" s="55"/>
      <c r="F690" s="55"/>
      <c r="G690" s="55"/>
      <c r="H690" s="49">
        <v>136.12</v>
      </c>
      <c r="I690" s="14">
        <f t="shared" si="17"/>
        <v>136.12</v>
      </c>
    </row>
    <row r="691" spans="2:9" s="10" customFormat="1" ht="30" x14ac:dyDescent="0.4">
      <c r="B691" s="13">
        <v>18</v>
      </c>
      <c r="C691" s="12" t="s">
        <v>37</v>
      </c>
      <c r="D691" s="22">
        <v>6</v>
      </c>
      <c r="E691" s="55"/>
      <c r="F691" s="55"/>
      <c r="G691" s="55"/>
      <c r="H691" s="49">
        <v>142.56</v>
      </c>
      <c r="I691" s="14">
        <f t="shared" si="17"/>
        <v>855.36</v>
      </c>
    </row>
    <row r="692" spans="2:9" s="10" customFormat="1" x14ac:dyDescent="0.4">
      <c r="B692" s="13">
        <v>19</v>
      </c>
      <c r="C692" s="12" t="s">
        <v>36</v>
      </c>
      <c r="D692" s="22">
        <v>6</v>
      </c>
      <c r="E692" s="55"/>
      <c r="F692" s="55"/>
      <c r="G692" s="55"/>
      <c r="H692" s="49">
        <v>139.68</v>
      </c>
      <c r="I692" s="14">
        <f t="shared" si="17"/>
        <v>838.08</v>
      </c>
    </row>
    <row r="693" spans="2:9" s="10" customFormat="1" ht="30" x14ac:dyDescent="0.4">
      <c r="B693" s="13">
        <v>20</v>
      </c>
      <c r="C693" s="12" t="s">
        <v>35</v>
      </c>
      <c r="D693" s="22">
        <v>2</v>
      </c>
      <c r="E693" s="55"/>
      <c r="F693" s="55"/>
      <c r="G693" s="55"/>
      <c r="H693" s="49">
        <v>156.96</v>
      </c>
      <c r="I693" s="14">
        <f t="shared" si="17"/>
        <v>313.92</v>
      </c>
    </row>
    <row r="694" spans="2:9" s="10" customFormat="1" ht="30" x14ac:dyDescent="0.4">
      <c r="B694" s="13">
        <v>21</v>
      </c>
      <c r="C694" s="12" t="s">
        <v>34</v>
      </c>
      <c r="D694" s="22">
        <v>2</v>
      </c>
      <c r="E694" s="55"/>
      <c r="F694" s="55"/>
      <c r="G694" s="55"/>
      <c r="H694" s="49">
        <v>154.08000000000001</v>
      </c>
      <c r="I694" s="14">
        <f t="shared" si="17"/>
        <v>308.16000000000003</v>
      </c>
    </row>
    <row r="695" spans="2:9" s="10" customFormat="1" x14ac:dyDescent="0.4">
      <c r="B695" s="13">
        <v>22</v>
      </c>
      <c r="C695" s="12" t="s">
        <v>33</v>
      </c>
      <c r="D695" s="22">
        <v>4</v>
      </c>
      <c r="E695" s="55"/>
      <c r="F695" s="55"/>
      <c r="G695" s="55"/>
      <c r="H695" s="49">
        <v>116.28</v>
      </c>
      <c r="I695" s="14">
        <f t="shared" si="17"/>
        <v>465.12</v>
      </c>
    </row>
    <row r="696" spans="2:9" s="10" customFormat="1" x14ac:dyDescent="0.4">
      <c r="B696" s="13">
        <v>23</v>
      </c>
      <c r="C696" s="12" t="s">
        <v>32</v>
      </c>
      <c r="D696" s="22">
        <v>4</v>
      </c>
      <c r="E696" s="55"/>
      <c r="F696" s="55"/>
      <c r="G696" s="55"/>
      <c r="H696" s="49">
        <v>113.4</v>
      </c>
      <c r="I696" s="14">
        <f t="shared" si="17"/>
        <v>453.6</v>
      </c>
    </row>
    <row r="697" spans="2:9" s="10" customFormat="1" x14ac:dyDescent="0.4">
      <c r="B697" s="13">
        <v>24</v>
      </c>
      <c r="C697" s="12" t="s">
        <v>31</v>
      </c>
      <c r="D697" s="22">
        <v>1</v>
      </c>
      <c r="E697" s="55"/>
      <c r="F697" s="55"/>
      <c r="G697" s="55"/>
      <c r="H697" s="49">
        <v>230.03999999999996</v>
      </c>
      <c r="I697" s="14">
        <f t="shared" si="17"/>
        <v>230.03999999999996</v>
      </c>
    </row>
    <row r="698" spans="2:9" s="10" customFormat="1" x14ac:dyDescent="0.4">
      <c r="B698" s="13">
        <v>25</v>
      </c>
      <c r="C698" s="12" t="s">
        <v>30</v>
      </c>
      <c r="D698" s="22">
        <v>1</v>
      </c>
      <c r="E698" s="55"/>
      <c r="F698" s="55"/>
      <c r="G698" s="55"/>
      <c r="H698" s="49">
        <v>171.71999999999997</v>
      </c>
      <c r="I698" s="14">
        <f t="shared" si="17"/>
        <v>171.71999999999997</v>
      </c>
    </row>
    <row r="699" spans="2:9" s="10" customFormat="1" x14ac:dyDescent="0.4">
      <c r="B699" s="13">
        <v>26</v>
      </c>
      <c r="C699" s="12" t="s">
        <v>29</v>
      </c>
      <c r="D699" s="22">
        <v>1</v>
      </c>
      <c r="E699" s="55"/>
      <c r="F699" s="55"/>
      <c r="G699" s="55"/>
      <c r="H699" s="49">
        <v>192.24</v>
      </c>
      <c r="I699" s="14">
        <f t="shared" si="17"/>
        <v>192.24</v>
      </c>
    </row>
    <row r="700" spans="2:9" s="10" customFormat="1" ht="30" x14ac:dyDescent="0.4">
      <c r="B700" s="13">
        <v>27</v>
      </c>
      <c r="C700" s="12" t="s">
        <v>28</v>
      </c>
      <c r="D700" s="22">
        <v>1</v>
      </c>
      <c r="E700" s="55"/>
      <c r="F700" s="55"/>
      <c r="G700" s="55"/>
      <c r="H700" s="49">
        <v>231.84</v>
      </c>
      <c r="I700" s="14">
        <f t="shared" si="17"/>
        <v>231.84</v>
      </c>
    </row>
    <row r="701" spans="2:9" s="10" customFormat="1" ht="30" x14ac:dyDescent="0.4">
      <c r="B701" s="13">
        <v>28</v>
      </c>
      <c r="C701" s="12" t="s">
        <v>27</v>
      </c>
      <c r="D701" s="22">
        <v>1</v>
      </c>
      <c r="E701" s="55"/>
      <c r="F701" s="55"/>
      <c r="G701" s="55"/>
      <c r="H701" s="49">
        <v>231.84</v>
      </c>
      <c r="I701" s="14">
        <f t="shared" si="17"/>
        <v>231.84</v>
      </c>
    </row>
    <row r="702" spans="2:9" s="10" customFormat="1" ht="30" x14ac:dyDescent="0.4">
      <c r="B702" s="13">
        <v>29</v>
      </c>
      <c r="C702" s="12" t="s">
        <v>26</v>
      </c>
      <c r="D702" s="22">
        <v>1</v>
      </c>
      <c r="E702" s="55"/>
      <c r="F702" s="55"/>
      <c r="G702" s="55"/>
      <c r="H702" s="49">
        <v>335.16000000000008</v>
      </c>
      <c r="I702" s="14">
        <f t="shared" si="17"/>
        <v>335.16000000000008</v>
      </c>
    </row>
    <row r="703" spans="2:9" s="10" customFormat="1" ht="30" x14ac:dyDescent="0.4">
      <c r="B703" s="13">
        <v>30</v>
      </c>
      <c r="C703" s="12" t="s">
        <v>25</v>
      </c>
      <c r="D703" s="22">
        <v>1</v>
      </c>
      <c r="E703" s="55"/>
      <c r="F703" s="55"/>
      <c r="G703" s="55"/>
      <c r="H703" s="49">
        <v>135.35999999999999</v>
      </c>
      <c r="I703" s="14">
        <f t="shared" si="17"/>
        <v>135.35999999999999</v>
      </c>
    </row>
    <row r="704" spans="2:9" s="10" customFormat="1" ht="30" x14ac:dyDescent="0.4">
      <c r="B704" s="13">
        <v>31</v>
      </c>
      <c r="C704" s="12" t="s">
        <v>24</v>
      </c>
      <c r="D704" s="22">
        <v>1</v>
      </c>
      <c r="E704" s="55"/>
      <c r="F704" s="55"/>
      <c r="G704" s="55"/>
      <c r="H704" s="49">
        <v>131.76</v>
      </c>
      <c r="I704" s="14">
        <f t="shared" si="17"/>
        <v>131.76</v>
      </c>
    </row>
    <row r="705" spans="2:9" s="10" customFormat="1" ht="30" x14ac:dyDescent="0.4">
      <c r="B705" s="13">
        <v>32</v>
      </c>
      <c r="C705" s="12" t="s">
        <v>23</v>
      </c>
      <c r="D705" s="22">
        <v>1</v>
      </c>
      <c r="E705" s="55"/>
      <c r="F705" s="55"/>
      <c r="G705" s="55"/>
      <c r="H705" s="49">
        <v>161.28</v>
      </c>
      <c r="I705" s="14">
        <f t="shared" si="17"/>
        <v>161.28</v>
      </c>
    </row>
    <row r="706" spans="2:9" s="10" customFormat="1" ht="30" x14ac:dyDescent="0.4">
      <c r="B706" s="13">
        <v>33</v>
      </c>
      <c r="C706" s="12" t="s">
        <v>22</v>
      </c>
      <c r="D706" s="22">
        <v>1</v>
      </c>
      <c r="E706" s="55"/>
      <c r="F706" s="55"/>
      <c r="G706" s="55"/>
      <c r="H706" s="49">
        <v>164.15999999999997</v>
      </c>
      <c r="I706" s="14">
        <f t="shared" si="17"/>
        <v>164.15999999999997</v>
      </c>
    </row>
    <row r="707" spans="2:9" s="10" customFormat="1" ht="60" x14ac:dyDescent="0.4">
      <c r="B707" s="13">
        <v>34</v>
      </c>
      <c r="C707" s="12" t="s">
        <v>0</v>
      </c>
      <c r="D707" s="22">
        <v>1</v>
      </c>
      <c r="E707" s="55"/>
      <c r="F707" s="55"/>
      <c r="G707" s="55"/>
      <c r="H707" s="14">
        <v>9400</v>
      </c>
      <c r="I707" s="14">
        <f t="shared" si="17"/>
        <v>9400</v>
      </c>
    </row>
    <row r="708" spans="2:9" s="10" customFormat="1" x14ac:dyDescent="0.4">
      <c r="B708" s="44"/>
      <c r="C708" s="43"/>
      <c r="D708" s="50">
        <f>SUM(D674:D707)</f>
        <v>65</v>
      </c>
      <c r="E708" s="50"/>
      <c r="F708" s="50"/>
      <c r="G708" s="50"/>
      <c r="H708" s="18"/>
      <c r="I708" s="18">
        <f>SUM(I674:I707)</f>
        <v>25370.336000000003</v>
      </c>
    </row>
    <row r="709" spans="2:9" s="10" customFormat="1" x14ac:dyDescent="0.4">
      <c r="B709" s="15"/>
      <c r="C709" s="46"/>
      <c r="D709" s="47"/>
      <c r="E709" s="45"/>
      <c r="F709" s="45"/>
      <c r="G709" s="45"/>
      <c r="H709" s="9"/>
      <c r="I709" s="9"/>
    </row>
    <row r="710" spans="2:9" s="10" customFormat="1" ht="15.75" customHeight="1" x14ac:dyDescent="0.4">
      <c r="B710" s="124" t="s">
        <v>458</v>
      </c>
      <c r="C710" s="125"/>
      <c r="D710" s="125"/>
      <c r="E710" s="125"/>
      <c r="F710" s="125"/>
      <c r="G710" s="125"/>
      <c r="H710" s="125"/>
      <c r="I710" s="126"/>
    </row>
    <row r="711" spans="2:9" s="10" customFormat="1" ht="30" x14ac:dyDescent="0.4">
      <c r="B711" s="51" t="s">
        <v>21</v>
      </c>
      <c r="C711" s="51" t="s">
        <v>20</v>
      </c>
      <c r="D711" s="51" t="s">
        <v>19</v>
      </c>
      <c r="E711" s="51" t="s">
        <v>523</v>
      </c>
      <c r="F711" s="51" t="s">
        <v>524</v>
      </c>
      <c r="G711" s="51" t="s">
        <v>525</v>
      </c>
      <c r="H711" s="52" t="s">
        <v>18</v>
      </c>
      <c r="I711" s="52" t="s">
        <v>17</v>
      </c>
    </row>
    <row r="712" spans="2:9" s="10" customFormat="1" ht="30" x14ac:dyDescent="0.4">
      <c r="B712" s="11">
        <v>1</v>
      </c>
      <c r="C712" s="12" t="s">
        <v>108</v>
      </c>
      <c r="D712" s="13">
        <v>1</v>
      </c>
      <c r="E712" s="13"/>
      <c r="F712" s="13"/>
      <c r="G712" s="13"/>
      <c r="H712" s="14">
        <v>985.32000000000016</v>
      </c>
      <c r="I712" s="14">
        <f>H712*D712</f>
        <v>985.32000000000016</v>
      </c>
    </row>
    <row r="713" spans="2:9" s="10" customFormat="1" ht="30" x14ac:dyDescent="0.4">
      <c r="B713" s="11">
        <v>2</v>
      </c>
      <c r="C713" s="12" t="s">
        <v>107</v>
      </c>
      <c r="D713" s="13">
        <v>2</v>
      </c>
      <c r="E713" s="13"/>
      <c r="F713" s="13"/>
      <c r="G713" s="13"/>
      <c r="H713" s="14">
        <v>281.15999999999997</v>
      </c>
      <c r="I713" s="14">
        <f t="shared" ref="I713:I751" si="18">H713*D713</f>
        <v>562.31999999999994</v>
      </c>
    </row>
    <row r="714" spans="2:9" s="10" customFormat="1" x14ac:dyDescent="0.4">
      <c r="B714" s="11">
        <v>3</v>
      </c>
      <c r="C714" s="12" t="s">
        <v>76</v>
      </c>
      <c r="D714" s="13">
        <v>3</v>
      </c>
      <c r="E714" s="13"/>
      <c r="F714" s="13"/>
      <c r="G714" s="13"/>
      <c r="H714" s="14">
        <v>83.52000000000001</v>
      </c>
      <c r="I714" s="14">
        <f t="shared" si="18"/>
        <v>250.56000000000003</v>
      </c>
    </row>
    <row r="715" spans="2:9" s="10" customFormat="1" x14ac:dyDescent="0.4">
      <c r="B715" s="11">
        <v>4</v>
      </c>
      <c r="C715" s="12" t="s">
        <v>106</v>
      </c>
      <c r="D715" s="13">
        <v>2</v>
      </c>
      <c r="E715" s="13"/>
      <c r="F715" s="13"/>
      <c r="G715" s="13"/>
      <c r="H715" s="14">
        <v>189.36</v>
      </c>
      <c r="I715" s="14">
        <f t="shared" si="18"/>
        <v>378.72</v>
      </c>
    </row>
    <row r="716" spans="2:9" s="10" customFormat="1" ht="30" x14ac:dyDescent="0.4">
      <c r="B716" s="11">
        <v>5</v>
      </c>
      <c r="C716" s="12" t="s">
        <v>105</v>
      </c>
      <c r="D716" s="13">
        <v>2</v>
      </c>
      <c r="E716" s="13"/>
      <c r="F716" s="13"/>
      <c r="G716" s="13"/>
      <c r="H716" s="14">
        <v>1345.3199999999997</v>
      </c>
      <c r="I716" s="14">
        <f t="shared" si="18"/>
        <v>2690.6399999999994</v>
      </c>
    </row>
    <row r="717" spans="2:9" s="10" customFormat="1" ht="45" x14ac:dyDescent="0.4">
      <c r="B717" s="11">
        <v>6</v>
      </c>
      <c r="C717" s="12" t="s">
        <v>104</v>
      </c>
      <c r="D717" s="13">
        <v>2</v>
      </c>
      <c r="E717" s="13"/>
      <c r="F717" s="13"/>
      <c r="G717" s="13"/>
      <c r="H717" s="14">
        <v>210.6</v>
      </c>
      <c r="I717" s="14">
        <f t="shared" si="18"/>
        <v>421.2</v>
      </c>
    </row>
    <row r="718" spans="2:9" s="10" customFormat="1" x14ac:dyDescent="0.4">
      <c r="B718" s="11">
        <v>7</v>
      </c>
      <c r="C718" s="12" t="s">
        <v>103</v>
      </c>
      <c r="D718" s="13">
        <v>2</v>
      </c>
      <c r="E718" s="13"/>
      <c r="F718" s="13"/>
      <c r="G718" s="13"/>
      <c r="H718" s="14">
        <v>158.4</v>
      </c>
      <c r="I718" s="14">
        <f t="shared" si="18"/>
        <v>316.8</v>
      </c>
    </row>
    <row r="719" spans="2:9" s="10" customFormat="1" x14ac:dyDescent="0.4">
      <c r="B719" s="11">
        <v>8</v>
      </c>
      <c r="C719" s="12" t="s">
        <v>102</v>
      </c>
      <c r="D719" s="13">
        <v>2</v>
      </c>
      <c r="E719" s="13"/>
      <c r="F719" s="13"/>
      <c r="G719" s="13"/>
      <c r="H719" s="14">
        <v>177.69599999999997</v>
      </c>
      <c r="I719" s="14">
        <f t="shared" si="18"/>
        <v>355.39199999999994</v>
      </c>
    </row>
    <row r="720" spans="2:9" s="10" customFormat="1" ht="30" x14ac:dyDescent="0.4">
      <c r="B720" s="11">
        <v>9</v>
      </c>
      <c r="C720" s="12" t="s">
        <v>77</v>
      </c>
      <c r="D720" s="13">
        <v>1</v>
      </c>
      <c r="E720" s="13"/>
      <c r="F720" s="13"/>
      <c r="G720" s="13"/>
      <c r="H720" s="14">
        <v>74.88000000000001</v>
      </c>
      <c r="I720" s="14">
        <f t="shared" si="18"/>
        <v>74.88000000000001</v>
      </c>
    </row>
    <row r="721" spans="2:9" s="10" customFormat="1" x14ac:dyDescent="0.4">
      <c r="B721" s="11">
        <v>10</v>
      </c>
      <c r="C721" s="12" t="s">
        <v>78</v>
      </c>
      <c r="D721" s="13">
        <v>1</v>
      </c>
      <c r="E721" s="13"/>
      <c r="F721" s="13"/>
      <c r="G721" s="13"/>
      <c r="H721" s="14">
        <v>46.44</v>
      </c>
      <c r="I721" s="14">
        <f t="shared" si="18"/>
        <v>46.44</v>
      </c>
    </row>
    <row r="722" spans="2:9" s="10" customFormat="1" x14ac:dyDescent="0.4">
      <c r="B722" s="11">
        <v>11</v>
      </c>
      <c r="C722" s="12" t="s">
        <v>101</v>
      </c>
      <c r="D722" s="13">
        <v>1</v>
      </c>
      <c r="E722" s="13"/>
      <c r="F722" s="13"/>
      <c r="G722" s="13"/>
      <c r="H722" s="14">
        <v>763.56000000000006</v>
      </c>
      <c r="I722" s="14">
        <f t="shared" si="18"/>
        <v>763.56000000000006</v>
      </c>
    </row>
    <row r="723" spans="2:9" s="10" customFormat="1" x14ac:dyDescent="0.4">
      <c r="B723" s="11">
        <v>12</v>
      </c>
      <c r="C723" s="12" t="s">
        <v>100</v>
      </c>
      <c r="D723" s="13">
        <v>1</v>
      </c>
      <c r="E723" s="13"/>
      <c r="F723" s="13"/>
      <c r="G723" s="13"/>
      <c r="H723" s="14">
        <v>146.88</v>
      </c>
      <c r="I723" s="14">
        <f t="shared" si="18"/>
        <v>146.88</v>
      </c>
    </row>
    <row r="724" spans="2:9" s="10" customFormat="1" ht="30" x14ac:dyDescent="0.4">
      <c r="B724" s="11">
        <v>13</v>
      </c>
      <c r="C724" s="12" t="s">
        <v>99</v>
      </c>
      <c r="D724" s="13">
        <v>1</v>
      </c>
      <c r="E724" s="13"/>
      <c r="F724" s="13"/>
      <c r="G724" s="13"/>
      <c r="H724" s="14">
        <v>297.35999999999996</v>
      </c>
      <c r="I724" s="14">
        <f t="shared" si="18"/>
        <v>297.35999999999996</v>
      </c>
    </row>
    <row r="725" spans="2:9" s="10" customFormat="1" ht="30" x14ac:dyDescent="0.4">
      <c r="B725" s="11">
        <v>14</v>
      </c>
      <c r="C725" s="12" t="s">
        <v>98</v>
      </c>
      <c r="D725" s="13">
        <v>1</v>
      </c>
      <c r="E725" s="13"/>
      <c r="F725" s="13"/>
      <c r="G725" s="13"/>
      <c r="H725" s="14">
        <v>297.35999999999996</v>
      </c>
      <c r="I725" s="14">
        <f t="shared" si="18"/>
        <v>297.35999999999996</v>
      </c>
    </row>
    <row r="726" spans="2:9" s="10" customFormat="1" ht="30" x14ac:dyDescent="0.4">
      <c r="B726" s="11">
        <v>16</v>
      </c>
      <c r="C726" s="12" t="s">
        <v>97</v>
      </c>
      <c r="D726" s="13">
        <v>2</v>
      </c>
      <c r="E726" s="13"/>
      <c r="F726" s="13"/>
      <c r="G726" s="13"/>
      <c r="H726" s="14">
        <v>165.96</v>
      </c>
      <c r="I726" s="14">
        <f t="shared" si="18"/>
        <v>331.92</v>
      </c>
    </row>
    <row r="727" spans="2:9" s="10" customFormat="1" ht="45" x14ac:dyDescent="0.4">
      <c r="B727" s="11">
        <v>17</v>
      </c>
      <c r="C727" s="12" t="s">
        <v>96</v>
      </c>
      <c r="D727" s="13">
        <v>1</v>
      </c>
      <c r="E727" s="13"/>
      <c r="F727" s="13"/>
      <c r="G727" s="13"/>
      <c r="H727" s="14">
        <v>189.36</v>
      </c>
      <c r="I727" s="14">
        <f t="shared" si="18"/>
        <v>189.36</v>
      </c>
    </row>
    <row r="728" spans="2:9" s="10" customFormat="1" ht="30" x14ac:dyDescent="0.4">
      <c r="B728" s="11">
        <v>18</v>
      </c>
      <c r="C728" s="12" t="s">
        <v>95</v>
      </c>
      <c r="D728" s="13">
        <v>1</v>
      </c>
      <c r="E728" s="13"/>
      <c r="F728" s="13"/>
      <c r="G728" s="13"/>
      <c r="H728" s="14">
        <v>864</v>
      </c>
      <c r="I728" s="14">
        <f t="shared" si="18"/>
        <v>864</v>
      </c>
    </row>
    <row r="729" spans="2:9" s="10" customFormat="1" ht="30" x14ac:dyDescent="0.4">
      <c r="B729" s="11">
        <v>19</v>
      </c>
      <c r="C729" s="12" t="s">
        <v>94</v>
      </c>
      <c r="D729" s="13">
        <v>1</v>
      </c>
      <c r="E729" s="13"/>
      <c r="F729" s="13"/>
      <c r="G729" s="13"/>
      <c r="H729" s="14">
        <v>134.49600000000001</v>
      </c>
      <c r="I729" s="14">
        <f t="shared" si="18"/>
        <v>134.49600000000001</v>
      </c>
    </row>
    <row r="730" spans="2:9" s="10" customFormat="1" ht="30" x14ac:dyDescent="0.4">
      <c r="B730" s="11">
        <v>20</v>
      </c>
      <c r="C730" s="12" t="s">
        <v>93</v>
      </c>
      <c r="D730" s="13">
        <v>1</v>
      </c>
      <c r="E730" s="13"/>
      <c r="F730" s="13"/>
      <c r="G730" s="13"/>
      <c r="H730" s="14">
        <v>134.49600000000001</v>
      </c>
      <c r="I730" s="14">
        <f t="shared" si="18"/>
        <v>134.49600000000001</v>
      </c>
    </row>
    <row r="731" spans="2:9" s="10" customFormat="1" ht="30" x14ac:dyDescent="0.4">
      <c r="B731" s="11">
        <v>21</v>
      </c>
      <c r="C731" s="12" t="s">
        <v>71</v>
      </c>
      <c r="D731" s="13">
        <v>1</v>
      </c>
      <c r="E731" s="13"/>
      <c r="F731" s="13"/>
      <c r="G731" s="13"/>
      <c r="H731" s="14">
        <v>97.2</v>
      </c>
      <c r="I731" s="14">
        <f t="shared" si="18"/>
        <v>97.2</v>
      </c>
    </row>
    <row r="732" spans="2:9" s="10" customFormat="1" ht="30" x14ac:dyDescent="0.4">
      <c r="B732" s="11">
        <v>22</v>
      </c>
      <c r="C732" s="12" t="s">
        <v>69</v>
      </c>
      <c r="D732" s="13">
        <v>1</v>
      </c>
      <c r="E732" s="13"/>
      <c r="F732" s="13"/>
      <c r="G732" s="13"/>
      <c r="H732" s="14">
        <v>93.96</v>
      </c>
      <c r="I732" s="14">
        <f t="shared" si="18"/>
        <v>93.96</v>
      </c>
    </row>
    <row r="733" spans="2:9" s="10" customFormat="1" x14ac:dyDescent="0.4">
      <c r="B733" s="11">
        <v>23</v>
      </c>
      <c r="C733" s="12" t="s">
        <v>72</v>
      </c>
      <c r="D733" s="13">
        <v>2</v>
      </c>
      <c r="E733" s="13"/>
      <c r="F733" s="13"/>
      <c r="G733" s="13"/>
      <c r="H733" s="14">
        <v>213.12</v>
      </c>
      <c r="I733" s="14">
        <f t="shared" si="18"/>
        <v>426.24</v>
      </c>
    </row>
    <row r="734" spans="2:9" s="10" customFormat="1" x14ac:dyDescent="0.4">
      <c r="B734" s="11">
        <v>24</v>
      </c>
      <c r="C734" s="12" t="s">
        <v>92</v>
      </c>
      <c r="D734" s="13">
        <v>4</v>
      </c>
      <c r="E734" s="13"/>
      <c r="F734" s="13"/>
      <c r="G734" s="13"/>
      <c r="H734" s="14">
        <v>113.4</v>
      </c>
      <c r="I734" s="14">
        <f t="shared" si="18"/>
        <v>453.6</v>
      </c>
    </row>
    <row r="735" spans="2:9" s="10" customFormat="1" ht="30" x14ac:dyDescent="0.4">
      <c r="B735" s="11">
        <v>25</v>
      </c>
      <c r="C735" s="12" t="s">
        <v>66</v>
      </c>
      <c r="D735" s="13">
        <v>6</v>
      </c>
      <c r="E735" s="13"/>
      <c r="F735" s="13"/>
      <c r="G735" s="13"/>
      <c r="H735" s="14">
        <v>116.28</v>
      </c>
      <c r="I735" s="14">
        <f t="shared" si="18"/>
        <v>697.68000000000006</v>
      </c>
    </row>
    <row r="736" spans="2:9" s="10" customFormat="1" ht="30" x14ac:dyDescent="0.4">
      <c r="B736" s="11">
        <v>26</v>
      </c>
      <c r="C736" s="12" t="s">
        <v>65</v>
      </c>
      <c r="D736" s="13">
        <v>6</v>
      </c>
      <c r="E736" s="13"/>
      <c r="F736" s="13"/>
      <c r="G736" s="13"/>
      <c r="H736" s="14">
        <v>113.4</v>
      </c>
      <c r="I736" s="14">
        <f t="shared" si="18"/>
        <v>680.40000000000009</v>
      </c>
    </row>
    <row r="737" spans="2:9" s="10" customFormat="1" ht="30" x14ac:dyDescent="0.4">
      <c r="B737" s="11">
        <v>27</v>
      </c>
      <c r="C737" s="12" t="s">
        <v>91</v>
      </c>
      <c r="D737" s="13">
        <v>1</v>
      </c>
      <c r="E737" s="13"/>
      <c r="F737" s="13"/>
      <c r="G737" s="13"/>
      <c r="H737" s="14">
        <v>87.12</v>
      </c>
      <c r="I737" s="14">
        <f t="shared" si="18"/>
        <v>87.12</v>
      </c>
    </row>
    <row r="738" spans="2:9" s="10" customFormat="1" x14ac:dyDescent="0.4">
      <c r="B738" s="11">
        <v>28</v>
      </c>
      <c r="C738" s="12" t="s">
        <v>64</v>
      </c>
      <c r="D738" s="13">
        <v>6</v>
      </c>
      <c r="E738" s="13"/>
      <c r="F738" s="13"/>
      <c r="G738" s="13"/>
      <c r="H738" s="14">
        <v>116.28</v>
      </c>
      <c r="I738" s="14">
        <f t="shared" si="18"/>
        <v>697.68000000000006</v>
      </c>
    </row>
    <row r="739" spans="2:9" s="10" customFormat="1" ht="30" x14ac:dyDescent="0.4">
      <c r="B739" s="11">
        <v>29</v>
      </c>
      <c r="C739" s="12" t="s">
        <v>62</v>
      </c>
      <c r="D739" s="13">
        <v>2</v>
      </c>
      <c r="E739" s="13"/>
      <c r="F739" s="13"/>
      <c r="G739" s="13"/>
      <c r="H739" s="14">
        <v>121.32</v>
      </c>
      <c r="I739" s="14">
        <f t="shared" si="18"/>
        <v>242.64</v>
      </c>
    </row>
    <row r="740" spans="2:9" s="10" customFormat="1" x14ac:dyDescent="0.4">
      <c r="B740" s="11">
        <v>30</v>
      </c>
      <c r="C740" s="12" t="s">
        <v>90</v>
      </c>
      <c r="D740" s="13">
        <v>1</v>
      </c>
      <c r="E740" s="13"/>
      <c r="F740" s="13"/>
      <c r="G740" s="13"/>
      <c r="H740" s="14">
        <v>196.92000000000002</v>
      </c>
      <c r="I740" s="14">
        <f t="shared" si="18"/>
        <v>196.92000000000002</v>
      </c>
    </row>
    <row r="741" spans="2:9" s="10" customFormat="1" ht="30" x14ac:dyDescent="0.4">
      <c r="B741" s="11">
        <v>31</v>
      </c>
      <c r="C741" s="12" t="s">
        <v>89</v>
      </c>
      <c r="D741" s="13">
        <v>1</v>
      </c>
      <c r="E741" s="13"/>
      <c r="F741" s="13"/>
      <c r="G741" s="13"/>
      <c r="H741" s="14">
        <v>772.92000000000007</v>
      </c>
      <c r="I741" s="14">
        <f t="shared" si="18"/>
        <v>772.92000000000007</v>
      </c>
    </row>
    <row r="742" spans="2:9" s="10" customFormat="1" ht="30" x14ac:dyDescent="0.4">
      <c r="B742" s="11">
        <v>32</v>
      </c>
      <c r="C742" s="12" t="s">
        <v>89</v>
      </c>
      <c r="D742" s="13">
        <v>1</v>
      </c>
      <c r="E742" s="13"/>
      <c r="F742" s="13"/>
      <c r="G742" s="13"/>
      <c r="H742" s="14">
        <v>772.92000000000007</v>
      </c>
      <c r="I742" s="14">
        <f t="shared" si="18"/>
        <v>772.92000000000007</v>
      </c>
    </row>
    <row r="743" spans="2:9" s="10" customFormat="1" x14ac:dyDescent="0.4">
      <c r="B743" s="11">
        <v>33</v>
      </c>
      <c r="C743" s="12" t="s">
        <v>88</v>
      </c>
      <c r="D743" s="13">
        <v>1</v>
      </c>
      <c r="E743" s="13"/>
      <c r="F743" s="13"/>
      <c r="G743" s="13"/>
      <c r="H743" s="14">
        <v>240.48</v>
      </c>
      <c r="I743" s="14">
        <f t="shared" si="18"/>
        <v>240.48</v>
      </c>
    </row>
    <row r="744" spans="2:9" s="10" customFormat="1" x14ac:dyDescent="0.4">
      <c r="B744" s="11">
        <v>34</v>
      </c>
      <c r="C744" s="12" t="s">
        <v>87</v>
      </c>
      <c r="D744" s="13">
        <v>1</v>
      </c>
      <c r="E744" s="13"/>
      <c r="F744" s="13"/>
      <c r="G744" s="13"/>
      <c r="H744" s="14">
        <v>231.84</v>
      </c>
      <c r="I744" s="14">
        <f t="shared" si="18"/>
        <v>231.84</v>
      </c>
    </row>
    <row r="745" spans="2:9" s="10" customFormat="1" x14ac:dyDescent="0.4">
      <c r="B745" s="11">
        <v>35</v>
      </c>
      <c r="C745" s="12" t="s">
        <v>87</v>
      </c>
      <c r="D745" s="13">
        <v>1</v>
      </c>
      <c r="E745" s="13"/>
      <c r="F745" s="13"/>
      <c r="G745" s="13"/>
      <c r="H745" s="14">
        <v>231.84</v>
      </c>
      <c r="I745" s="14">
        <f t="shared" si="18"/>
        <v>231.84</v>
      </c>
    </row>
    <row r="746" spans="2:9" s="10" customFormat="1" x14ac:dyDescent="0.4">
      <c r="B746" s="11">
        <v>36</v>
      </c>
      <c r="C746" s="12" t="s">
        <v>86</v>
      </c>
      <c r="D746" s="13">
        <v>1</v>
      </c>
      <c r="E746" s="13"/>
      <c r="F746" s="13"/>
      <c r="G746" s="13"/>
      <c r="H746" s="14">
        <v>1440</v>
      </c>
      <c r="I746" s="14">
        <f t="shared" si="18"/>
        <v>1440</v>
      </c>
    </row>
    <row r="747" spans="2:9" s="10" customFormat="1" ht="30" x14ac:dyDescent="0.4">
      <c r="B747" s="11">
        <v>37</v>
      </c>
      <c r="C747" s="12" t="s">
        <v>85</v>
      </c>
      <c r="D747" s="13">
        <v>1</v>
      </c>
      <c r="E747" s="13"/>
      <c r="F747" s="13"/>
      <c r="G747" s="13"/>
      <c r="H747" s="14">
        <v>669.60000000000014</v>
      </c>
      <c r="I747" s="14">
        <f t="shared" si="18"/>
        <v>669.60000000000014</v>
      </c>
    </row>
    <row r="748" spans="2:9" s="10" customFormat="1" ht="30" x14ac:dyDescent="0.4">
      <c r="B748" s="11">
        <v>38</v>
      </c>
      <c r="C748" s="12" t="s">
        <v>84</v>
      </c>
      <c r="D748" s="13">
        <v>1</v>
      </c>
      <c r="E748" s="13"/>
      <c r="F748" s="13"/>
      <c r="G748" s="13"/>
      <c r="H748" s="14">
        <v>669.60000000000014</v>
      </c>
      <c r="I748" s="14">
        <f t="shared" si="18"/>
        <v>669.60000000000014</v>
      </c>
    </row>
    <row r="749" spans="2:9" s="10" customFormat="1" ht="30" x14ac:dyDescent="0.4">
      <c r="B749" s="11">
        <v>39</v>
      </c>
      <c r="C749" s="12" t="s">
        <v>83</v>
      </c>
      <c r="D749" s="13">
        <v>1</v>
      </c>
      <c r="E749" s="13"/>
      <c r="F749" s="13"/>
      <c r="G749" s="13"/>
      <c r="H749" s="14">
        <v>104.03999999999999</v>
      </c>
      <c r="I749" s="14">
        <f t="shared" si="18"/>
        <v>104.03999999999999</v>
      </c>
    </row>
    <row r="750" spans="2:9" s="10" customFormat="1" ht="30" x14ac:dyDescent="0.4">
      <c r="B750" s="11">
        <v>40</v>
      </c>
      <c r="C750" s="12" t="s">
        <v>82</v>
      </c>
      <c r="D750" s="13">
        <v>1</v>
      </c>
      <c r="E750" s="13"/>
      <c r="F750" s="13"/>
      <c r="G750" s="13"/>
      <c r="H750" s="14">
        <v>137.88</v>
      </c>
      <c r="I750" s="14">
        <f t="shared" si="18"/>
        <v>137.88</v>
      </c>
    </row>
    <row r="751" spans="2:9" s="10" customFormat="1" ht="60" x14ac:dyDescent="0.4">
      <c r="B751" s="11">
        <v>41</v>
      </c>
      <c r="C751" s="12" t="s">
        <v>0</v>
      </c>
      <c r="D751" s="13">
        <v>1</v>
      </c>
      <c r="E751" s="13"/>
      <c r="F751" s="13"/>
      <c r="G751" s="13"/>
      <c r="H751" s="14">
        <v>9400</v>
      </c>
      <c r="I751" s="14">
        <f t="shared" si="18"/>
        <v>9400</v>
      </c>
    </row>
    <row r="752" spans="2:9" s="10" customFormat="1" x14ac:dyDescent="0.4">
      <c r="B752" s="15"/>
      <c r="C752" s="16"/>
      <c r="D752" s="17">
        <f>SUM(D712:D751)</f>
        <v>69</v>
      </c>
      <c r="E752" s="45"/>
      <c r="F752" s="45"/>
      <c r="G752" s="45"/>
      <c r="H752" s="9"/>
      <c r="I752" s="18">
        <v>27586.263999999999</v>
      </c>
    </row>
    <row r="753" spans="1:9" customFormat="1" ht="14.25" x14ac:dyDescent="0.45">
      <c r="A753" s="7"/>
      <c r="C753" s="56"/>
      <c r="D753" s="8"/>
      <c r="E753" s="8"/>
      <c r="F753" s="8"/>
      <c r="G753" s="8"/>
      <c r="H753" s="8"/>
    </row>
    <row r="754" spans="1:9" s="10" customFormat="1" ht="15.75" customHeight="1" x14ac:dyDescent="0.4">
      <c r="B754" s="124" t="s">
        <v>442</v>
      </c>
      <c r="C754" s="125"/>
      <c r="D754" s="125"/>
      <c r="E754" s="125"/>
      <c r="F754" s="125"/>
      <c r="G754" s="125"/>
      <c r="H754" s="125"/>
      <c r="I754" s="126"/>
    </row>
    <row r="755" spans="1:9" s="10" customFormat="1" ht="30" x14ac:dyDescent="0.4">
      <c r="B755" s="51" t="s">
        <v>21</v>
      </c>
      <c r="C755" s="51" t="s">
        <v>20</v>
      </c>
      <c r="D755" s="51" t="s">
        <v>19</v>
      </c>
      <c r="E755" s="51" t="s">
        <v>523</v>
      </c>
      <c r="F755" s="51" t="s">
        <v>524</v>
      </c>
      <c r="G755" s="51" t="s">
        <v>525</v>
      </c>
      <c r="H755" s="52" t="s">
        <v>18</v>
      </c>
      <c r="I755" s="52" t="s">
        <v>17</v>
      </c>
    </row>
    <row r="756" spans="1:9" s="10" customFormat="1" ht="30" x14ac:dyDescent="0.4">
      <c r="B756" s="11">
        <v>1</v>
      </c>
      <c r="C756" s="12" t="s">
        <v>81</v>
      </c>
      <c r="D756" s="13">
        <v>1</v>
      </c>
      <c r="E756" s="13"/>
      <c r="F756" s="13"/>
      <c r="G756" s="13"/>
      <c r="H756" s="14">
        <v>281.15999999999997</v>
      </c>
      <c r="I756" s="14">
        <f>H756*D756</f>
        <v>281.15999999999997</v>
      </c>
    </row>
    <row r="757" spans="1:9" s="10" customFormat="1" x14ac:dyDescent="0.4">
      <c r="B757" s="11">
        <v>2</v>
      </c>
      <c r="C757" s="12" t="s">
        <v>80</v>
      </c>
      <c r="D757" s="13">
        <v>1</v>
      </c>
      <c r="E757" s="13"/>
      <c r="F757" s="13"/>
      <c r="G757" s="13"/>
      <c r="H757" s="14">
        <v>359.20000000000005</v>
      </c>
      <c r="I757" s="14">
        <f t="shared" ref="I757:I783" si="19">H757*D757</f>
        <v>359.20000000000005</v>
      </c>
    </row>
    <row r="758" spans="1:9" s="10" customFormat="1" x14ac:dyDescent="0.4">
      <c r="B758" s="11">
        <v>3</v>
      </c>
      <c r="C758" s="12" t="s">
        <v>79</v>
      </c>
      <c r="D758" s="13">
        <v>1</v>
      </c>
      <c r="E758" s="13"/>
      <c r="F758" s="13"/>
      <c r="G758" s="13"/>
      <c r="H758" s="14">
        <v>326.15999999999997</v>
      </c>
      <c r="I758" s="14">
        <f t="shared" si="19"/>
        <v>326.15999999999997</v>
      </c>
    </row>
    <row r="759" spans="1:9" s="10" customFormat="1" x14ac:dyDescent="0.4">
      <c r="B759" s="11">
        <v>4</v>
      </c>
      <c r="C759" s="12" t="s">
        <v>78</v>
      </c>
      <c r="D759" s="13">
        <v>1</v>
      </c>
      <c r="E759" s="13"/>
      <c r="F759" s="13"/>
      <c r="G759" s="13"/>
      <c r="H759" s="14">
        <v>46.44</v>
      </c>
      <c r="I759" s="14">
        <f t="shared" si="19"/>
        <v>46.44</v>
      </c>
    </row>
    <row r="760" spans="1:9" s="10" customFormat="1" ht="30" x14ac:dyDescent="0.4">
      <c r="B760" s="11">
        <v>5</v>
      </c>
      <c r="C760" s="12" t="s">
        <v>77</v>
      </c>
      <c r="D760" s="13">
        <v>1</v>
      </c>
      <c r="E760" s="13"/>
      <c r="F760" s="13"/>
      <c r="G760" s="13"/>
      <c r="H760" s="14">
        <v>74.88000000000001</v>
      </c>
      <c r="I760" s="14">
        <f t="shared" si="19"/>
        <v>74.88000000000001</v>
      </c>
    </row>
    <row r="761" spans="1:9" s="10" customFormat="1" x14ac:dyDescent="0.4">
      <c r="B761" s="11">
        <v>6</v>
      </c>
      <c r="C761" s="12" t="s">
        <v>76</v>
      </c>
      <c r="D761" s="13">
        <v>4</v>
      </c>
      <c r="E761" s="13"/>
      <c r="F761" s="13"/>
      <c r="G761" s="13"/>
      <c r="H761" s="14">
        <v>83.52000000000001</v>
      </c>
      <c r="I761" s="14">
        <f t="shared" si="19"/>
        <v>334.08000000000004</v>
      </c>
    </row>
    <row r="762" spans="1:9" s="10" customFormat="1" ht="30" x14ac:dyDescent="0.4">
      <c r="B762" s="11">
        <v>7</v>
      </c>
      <c r="C762" s="12" t="s">
        <v>75</v>
      </c>
      <c r="D762" s="13">
        <v>1</v>
      </c>
      <c r="E762" s="13"/>
      <c r="F762" s="13"/>
      <c r="G762" s="13"/>
      <c r="H762" s="14">
        <v>893.16000000000008</v>
      </c>
      <c r="I762" s="14">
        <f t="shared" si="19"/>
        <v>893.16000000000008</v>
      </c>
    </row>
    <row r="763" spans="1:9" s="10" customFormat="1" ht="30" x14ac:dyDescent="0.4">
      <c r="B763" s="11">
        <v>8</v>
      </c>
      <c r="C763" s="12" t="s">
        <v>74</v>
      </c>
      <c r="D763" s="13">
        <v>10</v>
      </c>
      <c r="E763" s="13"/>
      <c r="F763" s="13"/>
      <c r="G763" s="13"/>
      <c r="H763" s="14">
        <v>151.56</v>
      </c>
      <c r="I763" s="14">
        <f t="shared" si="19"/>
        <v>1515.6</v>
      </c>
    </row>
    <row r="764" spans="1:9" s="10" customFormat="1" ht="30" x14ac:dyDescent="0.4">
      <c r="B764" s="11">
        <v>9</v>
      </c>
      <c r="C764" s="12" t="s">
        <v>73</v>
      </c>
      <c r="D764" s="13">
        <v>1</v>
      </c>
      <c r="E764" s="13"/>
      <c r="F764" s="13"/>
      <c r="G764" s="13"/>
      <c r="H764" s="14">
        <v>566.64</v>
      </c>
      <c r="I764" s="14">
        <f t="shared" si="19"/>
        <v>566.64</v>
      </c>
    </row>
    <row r="765" spans="1:9" s="10" customFormat="1" ht="15.75" customHeight="1" x14ac:dyDescent="0.4">
      <c r="B765" s="11">
        <v>10</v>
      </c>
      <c r="C765" s="12" t="s">
        <v>72</v>
      </c>
      <c r="D765" s="13">
        <v>2</v>
      </c>
      <c r="E765" s="13"/>
      <c r="F765" s="13"/>
      <c r="G765" s="13"/>
      <c r="H765" s="14">
        <v>213.12</v>
      </c>
      <c r="I765" s="14">
        <f t="shared" si="19"/>
        <v>426.24</v>
      </c>
    </row>
    <row r="766" spans="1:9" s="10" customFormat="1" ht="30" x14ac:dyDescent="0.4">
      <c r="B766" s="11">
        <v>11</v>
      </c>
      <c r="C766" s="12" t="s">
        <v>71</v>
      </c>
      <c r="D766" s="13">
        <v>2</v>
      </c>
      <c r="E766" s="13"/>
      <c r="F766" s="13"/>
      <c r="G766" s="13"/>
      <c r="H766" s="14">
        <v>97.2</v>
      </c>
      <c r="I766" s="14">
        <f t="shared" si="19"/>
        <v>194.4</v>
      </c>
    </row>
    <row r="767" spans="1:9" s="10" customFormat="1" ht="30" x14ac:dyDescent="0.4">
      <c r="B767" s="11">
        <v>12</v>
      </c>
      <c r="C767" s="12" t="s">
        <v>70</v>
      </c>
      <c r="D767" s="13">
        <v>1</v>
      </c>
      <c r="E767" s="13"/>
      <c r="F767" s="13"/>
      <c r="G767" s="13"/>
      <c r="H767" s="14">
        <v>109.08</v>
      </c>
      <c r="I767" s="14">
        <f t="shared" si="19"/>
        <v>109.08</v>
      </c>
    </row>
    <row r="768" spans="1:9" s="10" customFormat="1" ht="30" x14ac:dyDescent="0.4">
      <c r="B768" s="11">
        <v>13</v>
      </c>
      <c r="C768" s="12" t="s">
        <v>69</v>
      </c>
      <c r="D768" s="13">
        <v>2</v>
      </c>
      <c r="E768" s="13"/>
      <c r="F768" s="13"/>
      <c r="G768" s="13"/>
      <c r="H768" s="14">
        <v>93.96</v>
      </c>
      <c r="I768" s="14">
        <f t="shared" si="19"/>
        <v>187.92</v>
      </c>
    </row>
    <row r="769" spans="2:9" s="10" customFormat="1" ht="30" x14ac:dyDescent="0.4">
      <c r="B769" s="11">
        <v>14</v>
      </c>
      <c r="C769" s="12" t="s">
        <v>68</v>
      </c>
      <c r="D769" s="13">
        <v>1</v>
      </c>
      <c r="E769" s="13"/>
      <c r="F769" s="13"/>
      <c r="G769" s="13"/>
      <c r="H769" s="14">
        <v>109.08</v>
      </c>
      <c r="I769" s="14">
        <f t="shared" si="19"/>
        <v>109.08</v>
      </c>
    </row>
    <row r="770" spans="2:9" s="10" customFormat="1" ht="30" x14ac:dyDescent="0.4">
      <c r="B770" s="11">
        <v>15</v>
      </c>
      <c r="C770" s="12" t="s">
        <v>67</v>
      </c>
      <c r="D770" s="13">
        <v>2</v>
      </c>
      <c r="E770" s="13"/>
      <c r="F770" s="13"/>
      <c r="G770" s="13"/>
      <c r="H770" s="14">
        <v>165.96</v>
      </c>
      <c r="I770" s="14">
        <f t="shared" si="19"/>
        <v>331.92</v>
      </c>
    </row>
    <row r="771" spans="2:9" s="10" customFormat="1" ht="30" x14ac:dyDescent="0.4">
      <c r="B771" s="11">
        <v>16</v>
      </c>
      <c r="C771" s="12" t="s">
        <v>66</v>
      </c>
      <c r="D771" s="13">
        <v>6</v>
      </c>
      <c r="E771" s="13"/>
      <c r="F771" s="13"/>
      <c r="G771" s="13"/>
      <c r="H771" s="14">
        <v>116.28</v>
      </c>
      <c r="I771" s="14">
        <f t="shared" si="19"/>
        <v>697.68000000000006</v>
      </c>
    </row>
    <row r="772" spans="2:9" s="10" customFormat="1" ht="30" x14ac:dyDescent="0.4">
      <c r="B772" s="11">
        <v>17</v>
      </c>
      <c r="C772" s="12" t="s">
        <v>65</v>
      </c>
      <c r="D772" s="13">
        <v>4</v>
      </c>
      <c r="E772" s="13"/>
      <c r="F772" s="13"/>
      <c r="G772" s="13"/>
      <c r="H772" s="14">
        <v>113.4</v>
      </c>
      <c r="I772" s="14">
        <f t="shared" si="19"/>
        <v>453.6</v>
      </c>
    </row>
    <row r="773" spans="2:9" s="10" customFormat="1" x14ac:dyDescent="0.4">
      <c r="B773" s="11">
        <v>18</v>
      </c>
      <c r="C773" s="12" t="s">
        <v>64</v>
      </c>
      <c r="D773" s="13">
        <v>6</v>
      </c>
      <c r="E773" s="13"/>
      <c r="F773" s="13"/>
      <c r="G773" s="13"/>
      <c r="H773" s="14">
        <v>116.28</v>
      </c>
      <c r="I773" s="14">
        <f t="shared" si="19"/>
        <v>697.68000000000006</v>
      </c>
    </row>
    <row r="774" spans="2:9" s="10" customFormat="1" x14ac:dyDescent="0.4">
      <c r="B774" s="11">
        <v>19</v>
      </c>
      <c r="C774" s="12" t="s">
        <v>63</v>
      </c>
      <c r="D774" s="13">
        <v>4</v>
      </c>
      <c r="E774" s="13"/>
      <c r="F774" s="13"/>
      <c r="G774" s="13"/>
      <c r="H774" s="14">
        <v>113.4</v>
      </c>
      <c r="I774" s="14">
        <f t="shared" si="19"/>
        <v>453.6</v>
      </c>
    </row>
    <row r="775" spans="2:9" s="10" customFormat="1" ht="30" x14ac:dyDescent="0.4">
      <c r="B775" s="11">
        <v>20</v>
      </c>
      <c r="C775" s="12" t="s">
        <v>62</v>
      </c>
      <c r="D775" s="13">
        <v>2</v>
      </c>
      <c r="E775" s="13"/>
      <c r="F775" s="13"/>
      <c r="G775" s="13"/>
      <c r="H775" s="14">
        <v>121.32</v>
      </c>
      <c r="I775" s="14">
        <f t="shared" si="19"/>
        <v>242.64</v>
      </c>
    </row>
    <row r="776" spans="2:9" s="10" customFormat="1" ht="45" x14ac:dyDescent="0.4">
      <c r="B776" s="11">
        <v>21</v>
      </c>
      <c r="C776" s="12" t="s">
        <v>61</v>
      </c>
      <c r="D776" s="13">
        <v>1</v>
      </c>
      <c r="E776" s="13"/>
      <c r="F776" s="13"/>
      <c r="G776" s="13"/>
      <c r="H776" s="14">
        <v>153</v>
      </c>
      <c r="I776" s="14">
        <f t="shared" si="19"/>
        <v>153</v>
      </c>
    </row>
    <row r="777" spans="2:9" s="10" customFormat="1" ht="30" x14ac:dyDescent="0.4">
      <c r="B777" s="11">
        <v>22</v>
      </c>
      <c r="C777" s="12" t="s">
        <v>60</v>
      </c>
      <c r="D777" s="13">
        <v>1</v>
      </c>
      <c r="E777" s="13"/>
      <c r="F777" s="13"/>
      <c r="G777" s="13"/>
      <c r="H777" s="14">
        <v>20.519999999999996</v>
      </c>
      <c r="I777" s="14">
        <f t="shared" si="19"/>
        <v>20.519999999999996</v>
      </c>
    </row>
    <row r="778" spans="2:9" s="10" customFormat="1" ht="30" x14ac:dyDescent="0.4">
      <c r="B778" s="11">
        <v>23</v>
      </c>
      <c r="C778" s="12" t="s">
        <v>59</v>
      </c>
      <c r="D778" s="13">
        <v>1</v>
      </c>
      <c r="E778" s="13"/>
      <c r="F778" s="13"/>
      <c r="G778" s="13"/>
      <c r="H778" s="14">
        <v>25.92</v>
      </c>
      <c r="I778" s="14">
        <f t="shared" si="19"/>
        <v>25.92</v>
      </c>
    </row>
    <row r="779" spans="2:9" s="10" customFormat="1" ht="30" x14ac:dyDescent="0.4">
      <c r="B779" s="11">
        <v>24</v>
      </c>
      <c r="C779" s="12" t="s">
        <v>58</v>
      </c>
      <c r="D779" s="13">
        <v>1</v>
      </c>
      <c r="E779" s="13"/>
      <c r="F779" s="13"/>
      <c r="G779" s="13"/>
      <c r="H779" s="14">
        <v>51.48</v>
      </c>
      <c r="I779" s="14">
        <f t="shared" si="19"/>
        <v>51.48</v>
      </c>
    </row>
    <row r="780" spans="2:9" s="10" customFormat="1" ht="30" x14ac:dyDescent="0.4">
      <c r="B780" s="11">
        <v>25</v>
      </c>
      <c r="C780" s="12" t="s">
        <v>57</v>
      </c>
      <c r="D780" s="13">
        <v>1</v>
      </c>
      <c r="E780" s="13"/>
      <c r="F780" s="13"/>
      <c r="G780" s="13"/>
      <c r="H780" s="14">
        <v>151.56</v>
      </c>
      <c r="I780" s="14">
        <f t="shared" si="19"/>
        <v>151.56</v>
      </c>
    </row>
    <row r="781" spans="2:9" s="10" customFormat="1" ht="30" x14ac:dyDescent="0.4">
      <c r="B781" s="11">
        <v>26</v>
      </c>
      <c r="C781" s="12" t="s">
        <v>56</v>
      </c>
      <c r="D781" s="13">
        <v>1</v>
      </c>
      <c r="E781" s="13"/>
      <c r="F781" s="13"/>
      <c r="G781" s="13"/>
      <c r="H781" s="14">
        <v>120.24</v>
      </c>
      <c r="I781" s="14">
        <f t="shared" si="19"/>
        <v>120.24</v>
      </c>
    </row>
    <row r="782" spans="2:9" s="10" customFormat="1" ht="30" x14ac:dyDescent="0.4">
      <c r="B782" s="11">
        <v>27</v>
      </c>
      <c r="C782" s="12" t="s">
        <v>55</v>
      </c>
      <c r="D782" s="13">
        <v>2</v>
      </c>
      <c r="E782" s="13"/>
      <c r="F782" s="13"/>
      <c r="G782" s="13"/>
      <c r="H782" s="14">
        <v>175.67999999999998</v>
      </c>
      <c r="I782" s="14">
        <f t="shared" si="19"/>
        <v>351.35999999999996</v>
      </c>
    </row>
    <row r="783" spans="2:9" s="10" customFormat="1" ht="60" x14ac:dyDescent="0.4">
      <c r="B783" s="11">
        <v>28</v>
      </c>
      <c r="C783" s="12" t="s">
        <v>0</v>
      </c>
      <c r="D783" s="13">
        <v>1</v>
      </c>
      <c r="E783" s="13"/>
      <c r="F783" s="13"/>
      <c r="G783" s="13"/>
      <c r="H783" s="14">
        <v>9400</v>
      </c>
      <c r="I783" s="14">
        <f t="shared" si="19"/>
        <v>9400</v>
      </c>
    </row>
    <row r="784" spans="2:9" s="10" customFormat="1" ht="15.75" customHeight="1" x14ac:dyDescent="0.4">
      <c r="B784" s="15"/>
      <c r="C784" s="16"/>
      <c r="D784" s="17">
        <f>SUM(D756:D783)</f>
        <v>62</v>
      </c>
      <c r="E784" s="45"/>
      <c r="F784" s="45"/>
      <c r="G784" s="45"/>
      <c r="H784" s="9"/>
      <c r="I784" s="18">
        <v>18575.239999999998</v>
      </c>
    </row>
    <row r="785" spans="2:9" s="10" customFormat="1" x14ac:dyDescent="0.4">
      <c r="B785" s="15"/>
      <c r="C785" s="46"/>
      <c r="D785" s="47"/>
      <c r="E785" s="45"/>
      <c r="F785" s="45"/>
      <c r="G785" s="45"/>
      <c r="H785" s="9"/>
      <c r="I785" s="9"/>
    </row>
    <row r="786" spans="2:9" s="10" customFormat="1" ht="15.75" customHeight="1" x14ac:dyDescent="0.4">
      <c r="B786" s="124" t="s">
        <v>460</v>
      </c>
      <c r="C786" s="125"/>
      <c r="D786" s="125"/>
      <c r="E786" s="125"/>
      <c r="F786" s="125"/>
      <c r="G786" s="125"/>
      <c r="H786" s="125"/>
      <c r="I786" s="126"/>
    </row>
    <row r="787" spans="2:9" s="10" customFormat="1" ht="30" x14ac:dyDescent="0.4">
      <c r="B787" s="51" t="s">
        <v>21</v>
      </c>
      <c r="C787" s="51" t="s">
        <v>20</v>
      </c>
      <c r="D787" s="51" t="s">
        <v>19</v>
      </c>
      <c r="E787" s="51" t="s">
        <v>523</v>
      </c>
      <c r="F787" s="51" t="s">
        <v>524</v>
      </c>
      <c r="G787" s="51" t="s">
        <v>525</v>
      </c>
      <c r="H787" s="52" t="s">
        <v>18</v>
      </c>
      <c r="I787" s="52" t="s">
        <v>17</v>
      </c>
    </row>
    <row r="788" spans="2:9" s="10" customFormat="1" ht="30" x14ac:dyDescent="0.4">
      <c r="B788" s="11">
        <v>1</v>
      </c>
      <c r="C788" s="12" t="s">
        <v>81</v>
      </c>
      <c r="D788" s="13">
        <v>2</v>
      </c>
      <c r="E788" s="13"/>
      <c r="F788" s="13"/>
      <c r="G788" s="13"/>
      <c r="H788" s="14">
        <v>281.15999999999997</v>
      </c>
      <c r="I788" s="14">
        <f>H788*D788</f>
        <v>562.31999999999994</v>
      </c>
    </row>
    <row r="789" spans="2:9" s="10" customFormat="1" ht="30" x14ac:dyDescent="0.4">
      <c r="B789" s="11">
        <v>2</v>
      </c>
      <c r="C789" s="12" t="s">
        <v>107</v>
      </c>
      <c r="D789" s="13">
        <v>2</v>
      </c>
      <c r="E789" s="13"/>
      <c r="F789" s="13"/>
      <c r="G789" s="13"/>
      <c r="H789" s="14">
        <v>281.15999999999997</v>
      </c>
      <c r="I789" s="14">
        <f t="shared" ref="I789:I836" si="20">H789*D789</f>
        <v>562.31999999999994</v>
      </c>
    </row>
    <row r="790" spans="2:9" s="10" customFormat="1" ht="15.75" customHeight="1" x14ac:dyDescent="0.4">
      <c r="B790" s="11">
        <v>3</v>
      </c>
      <c r="C790" s="12" t="s">
        <v>137</v>
      </c>
      <c r="D790" s="13">
        <v>2</v>
      </c>
      <c r="E790" s="13"/>
      <c r="F790" s="13"/>
      <c r="G790" s="13"/>
      <c r="H790" s="14">
        <v>230.39999999999998</v>
      </c>
      <c r="I790" s="14">
        <f t="shared" si="20"/>
        <v>460.79999999999995</v>
      </c>
    </row>
    <row r="791" spans="2:9" s="10" customFormat="1" ht="30" x14ac:dyDescent="0.4">
      <c r="B791" s="11">
        <v>4</v>
      </c>
      <c r="C791" s="12" t="s">
        <v>136</v>
      </c>
      <c r="D791" s="13">
        <v>1</v>
      </c>
      <c r="E791" s="13"/>
      <c r="F791" s="13"/>
      <c r="G791" s="13"/>
      <c r="H791" s="14">
        <v>1177.56</v>
      </c>
      <c r="I791" s="14">
        <f t="shared" si="20"/>
        <v>1177.56</v>
      </c>
    </row>
    <row r="792" spans="2:9" s="10" customFormat="1" ht="30" x14ac:dyDescent="0.4">
      <c r="B792" s="11">
        <v>5</v>
      </c>
      <c r="C792" s="12" t="s">
        <v>135</v>
      </c>
      <c r="D792" s="13">
        <v>1</v>
      </c>
      <c r="E792" s="13"/>
      <c r="F792" s="13"/>
      <c r="G792" s="13"/>
      <c r="H792" s="14">
        <v>213.12</v>
      </c>
      <c r="I792" s="14">
        <f t="shared" si="20"/>
        <v>213.12</v>
      </c>
    </row>
    <row r="793" spans="2:9" s="10" customFormat="1" ht="30" x14ac:dyDescent="0.4">
      <c r="B793" s="11">
        <v>6</v>
      </c>
      <c r="C793" s="12" t="s">
        <v>134</v>
      </c>
      <c r="D793" s="13">
        <v>1</v>
      </c>
      <c r="E793" s="13"/>
      <c r="F793" s="13"/>
      <c r="G793" s="13"/>
      <c r="H793" s="14">
        <v>213.12</v>
      </c>
      <c r="I793" s="14">
        <f t="shared" si="20"/>
        <v>213.12</v>
      </c>
    </row>
    <row r="794" spans="2:9" s="10" customFormat="1" ht="45" x14ac:dyDescent="0.4">
      <c r="B794" s="11">
        <v>7</v>
      </c>
      <c r="C794" s="12" t="s">
        <v>104</v>
      </c>
      <c r="D794" s="13">
        <v>2</v>
      </c>
      <c r="E794" s="13"/>
      <c r="F794" s="13"/>
      <c r="G794" s="13"/>
      <c r="H794" s="14">
        <v>210.6</v>
      </c>
      <c r="I794" s="14">
        <f t="shared" si="20"/>
        <v>421.2</v>
      </c>
    </row>
    <row r="795" spans="2:9" s="10" customFormat="1" x14ac:dyDescent="0.4">
      <c r="B795" s="11">
        <v>8</v>
      </c>
      <c r="C795" s="12" t="s">
        <v>133</v>
      </c>
      <c r="D795" s="13">
        <v>1</v>
      </c>
      <c r="E795" s="13"/>
      <c r="F795" s="13"/>
      <c r="G795" s="13"/>
      <c r="H795" s="14">
        <v>932.04000000000008</v>
      </c>
      <c r="I795" s="14">
        <f t="shared" si="20"/>
        <v>932.04000000000008</v>
      </c>
    </row>
    <row r="796" spans="2:9" s="10" customFormat="1" x14ac:dyDescent="0.4">
      <c r="B796" s="11">
        <v>9</v>
      </c>
      <c r="C796" s="12" t="s">
        <v>132</v>
      </c>
      <c r="D796" s="13">
        <v>1</v>
      </c>
      <c r="E796" s="13"/>
      <c r="F796" s="13"/>
      <c r="G796" s="13"/>
      <c r="H796" s="14">
        <v>1585.0800000000002</v>
      </c>
      <c r="I796" s="14">
        <f t="shared" si="20"/>
        <v>1585.0800000000002</v>
      </c>
    </row>
    <row r="797" spans="2:9" s="10" customFormat="1" x14ac:dyDescent="0.4">
      <c r="B797" s="11">
        <v>10</v>
      </c>
      <c r="C797" s="12" t="s">
        <v>131</v>
      </c>
      <c r="D797" s="13">
        <v>1</v>
      </c>
      <c r="E797" s="13"/>
      <c r="F797" s="13"/>
      <c r="G797" s="13"/>
      <c r="H797" s="14">
        <v>1356.48</v>
      </c>
      <c r="I797" s="14">
        <f t="shared" si="20"/>
        <v>1356.48</v>
      </c>
    </row>
    <row r="798" spans="2:9" s="10" customFormat="1" x14ac:dyDescent="0.4">
      <c r="B798" s="11">
        <v>11</v>
      </c>
      <c r="C798" s="12" t="s">
        <v>76</v>
      </c>
      <c r="D798" s="13">
        <v>3</v>
      </c>
      <c r="E798" s="13"/>
      <c r="F798" s="13"/>
      <c r="G798" s="13"/>
      <c r="H798" s="14">
        <v>83.52000000000001</v>
      </c>
      <c r="I798" s="14">
        <f t="shared" si="20"/>
        <v>250.56000000000003</v>
      </c>
    </row>
    <row r="799" spans="2:9" s="10" customFormat="1" ht="30" x14ac:dyDescent="0.4">
      <c r="B799" s="11">
        <v>12</v>
      </c>
      <c r="C799" s="12" t="s">
        <v>99</v>
      </c>
      <c r="D799" s="13">
        <v>1</v>
      </c>
      <c r="E799" s="13"/>
      <c r="F799" s="13"/>
      <c r="G799" s="13"/>
      <c r="H799" s="14">
        <v>297.35999999999996</v>
      </c>
      <c r="I799" s="14">
        <f t="shared" si="20"/>
        <v>297.35999999999996</v>
      </c>
    </row>
    <row r="800" spans="2:9" s="10" customFormat="1" ht="30" x14ac:dyDescent="0.4">
      <c r="B800" s="11">
        <v>13</v>
      </c>
      <c r="C800" s="12" t="s">
        <v>130</v>
      </c>
      <c r="D800" s="13">
        <v>1</v>
      </c>
      <c r="E800" s="13"/>
      <c r="F800" s="13"/>
      <c r="G800" s="13"/>
      <c r="H800" s="14">
        <v>205.56</v>
      </c>
      <c r="I800" s="14">
        <f t="shared" si="20"/>
        <v>205.56</v>
      </c>
    </row>
    <row r="801" spans="2:9" s="10" customFormat="1" x14ac:dyDescent="0.4">
      <c r="B801" s="11">
        <v>14</v>
      </c>
      <c r="C801" s="12" t="s">
        <v>129</v>
      </c>
      <c r="D801" s="13">
        <v>1</v>
      </c>
      <c r="E801" s="13"/>
      <c r="F801" s="13"/>
      <c r="G801" s="13"/>
      <c r="H801" s="14">
        <v>276</v>
      </c>
      <c r="I801" s="14">
        <f t="shared" si="20"/>
        <v>276</v>
      </c>
    </row>
    <row r="802" spans="2:9" s="10" customFormat="1" x14ac:dyDescent="0.4">
      <c r="B802" s="11">
        <v>15</v>
      </c>
      <c r="C802" s="12" t="s">
        <v>128</v>
      </c>
      <c r="D802" s="13">
        <v>1</v>
      </c>
      <c r="E802" s="13"/>
      <c r="F802" s="13"/>
      <c r="G802" s="13"/>
      <c r="H802" s="14">
        <v>249.48000000000002</v>
      </c>
      <c r="I802" s="14">
        <f t="shared" si="20"/>
        <v>249.48000000000002</v>
      </c>
    </row>
    <row r="803" spans="2:9" s="10" customFormat="1" x14ac:dyDescent="0.4">
      <c r="B803" s="11">
        <v>16</v>
      </c>
      <c r="C803" s="12" t="s">
        <v>127</v>
      </c>
      <c r="D803" s="13">
        <v>1</v>
      </c>
      <c r="E803" s="13"/>
      <c r="F803" s="13"/>
      <c r="G803" s="13"/>
      <c r="H803" s="14">
        <v>219.96000000000004</v>
      </c>
      <c r="I803" s="14">
        <f t="shared" si="20"/>
        <v>219.96000000000004</v>
      </c>
    </row>
    <row r="804" spans="2:9" s="10" customFormat="1" x14ac:dyDescent="0.4">
      <c r="B804" s="11">
        <v>17</v>
      </c>
      <c r="C804" s="12" t="s">
        <v>126</v>
      </c>
      <c r="D804" s="13">
        <v>1</v>
      </c>
      <c r="E804" s="13"/>
      <c r="F804" s="13"/>
      <c r="G804" s="13"/>
      <c r="H804" s="14">
        <v>235.79999999999998</v>
      </c>
      <c r="I804" s="14">
        <f t="shared" si="20"/>
        <v>235.79999999999998</v>
      </c>
    </row>
    <row r="805" spans="2:9" s="10" customFormat="1" x14ac:dyDescent="0.4">
      <c r="B805" s="11">
        <v>18</v>
      </c>
      <c r="C805" s="12" t="s">
        <v>125</v>
      </c>
      <c r="D805" s="13">
        <v>1</v>
      </c>
      <c r="E805" s="13"/>
      <c r="F805" s="13"/>
      <c r="G805" s="13"/>
      <c r="H805" s="14">
        <v>1950.8400000000001</v>
      </c>
      <c r="I805" s="14">
        <f t="shared" si="20"/>
        <v>1950.8400000000001</v>
      </c>
    </row>
    <row r="806" spans="2:9" s="10" customFormat="1" x14ac:dyDescent="0.4">
      <c r="B806" s="11">
        <v>19</v>
      </c>
      <c r="C806" s="12" t="s">
        <v>124</v>
      </c>
      <c r="D806" s="13">
        <v>1</v>
      </c>
      <c r="E806" s="13"/>
      <c r="F806" s="13"/>
      <c r="G806" s="13"/>
      <c r="H806" s="14">
        <v>815.90399999999988</v>
      </c>
      <c r="I806" s="14">
        <f t="shared" si="20"/>
        <v>815.90399999999988</v>
      </c>
    </row>
    <row r="807" spans="2:9" s="10" customFormat="1" ht="30" x14ac:dyDescent="0.4">
      <c r="B807" s="11">
        <v>20</v>
      </c>
      <c r="C807" s="12" t="s">
        <v>123</v>
      </c>
      <c r="D807" s="13">
        <v>2</v>
      </c>
      <c r="E807" s="13"/>
      <c r="F807" s="13"/>
      <c r="G807" s="13"/>
      <c r="H807" s="14">
        <v>98.28</v>
      </c>
      <c r="I807" s="14">
        <f t="shared" si="20"/>
        <v>196.56</v>
      </c>
    </row>
    <row r="808" spans="2:9" s="10" customFormat="1" ht="30" x14ac:dyDescent="0.4">
      <c r="B808" s="11">
        <v>21</v>
      </c>
      <c r="C808" s="12" t="s">
        <v>70</v>
      </c>
      <c r="D808" s="13">
        <v>2</v>
      </c>
      <c r="E808" s="13"/>
      <c r="F808" s="13"/>
      <c r="G808" s="13"/>
      <c r="H808" s="14">
        <v>109.08</v>
      </c>
      <c r="I808" s="14">
        <f t="shared" si="20"/>
        <v>218.16</v>
      </c>
    </row>
    <row r="809" spans="2:9" s="10" customFormat="1" ht="30" x14ac:dyDescent="0.4">
      <c r="B809" s="11">
        <v>22</v>
      </c>
      <c r="C809" s="12" t="s">
        <v>71</v>
      </c>
      <c r="D809" s="13">
        <v>1</v>
      </c>
      <c r="E809" s="13"/>
      <c r="F809" s="13"/>
      <c r="G809" s="13"/>
      <c r="H809" s="14">
        <v>97.2</v>
      </c>
      <c r="I809" s="14">
        <f t="shared" si="20"/>
        <v>97.2</v>
      </c>
    </row>
    <row r="810" spans="2:9" s="10" customFormat="1" ht="30" x14ac:dyDescent="0.4">
      <c r="B810" s="11">
        <v>23</v>
      </c>
      <c r="C810" s="12" t="s">
        <v>69</v>
      </c>
      <c r="D810" s="13">
        <v>1</v>
      </c>
      <c r="E810" s="13"/>
      <c r="F810" s="13"/>
      <c r="G810" s="13"/>
      <c r="H810" s="14">
        <v>93.96</v>
      </c>
      <c r="I810" s="14">
        <f t="shared" si="20"/>
        <v>93.96</v>
      </c>
    </row>
    <row r="811" spans="2:9" s="10" customFormat="1" ht="30" x14ac:dyDescent="0.4">
      <c r="B811" s="11">
        <v>24</v>
      </c>
      <c r="C811" s="12" t="s">
        <v>73</v>
      </c>
      <c r="D811" s="13">
        <v>1</v>
      </c>
      <c r="E811" s="13"/>
      <c r="F811" s="13"/>
      <c r="G811" s="13"/>
      <c r="H811" s="14">
        <v>566.64</v>
      </c>
      <c r="I811" s="14">
        <f t="shared" si="20"/>
        <v>566.64</v>
      </c>
    </row>
    <row r="812" spans="2:9" s="10" customFormat="1" ht="30" x14ac:dyDescent="0.4">
      <c r="B812" s="11">
        <v>25</v>
      </c>
      <c r="C812" s="12" t="s">
        <v>122</v>
      </c>
      <c r="D812" s="13">
        <v>2</v>
      </c>
      <c r="E812" s="13"/>
      <c r="F812" s="13"/>
      <c r="G812" s="13"/>
      <c r="H812" s="14">
        <v>94.320000000000007</v>
      </c>
      <c r="I812" s="14">
        <f t="shared" si="20"/>
        <v>188.64000000000001</v>
      </c>
    </row>
    <row r="813" spans="2:9" s="10" customFormat="1" ht="30" x14ac:dyDescent="0.4">
      <c r="B813" s="11">
        <v>26</v>
      </c>
      <c r="C813" s="12" t="s">
        <v>121</v>
      </c>
      <c r="D813" s="13">
        <v>2</v>
      </c>
      <c r="E813" s="13"/>
      <c r="F813" s="13"/>
      <c r="G813" s="13"/>
      <c r="H813" s="14">
        <v>126.35999999999999</v>
      </c>
      <c r="I813" s="14">
        <f t="shared" si="20"/>
        <v>252.71999999999997</v>
      </c>
    </row>
    <row r="814" spans="2:9" s="10" customFormat="1" ht="27.75" customHeight="1" x14ac:dyDescent="0.4">
      <c r="B814" s="11">
        <v>27</v>
      </c>
      <c r="C814" s="12" t="s">
        <v>120</v>
      </c>
      <c r="D814" s="13">
        <v>1</v>
      </c>
      <c r="E814" s="13"/>
      <c r="F814" s="13"/>
      <c r="G814" s="13"/>
      <c r="H814" s="14">
        <v>1132.2</v>
      </c>
      <c r="I814" s="14">
        <f t="shared" si="20"/>
        <v>1132.2</v>
      </c>
    </row>
    <row r="815" spans="2:9" s="10" customFormat="1" x14ac:dyDescent="0.4">
      <c r="B815" s="11">
        <v>28</v>
      </c>
      <c r="C815" s="12" t="s">
        <v>119</v>
      </c>
      <c r="D815" s="13">
        <v>1</v>
      </c>
      <c r="E815" s="13"/>
      <c r="F815" s="13"/>
      <c r="G815" s="13"/>
      <c r="H815" s="14">
        <v>1558.8</v>
      </c>
      <c r="I815" s="14">
        <f t="shared" si="20"/>
        <v>1558.8</v>
      </c>
    </row>
    <row r="816" spans="2:9" s="10" customFormat="1" ht="30" x14ac:dyDescent="0.4">
      <c r="B816" s="11">
        <v>29</v>
      </c>
      <c r="C816" s="12" t="s">
        <v>74</v>
      </c>
      <c r="D816" s="13">
        <v>2</v>
      </c>
      <c r="E816" s="13"/>
      <c r="F816" s="13"/>
      <c r="G816" s="13"/>
      <c r="H816" s="14">
        <v>151.56</v>
      </c>
      <c r="I816" s="14">
        <f t="shared" si="20"/>
        <v>303.12</v>
      </c>
    </row>
    <row r="817" spans="2:9" s="10" customFormat="1" ht="30" x14ac:dyDescent="0.4">
      <c r="B817" s="11">
        <v>30</v>
      </c>
      <c r="C817" s="12" t="s">
        <v>62</v>
      </c>
      <c r="D817" s="13">
        <v>2</v>
      </c>
      <c r="E817" s="13"/>
      <c r="F817" s="13"/>
      <c r="G817" s="13"/>
      <c r="H817" s="14">
        <v>121.32</v>
      </c>
      <c r="I817" s="14">
        <f t="shared" si="20"/>
        <v>242.64</v>
      </c>
    </row>
    <row r="818" spans="2:9" s="10" customFormat="1" ht="30" x14ac:dyDescent="0.4">
      <c r="B818" s="11">
        <v>31</v>
      </c>
      <c r="C818" s="12" t="s">
        <v>118</v>
      </c>
      <c r="D818" s="13">
        <v>2</v>
      </c>
      <c r="E818" s="13"/>
      <c r="F818" s="13"/>
      <c r="G818" s="13"/>
      <c r="H818" s="14">
        <v>156.96</v>
      </c>
      <c r="I818" s="14">
        <f t="shared" si="20"/>
        <v>313.92</v>
      </c>
    </row>
    <row r="819" spans="2:9" s="10" customFormat="1" x14ac:dyDescent="0.4">
      <c r="B819" s="11">
        <v>32</v>
      </c>
      <c r="C819" s="12" t="s">
        <v>64</v>
      </c>
      <c r="D819" s="13">
        <v>5</v>
      </c>
      <c r="E819" s="13"/>
      <c r="F819" s="13"/>
      <c r="G819" s="13"/>
      <c r="H819" s="14">
        <v>116.28</v>
      </c>
      <c r="I819" s="14">
        <f t="shared" si="20"/>
        <v>581.4</v>
      </c>
    </row>
    <row r="820" spans="2:9" s="10" customFormat="1" ht="30" x14ac:dyDescent="0.4">
      <c r="B820" s="11">
        <v>33</v>
      </c>
      <c r="C820" s="12" t="s">
        <v>117</v>
      </c>
      <c r="D820" s="13">
        <v>5</v>
      </c>
      <c r="E820" s="13"/>
      <c r="F820" s="13"/>
      <c r="G820" s="13"/>
      <c r="H820" s="14">
        <v>142.56</v>
      </c>
      <c r="I820" s="14">
        <f t="shared" si="20"/>
        <v>712.8</v>
      </c>
    </row>
    <row r="821" spans="2:9" s="10" customFormat="1" ht="30" x14ac:dyDescent="0.4">
      <c r="B821" s="11">
        <v>34</v>
      </c>
      <c r="C821" s="12" t="s">
        <v>66</v>
      </c>
      <c r="D821" s="13">
        <v>5</v>
      </c>
      <c r="E821" s="13"/>
      <c r="F821" s="13"/>
      <c r="G821" s="13"/>
      <c r="H821" s="14">
        <v>116.28</v>
      </c>
      <c r="I821" s="14">
        <f t="shared" si="20"/>
        <v>581.4</v>
      </c>
    </row>
    <row r="822" spans="2:9" s="10" customFormat="1" ht="30" x14ac:dyDescent="0.4">
      <c r="B822" s="11">
        <v>35</v>
      </c>
      <c r="C822" s="12" t="s">
        <v>65</v>
      </c>
      <c r="D822" s="13">
        <v>5</v>
      </c>
      <c r="E822" s="13"/>
      <c r="F822" s="13"/>
      <c r="G822" s="13"/>
      <c r="H822" s="14">
        <v>113.4</v>
      </c>
      <c r="I822" s="14">
        <f t="shared" si="20"/>
        <v>567</v>
      </c>
    </row>
    <row r="823" spans="2:9" s="10" customFormat="1" ht="45" x14ac:dyDescent="0.4">
      <c r="B823" s="11">
        <v>36</v>
      </c>
      <c r="C823" s="12" t="s">
        <v>116</v>
      </c>
      <c r="D823" s="13">
        <v>1</v>
      </c>
      <c r="E823" s="13"/>
      <c r="F823" s="13"/>
      <c r="G823" s="13"/>
      <c r="H823" s="14">
        <v>171.71999999999997</v>
      </c>
      <c r="I823" s="14">
        <f t="shared" si="20"/>
        <v>171.71999999999997</v>
      </c>
    </row>
    <row r="824" spans="2:9" s="10" customFormat="1" ht="30" x14ac:dyDescent="0.4">
      <c r="B824" s="11">
        <v>37</v>
      </c>
      <c r="C824" s="12" t="s">
        <v>115</v>
      </c>
      <c r="D824" s="13">
        <v>1</v>
      </c>
      <c r="E824" s="13"/>
      <c r="F824" s="13"/>
      <c r="G824" s="13"/>
      <c r="H824" s="14">
        <v>758.52</v>
      </c>
      <c r="I824" s="14">
        <f t="shared" si="20"/>
        <v>758.52</v>
      </c>
    </row>
    <row r="825" spans="2:9" s="10" customFormat="1" ht="30" x14ac:dyDescent="0.4">
      <c r="B825" s="11">
        <v>38</v>
      </c>
      <c r="C825" s="12" t="s">
        <v>89</v>
      </c>
      <c r="D825" s="13">
        <v>1</v>
      </c>
      <c r="E825" s="13"/>
      <c r="F825" s="13"/>
      <c r="G825" s="13"/>
      <c r="H825" s="14">
        <v>772.92000000000007</v>
      </c>
      <c r="I825" s="14">
        <f t="shared" si="20"/>
        <v>772.92000000000007</v>
      </c>
    </row>
    <row r="826" spans="2:9" s="10" customFormat="1" x14ac:dyDescent="0.4">
      <c r="B826" s="11">
        <v>39</v>
      </c>
      <c r="C826" s="12" t="s">
        <v>87</v>
      </c>
      <c r="D826" s="48">
        <v>1</v>
      </c>
      <c r="E826" s="48"/>
      <c r="F826" s="48"/>
      <c r="G826" s="48"/>
      <c r="H826" s="14">
        <v>231.84</v>
      </c>
      <c r="I826" s="14">
        <f t="shared" si="20"/>
        <v>231.84</v>
      </c>
    </row>
    <row r="827" spans="2:9" s="10" customFormat="1" x14ac:dyDescent="0.4">
      <c r="B827" s="11">
        <v>40</v>
      </c>
      <c r="C827" s="12" t="s">
        <v>87</v>
      </c>
      <c r="D827" s="13">
        <v>1</v>
      </c>
      <c r="E827" s="13"/>
      <c r="F827" s="13"/>
      <c r="G827" s="13"/>
      <c r="H827" s="14">
        <v>231.84</v>
      </c>
      <c r="I827" s="14">
        <f t="shared" si="20"/>
        <v>231.84</v>
      </c>
    </row>
    <row r="828" spans="2:9" s="10" customFormat="1" ht="30" x14ac:dyDescent="0.4">
      <c r="B828" s="11">
        <v>41</v>
      </c>
      <c r="C828" s="12" t="s">
        <v>114</v>
      </c>
      <c r="D828" s="13">
        <v>1</v>
      </c>
      <c r="E828" s="13"/>
      <c r="F828" s="13"/>
      <c r="G828" s="13"/>
      <c r="H828" s="14">
        <v>2208.96</v>
      </c>
      <c r="I828" s="14">
        <f t="shared" si="20"/>
        <v>2208.96</v>
      </c>
    </row>
    <row r="829" spans="2:9" s="10" customFormat="1" ht="15.75" customHeight="1" x14ac:dyDescent="0.4">
      <c r="B829" s="11">
        <v>42</v>
      </c>
      <c r="C829" s="12" t="s">
        <v>113</v>
      </c>
      <c r="D829" s="13">
        <v>1</v>
      </c>
      <c r="E829" s="13"/>
      <c r="F829" s="13"/>
      <c r="G829" s="13"/>
      <c r="H829" s="14">
        <v>51.48</v>
      </c>
      <c r="I829" s="14">
        <f t="shared" si="20"/>
        <v>51.48</v>
      </c>
    </row>
    <row r="830" spans="2:9" s="10" customFormat="1" ht="30" x14ac:dyDescent="0.4">
      <c r="B830" s="11">
        <v>43</v>
      </c>
      <c r="C830" s="12" t="s">
        <v>82</v>
      </c>
      <c r="D830" s="13">
        <v>1</v>
      </c>
      <c r="E830" s="13"/>
      <c r="F830" s="13"/>
      <c r="G830" s="13"/>
      <c r="H830" s="14">
        <v>137.88</v>
      </c>
      <c r="I830" s="14">
        <f t="shared" si="20"/>
        <v>137.88</v>
      </c>
    </row>
    <row r="831" spans="2:9" s="10" customFormat="1" ht="30" x14ac:dyDescent="0.4">
      <c r="B831" s="11">
        <v>44</v>
      </c>
      <c r="C831" s="12" t="s">
        <v>112</v>
      </c>
      <c r="D831" s="13">
        <v>1</v>
      </c>
      <c r="E831" s="13"/>
      <c r="F831" s="13"/>
      <c r="G831" s="13"/>
      <c r="H831" s="14">
        <v>164.15999999999997</v>
      </c>
      <c r="I831" s="14">
        <f t="shared" si="20"/>
        <v>164.15999999999997</v>
      </c>
    </row>
    <row r="832" spans="2:9" s="10" customFormat="1" ht="30" x14ac:dyDescent="0.4">
      <c r="B832" s="11">
        <v>45</v>
      </c>
      <c r="C832" s="12" t="s">
        <v>91</v>
      </c>
      <c r="D832" s="13">
        <v>1</v>
      </c>
      <c r="E832" s="13"/>
      <c r="F832" s="13"/>
      <c r="G832" s="13"/>
      <c r="H832" s="14">
        <v>87.12</v>
      </c>
      <c r="I832" s="14">
        <f t="shared" si="20"/>
        <v>87.12</v>
      </c>
    </row>
    <row r="833" spans="2:11" s="10" customFormat="1" ht="30" x14ac:dyDescent="0.4">
      <c r="B833" s="11">
        <v>46</v>
      </c>
      <c r="C833" s="12" t="s">
        <v>111</v>
      </c>
      <c r="D833" s="13">
        <v>1</v>
      </c>
      <c r="E833" s="13"/>
      <c r="F833" s="13"/>
      <c r="G833" s="13"/>
      <c r="H833" s="14">
        <v>84.24</v>
      </c>
      <c r="I833" s="14">
        <f t="shared" si="20"/>
        <v>84.24</v>
      </c>
    </row>
    <row r="834" spans="2:11" s="10" customFormat="1" ht="30" x14ac:dyDescent="0.4">
      <c r="B834" s="11">
        <v>47</v>
      </c>
      <c r="C834" s="12" t="s">
        <v>110</v>
      </c>
      <c r="D834" s="13">
        <v>1</v>
      </c>
      <c r="E834" s="13"/>
      <c r="F834" s="13"/>
      <c r="G834" s="13"/>
      <c r="H834" s="14">
        <v>161.28</v>
      </c>
      <c r="I834" s="14">
        <f t="shared" si="20"/>
        <v>161.28</v>
      </c>
    </row>
    <row r="835" spans="2:11" s="10" customFormat="1" x14ac:dyDescent="0.4">
      <c r="B835" s="11">
        <v>48</v>
      </c>
      <c r="C835" s="12" t="s">
        <v>109</v>
      </c>
      <c r="D835" s="13">
        <v>1</v>
      </c>
      <c r="E835" s="13"/>
      <c r="F835" s="13"/>
      <c r="G835" s="13"/>
      <c r="H835" s="14">
        <v>2686.6800000000003</v>
      </c>
      <c r="I835" s="14">
        <f t="shared" si="20"/>
        <v>2686.6800000000003</v>
      </c>
    </row>
    <row r="836" spans="2:11" s="10" customFormat="1" ht="60" x14ac:dyDescent="0.4">
      <c r="B836" s="11">
        <v>49</v>
      </c>
      <c r="C836" s="12" t="s">
        <v>0</v>
      </c>
      <c r="D836" s="13">
        <v>1</v>
      </c>
      <c r="E836" s="13"/>
      <c r="F836" s="13"/>
      <c r="G836" s="13"/>
      <c r="H836" s="14">
        <v>9400</v>
      </c>
      <c r="I836" s="14">
        <f t="shared" si="20"/>
        <v>9400</v>
      </c>
    </row>
    <row r="837" spans="2:11" s="10" customFormat="1" x14ac:dyDescent="0.4">
      <c r="B837" s="15"/>
      <c r="C837" s="16"/>
      <c r="D837" s="17">
        <f>SUM(D788:D836)</f>
        <v>78</v>
      </c>
      <c r="E837" s="45"/>
      <c r="F837" s="45"/>
      <c r="G837" s="45"/>
      <c r="H837" s="9"/>
      <c r="I837" s="18">
        <f>SUM(I788:I836)</f>
        <v>36741.304000000004</v>
      </c>
    </row>
    <row r="838" spans="2:11" s="10" customFormat="1" ht="15.75" customHeight="1" x14ac:dyDescent="0.4">
      <c r="B838" s="15"/>
      <c r="C838" s="19"/>
      <c r="D838" s="45"/>
      <c r="E838" s="45"/>
      <c r="F838" s="45"/>
      <c r="G838" s="45"/>
      <c r="H838" s="9"/>
      <c r="I838" s="9"/>
    </row>
    <row r="839" spans="2:11" s="10" customFormat="1" x14ac:dyDescent="0.4">
      <c r="B839" s="124" t="s">
        <v>547</v>
      </c>
      <c r="C839" s="125"/>
      <c r="D839" s="125"/>
      <c r="E839" s="125"/>
      <c r="F839" s="125"/>
      <c r="G839" s="125"/>
      <c r="H839" s="125"/>
      <c r="I839" s="126"/>
      <c r="K839" s="10" t="s">
        <v>548</v>
      </c>
    </row>
    <row r="840" spans="2:11" ht="30" x14ac:dyDescent="0.4">
      <c r="B840" s="51" t="s">
        <v>21</v>
      </c>
      <c r="C840" s="51" t="s">
        <v>20</v>
      </c>
      <c r="D840" s="51" t="s">
        <v>19</v>
      </c>
      <c r="E840" s="51" t="s">
        <v>523</v>
      </c>
      <c r="F840" s="51" t="s">
        <v>524</v>
      </c>
      <c r="G840" s="51" t="s">
        <v>525</v>
      </c>
      <c r="H840" s="52" t="s">
        <v>18</v>
      </c>
      <c r="I840" s="52" t="s">
        <v>17</v>
      </c>
    </row>
    <row r="841" spans="2:11" x14ac:dyDescent="0.4">
      <c r="B841" s="13">
        <v>1</v>
      </c>
      <c r="C841" s="12" t="s">
        <v>549</v>
      </c>
      <c r="D841" s="13">
        <v>1</v>
      </c>
      <c r="E841" s="109" t="s">
        <v>580</v>
      </c>
      <c r="F841" s="22"/>
      <c r="G841" s="22"/>
      <c r="H841" s="110"/>
      <c r="I841" s="110"/>
    </row>
    <row r="842" spans="2:11" x14ac:dyDescent="0.4">
      <c r="B842" s="13">
        <v>2</v>
      </c>
      <c r="C842" s="12" t="s">
        <v>550</v>
      </c>
      <c r="D842" s="13">
        <v>1</v>
      </c>
      <c r="E842" s="109" t="s">
        <v>581</v>
      </c>
      <c r="F842" s="22"/>
      <c r="G842" s="22"/>
      <c r="H842" s="110"/>
      <c r="I842" s="110"/>
    </row>
    <row r="843" spans="2:11" x14ac:dyDescent="0.4">
      <c r="B843" s="13">
        <v>3</v>
      </c>
      <c r="C843" s="12" t="s">
        <v>551</v>
      </c>
      <c r="D843" s="13">
        <v>1</v>
      </c>
      <c r="E843" s="109" t="s">
        <v>582</v>
      </c>
      <c r="F843" s="22"/>
      <c r="G843" s="22"/>
      <c r="H843" s="110"/>
      <c r="I843" s="110"/>
    </row>
    <row r="844" spans="2:11" x14ac:dyDescent="0.4">
      <c r="B844" s="13">
        <v>4</v>
      </c>
      <c r="C844" s="12" t="s">
        <v>552</v>
      </c>
      <c r="D844" s="13">
        <v>1</v>
      </c>
      <c r="E844" s="109" t="s">
        <v>583</v>
      </c>
      <c r="F844" s="22"/>
      <c r="G844" s="22"/>
      <c r="H844" s="110"/>
      <c r="I844" s="110"/>
    </row>
    <row r="845" spans="2:11" x14ac:dyDescent="0.4">
      <c r="B845" s="13">
        <v>5</v>
      </c>
      <c r="C845" s="12" t="s">
        <v>553</v>
      </c>
      <c r="D845" s="13">
        <v>1</v>
      </c>
      <c r="E845" s="109" t="s">
        <v>584</v>
      </c>
      <c r="F845" s="22"/>
      <c r="G845" s="22"/>
      <c r="H845" s="110"/>
      <c r="I845" s="110"/>
    </row>
    <row r="846" spans="2:11" x14ac:dyDescent="0.4">
      <c r="B846" s="13">
        <v>6</v>
      </c>
      <c r="C846" s="12" t="s">
        <v>554</v>
      </c>
      <c r="D846" s="13">
        <v>1</v>
      </c>
      <c r="E846" s="109" t="s">
        <v>585</v>
      </c>
      <c r="F846" s="22"/>
      <c r="G846" s="22"/>
      <c r="H846" s="110"/>
      <c r="I846" s="110"/>
    </row>
    <row r="847" spans="2:11" x14ac:dyDescent="0.4">
      <c r="B847" s="13">
        <v>7</v>
      </c>
      <c r="C847" s="12" t="s">
        <v>555</v>
      </c>
      <c r="D847" s="13">
        <v>1</v>
      </c>
      <c r="E847" s="109" t="s">
        <v>586</v>
      </c>
      <c r="F847" s="22"/>
      <c r="G847" s="22"/>
      <c r="H847" s="110"/>
      <c r="I847" s="110"/>
    </row>
    <row r="848" spans="2:11" x14ac:dyDescent="0.4">
      <c r="B848" s="13">
        <v>8</v>
      </c>
      <c r="C848" s="12" t="s">
        <v>556</v>
      </c>
      <c r="D848" s="13">
        <v>1</v>
      </c>
      <c r="E848" s="109" t="s">
        <v>587</v>
      </c>
      <c r="F848" s="22"/>
      <c r="G848" s="22"/>
      <c r="H848" s="110"/>
      <c r="I848" s="110"/>
    </row>
    <row r="849" spans="2:9" x14ac:dyDescent="0.4">
      <c r="B849" s="13">
        <v>9</v>
      </c>
      <c r="C849" s="12" t="s">
        <v>557</v>
      </c>
      <c r="D849" s="13">
        <v>1</v>
      </c>
      <c r="E849" s="109" t="s">
        <v>588</v>
      </c>
      <c r="F849" s="22"/>
      <c r="G849" s="22"/>
      <c r="H849" s="110"/>
      <c r="I849" s="110"/>
    </row>
    <row r="850" spans="2:9" x14ac:dyDescent="0.4">
      <c r="B850" s="13">
        <v>10</v>
      </c>
      <c r="C850" s="12" t="s">
        <v>558</v>
      </c>
      <c r="D850" s="13">
        <v>1</v>
      </c>
      <c r="E850" s="109" t="s">
        <v>589</v>
      </c>
      <c r="F850" s="22"/>
      <c r="G850" s="22"/>
      <c r="H850" s="110"/>
      <c r="I850" s="110"/>
    </row>
    <row r="851" spans="2:9" x14ac:dyDescent="0.4">
      <c r="B851" s="13">
        <v>11</v>
      </c>
      <c r="C851" s="12" t="s">
        <v>559</v>
      </c>
      <c r="D851" s="13">
        <v>1</v>
      </c>
      <c r="E851" s="109" t="s">
        <v>590</v>
      </c>
      <c r="F851" s="22"/>
      <c r="G851" s="22"/>
      <c r="H851" s="110"/>
      <c r="I851" s="110"/>
    </row>
    <row r="852" spans="2:9" x14ac:dyDescent="0.4">
      <c r="B852" s="13">
        <v>12</v>
      </c>
      <c r="C852" s="12" t="s">
        <v>560</v>
      </c>
      <c r="D852" s="13">
        <v>1</v>
      </c>
      <c r="E852" s="109" t="s">
        <v>591</v>
      </c>
      <c r="F852" s="22"/>
      <c r="G852" s="22"/>
      <c r="H852" s="110"/>
      <c r="I852" s="110"/>
    </row>
    <row r="853" spans="2:9" x14ac:dyDescent="0.4">
      <c r="B853" s="13">
        <v>13</v>
      </c>
      <c r="C853" s="12" t="s">
        <v>561</v>
      </c>
      <c r="D853" s="13">
        <v>1</v>
      </c>
      <c r="E853" s="109" t="s">
        <v>592</v>
      </c>
      <c r="F853" s="22"/>
      <c r="G853" s="22"/>
      <c r="H853" s="110"/>
      <c r="I853" s="110"/>
    </row>
    <row r="854" spans="2:9" x14ac:dyDescent="0.4">
      <c r="B854" s="13">
        <v>14</v>
      </c>
      <c r="C854" s="12" t="s">
        <v>562</v>
      </c>
      <c r="D854" s="13">
        <v>1</v>
      </c>
      <c r="E854" s="109" t="s">
        <v>593</v>
      </c>
      <c r="F854" s="22"/>
      <c r="G854" s="22"/>
      <c r="H854" s="110"/>
      <c r="I854" s="110"/>
    </row>
    <row r="855" spans="2:9" x14ac:dyDescent="0.4">
      <c r="B855" s="13">
        <v>15</v>
      </c>
      <c r="C855" s="12" t="s">
        <v>563</v>
      </c>
      <c r="D855" s="13">
        <v>1</v>
      </c>
      <c r="E855" s="109" t="s">
        <v>594</v>
      </c>
      <c r="F855" s="22"/>
      <c r="G855" s="22"/>
      <c r="H855" s="110"/>
      <c r="I855" s="110"/>
    </row>
    <row r="856" spans="2:9" x14ac:dyDescent="0.4">
      <c r="B856" s="13">
        <v>16</v>
      </c>
      <c r="C856" s="12" t="s">
        <v>564</v>
      </c>
      <c r="D856" s="13">
        <v>1</v>
      </c>
      <c r="E856" s="109" t="s">
        <v>595</v>
      </c>
      <c r="F856" s="22"/>
      <c r="G856" s="22"/>
      <c r="H856" s="110"/>
      <c r="I856" s="110"/>
    </row>
    <row r="857" spans="2:9" x14ac:dyDescent="0.4">
      <c r="B857" s="13">
        <v>17</v>
      </c>
      <c r="C857" s="12" t="s">
        <v>565</v>
      </c>
      <c r="D857" s="13">
        <v>1</v>
      </c>
      <c r="E857" s="109" t="s">
        <v>596</v>
      </c>
      <c r="F857" s="22"/>
      <c r="G857" s="22"/>
      <c r="H857" s="110"/>
      <c r="I857" s="110"/>
    </row>
    <row r="858" spans="2:9" x14ac:dyDescent="0.4">
      <c r="B858" s="13">
        <v>18</v>
      </c>
      <c r="C858" s="12" t="s">
        <v>566</v>
      </c>
      <c r="D858" s="13">
        <v>1</v>
      </c>
      <c r="E858" s="109" t="s">
        <v>597</v>
      </c>
      <c r="F858" s="22"/>
      <c r="G858" s="22"/>
      <c r="H858" s="110"/>
      <c r="I858" s="110"/>
    </row>
    <row r="859" spans="2:9" x14ac:dyDescent="0.4">
      <c r="B859" s="13">
        <v>19</v>
      </c>
      <c r="C859" s="12" t="s">
        <v>567</v>
      </c>
      <c r="D859" s="13">
        <v>1</v>
      </c>
      <c r="E859" s="109" t="s">
        <v>598</v>
      </c>
      <c r="F859" s="22"/>
      <c r="G859" s="22"/>
      <c r="H859" s="110"/>
      <c r="I859" s="110"/>
    </row>
    <row r="860" spans="2:9" x14ac:dyDescent="0.4">
      <c r="B860" s="13">
        <v>20</v>
      </c>
      <c r="C860" s="12" t="s">
        <v>568</v>
      </c>
      <c r="D860" s="13">
        <v>1</v>
      </c>
      <c r="E860" s="109" t="s">
        <v>599</v>
      </c>
      <c r="F860" s="22"/>
      <c r="G860" s="22"/>
      <c r="H860" s="110"/>
      <c r="I860" s="110"/>
    </row>
    <row r="861" spans="2:9" x14ac:dyDescent="0.4">
      <c r="B861" s="13">
        <v>21</v>
      </c>
      <c r="C861" s="12" t="s">
        <v>569</v>
      </c>
      <c r="D861" s="13">
        <v>1</v>
      </c>
      <c r="E861" s="109" t="s">
        <v>600</v>
      </c>
      <c r="F861" s="22"/>
      <c r="G861" s="22"/>
      <c r="H861" s="110"/>
      <c r="I861" s="110"/>
    </row>
    <row r="862" spans="2:9" x14ac:dyDescent="0.4">
      <c r="B862" s="13">
        <v>22</v>
      </c>
      <c r="C862" s="12" t="s">
        <v>570</v>
      </c>
      <c r="D862" s="13">
        <v>1</v>
      </c>
      <c r="E862" s="109" t="s">
        <v>601</v>
      </c>
      <c r="F862" s="22"/>
      <c r="G862" s="22"/>
      <c r="H862" s="110"/>
      <c r="I862" s="110"/>
    </row>
    <row r="863" spans="2:9" x14ac:dyDescent="0.4">
      <c r="B863" s="13">
        <v>23</v>
      </c>
      <c r="C863" s="12" t="s">
        <v>571</v>
      </c>
      <c r="D863" s="13">
        <v>1</v>
      </c>
      <c r="E863" s="109" t="s">
        <v>602</v>
      </c>
      <c r="F863" s="22"/>
      <c r="G863" s="22"/>
      <c r="H863" s="110"/>
      <c r="I863" s="110"/>
    </row>
    <row r="864" spans="2:9" x14ac:dyDescent="0.4">
      <c r="B864" s="13">
        <v>24</v>
      </c>
      <c r="C864" s="12" t="s">
        <v>572</v>
      </c>
      <c r="D864" s="13">
        <v>1</v>
      </c>
      <c r="E864" s="109" t="s">
        <v>603</v>
      </c>
      <c r="F864" s="22"/>
      <c r="G864" s="22"/>
      <c r="H864" s="110"/>
      <c r="I864" s="110"/>
    </row>
    <row r="865" spans="2:103" x14ac:dyDescent="0.4">
      <c r="B865" s="13">
        <v>25</v>
      </c>
      <c r="C865" s="12" t="s">
        <v>573</v>
      </c>
      <c r="D865" s="13">
        <v>1</v>
      </c>
      <c r="E865" s="109" t="s">
        <v>604</v>
      </c>
      <c r="F865" s="22"/>
      <c r="G865" s="22"/>
      <c r="H865" s="110"/>
      <c r="I865" s="110"/>
    </row>
    <row r="866" spans="2:103" x14ac:dyDescent="0.4">
      <c r="B866" s="13">
        <v>26</v>
      </c>
      <c r="C866" s="12" t="s">
        <v>574</v>
      </c>
      <c r="D866" s="13">
        <v>1</v>
      </c>
      <c r="E866" s="109" t="s">
        <v>605</v>
      </c>
      <c r="F866" s="22"/>
      <c r="G866" s="22"/>
      <c r="H866" s="110"/>
      <c r="I866" s="110"/>
    </row>
    <row r="867" spans="2:103" x14ac:dyDescent="0.4">
      <c r="B867" s="13">
        <v>27</v>
      </c>
      <c r="C867" s="12" t="s">
        <v>575</v>
      </c>
      <c r="D867" s="13">
        <v>1</v>
      </c>
      <c r="E867" s="109" t="s">
        <v>606</v>
      </c>
      <c r="F867" s="22"/>
      <c r="G867" s="22"/>
      <c r="H867" s="110"/>
      <c r="I867" s="110"/>
    </row>
    <row r="868" spans="2:103" x14ac:dyDescent="0.4">
      <c r="B868" s="13">
        <v>28</v>
      </c>
      <c r="C868" s="12" t="s">
        <v>576</v>
      </c>
      <c r="D868" s="13">
        <v>1</v>
      </c>
      <c r="E868" s="109" t="s">
        <v>607</v>
      </c>
      <c r="F868" s="22"/>
      <c r="G868" s="22"/>
      <c r="H868" s="110"/>
      <c r="I868" s="110"/>
    </row>
    <row r="869" spans="2:103" x14ac:dyDescent="0.4">
      <c r="B869" s="13">
        <v>29</v>
      </c>
      <c r="C869" s="12" t="s">
        <v>577</v>
      </c>
      <c r="D869" s="13">
        <v>1</v>
      </c>
      <c r="E869" s="109" t="s">
        <v>608</v>
      </c>
      <c r="F869" s="22"/>
      <c r="G869" s="22"/>
      <c r="H869" s="110"/>
      <c r="I869" s="110"/>
    </row>
    <row r="870" spans="2:103" x14ac:dyDescent="0.4">
      <c r="B870" s="13">
        <v>30</v>
      </c>
      <c r="C870" s="12" t="s">
        <v>578</v>
      </c>
      <c r="D870" s="13">
        <v>1</v>
      </c>
      <c r="E870" s="109" t="s">
        <v>609</v>
      </c>
      <c r="F870" s="22"/>
      <c r="G870" s="22"/>
      <c r="H870" s="110"/>
      <c r="I870" s="110"/>
    </row>
    <row r="871" spans="2:103" x14ac:dyDescent="0.4">
      <c r="B871" s="13">
        <v>31</v>
      </c>
      <c r="C871" s="12" t="s">
        <v>579</v>
      </c>
      <c r="D871" s="13">
        <v>1</v>
      </c>
      <c r="E871" s="109" t="s">
        <v>610</v>
      </c>
      <c r="F871" s="22"/>
      <c r="G871" s="22"/>
      <c r="H871" s="110"/>
      <c r="I871" s="110"/>
    </row>
    <row r="872" spans="2:103" x14ac:dyDescent="0.4">
      <c r="B872" s="13">
        <v>32</v>
      </c>
      <c r="C872" s="12" t="s">
        <v>565</v>
      </c>
      <c r="D872" s="13">
        <v>1</v>
      </c>
      <c r="E872" s="109" t="s">
        <v>596</v>
      </c>
      <c r="F872" s="22"/>
      <c r="G872" s="22"/>
      <c r="H872" s="110"/>
      <c r="I872" s="110"/>
    </row>
    <row r="873" spans="2:103" ht="60" x14ac:dyDescent="0.4">
      <c r="B873" s="13">
        <v>33</v>
      </c>
      <c r="C873" s="12" t="s">
        <v>264</v>
      </c>
      <c r="D873" s="13">
        <v>1</v>
      </c>
      <c r="E873" s="109"/>
      <c r="F873" s="13"/>
      <c r="G873" s="13"/>
      <c r="H873" s="14">
        <v>8360</v>
      </c>
      <c r="I873" s="110"/>
    </row>
    <row r="874" spans="2:103" s="10" customFormat="1" x14ac:dyDescent="0.4">
      <c r="B874" s="44"/>
      <c r="C874" s="43"/>
      <c r="D874" s="50"/>
      <c r="E874" s="50"/>
      <c r="F874" s="50"/>
      <c r="G874" s="50"/>
      <c r="H874" s="9"/>
      <c r="I874" s="9"/>
      <c r="CS874" s="37"/>
      <c r="CT874" s="37"/>
      <c r="CU874" s="37"/>
      <c r="CV874" s="37"/>
      <c r="CW874" s="37"/>
      <c r="CX874" s="37"/>
      <c r="CY874" s="37"/>
    </row>
    <row r="875" spans="2:103" s="10" customFormat="1" x14ac:dyDescent="0.4">
      <c r="B875" s="44"/>
      <c r="C875" s="43"/>
      <c r="D875" s="50"/>
      <c r="E875" s="50"/>
      <c r="F875" s="50"/>
      <c r="G875" s="50"/>
      <c r="H875" s="9"/>
      <c r="I875" s="9"/>
      <c r="CS875" s="37"/>
      <c r="CT875" s="37"/>
      <c r="CU875" s="37"/>
      <c r="CV875" s="37"/>
      <c r="CW875" s="37"/>
      <c r="CX875" s="37"/>
      <c r="CY875" s="37"/>
    </row>
    <row r="876" spans="2:103" s="10" customFormat="1" x14ac:dyDescent="0.4">
      <c r="B876" s="124" t="s">
        <v>614</v>
      </c>
      <c r="C876" s="125"/>
      <c r="D876" s="125"/>
      <c r="E876" s="125"/>
      <c r="F876" s="125"/>
      <c r="G876" s="125"/>
      <c r="H876" s="125"/>
      <c r="I876" s="126"/>
      <c r="CS876" s="37"/>
      <c r="CT876" s="37"/>
      <c r="CU876" s="37"/>
      <c r="CV876" s="37"/>
      <c r="CW876" s="37"/>
      <c r="CX876" s="37"/>
      <c r="CY876" s="37"/>
    </row>
    <row r="877" spans="2:103" s="10" customFormat="1" ht="30" x14ac:dyDescent="0.4">
      <c r="B877" s="51" t="s">
        <v>21</v>
      </c>
      <c r="C877" s="51" t="s">
        <v>20</v>
      </c>
      <c r="D877" s="51" t="s">
        <v>19</v>
      </c>
      <c r="E877" s="51" t="s">
        <v>523</v>
      </c>
      <c r="F877" s="51" t="s">
        <v>524</v>
      </c>
      <c r="G877" s="51" t="s">
        <v>525</v>
      </c>
      <c r="H877" s="52" t="s">
        <v>18</v>
      </c>
      <c r="I877" s="52" t="s">
        <v>17</v>
      </c>
      <c r="CS877" s="37"/>
      <c r="CT877" s="37"/>
      <c r="CU877" s="37"/>
      <c r="CV877" s="37"/>
      <c r="CW877" s="37"/>
      <c r="CX877" s="37"/>
      <c r="CY877" s="37"/>
    </row>
    <row r="878" spans="2:103" s="10" customFormat="1" x14ac:dyDescent="0.4">
      <c r="B878" s="118">
        <v>1</v>
      </c>
      <c r="C878" s="12" t="s">
        <v>526</v>
      </c>
      <c r="D878" s="116">
        <v>30</v>
      </c>
      <c r="E878" s="118" t="s">
        <v>530</v>
      </c>
      <c r="F878" s="117"/>
      <c r="G878" s="117"/>
      <c r="H878" s="110"/>
      <c r="I878" s="110"/>
      <c r="CS878" s="37"/>
      <c r="CT878" s="37"/>
      <c r="CU878" s="37"/>
      <c r="CV878" s="37"/>
      <c r="CW878" s="37"/>
      <c r="CX878" s="37"/>
      <c r="CY878" s="37"/>
    </row>
    <row r="879" spans="2:103" s="10" customFormat="1" x14ac:dyDescent="0.4">
      <c r="B879" s="118">
        <v>2</v>
      </c>
      <c r="C879" s="12" t="s">
        <v>527</v>
      </c>
      <c r="D879" s="116">
        <v>30</v>
      </c>
      <c r="E879" s="118" t="s">
        <v>531</v>
      </c>
      <c r="F879" s="117"/>
      <c r="G879" s="117"/>
      <c r="H879" s="110"/>
      <c r="I879" s="110"/>
      <c r="CS879" s="37"/>
      <c r="CT879" s="37"/>
      <c r="CU879" s="37"/>
      <c r="CV879" s="37"/>
      <c r="CW879" s="37"/>
      <c r="CX879" s="37"/>
      <c r="CY879" s="37"/>
    </row>
    <row r="880" spans="2:103" s="10" customFormat="1" x14ac:dyDescent="0.4">
      <c r="B880" s="118">
        <v>3</v>
      </c>
      <c r="C880" s="12" t="s">
        <v>532</v>
      </c>
      <c r="D880" s="116">
        <v>30</v>
      </c>
      <c r="E880" s="118" t="s">
        <v>533</v>
      </c>
      <c r="F880" s="117"/>
      <c r="G880" s="117"/>
      <c r="H880" s="110"/>
      <c r="I880" s="110"/>
      <c r="CS880" s="37"/>
      <c r="CT880" s="37"/>
      <c r="CU880" s="37"/>
      <c r="CV880" s="37"/>
      <c r="CW880" s="37"/>
      <c r="CX880" s="37"/>
      <c r="CY880" s="37"/>
    </row>
    <row r="881" spans="2:103" s="10" customFormat="1" x14ac:dyDescent="0.4">
      <c r="B881" s="118">
        <v>4</v>
      </c>
      <c r="C881" s="12" t="s">
        <v>535</v>
      </c>
      <c r="D881" s="116">
        <v>30</v>
      </c>
      <c r="E881" s="118" t="s">
        <v>534</v>
      </c>
      <c r="F881" s="117"/>
      <c r="G881" s="117"/>
      <c r="H881" s="110"/>
      <c r="I881" s="110"/>
      <c r="CS881" s="37"/>
      <c r="CT881" s="37"/>
      <c r="CU881" s="37"/>
      <c r="CV881" s="37"/>
      <c r="CW881" s="37"/>
      <c r="CX881" s="37"/>
      <c r="CY881" s="37"/>
    </row>
    <row r="882" spans="2:103" s="10" customFormat="1" x14ac:dyDescent="0.4">
      <c r="B882" s="118">
        <v>5</v>
      </c>
      <c r="C882" s="12" t="s">
        <v>537</v>
      </c>
      <c r="D882" s="116">
        <v>30</v>
      </c>
      <c r="E882" s="118" t="s">
        <v>536</v>
      </c>
      <c r="F882" s="117"/>
      <c r="G882" s="117"/>
      <c r="H882" s="110"/>
      <c r="I882" s="110"/>
      <c r="CS882" s="37"/>
      <c r="CT882" s="37"/>
      <c r="CU882" s="37"/>
      <c r="CV882" s="37"/>
      <c r="CW882" s="37"/>
      <c r="CX882" s="37"/>
      <c r="CY882" s="37"/>
    </row>
    <row r="883" spans="2:103" s="10" customFormat="1" x14ac:dyDescent="0.4">
      <c r="B883" s="118">
        <v>6</v>
      </c>
      <c r="C883" s="12" t="s">
        <v>539</v>
      </c>
      <c r="D883" s="116">
        <v>30</v>
      </c>
      <c r="E883" s="118" t="s">
        <v>538</v>
      </c>
      <c r="F883" s="117"/>
      <c r="G883" s="117"/>
      <c r="H883" s="110"/>
      <c r="I883" s="110"/>
      <c r="CS883" s="37"/>
      <c r="CT883" s="37"/>
      <c r="CU883" s="37"/>
      <c r="CV883" s="37"/>
      <c r="CW883" s="37"/>
      <c r="CX883" s="37"/>
      <c r="CY883" s="37"/>
    </row>
    <row r="884" spans="2:103" s="10" customFormat="1" x14ac:dyDescent="0.4">
      <c r="B884" s="118">
        <v>7</v>
      </c>
      <c r="C884" s="12" t="s">
        <v>528</v>
      </c>
      <c r="D884" s="116">
        <v>10</v>
      </c>
      <c r="E884" s="118" t="s">
        <v>541</v>
      </c>
      <c r="F884" s="117"/>
      <c r="G884" s="117"/>
      <c r="H884" s="110"/>
      <c r="I884" s="110"/>
      <c r="CS884" s="37"/>
      <c r="CT884" s="37"/>
      <c r="CU884" s="37"/>
      <c r="CV884" s="37"/>
      <c r="CW884" s="37"/>
      <c r="CX884" s="37"/>
      <c r="CY884" s="37"/>
    </row>
    <row r="885" spans="2:103" s="10" customFormat="1" x14ac:dyDescent="0.4">
      <c r="B885" s="118">
        <v>8</v>
      </c>
      <c r="C885" s="12" t="s">
        <v>529</v>
      </c>
      <c r="D885" s="116">
        <v>10</v>
      </c>
      <c r="E885" s="118" t="s">
        <v>542</v>
      </c>
      <c r="F885" s="117"/>
      <c r="G885" s="117"/>
      <c r="H885" s="110"/>
      <c r="I885" s="110"/>
      <c r="CS885" s="37"/>
      <c r="CT885" s="37"/>
      <c r="CU885" s="37"/>
      <c r="CV885" s="37"/>
      <c r="CW885" s="37"/>
      <c r="CX885" s="37"/>
      <c r="CY885" s="37"/>
    </row>
    <row r="886" spans="2:103" s="10" customFormat="1" x14ac:dyDescent="0.4">
      <c r="B886" s="118">
        <v>9</v>
      </c>
      <c r="C886" s="12" t="s">
        <v>540</v>
      </c>
      <c r="D886" s="116">
        <v>10</v>
      </c>
      <c r="E886" s="118" t="s">
        <v>543</v>
      </c>
      <c r="F886" s="117"/>
      <c r="G886" s="117"/>
      <c r="H886" s="110"/>
      <c r="I886" s="110"/>
      <c r="CS886" s="37"/>
      <c r="CT886" s="37"/>
      <c r="CU886" s="37"/>
      <c r="CV886" s="37"/>
      <c r="CW886" s="37"/>
      <c r="CX886" s="37"/>
      <c r="CY886" s="37"/>
    </row>
    <row r="887" spans="2:103" s="10" customFormat="1" x14ac:dyDescent="0.4">
      <c r="B887" s="44"/>
      <c r="C887" s="43"/>
      <c r="D887" s="50"/>
      <c r="E887" s="50"/>
      <c r="F887" s="50"/>
      <c r="G887" s="50"/>
      <c r="H887" s="9"/>
      <c r="I887" s="9"/>
      <c r="CS887" s="37"/>
      <c r="CT887" s="37"/>
      <c r="CU887" s="37"/>
      <c r="CV887" s="37"/>
      <c r="CW887" s="37"/>
      <c r="CX887" s="37"/>
      <c r="CY887" s="37"/>
    </row>
    <row r="888" spans="2:103" s="10" customFormat="1" x14ac:dyDescent="0.4">
      <c r="B888" s="44"/>
      <c r="C888" s="43"/>
      <c r="D888" s="50"/>
      <c r="E888" s="50"/>
      <c r="F888" s="50"/>
      <c r="G888" s="50"/>
      <c r="H888" s="9"/>
      <c r="I888" s="9"/>
      <c r="CS888" s="37"/>
      <c r="CT888" s="37"/>
      <c r="CU888" s="37"/>
      <c r="CV888" s="37"/>
      <c r="CW888" s="37"/>
      <c r="CX888" s="37"/>
      <c r="CY888" s="37"/>
    </row>
    <row r="889" spans="2:103" s="10" customFormat="1" x14ac:dyDescent="0.4">
      <c r="B889" s="44"/>
      <c r="C889" s="43"/>
      <c r="D889" s="50"/>
      <c r="E889" s="50"/>
      <c r="F889" s="50"/>
      <c r="G889" s="50"/>
      <c r="H889" s="9"/>
      <c r="I889" s="9"/>
      <c r="CS889" s="37"/>
      <c r="CT889" s="37"/>
      <c r="CU889" s="37"/>
      <c r="CV889" s="37"/>
      <c r="CW889" s="37"/>
      <c r="CX889" s="37"/>
      <c r="CY889" s="37"/>
    </row>
    <row r="890" spans="2:103" s="10" customFormat="1" x14ac:dyDescent="0.4">
      <c r="B890" s="44"/>
      <c r="C890" s="43"/>
      <c r="D890" s="50"/>
      <c r="E890" s="50"/>
      <c r="F890" s="50"/>
      <c r="G890" s="50"/>
      <c r="H890" s="9"/>
      <c r="I890" s="9"/>
      <c r="CS890" s="37"/>
      <c r="CT890" s="37"/>
      <c r="CU890" s="37"/>
      <c r="CV890" s="37"/>
      <c r="CW890" s="37"/>
      <c r="CX890" s="37"/>
      <c r="CY890" s="37"/>
    </row>
    <row r="891" spans="2:103" s="10" customFormat="1" x14ac:dyDescent="0.4">
      <c r="B891" s="44"/>
      <c r="C891" s="43"/>
      <c r="D891" s="50"/>
      <c r="E891" s="50"/>
      <c r="F891" s="50"/>
      <c r="G891" s="50"/>
      <c r="H891" s="9"/>
      <c r="I891" s="9"/>
      <c r="CS891" s="37"/>
      <c r="CT891" s="37"/>
      <c r="CU891" s="37"/>
      <c r="CV891" s="37"/>
      <c r="CW891" s="37"/>
      <c r="CX891" s="37"/>
      <c r="CY891" s="37"/>
    </row>
    <row r="892" spans="2:103" s="10" customFormat="1" x14ac:dyDescent="0.4">
      <c r="B892" s="44"/>
      <c r="C892" s="43"/>
      <c r="D892" s="50"/>
      <c r="E892" s="50"/>
      <c r="F892" s="50"/>
      <c r="G892" s="50"/>
      <c r="H892" s="9"/>
      <c r="I892" s="9"/>
      <c r="CS892" s="37"/>
      <c r="CT892" s="37"/>
      <c r="CU892" s="37"/>
      <c r="CV892" s="37"/>
      <c r="CW892" s="37"/>
      <c r="CX892" s="37"/>
      <c r="CY892" s="37"/>
    </row>
    <row r="893" spans="2:103" s="10" customFormat="1" x14ac:dyDescent="0.4">
      <c r="B893" s="44"/>
      <c r="C893" s="43"/>
      <c r="D893" s="50"/>
      <c r="E893" s="50"/>
      <c r="F893" s="50"/>
      <c r="G893" s="50"/>
      <c r="H893" s="9"/>
      <c r="I893" s="9"/>
      <c r="CS893" s="37"/>
      <c r="CT893" s="37"/>
      <c r="CU893" s="37"/>
      <c r="CV893" s="37"/>
      <c r="CW893" s="37"/>
      <c r="CX893" s="37"/>
      <c r="CY893" s="37"/>
    </row>
    <row r="894" spans="2:103" s="10" customFormat="1" x14ac:dyDescent="0.4">
      <c r="B894" s="44"/>
      <c r="C894" s="43"/>
      <c r="D894" s="50"/>
      <c r="E894" s="50"/>
      <c r="F894" s="50"/>
      <c r="G894" s="50"/>
      <c r="H894" s="9"/>
      <c r="I894" s="9"/>
      <c r="CS894" s="37"/>
      <c r="CT894" s="37"/>
      <c r="CU894" s="37"/>
      <c r="CV894" s="37"/>
      <c r="CW894" s="37"/>
      <c r="CX894" s="37"/>
      <c r="CY894" s="37"/>
    </row>
    <row r="895" spans="2:103" s="10" customFormat="1" x14ac:dyDescent="0.4">
      <c r="B895" s="44"/>
      <c r="C895" s="43"/>
      <c r="D895" s="50"/>
      <c r="E895" s="50"/>
      <c r="F895" s="50"/>
      <c r="G895" s="50"/>
      <c r="H895" s="9"/>
      <c r="I895" s="9"/>
      <c r="CS895" s="37"/>
      <c r="CT895" s="37"/>
      <c r="CU895" s="37"/>
      <c r="CV895" s="37"/>
      <c r="CW895" s="37"/>
      <c r="CX895" s="37"/>
      <c r="CY895" s="37"/>
    </row>
    <row r="896" spans="2:103" s="10" customFormat="1" x14ac:dyDescent="0.4">
      <c r="B896" s="44"/>
      <c r="C896" s="43"/>
      <c r="D896" s="50"/>
      <c r="E896" s="50"/>
      <c r="F896" s="50"/>
      <c r="G896" s="50"/>
      <c r="H896" s="9"/>
      <c r="I896" s="9"/>
      <c r="CS896" s="37"/>
      <c r="CT896" s="37"/>
      <c r="CU896" s="37"/>
      <c r="CV896" s="37"/>
      <c r="CW896" s="37"/>
      <c r="CX896" s="37"/>
      <c r="CY896" s="37"/>
    </row>
    <row r="897" spans="2:103" s="10" customFormat="1" x14ac:dyDescent="0.4">
      <c r="B897" s="44"/>
      <c r="C897" s="43"/>
      <c r="D897" s="50"/>
      <c r="E897" s="50"/>
      <c r="F897" s="50"/>
      <c r="G897" s="50"/>
      <c r="H897" s="9"/>
      <c r="I897" s="9"/>
      <c r="CS897" s="37"/>
      <c r="CT897" s="37"/>
      <c r="CU897" s="37"/>
      <c r="CV897" s="37"/>
      <c r="CW897" s="37"/>
      <c r="CX897" s="37"/>
      <c r="CY897" s="37"/>
    </row>
    <row r="898" spans="2:103" s="10" customFormat="1" x14ac:dyDescent="0.4">
      <c r="B898" s="44"/>
      <c r="C898" s="43"/>
      <c r="D898" s="50"/>
      <c r="E898" s="50"/>
      <c r="F898" s="50"/>
      <c r="G898" s="50"/>
      <c r="H898" s="9"/>
      <c r="I898" s="9"/>
      <c r="CS898" s="37"/>
      <c r="CT898" s="37"/>
      <c r="CU898" s="37"/>
      <c r="CV898" s="37"/>
      <c r="CW898" s="37"/>
      <c r="CX898" s="37"/>
      <c r="CY898" s="37"/>
    </row>
    <row r="899" spans="2:103" s="10" customFormat="1" x14ac:dyDescent="0.4">
      <c r="B899" s="44"/>
      <c r="C899" s="43"/>
      <c r="D899" s="50"/>
      <c r="E899" s="50"/>
      <c r="F899" s="50"/>
      <c r="G899" s="50"/>
      <c r="H899" s="9"/>
      <c r="I899" s="9"/>
      <c r="CS899" s="37"/>
      <c r="CT899" s="37"/>
      <c r="CU899" s="37"/>
      <c r="CV899" s="37"/>
      <c r="CW899" s="37"/>
      <c r="CX899" s="37"/>
      <c r="CY899" s="37"/>
    </row>
    <row r="900" spans="2:103" s="10" customFormat="1" x14ac:dyDescent="0.4">
      <c r="B900" s="44"/>
      <c r="C900" s="43"/>
      <c r="D900" s="50"/>
      <c r="E900" s="50"/>
      <c r="F900" s="50"/>
      <c r="G900" s="50"/>
      <c r="H900" s="9"/>
      <c r="I900" s="9"/>
      <c r="CS900" s="37"/>
      <c r="CT900" s="37"/>
      <c r="CU900" s="37"/>
      <c r="CV900" s="37"/>
      <c r="CW900" s="37"/>
      <c r="CX900" s="37"/>
      <c r="CY900" s="37"/>
    </row>
    <row r="901" spans="2:103" s="10" customFormat="1" x14ac:dyDescent="0.4">
      <c r="B901" s="44"/>
      <c r="C901" s="43"/>
      <c r="D901" s="50"/>
      <c r="E901" s="50"/>
      <c r="F901" s="50"/>
      <c r="G901" s="50"/>
      <c r="H901" s="9"/>
      <c r="I901" s="9"/>
      <c r="CS901" s="37"/>
      <c r="CT901" s="37"/>
      <c r="CU901" s="37"/>
      <c r="CV901" s="37"/>
      <c r="CW901" s="37"/>
      <c r="CX901" s="37"/>
      <c r="CY901" s="37"/>
    </row>
    <row r="902" spans="2:103" s="10" customFormat="1" x14ac:dyDescent="0.4">
      <c r="B902" s="44"/>
      <c r="C902" s="43"/>
      <c r="D902" s="50"/>
      <c r="E902" s="50"/>
      <c r="F902" s="50"/>
      <c r="G902" s="50"/>
      <c r="H902" s="9"/>
      <c r="I902" s="9"/>
      <c r="CS902" s="37"/>
      <c r="CT902" s="37"/>
      <c r="CU902" s="37"/>
      <c r="CV902" s="37"/>
      <c r="CW902" s="37"/>
      <c r="CX902" s="37"/>
      <c r="CY902" s="37"/>
    </row>
    <row r="903" spans="2:103" s="10" customFormat="1" x14ac:dyDescent="0.4">
      <c r="B903" s="44"/>
      <c r="C903" s="43"/>
      <c r="D903" s="50"/>
      <c r="E903" s="50"/>
      <c r="F903" s="50"/>
      <c r="G903" s="50"/>
      <c r="H903" s="9"/>
      <c r="I903" s="9"/>
      <c r="CS903" s="37"/>
      <c r="CT903" s="37"/>
      <c r="CU903" s="37"/>
      <c r="CV903" s="37"/>
      <c r="CW903" s="37"/>
      <c r="CX903" s="37"/>
      <c r="CY903" s="37"/>
    </row>
    <row r="904" spans="2:103" s="10" customFormat="1" x14ac:dyDescent="0.4">
      <c r="B904" s="44"/>
      <c r="C904" s="43"/>
      <c r="D904" s="50"/>
      <c r="E904" s="50"/>
      <c r="F904" s="50"/>
      <c r="G904" s="50"/>
      <c r="H904" s="9"/>
      <c r="I904" s="9"/>
      <c r="CS904" s="37"/>
      <c r="CT904" s="37"/>
      <c r="CU904" s="37"/>
      <c r="CV904" s="37"/>
      <c r="CW904" s="37"/>
      <c r="CX904" s="37"/>
      <c r="CY904" s="37"/>
    </row>
    <row r="905" spans="2:103" s="10" customFormat="1" x14ac:dyDescent="0.4">
      <c r="B905" s="44"/>
      <c r="C905" s="43"/>
      <c r="D905" s="50"/>
      <c r="E905" s="50"/>
      <c r="F905" s="50"/>
      <c r="G905" s="50"/>
      <c r="H905" s="9"/>
      <c r="I905" s="9"/>
      <c r="CS905" s="37"/>
      <c r="CT905" s="37"/>
      <c r="CU905" s="37"/>
      <c r="CV905" s="37"/>
      <c r="CW905" s="37"/>
      <c r="CX905" s="37"/>
      <c r="CY905" s="37"/>
    </row>
    <row r="906" spans="2:103" s="10" customFormat="1" x14ac:dyDescent="0.4">
      <c r="B906" s="44"/>
      <c r="C906" s="43"/>
      <c r="D906" s="50"/>
      <c r="E906" s="50"/>
      <c r="F906" s="50"/>
      <c r="G906" s="50"/>
      <c r="H906" s="9"/>
      <c r="I906" s="9"/>
      <c r="CS906" s="37"/>
      <c r="CT906" s="37"/>
      <c r="CU906" s="37"/>
      <c r="CV906" s="37"/>
      <c r="CW906" s="37"/>
      <c r="CX906" s="37"/>
      <c r="CY906" s="37"/>
    </row>
    <row r="907" spans="2:103" s="10" customFormat="1" x14ac:dyDescent="0.4">
      <c r="B907" s="44"/>
      <c r="C907" s="43"/>
      <c r="D907" s="50"/>
      <c r="E907" s="50"/>
      <c r="F907" s="50"/>
      <c r="G907" s="50"/>
      <c r="H907" s="9"/>
      <c r="I907" s="9"/>
      <c r="CS907" s="37"/>
      <c r="CT907" s="37"/>
      <c r="CU907" s="37"/>
      <c r="CV907" s="37"/>
      <c r="CW907" s="37"/>
      <c r="CX907" s="37"/>
      <c r="CY907" s="37"/>
    </row>
    <row r="908" spans="2:103" s="10" customFormat="1" x14ac:dyDescent="0.4">
      <c r="B908" s="44"/>
      <c r="C908" s="43"/>
      <c r="D908" s="50"/>
      <c r="E908" s="50"/>
      <c r="F908" s="50"/>
      <c r="G908" s="50"/>
      <c r="H908" s="9"/>
      <c r="I908" s="9"/>
      <c r="CS908" s="37"/>
      <c r="CT908" s="37"/>
      <c r="CU908" s="37"/>
      <c r="CV908" s="37"/>
      <c r="CW908" s="37"/>
      <c r="CX908" s="37"/>
      <c r="CY908" s="37"/>
    </row>
    <row r="909" spans="2:103" s="10" customFormat="1" x14ac:dyDescent="0.4">
      <c r="B909" s="44"/>
      <c r="C909" s="43"/>
      <c r="D909" s="50"/>
      <c r="E909" s="50"/>
      <c r="F909" s="50"/>
      <c r="G909" s="50"/>
      <c r="H909" s="9"/>
      <c r="I909" s="9"/>
      <c r="CS909" s="37"/>
      <c r="CT909" s="37"/>
      <c r="CU909" s="37"/>
      <c r="CV909" s="37"/>
      <c r="CW909" s="37"/>
      <c r="CX909" s="37"/>
      <c r="CY909" s="37"/>
    </row>
    <row r="910" spans="2:103" s="10" customFormat="1" x14ac:dyDescent="0.4">
      <c r="B910" s="44"/>
      <c r="C910" s="43"/>
      <c r="D910" s="50"/>
      <c r="E910" s="50"/>
      <c r="F910" s="50"/>
      <c r="G910" s="50"/>
      <c r="H910" s="9"/>
      <c r="I910" s="9"/>
      <c r="CS910" s="37"/>
      <c r="CT910" s="37"/>
      <c r="CU910" s="37"/>
      <c r="CV910" s="37"/>
      <c r="CW910" s="37"/>
      <c r="CX910" s="37"/>
      <c r="CY910" s="37"/>
    </row>
    <row r="911" spans="2:103" s="10" customFormat="1" x14ac:dyDescent="0.4">
      <c r="B911" s="44"/>
      <c r="C911" s="43"/>
      <c r="D911" s="50"/>
      <c r="E911" s="50"/>
      <c r="F911" s="50"/>
      <c r="G911" s="50"/>
      <c r="H911" s="9"/>
      <c r="I911" s="9"/>
      <c r="CS911" s="37"/>
      <c r="CT911" s="37"/>
      <c r="CU911" s="37"/>
      <c r="CV911" s="37"/>
      <c r="CW911" s="37"/>
      <c r="CX911" s="37"/>
      <c r="CY911" s="37"/>
    </row>
    <row r="912" spans="2:103" s="10" customFormat="1" x14ac:dyDescent="0.4">
      <c r="B912" s="44"/>
      <c r="C912" s="43"/>
      <c r="D912" s="50"/>
      <c r="E912" s="50"/>
      <c r="F912" s="50"/>
      <c r="G912" s="50"/>
      <c r="H912" s="9"/>
      <c r="I912" s="9"/>
      <c r="CS912" s="37"/>
      <c r="CT912" s="37"/>
      <c r="CU912" s="37"/>
      <c r="CV912" s="37"/>
      <c r="CW912" s="37"/>
      <c r="CX912" s="37"/>
      <c r="CY912" s="37"/>
    </row>
    <row r="913" spans="2:103" s="10" customFormat="1" x14ac:dyDescent="0.4">
      <c r="B913" s="44"/>
      <c r="C913" s="43"/>
      <c r="D913" s="50"/>
      <c r="E913" s="50"/>
      <c r="F913" s="50"/>
      <c r="G913" s="50"/>
      <c r="H913" s="9"/>
      <c r="I913" s="9"/>
      <c r="CS913" s="37"/>
      <c r="CT913" s="37"/>
      <c r="CU913" s="37"/>
      <c r="CV913" s="37"/>
      <c r="CW913" s="37"/>
      <c r="CX913" s="37"/>
      <c r="CY913" s="37"/>
    </row>
    <row r="914" spans="2:103" s="10" customFormat="1" x14ac:dyDescent="0.4">
      <c r="B914" s="44"/>
      <c r="C914" s="43"/>
      <c r="D914" s="50"/>
      <c r="E914" s="50"/>
      <c r="F914" s="50"/>
      <c r="G914" s="50"/>
      <c r="H914" s="9"/>
      <c r="I914" s="9"/>
      <c r="CS914" s="37"/>
      <c r="CT914" s="37"/>
      <c r="CU914" s="37"/>
      <c r="CV914" s="37"/>
      <c r="CW914" s="37"/>
      <c r="CX914" s="37"/>
      <c r="CY914" s="37"/>
    </row>
    <row r="915" spans="2:103" s="10" customFormat="1" x14ac:dyDescent="0.4">
      <c r="B915" s="44"/>
      <c r="C915" s="43"/>
      <c r="D915" s="50"/>
      <c r="E915" s="50"/>
      <c r="F915" s="50"/>
      <c r="G915" s="50"/>
      <c r="H915" s="9"/>
      <c r="I915" s="9"/>
      <c r="CS915" s="37"/>
      <c r="CT915" s="37"/>
      <c r="CU915" s="37"/>
      <c r="CV915" s="37"/>
      <c r="CW915" s="37"/>
      <c r="CX915" s="37"/>
      <c r="CY915" s="37"/>
    </row>
    <row r="916" spans="2:103" s="10" customFormat="1" x14ac:dyDescent="0.4">
      <c r="B916" s="44"/>
      <c r="C916" s="43"/>
      <c r="D916" s="50"/>
      <c r="E916" s="50"/>
      <c r="F916" s="50"/>
      <c r="G916" s="50"/>
      <c r="H916" s="9"/>
      <c r="I916" s="9"/>
      <c r="CS916" s="37"/>
      <c r="CT916" s="37"/>
      <c r="CU916" s="37"/>
      <c r="CV916" s="37"/>
      <c r="CW916" s="37"/>
      <c r="CX916" s="37"/>
      <c r="CY916" s="37"/>
    </row>
    <row r="917" spans="2:103" s="10" customFormat="1" x14ac:dyDescent="0.4">
      <c r="B917" s="44"/>
      <c r="C917" s="43"/>
      <c r="D917" s="50"/>
      <c r="E917" s="50"/>
      <c r="F917" s="50"/>
      <c r="G917" s="50"/>
      <c r="H917" s="9"/>
      <c r="I917" s="9"/>
      <c r="CS917" s="37"/>
      <c r="CT917" s="37"/>
      <c r="CU917" s="37"/>
      <c r="CV917" s="37"/>
      <c r="CW917" s="37"/>
      <c r="CX917" s="37"/>
      <c r="CY917" s="37"/>
    </row>
    <row r="918" spans="2:103" s="10" customFormat="1" x14ac:dyDescent="0.4">
      <c r="B918" s="44"/>
      <c r="C918" s="43"/>
      <c r="D918" s="50"/>
      <c r="E918" s="50"/>
      <c r="F918" s="50"/>
      <c r="G918" s="50"/>
      <c r="H918" s="9"/>
      <c r="I918" s="9"/>
      <c r="CS918" s="37"/>
      <c r="CT918" s="37"/>
      <c r="CU918" s="37"/>
      <c r="CV918" s="37"/>
      <c r="CW918" s="37"/>
      <c r="CX918" s="37"/>
      <c r="CY918" s="37"/>
    </row>
    <row r="919" spans="2:103" s="10" customFormat="1" x14ac:dyDescent="0.4">
      <c r="B919" s="44"/>
      <c r="C919" s="43"/>
      <c r="D919" s="50"/>
      <c r="E919" s="50"/>
      <c r="F919" s="50"/>
      <c r="G919" s="50"/>
      <c r="H919" s="9"/>
      <c r="I919" s="9"/>
      <c r="CS919" s="37"/>
      <c r="CT919" s="37"/>
      <c r="CU919" s="37"/>
      <c r="CV919" s="37"/>
      <c r="CW919" s="37"/>
      <c r="CX919" s="37"/>
      <c r="CY919" s="37"/>
    </row>
    <row r="920" spans="2:103" s="10" customFormat="1" x14ac:dyDescent="0.4">
      <c r="B920" s="44"/>
      <c r="C920" s="43"/>
      <c r="D920" s="50"/>
      <c r="E920" s="50"/>
      <c r="F920" s="50"/>
      <c r="G920" s="50"/>
      <c r="H920" s="9"/>
      <c r="I920" s="9"/>
      <c r="CS920" s="37"/>
      <c r="CT920" s="37"/>
      <c r="CU920" s="37"/>
      <c r="CV920" s="37"/>
      <c r="CW920" s="37"/>
      <c r="CX920" s="37"/>
      <c r="CY920" s="37"/>
    </row>
    <row r="921" spans="2:103" s="10" customFormat="1" x14ac:dyDescent="0.4">
      <c r="B921" s="44"/>
      <c r="C921" s="43"/>
      <c r="D921" s="50"/>
      <c r="E921" s="50"/>
      <c r="F921" s="50"/>
      <c r="G921" s="50"/>
      <c r="H921" s="9"/>
      <c r="I921" s="9"/>
      <c r="CS921" s="37"/>
      <c r="CT921" s="37"/>
      <c r="CU921" s="37"/>
      <c r="CV921" s="37"/>
      <c r="CW921" s="37"/>
      <c r="CX921" s="37"/>
      <c r="CY921" s="37"/>
    </row>
    <row r="922" spans="2:103" s="10" customFormat="1" x14ac:dyDescent="0.4">
      <c r="B922" s="44"/>
      <c r="C922" s="43"/>
      <c r="D922" s="50"/>
      <c r="E922" s="50"/>
      <c r="F922" s="50"/>
      <c r="G922" s="50"/>
      <c r="H922" s="9"/>
      <c r="I922" s="9"/>
      <c r="CS922" s="37"/>
      <c r="CT922" s="37"/>
      <c r="CU922" s="37"/>
      <c r="CV922" s="37"/>
      <c r="CW922" s="37"/>
      <c r="CX922" s="37"/>
      <c r="CY922" s="37"/>
    </row>
    <row r="923" spans="2:103" s="10" customFormat="1" x14ac:dyDescent="0.4">
      <c r="B923" s="44"/>
      <c r="C923" s="43"/>
      <c r="D923" s="50"/>
      <c r="E923" s="50"/>
      <c r="F923" s="50"/>
      <c r="G923" s="50"/>
      <c r="H923" s="9"/>
      <c r="I923" s="9"/>
      <c r="CS923" s="37"/>
      <c r="CT923" s="37"/>
      <c r="CU923" s="37"/>
      <c r="CV923" s="37"/>
      <c r="CW923" s="37"/>
      <c r="CX923" s="37"/>
      <c r="CY923" s="37"/>
    </row>
    <row r="924" spans="2:103" s="10" customFormat="1" x14ac:dyDescent="0.4">
      <c r="B924" s="44"/>
      <c r="C924" s="43"/>
      <c r="D924" s="50"/>
      <c r="E924" s="50"/>
      <c r="F924" s="50"/>
      <c r="G924" s="50"/>
      <c r="H924" s="9"/>
      <c r="I924" s="9"/>
      <c r="CS924" s="37"/>
      <c r="CT924" s="37"/>
      <c r="CU924" s="37"/>
      <c r="CV924" s="37"/>
      <c r="CW924" s="37"/>
      <c r="CX924" s="37"/>
      <c r="CY924" s="37"/>
    </row>
    <row r="925" spans="2:103" s="10" customFormat="1" x14ac:dyDescent="0.4">
      <c r="B925" s="44"/>
      <c r="C925" s="43"/>
      <c r="D925" s="50"/>
      <c r="E925" s="50"/>
      <c r="F925" s="50"/>
      <c r="G925" s="50"/>
      <c r="H925" s="9"/>
      <c r="I925" s="9"/>
      <c r="CS925" s="37"/>
      <c r="CT925" s="37"/>
      <c r="CU925" s="37"/>
      <c r="CV925" s="37"/>
      <c r="CW925" s="37"/>
      <c r="CX925" s="37"/>
      <c r="CY925" s="37"/>
    </row>
    <row r="926" spans="2:103" s="10" customFormat="1" x14ac:dyDescent="0.4">
      <c r="B926" s="44"/>
      <c r="C926" s="43"/>
      <c r="D926" s="50"/>
      <c r="E926" s="50"/>
      <c r="F926" s="50"/>
      <c r="G926" s="50"/>
      <c r="H926" s="9"/>
      <c r="I926" s="9"/>
      <c r="CS926" s="37"/>
      <c r="CT926" s="37"/>
      <c r="CU926" s="37"/>
      <c r="CV926" s="37"/>
      <c r="CW926" s="37"/>
      <c r="CX926" s="37"/>
      <c r="CY926" s="37"/>
    </row>
    <row r="927" spans="2:103" s="10" customFormat="1" x14ac:dyDescent="0.4">
      <c r="B927" s="44"/>
      <c r="C927" s="43"/>
      <c r="D927" s="50"/>
      <c r="E927" s="50"/>
      <c r="F927" s="50"/>
      <c r="G927" s="50"/>
      <c r="H927" s="9"/>
      <c r="I927" s="9"/>
      <c r="CS927" s="37"/>
      <c r="CT927" s="37"/>
      <c r="CU927" s="37"/>
      <c r="CV927" s="37"/>
      <c r="CW927" s="37"/>
      <c r="CX927" s="37"/>
      <c r="CY927" s="37"/>
    </row>
    <row r="928" spans="2:103" s="10" customFormat="1" x14ac:dyDescent="0.4">
      <c r="B928" s="44"/>
      <c r="C928" s="43"/>
      <c r="D928" s="50"/>
      <c r="E928" s="50"/>
      <c r="F928" s="50"/>
      <c r="G928" s="50"/>
      <c r="H928" s="9"/>
      <c r="I928" s="9"/>
      <c r="CS928" s="37"/>
      <c r="CT928" s="37"/>
      <c r="CU928" s="37"/>
      <c r="CV928" s="37"/>
      <c r="CW928" s="37"/>
      <c r="CX928" s="37"/>
      <c r="CY928" s="37"/>
    </row>
    <row r="929" spans="2:103" s="10" customFormat="1" x14ac:dyDescent="0.4">
      <c r="B929" s="44"/>
      <c r="C929" s="43"/>
      <c r="D929" s="50"/>
      <c r="E929" s="50"/>
      <c r="F929" s="50"/>
      <c r="G929" s="50"/>
      <c r="H929" s="9"/>
      <c r="I929" s="9"/>
      <c r="CS929" s="37"/>
      <c r="CT929" s="37"/>
      <c r="CU929" s="37"/>
      <c r="CV929" s="37"/>
      <c r="CW929" s="37"/>
      <c r="CX929" s="37"/>
      <c r="CY929" s="37"/>
    </row>
    <row r="930" spans="2:103" s="10" customFormat="1" x14ac:dyDescent="0.4">
      <c r="B930" s="44"/>
      <c r="C930" s="43"/>
      <c r="D930" s="50"/>
      <c r="E930" s="50"/>
      <c r="F930" s="50"/>
      <c r="G930" s="50"/>
      <c r="H930" s="9"/>
      <c r="I930" s="9"/>
      <c r="CS930" s="37"/>
      <c r="CT930" s="37"/>
      <c r="CU930" s="37"/>
      <c r="CV930" s="37"/>
      <c r="CW930" s="37"/>
      <c r="CX930" s="37"/>
      <c r="CY930" s="37"/>
    </row>
    <row r="931" spans="2:103" s="10" customFormat="1" x14ac:dyDescent="0.4">
      <c r="B931" s="44"/>
      <c r="C931" s="43"/>
      <c r="D931" s="50"/>
      <c r="E931" s="50"/>
      <c r="F931" s="50"/>
      <c r="G931" s="50"/>
      <c r="H931" s="9"/>
      <c r="I931" s="9"/>
      <c r="CS931" s="37"/>
      <c r="CT931" s="37"/>
      <c r="CU931" s="37"/>
      <c r="CV931" s="37"/>
      <c r="CW931" s="37"/>
      <c r="CX931" s="37"/>
      <c r="CY931" s="37"/>
    </row>
    <row r="932" spans="2:103" s="10" customFormat="1" x14ac:dyDescent="0.4">
      <c r="B932" s="44"/>
      <c r="C932" s="43"/>
      <c r="D932" s="50"/>
      <c r="E932" s="50"/>
      <c r="F932" s="50"/>
      <c r="G932" s="50"/>
      <c r="H932" s="9"/>
      <c r="I932" s="9"/>
      <c r="CS932" s="37"/>
      <c r="CT932" s="37"/>
      <c r="CU932" s="37"/>
      <c r="CV932" s="37"/>
      <c r="CW932" s="37"/>
      <c r="CX932" s="37"/>
      <c r="CY932" s="37"/>
    </row>
    <row r="933" spans="2:103" s="10" customFormat="1" x14ac:dyDescent="0.4">
      <c r="B933" s="44"/>
      <c r="C933" s="43"/>
      <c r="D933" s="50"/>
      <c r="E933" s="50"/>
      <c r="F933" s="50"/>
      <c r="G933" s="50"/>
      <c r="H933" s="9"/>
      <c r="I933" s="9"/>
      <c r="CS933" s="37"/>
      <c r="CT933" s="37"/>
      <c r="CU933" s="37"/>
      <c r="CV933" s="37"/>
      <c r="CW933" s="37"/>
      <c r="CX933" s="37"/>
      <c r="CY933" s="37"/>
    </row>
    <row r="934" spans="2:103" s="10" customFormat="1" x14ac:dyDescent="0.4">
      <c r="B934" s="44"/>
      <c r="C934" s="43"/>
      <c r="D934" s="50"/>
      <c r="E934" s="50"/>
      <c r="F934" s="50"/>
      <c r="G934" s="50"/>
      <c r="H934" s="9"/>
      <c r="I934" s="9"/>
      <c r="CS934" s="37"/>
      <c r="CT934" s="37"/>
      <c r="CU934" s="37"/>
      <c r="CV934" s="37"/>
      <c r="CW934" s="37"/>
      <c r="CX934" s="37"/>
      <c r="CY934" s="37"/>
    </row>
    <row r="935" spans="2:103" s="10" customFormat="1" x14ac:dyDescent="0.4">
      <c r="B935" s="44"/>
      <c r="C935" s="43"/>
      <c r="D935" s="50"/>
      <c r="E935" s="50"/>
      <c r="F935" s="50"/>
      <c r="G935" s="50"/>
      <c r="H935" s="9"/>
      <c r="I935" s="9"/>
      <c r="CS935" s="37"/>
      <c r="CT935" s="37"/>
      <c r="CU935" s="37"/>
      <c r="CV935" s="37"/>
      <c r="CW935" s="37"/>
      <c r="CX935" s="37"/>
      <c r="CY935" s="37"/>
    </row>
    <row r="936" spans="2:103" s="10" customFormat="1" x14ac:dyDescent="0.4">
      <c r="B936" s="44"/>
      <c r="C936" s="43"/>
      <c r="D936" s="50"/>
      <c r="E936" s="50"/>
      <c r="F936" s="50"/>
      <c r="G936" s="50"/>
      <c r="H936" s="9"/>
      <c r="I936" s="9"/>
      <c r="CS936" s="37"/>
      <c r="CT936" s="37"/>
      <c r="CU936" s="37"/>
      <c r="CV936" s="37"/>
      <c r="CW936" s="37"/>
      <c r="CX936" s="37"/>
      <c r="CY936" s="37"/>
    </row>
    <row r="937" spans="2:103" s="10" customFormat="1" x14ac:dyDescent="0.4">
      <c r="B937" s="44"/>
      <c r="C937" s="43"/>
      <c r="D937" s="50"/>
      <c r="E937" s="50"/>
      <c r="F937" s="50"/>
      <c r="G937" s="50"/>
      <c r="H937" s="9"/>
      <c r="I937" s="9"/>
      <c r="CS937" s="37"/>
      <c r="CT937" s="37"/>
      <c r="CU937" s="37"/>
      <c r="CV937" s="37"/>
      <c r="CW937" s="37"/>
      <c r="CX937" s="37"/>
      <c r="CY937" s="37"/>
    </row>
    <row r="938" spans="2:103" s="10" customFormat="1" x14ac:dyDescent="0.4">
      <c r="B938" s="44"/>
      <c r="C938" s="43"/>
      <c r="D938" s="50"/>
      <c r="E938" s="50"/>
      <c r="F938" s="50"/>
      <c r="G938" s="50"/>
      <c r="H938" s="9"/>
      <c r="I938" s="9"/>
      <c r="CS938" s="37"/>
      <c r="CT938" s="37"/>
      <c r="CU938" s="37"/>
      <c r="CV938" s="37"/>
      <c r="CW938" s="37"/>
      <c r="CX938" s="37"/>
      <c r="CY938" s="37"/>
    </row>
    <row r="939" spans="2:103" s="10" customFormat="1" x14ac:dyDescent="0.4">
      <c r="B939" s="44"/>
      <c r="C939" s="43"/>
      <c r="D939" s="50"/>
      <c r="E939" s="50"/>
      <c r="F939" s="50"/>
      <c r="G939" s="50"/>
      <c r="H939" s="9"/>
      <c r="I939" s="9"/>
      <c r="CS939" s="37"/>
      <c r="CT939" s="37"/>
      <c r="CU939" s="37"/>
      <c r="CV939" s="37"/>
      <c r="CW939" s="37"/>
      <c r="CX939" s="37"/>
      <c r="CY939" s="37"/>
    </row>
    <row r="940" spans="2:103" s="10" customFormat="1" x14ac:dyDescent="0.4">
      <c r="B940" s="44"/>
      <c r="C940" s="43"/>
      <c r="D940" s="50"/>
      <c r="E940" s="50"/>
      <c r="F940" s="50"/>
      <c r="G940" s="50"/>
      <c r="H940" s="9"/>
      <c r="I940" s="9"/>
      <c r="CS940" s="37"/>
      <c r="CT940" s="37"/>
      <c r="CU940" s="37"/>
      <c r="CV940" s="37"/>
      <c r="CW940" s="37"/>
      <c r="CX940" s="37"/>
      <c r="CY940" s="37"/>
    </row>
    <row r="941" spans="2:103" s="10" customFormat="1" x14ac:dyDescent="0.4">
      <c r="B941" s="44"/>
      <c r="C941" s="43"/>
      <c r="D941" s="50"/>
      <c r="E941" s="50"/>
      <c r="F941" s="50"/>
      <c r="G941" s="50"/>
      <c r="H941" s="9"/>
      <c r="I941" s="9"/>
      <c r="CS941" s="37"/>
      <c r="CT941" s="37"/>
      <c r="CU941" s="37"/>
      <c r="CV941" s="37"/>
      <c r="CW941" s="37"/>
      <c r="CX941" s="37"/>
      <c r="CY941" s="37"/>
    </row>
    <row r="942" spans="2:103" s="10" customFormat="1" x14ac:dyDescent="0.4">
      <c r="B942" s="44"/>
      <c r="C942" s="43"/>
      <c r="D942" s="50"/>
      <c r="E942" s="50"/>
      <c r="F942" s="50"/>
      <c r="G942" s="50"/>
      <c r="H942" s="9"/>
      <c r="I942" s="9"/>
      <c r="CS942" s="37"/>
      <c r="CT942" s="37"/>
      <c r="CU942" s="37"/>
      <c r="CV942" s="37"/>
      <c r="CW942" s="37"/>
      <c r="CX942" s="37"/>
      <c r="CY942" s="37"/>
    </row>
    <row r="943" spans="2:103" s="10" customFormat="1" x14ac:dyDescent="0.4">
      <c r="B943" s="44"/>
      <c r="C943" s="43"/>
      <c r="D943" s="50"/>
      <c r="E943" s="50"/>
      <c r="F943" s="50"/>
      <c r="G943" s="50"/>
      <c r="H943" s="9"/>
      <c r="I943" s="9"/>
      <c r="CS943" s="37"/>
      <c r="CT943" s="37"/>
      <c r="CU943" s="37"/>
      <c r="CV943" s="37"/>
      <c r="CW943" s="37"/>
      <c r="CX943" s="37"/>
      <c r="CY943" s="37"/>
    </row>
    <row r="944" spans="2:103" s="10" customFormat="1" x14ac:dyDescent="0.4">
      <c r="B944" s="44"/>
      <c r="C944" s="43"/>
      <c r="D944" s="50"/>
      <c r="E944" s="50"/>
      <c r="F944" s="50"/>
      <c r="G944" s="50"/>
      <c r="H944" s="9"/>
      <c r="I944" s="9"/>
      <c r="CS944" s="37"/>
      <c r="CT944" s="37"/>
      <c r="CU944" s="37"/>
      <c r="CV944" s="37"/>
      <c r="CW944" s="37"/>
      <c r="CX944" s="37"/>
      <c r="CY944" s="37"/>
    </row>
    <row r="945" spans="2:103" s="10" customFormat="1" x14ac:dyDescent="0.4">
      <c r="B945" s="44"/>
      <c r="C945" s="43"/>
      <c r="D945" s="50"/>
      <c r="E945" s="50"/>
      <c r="F945" s="50"/>
      <c r="G945" s="50"/>
      <c r="H945" s="9"/>
      <c r="I945" s="9"/>
      <c r="CS945" s="37"/>
      <c r="CT945" s="37"/>
      <c r="CU945" s="37"/>
      <c r="CV945" s="37"/>
      <c r="CW945" s="37"/>
      <c r="CX945" s="37"/>
      <c r="CY945" s="37"/>
    </row>
    <row r="946" spans="2:103" s="10" customFormat="1" x14ac:dyDescent="0.4">
      <c r="B946" s="44"/>
      <c r="C946" s="43"/>
      <c r="D946" s="50"/>
      <c r="E946" s="50"/>
      <c r="F946" s="50"/>
      <c r="G946" s="50"/>
      <c r="H946" s="9"/>
      <c r="I946" s="9"/>
      <c r="CS946" s="37"/>
      <c r="CT946" s="37"/>
      <c r="CU946" s="37"/>
      <c r="CV946" s="37"/>
      <c r="CW946" s="37"/>
      <c r="CX946" s="37"/>
      <c r="CY946" s="37"/>
    </row>
    <row r="947" spans="2:103" s="10" customFormat="1" x14ac:dyDescent="0.4">
      <c r="B947" s="44"/>
      <c r="C947" s="43"/>
      <c r="D947" s="50"/>
      <c r="E947" s="50"/>
      <c r="F947" s="50"/>
      <c r="G947" s="50"/>
      <c r="H947" s="9"/>
      <c r="I947" s="9"/>
      <c r="CS947" s="37"/>
      <c r="CT947" s="37"/>
      <c r="CU947" s="37"/>
      <c r="CV947" s="37"/>
      <c r="CW947" s="37"/>
      <c r="CX947" s="37"/>
      <c r="CY947" s="37"/>
    </row>
    <row r="948" spans="2:103" s="10" customFormat="1" x14ac:dyDescent="0.4">
      <c r="B948" s="44"/>
      <c r="C948" s="43"/>
      <c r="D948" s="50"/>
      <c r="E948" s="50"/>
      <c r="F948" s="50"/>
      <c r="G948" s="50"/>
      <c r="H948" s="9"/>
      <c r="I948" s="9"/>
      <c r="CS948" s="37"/>
      <c r="CT948" s="37"/>
      <c r="CU948" s="37"/>
      <c r="CV948" s="37"/>
      <c r="CW948" s="37"/>
      <c r="CX948" s="37"/>
      <c r="CY948" s="37"/>
    </row>
    <row r="949" spans="2:103" s="10" customFormat="1" x14ac:dyDescent="0.4">
      <c r="B949" s="44"/>
      <c r="C949" s="43"/>
      <c r="D949" s="50"/>
      <c r="E949" s="50"/>
      <c r="F949" s="50"/>
      <c r="G949" s="50"/>
      <c r="H949" s="9"/>
      <c r="I949" s="9"/>
      <c r="CS949" s="37"/>
      <c r="CT949" s="37"/>
      <c r="CU949" s="37"/>
      <c r="CV949" s="37"/>
      <c r="CW949" s="37"/>
      <c r="CX949" s="37"/>
      <c r="CY949" s="37"/>
    </row>
    <row r="950" spans="2:103" s="10" customFormat="1" x14ac:dyDescent="0.4">
      <c r="B950" s="44"/>
      <c r="C950" s="43"/>
      <c r="D950" s="50"/>
      <c r="E950" s="50"/>
      <c r="F950" s="50"/>
      <c r="G950" s="50"/>
      <c r="H950" s="9"/>
      <c r="I950" s="9"/>
      <c r="CS950" s="37"/>
      <c r="CT950" s="37"/>
      <c r="CU950" s="37"/>
      <c r="CV950" s="37"/>
      <c r="CW950" s="37"/>
      <c r="CX950" s="37"/>
      <c r="CY950" s="37"/>
    </row>
    <row r="951" spans="2:103" s="10" customFormat="1" x14ac:dyDescent="0.4">
      <c r="B951" s="44"/>
      <c r="C951" s="43"/>
      <c r="D951" s="50"/>
      <c r="E951" s="50"/>
      <c r="F951" s="50"/>
      <c r="G951" s="50"/>
      <c r="H951" s="9"/>
      <c r="I951" s="9"/>
      <c r="CS951" s="37"/>
      <c r="CT951" s="37"/>
      <c r="CU951" s="37"/>
      <c r="CV951" s="37"/>
      <c r="CW951" s="37"/>
      <c r="CX951" s="37"/>
      <c r="CY951" s="37"/>
    </row>
    <row r="952" spans="2:103" s="10" customFormat="1" x14ac:dyDescent="0.4">
      <c r="B952" s="44"/>
      <c r="C952" s="43"/>
      <c r="D952" s="50"/>
      <c r="E952" s="50"/>
      <c r="F952" s="50"/>
      <c r="G952" s="50"/>
      <c r="H952" s="9"/>
      <c r="I952" s="9"/>
      <c r="CS952" s="37"/>
      <c r="CT952" s="37"/>
      <c r="CU952" s="37"/>
      <c r="CV952" s="37"/>
      <c r="CW952" s="37"/>
      <c r="CX952" s="37"/>
      <c r="CY952" s="37"/>
    </row>
    <row r="953" spans="2:103" s="10" customFormat="1" x14ac:dyDescent="0.4">
      <c r="B953" s="44"/>
      <c r="C953" s="43"/>
      <c r="D953" s="50"/>
      <c r="E953" s="50"/>
      <c r="F953" s="50"/>
      <c r="G953" s="50"/>
      <c r="H953" s="9"/>
      <c r="I953" s="9"/>
      <c r="CS953" s="37"/>
      <c r="CT953" s="37"/>
      <c r="CU953" s="37"/>
      <c r="CV953" s="37"/>
      <c r="CW953" s="37"/>
      <c r="CX953" s="37"/>
      <c r="CY953" s="37"/>
    </row>
    <row r="954" spans="2:103" s="10" customFormat="1" x14ac:dyDescent="0.4">
      <c r="B954" s="44"/>
      <c r="C954" s="43"/>
      <c r="D954" s="50"/>
      <c r="E954" s="50"/>
      <c r="F954" s="50"/>
      <c r="G954" s="50"/>
      <c r="H954" s="9"/>
      <c r="I954" s="9"/>
      <c r="CS954" s="37"/>
      <c r="CT954" s="37"/>
      <c r="CU954" s="37"/>
      <c r="CV954" s="37"/>
      <c r="CW954" s="37"/>
      <c r="CX954" s="37"/>
      <c r="CY954" s="37"/>
    </row>
    <row r="955" spans="2:103" s="10" customFormat="1" x14ac:dyDescent="0.4">
      <c r="B955" s="44"/>
      <c r="C955" s="43"/>
      <c r="D955" s="50"/>
      <c r="E955" s="50"/>
      <c r="F955" s="50"/>
      <c r="G955" s="50"/>
      <c r="H955" s="9"/>
      <c r="I955" s="9"/>
      <c r="CS955" s="37"/>
      <c r="CT955" s="37"/>
      <c r="CU955" s="37"/>
      <c r="CV955" s="37"/>
      <c r="CW955" s="37"/>
      <c r="CX955" s="37"/>
      <c r="CY955" s="37"/>
    </row>
    <row r="956" spans="2:103" s="10" customFormat="1" x14ac:dyDescent="0.4">
      <c r="B956" s="44"/>
      <c r="C956" s="43"/>
      <c r="D956" s="50"/>
      <c r="E956" s="50"/>
      <c r="F956" s="50"/>
      <c r="G956" s="50"/>
      <c r="H956" s="9"/>
      <c r="I956" s="9"/>
      <c r="CS956" s="37"/>
      <c r="CT956" s="37"/>
      <c r="CU956" s="37"/>
      <c r="CV956" s="37"/>
      <c r="CW956" s="37"/>
      <c r="CX956" s="37"/>
      <c r="CY956" s="37"/>
    </row>
    <row r="957" spans="2:103" s="10" customFormat="1" x14ac:dyDescent="0.4">
      <c r="B957" s="44"/>
      <c r="C957" s="43"/>
      <c r="D957" s="50"/>
      <c r="E957" s="50"/>
      <c r="F957" s="50"/>
      <c r="G957" s="50"/>
      <c r="H957" s="9"/>
      <c r="I957" s="9"/>
      <c r="CS957" s="37"/>
      <c r="CT957" s="37"/>
      <c r="CU957" s="37"/>
      <c r="CV957" s="37"/>
      <c r="CW957" s="37"/>
      <c r="CX957" s="37"/>
      <c r="CY957" s="37"/>
    </row>
    <row r="958" spans="2:103" s="10" customFormat="1" x14ac:dyDescent="0.4">
      <c r="B958" s="44"/>
      <c r="C958" s="43"/>
      <c r="D958" s="50"/>
      <c r="E958" s="50"/>
      <c r="F958" s="50"/>
      <c r="G958" s="50"/>
      <c r="H958" s="9"/>
      <c r="I958" s="9"/>
      <c r="CS958" s="37"/>
      <c r="CT958" s="37"/>
      <c r="CU958" s="37"/>
      <c r="CV958" s="37"/>
      <c r="CW958" s="37"/>
      <c r="CX958" s="37"/>
      <c r="CY958" s="37"/>
    </row>
    <row r="959" spans="2:103" s="10" customFormat="1" x14ac:dyDescent="0.4">
      <c r="B959" s="44"/>
      <c r="C959" s="43"/>
      <c r="D959" s="50"/>
      <c r="E959" s="50"/>
      <c r="F959" s="50"/>
      <c r="G959" s="50"/>
      <c r="H959" s="9"/>
      <c r="I959" s="9"/>
      <c r="CS959" s="37"/>
      <c r="CT959" s="37"/>
      <c r="CU959" s="37"/>
      <c r="CV959" s="37"/>
      <c r="CW959" s="37"/>
      <c r="CX959" s="37"/>
      <c r="CY959" s="37"/>
    </row>
    <row r="960" spans="2:103" s="10" customFormat="1" x14ac:dyDescent="0.4">
      <c r="B960" s="44"/>
      <c r="C960" s="43"/>
      <c r="D960" s="50"/>
      <c r="E960" s="50"/>
      <c r="F960" s="50"/>
      <c r="G960" s="50"/>
      <c r="H960" s="9"/>
      <c r="I960" s="9"/>
      <c r="CS960" s="37"/>
      <c r="CT960" s="37"/>
      <c r="CU960" s="37"/>
      <c r="CV960" s="37"/>
      <c r="CW960" s="37"/>
      <c r="CX960" s="37"/>
      <c r="CY960" s="37"/>
    </row>
    <row r="961" spans="2:103" s="10" customFormat="1" x14ac:dyDescent="0.4">
      <c r="B961" s="44"/>
      <c r="C961" s="43"/>
      <c r="D961" s="50"/>
      <c r="E961" s="50"/>
      <c r="F961" s="50"/>
      <c r="G961" s="50"/>
      <c r="H961" s="9"/>
      <c r="I961" s="9"/>
      <c r="CS961" s="37"/>
      <c r="CT961" s="37"/>
      <c r="CU961" s="37"/>
      <c r="CV961" s="37"/>
      <c r="CW961" s="37"/>
      <c r="CX961" s="37"/>
      <c r="CY961" s="37"/>
    </row>
    <row r="962" spans="2:103" s="10" customFormat="1" x14ac:dyDescent="0.4">
      <c r="B962" s="44"/>
      <c r="C962" s="43"/>
      <c r="D962" s="50"/>
      <c r="E962" s="50"/>
      <c r="F962" s="50"/>
      <c r="G962" s="50"/>
      <c r="H962" s="9"/>
      <c r="I962" s="9"/>
      <c r="CS962" s="37"/>
      <c r="CT962" s="37"/>
      <c r="CU962" s="37"/>
      <c r="CV962" s="37"/>
      <c r="CW962" s="37"/>
      <c r="CX962" s="37"/>
      <c r="CY962" s="37"/>
    </row>
    <row r="963" spans="2:103" s="10" customFormat="1" x14ac:dyDescent="0.4">
      <c r="B963" s="44"/>
      <c r="C963" s="43"/>
      <c r="D963" s="50"/>
      <c r="E963" s="50"/>
      <c r="F963" s="50"/>
      <c r="G963" s="50"/>
      <c r="H963" s="9"/>
      <c r="I963" s="9"/>
      <c r="CS963" s="37"/>
      <c r="CT963" s="37"/>
      <c r="CU963" s="37"/>
      <c r="CV963" s="37"/>
      <c r="CW963" s="37"/>
      <c r="CX963" s="37"/>
      <c r="CY963" s="37"/>
    </row>
    <row r="964" spans="2:103" s="10" customFormat="1" x14ac:dyDescent="0.4">
      <c r="B964" s="44"/>
      <c r="C964" s="43"/>
      <c r="D964" s="50"/>
      <c r="E964" s="50"/>
      <c r="F964" s="50"/>
      <c r="G964" s="50"/>
      <c r="H964" s="9"/>
      <c r="I964" s="9"/>
      <c r="CS964" s="37"/>
      <c r="CT964" s="37"/>
      <c r="CU964" s="37"/>
      <c r="CV964" s="37"/>
      <c r="CW964" s="37"/>
      <c r="CX964" s="37"/>
      <c r="CY964" s="37"/>
    </row>
    <row r="965" spans="2:103" s="10" customFormat="1" x14ac:dyDescent="0.4">
      <c r="B965" s="44"/>
      <c r="C965" s="43"/>
      <c r="D965" s="50"/>
      <c r="E965" s="50"/>
      <c r="F965" s="50"/>
      <c r="G965" s="50"/>
      <c r="H965" s="9"/>
      <c r="I965" s="9"/>
      <c r="CS965" s="37"/>
      <c r="CT965" s="37"/>
      <c r="CU965" s="37"/>
      <c r="CV965" s="37"/>
      <c r="CW965" s="37"/>
      <c r="CX965" s="37"/>
      <c r="CY965" s="37"/>
    </row>
    <row r="966" spans="2:103" s="10" customFormat="1" x14ac:dyDescent="0.4">
      <c r="B966" s="44"/>
      <c r="C966" s="43"/>
      <c r="D966" s="50"/>
      <c r="E966" s="50"/>
      <c r="F966" s="50"/>
      <c r="G966" s="50"/>
      <c r="H966" s="9"/>
      <c r="I966" s="9"/>
      <c r="CS966" s="37"/>
      <c r="CT966" s="37"/>
      <c r="CU966" s="37"/>
      <c r="CV966" s="37"/>
      <c r="CW966" s="37"/>
      <c r="CX966" s="37"/>
      <c r="CY966" s="37"/>
    </row>
    <row r="967" spans="2:103" s="10" customFormat="1" x14ac:dyDescent="0.4">
      <c r="B967" s="44"/>
      <c r="C967" s="43"/>
      <c r="D967" s="50"/>
      <c r="E967" s="50"/>
      <c r="F967" s="50"/>
      <c r="G967" s="50"/>
      <c r="H967" s="9"/>
      <c r="I967" s="9"/>
      <c r="CS967" s="37"/>
      <c r="CT967" s="37"/>
      <c r="CU967" s="37"/>
      <c r="CV967" s="37"/>
      <c r="CW967" s="37"/>
      <c r="CX967" s="37"/>
      <c r="CY967" s="37"/>
    </row>
    <row r="968" spans="2:103" s="10" customFormat="1" x14ac:dyDescent="0.4">
      <c r="B968" s="44"/>
      <c r="C968" s="43"/>
      <c r="D968" s="50"/>
      <c r="E968" s="50"/>
      <c r="F968" s="50"/>
      <c r="G968" s="50"/>
      <c r="H968" s="9"/>
      <c r="I968" s="9"/>
      <c r="CS968" s="37"/>
      <c r="CT968" s="37"/>
      <c r="CU968" s="37"/>
      <c r="CV968" s="37"/>
      <c r="CW968" s="37"/>
      <c r="CX968" s="37"/>
      <c r="CY968" s="37"/>
    </row>
    <row r="969" spans="2:103" s="10" customFormat="1" x14ac:dyDescent="0.4">
      <c r="B969" s="44"/>
      <c r="C969" s="43"/>
      <c r="D969" s="50"/>
      <c r="E969" s="50"/>
      <c r="F969" s="50"/>
      <c r="G969" s="50"/>
      <c r="H969" s="9"/>
      <c r="I969" s="9"/>
      <c r="CS969" s="37"/>
      <c r="CT969" s="37"/>
      <c r="CU969" s="37"/>
      <c r="CV969" s="37"/>
      <c r="CW969" s="37"/>
      <c r="CX969" s="37"/>
      <c r="CY969" s="37"/>
    </row>
    <row r="970" spans="2:103" s="10" customFormat="1" x14ac:dyDescent="0.4">
      <c r="B970" s="44"/>
      <c r="C970" s="43"/>
      <c r="D970" s="50"/>
      <c r="E970" s="50"/>
      <c r="F970" s="50"/>
      <c r="G970" s="50"/>
      <c r="H970" s="9"/>
      <c r="I970" s="9"/>
      <c r="CS970" s="37"/>
      <c r="CT970" s="37"/>
      <c r="CU970" s="37"/>
      <c r="CV970" s="37"/>
      <c r="CW970" s="37"/>
      <c r="CX970" s="37"/>
      <c r="CY970" s="37"/>
    </row>
    <row r="971" spans="2:103" s="10" customFormat="1" x14ac:dyDescent="0.4">
      <c r="B971" s="44"/>
      <c r="C971" s="43"/>
      <c r="D971" s="50"/>
      <c r="E971" s="50"/>
      <c r="F971" s="50"/>
      <c r="G971" s="50"/>
      <c r="H971" s="9"/>
      <c r="I971" s="9"/>
      <c r="CS971" s="37"/>
      <c r="CT971" s="37"/>
      <c r="CU971" s="37"/>
      <c r="CV971" s="37"/>
      <c r="CW971" s="37"/>
      <c r="CX971" s="37"/>
      <c r="CY971" s="37"/>
    </row>
    <row r="972" spans="2:103" s="10" customFormat="1" x14ac:dyDescent="0.4">
      <c r="B972" s="44"/>
      <c r="C972" s="43"/>
      <c r="D972" s="50"/>
      <c r="E972" s="50"/>
      <c r="F972" s="50"/>
      <c r="G972" s="50"/>
      <c r="H972" s="9"/>
      <c r="I972" s="9"/>
      <c r="CS972" s="37"/>
      <c r="CT972" s="37"/>
      <c r="CU972" s="37"/>
      <c r="CV972" s="37"/>
      <c r="CW972" s="37"/>
      <c r="CX972" s="37"/>
      <c r="CY972" s="37"/>
    </row>
    <row r="973" spans="2:103" s="10" customFormat="1" x14ac:dyDescent="0.4">
      <c r="B973" s="44"/>
      <c r="C973" s="43"/>
      <c r="D973" s="50"/>
      <c r="E973" s="50"/>
      <c r="F973" s="50"/>
      <c r="G973" s="50"/>
      <c r="H973" s="9"/>
      <c r="I973" s="9"/>
      <c r="CS973" s="37"/>
      <c r="CT973" s="37"/>
      <c r="CU973" s="37"/>
      <c r="CV973" s="37"/>
      <c r="CW973" s="37"/>
      <c r="CX973" s="37"/>
      <c r="CY973" s="37"/>
    </row>
    <row r="974" spans="2:103" s="10" customFormat="1" x14ac:dyDescent="0.4">
      <c r="B974" s="44"/>
      <c r="C974" s="43"/>
      <c r="D974" s="50"/>
      <c r="E974" s="50"/>
      <c r="F974" s="50"/>
      <c r="G974" s="50"/>
      <c r="H974" s="9"/>
      <c r="I974" s="9"/>
      <c r="CS974" s="37"/>
      <c r="CT974" s="37"/>
      <c r="CU974" s="37"/>
      <c r="CV974" s="37"/>
      <c r="CW974" s="37"/>
      <c r="CX974" s="37"/>
      <c r="CY974" s="37"/>
    </row>
    <row r="975" spans="2:103" s="10" customFormat="1" x14ac:dyDescent="0.4">
      <c r="B975" s="44"/>
      <c r="C975" s="43"/>
      <c r="D975" s="50"/>
      <c r="E975" s="50"/>
      <c r="F975" s="50"/>
      <c r="G975" s="50"/>
      <c r="H975" s="9"/>
      <c r="I975" s="9"/>
      <c r="CS975" s="37"/>
      <c r="CT975" s="37"/>
      <c r="CU975" s="37"/>
      <c r="CV975" s="37"/>
      <c r="CW975" s="37"/>
      <c r="CX975" s="37"/>
      <c r="CY975" s="37"/>
    </row>
    <row r="976" spans="2:103" s="10" customFormat="1" x14ac:dyDescent="0.4">
      <c r="B976" s="44"/>
      <c r="C976" s="43"/>
      <c r="D976" s="50"/>
      <c r="E976" s="50"/>
      <c r="F976" s="50"/>
      <c r="G976" s="50"/>
      <c r="H976" s="9"/>
      <c r="I976" s="9"/>
      <c r="CS976" s="37"/>
      <c r="CT976" s="37"/>
      <c r="CU976" s="37"/>
      <c r="CV976" s="37"/>
      <c r="CW976" s="37"/>
      <c r="CX976" s="37"/>
      <c r="CY976" s="37"/>
    </row>
    <row r="977" spans="2:103" s="10" customFormat="1" x14ac:dyDescent="0.4">
      <c r="B977" s="44"/>
      <c r="C977" s="43"/>
      <c r="D977" s="50"/>
      <c r="E977" s="50"/>
      <c r="F977" s="50"/>
      <c r="G977" s="50"/>
      <c r="H977" s="9"/>
      <c r="I977" s="9"/>
      <c r="CS977" s="37"/>
      <c r="CT977" s="37"/>
      <c r="CU977" s="37"/>
      <c r="CV977" s="37"/>
      <c r="CW977" s="37"/>
      <c r="CX977" s="37"/>
      <c r="CY977" s="37"/>
    </row>
    <row r="978" spans="2:103" s="10" customFormat="1" x14ac:dyDescent="0.4">
      <c r="B978" s="44"/>
      <c r="C978" s="43"/>
      <c r="D978" s="50"/>
      <c r="E978" s="50"/>
      <c r="F978" s="50"/>
      <c r="G978" s="50"/>
      <c r="H978" s="9"/>
      <c r="I978" s="9"/>
      <c r="CS978" s="37"/>
      <c r="CT978" s="37"/>
      <c r="CU978" s="37"/>
      <c r="CV978" s="37"/>
      <c r="CW978" s="37"/>
      <c r="CX978" s="37"/>
      <c r="CY978" s="37"/>
    </row>
    <row r="979" spans="2:103" s="10" customFormat="1" x14ac:dyDescent="0.4">
      <c r="B979" s="44"/>
      <c r="C979" s="43"/>
      <c r="D979" s="50"/>
      <c r="E979" s="50"/>
      <c r="F979" s="50"/>
      <c r="G979" s="50"/>
      <c r="H979" s="9"/>
      <c r="I979" s="9"/>
      <c r="CS979" s="37"/>
      <c r="CT979" s="37"/>
      <c r="CU979" s="37"/>
      <c r="CV979" s="37"/>
      <c r="CW979" s="37"/>
      <c r="CX979" s="37"/>
      <c r="CY979" s="37"/>
    </row>
    <row r="980" spans="2:103" s="10" customFormat="1" x14ac:dyDescent="0.4">
      <c r="B980" s="44"/>
      <c r="C980" s="43"/>
      <c r="D980" s="50"/>
      <c r="E980" s="50"/>
      <c r="F980" s="50"/>
      <c r="G980" s="50"/>
      <c r="H980" s="9"/>
      <c r="I980" s="9"/>
      <c r="CS980" s="37"/>
      <c r="CT980" s="37"/>
      <c r="CU980" s="37"/>
      <c r="CV980" s="37"/>
      <c r="CW980" s="37"/>
      <c r="CX980" s="37"/>
      <c r="CY980" s="37"/>
    </row>
    <row r="981" spans="2:103" s="10" customFormat="1" x14ac:dyDescent="0.4">
      <c r="B981" s="44"/>
      <c r="C981" s="43"/>
      <c r="D981" s="50"/>
      <c r="E981" s="50"/>
      <c r="F981" s="50"/>
      <c r="G981" s="50"/>
      <c r="H981" s="9"/>
      <c r="I981" s="9"/>
      <c r="CS981" s="37"/>
      <c r="CT981" s="37"/>
      <c r="CU981" s="37"/>
      <c r="CV981" s="37"/>
      <c r="CW981" s="37"/>
      <c r="CX981" s="37"/>
      <c r="CY981" s="37"/>
    </row>
    <row r="982" spans="2:103" s="10" customFormat="1" x14ac:dyDescent="0.4">
      <c r="B982" s="44"/>
      <c r="C982" s="43"/>
      <c r="D982" s="50"/>
      <c r="E982" s="50"/>
      <c r="F982" s="50"/>
      <c r="G982" s="50"/>
      <c r="H982" s="9"/>
      <c r="I982" s="9"/>
      <c r="CS982" s="37"/>
      <c r="CT982" s="37"/>
      <c r="CU982" s="37"/>
      <c r="CV982" s="37"/>
      <c r="CW982" s="37"/>
      <c r="CX982" s="37"/>
      <c r="CY982" s="37"/>
    </row>
    <row r="983" spans="2:103" s="10" customFormat="1" x14ac:dyDescent="0.4">
      <c r="B983" s="44"/>
      <c r="C983" s="43"/>
      <c r="D983" s="50"/>
      <c r="E983" s="50"/>
      <c r="F983" s="50"/>
      <c r="G983" s="50"/>
      <c r="H983" s="9"/>
      <c r="I983" s="9"/>
      <c r="CS983" s="37"/>
      <c r="CT983" s="37"/>
      <c r="CU983" s="37"/>
      <c r="CV983" s="37"/>
      <c r="CW983" s="37"/>
      <c r="CX983" s="37"/>
      <c r="CY983" s="37"/>
    </row>
    <row r="984" spans="2:103" s="10" customFormat="1" x14ac:dyDescent="0.4">
      <c r="B984" s="44"/>
      <c r="C984" s="43"/>
      <c r="D984" s="50"/>
      <c r="E984" s="50"/>
      <c r="F984" s="50"/>
      <c r="G984" s="50"/>
      <c r="H984" s="9"/>
      <c r="I984" s="9"/>
      <c r="CS984" s="37"/>
      <c r="CT984" s="37"/>
      <c r="CU984" s="37"/>
      <c r="CV984" s="37"/>
      <c r="CW984" s="37"/>
      <c r="CX984" s="37"/>
      <c r="CY984" s="37"/>
    </row>
    <row r="985" spans="2:103" s="10" customFormat="1" x14ac:dyDescent="0.4">
      <c r="B985" s="44"/>
      <c r="C985" s="43"/>
      <c r="D985" s="50"/>
      <c r="E985" s="50"/>
      <c r="F985" s="50"/>
      <c r="G985" s="50"/>
      <c r="H985" s="9"/>
      <c r="I985" s="9"/>
      <c r="CS985" s="37"/>
      <c r="CT985" s="37"/>
      <c r="CU985" s="37"/>
      <c r="CV985" s="37"/>
      <c r="CW985" s="37"/>
      <c r="CX985" s="37"/>
      <c r="CY985" s="37"/>
    </row>
    <row r="986" spans="2:103" s="10" customFormat="1" x14ac:dyDescent="0.4">
      <c r="B986" s="44"/>
      <c r="C986" s="43"/>
      <c r="D986" s="50"/>
      <c r="E986" s="50"/>
      <c r="F986" s="50"/>
      <c r="G986" s="50"/>
      <c r="H986" s="9"/>
      <c r="I986" s="9"/>
      <c r="CS986" s="37"/>
      <c r="CT986" s="37"/>
      <c r="CU986" s="37"/>
      <c r="CV986" s="37"/>
      <c r="CW986" s="37"/>
      <c r="CX986" s="37"/>
      <c r="CY986" s="37"/>
    </row>
    <row r="987" spans="2:103" s="10" customFormat="1" x14ac:dyDescent="0.4">
      <c r="B987" s="44"/>
      <c r="C987" s="43"/>
      <c r="D987" s="50"/>
      <c r="E987" s="50"/>
      <c r="F987" s="50"/>
      <c r="G987" s="50"/>
      <c r="H987" s="9"/>
      <c r="I987" s="9"/>
      <c r="CS987" s="37"/>
      <c r="CT987" s="37"/>
      <c r="CU987" s="37"/>
      <c r="CV987" s="37"/>
      <c r="CW987" s="37"/>
      <c r="CX987" s="37"/>
      <c r="CY987" s="37"/>
    </row>
    <row r="988" spans="2:103" s="10" customFormat="1" x14ac:dyDescent="0.4">
      <c r="B988" s="44"/>
      <c r="C988" s="43"/>
      <c r="D988" s="50"/>
      <c r="E988" s="50"/>
      <c r="F988" s="50"/>
      <c r="G988" s="50"/>
      <c r="H988" s="9"/>
      <c r="I988" s="9"/>
      <c r="CS988" s="37"/>
      <c r="CT988" s="37"/>
      <c r="CU988" s="37"/>
      <c r="CV988" s="37"/>
      <c r="CW988" s="37"/>
      <c r="CX988" s="37"/>
      <c r="CY988" s="37"/>
    </row>
    <row r="989" spans="2:103" s="10" customFormat="1" x14ac:dyDescent="0.4">
      <c r="B989" s="44"/>
      <c r="C989" s="43"/>
      <c r="D989" s="50"/>
      <c r="E989" s="50"/>
      <c r="F989" s="50"/>
      <c r="G989" s="50"/>
      <c r="H989" s="9"/>
      <c r="I989" s="9"/>
      <c r="CS989" s="37"/>
      <c r="CT989" s="37"/>
      <c r="CU989" s="37"/>
      <c r="CV989" s="37"/>
      <c r="CW989" s="37"/>
      <c r="CX989" s="37"/>
      <c r="CY989" s="37"/>
    </row>
    <row r="990" spans="2:103" s="10" customFormat="1" x14ac:dyDescent="0.4">
      <c r="B990" s="44"/>
      <c r="C990" s="43"/>
      <c r="D990" s="50"/>
      <c r="E990" s="50"/>
      <c r="F990" s="50"/>
      <c r="G990" s="50"/>
      <c r="H990" s="9"/>
      <c r="I990" s="9"/>
      <c r="CS990" s="37"/>
      <c r="CT990" s="37"/>
      <c r="CU990" s="37"/>
      <c r="CV990" s="37"/>
      <c r="CW990" s="37"/>
      <c r="CX990" s="37"/>
      <c r="CY990" s="37"/>
    </row>
    <row r="991" spans="2:103" s="10" customFormat="1" x14ac:dyDescent="0.4">
      <c r="B991" s="44"/>
      <c r="C991" s="43"/>
      <c r="D991" s="50"/>
      <c r="E991" s="50"/>
      <c r="F991" s="50"/>
      <c r="G991" s="50"/>
      <c r="H991" s="9"/>
      <c r="I991" s="9"/>
      <c r="CS991" s="37"/>
      <c r="CT991" s="37"/>
      <c r="CU991" s="37"/>
      <c r="CV991" s="37"/>
      <c r="CW991" s="37"/>
      <c r="CX991" s="37"/>
      <c r="CY991" s="37"/>
    </row>
    <row r="992" spans="2:103" s="10" customFormat="1" x14ac:dyDescent="0.4">
      <c r="B992" s="44"/>
      <c r="C992" s="43"/>
      <c r="D992" s="50"/>
      <c r="E992" s="50"/>
      <c r="F992" s="50"/>
      <c r="G992" s="50"/>
      <c r="H992" s="9"/>
      <c r="I992" s="9"/>
      <c r="CS992" s="37"/>
      <c r="CT992" s="37"/>
      <c r="CU992" s="37"/>
      <c r="CV992" s="37"/>
      <c r="CW992" s="37"/>
      <c r="CX992" s="37"/>
      <c r="CY992" s="37"/>
    </row>
    <row r="993" spans="2:103" s="10" customFormat="1" x14ac:dyDescent="0.4">
      <c r="B993" s="44"/>
      <c r="C993" s="43"/>
      <c r="D993" s="50"/>
      <c r="E993" s="50"/>
      <c r="F993" s="50"/>
      <c r="G993" s="50"/>
      <c r="H993" s="9"/>
      <c r="I993" s="9"/>
      <c r="CS993" s="37"/>
      <c r="CT993" s="37"/>
      <c r="CU993" s="37"/>
      <c r="CV993" s="37"/>
      <c r="CW993" s="37"/>
      <c r="CX993" s="37"/>
      <c r="CY993" s="37"/>
    </row>
    <row r="994" spans="2:103" s="10" customFormat="1" x14ac:dyDescent="0.4">
      <c r="B994" s="44"/>
      <c r="C994" s="43"/>
      <c r="D994" s="50"/>
      <c r="E994" s="50"/>
      <c r="F994" s="50"/>
      <c r="G994" s="50"/>
      <c r="H994" s="9"/>
      <c r="I994" s="9"/>
      <c r="CS994" s="37"/>
      <c r="CT994" s="37"/>
      <c r="CU994" s="37"/>
      <c r="CV994" s="37"/>
      <c r="CW994" s="37"/>
      <c r="CX994" s="37"/>
      <c r="CY994" s="37"/>
    </row>
    <row r="995" spans="2:103" s="10" customFormat="1" x14ac:dyDescent="0.4">
      <c r="B995" s="44"/>
      <c r="C995" s="43"/>
      <c r="D995" s="50"/>
      <c r="E995" s="50"/>
      <c r="F995" s="50"/>
      <c r="G995" s="50"/>
      <c r="H995" s="9"/>
      <c r="I995" s="9"/>
      <c r="CS995" s="37"/>
      <c r="CT995" s="37"/>
      <c r="CU995" s="37"/>
      <c r="CV995" s="37"/>
      <c r="CW995" s="37"/>
      <c r="CX995" s="37"/>
      <c r="CY995" s="37"/>
    </row>
    <row r="996" spans="2:103" s="10" customFormat="1" x14ac:dyDescent="0.4">
      <c r="B996" s="44"/>
      <c r="C996" s="43"/>
      <c r="D996" s="50"/>
      <c r="E996" s="50"/>
      <c r="F996" s="50"/>
      <c r="G996" s="50"/>
      <c r="H996" s="9"/>
      <c r="I996" s="9"/>
      <c r="CS996" s="37"/>
      <c r="CT996" s="37"/>
      <c r="CU996" s="37"/>
      <c r="CV996" s="37"/>
      <c r="CW996" s="37"/>
      <c r="CX996" s="37"/>
      <c r="CY996" s="37"/>
    </row>
    <row r="997" spans="2:103" s="10" customFormat="1" x14ac:dyDescent="0.4">
      <c r="B997" s="44"/>
      <c r="C997" s="43"/>
      <c r="D997" s="50"/>
      <c r="E997" s="50"/>
      <c r="F997" s="50"/>
      <c r="G997" s="50"/>
      <c r="H997" s="9"/>
      <c r="I997" s="9"/>
      <c r="CS997" s="37"/>
      <c r="CT997" s="37"/>
      <c r="CU997" s="37"/>
      <c r="CV997" s="37"/>
      <c r="CW997" s="37"/>
      <c r="CX997" s="37"/>
      <c r="CY997" s="37"/>
    </row>
    <row r="998" spans="2:103" s="10" customFormat="1" x14ac:dyDescent="0.4">
      <c r="B998" s="44"/>
      <c r="C998" s="43"/>
      <c r="D998" s="50"/>
      <c r="E998" s="50"/>
      <c r="F998" s="50"/>
      <c r="G998" s="50"/>
      <c r="H998" s="9"/>
      <c r="I998" s="9"/>
      <c r="CS998" s="37"/>
      <c r="CT998" s="37"/>
      <c r="CU998" s="37"/>
      <c r="CV998" s="37"/>
      <c r="CW998" s="37"/>
      <c r="CX998" s="37"/>
      <c r="CY998" s="37"/>
    </row>
    <row r="999" spans="2:103" s="10" customFormat="1" x14ac:dyDescent="0.4">
      <c r="B999" s="44"/>
      <c r="C999" s="43"/>
      <c r="D999" s="50"/>
      <c r="E999" s="50"/>
      <c r="F999" s="50"/>
      <c r="G999" s="50"/>
      <c r="H999" s="9"/>
      <c r="I999" s="9"/>
      <c r="CS999" s="37"/>
      <c r="CT999" s="37"/>
      <c r="CU999" s="37"/>
      <c r="CV999" s="37"/>
      <c r="CW999" s="37"/>
      <c r="CX999" s="37"/>
      <c r="CY999" s="37"/>
    </row>
    <row r="1000" spans="2:103" s="10" customFormat="1" x14ac:dyDescent="0.4">
      <c r="B1000" s="44"/>
      <c r="C1000" s="43"/>
      <c r="D1000" s="50"/>
      <c r="E1000" s="50"/>
      <c r="F1000" s="50"/>
      <c r="G1000" s="50"/>
      <c r="H1000" s="9"/>
      <c r="I1000" s="9"/>
      <c r="CS1000" s="37"/>
      <c r="CT1000" s="37"/>
      <c r="CU1000" s="37"/>
      <c r="CV1000" s="37"/>
      <c r="CW1000" s="37"/>
      <c r="CX1000" s="37"/>
      <c r="CY1000" s="37"/>
    </row>
    <row r="1001" spans="2:103" s="10" customFormat="1" x14ac:dyDescent="0.4">
      <c r="B1001" s="44"/>
      <c r="C1001" s="43"/>
      <c r="D1001" s="50"/>
      <c r="E1001" s="50"/>
      <c r="F1001" s="50"/>
      <c r="G1001" s="50"/>
      <c r="H1001" s="9"/>
      <c r="I1001" s="9"/>
      <c r="CS1001" s="37"/>
      <c r="CT1001" s="37"/>
      <c r="CU1001" s="37"/>
      <c r="CV1001" s="37"/>
      <c r="CW1001" s="37"/>
      <c r="CX1001" s="37"/>
      <c r="CY1001" s="37"/>
    </row>
    <row r="1002" spans="2:103" s="10" customFormat="1" x14ac:dyDescent="0.4">
      <c r="B1002" s="44"/>
      <c r="C1002" s="43"/>
      <c r="D1002" s="50"/>
      <c r="E1002" s="50"/>
      <c r="F1002" s="50"/>
      <c r="G1002" s="50"/>
      <c r="H1002" s="9"/>
      <c r="I1002" s="9"/>
      <c r="CS1002" s="37"/>
      <c r="CT1002" s="37"/>
      <c r="CU1002" s="37"/>
      <c r="CV1002" s="37"/>
      <c r="CW1002" s="37"/>
      <c r="CX1002" s="37"/>
      <c r="CY1002" s="37"/>
    </row>
    <row r="1003" spans="2:103" s="10" customFormat="1" x14ac:dyDescent="0.4">
      <c r="B1003" s="44"/>
      <c r="C1003" s="43"/>
      <c r="D1003" s="50"/>
      <c r="E1003" s="50"/>
      <c r="F1003" s="50"/>
      <c r="G1003" s="50"/>
      <c r="H1003" s="9"/>
      <c r="I1003" s="9"/>
      <c r="CS1003" s="37"/>
      <c r="CT1003" s="37"/>
      <c r="CU1003" s="37"/>
      <c r="CV1003" s="37"/>
      <c r="CW1003" s="37"/>
      <c r="CX1003" s="37"/>
      <c r="CY1003" s="37"/>
    </row>
    <row r="1004" spans="2:103" s="10" customFormat="1" x14ac:dyDescent="0.4">
      <c r="B1004" s="44"/>
      <c r="C1004" s="43"/>
      <c r="D1004" s="50"/>
      <c r="E1004" s="50"/>
      <c r="F1004" s="50"/>
      <c r="G1004" s="50"/>
      <c r="H1004" s="9"/>
      <c r="I1004" s="9"/>
      <c r="CS1004" s="37"/>
      <c r="CT1004" s="37"/>
      <c r="CU1004" s="37"/>
      <c r="CV1004" s="37"/>
      <c r="CW1004" s="37"/>
      <c r="CX1004" s="37"/>
      <c r="CY1004" s="37"/>
    </row>
    <row r="1005" spans="2:103" s="10" customFormat="1" x14ac:dyDescent="0.4">
      <c r="B1005" s="44"/>
      <c r="C1005" s="43"/>
      <c r="D1005" s="50"/>
      <c r="E1005" s="50"/>
      <c r="F1005" s="50"/>
      <c r="G1005" s="50"/>
      <c r="H1005" s="9"/>
      <c r="I1005" s="9"/>
      <c r="CS1005" s="37"/>
      <c r="CT1005" s="37"/>
      <c r="CU1005" s="37"/>
      <c r="CV1005" s="37"/>
      <c r="CW1005" s="37"/>
      <c r="CX1005" s="37"/>
      <c r="CY1005" s="37"/>
    </row>
    <row r="1006" spans="2:103" s="10" customFormat="1" x14ac:dyDescent="0.4">
      <c r="B1006" s="44"/>
      <c r="C1006" s="43"/>
      <c r="D1006" s="50"/>
      <c r="E1006" s="50"/>
      <c r="F1006" s="50"/>
      <c r="G1006" s="50"/>
      <c r="H1006" s="9"/>
      <c r="I1006" s="9"/>
      <c r="CS1006" s="37"/>
      <c r="CT1006" s="37"/>
      <c r="CU1006" s="37"/>
      <c r="CV1006" s="37"/>
      <c r="CW1006" s="37"/>
      <c r="CX1006" s="37"/>
      <c r="CY1006" s="37"/>
    </row>
    <row r="1007" spans="2:103" s="10" customFormat="1" x14ac:dyDescent="0.4">
      <c r="B1007" s="44"/>
      <c r="C1007" s="43"/>
      <c r="D1007" s="50"/>
      <c r="E1007" s="50"/>
      <c r="F1007" s="50"/>
      <c r="G1007" s="50"/>
      <c r="H1007" s="9"/>
      <c r="I1007" s="9"/>
      <c r="CS1007" s="37"/>
      <c r="CT1007" s="37"/>
      <c r="CU1007" s="37"/>
      <c r="CV1007" s="37"/>
      <c r="CW1007" s="37"/>
      <c r="CX1007" s="37"/>
      <c r="CY1007" s="37"/>
    </row>
    <row r="1008" spans="2:103" s="10" customFormat="1" x14ac:dyDescent="0.4">
      <c r="B1008" s="44"/>
      <c r="C1008" s="43"/>
      <c r="D1008" s="50"/>
      <c r="E1008" s="50"/>
      <c r="F1008" s="50"/>
      <c r="G1008" s="50"/>
      <c r="H1008" s="9"/>
      <c r="I1008" s="9"/>
      <c r="CS1008" s="37"/>
      <c r="CT1008" s="37"/>
      <c r="CU1008" s="37"/>
      <c r="CV1008" s="37"/>
      <c r="CW1008" s="37"/>
      <c r="CX1008" s="37"/>
      <c r="CY1008" s="37"/>
    </row>
    <row r="1009" spans="2:103" s="10" customFormat="1" x14ac:dyDescent="0.4">
      <c r="B1009" s="44"/>
      <c r="C1009" s="43"/>
      <c r="D1009" s="50"/>
      <c r="E1009" s="50"/>
      <c r="F1009" s="50"/>
      <c r="G1009" s="50"/>
      <c r="H1009" s="9"/>
      <c r="I1009" s="9"/>
      <c r="CS1009" s="37"/>
      <c r="CT1009" s="37"/>
      <c r="CU1009" s="37"/>
      <c r="CV1009" s="37"/>
      <c r="CW1009" s="37"/>
      <c r="CX1009" s="37"/>
      <c r="CY1009" s="37"/>
    </row>
    <row r="1010" spans="2:103" s="10" customFormat="1" x14ac:dyDescent="0.4">
      <c r="B1010" s="44"/>
      <c r="C1010" s="43"/>
      <c r="D1010" s="50"/>
      <c r="E1010" s="50"/>
      <c r="F1010" s="50"/>
      <c r="G1010" s="50"/>
      <c r="H1010" s="9"/>
      <c r="I1010" s="9"/>
      <c r="CS1010" s="37"/>
      <c r="CT1010" s="37"/>
      <c r="CU1010" s="37"/>
      <c r="CV1010" s="37"/>
      <c r="CW1010" s="37"/>
      <c r="CX1010" s="37"/>
      <c r="CY1010" s="37"/>
    </row>
    <row r="1011" spans="2:103" s="10" customFormat="1" x14ac:dyDescent="0.4">
      <c r="B1011" s="44"/>
      <c r="C1011" s="43"/>
      <c r="D1011" s="50"/>
      <c r="E1011" s="50"/>
      <c r="F1011" s="50"/>
      <c r="G1011" s="50"/>
      <c r="H1011" s="9"/>
      <c r="I1011" s="9"/>
      <c r="CS1011" s="37"/>
      <c r="CT1011" s="37"/>
      <c r="CU1011" s="37"/>
      <c r="CV1011" s="37"/>
      <c r="CW1011" s="37"/>
      <c r="CX1011" s="37"/>
      <c r="CY1011" s="37"/>
    </row>
    <row r="1012" spans="2:103" s="10" customFormat="1" x14ac:dyDescent="0.4">
      <c r="B1012" s="44"/>
      <c r="C1012" s="43"/>
      <c r="D1012" s="50"/>
      <c r="E1012" s="50"/>
      <c r="F1012" s="50"/>
      <c r="G1012" s="50"/>
      <c r="H1012" s="9"/>
      <c r="I1012" s="9"/>
      <c r="CS1012" s="37"/>
      <c r="CT1012" s="37"/>
      <c r="CU1012" s="37"/>
      <c r="CV1012" s="37"/>
      <c r="CW1012" s="37"/>
      <c r="CX1012" s="37"/>
      <c r="CY1012" s="37"/>
    </row>
    <row r="1013" spans="2:103" s="10" customFormat="1" x14ac:dyDescent="0.4">
      <c r="B1013" s="44"/>
      <c r="C1013" s="43"/>
      <c r="D1013" s="50"/>
      <c r="E1013" s="50"/>
      <c r="F1013" s="50"/>
      <c r="G1013" s="50"/>
      <c r="H1013" s="9"/>
      <c r="I1013" s="9"/>
      <c r="CS1013" s="37"/>
      <c r="CT1013" s="37"/>
      <c r="CU1013" s="37"/>
      <c r="CV1013" s="37"/>
      <c r="CW1013" s="37"/>
      <c r="CX1013" s="37"/>
      <c r="CY1013" s="37"/>
    </row>
    <row r="1014" spans="2:103" s="10" customFormat="1" x14ac:dyDescent="0.4">
      <c r="B1014" s="44"/>
      <c r="C1014" s="43"/>
      <c r="D1014" s="50"/>
      <c r="E1014" s="50"/>
      <c r="F1014" s="50"/>
      <c r="G1014" s="50"/>
      <c r="H1014" s="9"/>
      <c r="I1014" s="9"/>
      <c r="CS1014" s="37"/>
      <c r="CT1014" s="37"/>
      <c r="CU1014" s="37"/>
      <c r="CV1014" s="37"/>
      <c r="CW1014" s="37"/>
      <c r="CX1014" s="37"/>
      <c r="CY1014" s="37"/>
    </row>
    <row r="1015" spans="2:103" s="10" customFormat="1" x14ac:dyDescent="0.4">
      <c r="B1015" s="44"/>
      <c r="C1015" s="43"/>
      <c r="D1015" s="50"/>
      <c r="E1015" s="50"/>
      <c r="F1015" s="50"/>
      <c r="G1015" s="50"/>
      <c r="H1015" s="9"/>
      <c r="I1015" s="9"/>
      <c r="CS1015" s="37"/>
      <c r="CT1015" s="37"/>
      <c r="CU1015" s="37"/>
      <c r="CV1015" s="37"/>
      <c r="CW1015" s="37"/>
      <c r="CX1015" s="37"/>
      <c r="CY1015" s="37"/>
    </row>
    <row r="1016" spans="2:103" s="10" customFormat="1" x14ac:dyDescent="0.4">
      <c r="B1016" s="44"/>
      <c r="C1016" s="43"/>
      <c r="D1016" s="50"/>
      <c r="E1016" s="50"/>
      <c r="F1016" s="50"/>
      <c r="G1016" s="50"/>
      <c r="H1016" s="9"/>
      <c r="I1016" s="9"/>
      <c r="CS1016" s="37"/>
      <c r="CT1016" s="37"/>
      <c r="CU1016" s="37"/>
      <c r="CV1016" s="37"/>
      <c r="CW1016" s="37"/>
      <c r="CX1016" s="37"/>
      <c r="CY1016" s="37"/>
    </row>
    <row r="1017" spans="2:103" s="10" customFormat="1" x14ac:dyDescent="0.4">
      <c r="B1017" s="44"/>
      <c r="C1017" s="43"/>
      <c r="D1017" s="50"/>
      <c r="E1017" s="50"/>
      <c r="F1017" s="50"/>
      <c r="G1017" s="50"/>
      <c r="H1017" s="9"/>
      <c r="I1017" s="9"/>
      <c r="CS1017" s="37"/>
      <c r="CT1017" s="37"/>
      <c r="CU1017" s="37"/>
      <c r="CV1017" s="37"/>
      <c r="CW1017" s="37"/>
      <c r="CX1017" s="37"/>
      <c r="CY1017" s="37"/>
    </row>
    <row r="1018" spans="2:103" s="10" customFormat="1" x14ac:dyDescent="0.4">
      <c r="B1018" s="44"/>
      <c r="C1018" s="43"/>
      <c r="D1018" s="50"/>
      <c r="E1018" s="50"/>
      <c r="F1018" s="50"/>
      <c r="G1018" s="50"/>
      <c r="H1018" s="9"/>
      <c r="I1018" s="9"/>
      <c r="CS1018" s="37"/>
      <c r="CT1018" s="37"/>
      <c r="CU1018" s="37"/>
      <c r="CV1018" s="37"/>
      <c r="CW1018" s="37"/>
      <c r="CX1018" s="37"/>
      <c r="CY1018" s="37"/>
    </row>
    <row r="1019" spans="2:103" s="10" customFormat="1" x14ac:dyDescent="0.4">
      <c r="B1019" s="44"/>
      <c r="C1019" s="43"/>
      <c r="D1019" s="50"/>
      <c r="E1019" s="50"/>
      <c r="F1019" s="50"/>
      <c r="G1019" s="50"/>
      <c r="H1019" s="9"/>
      <c r="I1019" s="9"/>
      <c r="CS1019" s="37"/>
      <c r="CT1019" s="37"/>
      <c r="CU1019" s="37"/>
      <c r="CV1019" s="37"/>
      <c r="CW1019" s="37"/>
      <c r="CX1019" s="37"/>
      <c r="CY1019" s="37"/>
    </row>
    <row r="1020" spans="2:103" s="10" customFormat="1" x14ac:dyDescent="0.4">
      <c r="B1020" s="44"/>
      <c r="C1020" s="43"/>
      <c r="D1020" s="50"/>
      <c r="E1020" s="50"/>
      <c r="F1020" s="50"/>
      <c r="G1020" s="50"/>
      <c r="H1020" s="9"/>
      <c r="I1020" s="9"/>
      <c r="CS1020" s="37"/>
      <c r="CT1020" s="37"/>
      <c r="CU1020" s="37"/>
      <c r="CV1020" s="37"/>
      <c r="CW1020" s="37"/>
      <c r="CX1020" s="37"/>
      <c r="CY1020" s="37"/>
    </row>
    <row r="1021" spans="2:103" s="10" customFormat="1" x14ac:dyDescent="0.4">
      <c r="B1021" s="44"/>
      <c r="C1021" s="43"/>
      <c r="D1021" s="50"/>
      <c r="E1021" s="50"/>
      <c r="F1021" s="50"/>
      <c r="G1021" s="50"/>
      <c r="H1021" s="9"/>
      <c r="I1021" s="9"/>
      <c r="CS1021" s="37"/>
      <c r="CT1021" s="37"/>
      <c r="CU1021" s="37"/>
      <c r="CV1021" s="37"/>
      <c r="CW1021" s="37"/>
      <c r="CX1021" s="37"/>
      <c r="CY1021" s="37"/>
    </row>
    <row r="1022" spans="2:103" s="10" customFormat="1" x14ac:dyDescent="0.4">
      <c r="B1022" s="44"/>
      <c r="C1022" s="43"/>
      <c r="D1022" s="50"/>
      <c r="E1022" s="50"/>
      <c r="F1022" s="50"/>
      <c r="G1022" s="50"/>
      <c r="H1022" s="9"/>
      <c r="I1022" s="9"/>
      <c r="CS1022" s="37"/>
      <c r="CT1022" s="37"/>
      <c r="CU1022" s="37"/>
      <c r="CV1022" s="37"/>
      <c r="CW1022" s="37"/>
      <c r="CX1022" s="37"/>
      <c r="CY1022" s="37"/>
    </row>
    <row r="1023" spans="2:103" s="10" customFormat="1" x14ac:dyDescent="0.4">
      <c r="B1023" s="44"/>
      <c r="C1023" s="43"/>
      <c r="D1023" s="50"/>
      <c r="E1023" s="50"/>
      <c r="F1023" s="50"/>
      <c r="G1023" s="50"/>
      <c r="H1023" s="9"/>
      <c r="I1023" s="9"/>
      <c r="CS1023" s="37"/>
      <c r="CT1023" s="37"/>
      <c r="CU1023" s="37"/>
      <c r="CV1023" s="37"/>
      <c r="CW1023" s="37"/>
      <c r="CX1023" s="37"/>
      <c r="CY1023" s="37"/>
    </row>
    <row r="1024" spans="2:103" s="10" customFormat="1" x14ac:dyDescent="0.4">
      <c r="B1024" s="44"/>
      <c r="C1024" s="43"/>
      <c r="D1024" s="50"/>
      <c r="E1024" s="50"/>
      <c r="F1024" s="50"/>
      <c r="G1024" s="50"/>
      <c r="H1024" s="9"/>
      <c r="I1024" s="9"/>
      <c r="CS1024" s="37"/>
      <c r="CT1024" s="37"/>
      <c r="CU1024" s="37"/>
      <c r="CV1024" s="37"/>
      <c r="CW1024" s="37"/>
      <c r="CX1024" s="37"/>
      <c r="CY1024" s="37"/>
    </row>
    <row r="1025" spans="2:103" s="10" customFormat="1" x14ac:dyDescent="0.4">
      <c r="B1025" s="44"/>
      <c r="C1025" s="43"/>
      <c r="D1025" s="50"/>
      <c r="E1025" s="50"/>
      <c r="F1025" s="50"/>
      <c r="G1025" s="50"/>
      <c r="H1025" s="9"/>
      <c r="I1025" s="9"/>
      <c r="CS1025" s="37"/>
      <c r="CT1025" s="37"/>
      <c r="CU1025" s="37"/>
      <c r="CV1025" s="37"/>
      <c r="CW1025" s="37"/>
      <c r="CX1025" s="37"/>
      <c r="CY1025" s="37"/>
    </row>
    <row r="1026" spans="2:103" s="10" customFormat="1" x14ac:dyDescent="0.4">
      <c r="B1026" s="44"/>
      <c r="C1026" s="43"/>
      <c r="D1026" s="50"/>
      <c r="E1026" s="50"/>
      <c r="F1026" s="50"/>
      <c r="G1026" s="50"/>
      <c r="H1026" s="9"/>
      <c r="I1026" s="9"/>
      <c r="CS1026" s="37"/>
      <c r="CT1026" s="37"/>
      <c r="CU1026" s="37"/>
      <c r="CV1026" s="37"/>
      <c r="CW1026" s="37"/>
      <c r="CX1026" s="37"/>
      <c r="CY1026" s="37"/>
    </row>
    <row r="1027" spans="2:103" s="10" customFormat="1" x14ac:dyDescent="0.4">
      <c r="B1027" s="44"/>
      <c r="C1027" s="43"/>
      <c r="D1027" s="50"/>
      <c r="E1027" s="50"/>
      <c r="F1027" s="50"/>
      <c r="G1027" s="50"/>
      <c r="H1027" s="9"/>
      <c r="I1027" s="9"/>
      <c r="CS1027" s="37"/>
      <c r="CT1027" s="37"/>
      <c r="CU1027" s="37"/>
      <c r="CV1027" s="37"/>
      <c r="CW1027" s="37"/>
      <c r="CX1027" s="37"/>
      <c r="CY1027" s="37"/>
    </row>
    <row r="1028" spans="2:103" s="10" customFormat="1" x14ac:dyDescent="0.4">
      <c r="B1028" s="44"/>
      <c r="C1028" s="43"/>
      <c r="D1028" s="50"/>
      <c r="E1028" s="50"/>
      <c r="F1028" s="50"/>
      <c r="G1028" s="50"/>
      <c r="H1028" s="9"/>
      <c r="I1028" s="9"/>
      <c r="CS1028" s="37"/>
      <c r="CT1028" s="37"/>
      <c r="CU1028" s="37"/>
      <c r="CV1028" s="37"/>
      <c r="CW1028" s="37"/>
      <c r="CX1028" s="37"/>
      <c r="CY1028" s="37"/>
    </row>
    <row r="1029" spans="2:103" s="10" customFormat="1" x14ac:dyDescent="0.4">
      <c r="B1029" s="44"/>
      <c r="C1029" s="43"/>
      <c r="D1029" s="50"/>
      <c r="E1029" s="50"/>
      <c r="F1029" s="50"/>
      <c r="G1029" s="50"/>
      <c r="H1029" s="9"/>
      <c r="I1029" s="9"/>
      <c r="CS1029" s="37"/>
      <c r="CT1029" s="37"/>
      <c r="CU1029" s="37"/>
      <c r="CV1029" s="37"/>
      <c r="CW1029" s="37"/>
      <c r="CX1029" s="37"/>
      <c r="CY1029" s="37"/>
    </row>
    <row r="1030" spans="2:103" s="10" customFormat="1" x14ac:dyDescent="0.4">
      <c r="B1030" s="44"/>
      <c r="C1030" s="43"/>
      <c r="D1030" s="50"/>
      <c r="E1030" s="50"/>
      <c r="F1030" s="50"/>
      <c r="G1030" s="50"/>
      <c r="H1030" s="9"/>
      <c r="I1030" s="9"/>
      <c r="CS1030" s="37"/>
      <c r="CT1030" s="37"/>
      <c r="CU1030" s="37"/>
      <c r="CV1030" s="37"/>
      <c r="CW1030" s="37"/>
      <c r="CX1030" s="37"/>
      <c r="CY1030" s="37"/>
    </row>
    <row r="1031" spans="2:103" s="10" customFormat="1" x14ac:dyDescent="0.4">
      <c r="B1031" s="44"/>
      <c r="C1031" s="43"/>
      <c r="D1031" s="50"/>
      <c r="E1031" s="50"/>
      <c r="F1031" s="50"/>
      <c r="G1031" s="50"/>
      <c r="H1031" s="9"/>
      <c r="I1031" s="9"/>
      <c r="CS1031" s="37"/>
      <c r="CT1031" s="37"/>
      <c r="CU1031" s="37"/>
      <c r="CV1031" s="37"/>
      <c r="CW1031" s="37"/>
      <c r="CX1031" s="37"/>
      <c r="CY1031" s="37"/>
    </row>
    <row r="1032" spans="2:103" s="10" customFormat="1" x14ac:dyDescent="0.4">
      <c r="B1032" s="44"/>
      <c r="C1032" s="43"/>
      <c r="D1032" s="50"/>
      <c r="E1032" s="50"/>
      <c r="F1032" s="50"/>
      <c r="G1032" s="50"/>
      <c r="H1032" s="9"/>
      <c r="I1032" s="9"/>
      <c r="CS1032" s="37"/>
      <c r="CT1032" s="37"/>
      <c r="CU1032" s="37"/>
      <c r="CV1032" s="37"/>
      <c r="CW1032" s="37"/>
      <c r="CX1032" s="37"/>
      <c r="CY1032" s="37"/>
    </row>
    <row r="1033" spans="2:103" s="10" customFormat="1" x14ac:dyDescent="0.4">
      <c r="B1033" s="44"/>
      <c r="C1033" s="43"/>
      <c r="D1033" s="50"/>
      <c r="E1033" s="50"/>
      <c r="F1033" s="50"/>
      <c r="G1033" s="50"/>
      <c r="H1033" s="9"/>
      <c r="I1033" s="9"/>
      <c r="CS1033" s="37"/>
      <c r="CT1033" s="37"/>
      <c r="CU1033" s="37"/>
      <c r="CV1033" s="37"/>
      <c r="CW1033" s="37"/>
      <c r="CX1033" s="37"/>
      <c r="CY1033" s="37"/>
    </row>
    <row r="1034" spans="2:103" s="10" customFormat="1" x14ac:dyDescent="0.4">
      <c r="B1034" s="44"/>
      <c r="C1034" s="43"/>
      <c r="D1034" s="50"/>
      <c r="E1034" s="50"/>
      <c r="F1034" s="50"/>
      <c r="G1034" s="50"/>
      <c r="H1034" s="9"/>
      <c r="I1034" s="9"/>
      <c r="CS1034" s="37"/>
      <c r="CT1034" s="37"/>
      <c r="CU1034" s="37"/>
      <c r="CV1034" s="37"/>
      <c r="CW1034" s="37"/>
      <c r="CX1034" s="37"/>
      <c r="CY1034" s="37"/>
    </row>
    <row r="1035" spans="2:103" s="10" customFormat="1" x14ac:dyDescent="0.4">
      <c r="B1035" s="44"/>
      <c r="C1035" s="43"/>
      <c r="D1035" s="50"/>
      <c r="E1035" s="50"/>
      <c r="F1035" s="50"/>
      <c r="G1035" s="50"/>
      <c r="H1035" s="9"/>
      <c r="I1035" s="9"/>
      <c r="CS1035" s="37"/>
      <c r="CT1035" s="37"/>
      <c r="CU1035" s="37"/>
      <c r="CV1035" s="37"/>
      <c r="CW1035" s="37"/>
      <c r="CX1035" s="37"/>
      <c r="CY1035" s="37"/>
    </row>
    <row r="1036" spans="2:103" s="10" customFormat="1" x14ac:dyDescent="0.4">
      <c r="B1036" s="44"/>
      <c r="C1036" s="43"/>
      <c r="D1036" s="50"/>
      <c r="E1036" s="50"/>
      <c r="F1036" s="50"/>
      <c r="G1036" s="50"/>
      <c r="H1036" s="9"/>
      <c r="I1036" s="9"/>
      <c r="CS1036" s="37"/>
      <c r="CT1036" s="37"/>
      <c r="CU1036" s="37"/>
      <c r="CV1036" s="37"/>
      <c r="CW1036" s="37"/>
      <c r="CX1036" s="37"/>
      <c r="CY1036" s="37"/>
    </row>
    <row r="1037" spans="2:103" s="10" customFormat="1" x14ac:dyDescent="0.4">
      <c r="B1037" s="44"/>
      <c r="C1037" s="43"/>
      <c r="D1037" s="50"/>
      <c r="E1037" s="50"/>
      <c r="F1037" s="50"/>
      <c r="G1037" s="50"/>
      <c r="H1037" s="9"/>
      <c r="I1037" s="9"/>
      <c r="CS1037" s="37"/>
      <c r="CT1037" s="37"/>
      <c r="CU1037" s="37"/>
      <c r="CV1037" s="37"/>
      <c r="CW1037" s="37"/>
      <c r="CX1037" s="37"/>
      <c r="CY1037" s="37"/>
    </row>
    <row r="1038" spans="2:103" s="10" customFormat="1" x14ac:dyDescent="0.4">
      <c r="B1038" s="44"/>
      <c r="C1038" s="43"/>
      <c r="D1038" s="50"/>
      <c r="E1038" s="50"/>
      <c r="F1038" s="50"/>
      <c r="G1038" s="50"/>
      <c r="H1038" s="9"/>
      <c r="I1038" s="9"/>
      <c r="CS1038" s="37"/>
      <c r="CT1038" s="37"/>
      <c r="CU1038" s="37"/>
      <c r="CV1038" s="37"/>
      <c r="CW1038" s="37"/>
      <c r="CX1038" s="37"/>
      <c r="CY1038" s="37"/>
    </row>
    <row r="1039" spans="2:103" s="10" customFormat="1" x14ac:dyDescent="0.4">
      <c r="B1039" s="44"/>
      <c r="C1039" s="43"/>
      <c r="D1039" s="50"/>
      <c r="E1039" s="50"/>
      <c r="F1039" s="50"/>
      <c r="G1039" s="50"/>
      <c r="H1039" s="9"/>
      <c r="I1039" s="9"/>
      <c r="CS1039" s="37"/>
      <c r="CT1039" s="37"/>
      <c r="CU1039" s="37"/>
      <c r="CV1039" s="37"/>
      <c r="CW1039" s="37"/>
      <c r="CX1039" s="37"/>
      <c r="CY1039" s="37"/>
    </row>
    <row r="1040" spans="2:103" s="10" customFormat="1" x14ac:dyDescent="0.4">
      <c r="B1040" s="44"/>
      <c r="C1040" s="43"/>
      <c r="D1040" s="50"/>
      <c r="E1040" s="50"/>
      <c r="F1040" s="50"/>
      <c r="G1040" s="50"/>
      <c r="H1040" s="9"/>
      <c r="I1040" s="9"/>
      <c r="CS1040" s="37"/>
      <c r="CT1040" s="37"/>
      <c r="CU1040" s="37"/>
      <c r="CV1040" s="37"/>
      <c r="CW1040" s="37"/>
      <c r="CX1040" s="37"/>
      <c r="CY1040" s="37"/>
    </row>
    <row r="1041" spans="2:103" s="10" customFormat="1" x14ac:dyDescent="0.4">
      <c r="B1041" s="44"/>
      <c r="C1041" s="43"/>
      <c r="D1041" s="50"/>
      <c r="E1041" s="50"/>
      <c r="F1041" s="50"/>
      <c r="G1041" s="50"/>
      <c r="H1041" s="9"/>
      <c r="I1041" s="9"/>
      <c r="CS1041" s="37"/>
      <c r="CT1041" s="37"/>
      <c r="CU1041" s="37"/>
      <c r="CV1041" s="37"/>
      <c r="CW1041" s="37"/>
      <c r="CX1041" s="37"/>
      <c r="CY1041" s="37"/>
    </row>
    <row r="1042" spans="2:103" s="10" customFormat="1" x14ac:dyDescent="0.4">
      <c r="B1042" s="44"/>
      <c r="C1042" s="43"/>
      <c r="D1042" s="50"/>
      <c r="E1042" s="50"/>
      <c r="F1042" s="50"/>
      <c r="G1042" s="50"/>
      <c r="H1042" s="9"/>
      <c r="I1042" s="9"/>
      <c r="CS1042" s="37"/>
      <c r="CT1042" s="37"/>
      <c r="CU1042" s="37"/>
      <c r="CV1042" s="37"/>
      <c r="CW1042" s="37"/>
      <c r="CX1042" s="37"/>
      <c r="CY1042" s="37"/>
    </row>
    <row r="1043" spans="2:103" s="10" customFormat="1" x14ac:dyDescent="0.4">
      <c r="B1043" s="44"/>
      <c r="C1043" s="43"/>
      <c r="D1043" s="50"/>
      <c r="E1043" s="50"/>
      <c r="F1043" s="50"/>
      <c r="G1043" s="50"/>
      <c r="H1043" s="9"/>
      <c r="I1043" s="9"/>
      <c r="CS1043" s="37"/>
      <c r="CT1043" s="37"/>
      <c r="CU1043" s="37"/>
      <c r="CV1043" s="37"/>
      <c r="CW1043" s="37"/>
      <c r="CX1043" s="37"/>
      <c r="CY1043" s="37"/>
    </row>
    <row r="1044" spans="2:103" s="10" customFormat="1" x14ac:dyDescent="0.4">
      <c r="B1044" s="44"/>
      <c r="C1044" s="43"/>
      <c r="D1044" s="50"/>
      <c r="E1044" s="50"/>
      <c r="F1044" s="50"/>
      <c r="G1044" s="50"/>
      <c r="H1044" s="9"/>
      <c r="I1044" s="9"/>
      <c r="CS1044" s="37"/>
      <c r="CT1044" s="37"/>
      <c r="CU1044" s="37"/>
      <c r="CV1044" s="37"/>
      <c r="CW1044" s="37"/>
      <c r="CX1044" s="37"/>
      <c r="CY1044" s="37"/>
    </row>
    <row r="1045" spans="2:103" s="10" customFormat="1" x14ac:dyDescent="0.4">
      <c r="B1045" s="44"/>
      <c r="C1045" s="43"/>
      <c r="D1045" s="50"/>
      <c r="E1045" s="50"/>
      <c r="F1045" s="50"/>
      <c r="G1045" s="50"/>
      <c r="H1045" s="9"/>
      <c r="I1045" s="9"/>
      <c r="CS1045" s="37"/>
      <c r="CT1045" s="37"/>
      <c r="CU1045" s="37"/>
      <c r="CV1045" s="37"/>
      <c r="CW1045" s="37"/>
      <c r="CX1045" s="37"/>
      <c r="CY1045" s="37"/>
    </row>
    <row r="1046" spans="2:103" s="10" customFormat="1" x14ac:dyDescent="0.4">
      <c r="B1046" s="44"/>
      <c r="C1046" s="43"/>
      <c r="D1046" s="50"/>
      <c r="E1046" s="50"/>
      <c r="F1046" s="50"/>
      <c r="G1046" s="50"/>
      <c r="H1046" s="9"/>
      <c r="I1046" s="9"/>
      <c r="CS1046" s="37"/>
      <c r="CT1046" s="37"/>
      <c r="CU1046" s="37"/>
      <c r="CV1046" s="37"/>
      <c r="CW1046" s="37"/>
      <c r="CX1046" s="37"/>
      <c r="CY1046" s="37"/>
    </row>
    <row r="1047" spans="2:103" s="10" customFormat="1" x14ac:dyDescent="0.4">
      <c r="B1047" s="44"/>
      <c r="C1047" s="43"/>
      <c r="D1047" s="50"/>
      <c r="E1047" s="50"/>
      <c r="F1047" s="50"/>
      <c r="G1047" s="50"/>
      <c r="H1047" s="9"/>
      <c r="I1047" s="9"/>
      <c r="CS1047" s="37"/>
      <c r="CT1047" s="37"/>
      <c r="CU1047" s="37"/>
      <c r="CV1047" s="37"/>
      <c r="CW1047" s="37"/>
      <c r="CX1047" s="37"/>
      <c r="CY1047" s="37"/>
    </row>
    <row r="1048" spans="2:103" s="10" customFormat="1" x14ac:dyDescent="0.4">
      <c r="B1048" s="44"/>
      <c r="C1048" s="43"/>
      <c r="D1048" s="50"/>
      <c r="E1048" s="50"/>
      <c r="F1048" s="50"/>
      <c r="G1048" s="50"/>
      <c r="H1048" s="9"/>
      <c r="I1048" s="9"/>
      <c r="CS1048" s="37"/>
      <c r="CT1048" s="37"/>
      <c r="CU1048" s="37"/>
      <c r="CV1048" s="37"/>
      <c r="CW1048" s="37"/>
      <c r="CX1048" s="37"/>
      <c r="CY1048" s="37"/>
    </row>
    <row r="1049" spans="2:103" s="10" customFormat="1" x14ac:dyDescent="0.4">
      <c r="B1049" s="44"/>
      <c r="C1049" s="43"/>
      <c r="D1049" s="50"/>
      <c r="E1049" s="50"/>
      <c r="F1049" s="50"/>
      <c r="G1049" s="50"/>
      <c r="H1049" s="9"/>
      <c r="I1049" s="9"/>
      <c r="CS1049" s="37"/>
      <c r="CT1049" s="37"/>
      <c r="CU1049" s="37"/>
      <c r="CV1049" s="37"/>
      <c r="CW1049" s="37"/>
      <c r="CX1049" s="37"/>
      <c r="CY1049" s="37"/>
    </row>
    <row r="1050" spans="2:103" s="10" customFormat="1" x14ac:dyDescent="0.4">
      <c r="B1050" s="44"/>
      <c r="C1050" s="43"/>
      <c r="D1050" s="50"/>
      <c r="E1050" s="50"/>
      <c r="F1050" s="50"/>
      <c r="G1050" s="50"/>
      <c r="H1050" s="9"/>
      <c r="I1050" s="9"/>
      <c r="CS1050" s="37"/>
      <c r="CT1050" s="37"/>
      <c r="CU1050" s="37"/>
      <c r="CV1050" s="37"/>
      <c r="CW1050" s="37"/>
      <c r="CX1050" s="37"/>
      <c r="CY1050" s="37"/>
    </row>
    <row r="1051" spans="2:103" s="10" customFormat="1" x14ac:dyDescent="0.4">
      <c r="B1051" s="44"/>
      <c r="C1051" s="43"/>
      <c r="D1051" s="50"/>
      <c r="E1051" s="50"/>
      <c r="F1051" s="50"/>
      <c r="G1051" s="50"/>
      <c r="H1051" s="9"/>
      <c r="I1051" s="9"/>
      <c r="CS1051" s="37"/>
      <c r="CT1051" s="37"/>
      <c r="CU1051" s="37"/>
      <c r="CV1051" s="37"/>
      <c r="CW1051" s="37"/>
      <c r="CX1051" s="37"/>
      <c r="CY1051" s="37"/>
    </row>
    <row r="1052" spans="2:103" s="10" customFormat="1" x14ac:dyDescent="0.4">
      <c r="B1052" s="44"/>
      <c r="C1052" s="43"/>
      <c r="D1052" s="50"/>
      <c r="E1052" s="50"/>
      <c r="F1052" s="50"/>
      <c r="G1052" s="50"/>
      <c r="H1052" s="9"/>
      <c r="I1052" s="9"/>
      <c r="CS1052" s="37"/>
      <c r="CT1052" s="37"/>
      <c r="CU1052" s="37"/>
      <c r="CV1052" s="37"/>
      <c r="CW1052" s="37"/>
      <c r="CX1052" s="37"/>
      <c r="CY1052" s="37"/>
    </row>
    <row r="1053" spans="2:103" s="10" customFormat="1" x14ac:dyDescent="0.4">
      <c r="B1053" s="44"/>
      <c r="C1053" s="43"/>
      <c r="D1053" s="50"/>
      <c r="E1053" s="50"/>
      <c r="F1053" s="50"/>
      <c r="G1053" s="50"/>
      <c r="H1053" s="9"/>
      <c r="I1053" s="9"/>
      <c r="CS1053" s="37"/>
      <c r="CT1053" s="37"/>
      <c r="CU1053" s="37"/>
      <c r="CV1053" s="37"/>
      <c r="CW1053" s="37"/>
      <c r="CX1053" s="37"/>
      <c r="CY1053" s="37"/>
    </row>
    <row r="1054" spans="2:103" s="10" customFormat="1" x14ac:dyDescent="0.4">
      <c r="B1054" s="44"/>
      <c r="C1054" s="43"/>
      <c r="D1054" s="50"/>
      <c r="E1054" s="50"/>
      <c r="F1054" s="50"/>
      <c r="G1054" s="50"/>
      <c r="H1054" s="9"/>
      <c r="I1054" s="9"/>
      <c r="CS1054" s="37"/>
      <c r="CT1054" s="37"/>
      <c r="CU1054" s="37"/>
      <c r="CV1054" s="37"/>
      <c r="CW1054" s="37"/>
      <c r="CX1054" s="37"/>
      <c r="CY1054" s="37"/>
    </row>
    <row r="1055" spans="2:103" s="10" customFormat="1" x14ac:dyDescent="0.4">
      <c r="B1055" s="44"/>
      <c r="C1055" s="43"/>
      <c r="D1055" s="50"/>
      <c r="E1055" s="50"/>
      <c r="F1055" s="50"/>
      <c r="G1055" s="50"/>
      <c r="H1055" s="9"/>
      <c r="I1055" s="9"/>
      <c r="CS1055" s="37"/>
      <c r="CT1055" s="37"/>
      <c r="CU1055" s="37"/>
      <c r="CV1055" s="37"/>
      <c r="CW1055" s="37"/>
      <c r="CX1055" s="37"/>
      <c r="CY1055" s="37"/>
    </row>
    <row r="1056" spans="2:103" s="10" customFormat="1" x14ac:dyDescent="0.4">
      <c r="B1056" s="44"/>
      <c r="C1056" s="43"/>
      <c r="D1056" s="50"/>
      <c r="E1056" s="50"/>
      <c r="F1056" s="50"/>
      <c r="G1056" s="50"/>
      <c r="H1056" s="9"/>
      <c r="I1056" s="9"/>
      <c r="CS1056" s="37"/>
      <c r="CT1056" s="37"/>
      <c r="CU1056" s="37"/>
      <c r="CV1056" s="37"/>
      <c r="CW1056" s="37"/>
      <c r="CX1056" s="37"/>
      <c r="CY1056" s="37"/>
    </row>
    <row r="1057" spans="2:103" s="10" customFormat="1" x14ac:dyDescent="0.4">
      <c r="B1057" s="44"/>
      <c r="C1057" s="43"/>
      <c r="D1057" s="50"/>
      <c r="E1057" s="50"/>
      <c r="F1057" s="50"/>
      <c r="G1057" s="50"/>
      <c r="H1057" s="9"/>
      <c r="I1057" s="9"/>
      <c r="CS1057" s="37"/>
      <c r="CT1057" s="37"/>
      <c r="CU1057" s="37"/>
      <c r="CV1057" s="37"/>
      <c r="CW1057" s="37"/>
      <c r="CX1057" s="37"/>
      <c r="CY1057" s="37"/>
    </row>
    <row r="1058" spans="2:103" s="10" customFormat="1" x14ac:dyDescent="0.4">
      <c r="B1058" s="44"/>
      <c r="C1058" s="43"/>
      <c r="D1058" s="50"/>
      <c r="E1058" s="50"/>
      <c r="F1058" s="50"/>
      <c r="G1058" s="50"/>
      <c r="H1058" s="9"/>
      <c r="I1058" s="9"/>
      <c r="CS1058" s="37"/>
      <c r="CT1058" s="37"/>
      <c r="CU1058" s="37"/>
      <c r="CV1058" s="37"/>
      <c r="CW1058" s="37"/>
      <c r="CX1058" s="37"/>
      <c r="CY1058" s="37"/>
    </row>
    <row r="1059" spans="2:103" s="10" customFormat="1" x14ac:dyDescent="0.4">
      <c r="B1059" s="44"/>
      <c r="C1059" s="43"/>
      <c r="D1059" s="50"/>
      <c r="E1059" s="50"/>
      <c r="F1059" s="50"/>
      <c r="G1059" s="50"/>
      <c r="H1059" s="9"/>
      <c r="I1059" s="9"/>
      <c r="CS1059" s="37"/>
      <c r="CT1059" s="37"/>
      <c r="CU1059" s="37"/>
      <c r="CV1059" s="37"/>
      <c r="CW1059" s="37"/>
      <c r="CX1059" s="37"/>
      <c r="CY1059" s="37"/>
    </row>
    <row r="1060" spans="2:103" s="10" customFormat="1" x14ac:dyDescent="0.4">
      <c r="B1060" s="44"/>
      <c r="C1060" s="43"/>
      <c r="D1060" s="50"/>
      <c r="E1060" s="50"/>
      <c r="F1060" s="50"/>
      <c r="G1060" s="50"/>
      <c r="H1060" s="9"/>
      <c r="I1060" s="9"/>
      <c r="CS1060" s="37"/>
      <c r="CT1060" s="37"/>
      <c r="CU1060" s="37"/>
      <c r="CV1060" s="37"/>
      <c r="CW1060" s="37"/>
      <c r="CX1060" s="37"/>
      <c r="CY1060" s="37"/>
    </row>
    <row r="1061" spans="2:103" s="10" customFormat="1" x14ac:dyDescent="0.4">
      <c r="B1061" s="44"/>
      <c r="C1061" s="43"/>
      <c r="D1061" s="50"/>
      <c r="E1061" s="50"/>
      <c r="F1061" s="50"/>
      <c r="G1061" s="50"/>
      <c r="H1061" s="9"/>
      <c r="I1061" s="9"/>
      <c r="CS1061" s="37"/>
      <c r="CT1061" s="37"/>
      <c r="CU1061" s="37"/>
      <c r="CV1061" s="37"/>
      <c r="CW1061" s="37"/>
      <c r="CX1061" s="37"/>
      <c r="CY1061" s="37"/>
    </row>
    <row r="1062" spans="2:103" s="10" customFormat="1" x14ac:dyDescent="0.4">
      <c r="B1062" s="44"/>
      <c r="C1062" s="43"/>
      <c r="D1062" s="50"/>
      <c r="E1062" s="50"/>
      <c r="F1062" s="50"/>
      <c r="G1062" s="50"/>
      <c r="H1062" s="9"/>
      <c r="I1062" s="9"/>
      <c r="CS1062" s="37"/>
      <c r="CT1062" s="37"/>
      <c r="CU1062" s="37"/>
      <c r="CV1062" s="37"/>
      <c r="CW1062" s="37"/>
      <c r="CX1062" s="37"/>
      <c r="CY1062" s="37"/>
    </row>
    <row r="1063" spans="2:103" s="10" customFormat="1" x14ac:dyDescent="0.4">
      <c r="B1063" s="44"/>
      <c r="C1063" s="43"/>
      <c r="D1063" s="50"/>
      <c r="E1063" s="50"/>
      <c r="F1063" s="50"/>
      <c r="G1063" s="50"/>
      <c r="H1063" s="9"/>
      <c r="I1063" s="9"/>
      <c r="CS1063" s="37"/>
      <c r="CT1063" s="37"/>
      <c r="CU1063" s="37"/>
      <c r="CV1063" s="37"/>
      <c r="CW1063" s="37"/>
      <c r="CX1063" s="37"/>
      <c r="CY1063" s="37"/>
    </row>
    <row r="1064" spans="2:103" s="10" customFormat="1" x14ac:dyDescent="0.4">
      <c r="B1064" s="44"/>
      <c r="C1064" s="43"/>
      <c r="D1064" s="50"/>
      <c r="E1064" s="50"/>
      <c r="F1064" s="50"/>
      <c r="G1064" s="50"/>
      <c r="H1064" s="9"/>
      <c r="I1064" s="9"/>
      <c r="CS1064" s="37"/>
      <c r="CT1064" s="37"/>
      <c r="CU1064" s="37"/>
      <c r="CV1064" s="37"/>
      <c r="CW1064" s="37"/>
      <c r="CX1064" s="37"/>
      <c r="CY1064" s="37"/>
    </row>
    <row r="1065" spans="2:103" s="10" customFormat="1" x14ac:dyDescent="0.4">
      <c r="B1065" s="44"/>
      <c r="C1065" s="43"/>
      <c r="D1065" s="50"/>
      <c r="E1065" s="50"/>
      <c r="F1065" s="50"/>
      <c r="G1065" s="50"/>
      <c r="H1065" s="9"/>
      <c r="I1065" s="9"/>
      <c r="CS1065" s="37"/>
      <c r="CT1065" s="37"/>
      <c r="CU1065" s="37"/>
      <c r="CV1065" s="37"/>
      <c r="CW1065" s="37"/>
      <c r="CX1065" s="37"/>
      <c r="CY1065" s="37"/>
    </row>
    <row r="1066" spans="2:103" s="10" customFormat="1" x14ac:dyDescent="0.4">
      <c r="B1066" s="44"/>
      <c r="C1066" s="43"/>
      <c r="D1066" s="50"/>
      <c r="E1066" s="50"/>
      <c r="F1066" s="50"/>
      <c r="G1066" s="50"/>
      <c r="H1066" s="9"/>
      <c r="I1066" s="9"/>
      <c r="CS1066" s="37"/>
      <c r="CT1066" s="37"/>
      <c r="CU1066" s="37"/>
      <c r="CV1066" s="37"/>
      <c r="CW1066" s="37"/>
      <c r="CX1066" s="37"/>
      <c r="CY1066" s="37"/>
    </row>
    <row r="1067" spans="2:103" s="10" customFormat="1" x14ac:dyDescent="0.4">
      <c r="B1067" s="44"/>
      <c r="C1067" s="43"/>
      <c r="D1067" s="50"/>
      <c r="E1067" s="50"/>
      <c r="F1067" s="50"/>
      <c r="G1067" s="50"/>
      <c r="H1067" s="9"/>
      <c r="I1067" s="9"/>
      <c r="CS1067" s="37"/>
      <c r="CT1067" s="37"/>
      <c r="CU1067" s="37"/>
      <c r="CV1067" s="37"/>
      <c r="CW1067" s="37"/>
      <c r="CX1067" s="37"/>
      <c r="CY1067" s="37"/>
    </row>
    <row r="1068" spans="2:103" s="10" customFormat="1" x14ac:dyDescent="0.4">
      <c r="B1068" s="44"/>
      <c r="C1068" s="43"/>
      <c r="D1068" s="50"/>
      <c r="E1068" s="50"/>
      <c r="F1068" s="50"/>
      <c r="G1068" s="50"/>
      <c r="H1068" s="9"/>
      <c r="I1068" s="9"/>
      <c r="CS1068" s="37"/>
      <c r="CT1068" s="37"/>
      <c r="CU1068" s="37"/>
      <c r="CV1068" s="37"/>
      <c r="CW1068" s="37"/>
      <c r="CX1068" s="37"/>
      <c r="CY1068" s="37"/>
    </row>
    <row r="1069" spans="2:103" s="10" customFormat="1" x14ac:dyDescent="0.4">
      <c r="B1069" s="44"/>
      <c r="C1069" s="43"/>
      <c r="D1069" s="50"/>
      <c r="E1069" s="50"/>
      <c r="F1069" s="50"/>
      <c r="G1069" s="50"/>
      <c r="H1069" s="9"/>
      <c r="I1069" s="9"/>
      <c r="CS1069" s="37"/>
      <c r="CT1069" s="37"/>
      <c r="CU1069" s="37"/>
      <c r="CV1069" s="37"/>
      <c r="CW1069" s="37"/>
      <c r="CX1069" s="37"/>
      <c r="CY1069" s="37"/>
    </row>
    <row r="1070" spans="2:103" s="10" customFormat="1" x14ac:dyDescent="0.4">
      <c r="B1070" s="44"/>
      <c r="C1070" s="43"/>
      <c r="D1070" s="50"/>
      <c r="E1070" s="50"/>
      <c r="F1070" s="50"/>
      <c r="G1070" s="50"/>
      <c r="H1070" s="9"/>
      <c r="I1070" s="9"/>
      <c r="CS1070" s="37"/>
      <c r="CT1070" s="37"/>
      <c r="CU1070" s="37"/>
      <c r="CV1070" s="37"/>
      <c r="CW1070" s="37"/>
      <c r="CX1070" s="37"/>
      <c r="CY1070" s="37"/>
    </row>
    <row r="1071" spans="2:103" s="10" customFormat="1" x14ac:dyDescent="0.4">
      <c r="B1071" s="44"/>
      <c r="C1071" s="43"/>
      <c r="D1071" s="50"/>
      <c r="E1071" s="50"/>
      <c r="F1071" s="50"/>
      <c r="G1071" s="50"/>
      <c r="H1071" s="9"/>
      <c r="I1071" s="9"/>
      <c r="CS1071" s="37"/>
      <c r="CT1071" s="37"/>
      <c r="CU1071" s="37"/>
      <c r="CV1071" s="37"/>
      <c r="CW1071" s="37"/>
      <c r="CX1071" s="37"/>
      <c r="CY1071" s="37"/>
    </row>
    <row r="1072" spans="2:103" s="10" customFormat="1" x14ac:dyDescent="0.4">
      <c r="B1072" s="44"/>
      <c r="C1072" s="43"/>
      <c r="D1072" s="50"/>
      <c r="E1072" s="50"/>
      <c r="F1072" s="50"/>
      <c r="G1072" s="50"/>
      <c r="H1072" s="9"/>
      <c r="I1072" s="9"/>
      <c r="CS1072" s="37"/>
      <c r="CT1072" s="37"/>
      <c r="CU1072" s="37"/>
      <c r="CV1072" s="37"/>
      <c r="CW1072" s="37"/>
      <c r="CX1072" s="37"/>
      <c r="CY1072" s="37"/>
    </row>
    <row r="1073" spans="2:103" s="10" customFormat="1" x14ac:dyDescent="0.4">
      <c r="B1073" s="44"/>
      <c r="C1073" s="43"/>
      <c r="D1073" s="50"/>
      <c r="E1073" s="50"/>
      <c r="F1073" s="50"/>
      <c r="G1073" s="50"/>
      <c r="H1073" s="9"/>
      <c r="I1073" s="9"/>
      <c r="CS1073" s="37"/>
      <c r="CT1073" s="37"/>
      <c r="CU1073" s="37"/>
      <c r="CV1073" s="37"/>
      <c r="CW1073" s="37"/>
      <c r="CX1073" s="37"/>
      <c r="CY1073" s="37"/>
    </row>
    <row r="1074" spans="2:103" s="10" customFormat="1" x14ac:dyDescent="0.4">
      <c r="B1074" s="44"/>
      <c r="C1074" s="43"/>
      <c r="D1074" s="50"/>
      <c r="E1074" s="50"/>
      <c r="F1074" s="50"/>
      <c r="G1074" s="50"/>
      <c r="H1074" s="9"/>
      <c r="I1074" s="9"/>
      <c r="CS1074" s="37"/>
      <c r="CT1074" s="37"/>
      <c r="CU1074" s="37"/>
      <c r="CV1074" s="37"/>
      <c r="CW1074" s="37"/>
      <c r="CX1074" s="37"/>
      <c r="CY1074" s="37"/>
    </row>
    <row r="1075" spans="2:103" s="10" customFormat="1" x14ac:dyDescent="0.4">
      <c r="B1075" s="44"/>
      <c r="C1075" s="43"/>
      <c r="D1075" s="50"/>
      <c r="E1075" s="50"/>
      <c r="F1075" s="50"/>
      <c r="G1075" s="50"/>
      <c r="H1075" s="9"/>
      <c r="I1075" s="9"/>
      <c r="CS1075" s="37"/>
      <c r="CT1075" s="37"/>
      <c r="CU1075" s="37"/>
      <c r="CV1075" s="37"/>
      <c r="CW1075" s="37"/>
      <c r="CX1075" s="37"/>
      <c r="CY1075" s="37"/>
    </row>
    <row r="1076" spans="2:103" s="10" customFormat="1" x14ac:dyDescent="0.4">
      <c r="B1076" s="44"/>
      <c r="C1076" s="43"/>
      <c r="D1076" s="50"/>
      <c r="E1076" s="50"/>
      <c r="F1076" s="50"/>
      <c r="G1076" s="50"/>
      <c r="H1076" s="9"/>
      <c r="I1076" s="9"/>
      <c r="CS1076" s="37"/>
      <c r="CT1076" s="37"/>
      <c r="CU1076" s="37"/>
      <c r="CV1076" s="37"/>
      <c r="CW1076" s="37"/>
      <c r="CX1076" s="37"/>
      <c r="CY1076" s="37"/>
    </row>
    <row r="1077" spans="2:103" s="10" customFormat="1" x14ac:dyDescent="0.4">
      <c r="B1077" s="44"/>
      <c r="C1077" s="43"/>
      <c r="D1077" s="50"/>
      <c r="E1077" s="50"/>
      <c r="F1077" s="50"/>
      <c r="G1077" s="50"/>
      <c r="H1077" s="9"/>
      <c r="I1077" s="9"/>
      <c r="CS1077" s="37"/>
      <c r="CT1077" s="37"/>
      <c r="CU1077" s="37"/>
      <c r="CV1077" s="37"/>
      <c r="CW1077" s="37"/>
      <c r="CX1077" s="37"/>
      <c r="CY1077" s="37"/>
    </row>
    <row r="1078" spans="2:103" s="10" customFormat="1" x14ac:dyDescent="0.4">
      <c r="B1078" s="44"/>
      <c r="C1078" s="43"/>
      <c r="D1078" s="50"/>
      <c r="E1078" s="50"/>
      <c r="F1078" s="50"/>
      <c r="G1078" s="50"/>
      <c r="H1078" s="9"/>
      <c r="I1078" s="9"/>
      <c r="CS1078" s="37"/>
      <c r="CT1078" s="37"/>
      <c r="CU1078" s="37"/>
      <c r="CV1078" s="37"/>
      <c r="CW1078" s="37"/>
      <c r="CX1078" s="37"/>
      <c r="CY1078" s="37"/>
    </row>
    <row r="1079" spans="2:103" s="10" customFormat="1" x14ac:dyDescent="0.4">
      <c r="B1079" s="44"/>
      <c r="C1079" s="43"/>
      <c r="D1079" s="50"/>
      <c r="E1079" s="50"/>
      <c r="F1079" s="50"/>
      <c r="G1079" s="50"/>
      <c r="H1079" s="9"/>
      <c r="I1079" s="9"/>
      <c r="CS1079" s="37"/>
      <c r="CT1079" s="37"/>
      <c r="CU1079" s="37"/>
      <c r="CV1079" s="37"/>
      <c r="CW1079" s="37"/>
      <c r="CX1079" s="37"/>
      <c r="CY1079" s="37"/>
    </row>
    <row r="1080" spans="2:103" s="10" customFormat="1" x14ac:dyDescent="0.4">
      <c r="B1080" s="44"/>
      <c r="C1080" s="43"/>
      <c r="D1080" s="50"/>
      <c r="E1080" s="50"/>
      <c r="F1080" s="50"/>
      <c r="G1080" s="50"/>
      <c r="H1080" s="9"/>
      <c r="I1080" s="9"/>
      <c r="CS1080" s="37"/>
      <c r="CT1080" s="37"/>
      <c r="CU1080" s="37"/>
      <c r="CV1080" s="37"/>
      <c r="CW1080" s="37"/>
      <c r="CX1080" s="37"/>
      <c r="CY1080" s="37"/>
    </row>
    <row r="1081" spans="2:103" s="10" customFormat="1" x14ac:dyDescent="0.4">
      <c r="B1081" s="44"/>
      <c r="C1081" s="43"/>
      <c r="D1081" s="50"/>
      <c r="E1081" s="50"/>
      <c r="F1081" s="50"/>
      <c r="G1081" s="50"/>
      <c r="H1081" s="9"/>
      <c r="I1081" s="9"/>
      <c r="CS1081" s="37"/>
      <c r="CT1081" s="37"/>
      <c r="CU1081" s="37"/>
      <c r="CV1081" s="37"/>
      <c r="CW1081" s="37"/>
      <c r="CX1081" s="37"/>
      <c r="CY1081" s="37"/>
    </row>
    <row r="1082" spans="2:103" s="10" customFormat="1" x14ac:dyDescent="0.4">
      <c r="B1082" s="44"/>
      <c r="C1082" s="43"/>
      <c r="D1082" s="50"/>
      <c r="E1082" s="50"/>
      <c r="F1082" s="50"/>
      <c r="G1082" s="50"/>
      <c r="H1082" s="9"/>
      <c r="I1082" s="9"/>
      <c r="CS1082" s="37"/>
      <c r="CT1082" s="37"/>
      <c r="CU1082" s="37"/>
      <c r="CV1082" s="37"/>
      <c r="CW1082" s="37"/>
      <c r="CX1082" s="37"/>
      <c r="CY1082" s="37"/>
    </row>
    <row r="1083" spans="2:103" s="10" customFormat="1" x14ac:dyDescent="0.4">
      <c r="B1083" s="44"/>
      <c r="C1083" s="43"/>
      <c r="D1083" s="50"/>
      <c r="E1083" s="50"/>
      <c r="F1083" s="50"/>
      <c r="G1083" s="50"/>
      <c r="H1083" s="9"/>
      <c r="I1083" s="9"/>
      <c r="CS1083" s="37"/>
      <c r="CT1083" s="37"/>
      <c r="CU1083" s="37"/>
      <c r="CV1083" s="37"/>
      <c r="CW1083" s="37"/>
      <c r="CX1083" s="37"/>
      <c r="CY1083" s="37"/>
    </row>
    <row r="1084" spans="2:103" s="10" customFormat="1" x14ac:dyDescent="0.4">
      <c r="B1084" s="44"/>
      <c r="C1084" s="43"/>
      <c r="D1084" s="50"/>
      <c r="E1084" s="50"/>
      <c r="F1084" s="50"/>
      <c r="G1084" s="50"/>
      <c r="H1084" s="9"/>
      <c r="I1084" s="9"/>
      <c r="CS1084" s="37"/>
      <c r="CT1084" s="37"/>
      <c r="CU1084" s="37"/>
      <c r="CV1084" s="37"/>
      <c r="CW1084" s="37"/>
      <c r="CX1084" s="37"/>
      <c r="CY1084" s="37"/>
    </row>
    <row r="1085" spans="2:103" s="10" customFormat="1" x14ac:dyDescent="0.4">
      <c r="B1085" s="44"/>
      <c r="C1085" s="43"/>
      <c r="D1085" s="50"/>
      <c r="E1085" s="50"/>
      <c r="F1085" s="50"/>
      <c r="G1085" s="50"/>
      <c r="H1085" s="9"/>
      <c r="I1085" s="9"/>
      <c r="CS1085" s="37"/>
      <c r="CT1085" s="37"/>
      <c r="CU1085" s="37"/>
      <c r="CV1085" s="37"/>
      <c r="CW1085" s="37"/>
      <c r="CX1085" s="37"/>
      <c r="CY1085" s="37"/>
    </row>
    <row r="1086" spans="2:103" s="10" customFormat="1" x14ac:dyDescent="0.4">
      <c r="B1086" s="44"/>
      <c r="C1086" s="43"/>
      <c r="D1086" s="50"/>
      <c r="E1086" s="50"/>
      <c r="F1086" s="50"/>
      <c r="G1086" s="50"/>
      <c r="H1086" s="9"/>
      <c r="I1086" s="9"/>
      <c r="CS1086" s="37"/>
      <c r="CT1086" s="37"/>
      <c r="CU1086" s="37"/>
      <c r="CV1086" s="37"/>
      <c r="CW1086" s="37"/>
      <c r="CX1086" s="37"/>
      <c r="CY1086" s="37"/>
    </row>
    <row r="1087" spans="2:103" s="10" customFormat="1" x14ac:dyDescent="0.4">
      <c r="B1087" s="44"/>
      <c r="C1087" s="43"/>
      <c r="D1087" s="50"/>
      <c r="E1087" s="50"/>
      <c r="F1087" s="50"/>
      <c r="G1087" s="50"/>
      <c r="H1087" s="9"/>
      <c r="I1087" s="9"/>
      <c r="CS1087" s="37"/>
      <c r="CT1087" s="37"/>
      <c r="CU1087" s="37"/>
      <c r="CV1087" s="37"/>
      <c r="CW1087" s="37"/>
      <c r="CX1087" s="37"/>
      <c r="CY1087" s="37"/>
    </row>
    <row r="1088" spans="2:103" s="10" customFormat="1" x14ac:dyDescent="0.4">
      <c r="B1088" s="44"/>
      <c r="C1088" s="43"/>
      <c r="D1088" s="50"/>
      <c r="E1088" s="50"/>
      <c r="F1088" s="50"/>
      <c r="G1088" s="50"/>
      <c r="H1088" s="9"/>
      <c r="I1088" s="9"/>
      <c r="CS1088" s="37"/>
      <c r="CT1088" s="37"/>
      <c r="CU1088" s="37"/>
      <c r="CV1088" s="37"/>
      <c r="CW1088" s="37"/>
      <c r="CX1088" s="37"/>
      <c r="CY1088" s="37"/>
    </row>
    <row r="1089" spans="2:103" s="10" customFormat="1" x14ac:dyDescent="0.4">
      <c r="B1089" s="44"/>
      <c r="C1089" s="43"/>
      <c r="D1089" s="50"/>
      <c r="E1089" s="50"/>
      <c r="F1089" s="50"/>
      <c r="G1089" s="50"/>
      <c r="H1089" s="9"/>
      <c r="I1089" s="9"/>
      <c r="CS1089" s="37"/>
      <c r="CT1089" s="37"/>
      <c r="CU1089" s="37"/>
      <c r="CV1089" s="37"/>
      <c r="CW1089" s="37"/>
      <c r="CX1089" s="37"/>
      <c r="CY1089" s="37"/>
    </row>
    <row r="1090" spans="2:103" s="10" customFormat="1" x14ac:dyDescent="0.4">
      <c r="B1090" s="44"/>
      <c r="C1090" s="43"/>
      <c r="D1090" s="50"/>
      <c r="E1090" s="50"/>
      <c r="F1090" s="50"/>
      <c r="G1090" s="50"/>
      <c r="H1090" s="9"/>
      <c r="I1090" s="9"/>
      <c r="CS1090" s="37"/>
      <c r="CT1090" s="37"/>
      <c r="CU1090" s="37"/>
      <c r="CV1090" s="37"/>
      <c r="CW1090" s="37"/>
      <c r="CX1090" s="37"/>
      <c r="CY1090" s="37"/>
    </row>
    <row r="1091" spans="2:103" s="10" customFormat="1" x14ac:dyDescent="0.4">
      <c r="B1091" s="44"/>
      <c r="C1091" s="43"/>
      <c r="D1091" s="50"/>
      <c r="E1091" s="50"/>
      <c r="F1091" s="50"/>
      <c r="G1091" s="50"/>
      <c r="H1091" s="9"/>
      <c r="I1091" s="9"/>
      <c r="CS1091" s="37"/>
      <c r="CT1091" s="37"/>
      <c r="CU1091" s="37"/>
      <c r="CV1091" s="37"/>
      <c r="CW1091" s="37"/>
      <c r="CX1091" s="37"/>
      <c r="CY1091" s="37"/>
    </row>
    <row r="1092" spans="2:103" s="10" customFormat="1" x14ac:dyDescent="0.4">
      <c r="B1092" s="44"/>
      <c r="C1092" s="43"/>
      <c r="D1092" s="50"/>
      <c r="E1092" s="50"/>
      <c r="F1092" s="50"/>
      <c r="G1092" s="50"/>
      <c r="H1092" s="9"/>
      <c r="I1092" s="9"/>
      <c r="CS1092" s="37"/>
      <c r="CT1092" s="37"/>
      <c r="CU1092" s="37"/>
      <c r="CV1092" s="37"/>
      <c r="CW1092" s="37"/>
      <c r="CX1092" s="37"/>
      <c r="CY1092" s="37"/>
    </row>
    <row r="1093" spans="2:103" s="10" customFormat="1" x14ac:dyDescent="0.4">
      <c r="B1093" s="44"/>
      <c r="C1093" s="43"/>
      <c r="D1093" s="50"/>
      <c r="E1093" s="50"/>
      <c r="F1093" s="50"/>
      <c r="G1093" s="50"/>
      <c r="H1093" s="9"/>
      <c r="I1093" s="9"/>
      <c r="CS1093" s="37"/>
      <c r="CT1093" s="37"/>
      <c r="CU1093" s="37"/>
      <c r="CV1093" s="37"/>
      <c r="CW1093" s="37"/>
      <c r="CX1093" s="37"/>
      <c r="CY1093" s="37"/>
    </row>
    <row r="1094" spans="2:103" s="10" customFormat="1" x14ac:dyDescent="0.4">
      <c r="B1094" s="44"/>
      <c r="C1094" s="43"/>
      <c r="D1094" s="50"/>
      <c r="E1094" s="50"/>
      <c r="F1094" s="50"/>
      <c r="G1094" s="50"/>
      <c r="H1094" s="9"/>
      <c r="I1094" s="9"/>
      <c r="CS1094" s="37"/>
      <c r="CT1094" s="37"/>
      <c r="CU1094" s="37"/>
      <c r="CV1094" s="37"/>
      <c r="CW1094" s="37"/>
      <c r="CX1094" s="37"/>
      <c r="CY1094" s="37"/>
    </row>
    <row r="1095" spans="2:103" s="10" customFormat="1" x14ac:dyDescent="0.4">
      <c r="B1095" s="44"/>
      <c r="C1095" s="43"/>
      <c r="D1095" s="50"/>
      <c r="E1095" s="50"/>
      <c r="F1095" s="50"/>
      <c r="G1095" s="50"/>
      <c r="H1095" s="9"/>
      <c r="I1095" s="9"/>
      <c r="CS1095" s="37"/>
      <c r="CT1095" s="37"/>
      <c r="CU1095" s="37"/>
      <c r="CV1095" s="37"/>
      <c r="CW1095" s="37"/>
      <c r="CX1095" s="37"/>
      <c r="CY1095" s="37"/>
    </row>
    <row r="1096" spans="2:103" s="10" customFormat="1" x14ac:dyDescent="0.4">
      <c r="B1096" s="44"/>
      <c r="C1096" s="43"/>
      <c r="D1096" s="50"/>
      <c r="E1096" s="50"/>
      <c r="F1096" s="50"/>
      <c r="G1096" s="50"/>
      <c r="H1096" s="9"/>
      <c r="I1096" s="9"/>
      <c r="CS1096" s="37"/>
      <c r="CT1096" s="37"/>
      <c r="CU1096" s="37"/>
      <c r="CV1096" s="37"/>
      <c r="CW1096" s="37"/>
      <c r="CX1096" s="37"/>
      <c r="CY1096" s="37"/>
    </row>
    <row r="1097" spans="2:103" s="10" customFormat="1" x14ac:dyDescent="0.4">
      <c r="B1097" s="44"/>
      <c r="C1097" s="43"/>
      <c r="D1097" s="50"/>
      <c r="E1097" s="50"/>
      <c r="F1097" s="50"/>
      <c r="G1097" s="50"/>
      <c r="H1097" s="9"/>
      <c r="I1097" s="9"/>
      <c r="CS1097" s="37"/>
      <c r="CT1097" s="37"/>
      <c r="CU1097" s="37"/>
      <c r="CV1097" s="37"/>
      <c r="CW1097" s="37"/>
      <c r="CX1097" s="37"/>
      <c r="CY1097" s="37"/>
    </row>
    <row r="1098" spans="2:103" s="10" customFormat="1" x14ac:dyDescent="0.4">
      <c r="B1098" s="44"/>
      <c r="C1098" s="43"/>
      <c r="D1098" s="50"/>
      <c r="E1098" s="50"/>
      <c r="F1098" s="50"/>
      <c r="G1098" s="50"/>
      <c r="H1098" s="9"/>
      <c r="I1098" s="9"/>
      <c r="CS1098" s="37"/>
      <c r="CT1098" s="37"/>
      <c r="CU1098" s="37"/>
      <c r="CV1098" s="37"/>
      <c r="CW1098" s="37"/>
      <c r="CX1098" s="37"/>
      <c r="CY1098" s="37"/>
    </row>
    <row r="1099" spans="2:103" s="10" customFormat="1" x14ac:dyDescent="0.4">
      <c r="B1099" s="44"/>
      <c r="C1099" s="43"/>
      <c r="D1099" s="50"/>
      <c r="E1099" s="50"/>
      <c r="F1099" s="50"/>
      <c r="G1099" s="50"/>
      <c r="H1099" s="9"/>
      <c r="I1099" s="9"/>
      <c r="CS1099" s="37"/>
      <c r="CT1099" s="37"/>
      <c r="CU1099" s="37"/>
      <c r="CV1099" s="37"/>
      <c r="CW1099" s="37"/>
      <c r="CX1099" s="37"/>
      <c r="CY1099" s="37"/>
    </row>
    <row r="1100" spans="2:103" s="10" customFormat="1" x14ac:dyDescent="0.4">
      <c r="B1100" s="44"/>
      <c r="C1100" s="43"/>
      <c r="D1100" s="50"/>
      <c r="E1100" s="50"/>
      <c r="F1100" s="50"/>
      <c r="G1100" s="50"/>
      <c r="H1100" s="9"/>
      <c r="I1100" s="9"/>
      <c r="CS1100" s="37"/>
      <c r="CT1100" s="37"/>
      <c r="CU1100" s="37"/>
      <c r="CV1100" s="37"/>
      <c r="CW1100" s="37"/>
      <c r="CX1100" s="37"/>
      <c r="CY1100" s="37"/>
    </row>
    <row r="1101" spans="2:103" s="10" customFormat="1" x14ac:dyDescent="0.4">
      <c r="B1101" s="44"/>
      <c r="C1101" s="43"/>
      <c r="D1101" s="50"/>
      <c r="E1101" s="50"/>
      <c r="F1101" s="50"/>
      <c r="G1101" s="50"/>
      <c r="H1101" s="9"/>
      <c r="I1101" s="9"/>
      <c r="CS1101" s="37"/>
      <c r="CT1101" s="37"/>
      <c r="CU1101" s="37"/>
      <c r="CV1101" s="37"/>
      <c r="CW1101" s="37"/>
      <c r="CX1101" s="37"/>
      <c r="CY1101" s="37"/>
    </row>
    <row r="1102" spans="2:103" s="10" customFormat="1" x14ac:dyDescent="0.4">
      <c r="B1102" s="44"/>
      <c r="C1102" s="43"/>
      <c r="D1102" s="50"/>
      <c r="E1102" s="50"/>
      <c r="F1102" s="50"/>
      <c r="G1102" s="50"/>
      <c r="H1102" s="9"/>
      <c r="I1102" s="9"/>
      <c r="CS1102" s="37"/>
      <c r="CT1102" s="37"/>
      <c r="CU1102" s="37"/>
      <c r="CV1102" s="37"/>
      <c r="CW1102" s="37"/>
      <c r="CX1102" s="37"/>
      <c r="CY1102" s="37"/>
    </row>
    <row r="1103" spans="2:103" s="10" customFormat="1" x14ac:dyDescent="0.4">
      <c r="B1103" s="44"/>
      <c r="C1103" s="43"/>
      <c r="D1103" s="50"/>
      <c r="E1103" s="50"/>
      <c r="F1103" s="50"/>
      <c r="G1103" s="50"/>
      <c r="H1103" s="9"/>
      <c r="I1103" s="9"/>
      <c r="CS1103" s="37"/>
      <c r="CT1103" s="37"/>
      <c r="CU1103" s="37"/>
      <c r="CV1103" s="37"/>
      <c r="CW1103" s="37"/>
      <c r="CX1103" s="37"/>
      <c r="CY1103" s="37"/>
    </row>
    <row r="1104" spans="2:103" s="10" customFormat="1" x14ac:dyDescent="0.4">
      <c r="B1104" s="44"/>
      <c r="C1104" s="43"/>
      <c r="D1104" s="50"/>
      <c r="E1104" s="50"/>
      <c r="F1104" s="50"/>
      <c r="G1104" s="50"/>
      <c r="H1104" s="9"/>
      <c r="I1104" s="9"/>
      <c r="CS1104" s="37"/>
      <c r="CT1104" s="37"/>
      <c r="CU1104" s="37"/>
      <c r="CV1104" s="37"/>
      <c r="CW1104" s="37"/>
      <c r="CX1104" s="37"/>
      <c r="CY1104" s="37"/>
    </row>
    <row r="1105" spans="2:103" s="10" customFormat="1" x14ac:dyDescent="0.4">
      <c r="B1105" s="44"/>
      <c r="C1105" s="43"/>
      <c r="D1105" s="50"/>
      <c r="E1105" s="50"/>
      <c r="F1105" s="50"/>
      <c r="G1105" s="50"/>
      <c r="H1105" s="9"/>
      <c r="I1105" s="9"/>
      <c r="CS1105" s="37"/>
      <c r="CT1105" s="37"/>
      <c r="CU1105" s="37"/>
      <c r="CV1105" s="37"/>
      <c r="CW1105" s="37"/>
      <c r="CX1105" s="37"/>
      <c r="CY1105" s="37"/>
    </row>
    <row r="1106" spans="2:103" s="10" customFormat="1" x14ac:dyDescent="0.4">
      <c r="B1106" s="44"/>
      <c r="C1106" s="43"/>
      <c r="D1106" s="50"/>
      <c r="E1106" s="50"/>
      <c r="F1106" s="50"/>
      <c r="G1106" s="50"/>
      <c r="H1106" s="9"/>
      <c r="I1106" s="9"/>
      <c r="CS1106" s="37"/>
      <c r="CT1106" s="37"/>
      <c r="CU1106" s="37"/>
      <c r="CV1106" s="37"/>
      <c r="CW1106" s="37"/>
      <c r="CX1106" s="37"/>
      <c r="CY1106" s="37"/>
    </row>
    <row r="1107" spans="2:103" s="10" customFormat="1" x14ac:dyDescent="0.4">
      <c r="B1107" s="44"/>
      <c r="C1107" s="43"/>
      <c r="D1107" s="50"/>
      <c r="E1107" s="50"/>
      <c r="F1107" s="50"/>
      <c r="G1107" s="50"/>
      <c r="H1107" s="9"/>
      <c r="I1107" s="9"/>
      <c r="CS1107" s="37"/>
      <c r="CT1107" s="37"/>
      <c r="CU1107" s="37"/>
      <c r="CV1107" s="37"/>
      <c r="CW1107" s="37"/>
      <c r="CX1107" s="37"/>
      <c r="CY1107" s="37"/>
    </row>
    <row r="1108" spans="2:103" s="10" customFormat="1" x14ac:dyDescent="0.4">
      <c r="B1108" s="44"/>
      <c r="C1108" s="43"/>
      <c r="D1108" s="50"/>
      <c r="E1108" s="50"/>
      <c r="F1108" s="50"/>
      <c r="G1108" s="50"/>
      <c r="H1108" s="9"/>
      <c r="I1108" s="9"/>
      <c r="CS1108" s="37"/>
      <c r="CT1108" s="37"/>
      <c r="CU1108" s="37"/>
      <c r="CV1108" s="37"/>
      <c r="CW1108" s="37"/>
      <c r="CX1108" s="37"/>
      <c r="CY1108" s="37"/>
    </row>
    <row r="1109" spans="2:103" s="10" customFormat="1" x14ac:dyDescent="0.4">
      <c r="B1109" s="44"/>
      <c r="C1109" s="43"/>
      <c r="D1109" s="50"/>
      <c r="E1109" s="50"/>
      <c r="F1109" s="50"/>
      <c r="G1109" s="50"/>
      <c r="H1109" s="9"/>
      <c r="I1109" s="9"/>
      <c r="CS1109" s="37"/>
      <c r="CT1109" s="37"/>
      <c r="CU1109" s="37"/>
      <c r="CV1109" s="37"/>
      <c r="CW1109" s="37"/>
      <c r="CX1109" s="37"/>
      <c r="CY1109" s="37"/>
    </row>
    <row r="1110" spans="2:103" s="10" customFormat="1" x14ac:dyDescent="0.4">
      <c r="B1110" s="44"/>
      <c r="C1110" s="43"/>
      <c r="D1110" s="50"/>
      <c r="E1110" s="50"/>
      <c r="F1110" s="50"/>
      <c r="G1110" s="50"/>
      <c r="H1110" s="9"/>
      <c r="I1110" s="9"/>
      <c r="CS1110" s="37"/>
      <c r="CT1110" s="37"/>
      <c r="CU1110" s="37"/>
      <c r="CV1110" s="37"/>
      <c r="CW1110" s="37"/>
      <c r="CX1110" s="37"/>
      <c r="CY1110" s="37"/>
    </row>
    <row r="1111" spans="2:103" s="10" customFormat="1" x14ac:dyDescent="0.4">
      <c r="B1111" s="44"/>
      <c r="C1111" s="43"/>
      <c r="D1111" s="50"/>
      <c r="E1111" s="50"/>
      <c r="F1111" s="50"/>
      <c r="G1111" s="50"/>
      <c r="H1111" s="9"/>
      <c r="I1111" s="9"/>
      <c r="CS1111" s="37"/>
      <c r="CT1111" s="37"/>
      <c r="CU1111" s="37"/>
      <c r="CV1111" s="37"/>
      <c r="CW1111" s="37"/>
      <c r="CX1111" s="37"/>
      <c r="CY1111" s="37"/>
    </row>
    <row r="1112" spans="2:103" s="10" customFormat="1" x14ac:dyDescent="0.4">
      <c r="B1112" s="44"/>
      <c r="C1112" s="43"/>
      <c r="D1112" s="50"/>
      <c r="E1112" s="50"/>
      <c r="F1112" s="50"/>
      <c r="G1112" s="50"/>
      <c r="H1112" s="9"/>
      <c r="I1112" s="9"/>
      <c r="CS1112" s="37"/>
      <c r="CT1112" s="37"/>
      <c r="CU1112" s="37"/>
      <c r="CV1112" s="37"/>
      <c r="CW1112" s="37"/>
      <c r="CX1112" s="37"/>
      <c r="CY1112" s="37"/>
    </row>
    <row r="1113" spans="2:103" s="10" customFormat="1" x14ac:dyDescent="0.4">
      <c r="B1113" s="44"/>
      <c r="C1113" s="43"/>
      <c r="D1113" s="50"/>
      <c r="E1113" s="50"/>
      <c r="F1113" s="50"/>
      <c r="G1113" s="50"/>
      <c r="H1113" s="9"/>
      <c r="I1113" s="9"/>
      <c r="CS1113" s="37"/>
      <c r="CT1113" s="37"/>
      <c r="CU1113" s="37"/>
      <c r="CV1113" s="37"/>
      <c r="CW1113" s="37"/>
      <c r="CX1113" s="37"/>
      <c r="CY1113" s="37"/>
    </row>
    <row r="1114" spans="2:103" s="10" customFormat="1" x14ac:dyDescent="0.4">
      <c r="B1114" s="44"/>
      <c r="C1114" s="43"/>
      <c r="D1114" s="50"/>
      <c r="E1114" s="50"/>
      <c r="F1114" s="50"/>
      <c r="G1114" s="50"/>
      <c r="H1114" s="9"/>
      <c r="I1114" s="9"/>
      <c r="CS1114" s="37"/>
      <c r="CT1114" s="37"/>
      <c r="CU1114" s="37"/>
      <c r="CV1114" s="37"/>
      <c r="CW1114" s="37"/>
      <c r="CX1114" s="37"/>
      <c r="CY1114" s="37"/>
    </row>
    <row r="1115" spans="2:103" s="10" customFormat="1" x14ac:dyDescent="0.4">
      <c r="B1115" s="44"/>
      <c r="C1115" s="43"/>
      <c r="D1115" s="50"/>
      <c r="E1115" s="50"/>
      <c r="F1115" s="50"/>
      <c r="G1115" s="50"/>
      <c r="H1115" s="9"/>
      <c r="I1115" s="9"/>
      <c r="CS1115" s="37"/>
      <c r="CT1115" s="37"/>
      <c r="CU1115" s="37"/>
      <c r="CV1115" s="37"/>
      <c r="CW1115" s="37"/>
      <c r="CX1115" s="37"/>
      <c r="CY1115" s="37"/>
    </row>
    <row r="1116" spans="2:103" s="10" customFormat="1" x14ac:dyDescent="0.4">
      <c r="B1116" s="44"/>
      <c r="C1116" s="43"/>
      <c r="D1116" s="50"/>
      <c r="E1116" s="50"/>
      <c r="F1116" s="50"/>
      <c r="G1116" s="50"/>
      <c r="H1116" s="9"/>
      <c r="I1116" s="9"/>
      <c r="CS1116" s="37"/>
      <c r="CT1116" s="37"/>
      <c r="CU1116" s="37"/>
      <c r="CV1116" s="37"/>
      <c r="CW1116" s="37"/>
      <c r="CX1116" s="37"/>
      <c r="CY1116" s="37"/>
    </row>
    <row r="1117" spans="2:103" s="10" customFormat="1" x14ac:dyDescent="0.4">
      <c r="B1117" s="44"/>
      <c r="C1117" s="43"/>
      <c r="D1117" s="50"/>
      <c r="E1117" s="50"/>
      <c r="F1117" s="50"/>
      <c r="G1117" s="50"/>
      <c r="H1117" s="9"/>
      <c r="I1117" s="9"/>
      <c r="CS1117" s="37"/>
      <c r="CT1117" s="37"/>
      <c r="CU1117" s="37"/>
      <c r="CV1117" s="37"/>
      <c r="CW1117" s="37"/>
      <c r="CX1117" s="37"/>
      <c r="CY1117" s="37"/>
    </row>
    <row r="1118" spans="2:103" s="10" customFormat="1" x14ac:dyDescent="0.4">
      <c r="B1118" s="44"/>
      <c r="C1118" s="43"/>
      <c r="D1118" s="50"/>
      <c r="E1118" s="50"/>
      <c r="F1118" s="50"/>
      <c r="G1118" s="50"/>
      <c r="H1118" s="9"/>
      <c r="I1118" s="9"/>
      <c r="CS1118" s="37"/>
      <c r="CT1118" s="37"/>
      <c r="CU1118" s="37"/>
      <c r="CV1118" s="37"/>
      <c r="CW1118" s="37"/>
      <c r="CX1118" s="37"/>
      <c r="CY1118" s="37"/>
    </row>
    <row r="1119" spans="2:103" s="10" customFormat="1" x14ac:dyDescent="0.4">
      <c r="B1119" s="44"/>
      <c r="C1119" s="43"/>
      <c r="D1119" s="50"/>
      <c r="E1119" s="50"/>
      <c r="F1119" s="50"/>
      <c r="G1119" s="50"/>
      <c r="H1119" s="9"/>
      <c r="I1119" s="9"/>
      <c r="CS1119" s="37"/>
      <c r="CT1119" s="37"/>
      <c r="CU1119" s="37"/>
      <c r="CV1119" s="37"/>
      <c r="CW1119" s="37"/>
      <c r="CX1119" s="37"/>
      <c r="CY1119" s="37"/>
    </row>
    <row r="1120" spans="2:103" s="10" customFormat="1" x14ac:dyDescent="0.4">
      <c r="B1120" s="44"/>
      <c r="C1120" s="43"/>
      <c r="D1120" s="50"/>
      <c r="E1120" s="50"/>
      <c r="F1120" s="50"/>
      <c r="G1120" s="50"/>
      <c r="H1120" s="9"/>
      <c r="I1120" s="9"/>
      <c r="CS1120" s="37"/>
      <c r="CT1120" s="37"/>
      <c r="CU1120" s="37"/>
      <c r="CV1120" s="37"/>
      <c r="CW1120" s="37"/>
      <c r="CX1120" s="37"/>
      <c r="CY1120" s="37"/>
    </row>
    <row r="1121" spans="2:103" s="10" customFormat="1" x14ac:dyDescent="0.4">
      <c r="B1121" s="44"/>
      <c r="C1121" s="43"/>
      <c r="D1121" s="50"/>
      <c r="E1121" s="50"/>
      <c r="F1121" s="50"/>
      <c r="G1121" s="50"/>
      <c r="H1121" s="9"/>
      <c r="I1121" s="9"/>
      <c r="CS1121" s="37"/>
      <c r="CT1121" s="37"/>
      <c r="CU1121" s="37"/>
      <c r="CV1121" s="37"/>
      <c r="CW1121" s="37"/>
      <c r="CX1121" s="37"/>
      <c r="CY1121" s="37"/>
    </row>
    <row r="1122" spans="2:103" s="10" customFormat="1" x14ac:dyDescent="0.4">
      <c r="B1122" s="44"/>
      <c r="C1122" s="43"/>
      <c r="D1122" s="50"/>
      <c r="E1122" s="50"/>
      <c r="F1122" s="50"/>
      <c r="G1122" s="50"/>
      <c r="H1122" s="9"/>
      <c r="I1122" s="9"/>
      <c r="CS1122" s="37"/>
      <c r="CT1122" s="37"/>
      <c r="CU1122" s="37"/>
      <c r="CV1122" s="37"/>
      <c r="CW1122" s="37"/>
      <c r="CX1122" s="37"/>
      <c r="CY1122" s="37"/>
    </row>
    <row r="1123" spans="2:103" s="10" customFormat="1" x14ac:dyDescent="0.4">
      <c r="B1123" s="44"/>
      <c r="C1123" s="43"/>
      <c r="D1123" s="50"/>
      <c r="E1123" s="50"/>
      <c r="F1123" s="50"/>
      <c r="G1123" s="50"/>
      <c r="H1123" s="9"/>
      <c r="I1123" s="9"/>
      <c r="CS1123" s="37"/>
      <c r="CT1123" s="37"/>
      <c r="CU1123" s="37"/>
      <c r="CV1123" s="37"/>
      <c r="CW1123" s="37"/>
      <c r="CX1123" s="37"/>
      <c r="CY1123" s="37"/>
    </row>
    <row r="1124" spans="2:103" s="10" customFormat="1" x14ac:dyDescent="0.4">
      <c r="B1124" s="44"/>
      <c r="C1124" s="43"/>
      <c r="D1124" s="50"/>
      <c r="E1124" s="50"/>
      <c r="F1124" s="50"/>
      <c r="G1124" s="50"/>
      <c r="H1124" s="9"/>
      <c r="I1124" s="9"/>
      <c r="CS1124" s="37"/>
      <c r="CT1124" s="37"/>
      <c r="CU1124" s="37"/>
      <c r="CV1124" s="37"/>
      <c r="CW1124" s="37"/>
      <c r="CX1124" s="37"/>
      <c r="CY1124" s="37"/>
    </row>
    <row r="1125" spans="2:103" s="10" customFormat="1" x14ac:dyDescent="0.4">
      <c r="B1125" s="44"/>
      <c r="C1125" s="43"/>
      <c r="D1125" s="50"/>
      <c r="E1125" s="50"/>
      <c r="F1125" s="50"/>
      <c r="G1125" s="50"/>
      <c r="H1125" s="9"/>
      <c r="I1125" s="9"/>
      <c r="CS1125" s="37"/>
      <c r="CT1125" s="37"/>
      <c r="CU1125" s="37"/>
      <c r="CV1125" s="37"/>
      <c r="CW1125" s="37"/>
      <c r="CX1125" s="37"/>
      <c r="CY1125" s="37"/>
    </row>
    <row r="1126" spans="2:103" s="10" customFormat="1" x14ac:dyDescent="0.4">
      <c r="B1126" s="44"/>
      <c r="C1126" s="43"/>
      <c r="D1126" s="50"/>
      <c r="E1126" s="50"/>
      <c r="F1126" s="50"/>
      <c r="G1126" s="50"/>
      <c r="H1126" s="9"/>
      <c r="I1126" s="9"/>
      <c r="CS1126" s="37"/>
      <c r="CT1126" s="37"/>
      <c r="CU1126" s="37"/>
      <c r="CV1126" s="37"/>
      <c r="CW1126" s="37"/>
      <c r="CX1126" s="37"/>
      <c r="CY1126" s="37"/>
    </row>
    <row r="1127" spans="2:103" s="10" customFormat="1" x14ac:dyDescent="0.4">
      <c r="B1127" s="44"/>
      <c r="C1127" s="43"/>
      <c r="D1127" s="50"/>
      <c r="E1127" s="50"/>
      <c r="F1127" s="50"/>
      <c r="G1127" s="50"/>
      <c r="H1127" s="9"/>
      <c r="I1127" s="9"/>
      <c r="CS1127" s="37"/>
      <c r="CT1127" s="37"/>
      <c r="CU1127" s="37"/>
      <c r="CV1127" s="37"/>
      <c r="CW1127" s="37"/>
      <c r="CX1127" s="37"/>
      <c r="CY1127" s="37"/>
    </row>
    <row r="1128" spans="2:103" s="10" customFormat="1" x14ac:dyDescent="0.4">
      <c r="B1128" s="44"/>
      <c r="C1128" s="43"/>
      <c r="D1128" s="50"/>
      <c r="E1128" s="50"/>
      <c r="F1128" s="50"/>
      <c r="G1128" s="50"/>
      <c r="H1128" s="9"/>
      <c r="I1128" s="9"/>
      <c r="CS1128" s="37"/>
      <c r="CT1128" s="37"/>
      <c r="CU1128" s="37"/>
      <c r="CV1128" s="37"/>
      <c r="CW1128" s="37"/>
      <c r="CX1128" s="37"/>
      <c r="CY1128" s="37"/>
    </row>
    <row r="1129" spans="2:103" s="10" customFormat="1" x14ac:dyDescent="0.4">
      <c r="B1129" s="44"/>
      <c r="C1129" s="43"/>
      <c r="D1129" s="50"/>
      <c r="E1129" s="50"/>
      <c r="F1129" s="50"/>
      <c r="G1129" s="50"/>
      <c r="H1129" s="9"/>
      <c r="I1129" s="9"/>
      <c r="CS1129" s="37"/>
      <c r="CT1129" s="37"/>
      <c r="CU1129" s="37"/>
      <c r="CV1129" s="37"/>
      <c r="CW1129" s="37"/>
      <c r="CX1129" s="37"/>
      <c r="CY1129" s="37"/>
    </row>
    <row r="1130" spans="2:103" s="10" customFormat="1" x14ac:dyDescent="0.4">
      <c r="B1130" s="44"/>
      <c r="C1130" s="43"/>
      <c r="D1130" s="50"/>
      <c r="E1130" s="50"/>
      <c r="F1130" s="50"/>
      <c r="G1130" s="50"/>
      <c r="H1130" s="9"/>
      <c r="I1130" s="9"/>
      <c r="CS1130" s="37"/>
      <c r="CT1130" s="37"/>
      <c r="CU1130" s="37"/>
      <c r="CV1130" s="37"/>
      <c r="CW1130" s="37"/>
      <c r="CX1130" s="37"/>
      <c r="CY1130" s="37"/>
    </row>
    <row r="1131" spans="2:103" s="10" customFormat="1" x14ac:dyDescent="0.4">
      <c r="B1131" s="44"/>
      <c r="C1131" s="43"/>
      <c r="D1131" s="50"/>
      <c r="E1131" s="50"/>
      <c r="F1131" s="50"/>
      <c r="G1131" s="50"/>
      <c r="H1131" s="9"/>
      <c r="I1131" s="9"/>
      <c r="CS1131" s="37"/>
      <c r="CT1131" s="37"/>
      <c r="CU1131" s="37"/>
      <c r="CV1131" s="37"/>
      <c r="CW1131" s="37"/>
      <c r="CX1131" s="37"/>
      <c r="CY1131" s="37"/>
    </row>
    <row r="1132" spans="2:103" s="10" customFormat="1" x14ac:dyDescent="0.4">
      <c r="B1132" s="44"/>
      <c r="C1132" s="43"/>
      <c r="D1132" s="50"/>
      <c r="E1132" s="50"/>
      <c r="F1132" s="50"/>
      <c r="G1132" s="50"/>
      <c r="H1132" s="9"/>
      <c r="I1132" s="9"/>
      <c r="CS1132" s="37"/>
      <c r="CT1132" s="37"/>
      <c r="CU1132" s="37"/>
      <c r="CV1132" s="37"/>
      <c r="CW1132" s="37"/>
      <c r="CX1132" s="37"/>
      <c r="CY1132" s="37"/>
    </row>
    <row r="1133" spans="2:103" s="10" customFormat="1" x14ac:dyDescent="0.4">
      <c r="B1133" s="44"/>
      <c r="C1133" s="43"/>
      <c r="D1133" s="50"/>
      <c r="E1133" s="50"/>
      <c r="F1133" s="50"/>
      <c r="G1133" s="50"/>
      <c r="H1133" s="9"/>
      <c r="I1133" s="9"/>
      <c r="CS1133" s="37"/>
      <c r="CT1133" s="37"/>
      <c r="CU1133" s="37"/>
      <c r="CV1133" s="37"/>
      <c r="CW1133" s="37"/>
      <c r="CX1133" s="37"/>
      <c r="CY1133" s="37"/>
    </row>
    <row r="1134" spans="2:103" s="10" customFormat="1" x14ac:dyDescent="0.4">
      <c r="B1134" s="44"/>
      <c r="C1134" s="43"/>
      <c r="D1134" s="50"/>
      <c r="E1134" s="50"/>
      <c r="F1134" s="50"/>
      <c r="G1134" s="50"/>
      <c r="H1134" s="9"/>
      <c r="I1134" s="9"/>
      <c r="CS1134" s="37"/>
      <c r="CT1134" s="37"/>
      <c r="CU1134" s="37"/>
      <c r="CV1134" s="37"/>
      <c r="CW1134" s="37"/>
      <c r="CX1134" s="37"/>
      <c r="CY1134" s="37"/>
    </row>
    <row r="1135" spans="2:103" s="10" customFormat="1" x14ac:dyDescent="0.4">
      <c r="B1135" s="44"/>
      <c r="C1135" s="43"/>
      <c r="D1135" s="50"/>
      <c r="E1135" s="50"/>
      <c r="F1135" s="50"/>
      <c r="G1135" s="50"/>
      <c r="H1135" s="9"/>
      <c r="I1135" s="9"/>
      <c r="CS1135" s="37"/>
      <c r="CT1135" s="37"/>
      <c r="CU1135" s="37"/>
      <c r="CV1135" s="37"/>
      <c r="CW1135" s="37"/>
      <c r="CX1135" s="37"/>
      <c r="CY1135" s="37"/>
    </row>
    <row r="1136" spans="2:103" s="10" customFormat="1" x14ac:dyDescent="0.4">
      <c r="B1136" s="44"/>
      <c r="C1136" s="43"/>
      <c r="D1136" s="50"/>
      <c r="E1136" s="50"/>
      <c r="F1136" s="50"/>
      <c r="G1136" s="50"/>
      <c r="H1136" s="9"/>
      <c r="I1136" s="9"/>
      <c r="CS1136" s="37"/>
      <c r="CT1136" s="37"/>
      <c r="CU1136" s="37"/>
      <c r="CV1136" s="37"/>
      <c r="CW1136" s="37"/>
      <c r="CX1136" s="37"/>
      <c r="CY1136" s="37"/>
    </row>
    <row r="1137" spans="2:103" s="10" customFormat="1" x14ac:dyDescent="0.4">
      <c r="B1137" s="44"/>
      <c r="C1137" s="43"/>
      <c r="D1137" s="50"/>
      <c r="E1137" s="50"/>
      <c r="F1137" s="50"/>
      <c r="G1137" s="50"/>
      <c r="H1137" s="9"/>
      <c r="I1137" s="9"/>
      <c r="CS1137" s="37"/>
      <c r="CT1137" s="37"/>
      <c r="CU1137" s="37"/>
      <c r="CV1137" s="37"/>
      <c r="CW1137" s="37"/>
      <c r="CX1137" s="37"/>
      <c r="CY1137" s="37"/>
    </row>
    <row r="1138" spans="2:103" s="10" customFormat="1" x14ac:dyDescent="0.4">
      <c r="B1138" s="44"/>
      <c r="C1138" s="43"/>
      <c r="D1138" s="50"/>
      <c r="E1138" s="50"/>
      <c r="F1138" s="50"/>
      <c r="G1138" s="50"/>
      <c r="H1138" s="9"/>
      <c r="I1138" s="9"/>
      <c r="CS1138" s="37"/>
      <c r="CT1138" s="37"/>
      <c r="CU1138" s="37"/>
      <c r="CV1138" s="37"/>
      <c r="CW1138" s="37"/>
      <c r="CX1138" s="37"/>
      <c r="CY1138" s="37"/>
    </row>
    <row r="1139" spans="2:103" s="10" customFormat="1" x14ac:dyDescent="0.4">
      <c r="B1139" s="44"/>
      <c r="C1139" s="43"/>
      <c r="D1139" s="50"/>
      <c r="E1139" s="50"/>
      <c r="F1139" s="50"/>
      <c r="G1139" s="50"/>
      <c r="H1139" s="9"/>
      <c r="I1139" s="9"/>
      <c r="CS1139" s="37"/>
      <c r="CT1139" s="37"/>
      <c r="CU1139" s="37"/>
      <c r="CV1139" s="37"/>
      <c r="CW1139" s="37"/>
      <c r="CX1139" s="37"/>
      <c r="CY1139" s="37"/>
    </row>
    <row r="1140" spans="2:103" s="10" customFormat="1" x14ac:dyDescent="0.4">
      <c r="B1140" s="44"/>
      <c r="C1140" s="43"/>
      <c r="D1140" s="50"/>
      <c r="E1140" s="50"/>
      <c r="F1140" s="50"/>
      <c r="G1140" s="50"/>
      <c r="H1140" s="9"/>
      <c r="I1140" s="9"/>
      <c r="CS1140" s="37"/>
      <c r="CT1140" s="37"/>
      <c r="CU1140" s="37"/>
      <c r="CV1140" s="37"/>
      <c r="CW1140" s="37"/>
      <c r="CX1140" s="37"/>
      <c r="CY1140" s="37"/>
    </row>
    <row r="1141" spans="2:103" s="10" customFormat="1" x14ac:dyDescent="0.4">
      <c r="B1141" s="44"/>
      <c r="C1141" s="43"/>
      <c r="D1141" s="50"/>
      <c r="E1141" s="50"/>
      <c r="F1141" s="50"/>
      <c r="G1141" s="50"/>
      <c r="H1141" s="9"/>
      <c r="I1141" s="9"/>
      <c r="CS1141" s="37"/>
      <c r="CT1141" s="37"/>
      <c r="CU1141" s="37"/>
      <c r="CV1141" s="37"/>
      <c r="CW1141" s="37"/>
      <c r="CX1141" s="37"/>
      <c r="CY1141" s="37"/>
    </row>
    <row r="1142" spans="2:103" s="10" customFormat="1" x14ac:dyDescent="0.4">
      <c r="B1142" s="44"/>
      <c r="C1142" s="43"/>
      <c r="D1142" s="50"/>
      <c r="E1142" s="50"/>
      <c r="F1142" s="50"/>
      <c r="G1142" s="50"/>
      <c r="H1142" s="9"/>
      <c r="I1142" s="9"/>
      <c r="CS1142" s="37"/>
      <c r="CT1142" s="37"/>
      <c r="CU1142" s="37"/>
      <c r="CV1142" s="37"/>
      <c r="CW1142" s="37"/>
      <c r="CX1142" s="37"/>
      <c r="CY1142" s="37"/>
    </row>
    <row r="1143" spans="2:103" s="10" customFormat="1" x14ac:dyDescent="0.4">
      <c r="B1143" s="44"/>
      <c r="C1143" s="43"/>
      <c r="D1143" s="50"/>
      <c r="E1143" s="50"/>
      <c r="F1143" s="50"/>
      <c r="G1143" s="50"/>
      <c r="H1143" s="9"/>
      <c r="I1143" s="9"/>
      <c r="CS1143" s="37"/>
      <c r="CT1143" s="37"/>
      <c r="CU1143" s="37"/>
      <c r="CV1143" s="37"/>
      <c r="CW1143" s="37"/>
      <c r="CX1143" s="37"/>
      <c r="CY1143" s="37"/>
    </row>
    <row r="1144" spans="2:103" s="10" customFormat="1" x14ac:dyDescent="0.4">
      <c r="B1144" s="44"/>
      <c r="C1144" s="43"/>
      <c r="D1144" s="50"/>
      <c r="E1144" s="50"/>
      <c r="F1144" s="50"/>
      <c r="G1144" s="50"/>
      <c r="H1144" s="9"/>
      <c r="I1144" s="9"/>
      <c r="CS1144" s="37"/>
      <c r="CT1144" s="37"/>
      <c r="CU1144" s="37"/>
      <c r="CV1144" s="37"/>
      <c r="CW1144" s="37"/>
      <c r="CX1144" s="37"/>
      <c r="CY1144" s="37"/>
    </row>
    <row r="1145" spans="2:103" s="10" customFormat="1" x14ac:dyDescent="0.4">
      <c r="B1145" s="44"/>
      <c r="C1145" s="43"/>
      <c r="D1145" s="50"/>
      <c r="E1145" s="50"/>
      <c r="F1145" s="50"/>
      <c r="G1145" s="50"/>
      <c r="H1145" s="9"/>
      <c r="I1145" s="9"/>
      <c r="CS1145" s="37"/>
      <c r="CT1145" s="37"/>
      <c r="CU1145" s="37"/>
      <c r="CV1145" s="37"/>
      <c r="CW1145" s="37"/>
      <c r="CX1145" s="37"/>
      <c r="CY1145" s="37"/>
    </row>
    <row r="1146" spans="2:103" s="10" customFormat="1" x14ac:dyDescent="0.4">
      <c r="B1146" s="44"/>
      <c r="C1146" s="43"/>
      <c r="D1146" s="50"/>
      <c r="E1146" s="50"/>
      <c r="F1146" s="50"/>
      <c r="G1146" s="50"/>
      <c r="H1146" s="9"/>
      <c r="I1146" s="9"/>
      <c r="CS1146" s="37"/>
      <c r="CT1146" s="37"/>
      <c r="CU1146" s="37"/>
      <c r="CV1146" s="37"/>
      <c r="CW1146" s="37"/>
      <c r="CX1146" s="37"/>
      <c r="CY1146" s="37"/>
    </row>
    <row r="1147" spans="2:103" s="10" customFormat="1" x14ac:dyDescent="0.4">
      <c r="B1147" s="44"/>
      <c r="C1147" s="43"/>
      <c r="D1147" s="50"/>
      <c r="E1147" s="50"/>
      <c r="F1147" s="50"/>
      <c r="G1147" s="50"/>
      <c r="H1147" s="9"/>
      <c r="I1147" s="9"/>
      <c r="CS1147" s="37"/>
      <c r="CT1147" s="37"/>
      <c r="CU1147" s="37"/>
      <c r="CV1147" s="37"/>
      <c r="CW1147" s="37"/>
      <c r="CX1147" s="37"/>
      <c r="CY1147" s="37"/>
    </row>
    <row r="1148" spans="2:103" s="10" customFormat="1" x14ac:dyDescent="0.4">
      <c r="B1148" s="44"/>
      <c r="C1148" s="43"/>
      <c r="D1148" s="50"/>
      <c r="E1148" s="50"/>
      <c r="F1148" s="50"/>
      <c r="G1148" s="50"/>
      <c r="H1148" s="9"/>
      <c r="I1148" s="9"/>
      <c r="CS1148" s="37"/>
      <c r="CT1148" s="37"/>
      <c r="CU1148" s="37"/>
      <c r="CV1148" s="37"/>
      <c r="CW1148" s="37"/>
      <c r="CX1148" s="37"/>
      <c r="CY1148" s="37"/>
    </row>
    <row r="1149" spans="2:103" s="10" customFormat="1" x14ac:dyDescent="0.4">
      <c r="B1149" s="44"/>
      <c r="C1149" s="43"/>
      <c r="D1149" s="50"/>
      <c r="E1149" s="50"/>
      <c r="F1149" s="50"/>
      <c r="G1149" s="50"/>
      <c r="H1149" s="9"/>
      <c r="I1149" s="9"/>
      <c r="CS1149" s="37"/>
      <c r="CT1149" s="37"/>
      <c r="CU1149" s="37"/>
      <c r="CV1149" s="37"/>
      <c r="CW1149" s="37"/>
      <c r="CX1149" s="37"/>
      <c r="CY1149" s="37"/>
    </row>
    <row r="1150" spans="2:103" s="10" customFormat="1" x14ac:dyDescent="0.4">
      <c r="B1150" s="44"/>
      <c r="C1150" s="43"/>
      <c r="D1150" s="50"/>
      <c r="E1150" s="50"/>
      <c r="F1150" s="50"/>
      <c r="G1150" s="50"/>
      <c r="H1150" s="9"/>
      <c r="I1150" s="9"/>
      <c r="CS1150" s="37"/>
      <c r="CT1150" s="37"/>
      <c r="CU1150" s="37"/>
      <c r="CV1150" s="37"/>
      <c r="CW1150" s="37"/>
      <c r="CX1150" s="37"/>
      <c r="CY1150" s="37"/>
    </row>
    <row r="1151" spans="2:103" s="10" customFormat="1" x14ac:dyDescent="0.4">
      <c r="B1151" s="44"/>
      <c r="C1151" s="43"/>
      <c r="D1151" s="50"/>
      <c r="E1151" s="50"/>
      <c r="F1151" s="50"/>
      <c r="G1151" s="50"/>
      <c r="H1151" s="9"/>
      <c r="I1151" s="9"/>
      <c r="CS1151" s="37"/>
      <c r="CT1151" s="37"/>
      <c r="CU1151" s="37"/>
      <c r="CV1151" s="37"/>
      <c r="CW1151" s="37"/>
      <c r="CX1151" s="37"/>
      <c r="CY1151" s="37"/>
    </row>
    <row r="1152" spans="2:103" s="10" customFormat="1" x14ac:dyDescent="0.4">
      <c r="B1152" s="44"/>
      <c r="C1152" s="43"/>
      <c r="D1152" s="50"/>
      <c r="E1152" s="50"/>
      <c r="F1152" s="50"/>
      <c r="G1152" s="50"/>
      <c r="H1152" s="9"/>
      <c r="I1152" s="9"/>
      <c r="CS1152" s="37"/>
      <c r="CT1152" s="37"/>
      <c r="CU1152" s="37"/>
      <c r="CV1152" s="37"/>
      <c r="CW1152" s="37"/>
      <c r="CX1152" s="37"/>
      <c r="CY1152" s="37"/>
    </row>
    <row r="1153" spans="2:103" s="10" customFormat="1" x14ac:dyDescent="0.4">
      <c r="B1153" s="44"/>
      <c r="C1153" s="43"/>
      <c r="D1153" s="50"/>
      <c r="E1153" s="50"/>
      <c r="F1153" s="50"/>
      <c r="G1153" s="50"/>
      <c r="H1153" s="9"/>
      <c r="I1153" s="9"/>
      <c r="CS1153" s="37"/>
      <c r="CT1153" s="37"/>
      <c r="CU1153" s="37"/>
      <c r="CV1153" s="37"/>
      <c r="CW1153" s="37"/>
      <c r="CX1153" s="37"/>
      <c r="CY1153" s="37"/>
    </row>
    <row r="1154" spans="2:103" s="10" customFormat="1" x14ac:dyDescent="0.4">
      <c r="B1154" s="44"/>
      <c r="C1154" s="43"/>
      <c r="D1154" s="50"/>
      <c r="E1154" s="50"/>
      <c r="F1154" s="50"/>
      <c r="G1154" s="50"/>
      <c r="H1154" s="9"/>
      <c r="I1154" s="9"/>
      <c r="CS1154" s="37"/>
      <c r="CT1154" s="37"/>
      <c r="CU1154" s="37"/>
      <c r="CV1154" s="37"/>
      <c r="CW1154" s="37"/>
      <c r="CX1154" s="37"/>
      <c r="CY1154" s="37"/>
    </row>
    <row r="1155" spans="2:103" s="10" customFormat="1" x14ac:dyDescent="0.4">
      <c r="B1155" s="44"/>
      <c r="C1155" s="43"/>
      <c r="D1155" s="50"/>
      <c r="E1155" s="50"/>
      <c r="F1155" s="50"/>
      <c r="G1155" s="50"/>
      <c r="H1155" s="9"/>
      <c r="I1155" s="9"/>
      <c r="CS1155" s="37"/>
      <c r="CT1155" s="37"/>
      <c r="CU1155" s="37"/>
      <c r="CV1155" s="37"/>
      <c r="CW1155" s="37"/>
      <c r="CX1155" s="37"/>
      <c r="CY1155" s="37"/>
    </row>
    <row r="1156" spans="2:103" s="10" customFormat="1" x14ac:dyDescent="0.4">
      <c r="B1156" s="44"/>
      <c r="C1156" s="43"/>
      <c r="D1156" s="50"/>
      <c r="E1156" s="50"/>
      <c r="F1156" s="50"/>
      <c r="G1156" s="50"/>
      <c r="H1156" s="9"/>
      <c r="I1156" s="9"/>
      <c r="CS1156" s="37"/>
      <c r="CT1156" s="37"/>
      <c r="CU1156" s="37"/>
      <c r="CV1156" s="37"/>
      <c r="CW1156" s="37"/>
      <c r="CX1156" s="37"/>
      <c r="CY1156" s="37"/>
    </row>
    <row r="1157" spans="2:103" s="10" customFormat="1" x14ac:dyDescent="0.4">
      <c r="B1157" s="44"/>
      <c r="C1157" s="43"/>
      <c r="D1157" s="50"/>
      <c r="E1157" s="50"/>
      <c r="F1157" s="50"/>
      <c r="G1157" s="50"/>
      <c r="H1157" s="9"/>
      <c r="I1157" s="9"/>
      <c r="CS1157" s="37"/>
      <c r="CT1157" s="37"/>
      <c r="CU1157" s="37"/>
      <c r="CV1157" s="37"/>
      <c r="CW1157" s="37"/>
      <c r="CX1157" s="37"/>
      <c r="CY1157" s="37"/>
    </row>
    <row r="1158" spans="2:103" s="10" customFormat="1" x14ac:dyDescent="0.4">
      <c r="B1158" s="44"/>
      <c r="C1158" s="43"/>
      <c r="D1158" s="50"/>
      <c r="E1158" s="50"/>
      <c r="F1158" s="50"/>
      <c r="G1158" s="50"/>
      <c r="H1158" s="9"/>
      <c r="I1158" s="9"/>
      <c r="CS1158" s="37"/>
      <c r="CT1158" s="37"/>
      <c r="CU1158" s="37"/>
      <c r="CV1158" s="37"/>
      <c r="CW1158" s="37"/>
      <c r="CX1158" s="37"/>
      <c r="CY1158" s="37"/>
    </row>
    <row r="1159" spans="2:103" s="10" customFormat="1" x14ac:dyDescent="0.4">
      <c r="B1159" s="44"/>
      <c r="C1159" s="43"/>
      <c r="D1159" s="50"/>
      <c r="E1159" s="50"/>
      <c r="F1159" s="50"/>
      <c r="G1159" s="50"/>
      <c r="H1159" s="9"/>
      <c r="I1159" s="9"/>
      <c r="CS1159" s="37"/>
      <c r="CT1159" s="37"/>
      <c r="CU1159" s="37"/>
      <c r="CV1159" s="37"/>
      <c r="CW1159" s="37"/>
      <c r="CX1159" s="37"/>
      <c r="CY1159" s="37"/>
    </row>
    <row r="1160" spans="2:103" s="10" customFormat="1" x14ac:dyDescent="0.4">
      <c r="B1160" s="44"/>
      <c r="C1160" s="43"/>
      <c r="D1160" s="50"/>
      <c r="E1160" s="50"/>
      <c r="F1160" s="50"/>
      <c r="G1160" s="50"/>
      <c r="H1160" s="9"/>
      <c r="I1160" s="9"/>
      <c r="CS1160" s="37"/>
      <c r="CT1160" s="37"/>
      <c r="CU1160" s="37"/>
      <c r="CV1160" s="37"/>
      <c r="CW1160" s="37"/>
      <c r="CX1160" s="37"/>
      <c r="CY1160" s="37"/>
    </row>
    <row r="1161" spans="2:103" s="10" customFormat="1" x14ac:dyDescent="0.4">
      <c r="B1161" s="44"/>
      <c r="C1161" s="43"/>
      <c r="D1161" s="50"/>
      <c r="E1161" s="50"/>
      <c r="F1161" s="50"/>
      <c r="G1161" s="50"/>
      <c r="H1161" s="9"/>
      <c r="I1161" s="9"/>
      <c r="CS1161" s="37"/>
      <c r="CT1161" s="37"/>
      <c r="CU1161" s="37"/>
      <c r="CV1161" s="37"/>
      <c r="CW1161" s="37"/>
      <c r="CX1161" s="37"/>
      <c r="CY1161" s="37"/>
    </row>
    <row r="1162" spans="2:103" s="10" customFormat="1" x14ac:dyDescent="0.4">
      <c r="B1162" s="44"/>
      <c r="C1162" s="43"/>
      <c r="D1162" s="50"/>
      <c r="E1162" s="50"/>
      <c r="F1162" s="50"/>
      <c r="G1162" s="50"/>
      <c r="H1162" s="9"/>
      <c r="I1162" s="9"/>
      <c r="CS1162" s="37"/>
      <c r="CT1162" s="37"/>
      <c r="CU1162" s="37"/>
      <c r="CV1162" s="37"/>
      <c r="CW1162" s="37"/>
      <c r="CX1162" s="37"/>
      <c r="CY1162" s="37"/>
    </row>
    <row r="1163" spans="2:103" s="10" customFormat="1" x14ac:dyDescent="0.4">
      <c r="B1163" s="44"/>
      <c r="C1163" s="43"/>
      <c r="D1163" s="50"/>
      <c r="E1163" s="50"/>
      <c r="F1163" s="50"/>
      <c r="G1163" s="50"/>
      <c r="H1163" s="9"/>
      <c r="I1163" s="9"/>
      <c r="CS1163" s="37"/>
      <c r="CT1163" s="37"/>
      <c r="CU1163" s="37"/>
      <c r="CV1163" s="37"/>
      <c r="CW1163" s="37"/>
      <c r="CX1163" s="37"/>
      <c r="CY1163" s="37"/>
    </row>
    <row r="1164" spans="2:103" s="10" customFormat="1" x14ac:dyDescent="0.4">
      <c r="B1164" s="44"/>
      <c r="C1164" s="43"/>
      <c r="D1164" s="50"/>
      <c r="E1164" s="50"/>
      <c r="F1164" s="50"/>
      <c r="G1164" s="50"/>
      <c r="H1164" s="9"/>
      <c r="I1164" s="9"/>
      <c r="CS1164" s="37"/>
      <c r="CT1164" s="37"/>
      <c r="CU1164" s="37"/>
      <c r="CV1164" s="37"/>
      <c r="CW1164" s="37"/>
      <c r="CX1164" s="37"/>
      <c r="CY1164" s="37"/>
    </row>
    <row r="1165" spans="2:103" s="10" customFormat="1" x14ac:dyDescent="0.4">
      <c r="B1165" s="44"/>
      <c r="C1165" s="43"/>
      <c r="D1165" s="50"/>
      <c r="E1165" s="50"/>
      <c r="F1165" s="50"/>
      <c r="G1165" s="50"/>
      <c r="H1165" s="9"/>
      <c r="I1165" s="9"/>
      <c r="CS1165" s="37"/>
      <c r="CT1165" s="37"/>
      <c r="CU1165" s="37"/>
      <c r="CV1165" s="37"/>
      <c r="CW1165" s="37"/>
      <c r="CX1165" s="37"/>
      <c r="CY1165" s="37"/>
    </row>
    <row r="1166" spans="2:103" s="10" customFormat="1" x14ac:dyDescent="0.4">
      <c r="B1166" s="44"/>
      <c r="C1166" s="43"/>
      <c r="D1166" s="50"/>
      <c r="E1166" s="50"/>
      <c r="F1166" s="50"/>
      <c r="G1166" s="50"/>
      <c r="H1166" s="9"/>
      <c r="I1166" s="9"/>
      <c r="CS1166" s="37"/>
      <c r="CT1166" s="37"/>
      <c r="CU1166" s="37"/>
      <c r="CV1166" s="37"/>
      <c r="CW1166" s="37"/>
      <c r="CX1166" s="37"/>
      <c r="CY1166" s="37"/>
    </row>
    <row r="1167" spans="2:103" s="10" customFormat="1" x14ac:dyDescent="0.4">
      <c r="B1167" s="44"/>
      <c r="C1167" s="43"/>
      <c r="D1167" s="50"/>
      <c r="E1167" s="50"/>
      <c r="F1167" s="50"/>
      <c r="G1167" s="50"/>
      <c r="H1167" s="9"/>
      <c r="I1167" s="9"/>
      <c r="CS1167" s="37"/>
      <c r="CT1167" s="37"/>
      <c r="CU1167" s="37"/>
      <c r="CV1167" s="37"/>
      <c r="CW1167" s="37"/>
      <c r="CX1167" s="37"/>
      <c r="CY1167" s="37"/>
    </row>
    <row r="1168" spans="2:103" s="10" customFormat="1" x14ac:dyDescent="0.4">
      <c r="B1168" s="44"/>
      <c r="C1168" s="43"/>
      <c r="D1168" s="50"/>
      <c r="E1168" s="50"/>
      <c r="F1168" s="50"/>
      <c r="G1168" s="50"/>
      <c r="H1168" s="9"/>
      <c r="I1168" s="9"/>
      <c r="CS1168" s="37"/>
      <c r="CT1168" s="37"/>
      <c r="CU1168" s="37"/>
      <c r="CV1168" s="37"/>
      <c r="CW1168" s="37"/>
      <c r="CX1168" s="37"/>
      <c r="CY1168" s="37"/>
    </row>
    <row r="1169" spans="2:103" s="10" customFormat="1" x14ac:dyDescent="0.4">
      <c r="B1169" s="44"/>
      <c r="C1169" s="43"/>
      <c r="D1169" s="50"/>
      <c r="E1169" s="50"/>
      <c r="F1169" s="50"/>
      <c r="G1169" s="50"/>
      <c r="H1169" s="9"/>
      <c r="I1169" s="9"/>
      <c r="CS1169" s="37"/>
      <c r="CT1169" s="37"/>
      <c r="CU1169" s="37"/>
      <c r="CV1169" s="37"/>
      <c r="CW1169" s="37"/>
      <c r="CX1169" s="37"/>
      <c r="CY1169" s="37"/>
    </row>
    <row r="1170" spans="2:103" s="10" customFormat="1" x14ac:dyDescent="0.4">
      <c r="B1170" s="44"/>
      <c r="C1170" s="43"/>
      <c r="D1170" s="50"/>
      <c r="E1170" s="50"/>
      <c r="F1170" s="50"/>
      <c r="G1170" s="50"/>
      <c r="H1170" s="9"/>
      <c r="I1170" s="9"/>
      <c r="CS1170" s="37"/>
      <c r="CT1170" s="37"/>
      <c r="CU1170" s="37"/>
      <c r="CV1170" s="37"/>
      <c r="CW1170" s="37"/>
      <c r="CX1170" s="37"/>
      <c r="CY1170" s="37"/>
    </row>
    <row r="1171" spans="2:103" s="10" customFormat="1" x14ac:dyDescent="0.4">
      <c r="B1171" s="44"/>
      <c r="C1171" s="43"/>
      <c r="D1171" s="50"/>
      <c r="E1171" s="50"/>
      <c r="F1171" s="50"/>
      <c r="G1171" s="50"/>
      <c r="H1171" s="9"/>
      <c r="I1171" s="9"/>
      <c r="CS1171" s="37"/>
      <c r="CT1171" s="37"/>
      <c r="CU1171" s="37"/>
      <c r="CV1171" s="37"/>
      <c r="CW1171" s="37"/>
      <c r="CX1171" s="37"/>
      <c r="CY1171" s="37"/>
    </row>
    <row r="1172" spans="2:103" s="10" customFormat="1" x14ac:dyDescent="0.4">
      <c r="B1172" s="44"/>
      <c r="C1172" s="43"/>
      <c r="D1172" s="50"/>
      <c r="E1172" s="50"/>
      <c r="F1172" s="50"/>
      <c r="G1172" s="50"/>
      <c r="H1172" s="9"/>
      <c r="I1172" s="9"/>
      <c r="CS1172" s="37"/>
      <c r="CT1172" s="37"/>
      <c r="CU1172" s="37"/>
      <c r="CV1172" s="37"/>
      <c r="CW1172" s="37"/>
      <c r="CX1172" s="37"/>
      <c r="CY1172" s="37"/>
    </row>
    <row r="1173" spans="2:103" s="10" customFormat="1" x14ac:dyDescent="0.4">
      <c r="B1173" s="44"/>
      <c r="C1173" s="43"/>
      <c r="D1173" s="50"/>
      <c r="E1173" s="50"/>
      <c r="F1173" s="50"/>
      <c r="G1173" s="50"/>
      <c r="H1173" s="9"/>
      <c r="I1173" s="9"/>
      <c r="CS1173" s="37"/>
      <c r="CT1173" s="37"/>
      <c r="CU1173" s="37"/>
      <c r="CV1173" s="37"/>
      <c r="CW1173" s="37"/>
      <c r="CX1173" s="37"/>
      <c r="CY1173" s="37"/>
    </row>
    <row r="1174" spans="2:103" s="10" customFormat="1" x14ac:dyDescent="0.4">
      <c r="B1174" s="44"/>
      <c r="C1174" s="43"/>
      <c r="D1174" s="50"/>
      <c r="E1174" s="50"/>
      <c r="F1174" s="50"/>
      <c r="G1174" s="50"/>
      <c r="H1174" s="9"/>
      <c r="I1174" s="9"/>
      <c r="CS1174" s="37"/>
      <c r="CT1174" s="37"/>
      <c r="CU1174" s="37"/>
      <c r="CV1174" s="37"/>
      <c r="CW1174" s="37"/>
      <c r="CX1174" s="37"/>
      <c r="CY1174" s="37"/>
    </row>
    <row r="1175" spans="2:103" s="10" customFormat="1" x14ac:dyDescent="0.4">
      <c r="B1175" s="44"/>
      <c r="C1175" s="43"/>
      <c r="D1175" s="50"/>
      <c r="E1175" s="50"/>
      <c r="F1175" s="50"/>
      <c r="G1175" s="50"/>
      <c r="H1175" s="9"/>
      <c r="I1175" s="9"/>
      <c r="CS1175" s="37"/>
      <c r="CT1175" s="37"/>
      <c r="CU1175" s="37"/>
      <c r="CV1175" s="37"/>
      <c r="CW1175" s="37"/>
      <c r="CX1175" s="37"/>
      <c r="CY1175" s="37"/>
    </row>
    <row r="1176" spans="2:103" s="10" customFormat="1" x14ac:dyDescent="0.4">
      <c r="B1176" s="44"/>
      <c r="C1176" s="43"/>
      <c r="D1176" s="50"/>
      <c r="E1176" s="50"/>
      <c r="F1176" s="50"/>
      <c r="G1176" s="50"/>
      <c r="H1176" s="9"/>
      <c r="I1176" s="9"/>
      <c r="CS1176" s="37"/>
      <c r="CT1176" s="37"/>
      <c r="CU1176" s="37"/>
      <c r="CV1176" s="37"/>
      <c r="CW1176" s="37"/>
      <c r="CX1176" s="37"/>
      <c r="CY1176" s="37"/>
    </row>
    <row r="1177" spans="2:103" s="10" customFormat="1" x14ac:dyDescent="0.4">
      <c r="B1177" s="44"/>
      <c r="C1177" s="43"/>
      <c r="D1177" s="50"/>
      <c r="E1177" s="50"/>
      <c r="F1177" s="50"/>
      <c r="G1177" s="50"/>
      <c r="H1177" s="9"/>
      <c r="I1177" s="9"/>
      <c r="CS1177" s="37"/>
      <c r="CT1177" s="37"/>
      <c r="CU1177" s="37"/>
      <c r="CV1177" s="37"/>
      <c r="CW1177" s="37"/>
      <c r="CX1177" s="37"/>
      <c r="CY1177" s="37"/>
    </row>
    <row r="1178" spans="2:103" s="10" customFormat="1" x14ac:dyDescent="0.4">
      <c r="B1178" s="44"/>
      <c r="C1178" s="43"/>
      <c r="D1178" s="50"/>
      <c r="E1178" s="50"/>
      <c r="F1178" s="50"/>
      <c r="G1178" s="50"/>
      <c r="H1178" s="9"/>
      <c r="I1178" s="9"/>
      <c r="CS1178" s="37"/>
      <c r="CT1178" s="37"/>
      <c r="CU1178" s="37"/>
      <c r="CV1178" s="37"/>
      <c r="CW1178" s="37"/>
      <c r="CX1178" s="37"/>
      <c r="CY1178" s="37"/>
    </row>
    <row r="1179" spans="2:103" s="10" customFormat="1" x14ac:dyDescent="0.4">
      <c r="B1179" s="44"/>
      <c r="C1179" s="43"/>
      <c r="D1179" s="50"/>
      <c r="E1179" s="50"/>
      <c r="F1179" s="50"/>
      <c r="G1179" s="50"/>
      <c r="H1179" s="9"/>
      <c r="I1179" s="9"/>
      <c r="CS1179" s="37"/>
      <c r="CT1179" s="37"/>
      <c r="CU1179" s="37"/>
      <c r="CV1179" s="37"/>
      <c r="CW1179" s="37"/>
      <c r="CX1179" s="37"/>
      <c r="CY1179" s="37"/>
    </row>
    <row r="1180" spans="2:103" s="10" customFormat="1" x14ac:dyDescent="0.4">
      <c r="B1180" s="44"/>
      <c r="C1180" s="43"/>
      <c r="D1180" s="50"/>
      <c r="E1180" s="50"/>
      <c r="F1180" s="50"/>
      <c r="G1180" s="50"/>
      <c r="H1180" s="9"/>
      <c r="I1180" s="9"/>
      <c r="CS1180" s="37"/>
      <c r="CT1180" s="37"/>
      <c r="CU1180" s="37"/>
      <c r="CV1180" s="37"/>
      <c r="CW1180" s="37"/>
      <c r="CX1180" s="37"/>
      <c r="CY1180" s="37"/>
    </row>
    <row r="1181" spans="2:103" s="10" customFormat="1" x14ac:dyDescent="0.4">
      <c r="B1181" s="44"/>
      <c r="C1181" s="43"/>
      <c r="D1181" s="50"/>
      <c r="E1181" s="50"/>
      <c r="F1181" s="50"/>
      <c r="G1181" s="50"/>
      <c r="H1181" s="9"/>
      <c r="I1181" s="9"/>
      <c r="CS1181" s="37"/>
      <c r="CT1181" s="37"/>
      <c r="CU1181" s="37"/>
      <c r="CV1181" s="37"/>
      <c r="CW1181" s="37"/>
      <c r="CX1181" s="37"/>
      <c r="CY1181" s="37"/>
    </row>
    <row r="1182" spans="2:103" s="10" customFormat="1" x14ac:dyDescent="0.4">
      <c r="B1182" s="44"/>
      <c r="C1182" s="43"/>
      <c r="D1182" s="50"/>
      <c r="E1182" s="50"/>
      <c r="F1182" s="50"/>
      <c r="G1182" s="50"/>
      <c r="H1182" s="9"/>
      <c r="I1182" s="9"/>
      <c r="CS1182" s="37"/>
      <c r="CT1182" s="37"/>
      <c r="CU1182" s="37"/>
      <c r="CV1182" s="37"/>
      <c r="CW1182" s="37"/>
      <c r="CX1182" s="37"/>
      <c r="CY1182" s="37"/>
    </row>
    <row r="1183" spans="2:103" s="10" customFormat="1" x14ac:dyDescent="0.4">
      <c r="B1183" s="44"/>
      <c r="C1183" s="43"/>
      <c r="D1183" s="50"/>
      <c r="E1183" s="50"/>
      <c r="F1183" s="50"/>
      <c r="G1183" s="50"/>
      <c r="H1183" s="9"/>
      <c r="I1183" s="9"/>
      <c r="CS1183" s="37"/>
      <c r="CT1183" s="37"/>
      <c r="CU1183" s="37"/>
      <c r="CV1183" s="37"/>
      <c r="CW1183" s="37"/>
      <c r="CX1183" s="37"/>
      <c r="CY1183" s="37"/>
    </row>
    <row r="1184" spans="2:103" s="10" customFormat="1" x14ac:dyDescent="0.4">
      <c r="B1184" s="44"/>
      <c r="C1184" s="43"/>
      <c r="D1184" s="50"/>
      <c r="E1184" s="50"/>
      <c r="F1184" s="50"/>
      <c r="G1184" s="50"/>
      <c r="H1184" s="9"/>
      <c r="I1184" s="9"/>
      <c r="CS1184" s="37"/>
      <c r="CT1184" s="37"/>
      <c r="CU1184" s="37"/>
      <c r="CV1184" s="37"/>
      <c r="CW1184" s="37"/>
      <c r="CX1184" s="37"/>
      <c r="CY1184" s="37"/>
    </row>
    <row r="1185" spans="2:103" s="10" customFormat="1" x14ac:dyDescent="0.4">
      <c r="B1185" s="44"/>
      <c r="C1185" s="43"/>
      <c r="D1185" s="50"/>
      <c r="E1185" s="50"/>
      <c r="F1185" s="50"/>
      <c r="G1185" s="50"/>
      <c r="H1185" s="9"/>
      <c r="I1185" s="9"/>
      <c r="CS1185" s="37"/>
      <c r="CT1185" s="37"/>
      <c r="CU1185" s="37"/>
      <c r="CV1185" s="37"/>
      <c r="CW1185" s="37"/>
      <c r="CX1185" s="37"/>
      <c r="CY1185" s="37"/>
    </row>
    <row r="1186" spans="2:103" s="10" customFormat="1" x14ac:dyDescent="0.4">
      <c r="B1186" s="44"/>
      <c r="C1186" s="43"/>
      <c r="D1186" s="50"/>
      <c r="E1186" s="50"/>
      <c r="F1186" s="50"/>
      <c r="G1186" s="50"/>
      <c r="H1186" s="9"/>
      <c r="I1186" s="9"/>
      <c r="CS1186" s="37"/>
      <c r="CT1186" s="37"/>
      <c r="CU1186" s="37"/>
      <c r="CV1186" s="37"/>
      <c r="CW1186" s="37"/>
      <c r="CX1186" s="37"/>
      <c r="CY1186" s="37"/>
    </row>
    <row r="1187" spans="2:103" s="10" customFormat="1" x14ac:dyDescent="0.4">
      <c r="B1187" s="44"/>
      <c r="C1187" s="43"/>
      <c r="D1187" s="50"/>
      <c r="E1187" s="50"/>
      <c r="F1187" s="50"/>
      <c r="G1187" s="50"/>
      <c r="H1187" s="9"/>
      <c r="I1187" s="9"/>
      <c r="CS1187" s="37"/>
      <c r="CT1187" s="37"/>
      <c r="CU1187" s="37"/>
      <c r="CV1187" s="37"/>
      <c r="CW1187" s="37"/>
      <c r="CX1187" s="37"/>
      <c r="CY1187" s="37"/>
    </row>
    <row r="1188" spans="2:103" s="10" customFormat="1" x14ac:dyDescent="0.4">
      <c r="B1188" s="44"/>
      <c r="C1188" s="43"/>
      <c r="D1188" s="50"/>
      <c r="E1188" s="50"/>
      <c r="F1188" s="50"/>
      <c r="G1188" s="50"/>
      <c r="H1188" s="9"/>
      <c r="I1188" s="9"/>
      <c r="CS1188" s="37"/>
      <c r="CT1188" s="37"/>
      <c r="CU1188" s="37"/>
      <c r="CV1188" s="37"/>
      <c r="CW1188" s="37"/>
      <c r="CX1188" s="37"/>
      <c r="CY1188" s="37"/>
    </row>
    <row r="1189" spans="2:103" s="10" customFormat="1" x14ac:dyDescent="0.4">
      <c r="B1189" s="44"/>
      <c r="C1189" s="43"/>
      <c r="D1189" s="50"/>
      <c r="E1189" s="50"/>
      <c r="F1189" s="50"/>
      <c r="G1189" s="50"/>
      <c r="H1189" s="9"/>
      <c r="I1189" s="9"/>
      <c r="CS1189" s="37"/>
      <c r="CT1189" s="37"/>
      <c r="CU1189" s="37"/>
      <c r="CV1189" s="37"/>
      <c r="CW1189" s="37"/>
      <c r="CX1189" s="37"/>
      <c r="CY1189" s="37"/>
    </row>
    <row r="1190" spans="2:103" s="10" customFormat="1" x14ac:dyDescent="0.4">
      <c r="B1190" s="44"/>
      <c r="C1190" s="43"/>
      <c r="D1190" s="50"/>
      <c r="E1190" s="50"/>
      <c r="F1190" s="50"/>
      <c r="G1190" s="50"/>
      <c r="H1190" s="9"/>
      <c r="I1190" s="9"/>
      <c r="CS1190" s="37"/>
      <c r="CT1190" s="37"/>
      <c r="CU1190" s="37"/>
      <c r="CV1190" s="37"/>
      <c r="CW1190" s="37"/>
      <c r="CX1190" s="37"/>
      <c r="CY1190" s="37"/>
    </row>
    <row r="1191" spans="2:103" s="10" customFormat="1" x14ac:dyDescent="0.4">
      <c r="B1191" s="44"/>
      <c r="C1191" s="43"/>
      <c r="D1191" s="50"/>
      <c r="E1191" s="50"/>
      <c r="F1191" s="50"/>
      <c r="G1191" s="50"/>
      <c r="H1191" s="9"/>
      <c r="I1191" s="9"/>
      <c r="CS1191" s="37"/>
      <c r="CT1191" s="37"/>
      <c r="CU1191" s="37"/>
      <c r="CV1191" s="37"/>
      <c r="CW1191" s="37"/>
      <c r="CX1191" s="37"/>
      <c r="CY1191" s="37"/>
    </row>
    <row r="1192" spans="2:103" s="10" customFormat="1" x14ac:dyDescent="0.4">
      <c r="B1192" s="44"/>
      <c r="C1192" s="43"/>
      <c r="D1192" s="50"/>
      <c r="E1192" s="50"/>
      <c r="F1192" s="50"/>
      <c r="G1192" s="50"/>
      <c r="H1192" s="9"/>
      <c r="I1192" s="9"/>
      <c r="CS1192" s="37"/>
      <c r="CT1192" s="37"/>
      <c r="CU1192" s="37"/>
      <c r="CV1192" s="37"/>
      <c r="CW1192" s="37"/>
      <c r="CX1192" s="37"/>
      <c r="CY1192" s="37"/>
    </row>
    <row r="1193" spans="2:103" s="10" customFormat="1" x14ac:dyDescent="0.4">
      <c r="B1193" s="44"/>
      <c r="C1193" s="43"/>
      <c r="D1193" s="50"/>
      <c r="E1193" s="50"/>
      <c r="F1193" s="50"/>
      <c r="G1193" s="50"/>
      <c r="H1193" s="9"/>
      <c r="I1193" s="9"/>
      <c r="CS1193" s="37"/>
      <c r="CT1193" s="37"/>
      <c r="CU1193" s="37"/>
      <c r="CV1193" s="37"/>
      <c r="CW1193" s="37"/>
      <c r="CX1193" s="37"/>
      <c r="CY1193" s="37"/>
    </row>
    <row r="1194" spans="2:103" s="10" customFormat="1" x14ac:dyDescent="0.4">
      <c r="B1194" s="44"/>
      <c r="C1194" s="43"/>
      <c r="D1194" s="50"/>
      <c r="E1194" s="50"/>
      <c r="F1194" s="50"/>
      <c r="G1194" s="50"/>
      <c r="H1194" s="9"/>
      <c r="I1194" s="9"/>
      <c r="CS1194" s="37"/>
      <c r="CT1194" s="37"/>
      <c r="CU1194" s="37"/>
      <c r="CV1194" s="37"/>
      <c r="CW1194" s="37"/>
      <c r="CX1194" s="37"/>
      <c r="CY1194" s="37"/>
    </row>
    <row r="1195" spans="2:103" s="10" customFormat="1" x14ac:dyDescent="0.4">
      <c r="B1195" s="44"/>
      <c r="C1195" s="43"/>
      <c r="D1195" s="50"/>
      <c r="E1195" s="50"/>
      <c r="F1195" s="50"/>
      <c r="G1195" s="50"/>
      <c r="H1195" s="9"/>
      <c r="I1195" s="9"/>
      <c r="CS1195" s="37"/>
      <c r="CT1195" s="37"/>
      <c r="CU1195" s="37"/>
      <c r="CV1195" s="37"/>
      <c r="CW1195" s="37"/>
      <c r="CX1195" s="37"/>
      <c r="CY1195" s="37"/>
    </row>
    <row r="1196" spans="2:103" s="10" customFormat="1" x14ac:dyDescent="0.4">
      <c r="B1196" s="44"/>
      <c r="C1196" s="43"/>
      <c r="D1196" s="50"/>
      <c r="E1196" s="50"/>
      <c r="F1196" s="50"/>
      <c r="G1196" s="50"/>
      <c r="H1196" s="9"/>
      <c r="I1196" s="9"/>
      <c r="CS1196" s="37"/>
      <c r="CT1196" s="37"/>
      <c r="CU1196" s="37"/>
      <c r="CV1196" s="37"/>
      <c r="CW1196" s="37"/>
      <c r="CX1196" s="37"/>
      <c r="CY1196" s="37"/>
    </row>
    <row r="1197" spans="2:103" s="10" customFormat="1" x14ac:dyDescent="0.4">
      <c r="B1197" s="44"/>
      <c r="C1197" s="43"/>
      <c r="D1197" s="50"/>
      <c r="E1197" s="50"/>
      <c r="F1197" s="50"/>
      <c r="G1197" s="50"/>
      <c r="H1197" s="9"/>
      <c r="I1197" s="9"/>
      <c r="CS1197" s="37"/>
      <c r="CT1197" s="37"/>
      <c r="CU1197" s="37"/>
      <c r="CV1197" s="37"/>
      <c r="CW1197" s="37"/>
      <c r="CX1197" s="37"/>
      <c r="CY1197" s="37"/>
    </row>
    <row r="1198" spans="2:103" s="10" customFormat="1" x14ac:dyDescent="0.4">
      <c r="B1198" s="44"/>
      <c r="C1198" s="43"/>
      <c r="D1198" s="50"/>
      <c r="E1198" s="50"/>
      <c r="F1198" s="50"/>
      <c r="G1198" s="50"/>
      <c r="H1198" s="9"/>
      <c r="I1198" s="9"/>
      <c r="CS1198" s="37"/>
      <c r="CT1198" s="37"/>
      <c r="CU1198" s="37"/>
      <c r="CV1198" s="37"/>
      <c r="CW1198" s="37"/>
      <c r="CX1198" s="37"/>
      <c r="CY1198" s="37"/>
    </row>
    <row r="1199" spans="2:103" s="10" customFormat="1" x14ac:dyDescent="0.4">
      <c r="B1199" s="44"/>
      <c r="C1199" s="43"/>
      <c r="D1199" s="50"/>
      <c r="E1199" s="50"/>
      <c r="F1199" s="50"/>
      <c r="G1199" s="50"/>
      <c r="H1199" s="9"/>
      <c r="I1199" s="9"/>
      <c r="CS1199" s="37"/>
      <c r="CT1199" s="37"/>
      <c r="CU1199" s="37"/>
      <c r="CV1199" s="37"/>
      <c r="CW1199" s="37"/>
      <c r="CX1199" s="37"/>
      <c r="CY1199" s="37"/>
    </row>
    <row r="1200" spans="2:103" s="10" customFormat="1" x14ac:dyDescent="0.4">
      <c r="B1200" s="44"/>
      <c r="C1200" s="43"/>
      <c r="D1200" s="50"/>
      <c r="E1200" s="50"/>
      <c r="F1200" s="50"/>
      <c r="G1200" s="50"/>
      <c r="H1200" s="9"/>
      <c r="I1200" s="9"/>
      <c r="CS1200" s="37"/>
      <c r="CT1200" s="37"/>
      <c r="CU1200" s="37"/>
      <c r="CV1200" s="37"/>
      <c r="CW1200" s="37"/>
      <c r="CX1200" s="37"/>
      <c r="CY1200" s="37"/>
    </row>
    <row r="1201" spans="2:103" s="10" customFormat="1" x14ac:dyDescent="0.4">
      <c r="B1201" s="44"/>
      <c r="C1201" s="43"/>
      <c r="D1201" s="50"/>
      <c r="E1201" s="50"/>
      <c r="F1201" s="50"/>
      <c r="G1201" s="50"/>
      <c r="H1201" s="9"/>
      <c r="I1201" s="9"/>
      <c r="CS1201" s="37"/>
      <c r="CT1201" s="37"/>
      <c r="CU1201" s="37"/>
      <c r="CV1201" s="37"/>
      <c r="CW1201" s="37"/>
      <c r="CX1201" s="37"/>
      <c r="CY1201" s="37"/>
    </row>
    <row r="1202" spans="2:103" s="10" customFormat="1" x14ac:dyDescent="0.4">
      <c r="B1202" s="44"/>
      <c r="C1202" s="43"/>
      <c r="D1202" s="50"/>
      <c r="E1202" s="50"/>
      <c r="F1202" s="50"/>
      <c r="G1202" s="50"/>
      <c r="H1202" s="9"/>
      <c r="I1202" s="9"/>
      <c r="CS1202" s="37"/>
      <c r="CT1202" s="37"/>
      <c r="CU1202" s="37"/>
      <c r="CV1202" s="37"/>
      <c r="CW1202" s="37"/>
      <c r="CX1202" s="37"/>
      <c r="CY1202" s="37"/>
    </row>
    <row r="1203" spans="2:103" s="10" customFormat="1" x14ac:dyDescent="0.4">
      <c r="B1203" s="44"/>
      <c r="C1203" s="43"/>
      <c r="D1203" s="50"/>
      <c r="E1203" s="50"/>
      <c r="F1203" s="50"/>
      <c r="G1203" s="50"/>
      <c r="H1203" s="9"/>
      <c r="I1203" s="9"/>
      <c r="CS1203" s="37"/>
      <c r="CT1203" s="37"/>
      <c r="CU1203" s="37"/>
      <c r="CV1203" s="37"/>
      <c r="CW1203" s="37"/>
      <c r="CX1203" s="37"/>
      <c r="CY1203" s="37"/>
    </row>
    <row r="1204" spans="2:103" s="10" customFormat="1" x14ac:dyDescent="0.4">
      <c r="B1204" s="44"/>
      <c r="C1204" s="43"/>
      <c r="D1204" s="50"/>
      <c r="E1204" s="50"/>
      <c r="F1204" s="50"/>
      <c r="G1204" s="50"/>
      <c r="H1204" s="9"/>
      <c r="I1204" s="9"/>
      <c r="CS1204" s="37"/>
      <c r="CT1204" s="37"/>
      <c r="CU1204" s="37"/>
      <c r="CV1204" s="37"/>
      <c r="CW1204" s="37"/>
      <c r="CX1204" s="37"/>
      <c r="CY1204" s="37"/>
    </row>
    <row r="1205" spans="2:103" s="10" customFormat="1" x14ac:dyDescent="0.4">
      <c r="B1205" s="44"/>
      <c r="C1205" s="43"/>
      <c r="D1205" s="50"/>
      <c r="E1205" s="50"/>
      <c r="F1205" s="50"/>
      <c r="G1205" s="50"/>
      <c r="H1205" s="9"/>
      <c r="I1205" s="9"/>
      <c r="CS1205" s="37"/>
      <c r="CT1205" s="37"/>
      <c r="CU1205" s="37"/>
      <c r="CV1205" s="37"/>
      <c r="CW1205" s="37"/>
      <c r="CX1205" s="37"/>
      <c r="CY1205" s="37"/>
    </row>
    <row r="1206" spans="2:103" s="10" customFormat="1" x14ac:dyDescent="0.4">
      <c r="B1206" s="44"/>
      <c r="C1206" s="43"/>
      <c r="D1206" s="50"/>
      <c r="E1206" s="50"/>
      <c r="F1206" s="50"/>
      <c r="G1206" s="50"/>
      <c r="H1206" s="9"/>
      <c r="I1206" s="9"/>
      <c r="CS1206" s="37"/>
      <c r="CT1206" s="37"/>
      <c r="CU1206" s="37"/>
      <c r="CV1206" s="37"/>
      <c r="CW1206" s="37"/>
      <c r="CX1206" s="37"/>
      <c r="CY1206" s="37"/>
    </row>
    <row r="1207" spans="2:103" s="10" customFormat="1" x14ac:dyDescent="0.4">
      <c r="B1207" s="44"/>
      <c r="C1207" s="43"/>
      <c r="D1207" s="50"/>
      <c r="E1207" s="50"/>
      <c r="F1207" s="50"/>
      <c r="G1207" s="50"/>
      <c r="H1207" s="9"/>
      <c r="I1207" s="9"/>
      <c r="CS1207" s="37"/>
      <c r="CT1207" s="37"/>
      <c r="CU1207" s="37"/>
      <c r="CV1207" s="37"/>
      <c r="CW1207" s="37"/>
      <c r="CX1207" s="37"/>
      <c r="CY1207" s="37"/>
    </row>
    <row r="1208" spans="2:103" s="10" customFormat="1" x14ac:dyDescent="0.4">
      <c r="B1208" s="44"/>
      <c r="C1208" s="43"/>
      <c r="D1208" s="50"/>
      <c r="E1208" s="50"/>
      <c r="F1208" s="50"/>
      <c r="G1208" s="50"/>
      <c r="H1208" s="9"/>
      <c r="I1208" s="9"/>
      <c r="CS1208" s="37"/>
      <c r="CT1208" s="37"/>
      <c r="CU1208" s="37"/>
      <c r="CV1208" s="37"/>
      <c r="CW1208" s="37"/>
      <c r="CX1208" s="37"/>
      <c r="CY1208" s="37"/>
    </row>
    <row r="1209" spans="2:103" s="10" customFormat="1" x14ac:dyDescent="0.4">
      <c r="B1209" s="44"/>
      <c r="C1209" s="43"/>
      <c r="D1209" s="50"/>
      <c r="E1209" s="50"/>
      <c r="F1209" s="50"/>
      <c r="G1209" s="50"/>
      <c r="H1209" s="9"/>
      <c r="I1209" s="9"/>
      <c r="CS1209" s="37"/>
      <c r="CT1209" s="37"/>
      <c r="CU1209" s="37"/>
      <c r="CV1209" s="37"/>
      <c r="CW1209" s="37"/>
      <c r="CX1209" s="37"/>
      <c r="CY1209" s="37"/>
    </row>
    <row r="1210" spans="2:103" s="10" customFormat="1" x14ac:dyDescent="0.4">
      <c r="B1210" s="44"/>
      <c r="C1210" s="43"/>
      <c r="D1210" s="50"/>
      <c r="E1210" s="50"/>
      <c r="F1210" s="50"/>
      <c r="G1210" s="50"/>
      <c r="H1210" s="9"/>
      <c r="I1210" s="9"/>
      <c r="CS1210" s="37"/>
      <c r="CT1210" s="37"/>
      <c r="CU1210" s="37"/>
      <c r="CV1210" s="37"/>
      <c r="CW1210" s="37"/>
      <c r="CX1210" s="37"/>
      <c r="CY1210" s="37"/>
    </row>
    <row r="1211" spans="2:103" s="10" customFormat="1" x14ac:dyDescent="0.4">
      <c r="B1211" s="44"/>
      <c r="C1211" s="43"/>
      <c r="D1211" s="50"/>
      <c r="E1211" s="50"/>
      <c r="F1211" s="50"/>
      <c r="G1211" s="50"/>
      <c r="H1211" s="9"/>
      <c r="I1211" s="9"/>
      <c r="CS1211" s="37"/>
      <c r="CT1211" s="37"/>
      <c r="CU1211" s="37"/>
      <c r="CV1211" s="37"/>
      <c r="CW1211" s="37"/>
      <c r="CX1211" s="37"/>
      <c r="CY1211" s="37"/>
    </row>
    <row r="1212" spans="2:103" s="10" customFormat="1" x14ac:dyDescent="0.4">
      <c r="B1212" s="44"/>
      <c r="C1212" s="43"/>
      <c r="D1212" s="50"/>
      <c r="E1212" s="50"/>
      <c r="F1212" s="50"/>
      <c r="G1212" s="50"/>
      <c r="H1212" s="9"/>
      <c r="I1212" s="9"/>
      <c r="CS1212" s="37"/>
      <c r="CT1212" s="37"/>
      <c r="CU1212" s="37"/>
      <c r="CV1212" s="37"/>
      <c r="CW1212" s="37"/>
      <c r="CX1212" s="37"/>
      <c r="CY1212" s="37"/>
    </row>
    <row r="1213" spans="2:103" s="10" customFormat="1" x14ac:dyDescent="0.4">
      <c r="B1213" s="44"/>
      <c r="C1213" s="43"/>
      <c r="D1213" s="50"/>
      <c r="E1213" s="50"/>
      <c r="F1213" s="50"/>
      <c r="G1213" s="50"/>
      <c r="H1213" s="9"/>
      <c r="I1213" s="9"/>
      <c r="CS1213" s="37"/>
      <c r="CT1213" s="37"/>
      <c r="CU1213" s="37"/>
      <c r="CV1213" s="37"/>
      <c r="CW1213" s="37"/>
      <c r="CX1213" s="37"/>
      <c r="CY1213" s="37"/>
    </row>
    <row r="1214" spans="2:103" s="10" customFormat="1" x14ac:dyDescent="0.4">
      <c r="B1214" s="44"/>
      <c r="C1214" s="43"/>
      <c r="D1214" s="50"/>
      <c r="E1214" s="50"/>
      <c r="F1214" s="50"/>
      <c r="G1214" s="50"/>
      <c r="H1214" s="9"/>
      <c r="I1214" s="9"/>
      <c r="CS1214" s="37"/>
      <c r="CT1214" s="37"/>
      <c r="CU1214" s="37"/>
      <c r="CV1214" s="37"/>
      <c r="CW1214" s="37"/>
      <c r="CX1214" s="37"/>
      <c r="CY1214" s="37"/>
    </row>
    <row r="1215" spans="2:103" s="10" customFormat="1" x14ac:dyDescent="0.4">
      <c r="B1215" s="44"/>
      <c r="C1215" s="43"/>
      <c r="D1215" s="50"/>
      <c r="E1215" s="50"/>
      <c r="F1215" s="50"/>
      <c r="G1215" s="50"/>
      <c r="H1215" s="9"/>
      <c r="I1215" s="9"/>
      <c r="CS1215" s="37"/>
      <c r="CT1215" s="37"/>
      <c r="CU1215" s="37"/>
      <c r="CV1215" s="37"/>
      <c r="CW1215" s="37"/>
      <c r="CX1215" s="37"/>
      <c r="CY1215" s="37"/>
    </row>
    <row r="1216" spans="2:103" s="10" customFormat="1" x14ac:dyDescent="0.4">
      <c r="B1216" s="44"/>
      <c r="C1216" s="43"/>
      <c r="D1216" s="50"/>
      <c r="E1216" s="50"/>
      <c r="F1216" s="50"/>
      <c r="G1216" s="50"/>
      <c r="H1216" s="9"/>
      <c r="I1216" s="9"/>
      <c r="CS1216" s="37"/>
      <c r="CT1216" s="37"/>
      <c r="CU1216" s="37"/>
      <c r="CV1216" s="37"/>
      <c r="CW1216" s="37"/>
      <c r="CX1216" s="37"/>
      <c r="CY1216" s="37"/>
    </row>
    <row r="1217" spans="2:103" s="10" customFormat="1" x14ac:dyDescent="0.4">
      <c r="B1217" s="44"/>
      <c r="C1217" s="43"/>
      <c r="D1217" s="50"/>
      <c r="E1217" s="50"/>
      <c r="F1217" s="50"/>
      <c r="G1217" s="50"/>
      <c r="H1217" s="9"/>
      <c r="I1217" s="9"/>
      <c r="CS1217" s="37"/>
      <c r="CT1217" s="37"/>
      <c r="CU1217" s="37"/>
      <c r="CV1217" s="37"/>
      <c r="CW1217" s="37"/>
      <c r="CX1217" s="37"/>
      <c r="CY1217" s="37"/>
    </row>
    <row r="1218" spans="2:103" s="10" customFormat="1" x14ac:dyDescent="0.4">
      <c r="B1218" s="44"/>
      <c r="C1218" s="43"/>
      <c r="D1218" s="50"/>
      <c r="E1218" s="50"/>
      <c r="F1218" s="50"/>
      <c r="G1218" s="50"/>
      <c r="H1218" s="9"/>
      <c r="I1218" s="9"/>
      <c r="CS1218" s="37"/>
      <c r="CT1218" s="37"/>
      <c r="CU1218" s="37"/>
      <c r="CV1218" s="37"/>
      <c r="CW1218" s="37"/>
      <c r="CX1218" s="37"/>
      <c r="CY1218" s="37"/>
    </row>
    <row r="1219" spans="2:103" s="10" customFormat="1" x14ac:dyDescent="0.4">
      <c r="B1219" s="44"/>
      <c r="C1219" s="43"/>
      <c r="D1219" s="50"/>
      <c r="E1219" s="50"/>
      <c r="F1219" s="50"/>
      <c r="G1219" s="50"/>
      <c r="H1219" s="9"/>
      <c r="I1219" s="9"/>
      <c r="CS1219" s="37"/>
      <c r="CT1219" s="37"/>
      <c r="CU1219" s="37"/>
      <c r="CV1219" s="37"/>
      <c r="CW1219" s="37"/>
      <c r="CX1219" s="37"/>
      <c r="CY1219" s="37"/>
    </row>
    <row r="1220" spans="2:103" s="10" customFormat="1" x14ac:dyDescent="0.4">
      <c r="B1220" s="44"/>
      <c r="C1220" s="43"/>
      <c r="D1220" s="50"/>
      <c r="E1220" s="50"/>
      <c r="F1220" s="50"/>
      <c r="G1220" s="50"/>
      <c r="H1220" s="9"/>
      <c r="I1220" s="9"/>
      <c r="CS1220" s="37"/>
      <c r="CT1220" s="37"/>
      <c r="CU1220" s="37"/>
      <c r="CV1220" s="37"/>
      <c r="CW1220" s="37"/>
      <c r="CX1220" s="37"/>
      <c r="CY1220" s="37"/>
    </row>
    <row r="1221" spans="2:103" s="10" customFormat="1" x14ac:dyDescent="0.4">
      <c r="B1221" s="44"/>
      <c r="C1221" s="43"/>
      <c r="D1221" s="50"/>
      <c r="E1221" s="50"/>
      <c r="F1221" s="50"/>
      <c r="G1221" s="50"/>
      <c r="H1221" s="9"/>
      <c r="I1221" s="9"/>
      <c r="CS1221" s="37"/>
      <c r="CT1221" s="37"/>
      <c r="CU1221" s="37"/>
      <c r="CV1221" s="37"/>
      <c r="CW1221" s="37"/>
      <c r="CX1221" s="37"/>
      <c r="CY1221" s="37"/>
    </row>
    <row r="1222" spans="2:103" s="10" customFormat="1" x14ac:dyDescent="0.4">
      <c r="B1222" s="44"/>
      <c r="C1222" s="43"/>
      <c r="D1222" s="50"/>
      <c r="E1222" s="50"/>
      <c r="F1222" s="50"/>
      <c r="G1222" s="50"/>
      <c r="H1222" s="9"/>
      <c r="I1222" s="9"/>
      <c r="CS1222" s="37"/>
      <c r="CT1222" s="37"/>
      <c r="CU1222" s="37"/>
      <c r="CV1222" s="37"/>
      <c r="CW1222" s="37"/>
      <c r="CX1222" s="37"/>
      <c r="CY1222" s="37"/>
    </row>
    <row r="1223" spans="2:103" s="10" customFormat="1" x14ac:dyDescent="0.4">
      <c r="B1223" s="44"/>
      <c r="C1223" s="43"/>
      <c r="D1223" s="50"/>
      <c r="E1223" s="50"/>
      <c r="F1223" s="50"/>
      <c r="G1223" s="50"/>
      <c r="H1223" s="9"/>
      <c r="I1223" s="9"/>
      <c r="CS1223" s="37"/>
      <c r="CT1223" s="37"/>
      <c r="CU1223" s="37"/>
      <c r="CV1223" s="37"/>
      <c r="CW1223" s="37"/>
      <c r="CX1223" s="37"/>
      <c r="CY1223" s="37"/>
    </row>
    <row r="1224" spans="2:103" s="10" customFormat="1" x14ac:dyDescent="0.4">
      <c r="B1224" s="44"/>
      <c r="C1224" s="43"/>
      <c r="D1224" s="50"/>
      <c r="E1224" s="50"/>
      <c r="F1224" s="50"/>
      <c r="G1224" s="50"/>
      <c r="H1224" s="9"/>
      <c r="I1224" s="9"/>
      <c r="CS1224" s="37"/>
      <c r="CT1224" s="37"/>
      <c r="CU1224" s="37"/>
      <c r="CV1224" s="37"/>
      <c r="CW1224" s="37"/>
      <c r="CX1224" s="37"/>
      <c r="CY1224" s="37"/>
    </row>
    <row r="1225" spans="2:103" s="10" customFormat="1" x14ac:dyDescent="0.4">
      <c r="B1225" s="44"/>
      <c r="C1225" s="43"/>
      <c r="D1225" s="50"/>
      <c r="E1225" s="50"/>
      <c r="F1225" s="50"/>
      <c r="G1225" s="50"/>
      <c r="H1225" s="9"/>
      <c r="I1225" s="9"/>
      <c r="CS1225" s="37"/>
      <c r="CT1225" s="37"/>
      <c r="CU1225" s="37"/>
      <c r="CV1225" s="37"/>
      <c r="CW1225" s="37"/>
      <c r="CX1225" s="37"/>
      <c r="CY1225" s="37"/>
    </row>
    <row r="1226" spans="2:103" s="10" customFormat="1" x14ac:dyDescent="0.4">
      <c r="B1226" s="44"/>
      <c r="C1226" s="43"/>
      <c r="D1226" s="50"/>
      <c r="E1226" s="50"/>
      <c r="F1226" s="50"/>
      <c r="G1226" s="50"/>
      <c r="H1226" s="9"/>
      <c r="I1226" s="9"/>
      <c r="CS1226" s="37"/>
      <c r="CT1226" s="37"/>
      <c r="CU1226" s="37"/>
      <c r="CV1226" s="37"/>
      <c r="CW1226" s="37"/>
      <c r="CX1226" s="37"/>
      <c r="CY1226" s="37"/>
    </row>
    <row r="1227" spans="2:103" s="10" customFormat="1" x14ac:dyDescent="0.4">
      <c r="B1227" s="44"/>
      <c r="C1227" s="43"/>
      <c r="D1227" s="50"/>
      <c r="E1227" s="50"/>
      <c r="F1227" s="50"/>
      <c r="G1227" s="50"/>
      <c r="H1227" s="9"/>
      <c r="I1227" s="9"/>
      <c r="CS1227" s="37"/>
      <c r="CT1227" s="37"/>
      <c r="CU1227" s="37"/>
      <c r="CV1227" s="37"/>
      <c r="CW1227" s="37"/>
      <c r="CX1227" s="37"/>
      <c r="CY1227" s="37"/>
    </row>
    <row r="1228" spans="2:103" s="10" customFormat="1" x14ac:dyDescent="0.4">
      <c r="B1228" s="44"/>
      <c r="C1228" s="43"/>
      <c r="D1228" s="50"/>
      <c r="E1228" s="50"/>
      <c r="F1228" s="50"/>
      <c r="G1228" s="50"/>
      <c r="H1228" s="9"/>
      <c r="I1228" s="9"/>
      <c r="CS1228" s="37"/>
      <c r="CT1228" s="37"/>
      <c r="CU1228" s="37"/>
      <c r="CV1228" s="37"/>
      <c r="CW1228" s="37"/>
      <c r="CX1228" s="37"/>
      <c r="CY1228" s="37"/>
    </row>
    <row r="1229" spans="2:103" s="10" customFormat="1" x14ac:dyDescent="0.4">
      <c r="B1229" s="44"/>
      <c r="C1229" s="43"/>
      <c r="D1229" s="50"/>
      <c r="E1229" s="50"/>
      <c r="F1229" s="50"/>
      <c r="G1229" s="50"/>
      <c r="H1229" s="9"/>
      <c r="I1229" s="9"/>
      <c r="CS1229" s="37"/>
      <c r="CT1229" s="37"/>
      <c r="CU1229" s="37"/>
      <c r="CV1229" s="37"/>
      <c r="CW1229" s="37"/>
      <c r="CX1229" s="37"/>
      <c r="CY1229" s="37"/>
    </row>
    <row r="1230" spans="2:103" s="10" customFormat="1" x14ac:dyDescent="0.4">
      <c r="B1230" s="44"/>
      <c r="C1230" s="43"/>
      <c r="D1230" s="50"/>
      <c r="E1230" s="50"/>
      <c r="F1230" s="50"/>
      <c r="G1230" s="50"/>
      <c r="H1230" s="9"/>
      <c r="I1230" s="9"/>
      <c r="CS1230" s="37"/>
      <c r="CT1230" s="37"/>
      <c r="CU1230" s="37"/>
      <c r="CV1230" s="37"/>
      <c r="CW1230" s="37"/>
      <c r="CX1230" s="37"/>
      <c r="CY1230" s="37"/>
    </row>
    <row r="1231" spans="2:103" s="10" customFormat="1" x14ac:dyDescent="0.4">
      <c r="B1231" s="44"/>
      <c r="C1231" s="43"/>
      <c r="D1231" s="50"/>
      <c r="E1231" s="50"/>
      <c r="F1231" s="50"/>
      <c r="G1231" s="50"/>
      <c r="H1231" s="9"/>
      <c r="I1231" s="9"/>
      <c r="CS1231" s="37"/>
      <c r="CT1231" s="37"/>
      <c r="CU1231" s="37"/>
      <c r="CV1231" s="37"/>
      <c r="CW1231" s="37"/>
      <c r="CX1231" s="37"/>
      <c r="CY1231" s="37"/>
    </row>
    <row r="1232" spans="2:103" s="10" customFormat="1" x14ac:dyDescent="0.4">
      <c r="B1232" s="44"/>
      <c r="C1232" s="43"/>
      <c r="D1232" s="50"/>
      <c r="E1232" s="50"/>
      <c r="F1232" s="50"/>
      <c r="G1232" s="50"/>
      <c r="H1232" s="9"/>
      <c r="I1232" s="9"/>
      <c r="CS1232" s="37"/>
      <c r="CT1232" s="37"/>
      <c r="CU1232" s="37"/>
      <c r="CV1232" s="37"/>
      <c r="CW1232" s="37"/>
      <c r="CX1232" s="37"/>
      <c r="CY1232" s="37"/>
    </row>
    <row r="1233" spans="2:103" s="10" customFormat="1" x14ac:dyDescent="0.4">
      <c r="B1233" s="44"/>
      <c r="C1233" s="43"/>
      <c r="D1233" s="50"/>
      <c r="E1233" s="50"/>
      <c r="F1233" s="50"/>
      <c r="G1233" s="50"/>
      <c r="H1233" s="9"/>
      <c r="I1233" s="9"/>
      <c r="CS1233" s="37"/>
      <c r="CT1233" s="37"/>
      <c r="CU1233" s="37"/>
      <c r="CV1233" s="37"/>
      <c r="CW1233" s="37"/>
      <c r="CX1233" s="37"/>
      <c r="CY1233" s="37"/>
    </row>
    <row r="1234" spans="2:103" s="10" customFormat="1" x14ac:dyDescent="0.4">
      <c r="B1234" s="44"/>
      <c r="C1234" s="43"/>
      <c r="D1234" s="50"/>
      <c r="E1234" s="50"/>
      <c r="F1234" s="50"/>
      <c r="G1234" s="50"/>
      <c r="H1234" s="9"/>
      <c r="I1234" s="9"/>
      <c r="CS1234" s="37"/>
      <c r="CT1234" s="37"/>
      <c r="CU1234" s="37"/>
      <c r="CV1234" s="37"/>
      <c r="CW1234" s="37"/>
      <c r="CX1234" s="37"/>
      <c r="CY1234" s="37"/>
    </row>
    <row r="1235" spans="2:103" s="10" customFormat="1" x14ac:dyDescent="0.4">
      <c r="B1235" s="44"/>
      <c r="C1235" s="43"/>
      <c r="D1235" s="50"/>
      <c r="E1235" s="50"/>
      <c r="F1235" s="50"/>
      <c r="G1235" s="50"/>
      <c r="H1235" s="9"/>
      <c r="I1235" s="9"/>
      <c r="CS1235" s="37"/>
      <c r="CT1235" s="37"/>
      <c r="CU1235" s="37"/>
      <c r="CV1235" s="37"/>
      <c r="CW1235" s="37"/>
      <c r="CX1235" s="37"/>
      <c r="CY1235" s="37"/>
    </row>
    <row r="1236" spans="2:103" s="10" customFormat="1" x14ac:dyDescent="0.4">
      <c r="B1236" s="44"/>
      <c r="C1236" s="43"/>
      <c r="D1236" s="50"/>
      <c r="E1236" s="50"/>
      <c r="F1236" s="50"/>
      <c r="G1236" s="50"/>
      <c r="H1236" s="9"/>
      <c r="I1236" s="9"/>
      <c r="CS1236" s="37"/>
      <c r="CT1236" s="37"/>
      <c r="CU1236" s="37"/>
      <c r="CV1236" s="37"/>
      <c r="CW1236" s="37"/>
      <c r="CX1236" s="37"/>
      <c r="CY1236" s="37"/>
    </row>
    <row r="1237" spans="2:103" s="10" customFormat="1" x14ac:dyDescent="0.4">
      <c r="B1237" s="44"/>
      <c r="C1237" s="43"/>
      <c r="D1237" s="50"/>
      <c r="E1237" s="50"/>
      <c r="F1237" s="50"/>
      <c r="G1237" s="50"/>
      <c r="H1237" s="9"/>
      <c r="I1237" s="9"/>
      <c r="CS1237" s="37"/>
      <c r="CT1237" s="37"/>
      <c r="CU1237" s="37"/>
      <c r="CV1237" s="37"/>
      <c r="CW1237" s="37"/>
      <c r="CX1237" s="37"/>
      <c r="CY1237" s="37"/>
    </row>
    <row r="1238" spans="2:103" s="10" customFormat="1" x14ac:dyDescent="0.4">
      <c r="B1238" s="44"/>
      <c r="C1238" s="43"/>
      <c r="D1238" s="50"/>
      <c r="E1238" s="50"/>
      <c r="F1238" s="50"/>
      <c r="G1238" s="50"/>
      <c r="H1238" s="9"/>
      <c r="I1238" s="9"/>
      <c r="CS1238" s="37"/>
      <c r="CT1238" s="37"/>
      <c r="CU1238" s="37"/>
      <c r="CV1238" s="37"/>
      <c r="CW1238" s="37"/>
      <c r="CX1238" s="37"/>
      <c r="CY1238" s="37"/>
    </row>
    <row r="1239" spans="2:103" s="10" customFormat="1" x14ac:dyDescent="0.4">
      <c r="B1239" s="44"/>
      <c r="C1239" s="43"/>
      <c r="D1239" s="50"/>
      <c r="E1239" s="50"/>
      <c r="F1239" s="50"/>
      <c r="G1239" s="50"/>
      <c r="H1239" s="9"/>
      <c r="I1239" s="9"/>
      <c r="CS1239" s="37"/>
      <c r="CT1239" s="37"/>
      <c r="CU1239" s="37"/>
      <c r="CV1239" s="37"/>
      <c r="CW1239" s="37"/>
      <c r="CX1239" s="37"/>
      <c r="CY1239" s="37"/>
    </row>
    <row r="1240" spans="2:103" s="10" customFormat="1" x14ac:dyDescent="0.4">
      <c r="B1240" s="44"/>
      <c r="C1240" s="43"/>
      <c r="D1240" s="50"/>
      <c r="E1240" s="50"/>
      <c r="F1240" s="50"/>
      <c r="G1240" s="50"/>
      <c r="H1240" s="9"/>
      <c r="I1240" s="9"/>
      <c r="CS1240" s="37"/>
      <c r="CT1240" s="37"/>
      <c r="CU1240" s="37"/>
      <c r="CV1240" s="37"/>
      <c r="CW1240" s="37"/>
      <c r="CX1240" s="37"/>
      <c r="CY1240" s="37"/>
    </row>
    <row r="1241" spans="2:103" s="10" customFormat="1" x14ac:dyDescent="0.4">
      <c r="B1241" s="44"/>
      <c r="C1241" s="43"/>
      <c r="D1241" s="50"/>
      <c r="E1241" s="50"/>
      <c r="F1241" s="50"/>
      <c r="G1241" s="50"/>
      <c r="H1241" s="9"/>
      <c r="I1241" s="9"/>
      <c r="CS1241" s="37"/>
      <c r="CT1241" s="37"/>
      <c r="CU1241" s="37"/>
      <c r="CV1241" s="37"/>
      <c r="CW1241" s="37"/>
      <c r="CX1241" s="37"/>
      <c r="CY1241" s="37"/>
    </row>
    <row r="1242" spans="2:103" s="10" customFormat="1" x14ac:dyDescent="0.4">
      <c r="B1242" s="44"/>
      <c r="C1242" s="43"/>
      <c r="D1242" s="50"/>
      <c r="E1242" s="50"/>
      <c r="F1242" s="50"/>
      <c r="G1242" s="50"/>
      <c r="H1242" s="9"/>
      <c r="I1242" s="9"/>
      <c r="CS1242" s="37"/>
      <c r="CT1242" s="37"/>
      <c r="CU1242" s="37"/>
      <c r="CV1242" s="37"/>
      <c r="CW1242" s="37"/>
      <c r="CX1242" s="37"/>
      <c r="CY1242" s="37"/>
    </row>
    <row r="1243" spans="2:103" s="10" customFormat="1" x14ac:dyDescent="0.4">
      <c r="B1243" s="44"/>
      <c r="C1243" s="43"/>
      <c r="D1243" s="50"/>
      <c r="E1243" s="50"/>
      <c r="F1243" s="50"/>
      <c r="G1243" s="50"/>
      <c r="H1243" s="9"/>
      <c r="I1243" s="9"/>
      <c r="CS1243" s="37"/>
      <c r="CT1243" s="37"/>
      <c r="CU1243" s="37"/>
      <c r="CV1243" s="37"/>
      <c r="CW1243" s="37"/>
      <c r="CX1243" s="37"/>
      <c r="CY1243" s="37"/>
    </row>
    <row r="1244" spans="2:103" s="10" customFormat="1" x14ac:dyDescent="0.4">
      <c r="B1244" s="44"/>
      <c r="C1244" s="43"/>
      <c r="D1244" s="50"/>
      <c r="E1244" s="50"/>
      <c r="F1244" s="50"/>
      <c r="G1244" s="50"/>
      <c r="H1244" s="9"/>
      <c r="I1244" s="9"/>
      <c r="CS1244" s="37"/>
      <c r="CT1244" s="37"/>
      <c r="CU1244" s="37"/>
      <c r="CV1244" s="37"/>
      <c r="CW1244" s="37"/>
      <c r="CX1244" s="37"/>
      <c r="CY1244" s="37"/>
    </row>
    <row r="1245" spans="2:103" s="10" customFormat="1" x14ac:dyDescent="0.4">
      <c r="B1245" s="44"/>
      <c r="C1245" s="43"/>
      <c r="D1245" s="50"/>
      <c r="E1245" s="50"/>
      <c r="F1245" s="50"/>
      <c r="G1245" s="50"/>
      <c r="H1245" s="9"/>
      <c r="I1245" s="9"/>
      <c r="CS1245" s="37"/>
      <c r="CT1245" s="37"/>
      <c r="CU1245" s="37"/>
      <c r="CV1245" s="37"/>
      <c r="CW1245" s="37"/>
      <c r="CX1245" s="37"/>
      <c r="CY1245" s="37"/>
    </row>
    <row r="1246" spans="2:103" s="10" customFormat="1" x14ac:dyDescent="0.4">
      <c r="B1246" s="44"/>
      <c r="C1246" s="43"/>
      <c r="D1246" s="50"/>
      <c r="E1246" s="50"/>
      <c r="F1246" s="50"/>
      <c r="G1246" s="50"/>
      <c r="H1246" s="9"/>
      <c r="I1246" s="9"/>
      <c r="CS1246" s="37"/>
      <c r="CT1246" s="37"/>
      <c r="CU1246" s="37"/>
      <c r="CV1246" s="37"/>
      <c r="CW1246" s="37"/>
      <c r="CX1246" s="37"/>
      <c r="CY1246" s="37"/>
    </row>
    <row r="1247" spans="2:103" s="10" customFormat="1" x14ac:dyDescent="0.4">
      <c r="B1247" s="44"/>
      <c r="C1247" s="43"/>
      <c r="D1247" s="50"/>
      <c r="E1247" s="50"/>
      <c r="F1247" s="50"/>
      <c r="G1247" s="50"/>
      <c r="H1247" s="9"/>
      <c r="I1247" s="9"/>
      <c r="CS1247" s="37"/>
      <c r="CT1247" s="37"/>
      <c r="CU1247" s="37"/>
      <c r="CV1247" s="37"/>
      <c r="CW1247" s="37"/>
      <c r="CX1247" s="37"/>
      <c r="CY1247" s="37"/>
    </row>
    <row r="1248" spans="2:103" s="10" customFormat="1" x14ac:dyDescent="0.4">
      <c r="B1248" s="44"/>
      <c r="C1248" s="43"/>
      <c r="D1248" s="50"/>
      <c r="E1248" s="50"/>
      <c r="F1248" s="50"/>
      <c r="G1248" s="50"/>
      <c r="H1248" s="9"/>
      <c r="I1248" s="9"/>
      <c r="CS1248" s="37"/>
      <c r="CT1248" s="37"/>
      <c r="CU1248" s="37"/>
      <c r="CV1248" s="37"/>
      <c r="CW1248" s="37"/>
      <c r="CX1248" s="37"/>
      <c r="CY1248" s="37"/>
    </row>
    <row r="1249" spans="2:103" s="10" customFormat="1" x14ac:dyDescent="0.4">
      <c r="B1249" s="44"/>
      <c r="C1249" s="43"/>
      <c r="D1249" s="50"/>
      <c r="E1249" s="50"/>
      <c r="F1249" s="50"/>
      <c r="G1249" s="50"/>
      <c r="H1249" s="9"/>
      <c r="I1249" s="9"/>
      <c r="CS1249" s="37"/>
      <c r="CT1249" s="37"/>
      <c r="CU1249" s="37"/>
      <c r="CV1249" s="37"/>
      <c r="CW1249" s="37"/>
      <c r="CX1249" s="37"/>
      <c r="CY1249" s="37"/>
    </row>
    <row r="1250" spans="2:103" s="10" customFormat="1" x14ac:dyDescent="0.4">
      <c r="B1250" s="44"/>
      <c r="C1250" s="43"/>
      <c r="D1250" s="50"/>
      <c r="E1250" s="50"/>
      <c r="F1250" s="50"/>
      <c r="G1250" s="50"/>
      <c r="H1250" s="9"/>
      <c r="I1250" s="9"/>
      <c r="CS1250" s="37"/>
      <c r="CT1250" s="37"/>
      <c r="CU1250" s="37"/>
      <c r="CV1250" s="37"/>
      <c r="CW1250" s="37"/>
      <c r="CX1250" s="37"/>
      <c r="CY1250" s="37"/>
    </row>
    <row r="1251" spans="2:103" s="10" customFormat="1" x14ac:dyDescent="0.4">
      <c r="B1251" s="44"/>
      <c r="C1251" s="43"/>
      <c r="D1251" s="50"/>
      <c r="E1251" s="50"/>
      <c r="F1251" s="50"/>
      <c r="G1251" s="50"/>
      <c r="H1251" s="9"/>
      <c r="I1251" s="9"/>
      <c r="CS1251" s="37"/>
      <c r="CT1251" s="37"/>
      <c r="CU1251" s="37"/>
      <c r="CV1251" s="37"/>
      <c r="CW1251" s="37"/>
      <c r="CX1251" s="37"/>
      <c r="CY1251" s="37"/>
    </row>
    <row r="1252" spans="2:103" s="10" customFormat="1" x14ac:dyDescent="0.4">
      <c r="B1252" s="44"/>
      <c r="C1252" s="43"/>
      <c r="D1252" s="50"/>
      <c r="E1252" s="50"/>
      <c r="F1252" s="50"/>
      <c r="G1252" s="50"/>
      <c r="H1252" s="9"/>
      <c r="I1252" s="9"/>
      <c r="CS1252" s="37"/>
      <c r="CT1252" s="37"/>
      <c r="CU1252" s="37"/>
      <c r="CV1252" s="37"/>
      <c r="CW1252" s="37"/>
      <c r="CX1252" s="37"/>
      <c r="CY1252" s="37"/>
    </row>
    <row r="1253" spans="2:103" s="10" customFormat="1" x14ac:dyDescent="0.4">
      <c r="B1253" s="44"/>
      <c r="C1253" s="43"/>
      <c r="D1253" s="50"/>
      <c r="E1253" s="50"/>
      <c r="F1253" s="50"/>
      <c r="G1253" s="50"/>
      <c r="H1253" s="9"/>
      <c r="I1253" s="9"/>
      <c r="CS1253" s="37"/>
      <c r="CT1253" s="37"/>
      <c r="CU1253" s="37"/>
      <c r="CV1253" s="37"/>
      <c r="CW1253" s="37"/>
      <c r="CX1253" s="37"/>
      <c r="CY1253" s="37"/>
    </row>
    <row r="1254" spans="2:103" s="10" customFormat="1" x14ac:dyDescent="0.4">
      <c r="B1254" s="44"/>
      <c r="C1254" s="43"/>
      <c r="D1254" s="50"/>
      <c r="E1254" s="50"/>
      <c r="F1254" s="50"/>
      <c r="G1254" s="50"/>
      <c r="H1254" s="9"/>
      <c r="I1254" s="9"/>
      <c r="CS1254" s="37"/>
      <c r="CT1254" s="37"/>
      <c r="CU1254" s="37"/>
      <c r="CV1254" s="37"/>
      <c r="CW1254" s="37"/>
      <c r="CX1254" s="37"/>
      <c r="CY1254" s="37"/>
    </row>
    <row r="1255" spans="2:103" s="10" customFormat="1" x14ac:dyDescent="0.4">
      <c r="B1255" s="44"/>
      <c r="C1255" s="43"/>
      <c r="D1255" s="50"/>
      <c r="E1255" s="50"/>
      <c r="F1255" s="50"/>
      <c r="G1255" s="50"/>
      <c r="H1255" s="9"/>
      <c r="I1255" s="9"/>
      <c r="CS1255" s="37"/>
      <c r="CT1255" s="37"/>
      <c r="CU1255" s="37"/>
      <c r="CV1255" s="37"/>
      <c r="CW1255" s="37"/>
      <c r="CX1255" s="37"/>
      <c r="CY1255" s="37"/>
    </row>
    <row r="1256" spans="2:103" s="10" customFormat="1" x14ac:dyDescent="0.4">
      <c r="B1256" s="44"/>
      <c r="C1256" s="43"/>
      <c r="D1256" s="50"/>
      <c r="E1256" s="50"/>
      <c r="F1256" s="50"/>
      <c r="G1256" s="50"/>
      <c r="H1256" s="9"/>
      <c r="I1256" s="9"/>
      <c r="CS1256" s="37"/>
      <c r="CT1256" s="37"/>
      <c r="CU1256" s="37"/>
      <c r="CV1256" s="37"/>
      <c r="CW1256" s="37"/>
      <c r="CX1256" s="37"/>
      <c r="CY1256" s="37"/>
    </row>
    <row r="1257" spans="2:103" s="10" customFormat="1" x14ac:dyDescent="0.4">
      <c r="B1257" s="44"/>
      <c r="C1257" s="43"/>
      <c r="D1257" s="50"/>
      <c r="E1257" s="50"/>
      <c r="F1257" s="50"/>
      <c r="G1257" s="50"/>
      <c r="H1257" s="9"/>
      <c r="I1257" s="9"/>
      <c r="CS1257" s="37"/>
      <c r="CT1257" s="37"/>
      <c r="CU1257" s="37"/>
      <c r="CV1257" s="37"/>
      <c r="CW1257" s="37"/>
      <c r="CX1257" s="37"/>
      <c r="CY1257" s="37"/>
    </row>
    <row r="1258" spans="2:103" s="10" customFormat="1" x14ac:dyDescent="0.4">
      <c r="B1258" s="44"/>
      <c r="C1258" s="43"/>
      <c r="D1258" s="50"/>
      <c r="E1258" s="50"/>
      <c r="F1258" s="50"/>
      <c r="G1258" s="50"/>
      <c r="H1258" s="9"/>
      <c r="I1258" s="9"/>
      <c r="CS1258" s="37"/>
      <c r="CT1258" s="37"/>
      <c r="CU1258" s="37"/>
      <c r="CV1258" s="37"/>
      <c r="CW1258" s="37"/>
      <c r="CX1258" s="37"/>
      <c r="CY1258" s="37"/>
    </row>
    <row r="1259" spans="2:103" s="10" customFormat="1" x14ac:dyDescent="0.4">
      <c r="B1259" s="44"/>
      <c r="C1259" s="43"/>
      <c r="D1259" s="50"/>
      <c r="E1259" s="50"/>
      <c r="F1259" s="50"/>
      <c r="G1259" s="50"/>
      <c r="H1259" s="9"/>
      <c r="I1259" s="9"/>
      <c r="CS1259" s="37"/>
      <c r="CT1259" s="37"/>
      <c r="CU1259" s="37"/>
      <c r="CV1259" s="37"/>
      <c r="CW1259" s="37"/>
      <c r="CX1259" s="37"/>
      <c r="CY1259" s="37"/>
    </row>
    <row r="1260" spans="2:103" s="10" customFormat="1" x14ac:dyDescent="0.4">
      <c r="B1260" s="44"/>
      <c r="C1260" s="43"/>
      <c r="D1260" s="50"/>
      <c r="E1260" s="50"/>
      <c r="F1260" s="50"/>
      <c r="G1260" s="50"/>
      <c r="H1260" s="9"/>
      <c r="I1260" s="9"/>
      <c r="CS1260" s="37"/>
      <c r="CT1260" s="37"/>
      <c r="CU1260" s="37"/>
      <c r="CV1260" s="37"/>
      <c r="CW1260" s="37"/>
      <c r="CX1260" s="37"/>
      <c r="CY1260" s="37"/>
    </row>
    <row r="1261" spans="2:103" s="10" customFormat="1" x14ac:dyDescent="0.4">
      <c r="B1261" s="44"/>
      <c r="C1261" s="43"/>
      <c r="D1261" s="50"/>
      <c r="E1261" s="50"/>
      <c r="F1261" s="50"/>
      <c r="G1261" s="50"/>
      <c r="H1261" s="9"/>
      <c r="I1261" s="9"/>
      <c r="CS1261" s="37"/>
      <c r="CT1261" s="37"/>
      <c r="CU1261" s="37"/>
      <c r="CV1261" s="37"/>
      <c r="CW1261" s="37"/>
      <c r="CX1261" s="37"/>
      <c r="CY1261" s="37"/>
    </row>
    <row r="1262" spans="2:103" s="10" customFormat="1" x14ac:dyDescent="0.4">
      <c r="B1262" s="44"/>
      <c r="C1262" s="43"/>
      <c r="D1262" s="50"/>
      <c r="E1262" s="50"/>
      <c r="F1262" s="50"/>
      <c r="G1262" s="50"/>
      <c r="H1262" s="9"/>
      <c r="I1262" s="9"/>
      <c r="CS1262" s="37"/>
      <c r="CT1262" s="37"/>
      <c r="CU1262" s="37"/>
      <c r="CV1262" s="37"/>
      <c r="CW1262" s="37"/>
      <c r="CX1262" s="37"/>
      <c r="CY1262" s="37"/>
    </row>
    <row r="1263" spans="2:103" s="10" customFormat="1" x14ac:dyDescent="0.4">
      <c r="B1263" s="44"/>
      <c r="C1263" s="43"/>
      <c r="D1263" s="50"/>
      <c r="E1263" s="50"/>
      <c r="F1263" s="50"/>
      <c r="G1263" s="50"/>
      <c r="H1263" s="9"/>
      <c r="I1263" s="9"/>
      <c r="CS1263" s="37"/>
      <c r="CT1263" s="37"/>
      <c r="CU1263" s="37"/>
      <c r="CV1263" s="37"/>
      <c r="CW1263" s="37"/>
      <c r="CX1263" s="37"/>
      <c r="CY1263" s="37"/>
    </row>
    <row r="1264" spans="2:103" s="10" customFormat="1" x14ac:dyDescent="0.4">
      <c r="B1264" s="44"/>
      <c r="C1264" s="43"/>
      <c r="D1264" s="50"/>
      <c r="E1264" s="50"/>
      <c r="F1264" s="50"/>
      <c r="G1264" s="50"/>
      <c r="H1264" s="9"/>
      <c r="I1264" s="9"/>
      <c r="CS1264" s="37"/>
      <c r="CT1264" s="37"/>
      <c r="CU1264" s="37"/>
      <c r="CV1264" s="37"/>
      <c r="CW1264" s="37"/>
      <c r="CX1264" s="37"/>
      <c r="CY1264" s="37"/>
    </row>
    <row r="1265" spans="2:103" s="10" customFormat="1" x14ac:dyDescent="0.4">
      <c r="B1265" s="44"/>
      <c r="C1265" s="43"/>
      <c r="D1265" s="50"/>
      <c r="E1265" s="50"/>
      <c r="F1265" s="50"/>
      <c r="G1265" s="50"/>
      <c r="H1265" s="9"/>
      <c r="I1265" s="9"/>
      <c r="CS1265" s="37"/>
      <c r="CT1265" s="37"/>
      <c r="CU1265" s="37"/>
      <c r="CV1265" s="37"/>
      <c r="CW1265" s="37"/>
      <c r="CX1265" s="37"/>
      <c r="CY1265" s="37"/>
    </row>
    <row r="1266" spans="2:103" s="10" customFormat="1" x14ac:dyDescent="0.4">
      <c r="B1266" s="44"/>
      <c r="C1266" s="43"/>
      <c r="D1266" s="50"/>
      <c r="E1266" s="50"/>
      <c r="F1266" s="50"/>
      <c r="G1266" s="50"/>
      <c r="H1266" s="9"/>
      <c r="I1266" s="9"/>
      <c r="CS1266" s="37"/>
      <c r="CT1266" s="37"/>
      <c r="CU1266" s="37"/>
      <c r="CV1266" s="37"/>
      <c r="CW1266" s="37"/>
      <c r="CX1266" s="37"/>
      <c r="CY1266" s="37"/>
    </row>
    <row r="1267" spans="2:103" s="10" customFormat="1" x14ac:dyDescent="0.4">
      <c r="B1267" s="44"/>
      <c r="C1267" s="43"/>
      <c r="D1267" s="50"/>
      <c r="E1267" s="50"/>
      <c r="F1267" s="50"/>
      <c r="G1267" s="50"/>
      <c r="H1267" s="9"/>
      <c r="I1267" s="9"/>
      <c r="CS1267" s="37"/>
      <c r="CT1267" s="37"/>
      <c r="CU1267" s="37"/>
      <c r="CV1267" s="37"/>
      <c r="CW1267" s="37"/>
      <c r="CX1267" s="37"/>
      <c r="CY1267" s="37"/>
    </row>
    <row r="1268" spans="2:103" s="10" customFormat="1" x14ac:dyDescent="0.4">
      <c r="B1268" s="44"/>
      <c r="C1268" s="43"/>
      <c r="D1268" s="50"/>
      <c r="E1268" s="50"/>
      <c r="F1268" s="50"/>
      <c r="G1268" s="50"/>
      <c r="H1268" s="9"/>
      <c r="I1268" s="9"/>
      <c r="CS1268" s="37"/>
      <c r="CT1268" s="37"/>
      <c r="CU1268" s="37"/>
      <c r="CV1268" s="37"/>
      <c r="CW1268" s="37"/>
      <c r="CX1268" s="37"/>
      <c r="CY1268" s="37"/>
    </row>
    <row r="1269" spans="2:103" s="10" customFormat="1" x14ac:dyDescent="0.4">
      <c r="B1269" s="44"/>
      <c r="C1269" s="43"/>
      <c r="D1269" s="50"/>
      <c r="E1269" s="50"/>
      <c r="F1269" s="50"/>
      <c r="G1269" s="50"/>
      <c r="H1269" s="9"/>
      <c r="I1269" s="9"/>
      <c r="CS1269" s="37"/>
      <c r="CT1269" s="37"/>
      <c r="CU1269" s="37"/>
      <c r="CV1269" s="37"/>
      <c r="CW1269" s="37"/>
      <c r="CX1269" s="37"/>
      <c r="CY1269" s="37"/>
    </row>
    <row r="1270" spans="2:103" s="10" customFormat="1" x14ac:dyDescent="0.4">
      <c r="B1270" s="44"/>
      <c r="C1270" s="43"/>
      <c r="D1270" s="50"/>
      <c r="E1270" s="50"/>
      <c r="F1270" s="50"/>
      <c r="G1270" s="50"/>
      <c r="H1270" s="9"/>
      <c r="I1270" s="9"/>
      <c r="CS1270" s="37"/>
      <c r="CT1270" s="37"/>
      <c r="CU1270" s="37"/>
      <c r="CV1270" s="37"/>
      <c r="CW1270" s="37"/>
      <c r="CX1270" s="37"/>
      <c r="CY1270" s="37"/>
    </row>
    <row r="1271" spans="2:103" s="10" customFormat="1" x14ac:dyDescent="0.4">
      <c r="B1271" s="44"/>
      <c r="C1271" s="43"/>
      <c r="D1271" s="50"/>
      <c r="E1271" s="50"/>
      <c r="F1271" s="50"/>
      <c r="G1271" s="50"/>
      <c r="H1271" s="9"/>
      <c r="I1271" s="9"/>
      <c r="CS1271" s="37"/>
      <c r="CT1271" s="37"/>
      <c r="CU1271" s="37"/>
      <c r="CV1271" s="37"/>
      <c r="CW1271" s="37"/>
      <c r="CX1271" s="37"/>
      <c r="CY1271" s="37"/>
    </row>
    <row r="1272" spans="2:103" s="10" customFormat="1" x14ac:dyDescent="0.4">
      <c r="B1272" s="44"/>
      <c r="C1272" s="43"/>
      <c r="D1272" s="50"/>
      <c r="E1272" s="50"/>
      <c r="F1272" s="50"/>
      <c r="G1272" s="50"/>
      <c r="H1272" s="9"/>
      <c r="I1272" s="9"/>
      <c r="CS1272" s="37"/>
      <c r="CT1272" s="37"/>
      <c r="CU1272" s="37"/>
      <c r="CV1272" s="37"/>
      <c r="CW1272" s="37"/>
      <c r="CX1272" s="37"/>
      <c r="CY1272" s="37"/>
    </row>
    <row r="1273" spans="2:103" s="10" customFormat="1" x14ac:dyDescent="0.4">
      <c r="B1273" s="44"/>
      <c r="C1273" s="43"/>
      <c r="D1273" s="50"/>
      <c r="E1273" s="50"/>
      <c r="F1273" s="50"/>
      <c r="G1273" s="50"/>
      <c r="H1273" s="9"/>
      <c r="I1273" s="9"/>
      <c r="CS1273" s="37"/>
      <c r="CT1273" s="37"/>
      <c r="CU1273" s="37"/>
      <c r="CV1273" s="37"/>
      <c r="CW1273" s="37"/>
      <c r="CX1273" s="37"/>
      <c r="CY1273" s="37"/>
    </row>
    <row r="1274" spans="2:103" s="10" customFormat="1" x14ac:dyDescent="0.4">
      <c r="B1274" s="44"/>
      <c r="C1274" s="43"/>
      <c r="D1274" s="50"/>
      <c r="E1274" s="50"/>
      <c r="F1274" s="50"/>
      <c r="G1274" s="50"/>
      <c r="H1274" s="9"/>
      <c r="I1274" s="9"/>
      <c r="CS1274" s="37"/>
      <c r="CT1274" s="37"/>
      <c r="CU1274" s="37"/>
      <c r="CV1274" s="37"/>
      <c r="CW1274" s="37"/>
      <c r="CX1274" s="37"/>
      <c r="CY1274" s="37"/>
    </row>
    <row r="1275" spans="2:103" s="10" customFormat="1" x14ac:dyDescent="0.4">
      <c r="B1275" s="44"/>
      <c r="C1275" s="43"/>
      <c r="D1275" s="50"/>
      <c r="E1275" s="50"/>
      <c r="F1275" s="50"/>
      <c r="G1275" s="50"/>
      <c r="H1275" s="9"/>
      <c r="I1275" s="9"/>
      <c r="CS1275" s="37"/>
      <c r="CT1275" s="37"/>
      <c r="CU1275" s="37"/>
      <c r="CV1275" s="37"/>
      <c r="CW1275" s="37"/>
      <c r="CX1275" s="37"/>
      <c r="CY1275" s="37"/>
    </row>
    <row r="1276" spans="2:103" s="10" customFormat="1" x14ac:dyDescent="0.4">
      <c r="B1276" s="44"/>
      <c r="C1276" s="43"/>
      <c r="D1276" s="50"/>
      <c r="E1276" s="50"/>
      <c r="F1276" s="50"/>
      <c r="G1276" s="50"/>
      <c r="H1276" s="9"/>
      <c r="I1276" s="9"/>
      <c r="CS1276" s="37"/>
      <c r="CT1276" s="37"/>
      <c r="CU1276" s="37"/>
      <c r="CV1276" s="37"/>
      <c r="CW1276" s="37"/>
      <c r="CX1276" s="37"/>
      <c r="CY1276" s="37"/>
    </row>
    <row r="1277" spans="2:103" s="10" customFormat="1" x14ac:dyDescent="0.4">
      <c r="B1277" s="44"/>
      <c r="C1277" s="43"/>
      <c r="D1277" s="50"/>
      <c r="E1277" s="50"/>
      <c r="F1277" s="50"/>
      <c r="G1277" s="50"/>
      <c r="H1277" s="9"/>
      <c r="I1277" s="9"/>
      <c r="CS1277" s="37"/>
      <c r="CT1277" s="37"/>
      <c r="CU1277" s="37"/>
      <c r="CV1277" s="37"/>
      <c r="CW1277" s="37"/>
      <c r="CX1277" s="37"/>
      <c r="CY1277" s="37"/>
    </row>
    <row r="1278" spans="2:103" s="10" customFormat="1" x14ac:dyDescent="0.4">
      <c r="B1278" s="44"/>
      <c r="C1278" s="43"/>
      <c r="D1278" s="50"/>
      <c r="E1278" s="50"/>
      <c r="F1278" s="50"/>
      <c r="G1278" s="50"/>
      <c r="H1278" s="9"/>
      <c r="I1278" s="9"/>
      <c r="CS1278" s="37"/>
      <c r="CT1278" s="37"/>
      <c r="CU1278" s="37"/>
      <c r="CV1278" s="37"/>
      <c r="CW1278" s="37"/>
      <c r="CX1278" s="37"/>
      <c r="CY1278" s="37"/>
    </row>
    <row r="1279" spans="2:103" s="10" customFormat="1" x14ac:dyDescent="0.4">
      <c r="B1279" s="44"/>
      <c r="C1279" s="43"/>
      <c r="D1279" s="50"/>
      <c r="E1279" s="50"/>
      <c r="F1279" s="50"/>
      <c r="G1279" s="50"/>
      <c r="H1279" s="9"/>
      <c r="I1279" s="9"/>
      <c r="CS1279" s="37"/>
      <c r="CT1279" s="37"/>
      <c r="CU1279" s="37"/>
      <c r="CV1279" s="37"/>
      <c r="CW1279" s="37"/>
      <c r="CX1279" s="37"/>
      <c r="CY1279" s="37"/>
    </row>
    <row r="1280" spans="2:103" s="10" customFormat="1" x14ac:dyDescent="0.4">
      <c r="B1280" s="44"/>
      <c r="C1280" s="43"/>
      <c r="D1280" s="50"/>
      <c r="E1280" s="50"/>
      <c r="F1280" s="50"/>
      <c r="G1280" s="50"/>
      <c r="H1280" s="9"/>
      <c r="I1280" s="9"/>
      <c r="CS1280" s="37"/>
      <c r="CT1280" s="37"/>
      <c r="CU1280" s="37"/>
      <c r="CV1280" s="37"/>
      <c r="CW1280" s="37"/>
      <c r="CX1280" s="37"/>
      <c r="CY1280" s="37"/>
    </row>
    <row r="1281" spans="2:103" s="10" customFormat="1" x14ac:dyDescent="0.4">
      <c r="B1281" s="44"/>
      <c r="C1281" s="43"/>
      <c r="D1281" s="50"/>
      <c r="E1281" s="50"/>
      <c r="F1281" s="50"/>
      <c r="G1281" s="50"/>
      <c r="H1281" s="9"/>
      <c r="I1281" s="9"/>
      <c r="CS1281" s="37"/>
      <c r="CT1281" s="37"/>
      <c r="CU1281" s="37"/>
      <c r="CV1281" s="37"/>
      <c r="CW1281" s="37"/>
      <c r="CX1281" s="37"/>
      <c r="CY1281" s="37"/>
    </row>
    <row r="1282" spans="2:103" s="10" customFormat="1" x14ac:dyDescent="0.4">
      <c r="B1282" s="44"/>
      <c r="C1282" s="43"/>
      <c r="D1282" s="50"/>
      <c r="E1282" s="50"/>
      <c r="F1282" s="50"/>
      <c r="G1282" s="50"/>
      <c r="H1282" s="9"/>
      <c r="I1282" s="9"/>
      <c r="CS1282" s="37"/>
      <c r="CT1282" s="37"/>
      <c r="CU1282" s="37"/>
      <c r="CV1282" s="37"/>
      <c r="CW1282" s="37"/>
      <c r="CX1282" s="37"/>
      <c r="CY1282" s="37"/>
    </row>
    <row r="1283" spans="2:103" s="10" customFormat="1" x14ac:dyDescent="0.4">
      <c r="B1283" s="44"/>
      <c r="C1283" s="43"/>
      <c r="D1283" s="50"/>
      <c r="E1283" s="50"/>
      <c r="F1283" s="50"/>
      <c r="G1283" s="50"/>
      <c r="H1283" s="9"/>
      <c r="I1283" s="9"/>
      <c r="CS1283" s="37"/>
      <c r="CT1283" s="37"/>
      <c r="CU1283" s="37"/>
      <c r="CV1283" s="37"/>
      <c r="CW1283" s="37"/>
      <c r="CX1283" s="37"/>
      <c r="CY1283" s="37"/>
    </row>
    <row r="1284" spans="2:103" s="10" customFormat="1" x14ac:dyDescent="0.4">
      <c r="B1284" s="44"/>
      <c r="C1284" s="43"/>
      <c r="D1284" s="50"/>
      <c r="E1284" s="50"/>
      <c r="F1284" s="50"/>
      <c r="G1284" s="50"/>
      <c r="H1284" s="9"/>
      <c r="I1284" s="9"/>
      <c r="CS1284" s="37"/>
      <c r="CT1284" s="37"/>
      <c r="CU1284" s="37"/>
      <c r="CV1284" s="37"/>
      <c r="CW1284" s="37"/>
      <c r="CX1284" s="37"/>
      <c r="CY1284" s="37"/>
    </row>
    <row r="1285" spans="2:103" s="10" customFormat="1" x14ac:dyDescent="0.4">
      <c r="B1285" s="44"/>
      <c r="C1285" s="43"/>
      <c r="D1285" s="50"/>
      <c r="E1285" s="50"/>
      <c r="F1285" s="50"/>
      <c r="G1285" s="50"/>
      <c r="H1285" s="9"/>
      <c r="I1285" s="9"/>
      <c r="CS1285" s="37"/>
      <c r="CT1285" s="37"/>
      <c r="CU1285" s="37"/>
      <c r="CV1285" s="37"/>
      <c r="CW1285" s="37"/>
      <c r="CX1285" s="37"/>
      <c r="CY1285" s="37"/>
    </row>
    <row r="1286" spans="2:103" s="10" customFormat="1" x14ac:dyDescent="0.4">
      <c r="B1286" s="44"/>
      <c r="C1286" s="43"/>
      <c r="D1286" s="50"/>
      <c r="E1286" s="50"/>
      <c r="F1286" s="50"/>
      <c r="G1286" s="50"/>
      <c r="H1286" s="9"/>
      <c r="I1286" s="9"/>
      <c r="CS1286" s="37"/>
      <c r="CT1286" s="37"/>
      <c r="CU1286" s="37"/>
      <c r="CV1286" s="37"/>
      <c r="CW1286" s="37"/>
      <c r="CX1286" s="37"/>
      <c r="CY1286" s="37"/>
    </row>
    <row r="1287" spans="2:103" s="10" customFormat="1" x14ac:dyDescent="0.4">
      <c r="B1287" s="44"/>
      <c r="C1287" s="43"/>
      <c r="D1287" s="50"/>
      <c r="E1287" s="50"/>
      <c r="F1287" s="50"/>
      <c r="G1287" s="50"/>
      <c r="H1287" s="9"/>
      <c r="I1287" s="9"/>
      <c r="CS1287" s="37"/>
      <c r="CT1287" s="37"/>
      <c r="CU1287" s="37"/>
      <c r="CV1287" s="37"/>
      <c r="CW1287" s="37"/>
      <c r="CX1287" s="37"/>
      <c r="CY1287" s="37"/>
    </row>
    <row r="1288" spans="2:103" s="10" customFormat="1" x14ac:dyDescent="0.4">
      <c r="B1288" s="44"/>
      <c r="C1288" s="43"/>
      <c r="D1288" s="50"/>
      <c r="E1288" s="50"/>
      <c r="F1288" s="50"/>
      <c r="G1288" s="50"/>
      <c r="H1288" s="9"/>
      <c r="I1288" s="9"/>
      <c r="CS1288" s="37"/>
      <c r="CT1288" s="37"/>
      <c r="CU1288" s="37"/>
      <c r="CV1288" s="37"/>
      <c r="CW1288" s="37"/>
      <c r="CX1288" s="37"/>
      <c r="CY1288" s="37"/>
    </row>
    <row r="1289" spans="2:103" s="10" customFormat="1" x14ac:dyDescent="0.4">
      <c r="B1289" s="44"/>
      <c r="C1289" s="43"/>
      <c r="D1289" s="50"/>
      <c r="E1289" s="50"/>
      <c r="F1289" s="50"/>
      <c r="G1289" s="50"/>
      <c r="H1289" s="9"/>
      <c r="I1289" s="9"/>
      <c r="CS1289" s="37"/>
      <c r="CT1289" s="37"/>
      <c r="CU1289" s="37"/>
      <c r="CV1289" s="37"/>
      <c r="CW1289" s="37"/>
      <c r="CX1289" s="37"/>
      <c r="CY1289" s="37"/>
    </row>
    <row r="1290" spans="2:103" s="10" customFormat="1" x14ac:dyDescent="0.4">
      <c r="B1290" s="44"/>
      <c r="C1290" s="43"/>
      <c r="D1290" s="50"/>
      <c r="E1290" s="50"/>
      <c r="F1290" s="50"/>
      <c r="G1290" s="50"/>
      <c r="H1290" s="9"/>
      <c r="I1290" s="9"/>
      <c r="CS1290" s="37"/>
      <c r="CT1290" s="37"/>
      <c r="CU1290" s="37"/>
      <c r="CV1290" s="37"/>
      <c r="CW1290" s="37"/>
      <c r="CX1290" s="37"/>
      <c r="CY1290" s="37"/>
    </row>
    <row r="1291" spans="2:103" s="10" customFormat="1" x14ac:dyDescent="0.4">
      <c r="B1291" s="44"/>
      <c r="C1291" s="43"/>
      <c r="D1291" s="50"/>
      <c r="E1291" s="50"/>
      <c r="F1291" s="50"/>
      <c r="G1291" s="50"/>
      <c r="H1291" s="9"/>
      <c r="I1291" s="9"/>
      <c r="CS1291" s="37"/>
      <c r="CT1291" s="37"/>
      <c r="CU1291" s="37"/>
      <c r="CV1291" s="37"/>
      <c r="CW1291" s="37"/>
      <c r="CX1291" s="37"/>
      <c r="CY1291" s="37"/>
    </row>
    <row r="1292" spans="2:103" s="10" customFormat="1" x14ac:dyDescent="0.4">
      <c r="B1292" s="44"/>
      <c r="C1292" s="43"/>
      <c r="D1292" s="50"/>
      <c r="E1292" s="50"/>
      <c r="F1292" s="50"/>
      <c r="G1292" s="50"/>
      <c r="H1292" s="9"/>
      <c r="I1292" s="9"/>
      <c r="CS1292" s="37"/>
      <c r="CT1292" s="37"/>
      <c r="CU1292" s="37"/>
      <c r="CV1292" s="37"/>
      <c r="CW1292" s="37"/>
      <c r="CX1292" s="37"/>
      <c r="CY1292" s="37"/>
    </row>
    <row r="1293" spans="2:103" s="10" customFormat="1" x14ac:dyDescent="0.4">
      <c r="B1293" s="44"/>
      <c r="C1293" s="43"/>
      <c r="D1293" s="50"/>
      <c r="E1293" s="50"/>
      <c r="F1293" s="50"/>
      <c r="G1293" s="50"/>
      <c r="H1293" s="9"/>
      <c r="I1293" s="9"/>
      <c r="CS1293" s="37"/>
      <c r="CT1293" s="37"/>
      <c r="CU1293" s="37"/>
      <c r="CV1293" s="37"/>
      <c r="CW1293" s="37"/>
      <c r="CX1293" s="37"/>
      <c r="CY1293" s="37"/>
    </row>
    <row r="1294" spans="2:103" s="10" customFormat="1" x14ac:dyDescent="0.4">
      <c r="B1294" s="44"/>
      <c r="C1294" s="43"/>
      <c r="D1294" s="50"/>
      <c r="E1294" s="50"/>
      <c r="F1294" s="50"/>
      <c r="G1294" s="50"/>
      <c r="H1294" s="9"/>
      <c r="I1294" s="9"/>
      <c r="CS1294" s="37"/>
      <c r="CT1294" s="37"/>
      <c r="CU1294" s="37"/>
      <c r="CV1294" s="37"/>
      <c r="CW1294" s="37"/>
      <c r="CX1294" s="37"/>
      <c r="CY1294" s="37"/>
    </row>
    <row r="1295" spans="2:103" s="10" customFormat="1" x14ac:dyDescent="0.4">
      <c r="B1295" s="44"/>
      <c r="C1295" s="43"/>
      <c r="D1295" s="50"/>
      <c r="E1295" s="50"/>
      <c r="F1295" s="50"/>
      <c r="G1295" s="50"/>
      <c r="H1295" s="9"/>
      <c r="I1295" s="9"/>
      <c r="CS1295" s="37"/>
      <c r="CT1295" s="37"/>
      <c r="CU1295" s="37"/>
      <c r="CV1295" s="37"/>
      <c r="CW1295" s="37"/>
      <c r="CX1295" s="37"/>
      <c r="CY1295" s="37"/>
    </row>
    <row r="1296" spans="2:103" s="10" customFormat="1" x14ac:dyDescent="0.4">
      <c r="B1296" s="44"/>
      <c r="C1296" s="43"/>
      <c r="D1296" s="50"/>
      <c r="E1296" s="50"/>
      <c r="F1296" s="50"/>
      <c r="G1296" s="50"/>
      <c r="H1296" s="9"/>
      <c r="I1296" s="9"/>
      <c r="CS1296" s="37"/>
      <c r="CT1296" s="37"/>
      <c r="CU1296" s="37"/>
      <c r="CV1296" s="37"/>
      <c r="CW1296" s="37"/>
      <c r="CX1296" s="37"/>
      <c r="CY1296" s="37"/>
    </row>
    <row r="1297" spans="2:103" s="10" customFormat="1" x14ac:dyDescent="0.4">
      <c r="B1297" s="44"/>
      <c r="C1297" s="43"/>
      <c r="D1297" s="50"/>
      <c r="E1297" s="50"/>
      <c r="F1297" s="50"/>
      <c r="G1297" s="50"/>
      <c r="H1297" s="9"/>
      <c r="I1297" s="9"/>
      <c r="CS1297" s="37"/>
      <c r="CT1297" s="37"/>
      <c r="CU1297" s="37"/>
      <c r="CV1297" s="37"/>
      <c r="CW1297" s="37"/>
      <c r="CX1297" s="37"/>
      <c r="CY1297" s="37"/>
    </row>
    <row r="1298" spans="2:103" s="10" customFormat="1" x14ac:dyDescent="0.4">
      <c r="B1298" s="44"/>
      <c r="C1298" s="43"/>
      <c r="D1298" s="50"/>
      <c r="E1298" s="50"/>
      <c r="F1298" s="50"/>
      <c r="G1298" s="50"/>
      <c r="H1298" s="9"/>
      <c r="I1298" s="9"/>
      <c r="CS1298" s="37"/>
      <c r="CT1298" s="37"/>
      <c r="CU1298" s="37"/>
      <c r="CV1298" s="37"/>
      <c r="CW1298" s="37"/>
      <c r="CX1298" s="37"/>
      <c r="CY1298" s="37"/>
    </row>
    <row r="1299" spans="2:103" s="10" customFormat="1" x14ac:dyDescent="0.4">
      <c r="B1299" s="44"/>
      <c r="C1299" s="43"/>
      <c r="D1299" s="50"/>
      <c r="E1299" s="50"/>
      <c r="F1299" s="50"/>
      <c r="G1299" s="50"/>
      <c r="H1299" s="9"/>
      <c r="I1299" s="9"/>
      <c r="CS1299" s="37"/>
      <c r="CT1299" s="37"/>
      <c r="CU1299" s="37"/>
      <c r="CV1299" s="37"/>
      <c r="CW1299" s="37"/>
      <c r="CX1299" s="37"/>
      <c r="CY1299" s="37"/>
    </row>
    <row r="1300" spans="2:103" s="10" customFormat="1" x14ac:dyDescent="0.4">
      <c r="B1300" s="44"/>
      <c r="C1300" s="43"/>
      <c r="D1300" s="50"/>
      <c r="E1300" s="50"/>
      <c r="F1300" s="50"/>
      <c r="G1300" s="50"/>
      <c r="H1300" s="9"/>
      <c r="I1300" s="9"/>
      <c r="CS1300" s="37"/>
      <c r="CT1300" s="37"/>
      <c r="CU1300" s="37"/>
      <c r="CV1300" s="37"/>
      <c r="CW1300" s="37"/>
      <c r="CX1300" s="37"/>
      <c r="CY1300" s="37"/>
    </row>
    <row r="1301" spans="2:103" s="10" customFormat="1" x14ac:dyDescent="0.4">
      <c r="B1301" s="44"/>
      <c r="C1301" s="43"/>
      <c r="D1301" s="50"/>
      <c r="E1301" s="50"/>
      <c r="F1301" s="50"/>
      <c r="G1301" s="50"/>
      <c r="H1301" s="9"/>
      <c r="I1301" s="9"/>
      <c r="CS1301" s="37"/>
      <c r="CT1301" s="37"/>
      <c r="CU1301" s="37"/>
      <c r="CV1301" s="37"/>
      <c r="CW1301" s="37"/>
      <c r="CX1301" s="37"/>
      <c r="CY1301" s="37"/>
    </row>
    <row r="1302" spans="2:103" s="10" customFormat="1" x14ac:dyDescent="0.4">
      <c r="B1302" s="44"/>
      <c r="C1302" s="43"/>
      <c r="D1302" s="50"/>
      <c r="E1302" s="50"/>
      <c r="F1302" s="50"/>
      <c r="G1302" s="50"/>
      <c r="H1302" s="9"/>
      <c r="I1302" s="9"/>
      <c r="CS1302" s="37"/>
      <c r="CT1302" s="37"/>
      <c r="CU1302" s="37"/>
      <c r="CV1302" s="37"/>
      <c r="CW1302" s="37"/>
      <c r="CX1302" s="37"/>
      <c r="CY1302" s="37"/>
    </row>
    <row r="1303" spans="2:103" s="10" customFormat="1" x14ac:dyDescent="0.4">
      <c r="B1303" s="44"/>
      <c r="C1303" s="43"/>
      <c r="D1303" s="50"/>
      <c r="E1303" s="50"/>
      <c r="F1303" s="50"/>
      <c r="G1303" s="50"/>
      <c r="H1303" s="9"/>
      <c r="I1303" s="9"/>
      <c r="CS1303" s="37"/>
      <c r="CT1303" s="37"/>
      <c r="CU1303" s="37"/>
      <c r="CV1303" s="37"/>
      <c r="CW1303" s="37"/>
      <c r="CX1303" s="37"/>
      <c r="CY1303" s="37"/>
    </row>
    <row r="1304" spans="2:103" s="10" customFormat="1" x14ac:dyDescent="0.4">
      <c r="B1304" s="44"/>
      <c r="C1304" s="43"/>
      <c r="D1304" s="50"/>
      <c r="E1304" s="50"/>
      <c r="F1304" s="50"/>
      <c r="G1304" s="50"/>
      <c r="H1304" s="9"/>
      <c r="I1304" s="9"/>
      <c r="CS1304" s="37"/>
      <c r="CT1304" s="37"/>
      <c r="CU1304" s="37"/>
      <c r="CV1304" s="37"/>
      <c r="CW1304" s="37"/>
      <c r="CX1304" s="37"/>
      <c r="CY1304" s="37"/>
    </row>
    <row r="1305" spans="2:103" s="10" customFormat="1" x14ac:dyDescent="0.4">
      <c r="B1305" s="44"/>
      <c r="C1305" s="43"/>
      <c r="D1305" s="50"/>
      <c r="E1305" s="50"/>
      <c r="F1305" s="50"/>
      <c r="G1305" s="50"/>
      <c r="H1305" s="9"/>
      <c r="I1305" s="9"/>
      <c r="CS1305" s="37"/>
      <c r="CT1305" s="37"/>
      <c r="CU1305" s="37"/>
      <c r="CV1305" s="37"/>
      <c r="CW1305" s="37"/>
      <c r="CX1305" s="37"/>
      <c r="CY1305" s="37"/>
    </row>
    <row r="1306" spans="2:103" s="10" customFormat="1" x14ac:dyDescent="0.4">
      <c r="B1306" s="44"/>
      <c r="C1306" s="43"/>
      <c r="D1306" s="50"/>
      <c r="E1306" s="50"/>
      <c r="F1306" s="50"/>
      <c r="G1306" s="50"/>
      <c r="H1306" s="9"/>
      <c r="I1306" s="9"/>
      <c r="CS1306" s="37"/>
      <c r="CT1306" s="37"/>
      <c r="CU1306" s="37"/>
      <c r="CV1306" s="37"/>
      <c r="CW1306" s="37"/>
      <c r="CX1306" s="37"/>
      <c r="CY1306" s="37"/>
    </row>
    <row r="1307" spans="2:103" s="10" customFormat="1" x14ac:dyDescent="0.4">
      <c r="B1307" s="44"/>
      <c r="C1307" s="43"/>
      <c r="D1307" s="50"/>
      <c r="E1307" s="50"/>
      <c r="F1307" s="50"/>
      <c r="G1307" s="50"/>
      <c r="H1307" s="9"/>
      <c r="I1307" s="9"/>
      <c r="CS1307" s="37"/>
      <c r="CT1307" s="37"/>
      <c r="CU1307" s="37"/>
      <c r="CV1307" s="37"/>
      <c r="CW1307" s="37"/>
      <c r="CX1307" s="37"/>
      <c r="CY1307" s="37"/>
    </row>
    <row r="1308" spans="2:103" s="10" customFormat="1" x14ac:dyDescent="0.4">
      <c r="B1308" s="44"/>
      <c r="C1308" s="43"/>
      <c r="D1308" s="50"/>
      <c r="E1308" s="50"/>
      <c r="F1308" s="50"/>
      <c r="G1308" s="50"/>
      <c r="H1308" s="9"/>
      <c r="I1308" s="9"/>
      <c r="CS1308" s="37"/>
      <c r="CT1308" s="37"/>
      <c r="CU1308" s="37"/>
      <c r="CV1308" s="37"/>
      <c r="CW1308" s="37"/>
      <c r="CX1308" s="37"/>
      <c r="CY1308" s="37"/>
    </row>
    <row r="1309" spans="2:103" s="10" customFormat="1" x14ac:dyDescent="0.4">
      <c r="B1309" s="44"/>
      <c r="C1309" s="43"/>
      <c r="D1309" s="50"/>
      <c r="E1309" s="50"/>
      <c r="F1309" s="50"/>
      <c r="G1309" s="50"/>
      <c r="H1309" s="9"/>
      <c r="I1309" s="9"/>
      <c r="CS1309" s="37"/>
      <c r="CT1309" s="37"/>
      <c r="CU1309" s="37"/>
      <c r="CV1309" s="37"/>
      <c r="CW1309" s="37"/>
      <c r="CX1309" s="37"/>
      <c r="CY1309" s="37"/>
    </row>
    <row r="1310" spans="2:103" s="10" customFormat="1" x14ac:dyDescent="0.4">
      <c r="B1310" s="44"/>
      <c r="C1310" s="43"/>
      <c r="D1310" s="50"/>
      <c r="E1310" s="50"/>
      <c r="F1310" s="50"/>
      <c r="G1310" s="50"/>
      <c r="H1310" s="9"/>
      <c r="I1310" s="9"/>
      <c r="CS1310" s="37"/>
      <c r="CT1310" s="37"/>
      <c r="CU1310" s="37"/>
      <c r="CV1310" s="37"/>
      <c r="CW1310" s="37"/>
      <c r="CX1310" s="37"/>
      <c r="CY1310" s="37"/>
    </row>
    <row r="1311" spans="2:103" s="10" customFormat="1" x14ac:dyDescent="0.4">
      <c r="B1311" s="44"/>
      <c r="C1311" s="43"/>
      <c r="D1311" s="50"/>
      <c r="E1311" s="50"/>
      <c r="F1311" s="50"/>
      <c r="G1311" s="50"/>
      <c r="H1311" s="9"/>
      <c r="I1311" s="9"/>
      <c r="CS1311" s="37"/>
      <c r="CT1311" s="37"/>
      <c r="CU1311" s="37"/>
      <c r="CV1311" s="37"/>
      <c r="CW1311" s="37"/>
      <c r="CX1311" s="37"/>
      <c r="CY1311" s="37"/>
    </row>
    <row r="1312" spans="2:103" s="10" customFormat="1" x14ac:dyDescent="0.4">
      <c r="B1312" s="44"/>
      <c r="C1312" s="43"/>
      <c r="D1312" s="50"/>
      <c r="E1312" s="50"/>
      <c r="F1312" s="50"/>
      <c r="G1312" s="50"/>
      <c r="H1312" s="9"/>
      <c r="I1312" s="9"/>
      <c r="CS1312" s="37"/>
      <c r="CT1312" s="37"/>
      <c r="CU1312" s="37"/>
      <c r="CV1312" s="37"/>
      <c r="CW1312" s="37"/>
      <c r="CX1312" s="37"/>
      <c r="CY1312" s="37"/>
    </row>
    <row r="1313" spans="2:103" s="10" customFormat="1" x14ac:dyDescent="0.4">
      <c r="B1313" s="44"/>
      <c r="C1313" s="43"/>
      <c r="D1313" s="50"/>
      <c r="E1313" s="50"/>
      <c r="F1313" s="50"/>
      <c r="G1313" s="50"/>
      <c r="H1313" s="9"/>
      <c r="I1313" s="9"/>
      <c r="CS1313" s="37"/>
      <c r="CT1313" s="37"/>
      <c r="CU1313" s="37"/>
      <c r="CV1313" s="37"/>
      <c r="CW1313" s="37"/>
      <c r="CX1313" s="37"/>
      <c r="CY1313" s="37"/>
    </row>
    <row r="1314" spans="2:103" s="10" customFormat="1" x14ac:dyDescent="0.4">
      <c r="B1314" s="44"/>
      <c r="C1314" s="43"/>
      <c r="D1314" s="50"/>
      <c r="E1314" s="50"/>
      <c r="F1314" s="50"/>
      <c r="G1314" s="50"/>
      <c r="H1314" s="9"/>
      <c r="I1314" s="9"/>
      <c r="CS1314" s="37"/>
      <c r="CT1314" s="37"/>
      <c r="CU1314" s="37"/>
      <c r="CV1314" s="37"/>
      <c r="CW1314" s="37"/>
      <c r="CX1314" s="37"/>
      <c r="CY1314" s="37"/>
    </row>
    <row r="1315" spans="2:103" s="10" customFormat="1" x14ac:dyDescent="0.4">
      <c r="B1315" s="44"/>
      <c r="C1315" s="43"/>
      <c r="D1315" s="50"/>
      <c r="E1315" s="50"/>
      <c r="F1315" s="50"/>
      <c r="G1315" s="50"/>
      <c r="H1315" s="9"/>
      <c r="I1315" s="9"/>
      <c r="CS1315" s="37"/>
      <c r="CT1315" s="37"/>
      <c r="CU1315" s="37"/>
      <c r="CV1315" s="37"/>
      <c r="CW1315" s="37"/>
      <c r="CX1315" s="37"/>
      <c r="CY1315" s="37"/>
    </row>
    <row r="1316" spans="2:103" s="10" customFormat="1" x14ac:dyDescent="0.4">
      <c r="B1316" s="44"/>
      <c r="C1316" s="43"/>
      <c r="D1316" s="50"/>
      <c r="E1316" s="50"/>
      <c r="F1316" s="50"/>
      <c r="G1316" s="50"/>
      <c r="H1316" s="9"/>
      <c r="I1316" s="9"/>
      <c r="CS1316" s="37"/>
      <c r="CT1316" s="37"/>
      <c r="CU1316" s="37"/>
      <c r="CV1316" s="37"/>
      <c r="CW1316" s="37"/>
      <c r="CX1316" s="37"/>
      <c r="CY1316" s="37"/>
    </row>
    <row r="1317" spans="2:103" s="10" customFormat="1" x14ac:dyDescent="0.4">
      <c r="B1317" s="44"/>
      <c r="C1317" s="43"/>
      <c r="D1317" s="50"/>
      <c r="E1317" s="50"/>
      <c r="F1317" s="50"/>
      <c r="G1317" s="50"/>
      <c r="H1317" s="9"/>
      <c r="I1317" s="9"/>
      <c r="CS1317" s="37"/>
      <c r="CT1317" s="37"/>
      <c r="CU1317" s="37"/>
      <c r="CV1317" s="37"/>
      <c r="CW1317" s="37"/>
      <c r="CX1317" s="37"/>
      <c r="CY1317" s="37"/>
    </row>
    <row r="1318" spans="2:103" s="10" customFormat="1" x14ac:dyDescent="0.4">
      <c r="B1318" s="44"/>
      <c r="C1318" s="43"/>
      <c r="D1318" s="50"/>
      <c r="E1318" s="50"/>
      <c r="F1318" s="50"/>
      <c r="G1318" s="50"/>
      <c r="H1318" s="9"/>
      <c r="I1318" s="9"/>
      <c r="CS1318" s="37"/>
      <c r="CT1318" s="37"/>
      <c r="CU1318" s="37"/>
      <c r="CV1318" s="37"/>
      <c r="CW1318" s="37"/>
      <c r="CX1318" s="37"/>
      <c r="CY1318" s="37"/>
    </row>
    <row r="1319" spans="2:103" s="10" customFormat="1" x14ac:dyDescent="0.4">
      <c r="B1319" s="44"/>
      <c r="C1319" s="43"/>
      <c r="D1319" s="50"/>
      <c r="E1319" s="50"/>
      <c r="F1319" s="50"/>
      <c r="G1319" s="50"/>
      <c r="H1319" s="9"/>
      <c r="I1319" s="9"/>
      <c r="CS1319" s="37"/>
      <c r="CT1319" s="37"/>
      <c r="CU1319" s="37"/>
      <c r="CV1319" s="37"/>
      <c r="CW1319" s="37"/>
      <c r="CX1319" s="37"/>
      <c r="CY1319" s="37"/>
    </row>
    <row r="1320" spans="2:103" s="10" customFormat="1" x14ac:dyDescent="0.4">
      <c r="B1320" s="44"/>
      <c r="C1320" s="43"/>
      <c r="D1320" s="50"/>
      <c r="E1320" s="50"/>
      <c r="F1320" s="50"/>
      <c r="G1320" s="50"/>
      <c r="H1320" s="9"/>
      <c r="I1320" s="9"/>
      <c r="CS1320" s="37"/>
      <c r="CT1320" s="37"/>
      <c r="CU1320" s="37"/>
      <c r="CV1320" s="37"/>
      <c r="CW1320" s="37"/>
      <c r="CX1320" s="37"/>
      <c r="CY1320" s="37"/>
    </row>
    <row r="1321" spans="2:103" s="10" customFormat="1" x14ac:dyDescent="0.4">
      <c r="B1321" s="44"/>
      <c r="C1321" s="43"/>
      <c r="D1321" s="50"/>
      <c r="E1321" s="50"/>
      <c r="F1321" s="50"/>
      <c r="G1321" s="50"/>
      <c r="H1321" s="9"/>
      <c r="I1321" s="9"/>
      <c r="CS1321" s="37"/>
      <c r="CT1321" s="37"/>
      <c r="CU1321" s="37"/>
      <c r="CV1321" s="37"/>
      <c r="CW1321" s="37"/>
      <c r="CX1321" s="37"/>
      <c r="CY1321" s="37"/>
    </row>
    <row r="1322" spans="2:103" s="10" customFormat="1" x14ac:dyDescent="0.4">
      <c r="B1322" s="44"/>
      <c r="C1322" s="43"/>
      <c r="D1322" s="50"/>
      <c r="E1322" s="50"/>
      <c r="F1322" s="50"/>
      <c r="G1322" s="50"/>
      <c r="H1322" s="9"/>
      <c r="I1322" s="9"/>
      <c r="CS1322" s="37"/>
      <c r="CT1322" s="37"/>
      <c r="CU1322" s="37"/>
      <c r="CV1322" s="37"/>
      <c r="CW1322" s="37"/>
      <c r="CX1322" s="37"/>
      <c r="CY1322" s="37"/>
    </row>
    <row r="1323" spans="2:103" s="10" customFormat="1" x14ac:dyDescent="0.4">
      <c r="B1323" s="44"/>
      <c r="C1323" s="43"/>
      <c r="D1323" s="50"/>
      <c r="E1323" s="50"/>
      <c r="F1323" s="50"/>
      <c r="G1323" s="50"/>
      <c r="H1323" s="9"/>
      <c r="I1323" s="9"/>
      <c r="CS1323" s="37"/>
      <c r="CT1323" s="37"/>
      <c r="CU1323" s="37"/>
      <c r="CV1323" s="37"/>
      <c r="CW1323" s="37"/>
      <c r="CX1323" s="37"/>
      <c r="CY1323" s="37"/>
    </row>
    <row r="1324" spans="2:103" s="10" customFormat="1" x14ac:dyDescent="0.4">
      <c r="B1324" s="44"/>
      <c r="C1324" s="43"/>
      <c r="D1324" s="50"/>
      <c r="E1324" s="50"/>
      <c r="F1324" s="50"/>
      <c r="G1324" s="50"/>
      <c r="H1324" s="9"/>
      <c r="I1324" s="9"/>
      <c r="CS1324" s="37"/>
      <c r="CT1324" s="37"/>
      <c r="CU1324" s="37"/>
      <c r="CV1324" s="37"/>
      <c r="CW1324" s="37"/>
      <c r="CX1324" s="37"/>
      <c r="CY1324" s="37"/>
    </row>
    <row r="1325" spans="2:103" s="10" customFormat="1" x14ac:dyDescent="0.4">
      <c r="B1325" s="44"/>
      <c r="C1325" s="43"/>
      <c r="D1325" s="50"/>
      <c r="E1325" s="50"/>
      <c r="F1325" s="50"/>
      <c r="G1325" s="50"/>
      <c r="H1325" s="9"/>
      <c r="I1325" s="9"/>
      <c r="CS1325" s="37"/>
      <c r="CT1325" s="37"/>
      <c r="CU1325" s="37"/>
      <c r="CV1325" s="37"/>
      <c r="CW1325" s="37"/>
      <c r="CX1325" s="37"/>
      <c r="CY1325" s="37"/>
    </row>
    <row r="1326" spans="2:103" s="10" customFormat="1" x14ac:dyDescent="0.4">
      <c r="B1326" s="44"/>
      <c r="C1326" s="43"/>
      <c r="D1326" s="50"/>
      <c r="E1326" s="50"/>
      <c r="F1326" s="50"/>
      <c r="G1326" s="50"/>
      <c r="H1326" s="9"/>
      <c r="I1326" s="9"/>
      <c r="CS1326" s="37"/>
      <c r="CT1326" s="37"/>
      <c r="CU1326" s="37"/>
      <c r="CV1326" s="37"/>
      <c r="CW1326" s="37"/>
      <c r="CX1326" s="37"/>
      <c r="CY1326" s="37"/>
    </row>
    <row r="1327" spans="2:103" s="10" customFormat="1" x14ac:dyDescent="0.4">
      <c r="B1327" s="44"/>
      <c r="C1327" s="43"/>
      <c r="D1327" s="50"/>
      <c r="E1327" s="50"/>
      <c r="F1327" s="50"/>
      <c r="G1327" s="50"/>
      <c r="H1327" s="9"/>
      <c r="I1327" s="9"/>
      <c r="CS1327" s="37"/>
      <c r="CT1327" s="37"/>
      <c r="CU1327" s="37"/>
      <c r="CV1327" s="37"/>
      <c r="CW1327" s="37"/>
      <c r="CX1327" s="37"/>
      <c r="CY1327" s="37"/>
    </row>
    <row r="1328" spans="2:103" s="10" customFormat="1" x14ac:dyDescent="0.4">
      <c r="B1328" s="44"/>
      <c r="C1328" s="43"/>
      <c r="D1328" s="50"/>
      <c r="E1328" s="50"/>
      <c r="F1328" s="50"/>
      <c r="G1328" s="50"/>
      <c r="H1328" s="9"/>
      <c r="I1328" s="9"/>
      <c r="CS1328" s="37"/>
      <c r="CT1328" s="37"/>
      <c r="CU1328" s="37"/>
      <c r="CV1328" s="37"/>
      <c r="CW1328" s="37"/>
      <c r="CX1328" s="37"/>
      <c r="CY1328" s="37"/>
    </row>
    <row r="1329" spans="2:103" s="10" customFormat="1" x14ac:dyDescent="0.4">
      <c r="B1329" s="44"/>
      <c r="C1329" s="43"/>
      <c r="D1329" s="50"/>
      <c r="E1329" s="50"/>
      <c r="F1329" s="50"/>
      <c r="G1329" s="50"/>
      <c r="H1329" s="9"/>
      <c r="I1329" s="9"/>
      <c r="CS1329" s="37"/>
      <c r="CT1329" s="37"/>
      <c r="CU1329" s="37"/>
      <c r="CV1329" s="37"/>
      <c r="CW1329" s="37"/>
      <c r="CX1329" s="37"/>
      <c r="CY1329" s="37"/>
    </row>
    <row r="1330" spans="2:103" s="10" customFormat="1" x14ac:dyDescent="0.4">
      <c r="B1330" s="44"/>
      <c r="C1330" s="43"/>
      <c r="D1330" s="50"/>
      <c r="E1330" s="50"/>
      <c r="F1330" s="50"/>
      <c r="G1330" s="50"/>
      <c r="H1330" s="9"/>
      <c r="I1330" s="9"/>
      <c r="CS1330" s="37"/>
      <c r="CT1330" s="37"/>
      <c r="CU1330" s="37"/>
      <c r="CV1330" s="37"/>
      <c r="CW1330" s="37"/>
      <c r="CX1330" s="37"/>
      <c r="CY1330" s="37"/>
    </row>
    <row r="1331" spans="2:103" s="10" customFormat="1" x14ac:dyDescent="0.4">
      <c r="B1331" s="44"/>
      <c r="C1331" s="43"/>
      <c r="D1331" s="50"/>
      <c r="E1331" s="50"/>
      <c r="F1331" s="50"/>
      <c r="G1331" s="50"/>
      <c r="H1331" s="9"/>
      <c r="I1331" s="9"/>
      <c r="CS1331" s="37"/>
      <c r="CT1331" s="37"/>
      <c r="CU1331" s="37"/>
      <c r="CV1331" s="37"/>
      <c r="CW1331" s="37"/>
      <c r="CX1331" s="37"/>
      <c r="CY1331" s="37"/>
    </row>
    <row r="1332" spans="2:103" s="10" customFormat="1" x14ac:dyDescent="0.4">
      <c r="B1332" s="44"/>
      <c r="C1332" s="43"/>
      <c r="D1332" s="50"/>
      <c r="E1332" s="50"/>
      <c r="F1332" s="50"/>
      <c r="G1332" s="50"/>
      <c r="H1332" s="9"/>
      <c r="I1332" s="9"/>
      <c r="CS1332" s="37"/>
      <c r="CT1332" s="37"/>
      <c r="CU1332" s="37"/>
      <c r="CV1332" s="37"/>
      <c r="CW1332" s="37"/>
      <c r="CX1332" s="37"/>
      <c r="CY1332" s="37"/>
    </row>
    <row r="1333" spans="2:103" s="10" customFormat="1" x14ac:dyDescent="0.4">
      <c r="B1333" s="44"/>
      <c r="C1333" s="43"/>
      <c r="D1333" s="50"/>
      <c r="E1333" s="50"/>
      <c r="F1333" s="50"/>
      <c r="G1333" s="50"/>
      <c r="H1333" s="9"/>
      <c r="I1333" s="9"/>
      <c r="CS1333" s="37"/>
      <c r="CT1333" s="37"/>
      <c r="CU1333" s="37"/>
      <c r="CV1333" s="37"/>
      <c r="CW1333" s="37"/>
      <c r="CX1333" s="37"/>
      <c r="CY1333" s="37"/>
    </row>
    <row r="1334" spans="2:103" s="10" customFormat="1" x14ac:dyDescent="0.4">
      <c r="B1334" s="44"/>
      <c r="C1334" s="43"/>
      <c r="D1334" s="50"/>
      <c r="E1334" s="50"/>
      <c r="F1334" s="50"/>
      <c r="G1334" s="50"/>
      <c r="H1334" s="9"/>
      <c r="I1334" s="9"/>
      <c r="CS1334" s="37"/>
      <c r="CT1334" s="37"/>
      <c r="CU1334" s="37"/>
      <c r="CV1334" s="37"/>
      <c r="CW1334" s="37"/>
      <c r="CX1334" s="37"/>
      <c r="CY1334" s="37"/>
    </row>
    <row r="1335" spans="2:103" s="10" customFormat="1" x14ac:dyDescent="0.4">
      <c r="B1335" s="44"/>
      <c r="C1335" s="43"/>
      <c r="D1335" s="50"/>
      <c r="E1335" s="50"/>
      <c r="F1335" s="50"/>
      <c r="G1335" s="50"/>
      <c r="H1335" s="9"/>
      <c r="I1335" s="9"/>
      <c r="CS1335" s="37"/>
      <c r="CT1335" s="37"/>
      <c r="CU1335" s="37"/>
      <c r="CV1335" s="37"/>
      <c r="CW1335" s="37"/>
      <c r="CX1335" s="37"/>
      <c r="CY1335" s="37"/>
    </row>
    <row r="1336" spans="2:103" s="10" customFormat="1" x14ac:dyDescent="0.4">
      <c r="B1336" s="44"/>
      <c r="C1336" s="43"/>
      <c r="D1336" s="50"/>
      <c r="E1336" s="50"/>
      <c r="F1336" s="50"/>
      <c r="G1336" s="50"/>
      <c r="H1336" s="9"/>
      <c r="I1336" s="9"/>
      <c r="CS1336" s="37"/>
      <c r="CT1336" s="37"/>
      <c r="CU1336" s="37"/>
      <c r="CV1336" s="37"/>
      <c r="CW1336" s="37"/>
      <c r="CX1336" s="37"/>
      <c r="CY1336" s="37"/>
    </row>
    <row r="1337" spans="2:103" s="10" customFormat="1" x14ac:dyDescent="0.4">
      <c r="B1337" s="44"/>
      <c r="C1337" s="43"/>
      <c r="D1337" s="50"/>
      <c r="E1337" s="50"/>
      <c r="F1337" s="50"/>
      <c r="G1337" s="50"/>
      <c r="H1337" s="9"/>
      <c r="I1337" s="9"/>
      <c r="CS1337" s="37"/>
      <c r="CT1337" s="37"/>
      <c r="CU1337" s="37"/>
      <c r="CV1337" s="37"/>
      <c r="CW1337" s="37"/>
      <c r="CX1337" s="37"/>
      <c r="CY1337" s="37"/>
    </row>
    <row r="1338" spans="2:103" s="10" customFormat="1" x14ac:dyDescent="0.4">
      <c r="B1338" s="44"/>
      <c r="C1338" s="43"/>
      <c r="D1338" s="50"/>
      <c r="E1338" s="50"/>
      <c r="F1338" s="50"/>
      <c r="G1338" s="50"/>
      <c r="H1338" s="9"/>
      <c r="I1338" s="9"/>
      <c r="CS1338" s="37"/>
      <c r="CT1338" s="37"/>
      <c r="CU1338" s="37"/>
      <c r="CV1338" s="37"/>
      <c r="CW1338" s="37"/>
      <c r="CX1338" s="37"/>
      <c r="CY1338" s="37"/>
    </row>
    <row r="1339" spans="2:103" s="10" customFormat="1" x14ac:dyDescent="0.4">
      <c r="B1339" s="44"/>
      <c r="C1339" s="43"/>
      <c r="D1339" s="50"/>
      <c r="E1339" s="50"/>
      <c r="F1339" s="50"/>
      <c r="G1339" s="50"/>
      <c r="H1339" s="9"/>
      <c r="I1339" s="9"/>
      <c r="CS1339" s="37"/>
      <c r="CT1339" s="37"/>
      <c r="CU1339" s="37"/>
      <c r="CV1339" s="37"/>
      <c r="CW1339" s="37"/>
      <c r="CX1339" s="37"/>
      <c r="CY1339" s="37"/>
    </row>
    <row r="1340" spans="2:103" s="10" customFormat="1" x14ac:dyDescent="0.4">
      <c r="B1340" s="44"/>
      <c r="C1340" s="43"/>
      <c r="D1340" s="50"/>
      <c r="E1340" s="50"/>
      <c r="F1340" s="50"/>
      <c r="G1340" s="50"/>
      <c r="H1340" s="9"/>
      <c r="I1340" s="9"/>
      <c r="CS1340" s="37"/>
      <c r="CT1340" s="37"/>
      <c r="CU1340" s="37"/>
      <c r="CV1340" s="37"/>
      <c r="CW1340" s="37"/>
      <c r="CX1340" s="37"/>
      <c r="CY1340" s="37"/>
    </row>
    <row r="1341" spans="2:103" s="10" customFormat="1" x14ac:dyDescent="0.4">
      <c r="B1341" s="44"/>
      <c r="C1341" s="43"/>
      <c r="D1341" s="50"/>
      <c r="E1341" s="50"/>
      <c r="F1341" s="50"/>
      <c r="G1341" s="50"/>
      <c r="H1341" s="9"/>
      <c r="I1341" s="9"/>
      <c r="CS1341" s="37"/>
      <c r="CT1341" s="37"/>
      <c r="CU1341" s="37"/>
      <c r="CV1341" s="37"/>
      <c r="CW1341" s="37"/>
      <c r="CX1341" s="37"/>
      <c r="CY1341" s="37"/>
    </row>
    <row r="1342" spans="2:103" s="10" customFormat="1" x14ac:dyDescent="0.4">
      <c r="B1342" s="44"/>
      <c r="C1342" s="43"/>
      <c r="D1342" s="50"/>
      <c r="E1342" s="50"/>
      <c r="F1342" s="50"/>
      <c r="G1342" s="50"/>
      <c r="H1342" s="9"/>
      <c r="I1342" s="9"/>
      <c r="CS1342" s="37"/>
      <c r="CT1342" s="37"/>
      <c r="CU1342" s="37"/>
      <c r="CV1342" s="37"/>
      <c r="CW1342" s="37"/>
      <c r="CX1342" s="37"/>
      <c r="CY1342" s="37"/>
    </row>
    <row r="1343" spans="2:103" s="10" customFormat="1" x14ac:dyDescent="0.4">
      <c r="B1343" s="44"/>
      <c r="C1343" s="43"/>
      <c r="D1343" s="50"/>
      <c r="E1343" s="50"/>
      <c r="F1343" s="50"/>
      <c r="G1343" s="50"/>
      <c r="H1343" s="9"/>
      <c r="I1343" s="9"/>
      <c r="CS1343" s="37"/>
      <c r="CT1343" s="37"/>
      <c r="CU1343" s="37"/>
      <c r="CV1343" s="37"/>
      <c r="CW1343" s="37"/>
      <c r="CX1343" s="37"/>
      <c r="CY1343" s="37"/>
    </row>
    <row r="1344" spans="2:103" s="10" customFormat="1" x14ac:dyDescent="0.4">
      <c r="B1344" s="44"/>
      <c r="C1344" s="43"/>
      <c r="D1344" s="50"/>
      <c r="E1344" s="50"/>
      <c r="F1344" s="50"/>
      <c r="G1344" s="50"/>
      <c r="H1344" s="9"/>
      <c r="I1344" s="9"/>
      <c r="CS1344" s="37"/>
      <c r="CT1344" s="37"/>
      <c r="CU1344" s="37"/>
      <c r="CV1344" s="37"/>
      <c r="CW1344" s="37"/>
      <c r="CX1344" s="37"/>
      <c r="CY1344" s="37"/>
    </row>
    <row r="1345" spans="2:103" s="10" customFormat="1" x14ac:dyDescent="0.4">
      <c r="B1345" s="44"/>
      <c r="C1345" s="43"/>
      <c r="D1345" s="50"/>
      <c r="E1345" s="50"/>
      <c r="F1345" s="50"/>
      <c r="G1345" s="50"/>
      <c r="H1345" s="9"/>
      <c r="I1345" s="9"/>
      <c r="CS1345" s="37"/>
      <c r="CT1345" s="37"/>
      <c r="CU1345" s="37"/>
      <c r="CV1345" s="37"/>
      <c r="CW1345" s="37"/>
      <c r="CX1345" s="37"/>
      <c r="CY1345" s="37"/>
    </row>
    <row r="1346" spans="2:103" s="10" customFormat="1" x14ac:dyDescent="0.4">
      <c r="B1346" s="44"/>
      <c r="C1346" s="43"/>
      <c r="D1346" s="50"/>
      <c r="E1346" s="50"/>
      <c r="F1346" s="50"/>
      <c r="G1346" s="50"/>
      <c r="H1346" s="9"/>
      <c r="I1346" s="9"/>
      <c r="CS1346" s="37"/>
      <c r="CT1346" s="37"/>
      <c r="CU1346" s="37"/>
      <c r="CV1346" s="37"/>
      <c r="CW1346" s="37"/>
      <c r="CX1346" s="37"/>
      <c r="CY1346" s="37"/>
    </row>
    <row r="1347" spans="2:103" s="10" customFormat="1" x14ac:dyDescent="0.4">
      <c r="B1347" s="44"/>
      <c r="C1347" s="43"/>
      <c r="D1347" s="50"/>
      <c r="E1347" s="50"/>
      <c r="F1347" s="50"/>
      <c r="G1347" s="50"/>
      <c r="H1347" s="9"/>
      <c r="I1347" s="9"/>
      <c r="CS1347" s="37"/>
      <c r="CT1347" s="37"/>
      <c r="CU1347" s="37"/>
      <c r="CV1347" s="37"/>
      <c r="CW1347" s="37"/>
      <c r="CX1347" s="37"/>
      <c r="CY1347" s="37"/>
    </row>
    <row r="1348" spans="2:103" s="10" customFormat="1" x14ac:dyDescent="0.4">
      <c r="B1348" s="44"/>
      <c r="C1348" s="43"/>
      <c r="D1348" s="50"/>
      <c r="E1348" s="50"/>
      <c r="F1348" s="50"/>
      <c r="G1348" s="50"/>
      <c r="H1348" s="9"/>
      <c r="I1348" s="9"/>
      <c r="CS1348" s="37"/>
      <c r="CT1348" s="37"/>
      <c r="CU1348" s="37"/>
      <c r="CV1348" s="37"/>
      <c r="CW1348" s="37"/>
      <c r="CX1348" s="37"/>
      <c r="CY1348" s="37"/>
    </row>
    <row r="1349" spans="2:103" s="10" customFormat="1" x14ac:dyDescent="0.4">
      <c r="B1349" s="44"/>
      <c r="C1349" s="43"/>
      <c r="D1349" s="50"/>
      <c r="E1349" s="50"/>
      <c r="F1349" s="50"/>
      <c r="G1349" s="50"/>
      <c r="H1349" s="9"/>
      <c r="I1349" s="9"/>
      <c r="CS1349" s="37"/>
      <c r="CT1349" s="37"/>
      <c r="CU1349" s="37"/>
      <c r="CV1349" s="37"/>
      <c r="CW1349" s="37"/>
      <c r="CX1349" s="37"/>
      <c r="CY1349" s="37"/>
    </row>
    <row r="1350" spans="2:103" s="10" customFormat="1" x14ac:dyDescent="0.4">
      <c r="B1350" s="44"/>
      <c r="C1350" s="43"/>
      <c r="D1350" s="50"/>
      <c r="E1350" s="50"/>
      <c r="F1350" s="50"/>
      <c r="G1350" s="50"/>
      <c r="H1350" s="9"/>
      <c r="I1350" s="9"/>
      <c r="CS1350" s="37"/>
      <c r="CT1350" s="37"/>
      <c r="CU1350" s="37"/>
      <c r="CV1350" s="37"/>
      <c r="CW1350" s="37"/>
      <c r="CX1350" s="37"/>
      <c r="CY1350" s="37"/>
    </row>
    <row r="1351" spans="2:103" s="10" customFormat="1" x14ac:dyDescent="0.4">
      <c r="B1351" s="44"/>
      <c r="C1351" s="43"/>
      <c r="D1351" s="50"/>
      <c r="E1351" s="50"/>
      <c r="F1351" s="50"/>
      <c r="G1351" s="50"/>
      <c r="H1351" s="9"/>
      <c r="I1351" s="9"/>
      <c r="CS1351" s="37"/>
      <c r="CT1351" s="37"/>
      <c r="CU1351" s="37"/>
      <c r="CV1351" s="37"/>
      <c r="CW1351" s="37"/>
      <c r="CX1351" s="37"/>
      <c r="CY1351" s="37"/>
    </row>
    <row r="1352" spans="2:103" s="10" customFormat="1" x14ac:dyDescent="0.4">
      <c r="B1352" s="44"/>
      <c r="C1352" s="43"/>
      <c r="D1352" s="50"/>
      <c r="E1352" s="50"/>
      <c r="F1352" s="50"/>
      <c r="G1352" s="50"/>
      <c r="H1352" s="9"/>
      <c r="I1352" s="9"/>
      <c r="CS1352" s="37"/>
      <c r="CT1352" s="37"/>
      <c r="CU1352" s="37"/>
      <c r="CV1352" s="37"/>
      <c r="CW1352" s="37"/>
      <c r="CX1352" s="37"/>
      <c r="CY1352" s="37"/>
    </row>
    <row r="1353" spans="2:103" s="10" customFormat="1" x14ac:dyDescent="0.4">
      <c r="B1353" s="44"/>
      <c r="C1353" s="43"/>
      <c r="D1353" s="50"/>
      <c r="E1353" s="50"/>
      <c r="F1353" s="50"/>
      <c r="G1353" s="50"/>
      <c r="H1353" s="9"/>
      <c r="I1353" s="9"/>
      <c r="CS1353" s="37"/>
      <c r="CT1353" s="37"/>
      <c r="CU1353" s="37"/>
      <c r="CV1353" s="37"/>
      <c r="CW1353" s="37"/>
      <c r="CX1353" s="37"/>
      <c r="CY1353" s="37"/>
    </row>
    <row r="1354" spans="2:103" s="10" customFormat="1" x14ac:dyDescent="0.4">
      <c r="B1354" s="44"/>
      <c r="C1354" s="43"/>
      <c r="D1354" s="50"/>
      <c r="E1354" s="50"/>
      <c r="F1354" s="50"/>
      <c r="G1354" s="50"/>
      <c r="H1354" s="9"/>
      <c r="I1354" s="9"/>
      <c r="CS1354" s="37"/>
      <c r="CT1354" s="37"/>
      <c r="CU1354" s="37"/>
      <c r="CV1354" s="37"/>
      <c r="CW1354" s="37"/>
      <c r="CX1354" s="37"/>
      <c r="CY1354" s="37"/>
    </row>
    <row r="1355" spans="2:103" s="10" customFormat="1" x14ac:dyDescent="0.4">
      <c r="B1355" s="44"/>
      <c r="C1355" s="43"/>
      <c r="D1355" s="50"/>
      <c r="E1355" s="50"/>
      <c r="F1355" s="50"/>
      <c r="G1355" s="50"/>
      <c r="H1355" s="9"/>
      <c r="I1355" s="9"/>
      <c r="CS1355" s="37"/>
      <c r="CT1355" s="37"/>
      <c r="CU1355" s="37"/>
      <c r="CV1355" s="37"/>
      <c r="CW1355" s="37"/>
      <c r="CX1355" s="37"/>
      <c r="CY1355" s="37"/>
    </row>
    <row r="1356" spans="2:103" s="10" customFormat="1" x14ac:dyDescent="0.4">
      <c r="B1356" s="44"/>
      <c r="C1356" s="43"/>
      <c r="D1356" s="50"/>
      <c r="E1356" s="50"/>
      <c r="F1356" s="50"/>
      <c r="G1356" s="50"/>
      <c r="H1356" s="9"/>
      <c r="I1356" s="9"/>
      <c r="CS1356" s="37"/>
      <c r="CT1356" s="37"/>
      <c r="CU1356" s="37"/>
      <c r="CV1356" s="37"/>
      <c r="CW1356" s="37"/>
      <c r="CX1356" s="37"/>
      <c r="CY1356" s="37"/>
    </row>
    <row r="1357" spans="2:103" s="10" customFormat="1" x14ac:dyDescent="0.4">
      <c r="B1357" s="44"/>
      <c r="C1357" s="43"/>
      <c r="D1357" s="50"/>
      <c r="E1357" s="50"/>
      <c r="F1357" s="50"/>
      <c r="G1357" s="50"/>
      <c r="H1357" s="9"/>
      <c r="I1357" s="9"/>
      <c r="CS1357" s="37"/>
      <c r="CT1357" s="37"/>
      <c r="CU1357" s="37"/>
      <c r="CV1357" s="37"/>
      <c r="CW1357" s="37"/>
      <c r="CX1357" s="37"/>
      <c r="CY1357" s="37"/>
    </row>
    <row r="1358" spans="2:103" s="10" customFormat="1" x14ac:dyDescent="0.4">
      <c r="B1358" s="44"/>
      <c r="C1358" s="43"/>
      <c r="D1358" s="50"/>
      <c r="E1358" s="50"/>
      <c r="F1358" s="50"/>
      <c r="G1358" s="50"/>
      <c r="H1358" s="9"/>
      <c r="I1358" s="9"/>
      <c r="CS1358" s="37"/>
      <c r="CT1358" s="37"/>
      <c r="CU1358" s="37"/>
      <c r="CV1358" s="37"/>
      <c r="CW1358" s="37"/>
      <c r="CX1358" s="37"/>
      <c r="CY1358" s="37"/>
    </row>
    <row r="1359" spans="2:103" s="10" customFormat="1" x14ac:dyDescent="0.4">
      <c r="B1359" s="44"/>
      <c r="C1359" s="43"/>
      <c r="D1359" s="50"/>
      <c r="E1359" s="50"/>
      <c r="F1359" s="50"/>
      <c r="G1359" s="50"/>
      <c r="H1359" s="9"/>
      <c r="I1359" s="9"/>
      <c r="CS1359" s="37"/>
      <c r="CT1359" s="37"/>
      <c r="CU1359" s="37"/>
      <c r="CV1359" s="37"/>
      <c r="CW1359" s="37"/>
      <c r="CX1359" s="37"/>
      <c r="CY1359" s="37"/>
    </row>
    <row r="1360" spans="2:103" s="10" customFormat="1" x14ac:dyDescent="0.4">
      <c r="B1360" s="44"/>
      <c r="C1360" s="43"/>
      <c r="D1360" s="50"/>
      <c r="E1360" s="50"/>
      <c r="F1360" s="50"/>
      <c r="G1360" s="50"/>
      <c r="H1360" s="9"/>
      <c r="I1360" s="9"/>
      <c r="CS1360" s="37"/>
      <c r="CT1360" s="37"/>
      <c r="CU1360" s="37"/>
      <c r="CV1360" s="37"/>
      <c r="CW1360" s="37"/>
      <c r="CX1360" s="37"/>
      <c r="CY1360" s="37"/>
    </row>
    <row r="1361" spans="2:103" s="10" customFormat="1" x14ac:dyDescent="0.4">
      <c r="B1361" s="44"/>
      <c r="C1361" s="43"/>
      <c r="D1361" s="50"/>
      <c r="E1361" s="50"/>
      <c r="F1361" s="50"/>
      <c r="G1361" s="50"/>
      <c r="H1361" s="9"/>
      <c r="I1361" s="9"/>
      <c r="CS1361" s="37"/>
      <c r="CT1361" s="37"/>
      <c r="CU1361" s="37"/>
      <c r="CV1361" s="37"/>
      <c r="CW1361" s="37"/>
      <c r="CX1361" s="37"/>
      <c r="CY1361" s="37"/>
    </row>
    <row r="1362" spans="2:103" s="10" customFormat="1" x14ac:dyDescent="0.4">
      <c r="B1362" s="44"/>
      <c r="C1362" s="43"/>
      <c r="D1362" s="50"/>
      <c r="E1362" s="50"/>
      <c r="F1362" s="50"/>
      <c r="G1362" s="50"/>
      <c r="H1362" s="9"/>
      <c r="I1362" s="9"/>
      <c r="CS1362" s="37"/>
      <c r="CT1362" s="37"/>
      <c r="CU1362" s="37"/>
      <c r="CV1362" s="37"/>
      <c r="CW1362" s="37"/>
      <c r="CX1362" s="37"/>
      <c r="CY1362" s="37"/>
    </row>
    <row r="1363" spans="2:103" s="10" customFormat="1" x14ac:dyDescent="0.4">
      <c r="B1363" s="44"/>
      <c r="C1363" s="43"/>
      <c r="D1363" s="50"/>
      <c r="E1363" s="50"/>
      <c r="F1363" s="50"/>
      <c r="G1363" s="50"/>
      <c r="H1363" s="9"/>
      <c r="I1363" s="9"/>
      <c r="CS1363" s="37"/>
      <c r="CT1363" s="37"/>
      <c r="CU1363" s="37"/>
      <c r="CV1363" s="37"/>
      <c r="CW1363" s="37"/>
      <c r="CX1363" s="37"/>
      <c r="CY1363" s="37"/>
    </row>
    <row r="1364" spans="2:103" s="10" customFormat="1" x14ac:dyDescent="0.4">
      <c r="B1364" s="44"/>
      <c r="C1364" s="43"/>
      <c r="D1364" s="50"/>
      <c r="E1364" s="50"/>
      <c r="F1364" s="50"/>
      <c r="G1364" s="50"/>
      <c r="H1364" s="9"/>
      <c r="I1364" s="9"/>
      <c r="CS1364" s="37"/>
      <c r="CT1364" s="37"/>
      <c r="CU1364" s="37"/>
      <c r="CV1364" s="37"/>
      <c r="CW1364" s="37"/>
      <c r="CX1364" s="37"/>
      <c r="CY1364" s="37"/>
    </row>
    <row r="1365" spans="2:103" s="10" customFormat="1" x14ac:dyDescent="0.4">
      <c r="B1365" s="44"/>
      <c r="C1365" s="43"/>
      <c r="D1365" s="50"/>
      <c r="E1365" s="50"/>
      <c r="F1365" s="50"/>
      <c r="G1365" s="50"/>
      <c r="H1365" s="9"/>
      <c r="I1365" s="9"/>
      <c r="CS1365" s="37"/>
      <c r="CT1365" s="37"/>
      <c r="CU1365" s="37"/>
      <c r="CV1365" s="37"/>
      <c r="CW1365" s="37"/>
      <c r="CX1365" s="37"/>
      <c r="CY1365" s="37"/>
    </row>
    <row r="1366" spans="2:103" s="10" customFormat="1" x14ac:dyDescent="0.4">
      <c r="B1366" s="44"/>
      <c r="C1366" s="43"/>
      <c r="D1366" s="50"/>
      <c r="E1366" s="50"/>
      <c r="F1366" s="50"/>
      <c r="G1366" s="50"/>
      <c r="H1366" s="9"/>
      <c r="I1366" s="9"/>
      <c r="CS1366" s="37"/>
      <c r="CT1366" s="37"/>
      <c r="CU1366" s="37"/>
      <c r="CV1366" s="37"/>
      <c r="CW1366" s="37"/>
      <c r="CX1366" s="37"/>
      <c r="CY1366" s="37"/>
    </row>
    <row r="1367" spans="2:103" s="10" customFormat="1" x14ac:dyDescent="0.4">
      <c r="B1367" s="44"/>
      <c r="C1367" s="43"/>
      <c r="D1367" s="50"/>
      <c r="E1367" s="50"/>
      <c r="F1367" s="50"/>
      <c r="G1367" s="50"/>
      <c r="H1367" s="9"/>
      <c r="I1367" s="9"/>
      <c r="CS1367" s="37"/>
      <c r="CT1367" s="37"/>
      <c r="CU1367" s="37"/>
      <c r="CV1367" s="37"/>
      <c r="CW1367" s="37"/>
      <c r="CX1367" s="37"/>
      <c r="CY1367" s="37"/>
    </row>
    <row r="1368" spans="2:103" s="10" customFormat="1" x14ac:dyDescent="0.4">
      <c r="B1368" s="44"/>
      <c r="C1368" s="43"/>
      <c r="D1368" s="50"/>
      <c r="E1368" s="50"/>
      <c r="F1368" s="50"/>
      <c r="G1368" s="50"/>
      <c r="H1368" s="9"/>
      <c r="I1368" s="9"/>
      <c r="CS1368" s="37"/>
      <c r="CT1368" s="37"/>
      <c r="CU1368" s="37"/>
      <c r="CV1368" s="37"/>
      <c r="CW1368" s="37"/>
      <c r="CX1368" s="37"/>
      <c r="CY1368" s="37"/>
    </row>
    <row r="1369" spans="2:103" s="10" customFormat="1" x14ac:dyDescent="0.4">
      <c r="B1369" s="44"/>
      <c r="C1369" s="43"/>
      <c r="D1369" s="50"/>
      <c r="E1369" s="50"/>
      <c r="F1369" s="50"/>
      <c r="G1369" s="50"/>
      <c r="H1369" s="9"/>
      <c r="I1369" s="9"/>
      <c r="CS1369" s="37"/>
      <c r="CT1369" s="37"/>
      <c r="CU1369" s="37"/>
      <c r="CV1369" s="37"/>
      <c r="CW1369" s="37"/>
      <c r="CX1369" s="37"/>
      <c r="CY1369" s="37"/>
    </row>
    <row r="1370" spans="2:103" s="10" customFormat="1" x14ac:dyDescent="0.4">
      <c r="B1370" s="44"/>
      <c r="C1370" s="43"/>
      <c r="D1370" s="50"/>
      <c r="E1370" s="50"/>
      <c r="F1370" s="50"/>
      <c r="G1370" s="50"/>
      <c r="H1370" s="9"/>
      <c r="I1370" s="9"/>
      <c r="CS1370" s="37"/>
      <c r="CT1370" s="37"/>
      <c r="CU1370" s="37"/>
      <c r="CV1370" s="37"/>
      <c r="CW1370" s="37"/>
      <c r="CX1370" s="37"/>
      <c r="CY1370" s="37"/>
    </row>
    <row r="1371" spans="2:103" s="10" customFormat="1" x14ac:dyDescent="0.4">
      <c r="B1371" s="44"/>
      <c r="C1371" s="43"/>
      <c r="D1371" s="50"/>
      <c r="E1371" s="50"/>
      <c r="F1371" s="50"/>
      <c r="G1371" s="50"/>
      <c r="H1371" s="9"/>
      <c r="I1371" s="9"/>
      <c r="CS1371" s="37"/>
      <c r="CT1371" s="37"/>
      <c r="CU1371" s="37"/>
      <c r="CV1371" s="37"/>
      <c r="CW1371" s="37"/>
      <c r="CX1371" s="37"/>
      <c r="CY1371" s="37"/>
    </row>
    <row r="1372" spans="2:103" s="10" customFormat="1" x14ac:dyDescent="0.4">
      <c r="B1372" s="44"/>
      <c r="C1372" s="43"/>
      <c r="D1372" s="50"/>
      <c r="E1372" s="50"/>
      <c r="F1372" s="50"/>
      <c r="G1372" s="50"/>
      <c r="H1372" s="9"/>
      <c r="I1372" s="9"/>
      <c r="CS1372" s="37"/>
      <c r="CT1372" s="37"/>
      <c r="CU1372" s="37"/>
      <c r="CV1372" s="37"/>
      <c r="CW1372" s="37"/>
      <c r="CX1372" s="37"/>
      <c r="CY1372" s="37"/>
    </row>
    <row r="1373" spans="2:103" s="10" customFormat="1" x14ac:dyDescent="0.4">
      <c r="B1373" s="44"/>
      <c r="C1373" s="43"/>
      <c r="D1373" s="50"/>
      <c r="E1373" s="50"/>
      <c r="F1373" s="50"/>
      <c r="G1373" s="50"/>
      <c r="H1373" s="9"/>
      <c r="I1373" s="9"/>
      <c r="CS1373" s="37"/>
      <c r="CT1373" s="37"/>
      <c r="CU1373" s="37"/>
      <c r="CV1373" s="37"/>
      <c r="CW1373" s="37"/>
      <c r="CX1373" s="37"/>
      <c r="CY1373" s="37"/>
    </row>
    <row r="1374" spans="2:103" s="10" customFormat="1" x14ac:dyDescent="0.4">
      <c r="B1374" s="44"/>
      <c r="C1374" s="43"/>
      <c r="D1374" s="50"/>
      <c r="E1374" s="50"/>
      <c r="F1374" s="50"/>
      <c r="G1374" s="50"/>
      <c r="H1374" s="9"/>
      <c r="I1374" s="9"/>
      <c r="CS1374" s="37"/>
      <c r="CT1374" s="37"/>
      <c r="CU1374" s="37"/>
      <c r="CV1374" s="37"/>
      <c r="CW1374" s="37"/>
      <c r="CX1374" s="37"/>
      <c r="CY1374" s="37"/>
    </row>
    <row r="1375" spans="2:103" s="10" customFormat="1" x14ac:dyDescent="0.4">
      <c r="B1375" s="44"/>
      <c r="C1375" s="43"/>
      <c r="D1375" s="50"/>
      <c r="E1375" s="50"/>
      <c r="F1375" s="50"/>
      <c r="G1375" s="50"/>
      <c r="H1375" s="9"/>
      <c r="I1375" s="9"/>
      <c r="CS1375" s="37"/>
      <c r="CT1375" s="37"/>
      <c r="CU1375" s="37"/>
      <c r="CV1375" s="37"/>
      <c r="CW1375" s="37"/>
      <c r="CX1375" s="37"/>
      <c r="CY1375" s="37"/>
    </row>
    <row r="1376" spans="2:103" s="10" customFormat="1" x14ac:dyDescent="0.4">
      <c r="B1376" s="44"/>
      <c r="C1376" s="43"/>
      <c r="D1376" s="50"/>
      <c r="E1376" s="50"/>
      <c r="F1376" s="50"/>
      <c r="G1376" s="50"/>
      <c r="H1376" s="9"/>
      <c r="I1376" s="9"/>
      <c r="CS1376" s="37"/>
      <c r="CT1376" s="37"/>
      <c r="CU1376" s="37"/>
      <c r="CV1376" s="37"/>
      <c r="CW1376" s="37"/>
      <c r="CX1376" s="37"/>
      <c r="CY1376" s="37"/>
    </row>
    <row r="1377" spans="2:103" s="10" customFormat="1" x14ac:dyDescent="0.4">
      <c r="B1377" s="44"/>
      <c r="C1377" s="43"/>
      <c r="D1377" s="50"/>
      <c r="E1377" s="50"/>
      <c r="F1377" s="50"/>
      <c r="G1377" s="50"/>
      <c r="H1377" s="9"/>
      <c r="I1377" s="9"/>
      <c r="CS1377" s="37"/>
      <c r="CT1377" s="37"/>
      <c r="CU1377" s="37"/>
      <c r="CV1377" s="37"/>
      <c r="CW1377" s="37"/>
      <c r="CX1377" s="37"/>
      <c r="CY1377" s="37"/>
    </row>
    <row r="1378" spans="2:103" s="10" customFormat="1" x14ac:dyDescent="0.4">
      <c r="B1378" s="44"/>
      <c r="C1378" s="43"/>
      <c r="D1378" s="50"/>
      <c r="E1378" s="50"/>
      <c r="F1378" s="50"/>
      <c r="G1378" s="50"/>
      <c r="H1378" s="9"/>
      <c r="I1378" s="9"/>
      <c r="CS1378" s="37"/>
      <c r="CT1378" s="37"/>
      <c r="CU1378" s="37"/>
      <c r="CV1378" s="37"/>
      <c r="CW1378" s="37"/>
      <c r="CX1378" s="37"/>
      <c r="CY1378" s="37"/>
    </row>
    <row r="1379" spans="2:103" s="10" customFormat="1" x14ac:dyDescent="0.4">
      <c r="B1379" s="44"/>
      <c r="C1379" s="43"/>
      <c r="D1379" s="50"/>
      <c r="E1379" s="50"/>
      <c r="F1379" s="50"/>
      <c r="G1379" s="50"/>
      <c r="H1379" s="9"/>
      <c r="I1379" s="9"/>
      <c r="CS1379" s="37"/>
      <c r="CT1379" s="37"/>
      <c r="CU1379" s="37"/>
      <c r="CV1379" s="37"/>
      <c r="CW1379" s="37"/>
      <c r="CX1379" s="37"/>
      <c r="CY1379" s="37"/>
    </row>
    <row r="1380" spans="2:103" s="10" customFormat="1" x14ac:dyDescent="0.4">
      <c r="B1380" s="44"/>
      <c r="C1380" s="43"/>
      <c r="D1380" s="50"/>
      <c r="E1380" s="50"/>
      <c r="F1380" s="50"/>
      <c r="G1380" s="50"/>
      <c r="H1380" s="9"/>
      <c r="I1380" s="9"/>
      <c r="CS1380" s="37"/>
      <c r="CT1380" s="37"/>
      <c r="CU1380" s="37"/>
      <c r="CV1380" s="37"/>
      <c r="CW1380" s="37"/>
      <c r="CX1380" s="37"/>
      <c r="CY1380" s="37"/>
    </row>
    <row r="1381" spans="2:103" s="10" customFormat="1" x14ac:dyDescent="0.4">
      <c r="B1381" s="44"/>
      <c r="C1381" s="43"/>
      <c r="D1381" s="50"/>
      <c r="E1381" s="50"/>
      <c r="F1381" s="50"/>
      <c r="G1381" s="50"/>
      <c r="H1381" s="9"/>
      <c r="I1381" s="9"/>
      <c r="CS1381" s="37"/>
      <c r="CT1381" s="37"/>
      <c r="CU1381" s="37"/>
      <c r="CV1381" s="37"/>
      <c r="CW1381" s="37"/>
      <c r="CX1381" s="37"/>
      <c r="CY1381" s="37"/>
    </row>
    <row r="1382" spans="2:103" s="10" customFormat="1" x14ac:dyDescent="0.4">
      <c r="B1382" s="44"/>
      <c r="C1382" s="43"/>
      <c r="D1382" s="50"/>
      <c r="E1382" s="50"/>
      <c r="F1382" s="50"/>
      <c r="G1382" s="50"/>
      <c r="H1382" s="9"/>
      <c r="I1382" s="9"/>
      <c r="CS1382" s="37"/>
      <c r="CT1382" s="37"/>
      <c r="CU1382" s="37"/>
      <c r="CV1382" s="37"/>
      <c r="CW1382" s="37"/>
      <c r="CX1382" s="37"/>
      <c r="CY1382" s="37"/>
    </row>
    <row r="1383" spans="2:103" s="10" customFormat="1" x14ac:dyDescent="0.4">
      <c r="B1383" s="44"/>
      <c r="C1383" s="43"/>
      <c r="D1383" s="50"/>
      <c r="E1383" s="50"/>
      <c r="F1383" s="50"/>
      <c r="G1383" s="50"/>
      <c r="H1383" s="9"/>
      <c r="I1383" s="9"/>
      <c r="CS1383" s="37"/>
      <c r="CT1383" s="37"/>
      <c r="CU1383" s="37"/>
      <c r="CV1383" s="37"/>
      <c r="CW1383" s="37"/>
      <c r="CX1383" s="37"/>
      <c r="CY1383" s="37"/>
    </row>
    <row r="1384" spans="2:103" s="10" customFormat="1" x14ac:dyDescent="0.4">
      <c r="B1384" s="44"/>
      <c r="C1384" s="43"/>
      <c r="D1384" s="50"/>
      <c r="E1384" s="50"/>
      <c r="F1384" s="50"/>
      <c r="G1384" s="50"/>
      <c r="H1384" s="9"/>
      <c r="I1384" s="9"/>
      <c r="CS1384" s="37"/>
      <c r="CT1384" s="37"/>
      <c r="CU1384" s="37"/>
      <c r="CV1384" s="37"/>
      <c r="CW1384" s="37"/>
      <c r="CX1384" s="37"/>
      <c r="CY1384" s="37"/>
    </row>
    <row r="1385" spans="2:103" s="10" customFormat="1" x14ac:dyDescent="0.4">
      <c r="B1385" s="44"/>
      <c r="C1385" s="43"/>
      <c r="D1385" s="50"/>
      <c r="E1385" s="50"/>
      <c r="F1385" s="50"/>
      <c r="G1385" s="50"/>
      <c r="H1385" s="9"/>
      <c r="I1385" s="9"/>
      <c r="CS1385" s="37"/>
      <c r="CT1385" s="37"/>
      <c r="CU1385" s="37"/>
      <c r="CV1385" s="37"/>
      <c r="CW1385" s="37"/>
      <c r="CX1385" s="37"/>
      <c r="CY1385" s="37"/>
    </row>
    <row r="1386" spans="2:103" s="10" customFormat="1" x14ac:dyDescent="0.4">
      <c r="B1386" s="44"/>
      <c r="C1386" s="43"/>
      <c r="D1386" s="50"/>
      <c r="E1386" s="50"/>
      <c r="F1386" s="50"/>
      <c r="G1386" s="50"/>
      <c r="H1386" s="9"/>
      <c r="I1386" s="9"/>
      <c r="CS1386" s="37"/>
      <c r="CT1386" s="37"/>
      <c r="CU1386" s="37"/>
      <c r="CV1386" s="37"/>
      <c r="CW1386" s="37"/>
      <c r="CX1386" s="37"/>
      <c r="CY1386" s="37"/>
    </row>
    <row r="1387" spans="2:103" s="10" customFormat="1" x14ac:dyDescent="0.4">
      <c r="B1387" s="44"/>
      <c r="C1387" s="43"/>
      <c r="D1387" s="50"/>
      <c r="E1387" s="50"/>
      <c r="F1387" s="50"/>
      <c r="G1387" s="50"/>
      <c r="H1387" s="9"/>
      <c r="I1387" s="9"/>
      <c r="CS1387" s="37"/>
      <c r="CT1387" s="37"/>
      <c r="CU1387" s="37"/>
      <c r="CV1387" s="37"/>
      <c r="CW1387" s="37"/>
      <c r="CX1387" s="37"/>
      <c r="CY1387" s="37"/>
    </row>
    <row r="1388" spans="2:103" s="10" customFormat="1" x14ac:dyDescent="0.4">
      <c r="B1388" s="44"/>
      <c r="C1388" s="43"/>
      <c r="D1388" s="50"/>
      <c r="E1388" s="50"/>
      <c r="F1388" s="50"/>
      <c r="G1388" s="50"/>
      <c r="H1388" s="9"/>
      <c r="I1388" s="9"/>
      <c r="CS1388" s="37"/>
      <c r="CT1388" s="37"/>
      <c r="CU1388" s="37"/>
      <c r="CV1388" s="37"/>
      <c r="CW1388" s="37"/>
      <c r="CX1388" s="37"/>
      <c r="CY1388" s="37"/>
    </row>
    <row r="1389" spans="2:103" s="10" customFormat="1" x14ac:dyDescent="0.4">
      <c r="B1389" s="44"/>
      <c r="C1389" s="43"/>
      <c r="D1389" s="50"/>
      <c r="E1389" s="50"/>
      <c r="F1389" s="50"/>
      <c r="G1389" s="50"/>
      <c r="H1389" s="9"/>
      <c r="I1389" s="9"/>
      <c r="CS1389" s="37"/>
      <c r="CT1389" s="37"/>
      <c r="CU1389" s="37"/>
      <c r="CV1389" s="37"/>
      <c r="CW1389" s="37"/>
      <c r="CX1389" s="37"/>
      <c r="CY1389" s="37"/>
    </row>
    <row r="1390" spans="2:103" s="10" customFormat="1" x14ac:dyDescent="0.4">
      <c r="B1390" s="44"/>
      <c r="C1390" s="43"/>
      <c r="D1390" s="50"/>
      <c r="E1390" s="50"/>
      <c r="F1390" s="50"/>
      <c r="G1390" s="50"/>
      <c r="H1390" s="9"/>
      <c r="I1390" s="9"/>
      <c r="CS1390" s="37"/>
      <c r="CT1390" s="37"/>
      <c r="CU1390" s="37"/>
      <c r="CV1390" s="37"/>
      <c r="CW1390" s="37"/>
      <c r="CX1390" s="37"/>
      <c r="CY1390" s="37"/>
    </row>
    <row r="1391" spans="2:103" s="10" customFormat="1" x14ac:dyDescent="0.4">
      <c r="B1391" s="44"/>
      <c r="C1391" s="43"/>
      <c r="D1391" s="50"/>
      <c r="E1391" s="50"/>
      <c r="F1391" s="50"/>
      <c r="G1391" s="50"/>
      <c r="H1391" s="9"/>
      <c r="I1391" s="9"/>
      <c r="CS1391" s="37"/>
      <c r="CT1391" s="37"/>
      <c r="CU1391" s="37"/>
      <c r="CV1391" s="37"/>
      <c r="CW1391" s="37"/>
      <c r="CX1391" s="37"/>
      <c r="CY1391" s="37"/>
    </row>
    <row r="1392" spans="2:103" s="10" customFormat="1" x14ac:dyDescent="0.4">
      <c r="B1392" s="44"/>
      <c r="C1392" s="43"/>
      <c r="D1392" s="50"/>
      <c r="E1392" s="50"/>
      <c r="F1392" s="50"/>
      <c r="G1392" s="50"/>
      <c r="H1392" s="9"/>
      <c r="I1392" s="9"/>
      <c r="CS1392" s="37"/>
      <c r="CT1392" s="37"/>
      <c r="CU1392" s="37"/>
      <c r="CV1392" s="37"/>
      <c r="CW1392" s="37"/>
      <c r="CX1392" s="37"/>
      <c r="CY1392" s="37"/>
    </row>
    <row r="1393" spans="2:103" s="10" customFormat="1" x14ac:dyDescent="0.4">
      <c r="B1393" s="44"/>
      <c r="C1393" s="43"/>
      <c r="D1393" s="50"/>
      <c r="E1393" s="50"/>
      <c r="F1393" s="50"/>
      <c r="G1393" s="50"/>
      <c r="H1393" s="9"/>
      <c r="I1393" s="9"/>
      <c r="CS1393" s="37"/>
      <c r="CT1393" s="37"/>
      <c r="CU1393" s="37"/>
      <c r="CV1393" s="37"/>
      <c r="CW1393" s="37"/>
      <c r="CX1393" s="37"/>
      <c r="CY1393" s="37"/>
    </row>
    <row r="1394" spans="2:103" s="10" customFormat="1" x14ac:dyDescent="0.4">
      <c r="B1394" s="44"/>
      <c r="C1394" s="43"/>
      <c r="D1394" s="50"/>
      <c r="E1394" s="50"/>
      <c r="F1394" s="50"/>
      <c r="G1394" s="50"/>
      <c r="H1394" s="9"/>
      <c r="I1394" s="9"/>
      <c r="CS1394" s="37"/>
      <c r="CT1394" s="37"/>
      <c r="CU1394" s="37"/>
      <c r="CV1394" s="37"/>
      <c r="CW1394" s="37"/>
      <c r="CX1394" s="37"/>
      <c r="CY1394" s="37"/>
    </row>
    <row r="1395" spans="2:103" s="10" customFormat="1" x14ac:dyDescent="0.4">
      <c r="B1395" s="44"/>
      <c r="C1395" s="43"/>
      <c r="D1395" s="50"/>
      <c r="E1395" s="50"/>
      <c r="F1395" s="50"/>
      <c r="G1395" s="50"/>
      <c r="H1395" s="9"/>
      <c r="I1395" s="9"/>
      <c r="CS1395" s="37"/>
      <c r="CT1395" s="37"/>
      <c r="CU1395" s="37"/>
      <c r="CV1395" s="37"/>
      <c r="CW1395" s="37"/>
      <c r="CX1395" s="37"/>
      <c r="CY1395" s="37"/>
    </row>
    <row r="1396" spans="2:103" s="10" customFormat="1" x14ac:dyDescent="0.4">
      <c r="B1396" s="44"/>
      <c r="C1396" s="43"/>
      <c r="D1396" s="50"/>
      <c r="E1396" s="50"/>
      <c r="F1396" s="50"/>
      <c r="G1396" s="50"/>
      <c r="H1396" s="9"/>
      <c r="I1396" s="9"/>
      <c r="CS1396" s="37"/>
      <c r="CT1396" s="37"/>
      <c r="CU1396" s="37"/>
      <c r="CV1396" s="37"/>
      <c r="CW1396" s="37"/>
      <c r="CX1396" s="37"/>
      <c r="CY1396" s="37"/>
    </row>
    <row r="1397" spans="2:103" s="10" customFormat="1" x14ac:dyDescent="0.4">
      <c r="B1397" s="44"/>
      <c r="C1397" s="43"/>
      <c r="D1397" s="50"/>
      <c r="E1397" s="50"/>
      <c r="F1397" s="50"/>
      <c r="G1397" s="50"/>
      <c r="H1397" s="9"/>
      <c r="I1397" s="9"/>
      <c r="CS1397" s="37"/>
      <c r="CT1397" s="37"/>
      <c r="CU1397" s="37"/>
      <c r="CV1397" s="37"/>
      <c r="CW1397" s="37"/>
      <c r="CX1397" s="37"/>
      <c r="CY1397" s="37"/>
    </row>
    <row r="1398" spans="2:103" s="10" customFormat="1" x14ac:dyDescent="0.4">
      <c r="B1398" s="44"/>
      <c r="C1398" s="43"/>
      <c r="D1398" s="50"/>
      <c r="E1398" s="50"/>
      <c r="F1398" s="50"/>
      <c r="G1398" s="50"/>
      <c r="H1398" s="9"/>
      <c r="I1398" s="9"/>
      <c r="CS1398" s="37"/>
      <c r="CT1398" s="37"/>
      <c r="CU1398" s="37"/>
      <c r="CV1398" s="37"/>
      <c r="CW1398" s="37"/>
      <c r="CX1398" s="37"/>
      <c r="CY1398" s="37"/>
    </row>
    <row r="1399" spans="2:103" s="10" customFormat="1" x14ac:dyDescent="0.4">
      <c r="B1399" s="44"/>
      <c r="C1399" s="43"/>
      <c r="D1399" s="50"/>
      <c r="E1399" s="50"/>
      <c r="F1399" s="50"/>
      <c r="G1399" s="50"/>
      <c r="H1399" s="9"/>
      <c r="I1399" s="9"/>
      <c r="CS1399" s="37"/>
      <c r="CT1399" s="37"/>
      <c r="CU1399" s="37"/>
      <c r="CV1399" s="37"/>
      <c r="CW1399" s="37"/>
      <c r="CX1399" s="37"/>
      <c r="CY1399" s="37"/>
    </row>
    <row r="1400" spans="2:103" s="10" customFormat="1" x14ac:dyDescent="0.4">
      <c r="B1400" s="44"/>
      <c r="C1400" s="43"/>
      <c r="D1400" s="50"/>
      <c r="E1400" s="50"/>
      <c r="F1400" s="50"/>
      <c r="G1400" s="50"/>
      <c r="H1400" s="9"/>
      <c r="I1400" s="9"/>
      <c r="CS1400" s="37"/>
      <c r="CT1400" s="37"/>
      <c r="CU1400" s="37"/>
      <c r="CV1400" s="37"/>
      <c r="CW1400" s="37"/>
      <c r="CX1400" s="37"/>
      <c r="CY1400" s="37"/>
    </row>
    <row r="1401" spans="2:103" s="10" customFormat="1" x14ac:dyDescent="0.4">
      <c r="B1401" s="44"/>
      <c r="C1401" s="43"/>
      <c r="D1401" s="50"/>
      <c r="E1401" s="50"/>
      <c r="F1401" s="50"/>
      <c r="G1401" s="50"/>
      <c r="H1401" s="9"/>
      <c r="I1401" s="9"/>
      <c r="CS1401" s="37"/>
      <c r="CT1401" s="37"/>
      <c r="CU1401" s="37"/>
      <c r="CV1401" s="37"/>
      <c r="CW1401" s="37"/>
      <c r="CX1401" s="37"/>
      <c r="CY1401" s="37"/>
    </row>
    <row r="1402" spans="2:103" s="10" customFormat="1" x14ac:dyDescent="0.4">
      <c r="B1402" s="44"/>
      <c r="C1402" s="43"/>
      <c r="D1402" s="50"/>
      <c r="E1402" s="50"/>
      <c r="F1402" s="50"/>
      <c r="G1402" s="50"/>
      <c r="H1402" s="9"/>
      <c r="I1402" s="9"/>
      <c r="CS1402" s="37"/>
      <c r="CT1402" s="37"/>
      <c r="CU1402" s="37"/>
      <c r="CV1402" s="37"/>
      <c r="CW1402" s="37"/>
      <c r="CX1402" s="37"/>
      <c r="CY1402" s="37"/>
    </row>
    <row r="1403" spans="2:103" s="10" customFormat="1" x14ac:dyDescent="0.4">
      <c r="B1403" s="44"/>
      <c r="C1403" s="43"/>
      <c r="D1403" s="50"/>
      <c r="E1403" s="50"/>
      <c r="F1403" s="50"/>
      <c r="G1403" s="50"/>
      <c r="H1403" s="9"/>
      <c r="I1403" s="9"/>
      <c r="CS1403" s="37"/>
      <c r="CT1403" s="37"/>
      <c r="CU1403" s="37"/>
      <c r="CV1403" s="37"/>
      <c r="CW1403" s="37"/>
      <c r="CX1403" s="37"/>
      <c r="CY1403" s="37"/>
    </row>
    <row r="1404" spans="2:103" s="10" customFormat="1" x14ac:dyDescent="0.4">
      <c r="B1404" s="44"/>
      <c r="C1404" s="43"/>
      <c r="D1404" s="50"/>
      <c r="E1404" s="50"/>
      <c r="F1404" s="50"/>
      <c r="G1404" s="50"/>
      <c r="H1404" s="9"/>
      <c r="I1404" s="9"/>
      <c r="CS1404" s="37"/>
      <c r="CT1404" s="37"/>
      <c r="CU1404" s="37"/>
      <c r="CV1404" s="37"/>
      <c r="CW1404" s="37"/>
      <c r="CX1404" s="37"/>
      <c r="CY1404" s="37"/>
    </row>
    <row r="1405" spans="2:103" s="10" customFormat="1" x14ac:dyDescent="0.4">
      <c r="B1405" s="44"/>
      <c r="C1405" s="43"/>
      <c r="D1405" s="50"/>
      <c r="E1405" s="50"/>
      <c r="F1405" s="50"/>
      <c r="G1405" s="50"/>
      <c r="H1405" s="9"/>
      <c r="I1405" s="9"/>
      <c r="CS1405" s="37"/>
      <c r="CT1405" s="37"/>
      <c r="CU1405" s="37"/>
      <c r="CV1405" s="37"/>
      <c r="CW1405" s="37"/>
      <c r="CX1405" s="37"/>
      <c r="CY1405" s="37"/>
    </row>
    <row r="1406" spans="2:103" s="10" customFormat="1" x14ac:dyDescent="0.4">
      <c r="B1406" s="44"/>
      <c r="C1406" s="43"/>
      <c r="D1406" s="50"/>
      <c r="E1406" s="50"/>
      <c r="F1406" s="50"/>
      <c r="G1406" s="50"/>
      <c r="H1406" s="9"/>
      <c r="I1406" s="9"/>
      <c r="CS1406" s="37"/>
      <c r="CT1406" s="37"/>
      <c r="CU1406" s="37"/>
      <c r="CV1406" s="37"/>
      <c r="CW1406" s="37"/>
      <c r="CX1406" s="37"/>
      <c r="CY1406" s="37"/>
    </row>
    <row r="1407" spans="2:103" s="10" customFormat="1" x14ac:dyDescent="0.4">
      <c r="B1407" s="44"/>
      <c r="C1407" s="43"/>
      <c r="D1407" s="50"/>
      <c r="E1407" s="50"/>
      <c r="F1407" s="50"/>
      <c r="G1407" s="50"/>
      <c r="H1407" s="9"/>
      <c r="I1407" s="9"/>
      <c r="CS1407" s="37"/>
      <c r="CT1407" s="37"/>
      <c r="CU1407" s="37"/>
      <c r="CV1407" s="37"/>
      <c r="CW1407" s="37"/>
      <c r="CX1407" s="37"/>
      <c r="CY1407" s="37"/>
    </row>
    <row r="1408" spans="2:103" s="10" customFormat="1" x14ac:dyDescent="0.4">
      <c r="B1408" s="44"/>
      <c r="C1408" s="43"/>
      <c r="D1408" s="50"/>
      <c r="E1408" s="50"/>
      <c r="F1408" s="50"/>
      <c r="G1408" s="50"/>
      <c r="H1408" s="9"/>
      <c r="I1408" s="9"/>
      <c r="CS1408" s="37"/>
      <c r="CT1408" s="37"/>
      <c r="CU1408" s="37"/>
      <c r="CV1408" s="37"/>
      <c r="CW1408" s="37"/>
      <c r="CX1408" s="37"/>
      <c r="CY1408" s="37"/>
    </row>
    <row r="1409" spans="2:103" s="10" customFormat="1" x14ac:dyDescent="0.4">
      <c r="B1409" s="44"/>
      <c r="C1409" s="43"/>
      <c r="D1409" s="50"/>
      <c r="E1409" s="50"/>
      <c r="F1409" s="50"/>
      <c r="G1409" s="50"/>
      <c r="H1409" s="9"/>
      <c r="I1409" s="9"/>
      <c r="CS1409" s="37"/>
      <c r="CT1409" s="37"/>
      <c r="CU1409" s="37"/>
      <c r="CV1409" s="37"/>
      <c r="CW1409" s="37"/>
      <c r="CX1409" s="37"/>
      <c r="CY1409" s="37"/>
    </row>
    <row r="1410" spans="2:103" s="10" customFormat="1" x14ac:dyDescent="0.4">
      <c r="B1410" s="44"/>
      <c r="C1410" s="43"/>
      <c r="D1410" s="50"/>
      <c r="E1410" s="50"/>
      <c r="F1410" s="50"/>
      <c r="G1410" s="50"/>
      <c r="H1410" s="9"/>
      <c r="I1410" s="9"/>
      <c r="CS1410" s="37"/>
      <c r="CT1410" s="37"/>
      <c r="CU1410" s="37"/>
      <c r="CV1410" s="37"/>
      <c r="CW1410" s="37"/>
      <c r="CX1410" s="37"/>
      <c r="CY1410" s="37"/>
    </row>
    <row r="1411" spans="2:103" s="10" customFormat="1" x14ac:dyDescent="0.4">
      <c r="B1411" s="44"/>
      <c r="C1411" s="43"/>
      <c r="D1411" s="50"/>
      <c r="E1411" s="50"/>
      <c r="F1411" s="50"/>
      <c r="G1411" s="50"/>
      <c r="H1411" s="9"/>
      <c r="I1411" s="9"/>
      <c r="CS1411" s="37"/>
      <c r="CT1411" s="37"/>
      <c r="CU1411" s="37"/>
      <c r="CV1411" s="37"/>
      <c r="CW1411" s="37"/>
      <c r="CX1411" s="37"/>
      <c r="CY1411" s="37"/>
    </row>
    <row r="1412" spans="2:103" s="10" customFormat="1" x14ac:dyDescent="0.4">
      <c r="B1412" s="44"/>
      <c r="C1412" s="43"/>
      <c r="D1412" s="50"/>
      <c r="E1412" s="50"/>
      <c r="F1412" s="50"/>
      <c r="G1412" s="50"/>
      <c r="H1412" s="9"/>
      <c r="I1412" s="9"/>
      <c r="CS1412" s="37"/>
      <c r="CT1412" s="37"/>
      <c r="CU1412" s="37"/>
      <c r="CV1412" s="37"/>
      <c r="CW1412" s="37"/>
      <c r="CX1412" s="37"/>
      <c r="CY1412" s="37"/>
    </row>
    <row r="1413" spans="2:103" s="10" customFormat="1" x14ac:dyDescent="0.4">
      <c r="B1413" s="44"/>
      <c r="C1413" s="43"/>
      <c r="D1413" s="50"/>
      <c r="E1413" s="50"/>
      <c r="F1413" s="50"/>
      <c r="G1413" s="50"/>
      <c r="H1413" s="9"/>
      <c r="I1413" s="9"/>
      <c r="CS1413" s="37"/>
      <c r="CT1413" s="37"/>
      <c r="CU1413" s="37"/>
      <c r="CV1413" s="37"/>
      <c r="CW1413" s="37"/>
      <c r="CX1413" s="37"/>
      <c r="CY1413" s="37"/>
    </row>
    <row r="1414" spans="2:103" s="10" customFormat="1" x14ac:dyDescent="0.4">
      <c r="B1414" s="44"/>
      <c r="C1414" s="43"/>
      <c r="D1414" s="50"/>
      <c r="E1414" s="50"/>
      <c r="F1414" s="50"/>
      <c r="G1414" s="50"/>
      <c r="H1414" s="9"/>
      <c r="I1414" s="9"/>
      <c r="CS1414" s="37"/>
      <c r="CT1414" s="37"/>
      <c r="CU1414" s="37"/>
      <c r="CV1414" s="37"/>
      <c r="CW1414" s="37"/>
      <c r="CX1414" s="37"/>
      <c r="CY1414" s="37"/>
    </row>
    <row r="1415" spans="2:103" s="10" customFormat="1" x14ac:dyDescent="0.4">
      <c r="B1415" s="44"/>
      <c r="C1415" s="43"/>
      <c r="D1415" s="50"/>
      <c r="E1415" s="50"/>
      <c r="F1415" s="50"/>
      <c r="G1415" s="50"/>
      <c r="H1415" s="9"/>
      <c r="I1415" s="9"/>
      <c r="CS1415" s="37"/>
      <c r="CT1415" s="37"/>
      <c r="CU1415" s="37"/>
      <c r="CV1415" s="37"/>
      <c r="CW1415" s="37"/>
      <c r="CX1415" s="37"/>
      <c r="CY1415" s="37"/>
    </row>
    <row r="1416" spans="2:103" s="10" customFormat="1" x14ac:dyDescent="0.4">
      <c r="B1416" s="44"/>
      <c r="C1416" s="43"/>
      <c r="D1416" s="50"/>
      <c r="E1416" s="50"/>
      <c r="F1416" s="50"/>
      <c r="G1416" s="50"/>
      <c r="H1416" s="9"/>
      <c r="I1416" s="9"/>
      <c r="CS1416" s="37"/>
      <c r="CT1416" s="37"/>
      <c r="CU1416" s="37"/>
      <c r="CV1416" s="37"/>
      <c r="CW1416" s="37"/>
      <c r="CX1416" s="37"/>
      <c r="CY1416" s="37"/>
    </row>
    <row r="1417" spans="2:103" s="10" customFormat="1" x14ac:dyDescent="0.4">
      <c r="B1417" s="44"/>
      <c r="C1417" s="43"/>
      <c r="D1417" s="50"/>
      <c r="E1417" s="50"/>
      <c r="F1417" s="50"/>
      <c r="G1417" s="50"/>
      <c r="H1417" s="9"/>
      <c r="I1417" s="9"/>
      <c r="CS1417" s="37"/>
      <c r="CT1417" s="37"/>
      <c r="CU1417" s="37"/>
      <c r="CV1417" s="37"/>
      <c r="CW1417" s="37"/>
      <c r="CX1417" s="37"/>
      <c r="CY1417" s="37"/>
    </row>
    <row r="1418" spans="2:103" s="10" customFormat="1" x14ac:dyDescent="0.4">
      <c r="B1418" s="44"/>
      <c r="C1418" s="43"/>
      <c r="D1418" s="50"/>
      <c r="E1418" s="50"/>
      <c r="F1418" s="50"/>
      <c r="G1418" s="50"/>
      <c r="H1418" s="9"/>
      <c r="I1418" s="9"/>
      <c r="CS1418" s="37"/>
      <c r="CT1418" s="37"/>
      <c r="CU1418" s="37"/>
      <c r="CV1418" s="37"/>
      <c r="CW1418" s="37"/>
      <c r="CX1418" s="37"/>
      <c r="CY1418" s="37"/>
    </row>
    <row r="1419" spans="2:103" s="10" customFormat="1" x14ac:dyDescent="0.4">
      <c r="B1419" s="44"/>
      <c r="C1419" s="43"/>
      <c r="D1419" s="50"/>
      <c r="E1419" s="50"/>
      <c r="F1419" s="50"/>
      <c r="G1419" s="50"/>
      <c r="H1419" s="9"/>
      <c r="I1419" s="9"/>
      <c r="CS1419" s="37"/>
      <c r="CT1419" s="37"/>
      <c r="CU1419" s="37"/>
      <c r="CV1419" s="37"/>
      <c r="CW1419" s="37"/>
      <c r="CX1419" s="37"/>
      <c r="CY1419" s="37"/>
    </row>
    <row r="1420" spans="2:103" s="10" customFormat="1" x14ac:dyDescent="0.4">
      <c r="B1420" s="44"/>
      <c r="C1420" s="43"/>
      <c r="D1420" s="50"/>
      <c r="E1420" s="50"/>
      <c r="F1420" s="50"/>
      <c r="G1420" s="50"/>
      <c r="H1420" s="9"/>
      <c r="I1420" s="9"/>
      <c r="CS1420" s="37"/>
      <c r="CT1420" s="37"/>
      <c r="CU1420" s="37"/>
      <c r="CV1420" s="37"/>
      <c r="CW1420" s="37"/>
      <c r="CX1420" s="37"/>
      <c r="CY1420" s="37"/>
    </row>
    <row r="1421" spans="2:103" s="10" customFormat="1" x14ac:dyDescent="0.4">
      <c r="B1421" s="44"/>
      <c r="C1421" s="43"/>
      <c r="D1421" s="50"/>
      <c r="E1421" s="50"/>
      <c r="F1421" s="50"/>
      <c r="G1421" s="50"/>
      <c r="H1421" s="9"/>
      <c r="I1421" s="9"/>
      <c r="CS1421" s="37"/>
      <c r="CT1421" s="37"/>
      <c r="CU1421" s="37"/>
      <c r="CV1421" s="37"/>
      <c r="CW1421" s="37"/>
      <c r="CX1421" s="37"/>
      <c r="CY1421" s="37"/>
    </row>
    <row r="1422" spans="2:103" s="10" customFormat="1" x14ac:dyDescent="0.4">
      <c r="B1422" s="44"/>
      <c r="C1422" s="43"/>
      <c r="D1422" s="50"/>
      <c r="E1422" s="50"/>
      <c r="F1422" s="50"/>
      <c r="G1422" s="50"/>
      <c r="H1422" s="9"/>
      <c r="I1422" s="9"/>
      <c r="CS1422" s="37"/>
      <c r="CT1422" s="37"/>
      <c r="CU1422" s="37"/>
      <c r="CV1422" s="37"/>
      <c r="CW1422" s="37"/>
      <c r="CX1422" s="37"/>
      <c r="CY1422" s="37"/>
    </row>
    <row r="1423" spans="2:103" s="10" customFormat="1" x14ac:dyDescent="0.4">
      <c r="B1423" s="44"/>
      <c r="C1423" s="43"/>
      <c r="D1423" s="50"/>
      <c r="E1423" s="50"/>
      <c r="F1423" s="50"/>
      <c r="G1423" s="50"/>
      <c r="H1423" s="9"/>
      <c r="I1423" s="9"/>
      <c r="CS1423" s="37"/>
      <c r="CT1423" s="37"/>
      <c r="CU1423" s="37"/>
      <c r="CV1423" s="37"/>
      <c r="CW1423" s="37"/>
      <c r="CX1423" s="37"/>
      <c r="CY1423" s="37"/>
    </row>
    <row r="1424" spans="2:103" s="10" customFormat="1" x14ac:dyDescent="0.4">
      <c r="B1424" s="44"/>
      <c r="C1424" s="43"/>
      <c r="D1424" s="50"/>
      <c r="E1424" s="50"/>
      <c r="F1424" s="50"/>
      <c r="G1424" s="50"/>
      <c r="H1424" s="9"/>
      <c r="I1424" s="9"/>
      <c r="CS1424" s="37"/>
      <c r="CT1424" s="37"/>
      <c r="CU1424" s="37"/>
      <c r="CV1424" s="37"/>
      <c r="CW1424" s="37"/>
      <c r="CX1424" s="37"/>
      <c r="CY1424" s="37"/>
    </row>
    <row r="1425" spans="2:103" s="10" customFormat="1" x14ac:dyDescent="0.4">
      <c r="B1425" s="44"/>
      <c r="C1425" s="43"/>
      <c r="D1425" s="50"/>
      <c r="E1425" s="50"/>
      <c r="F1425" s="50"/>
      <c r="G1425" s="50"/>
      <c r="H1425" s="9"/>
      <c r="I1425" s="9"/>
      <c r="CS1425" s="37"/>
      <c r="CT1425" s="37"/>
      <c r="CU1425" s="37"/>
      <c r="CV1425" s="37"/>
      <c r="CW1425" s="37"/>
      <c r="CX1425" s="37"/>
      <c r="CY1425" s="37"/>
    </row>
    <row r="1426" spans="2:103" s="10" customFormat="1" x14ac:dyDescent="0.4">
      <c r="B1426" s="44"/>
      <c r="C1426" s="43"/>
      <c r="D1426" s="50"/>
      <c r="E1426" s="50"/>
      <c r="F1426" s="50"/>
      <c r="G1426" s="50"/>
      <c r="H1426" s="9"/>
      <c r="I1426" s="9"/>
      <c r="CS1426" s="37"/>
      <c r="CT1426" s="37"/>
      <c r="CU1426" s="37"/>
      <c r="CV1426" s="37"/>
      <c r="CW1426" s="37"/>
      <c r="CX1426" s="37"/>
      <c r="CY1426" s="37"/>
    </row>
    <row r="1427" spans="2:103" s="10" customFormat="1" x14ac:dyDescent="0.4">
      <c r="B1427" s="44"/>
      <c r="C1427" s="43"/>
      <c r="D1427" s="50"/>
      <c r="E1427" s="50"/>
      <c r="F1427" s="50"/>
      <c r="G1427" s="50"/>
      <c r="H1427" s="9"/>
      <c r="I1427" s="9"/>
      <c r="CS1427" s="37"/>
      <c r="CT1427" s="37"/>
      <c r="CU1427" s="37"/>
      <c r="CV1427" s="37"/>
      <c r="CW1427" s="37"/>
      <c r="CX1427" s="37"/>
      <c r="CY1427" s="37"/>
    </row>
    <row r="1428" spans="2:103" s="10" customFormat="1" x14ac:dyDescent="0.4">
      <c r="B1428" s="44"/>
      <c r="C1428" s="43"/>
      <c r="D1428" s="50"/>
      <c r="E1428" s="50"/>
      <c r="F1428" s="50"/>
      <c r="G1428" s="50"/>
      <c r="H1428" s="9"/>
      <c r="I1428" s="9"/>
      <c r="CS1428" s="37"/>
      <c r="CT1428" s="37"/>
      <c r="CU1428" s="37"/>
      <c r="CV1428" s="37"/>
      <c r="CW1428" s="37"/>
      <c r="CX1428" s="37"/>
      <c r="CY1428" s="37"/>
    </row>
    <row r="1429" spans="2:103" s="10" customFormat="1" x14ac:dyDescent="0.4">
      <c r="B1429" s="44"/>
      <c r="C1429" s="43"/>
      <c r="D1429" s="50"/>
      <c r="E1429" s="50"/>
      <c r="F1429" s="50"/>
      <c r="G1429" s="50"/>
      <c r="H1429" s="9"/>
      <c r="I1429" s="9"/>
      <c r="CS1429" s="37"/>
      <c r="CT1429" s="37"/>
      <c r="CU1429" s="37"/>
      <c r="CV1429" s="37"/>
      <c r="CW1429" s="37"/>
      <c r="CX1429" s="37"/>
      <c r="CY1429" s="37"/>
    </row>
    <row r="1430" spans="2:103" s="10" customFormat="1" x14ac:dyDescent="0.4">
      <c r="B1430" s="44"/>
      <c r="C1430" s="43"/>
      <c r="D1430" s="50"/>
      <c r="E1430" s="50"/>
      <c r="F1430" s="50"/>
      <c r="G1430" s="50"/>
      <c r="H1430" s="9"/>
      <c r="I1430" s="9"/>
      <c r="CS1430" s="37"/>
      <c r="CT1430" s="37"/>
      <c r="CU1430" s="37"/>
      <c r="CV1430" s="37"/>
      <c r="CW1430" s="37"/>
      <c r="CX1430" s="37"/>
      <c r="CY1430" s="37"/>
    </row>
    <row r="1431" spans="2:103" s="10" customFormat="1" x14ac:dyDescent="0.4">
      <c r="B1431" s="44"/>
      <c r="C1431" s="43"/>
      <c r="D1431" s="50"/>
      <c r="E1431" s="50"/>
      <c r="F1431" s="50"/>
      <c r="G1431" s="50"/>
      <c r="H1431" s="9"/>
      <c r="I1431" s="9"/>
      <c r="CS1431" s="37"/>
      <c r="CT1431" s="37"/>
      <c r="CU1431" s="37"/>
      <c r="CV1431" s="37"/>
      <c r="CW1431" s="37"/>
      <c r="CX1431" s="37"/>
      <c r="CY1431" s="37"/>
    </row>
    <row r="1432" spans="2:103" s="10" customFormat="1" x14ac:dyDescent="0.4">
      <c r="B1432" s="44"/>
      <c r="C1432" s="43"/>
      <c r="D1432" s="50"/>
      <c r="E1432" s="50"/>
      <c r="F1432" s="50"/>
      <c r="G1432" s="50"/>
      <c r="H1432" s="9"/>
      <c r="I1432" s="9"/>
      <c r="CS1432" s="37"/>
      <c r="CT1432" s="37"/>
      <c r="CU1432" s="37"/>
      <c r="CV1432" s="37"/>
      <c r="CW1432" s="37"/>
      <c r="CX1432" s="37"/>
      <c r="CY1432" s="37"/>
    </row>
    <row r="1433" spans="2:103" s="10" customFormat="1" x14ac:dyDescent="0.4">
      <c r="B1433" s="44"/>
      <c r="C1433" s="43"/>
      <c r="D1433" s="50"/>
      <c r="E1433" s="50"/>
      <c r="F1433" s="50"/>
      <c r="G1433" s="50"/>
      <c r="H1433" s="9"/>
      <c r="I1433" s="9"/>
      <c r="CS1433" s="37"/>
      <c r="CT1433" s="37"/>
      <c r="CU1433" s="37"/>
      <c r="CV1433" s="37"/>
      <c r="CW1433" s="37"/>
      <c r="CX1433" s="37"/>
      <c r="CY1433" s="37"/>
    </row>
    <row r="1434" spans="2:103" s="10" customFormat="1" x14ac:dyDescent="0.4">
      <c r="B1434" s="44"/>
      <c r="C1434" s="43"/>
      <c r="D1434" s="50"/>
      <c r="E1434" s="50"/>
      <c r="F1434" s="50"/>
      <c r="G1434" s="50"/>
      <c r="H1434" s="9"/>
      <c r="I1434" s="9"/>
      <c r="CS1434" s="37"/>
      <c r="CT1434" s="37"/>
      <c r="CU1434" s="37"/>
      <c r="CV1434" s="37"/>
      <c r="CW1434" s="37"/>
      <c r="CX1434" s="37"/>
      <c r="CY1434" s="37"/>
    </row>
    <row r="1435" spans="2:103" s="10" customFormat="1" x14ac:dyDescent="0.4">
      <c r="B1435" s="44"/>
      <c r="C1435" s="43"/>
      <c r="D1435" s="50"/>
      <c r="E1435" s="50"/>
      <c r="F1435" s="50"/>
      <c r="G1435" s="50"/>
      <c r="H1435" s="9"/>
      <c r="I1435" s="9"/>
      <c r="CS1435" s="37"/>
      <c r="CT1435" s="37"/>
      <c r="CU1435" s="37"/>
      <c r="CV1435" s="37"/>
      <c r="CW1435" s="37"/>
      <c r="CX1435" s="37"/>
      <c r="CY1435" s="37"/>
    </row>
    <row r="1436" spans="2:103" s="10" customFormat="1" x14ac:dyDescent="0.4">
      <c r="B1436" s="44"/>
      <c r="C1436" s="43"/>
      <c r="D1436" s="50"/>
      <c r="E1436" s="50"/>
      <c r="F1436" s="50"/>
      <c r="G1436" s="50"/>
      <c r="H1436" s="9"/>
      <c r="I1436" s="9"/>
      <c r="CS1436" s="37"/>
      <c r="CT1436" s="37"/>
      <c r="CU1436" s="37"/>
      <c r="CV1436" s="37"/>
      <c r="CW1436" s="37"/>
      <c r="CX1436" s="37"/>
      <c r="CY1436" s="37"/>
    </row>
    <row r="1437" spans="2:103" s="10" customFormat="1" x14ac:dyDescent="0.4">
      <c r="B1437" s="44"/>
      <c r="C1437" s="43"/>
      <c r="D1437" s="50"/>
      <c r="E1437" s="50"/>
      <c r="F1437" s="50"/>
      <c r="G1437" s="50"/>
      <c r="H1437" s="9"/>
      <c r="I1437" s="9"/>
      <c r="CS1437" s="37"/>
      <c r="CT1437" s="37"/>
      <c r="CU1437" s="37"/>
      <c r="CV1437" s="37"/>
      <c r="CW1437" s="37"/>
      <c r="CX1437" s="37"/>
      <c r="CY1437" s="37"/>
    </row>
    <row r="1438" spans="2:103" s="10" customFormat="1" x14ac:dyDescent="0.4">
      <c r="B1438" s="44"/>
      <c r="C1438" s="43"/>
      <c r="D1438" s="50"/>
      <c r="E1438" s="50"/>
      <c r="F1438" s="50"/>
      <c r="G1438" s="50"/>
      <c r="H1438" s="9"/>
      <c r="I1438" s="9"/>
      <c r="CS1438" s="37"/>
      <c r="CT1438" s="37"/>
      <c r="CU1438" s="37"/>
      <c r="CV1438" s="37"/>
      <c r="CW1438" s="37"/>
      <c r="CX1438" s="37"/>
      <c r="CY1438" s="37"/>
    </row>
    <row r="1439" spans="2:103" s="10" customFormat="1" x14ac:dyDescent="0.4">
      <c r="B1439" s="44"/>
      <c r="C1439" s="43"/>
      <c r="D1439" s="50"/>
      <c r="E1439" s="50"/>
      <c r="F1439" s="50"/>
      <c r="G1439" s="50"/>
      <c r="H1439" s="9"/>
      <c r="I1439" s="9"/>
      <c r="CS1439" s="37"/>
      <c r="CT1439" s="37"/>
      <c r="CU1439" s="37"/>
      <c r="CV1439" s="37"/>
      <c r="CW1439" s="37"/>
      <c r="CX1439" s="37"/>
      <c r="CY1439" s="37"/>
    </row>
    <row r="1440" spans="2:103" s="10" customFormat="1" x14ac:dyDescent="0.4">
      <c r="B1440" s="44"/>
      <c r="C1440" s="43"/>
      <c r="D1440" s="50"/>
      <c r="E1440" s="50"/>
      <c r="F1440" s="50"/>
      <c r="G1440" s="50"/>
      <c r="H1440" s="9"/>
      <c r="I1440" s="9"/>
      <c r="CS1440" s="37"/>
      <c r="CT1440" s="37"/>
      <c r="CU1440" s="37"/>
      <c r="CV1440" s="37"/>
      <c r="CW1440" s="37"/>
      <c r="CX1440" s="37"/>
      <c r="CY1440" s="37"/>
    </row>
    <row r="1441" spans="2:103" s="10" customFormat="1" x14ac:dyDescent="0.4">
      <c r="B1441" s="44"/>
      <c r="C1441" s="43"/>
      <c r="D1441" s="50"/>
      <c r="E1441" s="50"/>
      <c r="F1441" s="50"/>
      <c r="G1441" s="50"/>
      <c r="H1441" s="9"/>
      <c r="I1441" s="9"/>
      <c r="CS1441" s="37"/>
      <c r="CT1441" s="37"/>
      <c r="CU1441" s="37"/>
      <c r="CV1441" s="37"/>
      <c r="CW1441" s="37"/>
      <c r="CX1441" s="37"/>
      <c r="CY1441" s="37"/>
    </row>
    <row r="1442" spans="2:103" s="10" customFormat="1" x14ac:dyDescent="0.4">
      <c r="B1442" s="44"/>
      <c r="C1442" s="43"/>
      <c r="D1442" s="50"/>
      <c r="E1442" s="50"/>
      <c r="F1442" s="50"/>
      <c r="G1442" s="50"/>
      <c r="H1442" s="9"/>
      <c r="I1442" s="9"/>
      <c r="CS1442" s="37"/>
      <c r="CT1442" s="37"/>
      <c r="CU1442" s="37"/>
      <c r="CV1442" s="37"/>
      <c r="CW1442" s="37"/>
      <c r="CX1442" s="37"/>
      <c r="CY1442" s="37"/>
    </row>
    <row r="1443" spans="2:103" s="10" customFormat="1" x14ac:dyDescent="0.4">
      <c r="B1443" s="44"/>
      <c r="C1443" s="43"/>
      <c r="D1443" s="50"/>
      <c r="E1443" s="50"/>
      <c r="F1443" s="50"/>
      <c r="G1443" s="50"/>
      <c r="H1443" s="9"/>
      <c r="I1443" s="9"/>
      <c r="CS1443" s="37"/>
      <c r="CT1443" s="37"/>
      <c r="CU1443" s="37"/>
      <c r="CV1443" s="37"/>
      <c r="CW1443" s="37"/>
      <c r="CX1443" s="37"/>
      <c r="CY1443" s="37"/>
    </row>
    <row r="1444" spans="2:103" s="10" customFormat="1" x14ac:dyDescent="0.4">
      <c r="B1444" s="44"/>
      <c r="C1444" s="43"/>
      <c r="D1444" s="50"/>
      <c r="E1444" s="50"/>
      <c r="F1444" s="50"/>
      <c r="G1444" s="50"/>
      <c r="H1444" s="9"/>
      <c r="I1444" s="9"/>
      <c r="CS1444" s="37"/>
      <c r="CT1444" s="37"/>
      <c r="CU1444" s="37"/>
      <c r="CV1444" s="37"/>
      <c r="CW1444" s="37"/>
      <c r="CX1444" s="37"/>
      <c r="CY1444" s="37"/>
    </row>
    <row r="1445" spans="2:103" s="10" customFormat="1" x14ac:dyDescent="0.4">
      <c r="B1445" s="44"/>
      <c r="C1445" s="43"/>
      <c r="D1445" s="50"/>
      <c r="E1445" s="50"/>
      <c r="F1445" s="50"/>
      <c r="G1445" s="50"/>
      <c r="H1445" s="9"/>
      <c r="I1445" s="9"/>
      <c r="CS1445" s="37"/>
      <c r="CT1445" s="37"/>
      <c r="CU1445" s="37"/>
      <c r="CV1445" s="37"/>
      <c r="CW1445" s="37"/>
      <c r="CX1445" s="37"/>
      <c r="CY1445" s="37"/>
    </row>
    <row r="1446" spans="2:103" s="10" customFormat="1" x14ac:dyDescent="0.4">
      <c r="B1446" s="44"/>
      <c r="C1446" s="43"/>
      <c r="D1446" s="50"/>
      <c r="E1446" s="50"/>
      <c r="F1446" s="50"/>
      <c r="G1446" s="50"/>
      <c r="H1446" s="9"/>
      <c r="I1446" s="9"/>
      <c r="CS1446" s="37"/>
      <c r="CT1446" s="37"/>
      <c r="CU1446" s="37"/>
      <c r="CV1446" s="37"/>
      <c r="CW1446" s="37"/>
      <c r="CX1446" s="37"/>
      <c r="CY1446" s="37"/>
    </row>
    <row r="1447" spans="2:103" s="10" customFormat="1" x14ac:dyDescent="0.4">
      <c r="B1447" s="44"/>
      <c r="C1447" s="43"/>
      <c r="D1447" s="50"/>
      <c r="E1447" s="50"/>
      <c r="F1447" s="50"/>
      <c r="G1447" s="50"/>
      <c r="H1447" s="9"/>
      <c r="I1447" s="9"/>
      <c r="CS1447" s="37"/>
      <c r="CT1447" s="37"/>
      <c r="CU1447" s="37"/>
      <c r="CV1447" s="37"/>
      <c r="CW1447" s="37"/>
      <c r="CX1447" s="37"/>
      <c r="CY1447" s="37"/>
    </row>
    <row r="1448" spans="2:103" s="10" customFormat="1" x14ac:dyDescent="0.4">
      <c r="B1448" s="44"/>
      <c r="C1448" s="43"/>
      <c r="D1448" s="50"/>
      <c r="E1448" s="50"/>
      <c r="F1448" s="50"/>
      <c r="G1448" s="50"/>
      <c r="H1448" s="9"/>
      <c r="I1448" s="9"/>
      <c r="CS1448" s="37"/>
      <c r="CT1448" s="37"/>
      <c r="CU1448" s="37"/>
      <c r="CV1448" s="37"/>
      <c r="CW1448" s="37"/>
      <c r="CX1448" s="37"/>
      <c r="CY1448" s="37"/>
    </row>
    <row r="1449" spans="2:103" s="10" customFormat="1" x14ac:dyDescent="0.4">
      <c r="B1449" s="44"/>
      <c r="C1449" s="43"/>
      <c r="D1449" s="50"/>
      <c r="E1449" s="50"/>
      <c r="F1449" s="50"/>
      <c r="G1449" s="50"/>
      <c r="H1449" s="9"/>
      <c r="I1449" s="9"/>
      <c r="CS1449" s="37"/>
      <c r="CT1449" s="37"/>
      <c r="CU1449" s="37"/>
      <c r="CV1449" s="37"/>
      <c r="CW1449" s="37"/>
      <c r="CX1449" s="37"/>
      <c r="CY1449" s="37"/>
    </row>
    <row r="1450" spans="2:103" s="10" customFormat="1" x14ac:dyDescent="0.4">
      <c r="B1450" s="44"/>
      <c r="C1450" s="43"/>
      <c r="D1450" s="50"/>
      <c r="E1450" s="50"/>
      <c r="F1450" s="50"/>
      <c r="G1450" s="50"/>
      <c r="H1450" s="9"/>
      <c r="I1450" s="9"/>
      <c r="CS1450" s="37"/>
      <c r="CT1450" s="37"/>
      <c r="CU1450" s="37"/>
      <c r="CV1450" s="37"/>
      <c r="CW1450" s="37"/>
      <c r="CX1450" s="37"/>
      <c r="CY1450" s="37"/>
    </row>
    <row r="1451" spans="2:103" s="10" customFormat="1" x14ac:dyDescent="0.4">
      <c r="B1451" s="44"/>
      <c r="C1451" s="43"/>
      <c r="D1451" s="50"/>
      <c r="E1451" s="50"/>
      <c r="F1451" s="50"/>
      <c r="G1451" s="50"/>
      <c r="H1451" s="9"/>
      <c r="I1451" s="9"/>
      <c r="CS1451" s="37"/>
      <c r="CT1451" s="37"/>
      <c r="CU1451" s="37"/>
      <c r="CV1451" s="37"/>
      <c r="CW1451" s="37"/>
      <c r="CX1451" s="37"/>
      <c r="CY1451" s="37"/>
    </row>
    <row r="1452" spans="2:103" s="10" customFormat="1" x14ac:dyDescent="0.4">
      <c r="B1452" s="44"/>
      <c r="C1452" s="43"/>
      <c r="D1452" s="50"/>
      <c r="E1452" s="50"/>
      <c r="F1452" s="50"/>
      <c r="G1452" s="50"/>
      <c r="H1452" s="9"/>
      <c r="I1452" s="9"/>
      <c r="CS1452" s="37"/>
      <c r="CT1452" s="37"/>
      <c r="CU1452" s="37"/>
      <c r="CV1452" s="37"/>
      <c r="CW1452" s="37"/>
      <c r="CX1452" s="37"/>
      <c r="CY1452" s="37"/>
    </row>
    <row r="1453" spans="2:103" s="10" customFormat="1" x14ac:dyDescent="0.4">
      <c r="B1453" s="44"/>
      <c r="C1453" s="43"/>
      <c r="D1453" s="50"/>
      <c r="E1453" s="50"/>
      <c r="F1453" s="50"/>
      <c r="G1453" s="50"/>
      <c r="H1453" s="9"/>
      <c r="I1453" s="9"/>
      <c r="CS1453" s="37"/>
      <c r="CT1453" s="37"/>
      <c r="CU1453" s="37"/>
      <c r="CV1453" s="37"/>
      <c r="CW1453" s="37"/>
      <c r="CX1453" s="37"/>
      <c r="CY1453" s="37"/>
    </row>
    <row r="1454" spans="2:103" s="10" customFormat="1" x14ac:dyDescent="0.4">
      <c r="B1454" s="44"/>
      <c r="C1454" s="43"/>
      <c r="D1454" s="50"/>
      <c r="E1454" s="50"/>
      <c r="F1454" s="50"/>
      <c r="G1454" s="50"/>
      <c r="H1454" s="9"/>
      <c r="I1454" s="9"/>
      <c r="CS1454" s="37"/>
      <c r="CT1454" s="37"/>
      <c r="CU1454" s="37"/>
      <c r="CV1454" s="37"/>
      <c r="CW1454" s="37"/>
      <c r="CX1454" s="37"/>
      <c r="CY1454" s="37"/>
    </row>
    <row r="1455" spans="2:103" s="10" customFormat="1" x14ac:dyDescent="0.4">
      <c r="B1455" s="44"/>
      <c r="C1455" s="43"/>
      <c r="D1455" s="50"/>
      <c r="E1455" s="50"/>
      <c r="F1455" s="50"/>
      <c r="G1455" s="50"/>
      <c r="H1455" s="9"/>
      <c r="I1455" s="9"/>
      <c r="CS1455" s="37"/>
      <c r="CT1455" s="37"/>
      <c r="CU1455" s="37"/>
      <c r="CV1455" s="37"/>
      <c r="CW1455" s="37"/>
      <c r="CX1455" s="37"/>
      <c r="CY1455" s="37"/>
    </row>
    <row r="1456" spans="2:103" s="10" customFormat="1" x14ac:dyDescent="0.4">
      <c r="B1456" s="44"/>
      <c r="C1456" s="43"/>
      <c r="D1456" s="50"/>
      <c r="E1456" s="50"/>
      <c r="F1456" s="50"/>
      <c r="G1456" s="50"/>
      <c r="H1456" s="9"/>
      <c r="I1456" s="9"/>
      <c r="CS1456" s="37"/>
      <c r="CT1456" s="37"/>
      <c r="CU1456" s="37"/>
      <c r="CV1456" s="37"/>
      <c r="CW1456" s="37"/>
      <c r="CX1456" s="37"/>
      <c r="CY1456" s="37"/>
    </row>
    <row r="1457" spans="2:103" s="10" customFormat="1" x14ac:dyDescent="0.4">
      <c r="B1457" s="44"/>
      <c r="C1457" s="43"/>
      <c r="D1457" s="50"/>
      <c r="E1457" s="50"/>
      <c r="F1457" s="50"/>
      <c r="G1457" s="50"/>
      <c r="H1457" s="9"/>
      <c r="I1457" s="9"/>
      <c r="CS1457" s="37"/>
      <c r="CT1457" s="37"/>
      <c r="CU1457" s="37"/>
      <c r="CV1457" s="37"/>
      <c r="CW1457" s="37"/>
      <c r="CX1457" s="37"/>
      <c r="CY1457" s="37"/>
    </row>
    <row r="1458" spans="2:103" s="10" customFormat="1" x14ac:dyDescent="0.4">
      <c r="B1458" s="44"/>
      <c r="C1458" s="43"/>
      <c r="D1458" s="50"/>
      <c r="E1458" s="50"/>
      <c r="F1458" s="50"/>
      <c r="G1458" s="50"/>
      <c r="H1458" s="9"/>
      <c r="I1458" s="9"/>
      <c r="CS1458" s="37"/>
      <c r="CT1458" s="37"/>
      <c r="CU1458" s="37"/>
      <c r="CV1458" s="37"/>
      <c r="CW1458" s="37"/>
      <c r="CX1458" s="37"/>
      <c r="CY1458" s="37"/>
    </row>
    <row r="1459" spans="2:103" s="10" customFormat="1" x14ac:dyDescent="0.4">
      <c r="B1459" s="44"/>
      <c r="C1459" s="43"/>
      <c r="D1459" s="50"/>
      <c r="E1459" s="50"/>
      <c r="F1459" s="50"/>
      <c r="G1459" s="50"/>
      <c r="H1459" s="9"/>
      <c r="I1459" s="9"/>
      <c r="CS1459" s="37"/>
      <c r="CT1459" s="37"/>
      <c r="CU1459" s="37"/>
      <c r="CV1459" s="37"/>
      <c r="CW1459" s="37"/>
      <c r="CX1459" s="37"/>
      <c r="CY1459" s="37"/>
    </row>
    <row r="1460" spans="2:103" s="10" customFormat="1" x14ac:dyDescent="0.4">
      <c r="B1460" s="44"/>
      <c r="C1460" s="43"/>
      <c r="D1460" s="50"/>
      <c r="E1460" s="50"/>
      <c r="F1460" s="50"/>
      <c r="G1460" s="50"/>
      <c r="H1460" s="9"/>
      <c r="I1460" s="9"/>
      <c r="CS1460" s="37"/>
      <c r="CT1460" s="37"/>
      <c r="CU1460" s="37"/>
      <c r="CV1460" s="37"/>
      <c r="CW1460" s="37"/>
      <c r="CX1460" s="37"/>
      <c r="CY1460" s="37"/>
    </row>
    <row r="1461" spans="2:103" s="10" customFormat="1" x14ac:dyDescent="0.4">
      <c r="B1461" s="44"/>
      <c r="C1461" s="43"/>
      <c r="D1461" s="50"/>
      <c r="E1461" s="50"/>
      <c r="F1461" s="50"/>
      <c r="G1461" s="50"/>
      <c r="H1461" s="9"/>
      <c r="I1461" s="9"/>
      <c r="CS1461" s="37"/>
      <c r="CT1461" s="37"/>
      <c r="CU1461" s="37"/>
      <c r="CV1461" s="37"/>
      <c r="CW1461" s="37"/>
      <c r="CX1461" s="37"/>
      <c r="CY1461" s="37"/>
    </row>
    <row r="1462" spans="2:103" s="10" customFormat="1" x14ac:dyDescent="0.4">
      <c r="B1462" s="44"/>
      <c r="C1462" s="43"/>
      <c r="D1462" s="50"/>
      <c r="E1462" s="50"/>
      <c r="F1462" s="50"/>
      <c r="G1462" s="50"/>
      <c r="H1462" s="9"/>
      <c r="I1462" s="9"/>
      <c r="CS1462" s="37"/>
      <c r="CT1462" s="37"/>
      <c r="CU1462" s="37"/>
      <c r="CV1462" s="37"/>
      <c r="CW1462" s="37"/>
      <c r="CX1462" s="37"/>
      <c r="CY1462" s="37"/>
    </row>
    <row r="1463" spans="2:103" s="10" customFormat="1" x14ac:dyDescent="0.4">
      <c r="B1463" s="44"/>
      <c r="C1463" s="43"/>
      <c r="D1463" s="50"/>
      <c r="E1463" s="50"/>
      <c r="F1463" s="50"/>
      <c r="G1463" s="50"/>
      <c r="H1463" s="9"/>
      <c r="I1463" s="9"/>
      <c r="CS1463" s="37"/>
      <c r="CT1463" s="37"/>
      <c r="CU1463" s="37"/>
      <c r="CV1463" s="37"/>
      <c r="CW1463" s="37"/>
      <c r="CX1463" s="37"/>
      <c r="CY1463" s="37"/>
    </row>
    <row r="1464" spans="2:103" s="10" customFormat="1" x14ac:dyDescent="0.4">
      <c r="B1464" s="44"/>
      <c r="C1464" s="43"/>
      <c r="D1464" s="50"/>
      <c r="E1464" s="50"/>
      <c r="F1464" s="50"/>
      <c r="G1464" s="50"/>
      <c r="H1464" s="9"/>
      <c r="I1464" s="9"/>
      <c r="CS1464" s="37"/>
      <c r="CT1464" s="37"/>
      <c r="CU1464" s="37"/>
      <c r="CV1464" s="37"/>
      <c r="CW1464" s="37"/>
      <c r="CX1464" s="37"/>
      <c r="CY1464" s="37"/>
    </row>
    <row r="1465" spans="2:103" s="10" customFormat="1" x14ac:dyDescent="0.4">
      <c r="B1465" s="44"/>
      <c r="C1465" s="43"/>
      <c r="D1465" s="50"/>
      <c r="E1465" s="50"/>
      <c r="F1465" s="50"/>
      <c r="G1465" s="50"/>
      <c r="H1465" s="9"/>
      <c r="I1465" s="9"/>
      <c r="CS1465" s="37"/>
      <c r="CT1465" s="37"/>
      <c r="CU1465" s="37"/>
      <c r="CV1465" s="37"/>
      <c r="CW1465" s="37"/>
      <c r="CX1465" s="37"/>
      <c r="CY1465" s="37"/>
    </row>
    <row r="1466" spans="2:103" s="10" customFormat="1" x14ac:dyDescent="0.4">
      <c r="B1466" s="44"/>
      <c r="C1466" s="43"/>
      <c r="D1466" s="50"/>
      <c r="E1466" s="50"/>
      <c r="F1466" s="50"/>
      <c r="G1466" s="50"/>
      <c r="H1466" s="9"/>
      <c r="I1466" s="9"/>
      <c r="CS1466" s="37"/>
      <c r="CT1466" s="37"/>
      <c r="CU1466" s="37"/>
      <c r="CV1466" s="37"/>
      <c r="CW1466" s="37"/>
      <c r="CX1466" s="37"/>
      <c r="CY1466" s="37"/>
    </row>
    <row r="1467" spans="2:103" s="10" customFormat="1" x14ac:dyDescent="0.4">
      <c r="B1467" s="44"/>
      <c r="C1467" s="43"/>
      <c r="D1467" s="50"/>
      <c r="E1467" s="50"/>
      <c r="F1467" s="50"/>
      <c r="G1467" s="50"/>
      <c r="H1467" s="9"/>
      <c r="I1467" s="9"/>
      <c r="CS1467" s="37"/>
      <c r="CT1467" s="37"/>
      <c r="CU1467" s="37"/>
      <c r="CV1467" s="37"/>
      <c r="CW1467" s="37"/>
      <c r="CX1467" s="37"/>
      <c r="CY1467" s="37"/>
    </row>
    <row r="1468" spans="2:103" s="10" customFormat="1" x14ac:dyDescent="0.4">
      <c r="B1468" s="44"/>
      <c r="C1468" s="43"/>
      <c r="D1468" s="50"/>
      <c r="E1468" s="50"/>
      <c r="F1468" s="50"/>
      <c r="G1468" s="50"/>
      <c r="H1468" s="9"/>
      <c r="I1468" s="9"/>
      <c r="CS1468" s="37"/>
      <c r="CT1468" s="37"/>
      <c r="CU1468" s="37"/>
      <c r="CV1468" s="37"/>
      <c r="CW1468" s="37"/>
      <c r="CX1468" s="37"/>
      <c r="CY1468" s="37"/>
    </row>
    <row r="1469" spans="2:103" s="10" customFormat="1" x14ac:dyDescent="0.4">
      <c r="B1469" s="44"/>
      <c r="C1469" s="43"/>
      <c r="D1469" s="50"/>
      <c r="E1469" s="50"/>
      <c r="F1469" s="50"/>
      <c r="G1469" s="50"/>
      <c r="H1469" s="9"/>
      <c r="I1469" s="9"/>
      <c r="CS1469" s="37"/>
      <c r="CT1469" s="37"/>
      <c r="CU1469" s="37"/>
      <c r="CV1469" s="37"/>
      <c r="CW1469" s="37"/>
      <c r="CX1469" s="37"/>
      <c r="CY1469" s="37"/>
    </row>
    <row r="1470" spans="2:103" s="10" customFormat="1" x14ac:dyDescent="0.4">
      <c r="B1470" s="44"/>
      <c r="C1470" s="43"/>
      <c r="D1470" s="50"/>
      <c r="E1470" s="50"/>
      <c r="F1470" s="50"/>
      <c r="G1470" s="50"/>
      <c r="H1470" s="9"/>
      <c r="I1470" s="9"/>
      <c r="CS1470" s="37"/>
      <c r="CT1470" s="37"/>
      <c r="CU1470" s="37"/>
      <c r="CV1470" s="37"/>
      <c r="CW1470" s="37"/>
      <c r="CX1470" s="37"/>
      <c r="CY1470" s="37"/>
    </row>
    <row r="1471" spans="2:103" s="10" customFormat="1" x14ac:dyDescent="0.4">
      <c r="B1471" s="44"/>
      <c r="C1471" s="43"/>
      <c r="D1471" s="50"/>
      <c r="E1471" s="50"/>
      <c r="F1471" s="50"/>
      <c r="G1471" s="50"/>
      <c r="H1471" s="9"/>
      <c r="I1471" s="9"/>
      <c r="CS1471" s="37"/>
      <c r="CT1471" s="37"/>
      <c r="CU1471" s="37"/>
      <c r="CV1471" s="37"/>
      <c r="CW1471" s="37"/>
      <c r="CX1471" s="37"/>
      <c r="CY1471" s="37"/>
    </row>
    <row r="1472" spans="2:103" s="10" customFormat="1" x14ac:dyDescent="0.4">
      <c r="B1472" s="44"/>
      <c r="C1472" s="43"/>
      <c r="D1472" s="50"/>
      <c r="E1472" s="50"/>
      <c r="F1472" s="50"/>
      <c r="G1472" s="50"/>
      <c r="H1472" s="9"/>
      <c r="I1472" s="9"/>
      <c r="CS1472" s="37"/>
      <c r="CT1472" s="37"/>
      <c r="CU1472" s="37"/>
      <c r="CV1472" s="37"/>
      <c r="CW1472" s="37"/>
      <c r="CX1472" s="37"/>
      <c r="CY1472" s="37"/>
    </row>
    <row r="1473" spans="2:103" s="10" customFormat="1" x14ac:dyDescent="0.4">
      <c r="B1473" s="44"/>
      <c r="C1473" s="43"/>
      <c r="D1473" s="50"/>
      <c r="E1473" s="50"/>
      <c r="F1473" s="50"/>
      <c r="G1473" s="50"/>
      <c r="H1473" s="9"/>
      <c r="I1473" s="9"/>
      <c r="CS1473" s="37"/>
      <c r="CT1473" s="37"/>
      <c r="CU1473" s="37"/>
      <c r="CV1473" s="37"/>
      <c r="CW1473" s="37"/>
      <c r="CX1473" s="37"/>
      <c r="CY1473" s="37"/>
    </row>
    <row r="1474" spans="2:103" s="10" customFormat="1" x14ac:dyDescent="0.4">
      <c r="B1474" s="44"/>
      <c r="C1474" s="43"/>
      <c r="D1474" s="50"/>
      <c r="E1474" s="50"/>
      <c r="F1474" s="50"/>
      <c r="G1474" s="50"/>
      <c r="H1474" s="9"/>
      <c r="I1474" s="9"/>
      <c r="CS1474" s="37"/>
      <c r="CT1474" s="37"/>
      <c r="CU1474" s="37"/>
      <c r="CV1474" s="37"/>
      <c r="CW1474" s="37"/>
      <c r="CX1474" s="37"/>
      <c r="CY1474" s="37"/>
    </row>
    <row r="1475" spans="2:103" s="10" customFormat="1" x14ac:dyDescent="0.4">
      <c r="B1475" s="44"/>
      <c r="C1475" s="43"/>
      <c r="D1475" s="50"/>
      <c r="E1475" s="50"/>
      <c r="F1475" s="50"/>
      <c r="G1475" s="50"/>
      <c r="H1475" s="9"/>
      <c r="I1475" s="9"/>
      <c r="CS1475" s="37"/>
      <c r="CT1475" s="37"/>
      <c r="CU1475" s="37"/>
      <c r="CV1475" s="37"/>
      <c r="CW1475" s="37"/>
      <c r="CX1475" s="37"/>
      <c r="CY1475" s="37"/>
    </row>
    <row r="1476" spans="2:103" s="10" customFormat="1" x14ac:dyDescent="0.4">
      <c r="B1476" s="44"/>
      <c r="C1476" s="43"/>
      <c r="D1476" s="50"/>
      <c r="E1476" s="50"/>
      <c r="F1476" s="50"/>
      <c r="G1476" s="50"/>
      <c r="H1476" s="9"/>
      <c r="I1476" s="9"/>
      <c r="CS1476" s="37"/>
      <c r="CT1476" s="37"/>
      <c r="CU1476" s="37"/>
      <c r="CV1476" s="37"/>
      <c r="CW1476" s="37"/>
      <c r="CX1476" s="37"/>
      <c r="CY1476" s="37"/>
    </row>
    <row r="1477" spans="2:103" s="10" customFormat="1" x14ac:dyDescent="0.4">
      <c r="B1477" s="44"/>
      <c r="C1477" s="43"/>
      <c r="D1477" s="50"/>
      <c r="E1477" s="50"/>
      <c r="F1477" s="50"/>
      <c r="G1477" s="50"/>
      <c r="H1477" s="9"/>
      <c r="I1477" s="9"/>
      <c r="CS1477" s="37"/>
      <c r="CT1477" s="37"/>
      <c r="CU1477" s="37"/>
      <c r="CV1477" s="37"/>
      <c r="CW1477" s="37"/>
      <c r="CX1477" s="37"/>
      <c r="CY1477" s="37"/>
    </row>
    <row r="1478" spans="2:103" s="10" customFormat="1" x14ac:dyDescent="0.4">
      <c r="B1478" s="44"/>
      <c r="C1478" s="43"/>
      <c r="D1478" s="50"/>
      <c r="E1478" s="50"/>
      <c r="F1478" s="50"/>
      <c r="G1478" s="50"/>
      <c r="H1478" s="9"/>
      <c r="I1478" s="9"/>
      <c r="CS1478" s="37"/>
      <c r="CT1478" s="37"/>
      <c r="CU1478" s="37"/>
      <c r="CV1478" s="37"/>
      <c r="CW1478" s="37"/>
      <c r="CX1478" s="37"/>
      <c r="CY1478" s="37"/>
    </row>
    <row r="1479" spans="2:103" s="10" customFormat="1" x14ac:dyDescent="0.4">
      <c r="B1479" s="44"/>
      <c r="C1479" s="43"/>
      <c r="D1479" s="50"/>
      <c r="E1479" s="50"/>
      <c r="F1479" s="50"/>
      <c r="G1479" s="50"/>
      <c r="H1479" s="9"/>
      <c r="I1479" s="9"/>
      <c r="CS1479" s="37"/>
      <c r="CT1479" s="37"/>
      <c r="CU1479" s="37"/>
      <c r="CV1479" s="37"/>
      <c r="CW1479" s="37"/>
      <c r="CX1479" s="37"/>
      <c r="CY1479" s="37"/>
    </row>
    <row r="1480" spans="2:103" s="10" customFormat="1" x14ac:dyDescent="0.4">
      <c r="B1480" s="44"/>
      <c r="C1480" s="43"/>
      <c r="D1480" s="50"/>
      <c r="E1480" s="50"/>
      <c r="F1480" s="50"/>
      <c r="G1480" s="50"/>
      <c r="H1480" s="9"/>
      <c r="I1480" s="9"/>
      <c r="CS1480" s="37"/>
      <c r="CT1480" s="37"/>
      <c r="CU1480" s="37"/>
      <c r="CV1480" s="37"/>
      <c r="CW1480" s="37"/>
      <c r="CX1480" s="37"/>
      <c r="CY1480" s="37"/>
    </row>
    <row r="1481" spans="2:103" s="10" customFormat="1" x14ac:dyDescent="0.4">
      <c r="B1481" s="44"/>
      <c r="C1481" s="43"/>
      <c r="D1481" s="50"/>
      <c r="E1481" s="50"/>
      <c r="F1481" s="50"/>
      <c r="G1481" s="50"/>
      <c r="H1481" s="9"/>
      <c r="I1481" s="9"/>
      <c r="CS1481" s="37"/>
      <c r="CT1481" s="37"/>
      <c r="CU1481" s="37"/>
      <c r="CV1481" s="37"/>
      <c r="CW1481" s="37"/>
      <c r="CX1481" s="37"/>
      <c r="CY1481" s="37"/>
    </row>
    <row r="1482" spans="2:103" s="10" customFormat="1" x14ac:dyDescent="0.4">
      <c r="B1482" s="44"/>
      <c r="C1482" s="43"/>
      <c r="D1482" s="50"/>
      <c r="E1482" s="50"/>
      <c r="F1482" s="50"/>
      <c r="G1482" s="50"/>
      <c r="H1482" s="9"/>
      <c r="I1482" s="9"/>
      <c r="CS1482" s="37"/>
      <c r="CT1482" s="37"/>
      <c r="CU1482" s="37"/>
      <c r="CV1482" s="37"/>
      <c r="CW1482" s="37"/>
      <c r="CX1482" s="37"/>
      <c r="CY1482" s="37"/>
    </row>
    <row r="1483" spans="2:103" s="10" customFormat="1" x14ac:dyDescent="0.4">
      <c r="B1483" s="44"/>
      <c r="C1483" s="43"/>
      <c r="D1483" s="50"/>
      <c r="E1483" s="50"/>
      <c r="F1483" s="50"/>
      <c r="G1483" s="50"/>
      <c r="H1483" s="9"/>
      <c r="I1483" s="9"/>
      <c r="CS1483" s="37"/>
      <c r="CT1483" s="37"/>
      <c r="CU1483" s="37"/>
      <c r="CV1483" s="37"/>
      <c r="CW1483" s="37"/>
      <c r="CX1483" s="37"/>
      <c r="CY1483" s="37"/>
    </row>
    <row r="1484" spans="2:103" s="10" customFormat="1" x14ac:dyDescent="0.4">
      <c r="B1484" s="44"/>
      <c r="C1484" s="43"/>
      <c r="D1484" s="50"/>
      <c r="E1484" s="50"/>
      <c r="F1484" s="50"/>
      <c r="G1484" s="50"/>
      <c r="H1484" s="9"/>
      <c r="I1484" s="9"/>
      <c r="CS1484" s="37"/>
      <c r="CT1484" s="37"/>
      <c r="CU1484" s="37"/>
      <c r="CV1484" s="37"/>
      <c r="CW1484" s="37"/>
      <c r="CX1484" s="37"/>
      <c r="CY1484" s="37"/>
    </row>
    <row r="1485" spans="2:103" s="10" customFormat="1" x14ac:dyDescent="0.4">
      <c r="B1485" s="44"/>
      <c r="C1485" s="43"/>
      <c r="D1485" s="50"/>
      <c r="E1485" s="50"/>
      <c r="F1485" s="50"/>
      <c r="G1485" s="50"/>
      <c r="H1485" s="9"/>
      <c r="I1485" s="9"/>
      <c r="CS1485" s="37"/>
      <c r="CT1485" s="37"/>
      <c r="CU1485" s="37"/>
      <c r="CV1485" s="37"/>
      <c r="CW1485" s="37"/>
      <c r="CX1485" s="37"/>
      <c r="CY1485" s="37"/>
    </row>
    <row r="1486" spans="2:103" s="10" customFormat="1" x14ac:dyDescent="0.4">
      <c r="B1486" s="44"/>
      <c r="C1486" s="43"/>
      <c r="D1486" s="50"/>
      <c r="E1486" s="50"/>
      <c r="F1486" s="50"/>
      <c r="G1486" s="50"/>
      <c r="H1486" s="9"/>
      <c r="I1486" s="9"/>
      <c r="CS1486" s="37"/>
      <c r="CT1486" s="37"/>
      <c r="CU1486" s="37"/>
      <c r="CV1486" s="37"/>
      <c r="CW1486" s="37"/>
      <c r="CX1486" s="37"/>
      <c r="CY1486" s="37"/>
    </row>
    <row r="1487" spans="2:103" s="10" customFormat="1" x14ac:dyDescent="0.4">
      <c r="B1487" s="44"/>
      <c r="C1487" s="43"/>
      <c r="D1487" s="50"/>
      <c r="E1487" s="50"/>
      <c r="F1487" s="50"/>
      <c r="G1487" s="50"/>
      <c r="H1487" s="9"/>
      <c r="I1487" s="9"/>
      <c r="CS1487" s="37"/>
      <c r="CT1487" s="37"/>
      <c r="CU1487" s="37"/>
      <c r="CV1487" s="37"/>
      <c r="CW1487" s="37"/>
      <c r="CX1487" s="37"/>
      <c r="CY1487" s="37"/>
    </row>
    <row r="1488" spans="2:103" s="10" customFormat="1" x14ac:dyDescent="0.4">
      <c r="B1488" s="44"/>
      <c r="C1488" s="43"/>
      <c r="D1488" s="50"/>
      <c r="E1488" s="50"/>
      <c r="F1488" s="50"/>
      <c r="G1488" s="50"/>
      <c r="H1488" s="9"/>
      <c r="I1488" s="9"/>
      <c r="CS1488" s="37"/>
      <c r="CT1488" s="37"/>
      <c r="CU1488" s="37"/>
      <c r="CV1488" s="37"/>
      <c r="CW1488" s="37"/>
      <c r="CX1488" s="37"/>
      <c r="CY1488" s="37"/>
    </row>
    <row r="1489" spans="2:103" s="10" customFormat="1" x14ac:dyDescent="0.4">
      <c r="B1489" s="44"/>
      <c r="C1489" s="43"/>
      <c r="D1489" s="50"/>
      <c r="E1489" s="50"/>
      <c r="F1489" s="50"/>
      <c r="G1489" s="50"/>
      <c r="H1489" s="9"/>
      <c r="I1489" s="9"/>
      <c r="CS1489" s="37"/>
      <c r="CT1489" s="37"/>
      <c r="CU1489" s="37"/>
      <c r="CV1489" s="37"/>
      <c r="CW1489" s="37"/>
      <c r="CX1489" s="37"/>
      <c r="CY1489" s="37"/>
    </row>
    <row r="1490" spans="2:103" s="10" customFormat="1" x14ac:dyDescent="0.4">
      <c r="B1490" s="44"/>
      <c r="C1490" s="43"/>
      <c r="D1490" s="50"/>
      <c r="E1490" s="50"/>
      <c r="F1490" s="50"/>
      <c r="G1490" s="50"/>
      <c r="H1490" s="9"/>
      <c r="I1490" s="9"/>
      <c r="CS1490" s="37"/>
      <c r="CT1490" s="37"/>
      <c r="CU1490" s="37"/>
      <c r="CV1490" s="37"/>
      <c r="CW1490" s="37"/>
      <c r="CX1490" s="37"/>
      <c r="CY1490" s="37"/>
    </row>
    <row r="1491" spans="2:103" s="10" customFormat="1" x14ac:dyDescent="0.4">
      <c r="B1491" s="44"/>
      <c r="C1491" s="43"/>
      <c r="D1491" s="50"/>
      <c r="E1491" s="50"/>
      <c r="F1491" s="50"/>
      <c r="G1491" s="50"/>
      <c r="H1491" s="9"/>
      <c r="I1491" s="9"/>
      <c r="CS1491" s="37"/>
      <c r="CT1491" s="37"/>
      <c r="CU1491" s="37"/>
      <c r="CV1491" s="37"/>
      <c r="CW1491" s="37"/>
      <c r="CX1491" s="37"/>
      <c r="CY1491" s="37"/>
    </row>
    <row r="1492" spans="2:103" s="10" customFormat="1" x14ac:dyDescent="0.4">
      <c r="B1492" s="44"/>
      <c r="C1492" s="43"/>
      <c r="D1492" s="50"/>
      <c r="E1492" s="50"/>
      <c r="F1492" s="50"/>
      <c r="G1492" s="50"/>
      <c r="H1492" s="9"/>
      <c r="I1492" s="9"/>
      <c r="CS1492" s="37"/>
      <c r="CT1492" s="37"/>
      <c r="CU1492" s="37"/>
      <c r="CV1492" s="37"/>
      <c r="CW1492" s="37"/>
      <c r="CX1492" s="37"/>
      <c r="CY1492" s="37"/>
    </row>
    <row r="1493" spans="2:103" s="10" customFormat="1" x14ac:dyDescent="0.4">
      <c r="B1493" s="44"/>
      <c r="C1493" s="43"/>
      <c r="D1493" s="50"/>
      <c r="E1493" s="50"/>
      <c r="F1493" s="50"/>
      <c r="G1493" s="50"/>
      <c r="H1493" s="9"/>
      <c r="I1493" s="9"/>
      <c r="CS1493" s="37"/>
      <c r="CT1493" s="37"/>
      <c r="CU1493" s="37"/>
      <c r="CV1493" s="37"/>
      <c r="CW1493" s="37"/>
      <c r="CX1493" s="37"/>
      <c r="CY1493" s="37"/>
    </row>
    <row r="1494" spans="2:103" s="10" customFormat="1" x14ac:dyDescent="0.4">
      <c r="B1494" s="44"/>
      <c r="C1494" s="43"/>
      <c r="D1494" s="50"/>
      <c r="E1494" s="50"/>
      <c r="F1494" s="50"/>
      <c r="G1494" s="50"/>
      <c r="H1494" s="9"/>
      <c r="I1494" s="9"/>
      <c r="CS1494" s="37"/>
      <c r="CT1494" s="37"/>
      <c r="CU1494" s="37"/>
      <c r="CV1494" s="37"/>
      <c r="CW1494" s="37"/>
      <c r="CX1494" s="37"/>
      <c r="CY1494" s="37"/>
    </row>
    <row r="1495" spans="2:103" s="10" customFormat="1" x14ac:dyDescent="0.4">
      <c r="B1495" s="44"/>
      <c r="C1495" s="43"/>
      <c r="D1495" s="50"/>
      <c r="E1495" s="50"/>
      <c r="F1495" s="50"/>
      <c r="G1495" s="50"/>
      <c r="H1495" s="9"/>
      <c r="I1495" s="9"/>
      <c r="CS1495" s="37"/>
      <c r="CT1495" s="37"/>
      <c r="CU1495" s="37"/>
      <c r="CV1495" s="37"/>
      <c r="CW1495" s="37"/>
      <c r="CX1495" s="37"/>
      <c r="CY1495" s="37"/>
    </row>
    <row r="1496" spans="2:103" s="10" customFormat="1" x14ac:dyDescent="0.4">
      <c r="B1496" s="44"/>
      <c r="C1496" s="43"/>
      <c r="D1496" s="50"/>
      <c r="E1496" s="50"/>
      <c r="F1496" s="50"/>
      <c r="G1496" s="50"/>
      <c r="H1496" s="9"/>
      <c r="I1496" s="9"/>
      <c r="CS1496" s="37"/>
      <c r="CT1496" s="37"/>
      <c r="CU1496" s="37"/>
      <c r="CV1496" s="37"/>
      <c r="CW1496" s="37"/>
      <c r="CX1496" s="37"/>
      <c r="CY1496" s="37"/>
    </row>
    <row r="1497" spans="2:103" s="10" customFormat="1" x14ac:dyDescent="0.4">
      <c r="B1497" s="44"/>
      <c r="C1497" s="43"/>
      <c r="D1497" s="50"/>
      <c r="E1497" s="50"/>
      <c r="F1497" s="50"/>
      <c r="G1497" s="50"/>
      <c r="H1497" s="9"/>
      <c r="I1497" s="9"/>
      <c r="CS1497" s="37"/>
      <c r="CT1497" s="37"/>
      <c r="CU1497" s="37"/>
      <c r="CV1497" s="37"/>
      <c r="CW1497" s="37"/>
      <c r="CX1497" s="37"/>
      <c r="CY1497" s="37"/>
    </row>
    <row r="1498" spans="2:103" s="10" customFormat="1" x14ac:dyDescent="0.4">
      <c r="B1498" s="44"/>
      <c r="C1498" s="43"/>
      <c r="D1498" s="50"/>
      <c r="E1498" s="50"/>
      <c r="F1498" s="50"/>
      <c r="G1498" s="50"/>
      <c r="H1498" s="9"/>
      <c r="I1498" s="9"/>
      <c r="CS1498" s="37"/>
      <c r="CT1498" s="37"/>
      <c r="CU1498" s="37"/>
      <c r="CV1498" s="37"/>
      <c r="CW1498" s="37"/>
      <c r="CX1498" s="37"/>
      <c r="CY1498" s="37"/>
    </row>
    <row r="1499" spans="2:103" s="10" customFormat="1" x14ac:dyDescent="0.4">
      <c r="B1499" s="44"/>
      <c r="C1499" s="43"/>
      <c r="D1499" s="50"/>
      <c r="E1499" s="50"/>
      <c r="F1499" s="50"/>
      <c r="G1499" s="50"/>
      <c r="H1499" s="9"/>
      <c r="I1499" s="9"/>
      <c r="CS1499" s="37"/>
      <c r="CT1499" s="37"/>
      <c r="CU1499" s="37"/>
      <c r="CV1499" s="37"/>
      <c r="CW1499" s="37"/>
      <c r="CX1499" s="37"/>
      <c r="CY1499" s="37"/>
    </row>
    <row r="1500" spans="2:103" s="10" customFormat="1" x14ac:dyDescent="0.4">
      <c r="B1500" s="44"/>
      <c r="C1500" s="43"/>
      <c r="D1500" s="50"/>
      <c r="E1500" s="50"/>
      <c r="F1500" s="50"/>
      <c r="G1500" s="50"/>
      <c r="H1500" s="9"/>
      <c r="I1500" s="9"/>
      <c r="CS1500" s="37"/>
      <c r="CT1500" s="37"/>
      <c r="CU1500" s="37"/>
      <c r="CV1500" s="37"/>
      <c r="CW1500" s="37"/>
      <c r="CX1500" s="37"/>
      <c r="CY1500" s="37"/>
    </row>
    <row r="1501" spans="2:103" s="10" customFormat="1" x14ac:dyDescent="0.4">
      <c r="B1501" s="44"/>
      <c r="C1501" s="43"/>
      <c r="D1501" s="50"/>
      <c r="E1501" s="50"/>
      <c r="F1501" s="50"/>
      <c r="G1501" s="50"/>
      <c r="H1501" s="9"/>
      <c r="I1501" s="9"/>
      <c r="CS1501" s="37"/>
      <c r="CT1501" s="37"/>
      <c r="CU1501" s="37"/>
      <c r="CV1501" s="37"/>
      <c r="CW1501" s="37"/>
      <c r="CX1501" s="37"/>
      <c r="CY1501" s="37"/>
    </row>
    <row r="1502" spans="2:103" s="10" customFormat="1" x14ac:dyDescent="0.4">
      <c r="B1502" s="44"/>
      <c r="C1502" s="43"/>
      <c r="D1502" s="50"/>
      <c r="E1502" s="50"/>
      <c r="F1502" s="50"/>
      <c r="G1502" s="50"/>
      <c r="H1502" s="9"/>
      <c r="I1502" s="9"/>
      <c r="CS1502" s="37"/>
      <c r="CT1502" s="37"/>
      <c r="CU1502" s="37"/>
      <c r="CV1502" s="37"/>
      <c r="CW1502" s="37"/>
      <c r="CX1502" s="37"/>
      <c r="CY1502" s="37"/>
    </row>
    <row r="1503" spans="2:103" s="10" customFormat="1" x14ac:dyDescent="0.4">
      <c r="B1503" s="44"/>
      <c r="C1503" s="43"/>
      <c r="D1503" s="50"/>
      <c r="E1503" s="50"/>
      <c r="F1503" s="50"/>
      <c r="G1503" s="50"/>
      <c r="H1503" s="9"/>
      <c r="I1503" s="9"/>
      <c r="CS1503" s="37"/>
      <c r="CT1503" s="37"/>
      <c r="CU1503" s="37"/>
      <c r="CV1503" s="37"/>
      <c r="CW1503" s="37"/>
      <c r="CX1503" s="37"/>
      <c r="CY1503" s="37"/>
    </row>
    <row r="1504" spans="2:103" s="10" customFormat="1" x14ac:dyDescent="0.4">
      <c r="B1504" s="44"/>
      <c r="C1504" s="43"/>
      <c r="D1504" s="50"/>
      <c r="E1504" s="50"/>
      <c r="F1504" s="50"/>
      <c r="G1504" s="50"/>
      <c r="H1504" s="9"/>
      <c r="I1504" s="9"/>
      <c r="CS1504" s="37"/>
      <c r="CT1504" s="37"/>
      <c r="CU1504" s="37"/>
      <c r="CV1504" s="37"/>
      <c r="CW1504" s="37"/>
      <c r="CX1504" s="37"/>
      <c r="CY1504" s="37"/>
    </row>
    <row r="1505" spans="2:103" s="10" customFormat="1" x14ac:dyDescent="0.4">
      <c r="B1505" s="44"/>
      <c r="C1505" s="43"/>
      <c r="D1505" s="50"/>
      <c r="E1505" s="50"/>
      <c r="F1505" s="50"/>
      <c r="G1505" s="50"/>
      <c r="H1505" s="9"/>
      <c r="I1505" s="9"/>
      <c r="CS1505" s="37"/>
      <c r="CT1505" s="37"/>
      <c r="CU1505" s="37"/>
      <c r="CV1505" s="37"/>
      <c r="CW1505" s="37"/>
      <c r="CX1505" s="37"/>
      <c r="CY1505" s="37"/>
    </row>
    <row r="1506" spans="2:103" s="10" customFormat="1" x14ac:dyDescent="0.4">
      <c r="B1506" s="44"/>
      <c r="C1506" s="43"/>
      <c r="D1506" s="50"/>
      <c r="E1506" s="50"/>
      <c r="F1506" s="50"/>
      <c r="G1506" s="50"/>
      <c r="H1506" s="9"/>
      <c r="I1506" s="9"/>
      <c r="CS1506" s="37"/>
      <c r="CT1506" s="37"/>
      <c r="CU1506" s="37"/>
      <c r="CV1506" s="37"/>
      <c r="CW1506" s="37"/>
      <c r="CX1506" s="37"/>
      <c r="CY1506" s="37"/>
    </row>
    <row r="1507" spans="2:103" s="10" customFormat="1" x14ac:dyDescent="0.4">
      <c r="B1507" s="44"/>
      <c r="C1507" s="43"/>
      <c r="D1507" s="50"/>
      <c r="E1507" s="50"/>
      <c r="F1507" s="50"/>
      <c r="G1507" s="50"/>
      <c r="H1507" s="9"/>
      <c r="I1507" s="9"/>
      <c r="CS1507" s="37"/>
      <c r="CT1507" s="37"/>
      <c r="CU1507" s="37"/>
      <c r="CV1507" s="37"/>
      <c r="CW1507" s="37"/>
      <c r="CX1507" s="37"/>
      <c r="CY1507" s="37"/>
    </row>
    <row r="1508" spans="2:103" s="10" customFormat="1" x14ac:dyDescent="0.4">
      <c r="B1508" s="44"/>
      <c r="C1508" s="43"/>
      <c r="D1508" s="50"/>
      <c r="E1508" s="50"/>
      <c r="F1508" s="50"/>
      <c r="G1508" s="50"/>
      <c r="H1508" s="9"/>
      <c r="I1508" s="9"/>
      <c r="CS1508" s="37"/>
      <c r="CT1508" s="37"/>
      <c r="CU1508" s="37"/>
      <c r="CV1508" s="37"/>
      <c r="CW1508" s="37"/>
      <c r="CX1508" s="37"/>
      <c r="CY1508" s="37"/>
    </row>
    <row r="1509" spans="2:103" s="10" customFormat="1" x14ac:dyDescent="0.4">
      <c r="B1509" s="44"/>
      <c r="C1509" s="43"/>
      <c r="D1509" s="50"/>
      <c r="E1509" s="50"/>
      <c r="F1509" s="50"/>
      <c r="G1509" s="50"/>
      <c r="H1509" s="9"/>
      <c r="I1509" s="9"/>
      <c r="CS1509" s="37"/>
      <c r="CT1509" s="37"/>
      <c r="CU1509" s="37"/>
      <c r="CV1509" s="37"/>
      <c r="CW1509" s="37"/>
      <c r="CX1509" s="37"/>
      <c r="CY1509" s="37"/>
    </row>
    <row r="1510" spans="2:103" s="10" customFormat="1" x14ac:dyDescent="0.4">
      <c r="B1510" s="44"/>
      <c r="C1510" s="43"/>
      <c r="D1510" s="50"/>
      <c r="E1510" s="50"/>
      <c r="F1510" s="50"/>
      <c r="G1510" s="50"/>
      <c r="H1510" s="9"/>
      <c r="I1510" s="9"/>
      <c r="CS1510" s="37"/>
      <c r="CT1510" s="37"/>
      <c r="CU1510" s="37"/>
      <c r="CV1510" s="37"/>
      <c r="CW1510" s="37"/>
      <c r="CX1510" s="37"/>
      <c r="CY1510" s="37"/>
    </row>
    <row r="1511" spans="2:103" s="10" customFormat="1" x14ac:dyDescent="0.4">
      <c r="B1511" s="44"/>
      <c r="C1511" s="43"/>
      <c r="D1511" s="50"/>
      <c r="E1511" s="50"/>
      <c r="F1511" s="50"/>
      <c r="G1511" s="50"/>
      <c r="H1511" s="9"/>
      <c r="I1511" s="9"/>
      <c r="CS1511" s="37"/>
      <c r="CT1511" s="37"/>
      <c r="CU1511" s="37"/>
      <c r="CV1511" s="37"/>
      <c r="CW1511" s="37"/>
      <c r="CX1511" s="37"/>
      <c r="CY1511" s="37"/>
    </row>
    <row r="1512" spans="2:103" s="10" customFormat="1" x14ac:dyDescent="0.4">
      <c r="B1512" s="44"/>
      <c r="C1512" s="43"/>
      <c r="D1512" s="50"/>
      <c r="E1512" s="50"/>
      <c r="F1512" s="50"/>
      <c r="G1512" s="50"/>
      <c r="H1512" s="9"/>
      <c r="I1512" s="9"/>
      <c r="CS1512" s="37"/>
      <c r="CT1512" s="37"/>
      <c r="CU1512" s="37"/>
      <c r="CV1512" s="37"/>
      <c r="CW1512" s="37"/>
      <c r="CX1512" s="37"/>
      <c r="CY1512" s="37"/>
    </row>
    <row r="1513" spans="2:103" s="10" customFormat="1" x14ac:dyDescent="0.4">
      <c r="B1513" s="44"/>
      <c r="C1513" s="43"/>
      <c r="D1513" s="50"/>
      <c r="E1513" s="50"/>
      <c r="F1513" s="50"/>
      <c r="G1513" s="50"/>
      <c r="H1513" s="9"/>
      <c r="I1513" s="9"/>
      <c r="CS1513" s="37"/>
      <c r="CT1513" s="37"/>
      <c r="CU1513" s="37"/>
      <c r="CV1513" s="37"/>
      <c r="CW1513" s="37"/>
      <c r="CX1513" s="37"/>
      <c r="CY1513" s="37"/>
    </row>
    <row r="1514" spans="2:103" s="10" customFormat="1" x14ac:dyDescent="0.4">
      <c r="B1514" s="44"/>
      <c r="C1514" s="43"/>
      <c r="D1514" s="50"/>
      <c r="E1514" s="50"/>
      <c r="F1514" s="50"/>
      <c r="G1514" s="50"/>
      <c r="H1514" s="9"/>
      <c r="I1514" s="9"/>
      <c r="CS1514" s="37"/>
      <c r="CT1514" s="37"/>
      <c r="CU1514" s="37"/>
      <c r="CV1514" s="37"/>
      <c r="CW1514" s="37"/>
      <c r="CX1514" s="37"/>
      <c r="CY1514" s="37"/>
    </row>
    <row r="1515" spans="2:103" s="10" customFormat="1" x14ac:dyDescent="0.4">
      <c r="B1515" s="44"/>
      <c r="C1515" s="43"/>
      <c r="D1515" s="50"/>
      <c r="E1515" s="50"/>
      <c r="F1515" s="50"/>
      <c r="G1515" s="50"/>
      <c r="H1515" s="9"/>
      <c r="I1515" s="9"/>
      <c r="CS1515" s="37"/>
      <c r="CT1515" s="37"/>
      <c r="CU1515" s="37"/>
      <c r="CV1515" s="37"/>
      <c r="CW1515" s="37"/>
      <c r="CX1515" s="37"/>
      <c r="CY1515" s="37"/>
    </row>
    <row r="1516" spans="2:103" s="10" customFormat="1" x14ac:dyDescent="0.4">
      <c r="B1516" s="44"/>
      <c r="C1516" s="43"/>
      <c r="D1516" s="50"/>
      <c r="E1516" s="50"/>
      <c r="F1516" s="50"/>
      <c r="G1516" s="50"/>
      <c r="H1516" s="9"/>
      <c r="I1516" s="9"/>
      <c r="CS1516" s="37"/>
      <c r="CT1516" s="37"/>
      <c r="CU1516" s="37"/>
      <c r="CV1516" s="37"/>
      <c r="CW1516" s="37"/>
      <c r="CX1516" s="37"/>
      <c r="CY1516" s="37"/>
    </row>
    <row r="1517" spans="2:103" s="10" customFormat="1" x14ac:dyDescent="0.4">
      <c r="B1517" s="44"/>
      <c r="C1517" s="43"/>
      <c r="D1517" s="50"/>
      <c r="E1517" s="50"/>
      <c r="F1517" s="50"/>
      <c r="G1517" s="50"/>
      <c r="H1517" s="9"/>
      <c r="I1517" s="9"/>
      <c r="CS1517" s="37"/>
      <c r="CT1517" s="37"/>
      <c r="CU1517" s="37"/>
      <c r="CV1517" s="37"/>
      <c r="CW1517" s="37"/>
      <c r="CX1517" s="37"/>
      <c r="CY1517" s="37"/>
    </row>
    <row r="1518" spans="2:103" s="10" customFormat="1" x14ac:dyDescent="0.4">
      <c r="B1518" s="44"/>
      <c r="C1518" s="43"/>
      <c r="D1518" s="50"/>
      <c r="E1518" s="50"/>
      <c r="F1518" s="50"/>
      <c r="G1518" s="50"/>
      <c r="H1518" s="9"/>
      <c r="I1518" s="9"/>
      <c r="CS1518" s="37"/>
      <c r="CT1518" s="37"/>
      <c r="CU1518" s="37"/>
      <c r="CV1518" s="37"/>
      <c r="CW1518" s="37"/>
      <c r="CX1518" s="37"/>
      <c r="CY1518" s="37"/>
    </row>
    <row r="1519" spans="2:103" s="10" customFormat="1" x14ac:dyDescent="0.4">
      <c r="B1519" s="44"/>
      <c r="C1519" s="43"/>
      <c r="D1519" s="50"/>
      <c r="E1519" s="50"/>
      <c r="F1519" s="50"/>
      <c r="G1519" s="50"/>
      <c r="H1519" s="9"/>
      <c r="I1519" s="9"/>
      <c r="CS1519" s="37"/>
      <c r="CT1519" s="37"/>
      <c r="CU1519" s="37"/>
      <c r="CV1519" s="37"/>
      <c r="CW1519" s="37"/>
      <c r="CX1519" s="37"/>
      <c r="CY1519" s="37"/>
    </row>
    <row r="1520" spans="2:103" s="10" customFormat="1" x14ac:dyDescent="0.4">
      <c r="B1520" s="44"/>
      <c r="C1520" s="43"/>
      <c r="D1520" s="50"/>
      <c r="E1520" s="50"/>
      <c r="F1520" s="50"/>
      <c r="G1520" s="50"/>
      <c r="H1520" s="9"/>
      <c r="I1520" s="9"/>
      <c r="CS1520" s="37"/>
      <c r="CT1520" s="37"/>
      <c r="CU1520" s="37"/>
      <c r="CV1520" s="37"/>
      <c r="CW1520" s="37"/>
      <c r="CX1520" s="37"/>
      <c r="CY1520" s="37"/>
    </row>
    <row r="1521" spans="2:103" s="10" customFormat="1" x14ac:dyDescent="0.4">
      <c r="B1521" s="44"/>
      <c r="C1521" s="43"/>
      <c r="D1521" s="50"/>
      <c r="E1521" s="50"/>
      <c r="F1521" s="50"/>
      <c r="G1521" s="50"/>
      <c r="H1521" s="9"/>
      <c r="I1521" s="9"/>
      <c r="CS1521" s="37"/>
      <c r="CT1521" s="37"/>
      <c r="CU1521" s="37"/>
      <c r="CV1521" s="37"/>
      <c r="CW1521" s="37"/>
      <c r="CX1521" s="37"/>
      <c r="CY1521" s="37"/>
    </row>
    <row r="1522" spans="2:103" s="10" customFormat="1" x14ac:dyDescent="0.4">
      <c r="B1522" s="44"/>
      <c r="C1522" s="43"/>
      <c r="D1522" s="50"/>
      <c r="E1522" s="50"/>
      <c r="F1522" s="50"/>
      <c r="G1522" s="50"/>
      <c r="H1522" s="9"/>
      <c r="I1522" s="9"/>
      <c r="CS1522" s="37"/>
      <c r="CT1522" s="37"/>
      <c r="CU1522" s="37"/>
      <c r="CV1522" s="37"/>
      <c r="CW1522" s="37"/>
      <c r="CX1522" s="37"/>
      <c r="CY1522" s="37"/>
    </row>
    <row r="1523" spans="2:103" s="10" customFormat="1" x14ac:dyDescent="0.4">
      <c r="B1523" s="44"/>
      <c r="C1523" s="43"/>
      <c r="D1523" s="50"/>
      <c r="E1523" s="50"/>
      <c r="F1523" s="50"/>
      <c r="G1523" s="50"/>
      <c r="H1523" s="9"/>
      <c r="I1523" s="9"/>
      <c r="CS1523" s="37"/>
      <c r="CT1523" s="37"/>
      <c r="CU1523" s="37"/>
      <c r="CV1523" s="37"/>
      <c r="CW1523" s="37"/>
      <c r="CX1523" s="37"/>
      <c r="CY1523" s="37"/>
    </row>
    <row r="1524" spans="2:103" s="10" customFormat="1" x14ac:dyDescent="0.4">
      <c r="B1524" s="44"/>
      <c r="C1524" s="43"/>
      <c r="D1524" s="50"/>
      <c r="E1524" s="50"/>
      <c r="F1524" s="50"/>
      <c r="G1524" s="50"/>
      <c r="H1524" s="9"/>
      <c r="I1524" s="9"/>
      <c r="CS1524" s="37"/>
      <c r="CT1524" s="37"/>
      <c r="CU1524" s="37"/>
      <c r="CV1524" s="37"/>
      <c r="CW1524" s="37"/>
      <c r="CX1524" s="37"/>
      <c r="CY1524" s="37"/>
    </row>
    <row r="1525" spans="2:103" s="10" customFormat="1" x14ac:dyDescent="0.4">
      <c r="B1525" s="44"/>
      <c r="C1525" s="43"/>
      <c r="D1525" s="50"/>
      <c r="E1525" s="50"/>
      <c r="F1525" s="50"/>
      <c r="G1525" s="50"/>
      <c r="H1525" s="9"/>
      <c r="I1525" s="9"/>
      <c r="CS1525" s="37"/>
      <c r="CT1525" s="37"/>
      <c r="CU1525" s="37"/>
      <c r="CV1525" s="37"/>
      <c r="CW1525" s="37"/>
      <c r="CX1525" s="37"/>
      <c r="CY1525" s="37"/>
    </row>
    <row r="1526" spans="2:103" s="10" customFormat="1" x14ac:dyDescent="0.4">
      <c r="B1526" s="44"/>
      <c r="C1526" s="43"/>
      <c r="D1526" s="50"/>
      <c r="E1526" s="50"/>
      <c r="F1526" s="50"/>
      <c r="G1526" s="50"/>
      <c r="H1526" s="9"/>
      <c r="I1526" s="9"/>
      <c r="CS1526" s="37"/>
      <c r="CT1526" s="37"/>
      <c r="CU1526" s="37"/>
      <c r="CV1526" s="37"/>
      <c r="CW1526" s="37"/>
      <c r="CX1526" s="37"/>
      <c r="CY1526" s="37"/>
    </row>
    <row r="1527" spans="2:103" s="10" customFormat="1" x14ac:dyDescent="0.4">
      <c r="B1527" s="44"/>
      <c r="C1527" s="43"/>
      <c r="D1527" s="50"/>
      <c r="E1527" s="50"/>
      <c r="F1527" s="50"/>
      <c r="G1527" s="50"/>
      <c r="H1527" s="9"/>
      <c r="I1527" s="9"/>
      <c r="CS1527" s="37"/>
      <c r="CT1527" s="37"/>
      <c r="CU1527" s="37"/>
      <c r="CV1527" s="37"/>
      <c r="CW1527" s="37"/>
      <c r="CX1527" s="37"/>
      <c r="CY1527" s="37"/>
    </row>
    <row r="1528" spans="2:103" s="10" customFormat="1" x14ac:dyDescent="0.4">
      <c r="B1528" s="44"/>
      <c r="C1528" s="43"/>
      <c r="D1528" s="50"/>
      <c r="E1528" s="50"/>
      <c r="F1528" s="50"/>
      <c r="G1528" s="50"/>
      <c r="H1528" s="9"/>
      <c r="I1528" s="9"/>
      <c r="CS1528" s="37"/>
      <c r="CT1528" s="37"/>
      <c r="CU1528" s="37"/>
      <c r="CV1528" s="37"/>
      <c r="CW1528" s="37"/>
      <c r="CX1528" s="37"/>
      <c r="CY1528" s="37"/>
    </row>
    <row r="1529" spans="2:103" s="10" customFormat="1" x14ac:dyDescent="0.4">
      <c r="B1529" s="44"/>
      <c r="C1529" s="43"/>
      <c r="D1529" s="50"/>
      <c r="E1529" s="50"/>
      <c r="F1529" s="50"/>
      <c r="G1529" s="50"/>
      <c r="H1529" s="9"/>
      <c r="I1529" s="9"/>
      <c r="CS1529" s="37"/>
      <c r="CT1529" s="37"/>
      <c r="CU1529" s="37"/>
      <c r="CV1529" s="37"/>
      <c r="CW1529" s="37"/>
      <c r="CX1529" s="37"/>
      <c r="CY1529" s="37"/>
    </row>
    <row r="1530" spans="2:103" s="10" customFormat="1" x14ac:dyDescent="0.4">
      <c r="B1530" s="44"/>
      <c r="C1530" s="43"/>
      <c r="D1530" s="50"/>
      <c r="E1530" s="50"/>
      <c r="F1530" s="50"/>
      <c r="G1530" s="50"/>
      <c r="H1530" s="9"/>
      <c r="I1530" s="9"/>
      <c r="CS1530" s="37"/>
      <c r="CT1530" s="37"/>
      <c r="CU1530" s="37"/>
      <c r="CV1530" s="37"/>
      <c r="CW1530" s="37"/>
      <c r="CX1530" s="37"/>
      <c r="CY1530" s="37"/>
    </row>
    <row r="1531" spans="2:103" s="10" customFormat="1" x14ac:dyDescent="0.4">
      <c r="B1531" s="44"/>
      <c r="C1531" s="43"/>
      <c r="D1531" s="50"/>
      <c r="E1531" s="50"/>
      <c r="F1531" s="50"/>
      <c r="G1531" s="50"/>
      <c r="H1531" s="9"/>
      <c r="I1531" s="9"/>
      <c r="CS1531" s="37"/>
      <c r="CT1531" s="37"/>
      <c r="CU1531" s="37"/>
      <c r="CV1531" s="37"/>
      <c r="CW1531" s="37"/>
      <c r="CX1531" s="37"/>
      <c r="CY1531" s="37"/>
    </row>
    <row r="1532" spans="2:103" s="10" customFormat="1" x14ac:dyDescent="0.4">
      <c r="B1532" s="44"/>
      <c r="C1532" s="43"/>
      <c r="D1532" s="50"/>
      <c r="E1532" s="50"/>
      <c r="F1532" s="50"/>
      <c r="G1532" s="50"/>
      <c r="H1532" s="9"/>
      <c r="I1532" s="9"/>
      <c r="CS1532" s="37"/>
      <c r="CT1532" s="37"/>
      <c r="CU1532" s="37"/>
      <c r="CV1532" s="37"/>
      <c r="CW1532" s="37"/>
      <c r="CX1532" s="37"/>
      <c r="CY1532" s="37"/>
    </row>
    <row r="1533" spans="2:103" s="10" customFormat="1" x14ac:dyDescent="0.4">
      <c r="B1533" s="44"/>
      <c r="C1533" s="43"/>
      <c r="D1533" s="50"/>
      <c r="E1533" s="50"/>
      <c r="F1533" s="50"/>
      <c r="G1533" s="50"/>
      <c r="H1533" s="9"/>
      <c r="I1533" s="9"/>
      <c r="CS1533" s="37"/>
      <c r="CT1533" s="37"/>
      <c r="CU1533" s="37"/>
      <c r="CV1533" s="37"/>
      <c r="CW1533" s="37"/>
      <c r="CX1533" s="37"/>
      <c r="CY1533" s="37"/>
    </row>
    <row r="1534" spans="2:103" s="10" customFormat="1" x14ac:dyDescent="0.4">
      <c r="B1534" s="44"/>
      <c r="C1534" s="43"/>
      <c r="D1534" s="50"/>
      <c r="E1534" s="50"/>
      <c r="F1534" s="50"/>
      <c r="G1534" s="50"/>
      <c r="H1534" s="9"/>
      <c r="I1534" s="9"/>
      <c r="CS1534" s="37"/>
      <c r="CT1534" s="37"/>
      <c r="CU1534" s="37"/>
      <c r="CV1534" s="37"/>
      <c r="CW1534" s="37"/>
      <c r="CX1534" s="37"/>
      <c r="CY1534" s="37"/>
    </row>
    <row r="1535" spans="2:103" s="10" customFormat="1" x14ac:dyDescent="0.4">
      <c r="B1535" s="44"/>
      <c r="C1535" s="43"/>
      <c r="D1535" s="50"/>
      <c r="E1535" s="50"/>
      <c r="F1535" s="50"/>
      <c r="G1535" s="50"/>
      <c r="H1535" s="9"/>
      <c r="I1535" s="9"/>
      <c r="CS1535" s="37"/>
      <c r="CT1535" s="37"/>
      <c r="CU1535" s="37"/>
      <c r="CV1535" s="37"/>
      <c r="CW1535" s="37"/>
      <c r="CX1535" s="37"/>
      <c r="CY1535" s="37"/>
    </row>
    <row r="1536" spans="2:103" s="10" customFormat="1" x14ac:dyDescent="0.4">
      <c r="B1536" s="44"/>
      <c r="C1536" s="43"/>
      <c r="D1536" s="50"/>
      <c r="E1536" s="50"/>
      <c r="F1536" s="50"/>
      <c r="G1536" s="50"/>
      <c r="H1536" s="9"/>
      <c r="I1536" s="9"/>
      <c r="CS1536" s="37"/>
      <c r="CT1536" s="37"/>
      <c r="CU1536" s="37"/>
      <c r="CV1536" s="37"/>
      <c r="CW1536" s="37"/>
      <c r="CX1536" s="37"/>
      <c r="CY1536" s="37"/>
    </row>
    <row r="1537" spans="2:103" s="10" customFormat="1" x14ac:dyDescent="0.4">
      <c r="B1537" s="44"/>
      <c r="C1537" s="43"/>
      <c r="D1537" s="50"/>
      <c r="E1537" s="50"/>
      <c r="F1537" s="50"/>
      <c r="G1537" s="50"/>
      <c r="H1537" s="9"/>
      <c r="I1537" s="9"/>
      <c r="CS1537" s="37"/>
      <c r="CT1537" s="37"/>
      <c r="CU1537" s="37"/>
      <c r="CV1537" s="37"/>
      <c r="CW1537" s="37"/>
      <c r="CX1537" s="37"/>
      <c r="CY1537" s="37"/>
    </row>
    <row r="1538" spans="2:103" s="10" customFormat="1" x14ac:dyDescent="0.4">
      <c r="B1538" s="44"/>
      <c r="C1538" s="43"/>
      <c r="D1538" s="50"/>
      <c r="E1538" s="50"/>
      <c r="F1538" s="50"/>
      <c r="G1538" s="50"/>
      <c r="H1538" s="9"/>
      <c r="I1538" s="9"/>
      <c r="CS1538" s="37"/>
      <c r="CT1538" s="37"/>
      <c r="CU1538" s="37"/>
      <c r="CV1538" s="37"/>
      <c r="CW1538" s="37"/>
      <c r="CX1538" s="37"/>
      <c r="CY1538" s="37"/>
    </row>
    <row r="1539" spans="2:103" s="10" customFormat="1" x14ac:dyDescent="0.4">
      <c r="B1539" s="44"/>
      <c r="C1539" s="43"/>
      <c r="D1539" s="50"/>
      <c r="E1539" s="50"/>
      <c r="F1539" s="50"/>
      <c r="G1539" s="50"/>
      <c r="H1539" s="9"/>
      <c r="I1539" s="9"/>
      <c r="CS1539" s="37"/>
      <c r="CT1539" s="37"/>
      <c r="CU1539" s="37"/>
      <c r="CV1539" s="37"/>
      <c r="CW1539" s="37"/>
      <c r="CX1539" s="37"/>
      <c r="CY1539" s="37"/>
    </row>
    <row r="1540" spans="2:103" s="10" customFormat="1" x14ac:dyDescent="0.4">
      <c r="B1540" s="44"/>
      <c r="C1540" s="43"/>
      <c r="D1540" s="50"/>
      <c r="E1540" s="50"/>
      <c r="F1540" s="50"/>
      <c r="G1540" s="50"/>
      <c r="H1540" s="9"/>
      <c r="I1540" s="9"/>
      <c r="CS1540" s="37"/>
      <c r="CT1540" s="37"/>
      <c r="CU1540" s="37"/>
      <c r="CV1540" s="37"/>
      <c r="CW1540" s="37"/>
      <c r="CX1540" s="37"/>
      <c r="CY1540" s="37"/>
    </row>
    <row r="1541" spans="2:103" s="10" customFormat="1" x14ac:dyDescent="0.4">
      <c r="B1541" s="44"/>
      <c r="C1541" s="43"/>
      <c r="D1541" s="50"/>
      <c r="E1541" s="50"/>
      <c r="F1541" s="50"/>
      <c r="G1541" s="50"/>
      <c r="H1541" s="9"/>
      <c r="I1541" s="9"/>
      <c r="CS1541" s="37"/>
      <c r="CT1541" s="37"/>
      <c r="CU1541" s="37"/>
      <c r="CV1541" s="37"/>
      <c r="CW1541" s="37"/>
      <c r="CX1541" s="37"/>
      <c r="CY1541" s="37"/>
    </row>
    <row r="1542" spans="2:103" s="10" customFormat="1" x14ac:dyDescent="0.4">
      <c r="B1542" s="44"/>
      <c r="C1542" s="43"/>
      <c r="D1542" s="50"/>
      <c r="E1542" s="50"/>
      <c r="F1542" s="50"/>
      <c r="G1542" s="50"/>
      <c r="H1542" s="9"/>
      <c r="I1542" s="9"/>
      <c r="CS1542" s="37"/>
      <c r="CT1542" s="37"/>
      <c r="CU1542" s="37"/>
      <c r="CV1542" s="37"/>
      <c r="CW1542" s="37"/>
      <c r="CX1542" s="37"/>
      <c r="CY1542" s="37"/>
    </row>
    <row r="1543" spans="2:103" s="10" customFormat="1" x14ac:dyDescent="0.4">
      <c r="B1543" s="44"/>
      <c r="C1543" s="43"/>
      <c r="D1543" s="50"/>
      <c r="E1543" s="50"/>
      <c r="F1543" s="50"/>
      <c r="G1543" s="50"/>
      <c r="H1543" s="9"/>
      <c r="I1543" s="9"/>
      <c r="CS1543" s="37"/>
      <c r="CT1543" s="37"/>
      <c r="CU1543" s="37"/>
      <c r="CV1543" s="37"/>
      <c r="CW1543" s="37"/>
      <c r="CX1543" s="37"/>
      <c r="CY1543" s="37"/>
    </row>
    <row r="1544" spans="2:103" s="10" customFormat="1" x14ac:dyDescent="0.4">
      <c r="B1544" s="44"/>
      <c r="C1544" s="43"/>
      <c r="D1544" s="50"/>
      <c r="E1544" s="50"/>
      <c r="F1544" s="50"/>
      <c r="G1544" s="50"/>
      <c r="H1544" s="9"/>
      <c r="I1544" s="9"/>
      <c r="CS1544" s="37"/>
      <c r="CT1544" s="37"/>
      <c r="CU1544" s="37"/>
      <c r="CV1544" s="37"/>
      <c r="CW1544" s="37"/>
      <c r="CX1544" s="37"/>
      <c r="CY1544" s="37"/>
    </row>
    <row r="1545" spans="2:103" s="10" customFormat="1" x14ac:dyDescent="0.4">
      <c r="B1545" s="44"/>
      <c r="C1545" s="43"/>
      <c r="D1545" s="50"/>
      <c r="E1545" s="50"/>
      <c r="F1545" s="50"/>
      <c r="G1545" s="50"/>
      <c r="H1545" s="9"/>
      <c r="I1545" s="9"/>
      <c r="CS1545" s="37"/>
      <c r="CT1545" s="37"/>
      <c r="CU1545" s="37"/>
      <c r="CV1545" s="37"/>
      <c r="CW1545" s="37"/>
      <c r="CX1545" s="37"/>
      <c r="CY1545" s="37"/>
    </row>
    <row r="1546" spans="2:103" s="10" customFormat="1" x14ac:dyDescent="0.4">
      <c r="B1546" s="44"/>
      <c r="C1546" s="43"/>
      <c r="D1546" s="50"/>
      <c r="E1546" s="50"/>
      <c r="F1546" s="50"/>
      <c r="G1546" s="50"/>
      <c r="H1546" s="9"/>
      <c r="I1546" s="9"/>
      <c r="CS1546" s="37"/>
      <c r="CT1546" s="37"/>
      <c r="CU1546" s="37"/>
      <c r="CV1546" s="37"/>
      <c r="CW1546" s="37"/>
      <c r="CX1546" s="37"/>
      <c r="CY1546" s="37"/>
    </row>
    <row r="1547" spans="2:103" s="10" customFormat="1" x14ac:dyDescent="0.4">
      <c r="B1547" s="44"/>
      <c r="C1547" s="43"/>
      <c r="D1547" s="50"/>
      <c r="E1547" s="50"/>
      <c r="F1547" s="50"/>
      <c r="G1547" s="50"/>
      <c r="H1547" s="9"/>
      <c r="I1547" s="9"/>
      <c r="CS1547" s="37"/>
      <c r="CT1547" s="37"/>
      <c r="CU1547" s="37"/>
      <c r="CV1547" s="37"/>
      <c r="CW1547" s="37"/>
      <c r="CX1547" s="37"/>
      <c r="CY1547" s="37"/>
    </row>
    <row r="1548" spans="2:103" s="10" customFormat="1" x14ac:dyDescent="0.4">
      <c r="B1548" s="44"/>
      <c r="C1548" s="43"/>
      <c r="D1548" s="50"/>
      <c r="E1548" s="50"/>
      <c r="F1548" s="50"/>
      <c r="G1548" s="50"/>
      <c r="H1548" s="9"/>
      <c r="I1548" s="9"/>
      <c r="CS1548" s="37"/>
      <c r="CT1548" s="37"/>
      <c r="CU1548" s="37"/>
      <c r="CV1548" s="37"/>
      <c r="CW1548" s="37"/>
      <c r="CX1548" s="37"/>
      <c r="CY1548" s="37"/>
    </row>
    <row r="1549" spans="2:103" s="10" customFormat="1" x14ac:dyDescent="0.4">
      <c r="B1549" s="44"/>
      <c r="C1549" s="43"/>
      <c r="D1549" s="50"/>
      <c r="E1549" s="50"/>
      <c r="F1549" s="50"/>
      <c r="G1549" s="50"/>
      <c r="H1549" s="9"/>
      <c r="I1549" s="9"/>
      <c r="CS1549" s="37"/>
      <c r="CT1549" s="37"/>
      <c r="CU1549" s="37"/>
      <c r="CV1549" s="37"/>
      <c r="CW1549" s="37"/>
      <c r="CX1549" s="37"/>
      <c r="CY1549" s="37"/>
    </row>
    <row r="1550" spans="2:103" s="10" customFormat="1" x14ac:dyDescent="0.4">
      <c r="B1550" s="44"/>
      <c r="C1550" s="43"/>
      <c r="D1550" s="50"/>
      <c r="E1550" s="50"/>
      <c r="F1550" s="50"/>
      <c r="G1550" s="50"/>
      <c r="H1550" s="9"/>
      <c r="I1550" s="9"/>
      <c r="CS1550" s="37"/>
      <c r="CT1550" s="37"/>
      <c r="CU1550" s="37"/>
      <c r="CV1550" s="37"/>
      <c r="CW1550" s="37"/>
      <c r="CX1550" s="37"/>
      <c r="CY1550" s="37"/>
    </row>
    <row r="1551" spans="2:103" s="10" customFormat="1" x14ac:dyDescent="0.4">
      <c r="B1551" s="44"/>
      <c r="C1551" s="43"/>
      <c r="D1551" s="50"/>
      <c r="E1551" s="50"/>
      <c r="F1551" s="50"/>
      <c r="G1551" s="50"/>
      <c r="H1551" s="9"/>
      <c r="I1551" s="9"/>
      <c r="CS1551" s="37"/>
      <c r="CT1551" s="37"/>
      <c r="CU1551" s="37"/>
      <c r="CV1551" s="37"/>
      <c r="CW1551" s="37"/>
      <c r="CX1551" s="37"/>
      <c r="CY1551" s="37"/>
    </row>
    <row r="1552" spans="2:103" s="10" customFormat="1" x14ac:dyDescent="0.4">
      <c r="B1552" s="44"/>
      <c r="C1552" s="43"/>
      <c r="D1552" s="50"/>
      <c r="E1552" s="50"/>
      <c r="F1552" s="50"/>
      <c r="G1552" s="50"/>
      <c r="H1552" s="9"/>
      <c r="I1552" s="9"/>
      <c r="CS1552" s="37"/>
      <c r="CT1552" s="37"/>
      <c r="CU1552" s="37"/>
      <c r="CV1552" s="37"/>
      <c r="CW1552" s="37"/>
      <c r="CX1552" s="37"/>
      <c r="CY1552" s="37"/>
    </row>
    <row r="1553" spans="2:103" s="10" customFormat="1" x14ac:dyDescent="0.4">
      <c r="B1553" s="44"/>
      <c r="C1553" s="43"/>
      <c r="D1553" s="50"/>
      <c r="E1553" s="50"/>
      <c r="F1553" s="50"/>
      <c r="G1553" s="50"/>
      <c r="H1553" s="9"/>
      <c r="I1553" s="9"/>
      <c r="CS1553" s="37"/>
      <c r="CT1553" s="37"/>
      <c r="CU1553" s="37"/>
      <c r="CV1553" s="37"/>
      <c r="CW1553" s="37"/>
      <c r="CX1553" s="37"/>
      <c r="CY1553" s="37"/>
    </row>
    <row r="1554" spans="2:103" s="10" customFormat="1" x14ac:dyDescent="0.4">
      <c r="B1554" s="44"/>
      <c r="C1554" s="43"/>
      <c r="D1554" s="50"/>
      <c r="E1554" s="50"/>
      <c r="F1554" s="50"/>
      <c r="G1554" s="50"/>
      <c r="H1554" s="9"/>
      <c r="I1554" s="9"/>
      <c r="CS1554" s="37"/>
      <c r="CT1554" s="37"/>
      <c r="CU1554" s="37"/>
      <c r="CV1554" s="37"/>
      <c r="CW1554" s="37"/>
      <c r="CX1554" s="37"/>
      <c r="CY1554" s="37"/>
    </row>
    <row r="1555" spans="2:103" s="10" customFormat="1" x14ac:dyDescent="0.4">
      <c r="B1555" s="44"/>
      <c r="C1555" s="43"/>
      <c r="D1555" s="50"/>
      <c r="E1555" s="50"/>
      <c r="F1555" s="50"/>
      <c r="G1555" s="50"/>
      <c r="H1555" s="9"/>
      <c r="I1555" s="9"/>
      <c r="CS1555" s="37"/>
      <c r="CT1555" s="37"/>
      <c r="CU1555" s="37"/>
      <c r="CV1555" s="37"/>
      <c r="CW1555" s="37"/>
      <c r="CX1555" s="37"/>
      <c r="CY1555" s="37"/>
    </row>
    <row r="1556" spans="2:103" s="10" customFormat="1" x14ac:dyDescent="0.4">
      <c r="B1556" s="44"/>
      <c r="C1556" s="43"/>
      <c r="D1556" s="50"/>
      <c r="E1556" s="50"/>
      <c r="F1556" s="50"/>
      <c r="G1556" s="50"/>
      <c r="H1556" s="9"/>
      <c r="I1556" s="9"/>
      <c r="CS1556" s="37"/>
      <c r="CT1556" s="37"/>
      <c r="CU1556" s="37"/>
      <c r="CV1556" s="37"/>
      <c r="CW1556" s="37"/>
      <c r="CX1556" s="37"/>
      <c r="CY1556" s="37"/>
    </row>
    <row r="1557" spans="2:103" s="10" customFormat="1" x14ac:dyDescent="0.4">
      <c r="B1557" s="44"/>
      <c r="C1557" s="43"/>
      <c r="D1557" s="50"/>
      <c r="E1557" s="50"/>
      <c r="F1557" s="50"/>
      <c r="G1557" s="50"/>
      <c r="H1557" s="9"/>
      <c r="I1557" s="9"/>
      <c r="CS1557" s="37"/>
      <c r="CT1557" s="37"/>
      <c r="CU1557" s="37"/>
      <c r="CV1557" s="37"/>
      <c r="CW1557" s="37"/>
      <c r="CX1557" s="37"/>
      <c r="CY1557" s="37"/>
    </row>
    <row r="1558" spans="2:103" s="10" customFormat="1" x14ac:dyDescent="0.4">
      <c r="B1558" s="44"/>
      <c r="C1558" s="43"/>
      <c r="D1558" s="50"/>
      <c r="E1558" s="50"/>
      <c r="F1558" s="50"/>
      <c r="G1558" s="50"/>
      <c r="H1558" s="9"/>
      <c r="I1558" s="9"/>
      <c r="CS1558" s="37"/>
      <c r="CT1558" s="37"/>
      <c r="CU1558" s="37"/>
      <c r="CV1558" s="37"/>
      <c r="CW1558" s="37"/>
      <c r="CX1558" s="37"/>
      <c r="CY1558" s="37"/>
    </row>
    <row r="1559" spans="2:103" s="10" customFormat="1" x14ac:dyDescent="0.4">
      <c r="B1559" s="44"/>
      <c r="C1559" s="43"/>
      <c r="D1559" s="50"/>
      <c r="E1559" s="50"/>
      <c r="F1559" s="50"/>
      <c r="G1559" s="50"/>
      <c r="H1559" s="9"/>
      <c r="I1559" s="9"/>
      <c r="CS1559" s="37"/>
      <c r="CT1559" s="37"/>
      <c r="CU1559" s="37"/>
      <c r="CV1559" s="37"/>
      <c r="CW1559" s="37"/>
      <c r="CX1559" s="37"/>
      <c r="CY1559" s="37"/>
    </row>
    <row r="1560" spans="2:103" s="10" customFormat="1" x14ac:dyDescent="0.4">
      <c r="B1560" s="44"/>
      <c r="C1560" s="43"/>
      <c r="D1560" s="50"/>
      <c r="E1560" s="50"/>
      <c r="F1560" s="50"/>
      <c r="G1560" s="50"/>
      <c r="H1560" s="9"/>
      <c r="I1560" s="9"/>
      <c r="CS1560" s="37"/>
      <c r="CT1560" s="37"/>
      <c r="CU1560" s="37"/>
      <c r="CV1560" s="37"/>
      <c r="CW1560" s="37"/>
      <c r="CX1560" s="37"/>
      <c r="CY1560" s="37"/>
    </row>
    <row r="1561" spans="2:103" s="10" customFormat="1" x14ac:dyDescent="0.4">
      <c r="B1561" s="44"/>
      <c r="C1561" s="43"/>
      <c r="D1561" s="50"/>
      <c r="E1561" s="50"/>
      <c r="F1561" s="50"/>
      <c r="G1561" s="50"/>
      <c r="H1561" s="9"/>
      <c r="I1561" s="9"/>
      <c r="CS1561" s="37"/>
      <c r="CT1561" s="37"/>
      <c r="CU1561" s="37"/>
      <c r="CV1561" s="37"/>
      <c r="CW1561" s="37"/>
      <c r="CX1561" s="37"/>
      <c r="CY1561" s="37"/>
    </row>
    <row r="1562" spans="2:103" s="10" customFormat="1" x14ac:dyDescent="0.4">
      <c r="B1562" s="44"/>
      <c r="C1562" s="43"/>
      <c r="D1562" s="50"/>
      <c r="E1562" s="50"/>
      <c r="F1562" s="50"/>
      <c r="G1562" s="50"/>
      <c r="H1562" s="9"/>
      <c r="I1562" s="9"/>
      <c r="CS1562" s="37"/>
      <c r="CT1562" s="37"/>
      <c r="CU1562" s="37"/>
      <c r="CV1562" s="37"/>
      <c r="CW1562" s="37"/>
      <c r="CX1562" s="37"/>
      <c r="CY1562" s="37"/>
    </row>
    <row r="1563" spans="2:103" s="10" customFormat="1" x14ac:dyDescent="0.4">
      <c r="B1563" s="44"/>
      <c r="C1563" s="43"/>
      <c r="D1563" s="50"/>
      <c r="E1563" s="50"/>
      <c r="F1563" s="50"/>
      <c r="G1563" s="50"/>
      <c r="H1563" s="9"/>
      <c r="I1563" s="9"/>
      <c r="CS1563" s="37"/>
      <c r="CT1563" s="37"/>
      <c r="CU1563" s="37"/>
      <c r="CV1563" s="37"/>
      <c r="CW1563" s="37"/>
      <c r="CX1563" s="37"/>
      <c r="CY1563" s="37"/>
    </row>
    <row r="1564" spans="2:103" s="10" customFormat="1" x14ac:dyDescent="0.4">
      <c r="B1564" s="44"/>
      <c r="C1564" s="43"/>
      <c r="D1564" s="50"/>
      <c r="E1564" s="50"/>
      <c r="F1564" s="50"/>
      <c r="G1564" s="50"/>
      <c r="H1564" s="9"/>
      <c r="I1564" s="9"/>
      <c r="CS1564" s="37"/>
      <c r="CT1564" s="37"/>
      <c r="CU1564" s="37"/>
      <c r="CV1564" s="37"/>
      <c r="CW1564" s="37"/>
      <c r="CX1564" s="37"/>
      <c r="CY1564" s="37"/>
    </row>
    <row r="1565" spans="2:103" s="10" customFormat="1" x14ac:dyDescent="0.4">
      <c r="B1565" s="44"/>
      <c r="C1565" s="43"/>
      <c r="D1565" s="50"/>
      <c r="E1565" s="50"/>
      <c r="F1565" s="50"/>
      <c r="G1565" s="50"/>
      <c r="H1565" s="9"/>
      <c r="I1565" s="9"/>
      <c r="CS1565" s="37"/>
      <c r="CT1565" s="37"/>
      <c r="CU1565" s="37"/>
      <c r="CV1565" s="37"/>
      <c r="CW1565" s="37"/>
      <c r="CX1565" s="37"/>
      <c r="CY1565" s="37"/>
    </row>
    <row r="1566" spans="2:103" s="10" customFormat="1" x14ac:dyDescent="0.4">
      <c r="B1566" s="44"/>
      <c r="C1566" s="43"/>
      <c r="D1566" s="50"/>
      <c r="E1566" s="50"/>
      <c r="F1566" s="50"/>
      <c r="G1566" s="50"/>
      <c r="H1566" s="9"/>
      <c r="I1566" s="9"/>
      <c r="CS1566" s="37"/>
      <c r="CT1566" s="37"/>
      <c r="CU1566" s="37"/>
      <c r="CV1566" s="37"/>
      <c r="CW1566" s="37"/>
      <c r="CX1566" s="37"/>
      <c r="CY1566" s="37"/>
    </row>
    <row r="1567" spans="2:103" s="10" customFormat="1" x14ac:dyDescent="0.4">
      <c r="B1567" s="44"/>
      <c r="C1567" s="43"/>
      <c r="D1567" s="50"/>
      <c r="E1567" s="50"/>
      <c r="F1567" s="50"/>
      <c r="G1567" s="50"/>
      <c r="H1567" s="9"/>
      <c r="I1567" s="9"/>
      <c r="CS1567" s="37"/>
      <c r="CT1567" s="37"/>
      <c r="CU1567" s="37"/>
      <c r="CV1567" s="37"/>
      <c r="CW1567" s="37"/>
      <c r="CX1567" s="37"/>
      <c r="CY1567" s="37"/>
    </row>
    <row r="1568" spans="2:103" s="10" customFormat="1" x14ac:dyDescent="0.4">
      <c r="B1568" s="44"/>
      <c r="C1568" s="43"/>
      <c r="D1568" s="50"/>
      <c r="E1568" s="50"/>
      <c r="F1568" s="50"/>
      <c r="G1568" s="50"/>
      <c r="H1568" s="9"/>
      <c r="I1568" s="9"/>
      <c r="CS1568" s="37"/>
      <c r="CT1568" s="37"/>
      <c r="CU1568" s="37"/>
      <c r="CV1568" s="37"/>
      <c r="CW1568" s="37"/>
      <c r="CX1568" s="37"/>
      <c r="CY1568" s="37"/>
    </row>
    <row r="1569" spans="2:103" s="10" customFormat="1" x14ac:dyDescent="0.4">
      <c r="B1569" s="44"/>
      <c r="C1569" s="43"/>
      <c r="D1569" s="50"/>
      <c r="E1569" s="50"/>
      <c r="F1569" s="50"/>
      <c r="G1569" s="50"/>
      <c r="H1569" s="9"/>
      <c r="I1569" s="9"/>
      <c r="CS1569" s="37"/>
      <c r="CT1569" s="37"/>
      <c r="CU1569" s="37"/>
      <c r="CV1569" s="37"/>
      <c r="CW1569" s="37"/>
      <c r="CX1569" s="37"/>
      <c r="CY1569" s="37"/>
    </row>
    <row r="1570" spans="2:103" s="10" customFormat="1" x14ac:dyDescent="0.4">
      <c r="B1570" s="44"/>
      <c r="C1570" s="43"/>
      <c r="D1570" s="50"/>
      <c r="E1570" s="50"/>
      <c r="F1570" s="50"/>
      <c r="G1570" s="50"/>
      <c r="H1570" s="9"/>
      <c r="I1570" s="9"/>
      <c r="CS1570" s="37"/>
      <c r="CT1570" s="37"/>
      <c r="CU1570" s="37"/>
      <c r="CV1570" s="37"/>
      <c r="CW1570" s="37"/>
      <c r="CX1570" s="37"/>
      <c r="CY1570" s="37"/>
    </row>
    <row r="1571" spans="2:103" s="10" customFormat="1" x14ac:dyDescent="0.4">
      <c r="B1571" s="44"/>
      <c r="C1571" s="43"/>
      <c r="D1571" s="50"/>
      <c r="E1571" s="50"/>
      <c r="F1571" s="50"/>
      <c r="G1571" s="50"/>
      <c r="H1571" s="9"/>
      <c r="I1571" s="9"/>
      <c r="CS1571" s="37"/>
      <c r="CT1571" s="37"/>
      <c r="CU1571" s="37"/>
      <c r="CV1571" s="37"/>
      <c r="CW1571" s="37"/>
      <c r="CX1571" s="37"/>
      <c r="CY1571" s="37"/>
    </row>
    <row r="1572" spans="2:103" s="10" customFormat="1" x14ac:dyDescent="0.4">
      <c r="B1572" s="44"/>
      <c r="C1572" s="43"/>
      <c r="D1572" s="50"/>
      <c r="E1572" s="50"/>
      <c r="F1572" s="50"/>
      <c r="G1572" s="50"/>
      <c r="H1572" s="9"/>
      <c r="I1572" s="9"/>
      <c r="CS1572" s="37"/>
      <c r="CT1572" s="37"/>
      <c r="CU1572" s="37"/>
      <c r="CV1572" s="37"/>
      <c r="CW1572" s="37"/>
      <c r="CX1572" s="37"/>
      <c r="CY1572" s="37"/>
    </row>
    <row r="1573" spans="2:103" s="10" customFormat="1" x14ac:dyDescent="0.4">
      <c r="B1573" s="44"/>
      <c r="C1573" s="43"/>
      <c r="D1573" s="50"/>
      <c r="E1573" s="50"/>
      <c r="F1573" s="50"/>
      <c r="G1573" s="50"/>
      <c r="H1573" s="9"/>
      <c r="I1573" s="9"/>
      <c r="CS1573" s="37"/>
      <c r="CT1573" s="37"/>
      <c r="CU1573" s="37"/>
      <c r="CV1573" s="37"/>
      <c r="CW1573" s="37"/>
      <c r="CX1573" s="37"/>
      <c r="CY1573" s="37"/>
    </row>
    <row r="1574" spans="2:103" s="10" customFormat="1" x14ac:dyDescent="0.4">
      <c r="B1574" s="44"/>
      <c r="C1574" s="43"/>
      <c r="D1574" s="50"/>
      <c r="E1574" s="50"/>
      <c r="F1574" s="50"/>
      <c r="G1574" s="50"/>
      <c r="H1574" s="9"/>
      <c r="I1574" s="9"/>
      <c r="CS1574" s="37"/>
      <c r="CT1574" s="37"/>
      <c r="CU1574" s="37"/>
      <c r="CV1574" s="37"/>
      <c r="CW1574" s="37"/>
      <c r="CX1574" s="37"/>
      <c r="CY1574" s="37"/>
    </row>
    <row r="1575" spans="2:103" s="10" customFormat="1" x14ac:dyDescent="0.4">
      <c r="B1575" s="44"/>
      <c r="C1575" s="43"/>
      <c r="D1575" s="50"/>
      <c r="E1575" s="50"/>
      <c r="F1575" s="50"/>
      <c r="G1575" s="50"/>
      <c r="H1575" s="9"/>
      <c r="I1575" s="9"/>
      <c r="CS1575" s="37"/>
      <c r="CT1575" s="37"/>
      <c r="CU1575" s="37"/>
      <c r="CV1575" s="37"/>
      <c r="CW1575" s="37"/>
      <c r="CX1575" s="37"/>
      <c r="CY1575" s="37"/>
    </row>
    <row r="1576" spans="2:103" s="10" customFormat="1" x14ac:dyDescent="0.4">
      <c r="B1576" s="44"/>
      <c r="C1576" s="43"/>
      <c r="D1576" s="50"/>
      <c r="E1576" s="50"/>
      <c r="F1576" s="50"/>
      <c r="G1576" s="50"/>
      <c r="H1576" s="9"/>
      <c r="I1576" s="9"/>
      <c r="CS1576" s="37"/>
      <c r="CT1576" s="37"/>
      <c r="CU1576" s="37"/>
      <c r="CV1576" s="37"/>
      <c r="CW1576" s="37"/>
      <c r="CX1576" s="37"/>
      <c r="CY1576" s="37"/>
    </row>
    <row r="1577" spans="2:103" s="10" customFormat="1" x14ac:dyDescent="0.4">
      <c r="B1577" s="44"/>
      <c r="C1577" s="43"/>
      <c r="D1577" s="50"/>
      <c r="E1577" s="50"/>
      <c r="F1577" s="50"/>
      <c r="G1577" s="50"/>
      <c r="H1577" s="9"/>
      <c r="I1577" s="9"/>
      <c r="CS1577" s="37"/>
      <c r="CT1577" s="37"/>
      <c r="CU1577" s="37"/>
      <c r="CV1577" s="37"/>
      <c r="CW1577" s="37"/>
      <c r="CX1577" s="37"/>
      <c r="CY1577" s="37"/>
    </row>
    <row r="1578" spans="2:103" s="10" customFormat="1" x14ac:dyDescent="0.4">
      <c r="B1578" s="44"/>
      <c r="C1578" s="43"/>
      <c r="D1578" s="50"/>
      <c r="E1578" s="50"/>
      <c r="F1578" s="50"/>
      <c r="G1578" s="50"/>
      <c r="H1578" s="9"/>
      <c r="I1578" s="9"/>
      <c r="CS1578" s="37"/>
      <c r="CT1578" s="37"/>
      <c r="CU1578" s="37"/>
      <c r="CV1578" s="37"/>
      <c r="CW1578" s="37"/>
      <c r="CX1578" s="37"/>
      <c r="CY1578" s="37"/>
    </row>
    <row r="1579" spans="2:103" s="10" customFormat="1" x14ac:dyDescent="0.4">
      <c r="B1579" s="44"/>
      <c r="C1579" s="43"/>
      <c r="D1579" s="50"/>
      <c r="E1579" s="50"/>
      <c r="F1579" s="50"/>
      <c r="G1579" s="50"/>
      <c r="H1579" s="9"/>
      <c r="I1579" s="9"/>
      <c r="CS1579" s="37"/>
      <c r="CT1579" s="37"/>
      <c r="CU1579" s="37"/>
      <c r="CV1579" s="37"/>
      <c r="CW1579" s="37"/>
      <c r="CX1579" s="37"/>
      <c r="CY1579" s="37"/>
    </row>
    <row r="1580" spans="2:103" s="10" customFormat="1" x14ac:dyDescent="0.4">
      <c r="B1580" s="44"/>
      <c r="C1580" s="43"/>
      <c r="D1580" s="50"/>
      <c r="E1580" s="50"/>
      <c r="F1580" s="50"/>
      <c r="G1580" s="50"/>
      <c r="H1580" s="9"/>
      <c r="I1580" s="9"/>
      <c r="CS1580" s="37"/>
      <c r="CT1580" s="37"/>
      <c r="CU1580" s="37"/>
      <c r="CV1580" s="37"/>
      <c r="CW1580" s="37"/>
      <c r="CX1580" s="37"/>
      <c r="CY1580" s="37"/>
    </row>
    <row r="1581" spans="2:103" s="10" customFormat="1" x14ac:dyDescent="0.4">
      <c r="B1581" s="44"/>
      <c r="C1581" s="43"/>
      <c r="D1581" s="50"/>
      <c r="E1581" s="50"/>
      <c r="F1581" s="50"/>
      <c r="G1581" s="50"/>
      <c r="H1581" s="9"/>
      <c r="I1581" s="9"/>
      <c r="CS1581" s="37"/>
      <c r="CT1581" s="37"/>
      <c r="CU1581" s="37"/>
      <c r="CV1581" s="37"/>
      <c r="CW1581" s="37"/>
      <c r="CX1581" s="37"/>
      <c r="CY1581" s="37"/>
    </row>
    <row r="1582" spans="2:103" s="10" customFormat="1" x14ac:dyDescent="0.4">
      <c r="B1582" s="44"/>
      <c r="C1582" s="43"/>
      <c r="D1582" s="50"/>
      <c r="E1582" s="50"/>
      <c r="F1582" s="50"/>
      <c r="G1582" s="50"/>
      <c r="H1582" s="9"/>
      <c r="I1582" s="9"/>
      <c r="CS1582" s="37"/>
      <c r="CT1582" s="37"/>
      <c r="CU1582" s="37"/>
      <c r="CV1582" s="37"/>
      <c r="CW1582" s="37"/>
      <c r="CX1582" s="37"/>
      <c r="CY1582" s="37"/>
    </row>
    <row r="1583" spans="2:103" s="10" customFormat="1" x14ac:dyDescent="0.4">
      <c r="B1583" s="44"/>
      <c r="C1583" s="43"/>
      <c r="D1583" s="50"/>
      <c r="E1583" s="50"/>
      <c r="F1583" s="50"/>
      <c r="G1583" s="50"/>
      <c r="H1583" s="9"/>
      <c r="I1583" s="9"/>
      <c r="CS1583" s="37"/>
      <c r="CT1583" s="37"/>
      <c r="CU1583" s="37"/>
      <c r="CV1583" s="37"/>
      <c r="CW1583" s="37"/>
      <c r="CX1583" s="37"/>
      <c r="CY1583" s="37"/>
    </row>
    <row r="1584" spans="2:103" s="10" customFormat="1" x14ac:dyDescent="0.4">
      <c r="B1584" s="44"/>
      <c r="C1584" s="43"/>
      <c r="D1584" s="50"/>
      <c r="E1584" s="50"/>
      <c r="F1584" s="50"/>
      <c r="G1584" s="50"/>
      <c r="H1584" s="9"/>
      <c r="I1584" s="9"/>
      <c r="CS1584" s="37"/>
      <c r="CT1584" s="37"/>
      <c r="CU1584" s="37"/>
      <c r="CV1584" s="37"/>
      <c r="CW1584" s="37"/>
      <c r="CX1584" s="37"/>
      <c r="CY1584" s="37"/>
    </row>
    <row r="1585" spans="2:103" s="10" customFormat="1" x14ac:dyDescent="0.4">
      <c r="B1585" s="44"/>
      <c r="C1585" s="43"/>
      <c r="D1585" s="50"/>
      <c r="E1585" s="50"/>
      <c r="F1585" s="50"/>
      <c r="G1585" s="50"/>
      <c r="H1585" s="9"/>
      <c r="I1585" s="9"/>
      <c r="CS1585" s="37"/>
      <c r="CT1585" s="37"/>
      <c r="CU1585" s="37"/>
      <c r="CV1585" s="37"/>
      <c r="CW1585" s="37"/>
      <c r="CX1585" s="37"/>
      <c r="CY1585" s="37"/>
    </row>
    <row r="1586" spans="2:103" s="10" customFormat="1" x14ac:dyDescent="0.4">
      <c r="B1586" s="44"/>
      <c r="C1586" s="43"/>
      <c r="D1586" s="50"/>
      <c r="E1586" s="50"/>
      <c r="F1586" s="50"/>
      <c r="G1586" s="50"/>
      <c r="H1586" s="9"/>
      <c r="I1586" s="9"/>
      <c r="CS1586" s="37"/>
      <c r="CT1586" s="37"/>
      <c r="CU1586" s="37"/>
      <c r="CV1586" s="37"/>
      <c r="CW1586" s="37"/>
      <c r="CX1586" s="37"/>
      <c r="CY1586" s="37"/>
    </row>
    <row r="1587" spans="2:103" s="10" customFormat="1" x14ac:dyDescent="0.4">
      <c r="B1587" s="44"/>
      <c r="C1587" s="43"/>
      <c r="D1587" s="50"/>
      <c r="E1587" s="50"/>
      <c r="F1587" s="50"/>
      <c r="G1587" s="50"/>
      <c r="H1587" s="9"/>
      <c r="I1587" s="9"/>
      <c r="CS1587" s="37"/>
      <c r="CT1587" s="37"/>
      <c r="CU1587" s="37"/>
      <c r="CV1587" s="37"/>
      <c r="CW1587" s="37"/>
      <c r="CX1587" s="37"/>
      <c r="CY1587" s="37"/>
    </row>
    <row r="1588" spans="2:103" s="10" customFormat="1" x14ac:dyDescent="0.4">
      <c r="B1588" s="44"/>
      <c r="C1588" s="43"/>
      <c r="D1588" s="50"/>
      <c r="E1588" s="50"/>
      <c r="F1588" s="50"/>
      <c r="G1588" s="50"/>
      <c r="H1588" s="9"/>
      <c r="I1588" s="9"/>
      <c r="CS1588" s="37"/>
      <c r="CT1588" s="37"/>
      <c r="CU1588" s="37"/>
      <c r="CV1588" s="37"/>
      <c r="CW1588" s="37"/>
      <c r="CX1588" s="37"/>
      <c r="CY1588" s="37"/>
    </row>
    <row r="1589" spans="2:103" s="10" customFormat="1" x14ac:dyDescent="0.4">
      <c r="B1589" s="44"/>
      <c r="C1589" s="43"/>
      <c r="D1589" s="50"/>
      <c r="E1589" s="50"/>
      <c r="F1589" s="50"/>
      <c r="G1589" s="50"/>
      <c r="H1589" s="9"/>
      <c r="I1589" s="9"/>
      <c r="CS1589" s="37"/>
      <c r="CT1589" s="37"/>
      <c r="CU1589" s="37"/>
      <c r="CV1589" s="37"/>
      <c r="CW1589" s="37"/>
      <c r="CX1589" s="37"/>
      <c r="CY1589" s="37"/>
    </row>
    <row r="1590" spans="2:103" s="10" customFormat="1" x14ac:dyDescent="0.4">
      <c r="B1590" s="44"/>
      <c r="C1590" s="43"/>
      <c r="D1590" s="50"/>
      <c r="E1590" s="50"/>
      <c r="F1590" s="50"/>
      <c r="G1590" s="50"/>
      <c r="H1590" s="9"/>
      <c r="I1590" s="9"/>
      <c r="CS1590" s="37"/>
      <c r="CT1590" s="37"/>
      <c r="CU1590" s="37"/>
      <c r="CV1590" s="37"/>
      <c r="CW1590" s="37"/>
      <c r="CX1590" s="37"/>
      <c r="CY1590" s="37"/>
    </row>
    <row r="1591" spans="2:103" s="10" customFormat="1" x14ac:dyDescent="0.4">
      <c r="B1591" s="44"/>
      <c r="C1591" s="43"/>
      <c r="D1591" s="50"/>
      <c r="E1591" s="50"/>
      <c r="F1591" s="50"/>
      <c r="G1591" s="50"/>
      <c r="H1591" s="9"/>
      <c r="I1591" s="9"/>
      <c r="CS1591" s="37"/>
      <c r="CT1591" s="37"/>
      <c r="CU1591" s="37"/>
      <c r="CV1591" s="37"/>
      <c r="CW1591" s="37"/>
      <c r="CX1591" s="37"/>
      <c r="CY1591" s="37"/>
    </row>
    <row r="1592" spans="2:103" s="10" customFormat="1" x14ac:dyDescent="0.4">
      <c r="B1592" s="44"/>
      <c r="C1592" s="43"/>
      <c r="D1592" s="50"/>
      <c r="E1592" s="50"/>
      <c r="F1592" s="50"/>
      <c r="G1592" s="50"/>
      <c r="H1592" s="9"/>
      <c r="I1592" s="9"/>
      <c r="CS1592" s="37"/>
      <c r="CT1592" s="37"/>
      <c r="CU1592" s="37"/>
      <c r="CV1592" s="37"/>
      <c r="CW1592" s="37"/>
      <c r="CX1592" s="37"/>
      <c r="CY1592" s="37"/>
    </row>
    <row r="1593" spans="2:103" s="10" customFormat="1" x14ac:dyDescent="0.4">
      <c r="B1593" s="44"/>
      <c r="C1593" s="43"/>
      <c r="D1593" s="50"/>
      <c r="E1593" s="50"/>
      <c r="F1593" s="50"/>
      <c r="G1593" s="50"/>
      <c r="H1593" s="9"/>
      <c r="I1593" s="9"/>
      <c r="CS1593" s="37"/>
      <c r="CT1593" s="37"/>
      <c r="CU1593" s="37"/>
      <c r="CV1593" s="37"/>
      <c r="CW1593" s="37"/>
      <c r="CX1593" s="37"/>
      <c r="CY1593" s="37"/>
    </row>
    <row r="1594" spans="2:103" s="10" customFormat="1" x14ac:dyDescent="0.4">
      <c r="B1594" s="44"/>
      <c r="C1594" s="43"/>
      <c r="D1594" s="50"/>
      <c r="E1594" s="50"/>
      <c r="F1594" s="50"/>
      <c r="G1594" s="50"/>
      <c r="H1594" s="9"/>
      <c r="I1594" s="9"/>
      <c r="CS1594" s="37"/>
      <c r="CT1594" s="37"/>
      <c r="CU1594" s="37"/>
      <c r="CV1594" s="37"/>
      <c r="CW1594" s="37"/>
      <c r="CX1594" s="37"/>
      <c r="CY1594" s="37"/>
    </row>
    <row r="1595" spans="2:103" s="10" customFormat="1" x14ac:dyDescent="0.4">
      <c r="B1595" s="44"/>
      <c r="C1595" s="43"/>
      <c r="D1595" s="50"/>
      <c r="E1595" s="50"/>
      <c r="F1595" s="50"/>
      <c r="G1595" s="50"/>
      <c r="H1595" s="9"/>
      <c r="I1595" s="9"/>
      <c r="CS1595" s="37"/>
      <c r="CT1595" s="37"/>
      <c r="CU1595" s="37"/>
      <c r="CV1595" s="37"/>
      <c r="CW1595" s="37"/>
      <c r="CX1595" s="37"/>
      <c r="CY1595" s="37"/>
    </row>
    <row r="1596" spans="2:103" s="10" customFormat="1" x14ac:dyDescent="0.4">
      <c r="B1596" s="44"/>
      <c r="C1596" s="43"/>
      <c r="D1596" s="50"/>
      <c r="E1596" s="50"/>
      <c r="F1596" s="50"/>
      <c r="G1596" s="50"/>
      <c r="H1596" s="9"/>
      <c r="I1596" s="9"/>
      <c r="CS1596" s="37"/>
      <c r="CT1596" s="37"/>
      <c r="CU1596" s="37"/>
      <c r="CV1596" s="37"/>
      <c r="CW1596" s="37"/>
      <c r="CX1596" s="37"/>
      <c r="CY1596" s="37"/>
    </row>
    <row r="1597" spans="2:103" s="10" customFormat="1" x14ac:dyDescent="0.4">
      <c r="B1597" s="44"/>
      <c r="C1597" s="43"/>
      <c r="D1597" s="50"/>
      <c r="E1597" s="50"/>
      <c r="F1597" s="50"/>
      <c r="G1597" s="50"/>
      <c r="H1597" s="9"/>
      <c r="I1597" s="9"/>
      <c r="CS1597" s="37"/>
      <c r="CT1597" s="37"/>
      <c r="CU1597" s="37"/>
      <c r="CV1597" s="37"/>
      <c r="CW1597" s="37"/>
      <c r="CX1597" s="37"/>
      <c r="CY1597" s="37"/>
    </row>
    <row r="1598" spans="2:103" s="10" customFormat="1" x14ac:dyDescent="0.4">
      <c r="B1598" s="44"/>
      <c r="C1598" s="43"/>
      <c r="D1598" s="50"/>
      <c r="E1598" s="50"/>
      <c r="F1598" s="50"/>
      <c r="G1598" s="50"/>
      <c r="H1598" s="9"/>
      <c r="I1598" s="9"/>
      <c r="CS1598" s="37"/>
      <c r="CT1598" s="37"/>
      <c r="CU1598" s="37"/>
      <c r="CV1598" s="37"/>
      <c r="CW1598" s="37"/>
      <c r="CX1598" s="37"/>
      <c r="CY1598" s="37"/>
    </row>
    <row r="1599" spans="2:103" s="10" customFormat="1" x14ac:dyDescent="0.4">
      <c r="B1599" s="44"/>
      <c r="C1599" s="43"/>
      <c r="D1599" s="50"/>
      <c r="E1599" s="50"/>
      <c r="F1599" s="50"/>
      <c r="G1599" s="50"/>
      <c r="H1599" s="9"/>
      <c r="I1599" s="9"/>
      <c r="CS1599" s="37"/>
      <c r="CT1599" s="37"/>
      <c r="CU1599" s="37"/>
      <c r="CV1599" s="37"/>
      <c r="CW1599" s="37"/>
      <c r="CX1599" s="37"/>
      <c r="CY1599" s="37"/>
    </row>
    <row r="1600" spans="2:103" s="10" customFormat="1" x14ac:dyDescent="0.4">
      <c r="B1600" s="44"/>
      <c r="C1600" s="43"/>
      <c r="D1600" s="50"/>
      <c r="E1600" s="50"/>
      <c r="F1600" s="50"/>
      <c r="G1600" s="50"/>
      <c r="H1600" s="9"/>
      <c r="I1600" s="9"/>
      <c r="CS1600" s="37"/>
      <c r="CT1600" s="37"/>
      <c r="CU1600" s="37"/>
      <c r="CV1600" s="37"/>
      <c r="CW1600" s="37"/>
      <c r="CX1600" s="37"/>
      <c r="CY1600" s="37"/>
    </row>
    <row r="1601" spans="2:103" s="10" customFormat="1" x14ac:dyDescent="0.4">
      <c r="B1601" s="44"/>
      <c r="C1601" s="43"/>
      <c r="D1601" s="50"/>
      <c r="E1601" s="50"/>
      <c r="F1601" s="50"/>
      <c r="G1601" s="50"/>
      <c r="H1601" s="9"/>
      <c r="I1601" s="9"/>
      <c r="CS1601" s="37"/>
      <c r="CT1601" s="37"/>
      <c r="CU1601" s="37"/>
      <c r="CV1601" s="37"/>
      <c r="CW1601" s="37"/>
      <c r="CX1601" s="37"/>
      <c r="CY1601" s="37"/>
    </row>
    <row r="1602" spans="2:103" s="10" customFormat="1" x14ac:dyDescent="0.4">
      <c r="B1602" s="44"/>
      <c r="C1602" s="43"/>
      <c r="D1602" s="50"/>
      <c r="E1602" s="50"/>
      <c r="F1602" s="50"/>
      <c r="G1602" s="50"/>
      <c r="H1602" s="9"/>
      <c r="I1602" s="9"/>
      <c r="CS1602" s="37"/>
      <c r="CT1602" s="37"/>
      <c r="CU1602" s="37"/>
      <c r="CV1602" s="37"/>
      <c r="CW1602" s="37"/>
      <c r="CX1602" s="37"/>
      <c r="CY1602" s="37"/>
    </row>
    <row r="1603" spans="2:103" s="10" customFormat="1" x14ac:dyDescent="0.4">
      <c r="B1603" s="44"/>
      <c r="C1603" s="43"/>
      <c r="D1603" s="50"/>
      <c r="E1603" s="50"/>
      <c r="F1603" s="50"/>
      <c r="G1603" s="50"/>
      <c r="H1603" s="9"/>
      <c r="I1603" s="9"/>
      <c r="CS1603" s="37"/>
      <c r="CT1603" s="37"/>
      <c r="CU1603" s="37"/>
      <c r="CV1603" s="37"/>
      <c r="CW1603" s="37"/>
      <c r="CX1603" s="37"/>
      <c r="CY1603" s="37"/>
    </row>
    <row r="1604" spans="2:103" s="10" customFormat="1" x14ac:dyDescent="0.4">
      <c r="B1604" s="44"/>
      <c r="C1604" s="43"/>
      <c r="D1604" s="50"/>
      <c r="E1604" s="50"/>
      <c r="F1604" s="50"/>
      <c r="G1604" s="50"/>
      <c r="H1604" s="9"/>
      <c r="I1604" s="9"/>
      <c r="CS1604" s="37"/>
      <c r="CT1604" s="37"/>
      <c r="CU1604" s="37"/>
      <c r="CV1604" s="37"/>
      <c r="CW1604" s="37"/>
      <c r="CX1604" s="37"/>
      <c r="CY1604" s="37"/>
    </row>
    <row r="1605" spans="2:103" s="10" customFormat="1" x14ac:dyDescent="0.4">
      <c r="B1605" s="44"/>
      <c r="C1605" s="43"/>
      <c r="D1605" s="50"/>
      <c r="E1605" s="50"/>
      <c r="F1605" s="50"/>
      <c r="G1605" s="50"/>
      <c r="H1605" s="9"/>
      <c r="I1605" s="9"/>
      <c r="CS1605" s="37"/>
      <c r="CT1605" s="37"/>
      <c r="CU1605" s="37"/>
      <c r="CV1605" s="37"/>
      <c r="CW1605" s="37"/>
      <c r="CX1605" s="37"/>
      <c r="CY1605" s="37"/>
    </row>
    <row r="1606" spans="2:103" s="10" customFormat="1" x14ac:dyDescent="0.4">
      <c r="B1606" s="44"/>
      <c r="C1606" s="43"/>
      <c r="D1606" s="50"/>
      <c r="E1606" s="50"/>
      <c r="F1606" s="50"/>
      <c r="G1606" s="50"/>
      <c r="H1606" s="9"/>
      <c r="I1606" s="9"/>
      <c r="CS1606" s="37"/>
      <c r="CT1606" s="37"/>
      <c r="CU1606" s="37"/>
      <c r="CV1606" s="37"/>
      <c r="CW1606" s="37"/>
      <c r="CX1606" s="37"/>
      <c r="CY1606" s="37"/>
    </row>
    <row r="1607" spans="2:103" s="10" customFormat="1" x14ac:dyDescent="0.4">
      <c r="B1607" s="44"/>
      <c r="C1607" s="43"/>
      <c r="D1607" s="50"/>
      <c r="E1607" s="50"/>
      <c r="F1607" s="50"/>
      <c r="G1607" s="50"/>
      <c r="H1607" s="9"/>
      <c r="I1607" s="9"/>
      <c r="CS1607" s="37"/>
      <c r="CT1607" s="37"/>
      <c r="CU1607" s="37"/>
      <c r="CV1607" s="37"/>
      <c r="CW1607" s="37"/>
      <c r="CX1607" s="37"/>
      <c r="CY1607" s="37"/>
    </row>
    <row r="1608" spans="2:103" s="10" customFormat="1" x14ac:dyDescent="0.4">
      <c r="B1608" s="44"/>
      <c r="C1608" s="43"/>
      <c r="D1608" s="50"/>
      <c r="E1608" s="50"/>
      <c r="F1608" s="50"/>
      <c r="G1608" s="50"/>
      <c r="H1608" s="9"/>
      <c r="I1608" s="9"/>
      <c r="CS1608" s="37"/>
      <c r="CT1608" s="37"/>
      <c r="CU1608" s="37"/>
      <c r="CV1608" s="37"/>
      <c r="CW1608" s="37"/>
      <c r="CX1608" s="37"/>
      <c r="CY1608" s="37"/>
    </row>
    <row r="1609" spans="2:103" s="10" customFormat="1" x14ac:dyDescent="0.4">
      <c r="B1609" s="44"/>
      <c r="C1609" s="43"/>
      <c r="D1609" s="50"/>
      <c r="E1609" s="50"/>
      <c r="F1609" s="50"/>
      <c r="G1609" s="50"/>
      <c r="H1609" s="9"/>
      <c r="I1609" s="9"/>
      <c r="CS1609" s="37"/>
      <c r="CT1609" s="37"/>
      <c r="CU1609" s="37"/>
      <c r="CV1609" s="37"/>
      <c r="CW1609" s="37"/>
      <c r="CX1609" s="37"/>
      <c r="CY1609" s="37"/>
    </row>
    <row r="1610" spans="2:103" s="10" customFormat="1" x14ac:dyDescent="0.4">
      <c r="B1610" s="44"/>
      <c r="C1610" s="43"/>
      <c r="D1610" s="50"/>
      <c r="E1610" s="50"/>
      <c r="F1610" s="50"/>
      <c r="G1610" s="50"/>
      <c r="H1610" s="9"/>
      <c r="I1610" s="9"/>
      <c r="CS1610" s="37"/>
      <c r="CT1610" s="37"/>
      <c r="CU1610" s="37"/>
      <c r="CV1610" s="37"/>
      <c r="CW1610" s="37"/>
      <c r="CX1610" s="37"/>
      <c r="CY1610" s="37"/>
    </row>
    <row r="1611" spans="2:103" s="10" customFormat="1" x14ac:dyDescent="0.4">
      <c r="B1611" s="44"/>
      <c r="C1611" s="43"/>
      <c r="D1611" s="50"/>
      <c r="E1611" s="50"/>
      <c r="F1611" s="50"/>
      <c r="G1611" s="50"/>
      <c r="H1611" s="9"/>
      <c r="I1611" s="9"/>
      <c r="CS1611" s="37"/>
      <c r="CT1611" s="37"/>
      <c r="CU1611" s="37"/>
      <c r="CV1611" s="37"/>
      <c r="CW1611" s="37"/>
      <c r="CX1611" s="37"/>
      <c r="CY1611" s="37"/>
    </row>
    <row r="1612" spans="2:103" s="10" customFormat="1" x14ac:dyDescent="0.4">
      <c r="B1612" s="44"/>
      <c r="C1612" s="43"/>
      <c r="D1612" s="50"/>
      <c r="E1612" s="50"/>
      <c r="F1612" s="50"/>
      <c r="G1612" s="50"/>
      <c r="H1612" s="9"/>
      <c r="I1612" s="9"/>
      <c r="CS1612" s="37"/>
      <c r="CT1612" s="37"/>
      <c r="CU1612" s="37"/>
      <c r="CV1612" s="37"/>
      <c r="CW1612" s="37"/>
      <c r="CX1612" s="37"/>
      <c r="CY1612" s="37"/>
    </row>
    <row r="1613" spans="2:103" s="10" customFormat="1" x14ac:dyDescent="0.4">
      <c r="B1613" s="44"/>
      <c r="C1613" s="43"/>
      <c r="D1613" s="50"/>
      <c r="E1613" s="50"/>
      <c r="F1613" s="50"/>
      <c r="G1613" s="50"/>
      <c r="H1613" s="9"/>
      <c r="I1613" s="9"/>
      <c r="CS1613" s="37"/>
      <c r="CT1613" s="37"/>
      <c r="CU1613" s="37"/>
      <c r="CV1613" s="37"/>
      <c r="CW1613" s="37"/>
      <c r="CX1613" s="37"/>
      <c r="CY1613" s="37"/>
    </row>
    <row r="1614" spans="2:103" s="10" customFormat="1" x14ac:dyDescent="0.4">
      <c r="B1614" s="44"/>
      <c r="C1614" s="43"/>
      <c r="D1614" s="50"/>
      <c r="E1614" s="50"/>
      <c r="F1614" s="50"/>
      <c r="G1614" s="50"/>
      <c r="H1614" s="9"/>
      <c r="I1614" s="9"/>
      <c r="CS1614" s="37"/>
      <c r="CT1614" s="37"/>
      <c r="CU1614" s="37"/>
      <c r="CV1614" s="37"/>
      <c r="CW1614" s="37"/>
      <c r="CX1614" s="37"/>
      <c r="CY1614" s="37"/>
    </row>
    <row r="1615" spans="2:103" s="10" customFormat="1" x14ac:dyDescent="0.4">
      <c r="B1615" s="44"/>
      <c r="C1615" s="43"/>
      <c r="D1615" s="50"/>
      <c r="E1615" s="50"/>
      <c r="F1615" s="50"/>
      <c r="G1615" s="50"/>
      <c r="H1615" s="9"/>
      <c r="I1615" s="9"/>
      <c r="CS1615" s="37"/>
      <c r="CT1615" s="37"/>
      <c r="CU1615" s="37"/>
      <c r="CV1615" s="37"/>
      <c r="CW1615" s="37"/>
      <c r="CX1615" s="37"/>
      <c r="CY1615" s="37"/>
    </row>
    <row r="1616" spans="2:103" s="10" customFormat="1" x14ac:dyDescent="0.4">
      <c r="B1616" s="44"/>
      <c r="C1616" s="43"/>
      <c r="D1616" s="50"/>
      <c r="E1616" s="50"/>
      <c r="F1616" s="50"/>
      <c r="G1616" s="50"/>
      <c r="H1616" s="9"/>
      <c r="I1616" s="9"/>
      <c r="CS1616" s="37"/>
      <c r="CT1616" s="37"/>
      <c r="CU1616" s="37"/>
      <c r="CV1616" s="37"/>
      <c r="CW1616" s="37"/>
      <c r="CX1616" s="37"/>
      <c r="CY1616" s="37"/>
    </row>
    <row r="1617" spans="2:103" s="10" customFormat="1" x14ac:dyDescent="0.4">
      <c r="B1617" s="44"/>
      <c r="C1617" s="43"/>
      <c r="D1617" s="50"/>
      <c r="E1617" s="50"/>
      <c r="F1617" s="50"/>
      <c r="G1617" s="50"/>
      <c r="H1617" s="9"/>
      <c r="I1617" s="9"/>
      <c r="CS1617" s="37"/>
      <c r="CT1617" s="37"/>
      <c r="CU1617" s="37"/>
      <c r="CV1617" s="37"/>
      <c r="CW1617" s="37"/>
      <c r="CX1617" s="37"/>
      <c r="CY1617" s="37"/>
    </row>
    <row r="1618" spans="2:103" s="10" customFormat="1" x14ac:dyDescent="0.4">
      <c r="B1618" s="44"/>
      <c r="C1618" s="43"/>
      <c r="D1618" s="50"/>
      <c r="E1618" s="50"/>
      <c r="F1618" s="50"/>
      <c r="G1618" s="50"/>
      <c r="H1618" s="9"/>
      <c r="I1618" s="9"/>
      <c r="CS1618" s="37"/>
      <c r="CT1618" s="37"/>
      <c r="CU1618" s="37"/>
      <c r="CV1618" s="37"/>
      <c r="CW1618" s="37"/>
      <c r="CX1618" s="37"/>
      <c r="CY1618" s="37"/>
    </row>
    <row r="1619" spans="2:103" s="10" customFormat="1" x14ac:dyDescent="0.4">
      <c r="B1619" s="44"/>
      <c r="C1619" s="43"/>
      <c r="D1619" s="50"/>
      <c r="E1619" s="50"/>
      <c r="F1619" s="50"/>
      <c r="G1619" s="50"/>
      <c r="H1619" s="9"/>
      <c r="I1619" s="9"/>
      <c r="CS1619" s="37"/>
      <c r="CT1619" s="37"/>
      <c r="CU1619" s="37"/>
      <c r="CV1619" s="37"/>
      <c r="CW1619" s="37"/>
      <c r="CX1619" s="37"/>
      <c r="CY1619" s="37"/>
    </row>
    <row r="1620" spans="2:103" s="10" customFormat="1" x14ac:dyDescent="0.4">
      <c r="B1620" s="44"/>
      <c r="C1620" s="43"/>
      <c r="D1620" s="50"/>
      <c r="E1620" s="50"/>
      <c r="F1620" s="50"/>
      <c r="G1620" s="50"/>
      <c r="H1620" s="9"/>
      <c r="I1620" s="9"/>
      <c r="CS1620" s="37"/>
      <c r="CT1620" s="37"/>
      <c r="CU1620" s="37"/>
      <c r="CV1620" s="37"/>
      <c r="CW1620" s="37"/>
      <c r="CX1620" s="37"/>
      <c r="CY1620" s="37"/>
    </row>
    <row r="1621" spans="2:103" s="10" customFormat="1" x14ac:dyDescent="0.4">
      <c r="B1621" s="44"/>
      <c r="C1621" s="43"/>
      <c r="D1621" s="50"/>
      <c r="E1621" s="50"/>
      <c r="F1621" s="50"/>
      <c r="G1621" s="50"/>
      <c r="H1621" s="9"/>
      <c r="I1621" s="9"/>
      <c r="CS1621" s="37"/>
      <c r="CT1621" s="37"/>
      <c r="CU1621" s="37"/>
      <c r="CV1621" s="37"/>
      <c r="CW1621" s="37"/>
      <c r="CX1621" s="37"/>
      <c r="CY1621" s="37"/>
    </row>
    <row r="1622" spans="2:103" s="10" customFormat="1" x14ac:dyDescent="0.4">
      <c r="B1622" s="44"/>
      <c r="C1622" s="43"/>
      <c r="D1622" s="50"/>
      <c r="E1622" s="50"/>
      <c r="F1622" s="50"/>
      <c r="G1622" s="50"/>
      <c r="H1622" s="9"/>
      <c r="I1622" s="9"/>
      <c r="CS1622" s="37"/>
      <c r="CT1622" s="37"/>
      <c r="CU1622" s="37"/>
      <c r="CV1622" s="37"/>
      <c r="CW1622" s="37"/>
      <c r="CX1622" s="37"/>
      <c r="CY1622" s="37"/>
    </row>
    <row r="1623" spans="2:103" s="10" customFormat="1" x14ac:dyDescent="0.4">
      <c r="B1623" s="44"/>
      <c r="C1623" s="43"/>
      <c r="D1623" s="50"/>
      <c r="E1623" s="50"/>
      <c r="F1623" s="50"/>
      <c r="G1623" s="50"/>
      <c r="H1623" s="9"/>
      <c r="I1623" s="9"/>
      <c r="CS1623" s="37"/>
      <c r="CT1623" s="37"/>
      <c r="CU1623" s="37"/>
      <c r="CV1623" s="37"/>
      <c r="CW1623" s="37"/>
      <c r="CX1623" s="37"/>
      <c r="CY1623" s="37"/>
    </row>
    <row r="1624" spans="2:103" s="10" customFormat="1" x14ac:dyDescent="0.4">
      <c r="B1624" s="44"/>
      <c r="C1624" s="43"/>
      <c r="D1624" s="50"/>
      <c r="E1624" s="50"/>
      <c r="F1624" s="50"/>
      <c r="G1624" s="50"/>
      <c r="H1624" s="9"/>
      <c r="I1624" s="9"/>
      <c r="CS1624" s="37"/>
      <c r="CT1624" s="37"/>
      <c r="CU1624" s="37"/>
      <c r="CV1624" s="37"/>
      <c r="CW1624" s="37"/>
      <c r="CX1624" s="37"/>
      <c r="CY1624" s="37"/>
    </row>
    <row r="1625" spans="2:103" s="10" customFormat="1" x14ac:dyDescent="0.4">
      <c r="B1625" s="44"/>
      <c r="C1625" s="43"/>
      <c r="D1625" s="50"/>
      <c r="E1625" s="50"/>
      <c r="F1625" s="50"/>
      <c r="G1625" s="50"/>
      <c r="H1625" s="9"/>
      <c r="I1625" s="9"/>
      <c r="CS1625" s="37"/>
      <c r="CT1625" s="37"/>
      <c r="CU1625" s="37"/>
      <c r="CV1625" s="37"/>
      <c r="CW1625" s="37"/>
      <c r="CX1625" s="37"/>
      <c r="CY1625" s="37"/>
    </row>
    <row r="1626" spans="2:103" s="10" customFormat="1" x14ac:dyDescent="0.4">
      <c r="B1626" s="44"/>
      <c r="C1626" s="43"/>
      <c r="D1626" s="50"/>
      <c r="E1626" s="50"/>
      <c r="F1626" s="50"/>
      <c r="G1626" s="50"/>
      <c r="H1626" s="9"/>
      <c r="I1626" s="9"/>
      <c r="CS1626" s="37"/>
      <c r="CT1626" s="37"/>
      <c r="CU1626" s="37"/>
      <c r="CV1626" s="37"/>
      <c r="CW1626" s="37"/>
      <c r="CX1626" s="37"/>
      <c r="CY1626" s="37"/>
    </row>
    <row r="1627" spans="2:103" s="10" customFormat="1" x14ac:dyDescent="0.4">
      <c r="B1627" s="44"/>
      <c r="C1627" s="43"/>
      <c r="D1627" s="50"/>
      <c r="E1627" s="50"/>
      <c r="F1627" s="50"/>
      <c r="G1627" s="50"/>
      <c r="H1627" s="9"/>
      <c r="I1627" s="9"/>
      <c r="CS1627" s="37"/>
      <c r="CT1627" s="37"/>
      <c r="CU1627" s="37"/>
      <c r="CV1627" s="37"/>
      <c r="CW1627" s="37"/>
      <c r="CX1627" s="37"/>
      <c r="CY1627" s="37"/>
    </row>
    <row r="1628" spans="2:103" s="10" customFormat="1" x14ac:dyDescent="0.4">
      <c r="B1628" s="44"/>
      <c r="C1628" s="43"/>
      <c r="D1628" s="50"/>
      <c r="E1628" s="50"/>
      <c r="F1628" s="50"/>
      <c r="G1628" s="50"/>
      <c r="H1628" s="9"/>
      <c r="I1628" s="9"/>
      <c r="CS1628" s="37"/>
      <c r="CT1628" s="37"/>
      <c r="CU1628" s="37"/>
      <c r="CV1628" s="37"/>
      <c r="CW1628" s="37"/>
      <c r="CX1628" s="37"/>
      <c r="CY1628" s="37"/>
    </row>
    <row r="1629" spans="2:103" s="10" customFormat="1" x14ac:dyDescent="0.4">
      <c r="B1629" s="44"/>
      <c r="C1629" s="43"/>
      <c r="D1629" s="50"/>
      <c r="E1629" s="50"/>
      <c r="F1629" s="50"/>
      <c r="G1629" s="50"/>
      <c r="H1629" s="9"/>
      <c r="I1629" s="9"/>
      <c r="CS1629" s="37"/>
      <c r="CT1629" s="37"/>
      <c r="CU1629" s="37"/>
      <c r="CV1629" s="37"/>
      <c r="CW1629" s="37"/>
      <c r="CX1629" s="37"/>
      <c r="CY1629" s="37"/>
    </row>
    <row r="1630" spans="2:103" s="10" customFormat="1" x14ac:dyDescent="0.4">
      <c r="B1630" s="44"/>
      <c r="C1630" s="43"/>
      <c r="D1630" s="50"/>
      <c r="E1630" s="50"/>
      <c r="F1630" s="50"/>
      <c r="G1630" s="50"/>
      <c r="H1630" s="9"/>
      <c r="I1630" s="9"/>
      <c r="CS1630" s="37"/>
      <c r="CT1630" s="37"/>
      <c r="CU1630" s="37"/>
      <c r="CV1630" s="37"/>
      <c r="CW1630" s="37"/>
      <c r="CX1630" s="37"/>
      <c r="CY1630" s="37"/>
    </row>
    <row r="1631" spans="2:103" s="10" customFormat="1" x14ac:dyDescent="0.4">
      <c r="B1631" s="44"/>
      <c r="C1631" s="43"/>
      <c r="D1631" s="50"/>
      <c r="E1631" s="50"/>
      <c r="F1631" s="50"/>
      <c r="G1631" s="50"/>
      <c r="H1631" s="9"/>
      <c r="I1631" s="9"/>
      <c r="CS1631" s="37"/>
      <c r="CT1631" s="37"/>
      <c r="CU1631" s="37"/>
      <c r="CV1631" s="37"/>
      <c r="CW1631" s="37"/>
      <c r="CX1631" s="37"/>
      <c r="CY1631" s="37"/>
    </row>
    <row r="1632" spans="2:103" s="10" customFormat="1" x14ac:dyDescent="0.4">
      <c r="B1632" s="44"/>
      <c r="C1632" s="43"/>
      <c r="D1632" s="50"/>
      <c r="E1632" s="50"/>
      <c r="F1632" s="50"/>
      <c r="G1632" s="50"/>
      <c r="H1632" s="9"/>
      <c r="I1632" s="9"/>
      <c r="CS1632" s="37"/>
      <c r="CT1632" s="37"/>
      <c r="CU1632" s="37"/>
      <c r="CV1632" s="37"/>
      <c r="CW1632" s="37"/>
      <c r="CX1632" s="37"/>
      <c r="CY1632" s="37"/>
    </row>
    <row r="1633" spans="2:103" s="10" customFormat="1" x14ac:dyDescent="0.4">
      <c r="B1633" s="44"/>
      <c r="C1633" s="43"/>
      <c r="D1633" s="50"/>
      <c r="E1633" s="50"/>
      <c r="F1633" s="50"/>
      <c r="G1633" s="50"/>
      <c r="H1633" s="9"/>
      <c r="I1633" s="9"/>
      <c r="CS1633" s="37"/>
      <c r="CT1633" s="37"/>
      <c r="CU1633" s="37"/>
      <c r="CV1633" s="37"/>
      <c r="CW1633" s="37"/>
      <c r="CX1633" s="37"/>
      <c r="CY1633" s="37"/>
    </row>
    <row r="1634" spans="2:103" s="10" customFormat="1" x14ac:dyDescent="0.4">
      <c r="B1634" s="44"/>
      <c r="C1634" s="43"/>
      <c r="D1634" s="50"/>
      <c r="E1634" s="50"/>
      <c r="F1634" s="50"/>
      <c r="G1634" s="50"/>
      <c r="H1634" s="9"/>
      <c r="I1634" s="9"/>
      <c r="CS1634" s="37"/>
      <c r="CT1634" s="37"/>
      <c r="CU1634" s="37"/>
      <c r="CV1634" s="37"/>
      <c r="CW1634" s="37"/>
      <c r="CX1634" s="37"/>
      <c r="CY1634" s="37"/>
    </row>
    <row r="1635" spans="2:103" s="10" customFormat="1" x14ac:dyDescent="0.4">
      <c r="B1635" s="44"/>
      <c r="C1635" s="43"/>
      <c r="D1635" s="50"/>
      <c r="E1635" s="50"/>
      <c r="F1635" s="50"/>
      <c r="G1635" s="50"/>
      <c r="H1635" s="9"/>
      <c r="I1635" s="9"/>
      <c r="CS1635" s="37"/>
      <c r="CT1635" s="37"/>
      <c r="CU1635" s="37"/>
      <c r="CV1635" s="37"/>
      <c r="CW1635" s="37"/>
      <c r="CX1635" s="37"/>
      <c r="CY1635" s="37"/>
    </row>
    <row r="1636" spans="2:103" s="10" customFormat="1" x14ac:dyDescent="0.4">
      <c r="B1636" s="44"/>
      <c r="C1636" s="43"/>
      <c r="D1636" s="50"/>
      <c r="E1636" s="50"/>
      <c r="F1636" s="50"/>
      <c r="G1636" s="50"/>
      <c r="H1636" s="9"/>
      <c r="I1636" s="9"/>
      <c r="CS1636" s="37"/>
      <c r="CT1636" s="37"/>
      <c r="CU1636" s="37"/>
      <c r="CV1636" s="37"/>
      <c r="CW1636" s="37"/>
      <c r="CX1636" s="37"/>
      <c r="CY1636" s="37"/>
    </row>
    <row r="1637" spans="2:103" s="10" customFormat="1" x14ac:dyDescent="0.4">
      <c r="B1637" s="44"/>
      <c r="C1637" s="43"/>
      <c r="D1637" s="50"/>
      <c r="E1637" s="50"/>
      <c r="F1637" s="50"/>
      <c r="G1637" s="50"/>
      <c r="H1637" s="9"/>
      <c r="I1637" s="9"/>
      <c r="CS1637" s="37"/>
      <c r="CT1637" s="37"/>
      <c r="CU1637" s="37"/>
      <c r="CV1637" s="37"/>
      <c r="CW1637" s="37"/>
      <c r="CX1637" s="37"/>
      <c r="CY1637" s="37"/>
    </row>
    <row r="1638" spans="2:103" s="10" customFormat="1" x14ac:dyDescent="0.4">
      <c r="B1638" s="44"/>
      <c r="C1638" s="43"/>
      <c r="D1638" s="50"/>
      <c r="E1638" s="50"/>
      <c r="F1638" s="50"/>
      <c r="G1638" s="50"/>
      <c r="H1638" s="9"/>
      <c r="I1638" s="9"/>
      <c r="CS1638" s="37"/>
      <c r="CT1638" s="37"/>
      <c r="CU1638" s="37"/>
      <c r="CV1638" s="37"/>
      <c r="CW1638" s="37"/>
      <c r="CX1638" s="37"/>
      <c r="CY1638" s="37"/>
    </row>
    <row r="1639" spans="2:103" s="10" customFormat="1" x14ac:dyDescent="0.4">
      <c r="B1639" s="44"/>
      <c r="C1639" s="43"/>
      <c r="D1639" s="50"/>
      <c r="E1639" s="50"/>
      <c r="F1639" s="50"/>
      <c r="G1639" s="50"/>
      <c r="H1639" s="9"/>
      <c r="I1639" s="9"/>
      <c r="CS1639" s="37"/>
      <c r="CT1639" s="37"/>
      <c r="CU1639" s="37"/>
      <c r="CV1639" s="37"/>
      <c r="CW1639" s="37"/>
      <c r="CX1639" s="37"/>
      <c r="CY1639" s="37"/>
    </row>
    <row r="1640" spans="2:103" s="10" customFormat="1" x14ac:dyDescent="0.4">
      <c r="B1640" s="44"/>
      <c r="C1640" s="43"/>
      <c r="D1640" s="50"/>
      <c r="E1640" s="50"/>
      <c r="F1640" s="50"/>
      <c r="G1640" s="50"/>
      <c r="H1640" s="9"/>
      <c r="I1640" s="9"/>
      <c r="CS1640" s="37"/>
      <c r="CT1640" s="37"/>
      <c r="CU1640" s="37"/>
      <c r="CV1640" s="37"/>
      <c r="CW1640" s="37"/>
      <c r="CX1640" s="37"/>
      <c r="CY1640" s="37"/>
    </row>
    <row r="1641" spans="2:103" s="10" customFormat="1" x14ac:dyDescent="0.4">
      <c r="B1641" s="44"/>
      <c r="C1641" s="43"/>
      <c r="D1641" s="50"/>
      <c r="E1641" s="50"/>
      <c r="F1641" s="50"/>
      <c r="G1641" s="50"/>
      <c r="H1641" s="9"/>
      <c r="I1641" s="9"/>
      <c r="CS1641" s="37"/>
      <c r="CT1641" s="37"/>
      <c r="CU1641" s="37"/>
      <c r="CV1641" s="37"/>
      <c r="CW1641" s="37"/>
      <c r="CX1641" s="37"/>
      <c r="CY1641" s="37"/>
    </row>
    <row r="1642" spans="2:103" s="10" customFormat="1" x14ac:dyDescent="0.4">
      <c r="B1642" s="44"/>
      <c r="C1642" s="43"/>
      <c r="D1642" s="50"/>
      <c r="E1642" s="50"/>
      <c r="F1642" s="50"/>
      <c r="G1642" s="50"/>
      <c r="H1642" s="9"/>
      <c r="I1642" s="9"/>
      <c r="CS1642" s="37"/>
      <c r="CT1642" s="37"/>
      <c r="CU1642" s="37"/>
      <c r="CV1642" s="37"/>
      <c r="CW1642" s="37"/>
      <c r="CX1642" s="37"/>
      <c r="CY1642" s="37"/>
    </row>
    <row r="1643" spans="2:103" s="10" customFormat="1" x14ac:dyDescent="0.4">
      <c r="B1643" s="44"/>
      <c r="C1643" s="43"/>
      <c r="D1643" s="50"/>
      <c r="E1643" s="50"/>
      <c r="F1643" s="50"/>
      <c r="G1643" s="50"/>
      <c r="H1643" s="9"/>
      <c r="I1643" s="9"/>
      <c r="CS1643" s="37"/>
      <c r="CT1643" s="37"/>
      <c r="CU1643" s="37"/>
      <c r="CV1643" s="37"/>
      <c r="CW1643" s="37"/>
      <c r="CX1643" s="37"/>
      <c r="CY1643" s="37"/>
    </row>
    <row r="1644" spans="2:103" s="10" customFormat="1" x14ac:dyDescent="0.4">
      <c r="B1644" s="44"/>
      <c r="C1644" s="43"/>
      <c r="D1644" s="50"/>
      <c r="E1644" s="50"/>
      <c r="F1644" s="50"/>
      <c r="G1644" s="50"/>
      <c r="H1644" s="9"/>
      <c r="I1644" s="9"/>
      <c r="CS1644" s="37"/>
      <c r="CT1644" s="37"/>
      <c r="CU1644" s="37"/>
      <c r="CV1644" s="37"/>
      <c r="CW1644" s="37"/>
      <c r="CX1644" s="37"/>
      <c r="CY1644" s="37"/>
    </row>
    <row r="1645" spans="2:103" s="10" customFormat="1" x14ac:dyDescent="0.4">
      <c r="B1645" s="44"/>
      <c r="C1645" s="43"/>
      <c r="D1645" s="50"/>
      <c r="E1645" s="50"/>
      <c r="F1645" s="50"/>
      <c r="G1645" s="50"/>
      <c r="H1645" s="9"/>
      <c r="I1645" s="9"/>
      <c r="CS1645" s="37"/>
      <c r="CT1645" s="37"/>
      <c r="CU1645" s="37"/>
      <c r="CV1645" s="37"/>
      <c r="CW1645" s="37"/>
      <c r="CX1645" s="37"/>
      <c r="CY1645" s="37"/>
    </row>
    <row r="1646" spans="2:103" s="10" customFormat="1" x14ac:dyDescent="0.4">
      <c r="B1646" s="44"/>
      <c r="C1646" s="43"/>
      <c r="D1646" s="50"/>
      <c r="E1646" s="50"/>
      <c r="F1646" s="50"/>
      <c r="G1646" s="50"/>
      <c r="H1646" s="9"/>
      <c r="I1646" s="9"/>
      <c r="CS1646" s="37"/>
      <c r="CT1646" s="37"/>
      <c r="CU1646" s="37"/>
      <c r="CV1646" s="37"/>
      <c r="CW1646" s="37"/>
      <c r="CX1646" s="37"/>
      <c r="CY1646" s="37"/>
    </row>
    <row r="1647" spans="2:103" s="10" customFormat="1" x14ac:dyDescent="0.4">
      <c r="B1647" s="44"/>
      <c r="C1647" s="43"/>
      <c r="D1647" s="50"/>
      <c r="E1647" s="50"/>
      <c r="F1647" s="50"/>
      <c r="G1647" s="50"/>
      <c r="H1647" s="9"/>
      <c r="I1647" s="9"/>
      <c r="CS1647" s="37"/>
      <c r="CT1647" s="37"/>
      <c r="CU1647" s="37"/>
      <c r="CV1647" s="37"/>
      <c r="CW1647" s="37"/>
      <c r="CX1647" s="37"/>
      <c r="CY1647" s="37"/>
    </row>
    <row r="1648" spans="2:103" s="10" customFormat="1" x14ac:dyDescent="0.4">
      <c r="B1648" s="44"/>
      <c r="C1648" s="43"/>
      <c r="D1648" s="50"/>
      <c r="E1648" s="50"/>
      <c r="F1648" s="50"/>
      <c r="G1648" s="50"/>
      <c r="H1648" s="9"/>
      <c r="I1648" s="9"/>
      <c r="CS1648" s="37"/>
      <c r="CT1648" s="37"/>
      <c r="CU1648" s="37"/>
      <c r="CV1648" s="37"/>
      <c r="CW1648" s="37"/>
      <c r="CX1648" s="37"/>
      <c r="CY1648" s="37"/>
    </row>
    <row r="1649" spans="2:103" s="10" customFormat="1" x14ac:dyDescent="0.4">
      <c r="B1649" s="44"/>
      <c r="C1649" s="43"/>
      <c r="D1649" s="50"/>
      <c r="E1649" s="50"/>
      <c r="F1649" s="50"/>
      <c r="G1649" s="50"/>
      <c r="H1649" s="9"/>
      <c r="I1649" s="9"/>
      <c r="CS1649" s="37"/>
      <c r="CT1649" s="37"/>
      <c r="CU1649" s="37"/>
      <c r="CV1649" s="37"/>
      <c r="CW1649" s="37"/>
      <c r="CX1649" s="37"/>
      <c r="CY1649" s="37"/>
    </row>
    <row r="1650" spans="2:103" s="10" customFormat="1" x14ac:dyDescent="0.4">
      <c r="B1650" s="44"/>
      <c r="C1650" s="43"/>
      <c r="D1650" s="50"/>
      <c r="E1650" s="50"/>
      <c r="F1650" s="50"/>
      <c r="G1650" s="50"/>
      <c r="H1650" s="9"/>
      <c r="I1650" s="9"/>
      <c r="CS1650" s="37"/>
      <c r="CT1650" s="37"/>
      <c r="CU1650" s="37"/>
      <c r="CV1650" s="37"/>
      <c r="CW1650" s="37"/>
      <c r="CX1650" s="37"/>
      <c r="CY1650" s="37"/>
    </row>
    <row r="1651" spans="2:103" s="10" customFormat="1" x14ac:dyDescent="0.4">
      <c r="B1651" s="44"/>
      <c r="C1651" s="43"/>
      <c r="D1651" s="50"/>
      <c r="E1651" s="50"/>
      <c r="F1651" s="50"/>
      <c r="G1651" s="50"/>
      <c r="H1651" s="9"/>
      <c r="I1651" s="9"/>
      <c r="CS1651" s="37"/>
      <c r="CT1651" s="37"/>
      <c r="CU1651" s="37"/>
      <c r="CV1651" s="37"/>
      <c r="CW1651" s="37"/>
      <c r="CX1651" s="37"/>
      <c r="CY1651" s="37"/>
    </row>
    <row r="1652" spans="2:103" s="10" customFormat="1" x14ac:dyDescent="0.4">
      <c r="B1652" s="44"/>
      <c r="C1652" s="43"/>
      <c r="D1652" s="50"/>
      <c r="E1652" s="50"/>
      <c r="F1652" s="50"/>
      <c r="G1652" s="50"/>
      <c r="H1652" s="9"/>
      <c r="I1652" s="9"/>
      <c r="CS1652" s="37"/>
      <c r="CT1652" s="37"/>
      <c r="CU1652" s="37"/>
      <c r="CV1652" s="37"/>
      <c r="CW1652" s="37"/>
      <c r="CX1652" s="37"/>
      <c r="CY1652" s="37"/>
    </row>
    <row r="1653" spans="2:103" s="10" customFormat="1" x14ac:dyDescent="0.4">
      <c r="B1653" s="44"/>
      <c r="C1653" s="43"/>
      <c r="D1653" s="50"/>
      <c r="E1653" s="50"/>
      <c r="F1653" s="50"/>
      <c r="G1653" s="50"/>
      <c r="H1653" s="9"/>
      <c r="I1653" s="9"/>
      <c r="CS1653" s="37"/>
      <c r="CT1653" s="37"/>
      <c r="CU1653" s="37"/>
      <c r="CV1653" s="37"/>
      <c r="CW1653" s="37"/>
      <c r="CX1653" s="37"/>
      <c r="CY1653" s="37"/>
    </row>
    <row r="1654" spans="2:103" s="10" customFormat="1" x14ac:dyDescent="0.4">
      <c r="B1654" s="44"/>
      <c r="C1654" s="43"/>
      <c r="D1654" s="50"/>
      <c r="E1654" s="50"/>
      <c r="F1654" s="50"/>
      <c r="G1654" s="50"/>
      <c r="H1654" s="9"/>
      <c r="I1654" s="9"/>
      <c r="CS1654" s="37"/>
      <c r="CT1654" s="37"/>
      <c r="CU1654" s="37"/>
      <c r="CV1654" s="37"/>
      <c r="CW1654" s="37"/>
      <c r="CX1654" s="37"/>
      <c r="CY1654" s="37"/>
    </row>
    <row r="1655" spans="2:103" s="10" customFormat="1" x14ac:dyDescent="0.4">
      <c r="B1655" s="44"/>
      <c r="C1655" s="43"/>
      <c r="D1655" s="50"/>
      <c r="E1655" s="50"/>
      <c r="F1655" s="50"/>
      <c r="G1655" s="50"/>
      <c r="H1655" s="9"/>
      <c r="I1655" s="9"/>
      <c r="CS1655" s="37"/>
      <c r="CT1655" s="37"/>
      <c r="CU1655" s="37"/>
      <c r="CV1655" s="37"/>
      <c r="CW1655" s="37"/>
      <c r="CX1655" s="37"/>
      <c r="CY1655" s="37"/>
    </row>
    <row r="1656" spans="2:103" s="10" customFormat="1" x14ac:dyDescent="0.4">
      <c r="B1656" s="44"/>
      <c r="C1656" s="43"/>
      <c r="D1656" s="50"/>
      <c r="E1656" s="50"/>
      <c r="F1656" s="50"/>
      <c r="G1656" s="50"/>
      <c r="H1656" s="9"/>
      <c r="I1656" s="9"/>
      <c r="CS1656" s="37"/>
      <c r="CT1656" s="37"/>
      <c r="CU1656" s="37"/>
      <c r="CV1656" s="37"/>
      <c r="CW1656" s="37"/>
      <c r="CX1656" s="37"/>
      <c r="CY1656" s="37"/>
    </row>
    <row r="1657" spans="2:103" s="10" customFormat="1" x14ac:dyDescent="0.4">
      <c r="B1657" s="44"/>
      <c r="C1657" s="43"/>
      <c r="D1657" s="50"/>
      <c r="E1657" s="50"/>
      <c r="F1657" s="50"/>
      <c r="G1657" s="50"/>
      <c r="H1657" s="9"/>
      <c r="I1657" s="9"/>
      <c r="CS1657" s="37"/>
      <c r="CT1657" s="37"/>
      <c r="CU1657" s="37"/>
      <c r="CV1657" s="37"/>
      <c r="CW1657" s="37"/>
      <c r="CX1657" s="37"/>
      <c r="CY1657" s="37"/>
    </row>
    <row r="1658" spans="2:103" s="10" customFormat="1" x14ac:dyDescent="0.4">
      <c r="B1658" s="44"/>
      <c r="C1658" s="43"/>
      <c r="D1658" s="50"/>
      <c r="E1658" s="50"/>
      <c r="F1658" s="50"/>
      <c r="G1658" s="50"/>
      <c r="H1658" s="9"/>
      <c r="I1658" s="9"/>
      <c r="CS1658" s="37"/>
      <c r="CT1658" s="37"/>
      <c r="CU1658" s="37"/>
      <c r="CV1658" s="37"/>
      <c r="CW1658" s="37"/>
      <c r="CX1658" s="37"/>
      <c r="CY1658" s="37"/>
    </row>
    <row r="1659" spans="2:103" s="10" customFormat="1" x14ac:dyDescent="0.4">
      <c r="B1659" s="44"/>
      <c r="C1659" s="43"/>
      <c r="D1659" s="50"/>
      <c r="E1659" s="50"/>
      <c r="F1659" s="50"/>
      <c r="G1659" s="50"/>
      <c r="H1659" s="9"/>
      <c r="I1659" s="9"/>
      <c r="CS1659" s="37"/>
      <c r="CT1659" s="37"/>
      <c r="CU1659" s="37"/>
      <c r="CV1659" s="37"/>
      <c r="CW1659" s="37"/>
      <c r="CX1659" s="37"/>
      <c r="CY1659" s="37"/>
    </row>
    <row r="1660" spans="2:103" s="10" customFormat="1" x14ac:dyDescent="0.4">
      <c r="B1660" s="44"/>
      <c r="C1660" s="43"/>
      <c r="D1660" s="50"/>
      <c r="E1660" s="50"/>
      <c r="F1660" s="50"/>
      <c r="G1660" s="50"/>
      <c r="H1660" s="9"/>
      <c r="I1660" s="9"/>
      <c r="CS1660" s="37"/>
      <c r="CT1660" s="37"/>
      <c r="CU1660" s="37"/>
      <c r="CV1660" s="37"/>
      <c r="CW1660" s="37"/>
      <c r="CX1660" s="37"/>
      <c r="CY1660" s="37"/>
    </row>
    <row r="1661" spans="2:103" s="10" customFormat="1" x14ac:dyDescent="0.4">
      <c r="B1661" s="44"/>
      <c r="C1661" s="43"/>
      <c r="D1661" s="50"/>
      <c r="E1661" s="50"/>
      <c r="F1661" s="50"/>
      <c r="G1661" s="50"/>
      <c r="H1661" s="9"/>
      <c r="I1661" s="9"/>
      <c r="CS1661" s="37"/>
      <c r="CT1661" s="37"/>
      <c r="CU1661" s="37"/>
      <c r="CV1661" s="37"/>
      <c r="CW1661" s="37"/>
      <c r="CX1661" s="37"/>
      <c r="CY1661" s="37"/>
    </row>
    <row r="1662" spans="2:103" s="10" customFormat="1" x14ac:dyDescent="0.4">
      <c r="B1662" s="44"/>
      <c r="C1662" s="43"/>
      <c r="D1662" s="50"/>
      <c r="E1662" s="50"/>
      <c r="F1662" s="50"/>
      <c r="G1662" s="50"/>
      <c r="H1662" s="9"/>
      <c r="I1662" s="9"/>
      <c r="CS1662" s="37"/>
      <c r="CT1662" s="37"/>
      <c r="CU1662" s="37"/>
      <c r="CV1662" s="37"/>
      <c r="CW1662" s="37"/>
      <c r="CX1662" s="37"/>
      <c r="CY1662" s="37"/>
    </row>
    <row r="1663" spans="2:103" s="10" customFormat="1" x14ac:dyDescent="0.4">
      <c r="B1663" s="44"/>
      <c r="C1663" s="43"/>
      <c r="D1663" s="50"/>
      <c r="E1663" s="50"/>
      <c r="F1663" s="50"/>
      <c r="G1663" s="50"/>
      <c r="H1663" s="9"/>
      <c r="I1663" s="9"/>
      <c r="CS1663" s="37"/>
      <c r="CT1663" s="37"/>
      <c r="CU1663" s="37"/>
      <c r="CV1663" s="37"/>
      <c r="CW1663" s="37"/>
      <c r="CX1663" s="37"/>
      <c r="CY1663" s="37"/>
    </row>
    <row r="1664" spans="2:103" s="10" customFormat="1" x14ac:dyDescent="0.4">
      <c r="B1664" s="44"/>
      <c r="C1664" s="43"/>
      <c r="D1664" s="50"/>
      <c r="E1664" s="50"/>
      <c r="F1664" s="50"/>
      <c r="G1664" s="50"/>
      <c r="H1664" s="9"/>
      <c r="I1664" s="9"/>
      <c r="CS1664" s="37"/>
      <c r="CT1664" s="37"/>
      <c r="CU1664" s="37"/>
      <c r="CV1664" s="37"/>
      <c r="CW1664" s="37"/>
      <c r="CX1664" s="37"/>
      <c r="CY1664" s="37"/>
    </row>
    <row r="1665" spans="2:103" s="10" customFormat="1" x14ac:dyDescent="0.4">
      <c r="B1665" s="44"/>
      <c r="C1665" s="43"/>
      <c r="D1665" s="50"/>
      <c r="E1665" s="50"/>
      <c r="F1665" s="50"/>
      <c r="G1665" s="50"/>
      <c r="H1665" s="9"/>
      <c r="I1665" s="9"/>
      <c r="CS1665" s="37"/>
      <c r="CT1665" s="37"/>
      <c r="CU1665" s="37"/>
      <c r="CV1665" s="37"/>
      <c r="CW1665" s="37"/>
      <c r="CX1665" s="37"/>
      <c r="CY1665" s="37"/>
    </row>
    <row r="1666" spans="2:103" s="10" customFormat="1" x14ac:dyDescent="0.4">
      <c r="B1666" s="44"/>
      <c r="C1666" s="43"/>
      <c r="D1666" s="50"/>
      <c r="E1666" s="50"/>
      <c r="F1666" s="50"/>
      <c r="G1666" s="50"/>
      <c r="H1666" s="9"/>
      <c r="I1666" s="9"/>
      <c r="CS1666" s="37"/>
      <c r="CT1666" s="37"/>
      <c r="CU1666" s="37"/>
      <c r="CV1666" s="37"/>
      <c r="CW1666" s="37"/>
      <c r="CX1666" s="37"/>
      <c r="CY1666" s="37"/>
    </row>
    <row r="1667" spans="2:103" s="10" customFormat="1" x14ac:dyDescent="0.4">
      <c r="B1667" s="44"/>
      <c r="C1667" s="43"/>
      <c r="D1667" s="50"/>
      <c r="E1667" s="50"/>
      <c r="F1667" s="50"/>
      <c r="G1667" s="50"/>
      <c r="H1667" s="9"/>
      <c r="I1667" s="9"/>
      <c r="CS1667" s="37"/>
      <c r="CT1667" s="37"/>
      <c r="CU1667" s="37"/>
      <c r="CV1667" s="37"/>
      <c r="CW1667" s="37"/>
      <c r="CX1667" s="37"/>
      <c r="CY1667" s="37"/>
    </row>
    <row r="1668" spans="2:103" s="10" customFormat="1" x14ac:dyDescent="0.4">
      <c r="B1668" s="44"/>
      <c r="C1668" s="43"/>
      <c r="D1668" s="50"/>
      <c r="E1668" s="50"/>
      <c r="F1668" s="50"/>
      <c r="G1668" s="50"/>
      <c r="H1668" s="9"/>
      <c r="I1668" s="9"/>
      <c r="CS1668" s="37"/>
      <c r="CT1668" s="37"/>
      <c r="CU1668" s="37"/>
      <c r="CV1668" s="37"/>
      <c r="CW1668" s="37"/>
      <c r="CX1668" s="37"/>
      <c r="CY1668" s="37"/>
    </row>
    <row r="1669" spans="2:103" s="10" customFormat="1" x14ac:dyDescent="0.4">
      <c r="B1669" s="44"/>
      <c r="C1669" s="43"/>
      <c r="D1669" s="50"/>
      <c r="E1669" s="50"/>
      <c r="F1669" s="50"/>
      <c r="G1669" s="50"/>
      <c r="H1669" s="9"/>
      <c r="I1669" s="9"/>
      <c r="CS1669" s="37"/>
      <c r="CT1669" s="37"/>
      <c r="CU1669" s="37"/>
      <c r="CV1669" s="37"/>
      <c r="CW1669" s="37"/>
      <c r="CX1669" s="37"/>
      <c r="CY1669" s="37"/>
    </row>
    <row r="1670" spans="2:103" s="10" customFormat="1" x14ac:dyDescent="0.4">
      <c r="B1670" s="44"/>
      <c r="C1670" s="43"/>
      <c r="D1670" s="50"/>
      <c r="E1670" s="50"/>
      <c r="F1670" s="50"/>
      <c r="G1670" s="50"/>
      <c r="H1670" s="9"/>
      <c r="I1670" s="9"/>
      <c r="CS1670" s="37"/>
      <c r="CT1670" s="37"/>
      <c r="CU1670" s="37"/>
      <c r="CV1670" s="37"/>
      <c r="CW1670" s="37"/>
      <c r="CX1670" s="37"/>
      <c r="CY1670" s="37"/>
    </row>
    <row r="1671" spans="2:103" s="10" customFormat="1" x14ac:dyDescent="0.4">
      <c r="B1671" s="44"/>
      <c r="C1671" s="43"/>
      <c r="D1671" s="50"/>
      <c r="E1671" s="50"/>
      <c r="F1671" s="50"/>
      <c r="G1671" s="50"/>
      <c r="H1671" s="9"/>
      <c r="I1671" s="9"/>
      <c r="CS1671" s="37"/>
      <c r="CT1671" s="37"/>
      <c r="CU1671" s="37"/>
      <c r="CV1671" s="37"/>
      <c r="CW1671" s="37"/>
      <c r="CX1671" s="37"/>
      <c r="CY1671" s="37"/>
    </row>
    <row r="1672" spans="2:103" s="10" customFormat="1" x14ac:dyDescent="0.4">
      <c r="B1672" s="44"/>
      <c r="C1672" s="43"/>
      <c r="D1672" s="50"/>
      <c r="E1672" s="50"/>
      <c r="F1672" s="50"/>
      <c r="G1672" s="50"/>
      <c r="H1672" s="9"/>
      <c r="I1672" s="9"/>
      <c r="CS1672" s="37"/>
      <c r="CT1672" s="37"/>
      <c r="CU1672" s="37"/>
      <c r="CV1672" s="37"/>
      <c r="CW1672" s="37"/>
      <c r="CX1672" s="37"/>
      <c r="CY1672" s="37"/>
    </row>
    <row r="1673" spans="2:103" s="10" customFormat="1" x14ac:dyDescent="0.4">
      <c r="B1673" s="44"/>
      <c r="C1673" s="43"/>
      <c r="D1673" s="50"/>
      <c r="E1673" s="50"/>
      <c r="F1673" s="50"/>
      <c r="G1673" s="50"/>
      <c r="H1673" s="9"/>
      <c r="I1673" s="9"/>
      <c r="CS1673" s="37"/>
      <c r="CT1673" s="37"/>
      <c r="CU1673" s="37"/>
      <c r="CV1673" s="37"/>
      <c r="CW1673" s="37"/>
      <c r="CX1673" s="37"/>
      <c r="CY1673" s="37"/>
    </row>
    <row r="1674" spans="2:103" s="10" customFormat="1" x14ac:dyDescent="0.4">
      <c r="B1674" s="44"/>
      <c r="C1674" s="43"/>
      <c r="D1674" s="50"/>
      <c r="E1674" s="50"/>
      <c r="F1674" s="50"/>
      <c r="G1674" s="50"/>
      <c r="H1674" s="9"/>
      <c r="I1674" s="9"/>
      <c r="CS1674" s="37"/>
      <c r="CT1674" s="37"/>
      <c r="CU1674" s="37"/>
      <c r="CV1674" s="37"/>
      <c r="CW1674" s="37"/>
      <c r="CX1674" s="37"/>
      <c r="CY1674" s="37"/>
    </row>
    <row r="1675" spans="2:103" s="10" customFormat="1" x14ac:dyDescent="0.4">
      <c r="B1675" s="44"/>
      <c r="C1675" s="43"/>
      <c r="D1675" s="50"/>
      <c r="E1675" s="50"/>
      <c r="F1675" s="50"/>
      <c r="G1675" s="50"/>
      <c r="H1675" s="9"/>
      <c r="I1675" s="9"/>
      <c r="CS1675" s="37"/>
      <c r="CT1675" s="37"/>
      <c r="CU1675" s="37"/>
      <c r="CV1675" s="37"/>
      <c r="CW1675" s="37"/>
      <c r="CX1675" s="37"/>
      <c r="CY1675" s="37"/>
    </row>
    <row r="1676" spans="2:103" s="10" customFormat="1" x14ac:dyDescent="0.4">
      <c r="B1676" s="44"/>
      <c r="C1676" s="43"/>
      <c r="D1676" s="50"/>
      <c r="E1676" s="50"/>
      <c r="F1676" s="50"/>
      <c r="G1676" s="50"/>
      <c r="H1676" s="9"/>
      <c r="I1676" s="9"/>
      <c r="CS1676" s="37"/>
      <c r="CT1676" s="37"/>
      <c r="CU1676" s="37"/>
      <c r="CV1676" s="37"/>
      <c r="CW1676" s="37"/>
      <c r="CX1676" s="37"/>
      <c r="CY1676" s="37"/>
    </row>
    <row r="1677" spans="2:103" s="10" customFormat="1" x14ac:dyDescent="0.4">
      <c r="B1677" s="44"/>
      <c r="C1677" s="43"/>
      <c r="D1677" s="50"/>
      <c r="E1677" s="50"/>
      <c r="F1677" s="50"/>
      <c r="G1677" s="50"/>
      <c r="H1677" s="9"/>
      <c r="I1677" s="9"/>
      <c r="CS1677" s="37"/>
      <c r="CT1677" s="37"/>
      <c r="CU1677" s="37"/>
      <c r="CV1677" s="37"/>
      <c r="CW1677" s="37"/>
      <c r="CX1677" s="37"/>
      <c r="CY1677" s="37"/>
    </row>
    <row r="1678" spans="2:103" s="10" customFormat="1" x14ac:dyDescent="0.4">
      <c r="B1678" s="44"/>
      <c r="C1678" s="43"/>
      <c r="D1678" s="50"/>
      <c r="E1678" s="50"/>
      <c r="F1678" s="50"/>
      <c r="G1678" s="50"/>
      <c r="H1678" s="9"/>
      <c r="I1678" s="9"/>
      <c r="CS1678" s="37"/>
      <c r="CT1678" s="37"/>
      <c r="CU1678" s="37"/>
      <c r="CV1678" s="37"/>
      <c r="CW1678" s="37"/>
      <c r="CX1678" s="37"/>
      <c r="CY1678" s="37"/>
    </row>
    <row r="1679" spans="2:103" s="10" customFormat="1" x14ac:dyDescent="0.4">
      <c r="B1679" s="44"/>
      <c r="C1679" s="43"/>
      <c r="D1679" s="50"/>
      <c r="E1679" s="50"/>
      <c r="F1679" s="50"/>
      <c r="G1679" s="50"/>
      <c r="H1679" s="9"/>
      <c r="I1679" s="9"/>
      <c r="CS1679" s="37"/>
      <c r="CT1679" s="37"/>
      <c r="CU1679" s="37"/>
      <c r="CV1679" s="37"/>
      <c r="CW1679" s="37"/>
      <c r="CX1679" s="37"/>
      <c r="CY1679" s="37"/>
    </row>
    <row r="1680" spans="2:103" s="10" customFormat="1" x14ac:dyDescent="0.4">
      <c r="B1680" s="44"/>
      <c r="C1680" s="43"/>
      <c r="D1680" s="50"/>
      <c r="E1680" s="50"/>
      <c r="F1680" s="50"/>
      <c r="G1680" s="50"/>
      <c r="H1680" s="9"/>
      <c r="I1680" s="9"/>
      <c r="CS1680" s="37"/>
      <c r="CT1680" s="37"/>
      <c r="CU1680" s="37"/>
      <c r="CV1680" s="37"/>
      <c r="CW1680" s="37"/>
      <c r="CX1680" s="37"/>
      <c r="CY1680" s="37"/>
    </row>
    <row r="1681" spans="2:103" s="10" customFormat="1" x14ac:dyDescent="0.4">
      <c r="B1681" s="44"/>
      <c r="C1681" s="43"/>
      <c r="D1681" s="50"/>
      <c r="E1681" s="50"/>
      <c r="F1681" s="50"/>
      <c r="G1681" s="50"/>
      <c r="H1681" s="9"/>
      <c r="I1681" s="9"/>
      <c r="CS1681" s="37"/>
      <c r="CT1681" s="37"/>
      <c r="CU1681" s="37"/>
      <c r="CV1681" s="37"/>
      <c r="CW1681" s="37"/>
      <c r="CX1681" s="37"/>
      <c r="CY1681" s="37"/>
    </row>
    <row r="1682" spans="2:103" s="10" customFormat="1" x14ac:dyDescent="0.4">
      <c r="B1682" s="44"/>
      <c r="C1682" s="43"/>
      <c r="D1682" s="50"/>
      <c r="E1682" s="50"/>
      <c r="F1682" s="50"/>
      <c r="G1682" s="50"/>
      <c r="H1682" s="9"/>
      <c r="I1682" s="9"/>
      <c r="CS1682" s="37"/>
      <c r="CT1682" s="37"/>
      <c r="CU1682" s="37"/>
      <c r="CV1682" s="37"/>
      <c r="CW1682" s="37"/>
      <c r="CX1682" s="37"/>
      <c r="CY1682" s="37"/>
    </row>
    <row r="1683" spans="2:103" s="10" customFormat="1" x14ac:dyDescent="0.4">
      <c r="B1683" s="44"/>
      <c r="C1683" s="43"/>
      <c r="D1683" s="50"/>
      <c r="E1683" s="50"/>
      <c r="F1683" s="50"/>
      <c r="G1683" s="50"/>
      <c r="H1683" s="9"/>
      <c r="I1683" s="9"/>
      <c r="CS1683" s="37"/>
      <c r="CT1683" s="37"/>
      <c r="CU1683" s="37"/>
      <c r="CV1683" s="37"/>
      <c r="CW1683" s="37"/>
      <c r="CX1683" s="37"/>
      <c r="CY1683" s="37"/>
    </row>
    <row r="1684" spans="2:103" s="10" customFormat="1" x14ac:dyDescent="0.4">
      <c r="B1684" s="44"/>
      <c r="C1684" s="43"/>
      <c r="D1684" s="50"/>
      <c r="E1684" s="50"/>
      <c r="F1684" s="50"/>
      <c r="G1684" s="50"/>
      <c r="H1684" s="9"/>
      <c r="I1684" s="9"/>
      <c r="CS1684" s="37"/>
      <c r="CT1684" s="37"/>
      <c r="CU1684" s="37"/>
      <c r="CV1684" s="37"/>
      <c r="CW1684" s="37"/>
      <c r="CX1684" s="37"/>
      <c r="CY1684" s="37"/>
    </row>
    <row r="1685" spans="2:103" s="10" customFormat="1" x14ac:dyDescent="0.4">
      <c r="B1685" s="44"/>
      <c r="C1685" s="43"/>
      <c r="D1685" s="50"/>
      <c r="E1685" s="50"/>
      <c r="F1685" s="50"/>
      <c r="G1685" s="50"/>
      <c r="H1685" s="9"/>
      <c r="I1685" s="9"/>
      <c r="CS1685" s="37"/>
      <c r="CT1685" s="37"/>
      <c r="CU1685" s="37"/>
      <c r="CV1685" s="37"/>
      <c r="CW1685" s="37"/>
      <c r="CX1685" s="37"/>
      <c r="CY1685" s="37"/>
    </row>
    <row r="1686" spans="2:103" s="10" customFormat="1" x14ac:dyDescent="0.4">
      <c r="B1686" s="44"/>
      <c r="C1686" s="43"/>
      <c r="D1686" s="50"/>
      <c r="E1686" s="50"/>
      <c r="F1686" s="50"/>
      <c r="G1686" s="50"/>
      <c r="H1686" s="9"/>
      <c r="I1686" s="9"/>
      <c r="CS1686" s="37"/>
      <c r="CT1686" s="37"/>
      <c r="CU1686" s="37"/>
      <c r="CV1686" s="37"/>
      <c r="CW1686" s="37"/>
      <c r="CX1686" s="37"/>
      <c r="CY1686" s="37"/>
    </row>
    <row r="1687" spans="2:103" s="10" customFormat="1" x14ac:dyDescent="0.4">
      <c r="B1687" s="44"/>
      <c r="C1687" s="43"/>
      <c r="D1687" s="50"/>
      <c r="E1687" s="50"/>
      <c r="F1687" s="50"/>
      <c r="G1687" s="50"/>
      <c r="H1687" s="9"/>
      <c r="I1687" s="9"/>
      <c r="CS1687" s="37"/>
      <c r="CT1687" s="37"/>
      <c r="CU1687" s="37"/>
      <c r="CV1687" s="37"/>
      <c r="CW1687" s="37"/>
      <c r="CX1687" s="37"/>
      <c r="CY1687" s="37"/>
    </row>
    <row r="1688" spans="2:103" s="10" customFormat="1" x14ac:dyDescent="0.4">
      <c r="B1688" s="44"/>
      <c r="C1688" s="43"/>
      <c r="D1688" s="50"/>
      <c r="E1688" s="50"/>
      <c r="F1688" s="50"/>
      <c r="G1688" s="50"/>
      <c r="H1688" s="9"/>
      <c r="I1688" s="9"/>
      <c r="CS1688" s="37"/>
      <c r="CT1688" s="37"/>
      <c r="CU1688" s="37"/>
      <c r="CV1688" s="37"/>
      <c r="CW1688" s="37"/>
      <c r="CX1688" s="37"/>
      <c r="CY1688" s="37"/>
    </row>
    <row r="1689" spans="2:103" s="10" customFormat="1" x14ac:dyDescent="0.4">
      <c r="B1689" s="44"/>
      <c r="C1689" s="43"/>
      <c r="D1689" s="50"/>
      <c r="E1689" s="50"/>
      <c r="F1689" s="50"/>
      <c r="G1689" s="50"/>
      <c r="H1689" s="9"/>
      <c r="I1689" s="9"/>
      <c r="CS1689" s="37"/>
      <c r="CT1689" s="37"/>
      <c r="CU1689" s="37"/>
      <c r="CV1689" s="37"/>
      <c r="CW1689" s="37"/>
      <c r="CX1689" s="37"/>
      <c r="CY1689" s="37"/>
    </row>
    <row r="1690" spans="2:103" s="10" customFormat="1" x14ac:dyDescent="0.4">
      <c r="B1690" s="44"/>
      <c r="C1690" s="43"/>
      <c r="D1690" s="50"/>
      <c r="E1690" s="50"/>
      <c r="F1690" s="50"/>
      <c r="G1690" s="50"/>
      <c r="H1690" s="9"/>
      <c r="I1690" s="9"/>
      <c r="CS1690" s="37"/>
      <c r="CT1690" s="37"/>
      <c r="CU1690" s="37"/>
      <c r="CV1690" s="37"/>
      <c r="CW1690" s="37"/>
      <c r="CX1690" s="37"/>
      <c r="CY1690" s="37"/>
    </row>
    <row r="1691" spans="2:103" s="10" customFormat="1" x14ac:dyDescent="0.4">
      <c r="B1691" s="44"/>
      <c r="C1691" s="43"/>
      <c r="D1691" s="50"/>
      <c r="E1691" s="50"/>
      <c r="F1691" s="50"/>
      <c r="G1691" s="50"/>
      <c r="H1691" s="9"/>
      <c r="I1691" s="9"/>
      <c r="CS1691" s="37"/>
      <c r="CT1691" s="37"/>
      <c r="CU1691" s="37"/>
      <c r="CV1691" s="37"/>
      <c r="CW1691" s="37"/>
      <c r="CX1691" s="37"/>
      <c r="CY1691" s="37"/>
    </row>
    <row r="1692" spans="2:103" s="10" customFormat="1" x14ac:dyDescent="0.4">
      <c r="B1692" s="44"/>
      <c r="C1692" s="43"/>
      <c r="D1692" s="50"/>
      <c r="E1692" s="50"/>
      <c r="F1692" s="50"/>
      <c r="G1692" s="50"/>
      <c r="H1692" s="9"/>
      <c r="I1692" s="9"/>
      <c r="CS1692" s="37"/>
      <c r="CT1692" s="37"/>
      <c r="CU1692" s="37"/>
      <c r="CV1692" s="37"/>
      <c r="CW1692" s="37"/>
      <c r="CX1692" s="37"/>
      <c r="CY1692" s="37"/>
    </row>
    <row r="1693" spans="2:103" s="10" customFormat="1" x14ac:dyDescent="0.4">
      <c r="B1693" s="44"/>
      <c r="C1693" s="43"/>
      <c r="D1693" s="50"/>
      <c r="E1693" s="50"/>
      <c r="F1693" s="50"/>
      <c r="G1693" s="50"/>
      <c r="H1693" s="9"/>
      <c r="I1693" s="9"/>
      <c r="CS1693" s="37"/>
      <c r="CT1693" s="37"/>
      <c r="CU1693" s="37"/>
      <c r="CV1693" s="37"/>
      <c r="CW1693" s="37"/>
      <c r="CX1693" s="37"/>
      <c r="CY1693" s="37"/>
    </row>
    <row r="1694" spans="2:103" s="10" customFormat="1" x14ac:dyDescent="0.4">
      <c r="B1694" s="44"/>
      <c r="C1694" s="43"/>
      <c r="D1694" s="50"/>
      <c r="E1694" s="50"/>
      <c r="F1694" s="50"/>
      <c r="G1694" s="50"/>
      <c r="H1694" s="9"/>
      <c r="I1694" s="9"/>
      <c r="CS1694" s="37"/>
      <c r="CT1694" s="37"/>
      <c r="CU1694" s="37"/>
      <c r="CV1694" s="37"/>
      <c r="CW1694" s="37"/>
      <c r="CX1694" s="37"/>
      <c r="CY1694" s="37"/>
    </row>
    <row r="1695" spans="2:103" s="10" customFormat="1" x14ac:dyDescent="0.4">
      <c r="B1695" s="44"/>
      <c r="C1695" s="43"/>
      <c r="D1695" s="50"/>
      <c r="E1695" s="50"/>
      <c r="F1695" s="50"/>
      <c r="G1695" s="50"/>
      <c r="H1695" s="9"/>
      <c r="I1695" s="9"/>
      <c r="CS1695" s="37"/>
      <c r="CT1695" s="37"/>
      <c r="CU1695" s="37"/>
      <c r="CV1695" s="37"/>
      <c r="CW1695" s="37"/>
      <c r="CX1695" s="37"/>
      <c r="CY1695" s="37"/>
    </row>
    <row r="1696" spans="2:103" s="10" customFormat="1" x14ac:dyDescent="0.4">
      <c r="B1696" s="44"/>
      <c r="C1696" s="43"/>
      <c r="D1696" s="50"/>
      <c r="E1696" s="50"/>
      <c r="F1696" s="50"/>
      <c r="G1696" s="50"/>
      <c r="H1696" s="9"/>
      <c r="I1696" s="9"/>
      <c r="CS1696" s="37"/>
      <c r="CT1696" s="37"/>
      <c r="CU1696" s="37"/>
      <c r="CV1696" s="37"/>
      <c r="CW1696" s="37"/>
      <c r="CX1696" s="37"/>
      <c r="CY1696" s="37"/>
    </row>
    <row r="1697" spans="2:103" s="10" customFormat="1" x14ac:dyDescent="0.4">
      <c r="B1697" s="44"/>
      <c r="C1697" s="43"/>
      <c r="D1697" s="50"/>
      <c r="E1697" s="50"/>
      <c r="F1697" s="50"/>
      <c r="G1697" s="50"/>
      <c r="H1697" s="9"/>
      <c r="I1697" s="9"/>
      <c r="CS1697" s="37"/>
      <c r="CT1697" s="37"/>
      <c r="CU1697" s="37"/>
      <c r="CV1697" s="37"/>
      <c r="CW1697" s="37"/>
      <c r="CX1697" s="37"/>
      <c r="CY1697" s="37"/>
    </row>
    <row r="1698" spans="2:103" s="10" customFormat="1" x14ac:dyDescent="0.4">
      <c r="B1698" s="44"/>
      <c r="C1698" s="43"/>
      <c r="D1698" s="50"/>
      <c r="E1698" s="50"/>
      <c r="F1698" s="50"/>
      <c r="G1698" s="50"/>
      <c r="H1698" s="9"/>
      <c r="I1698" s="9"/>
      <c r="CS1698" s="37"/>
      <c r="CT1698" s="37"/>
      <c r="CU1698" s="37"/>
      <c r="CV1698" s="37"/>
      <c r="CW1698" s="37"/>
      <c r="CX1698" s="37"/>
      <c r="CY1698" s="37"/>
    </row>
    <row r="1699" spans="2:103" s="10" customFormat="1" x14ac:dyDescent="0.4">
      <c r="B1699" s="44"/>
      <c r="C1699" s="43"/>
      <c r="D1699" s="50"/>
      <c r="E1699" s="50"/>
      <c r="F1699" s="50"/>
      <c r="G1699" s="50"/>
      <c r="H1699" s="9"/>
      <c r="I1699" s="9"/>
      <c r="CS1699" s="37"/>
      <c r="CT1699" s="37"/>
      <c r="CU1699" s="37"/>
      <c r="CV1699" s="37"/>
      <c r="CW1699" s="37"/>
      <c r="CX1699" s="37"/>
      <c r="CY1699" s="37"/>
    </row>
    <row r="1700" spans="2:103" s="10" customFormat="1" x14ac:dyDescent="0.4">
      <c r="B1700" s="44"/>
      <c r="C1700" s="43"/>
      <c r="D1700" s="50"/>
      <c r="E1700" s="50"/>
      <c r="F1700" s="50"/>
      <c r="G1700" s="50"/>
      <c r="H1700" s="9"/>
      <c r="I1700" s="9"/>
      <c r="CS1700" s="37"/>
      <c r="CT1700" s="37"/>
      <c r="CU1700" s="37"/>
      <c r="CV1700" s="37"/>
      <c r="CW1700" s="37"/>
      <c r="CX1700" s="37"/>
      <c r="CY1700" s="37"/>
    </row>
    <row r="1701" spans="2:103" s="10" customFormat="1" x14ac:dyDescent="0.4">
      <c r="B1701" s="44"/>
      <c r="C1701" s="43"/>
      <c r="D1701" s="50"/>
      <c r="E1701" s="50"/>
      <c r="F1701" s="50"/>
      <c r="G1701" s="50"/>
      <c r="H1701" s="9"/>
      <c r="I1701" s="9"/>
      <c r="CS1701" s="37"/>
      <c r="CT1701" s="37"/>
      <c r="CU1701" s="37"/>
      <c r="CV1701" s="37"/>
      <c r="CW1701" s="37"/>
      <c r="CX1701" s="37"/>
      <c r="CY1701" s="37"/>
    </row>
    <row r="1702" spans="2:103" s="10" customFormat="1" x14ac:dyDescent="0.4">
      <c r="B1702" s="44"/>
      <c r="C1702" s="43"/>
      <c r="D1702" s="50"/>
      <c r="E1702" s="50"/>
      <c r="F1702" s="50"/>
      <c r="G1702" s="50"/>
      <c r="H1702" s="9"/>
      <c r="I1702" s="9"/>
      <c r="CS1702" s="37"/>
      <c r="CT1702" s="37"/>
      <c r="CU1702" s="37"/>
      <c r="CV1702" s="37"/>
      <c r="CW1702" s="37"/>
      <c r="CX1702" s="37"/>
      <c r="CY1702" s="37"/>
    </row>
    <row r="1703" spans="2:103" s="10" customFormat="1" x14ac:dyDescent="0.4">
      <c r="B1703" s="44"/>
      <c r="C1703" s="43"/>
      <c r="D1703" s="50"/>
      <c r="E1703" s="50"/>
      <c r="F1703" s="50"/>
      <c r="G1703" s="50"/>
      <c r="H1703" s="9"/>
      <c r="I1703" s="9"/>
      <c r="CS1703" s="37"/>
      <c r="CT1703" s="37"/>
      <c r="CU1703" s="37"/>
      <c r="CV1703" s="37"/>
      <c r="CW1703" s="37"/>
      <c r="CX1703" s="37"/>
      <c r="CY1703" s="37"/>
    </row>
    <row r="1704" spans="2:103" s="10" customFormat="1" x14ac:dyDescent="0.4">
      <c r="B1704" s="44"/>
      <c r="C1704" s="43"/>
      <c r="D1704" s="50"/>
      <c r="E1704" s="50"/>
      <c r="F1704" s="50"/>
      <c r="G1704" s="50"/>
      <c r="H1704" s="9"/>
      <c r="I1704" s="9"/>
      <c r="CS1704" s="37"/>
      <c r="CT1704" s="37"/>
      <c r="CU1704" s="37"/>
      <c r="CV1704" s="37"/>
      <c r="CW1704" s="37"/>
      <c r="CX1704" s="37"/>
      <c r="CY1704" s="37"/>
    </row>
    <row r="1705" spans="2:103" s="10" customFormat="1" x14ac:dyDescent="0.4">
      <c r="B1705" s="44"/>
      <c r="C1705" s="43"/>
      <c r="D1705" s="50"/>
      <c r="E1705" s="50"/>
      <c r="F1705" s="50"/>
      <c r="G1705" s="50"/>
      <c r="H1705" s="9"/>
      <c r="I1705" s="9"/>
      <c r="CS1705" s="37"/>
      <c r="CT1705" s="37"/>
      <c r="CU1705" s="37"/>
      <c r="CV1705" s="37"/>
      <c r="CW1705" s="37"/>
      <c r="CX1705" s="37"/>
      <c r="CY1705" s="37"/>
    </row>
    <row r="1706" spans="2:103" s="10" customFormat="1" x14ac:dyDescent="0.4">
      <c r="B1706" s="44"/>
      <c r="C1706" s="43"/>
      <c r="D1706" s="50"/>
      <c r="E1706" s="50"/>
      <c r="F1706" s="50"/>
      <c r="G1706" s="50"/>
      <c r="H1706" s="9"/>
      <c r="I1706" s="9"/>
      <c r="CS1706" s="37"/>
      <c r="CT1706" s="37"/>
      <c r="CU1706" s="37"/>
      <c r="CV1706" s="37"/>
      <c r="CW1706" s="37"/>
      <c r="CX1706" s="37"/>
      <c r="CY1706" s="37"/>
    </row>
    <row r="1707" spans="2:103" s="10" customFormat="1" x14ac:dyDescent="0.4">
      <c r="B1707" s="44"/>
      <c r="C1707" s="43"/>
      <c r="D1707" s="50"/>
      <c r="E1707" s="50"/>
      <c r="F1707" s="50"/>
      <c r="G1707" s="50"/>
      <c r="H1707" s="9"/>
      <c r="I1707" s="9"/>
      <c r="CS1707" s="37"/>
      <c r="CT1707" s="37"/>
      <c r="CU1707" s="37"/>
      <c r="CV1707" s="37"/>
      <c r="CW1707" s="37"/>
      <c r="CX1707" s="37"/>
      <c r="CY1707" s="37"/>
    </row>
    <row r="1708" spans="2:103" s="10" customFormat="1" x14ac:dyDescent="0.4">
      <c r="B1708" s="44"/>
      <c r="C1708" s="43"/>
      <c r="D1708" s="50"/>
      <c r="E1708" s="50"/>
      <c r="F1708" s="50"/>
      <c r="G1708" s="50"/>
      <c r="H1708" s="9"/>
      <c r="I1708" s="9"/>
      <c r="CS1708" s="37"/>
      <c r="CT1708" s="37"/>
      <c r="CU1708" s="37"/>
      <c r="CV1708" s="37"/>
      <c r="CW1708" s="37"/>
      <c r="CX1708" s="37"/>
      <c r="CY1708" s="37"/>
    </row>
    <row r="1709" spans="2:103" s="10" customFormat="1" x14ac:dyDescent="0.4">
      <c r="B1709" s="44"/>
      <c r="C1709" s="43"/>
      <c r="D1709" s="50"/>
      <c r="E1709" s="50"/>
      <c r="F1709" s="50"/>
      <c r="G1709" s="50"/>
      <c r="H1709" s="9"/>
      <c r="I1709" s="9"/>
      <c r="CS1709" s="37"/>
      <c r="CT1709" s="37"/>
      <c r="CU1709" s="37"/>
      <c r="CV1709" s="37"/>
      <c r="CW1709" s="37"/>
      <c r="CX1709" s="37"/>
      <c r="CY1709" s="37"/>
    </row>
    <row r="1710" spans="2:103" s="10" customFormat="1" x14ac:dyDescent="0.4">
      <c r="B1710" s="44"/>
      <c r="C1710" s="43"/>
      <c r="D1710" s="50"/>
      <c r="E1710" s="50"/>
      <c r="F1710" s="50"/>
      <c r="G1710" s="50"/>
      <c r="H1710" s="9"/>
      <c r="I1710" s="9"/>
      <c r="CS1710" s="37"/>
      <c r="CT1710" s="37"/>
      <c r="CU1710" s="37"/>
      <c r="CV1710" s="37"/>
      <c r="CW1710" s="37"/>
      <c r="CX1710" s="37"/>
      <c r="CY1710" s="37"/>
    </row>
    <row r="1711" spans="2:103" s="10" customFormat="1" x14ac:dyDescent="0.4">
      <c r="B1711" s="44"/>
      <c r="C1711" s="43"/>
      <c r="D1711" s="50"/>
      <c r="E1711" s="50"/>
      <c r="F1711" s="50"/>
      <c r="G1711" s="50"/>
      <c r="H1711" s="9"/>
      <c r="I1711" s="9"/>
      <c r="CS1711" s="37"/>
      <c r="CT1711" s="37"/>
      <c r="CU1711" s="37"/>
      <c r="CV1711" s="37"/>
      <c r="CW1711" s="37"/>
      <c r="CX1711" s="37"/>
      <c r="CY1711" s="37"/>
    </row>
    <row r="1712" spans="2:103" s="10" customFormat="1" x14ac:dyDescent="0.4">
      <c r="B1712" s="44"/>
      <c r="C1712" s="43"/>
      <c r="D1712" s="50"/>
      <c r="E1712" s="50"/>
      <c r="F1712" s="50"/>
      <c r="G1712" s="50"/>
      <c r="H1712" s="9"/>
      <c r="I1712" s="9"/>
      <c r="CS1712" s="37"/>
      <c r="CT1712" s="37"/>
      <c r="CU1712" s="37"/>
      <c r="CV1712" s="37"/>
      <c r="CW1712" s="37"/>
      <c r="CX1712" s="37"/>
      <c r="CY1712" s="37"/>
    </row>
    <row r="1713" spans="2:103" s="10" customFormat="1" x14ac:dyDescent="0.4">
      <c r="B1713" s="44"/>
      <c r="C1713" s="43"/>
      <c r="D1713" s="50"/>
      <c r="E1713" s="50"/>
      <c r="F1713" s="50"/>
      <c r="G1713" s="50"/>
      <c r="H1713" s="9"/>
      <c r="I1713" s="9"/>
      <c r="CS1713" s="37"/>
      <c r="CT1713" s="37"/>
      <c r="CU1713" s="37"/>
      <c r="CV1713" s="37"/>
      <c r="CW1713" s="37"/>
      <c r="CX1713" s="37"/>
      <c r="CY1713" s="37"/>
    </row>
    <row r="1714" spans="2:103" s="10" customFormat="1" x14ac:dyDescent="0.4">
      <c r="B1714" s="44"/>
      <c r="C1714" s="43"/>
      <c r="D1714" s="50"/>
      <c r="E1714" s="50"/>
      <c r="F1714" s="50"/>
      <c r="G1714" s="50"/>
      <c r="H1714" s="9"/>
      <c r="I1714" s="9"/>
      <c r="CS1714" s="37"/>
      <c r="CT1714" s="37"/>
      <c r="CU1714" s="37"/>
      <c r="CV1714" s="37"/>
      <c r="CW1714" s="37"/>
      <c r="CX1714" s="37"/>
      <c r="CY1714" s="37"/>
    </row>
    <row r="1715" spans="2:103" s="10" customFormat="1" x14ac:dyDescent="0.4">
      <c r="B1715" s="44"/>
      <c r="C1715" s="43"/>
      <c r="D1715" s="50"/>
      <c r="E1715" s="50"/>
      <c r="F1715" s="50"/>
      <c r="G1715" s="50"/>
      <c r="H1715" s="9"/>
      <c r="I1715" s="9"/>
      <c r="CS1715" s="37"/>
      <c r="CT1715" s="37"/>
      <c r="CU1715" s="37"/>
      <c r="CV1715" s="37"/>
      <c r="CW1715" s="37"/>
      <c r="CX1715" s="37"/>
      <c r="CY1715" s="37"/>
    </row>
    <row r="1716" spans="2:103" s="10" customFormat="1" x14ac:dyDescent="0.4">
      <c r="B1716" s="44"/>
      <c r="C1716" s="43"/>
      <c r="D1716" s="50"/>
      <c r="E1716" s="50"/>
      <c r="F1716" s="50"/>
      <c r="G1716" s="50"/>
      <c r="H1716" s="9"/>
      <c r="I1716" s="9"/>
      <c r="CS1716" s="37"/>
      <c r="CT1716" s="37"/>
      <c r="CU1716" s="37"/>
      <c r="CV1716" s="37"/>
      <c r="CW1716" s="37"/>
      <c r="CX1716" s="37"/>
      <c r="CY1716" s="37"/>
    </row>
    <row r="1717" spans="2:103" s="10" customFormat="1" x14ac:dyDescent="0.4">
      <c r="B1717" s="44"/>
      <c r="C1717" s="43"/>
      <c r="D1717" s="50"/>
      <c r="E1717" s="50"/>
      <c r="F1717" s="50"/>
      <c r="G1717" s="50"/>
      <c r="H1717" s="9"/>
      <c r="I1717" s="9"/>
      <c r="CS1717" s="37"/>
      <c r="CT1717" s="37"/>
      <c r="CU1717" s="37"/>
      <c r="CV1717" s="37"/>
      <c r="CW1717" s="37"/>
      <c r="CX1717" s="37"/>
      <c r="CY1717" s="37"/>
    </row>
    <row r="1718" spans="2:103" s="10" customFormat="1" x14ac:dyDescent="0.4">
      <c r="B1718" s="44"/>
      <c r="C1718" s="43"/>
      <c r="D1718" s="50"/>
      <c r="E1718" s="50"/>
      <c r="F1718" s="50"/>
      <c r="G1718" s="50"/>
      <c r="H1718" s="9"/>
      <c r="I1718" s="9"/>
      <c r="CS1718" s="37"/>
      <c r="CT1718" s="37"/>
      <c r="CU1718" s="37"/>
      <c r="CV1718" s="37"/>
      <c r="CW1718" s="37"/>
      <c r="CX1718" s="37"/>
      <c r="CY1718" s="37"/>
    </row>
    <row r="1719" spans="2:103" s="10" customFormat="1" x14ac:dyDescent="0.4">
      <c r="B1719" s="44"/>
      <c r="C1719" s="43"/>
      <c r="D1719" s="50"/>
      <c r="E1719" s="50"/>
      <c r="F1719" s="50"/>
      <c r="G1719" s="50"/>
      <c r="H1719" s="9"/>
      <c r="I1719" s="9"/>
      <c r="CS1719" s="37"/>
      <c r="CT1719" s="37"/>
      <c r="CU1719" s="37"/>
      <c r="CV1719" s="37"/>
      <c r="CW1719" s="37"/>
      <c r="CX1719" s="37"/>
      <c r="CY1719" s="37"/>
    </row>
    <row r="1720" spans="2:103" s="10" customFormat="1" x14ac:dyDescent="0.4">
      <c r="B1720" s="44"/>
      <c r="C1720" s="43"/>
      <c r="D1720" s="50"/>
      <c r="E1720" s="50"/>
      <c r="F1720" s="50"/>
      <c r="G1720" s="50"/>
      <c r="H1720" s="9"/>
      <c r="I1720" s="9"/>
      <c r="CS1720" s="37"/>
      <c r="CT1720" s="37"/>
      <c r="CU1720" s="37"/>
      <c r="CV1720" s="37"/>
      <c r="CW1720" s="37"/>
      <c r="CX1720" s="37"/>
      <c r="CY1720" s="37"/>
    </row>
    <row r="1721" spans="2:103" s="10" customFormat="1" x14ac:dyDescent="0.4">
      <c r="B1721" s="44"/>
      <c r="C1721" s="43"/>
      <c r="D1721" s="50"/>
      <c r="E1721" s="50"/>
      <c r="F1721" s="50"/>
      <c r="G1721" s="50"/>
      <c r="H1721" s="9"/>
      <c r="I1721" s="9"/>
      <c r="CS1721" s="37"/>
      <c r="CT1721" s="37"/>
      <c r="CU1721" s="37"/>
      <c r="CV1721" s="37"/>
      <c r="CW1721" s="37"/>
      <c r="CX1721" s="37"/>
      <c r="CY1721" s="37"/>
    </row>
    <row r="1722" spans="2:103" s="10" customFormat="1" x14ac:dyDescent="0.4">
      <c r="B1722" s="44"/>
      <c r="C1722" s="43"/>
      <c r="D1722" s="50"/>
      <c r="E1722" s="50"/>
      <c r="F1722" s="50"/>
      <c r="G1722" s="50"/>
      <c r="H1722" s="9"/>
      <c r="I1722" s="9"/>
      <c r="CS1722" s="37"/>
      <c r="CT1722" s="37"/>
      <c r="CU1722" s="37"/>
      <c r="CV1722" s="37"/>
      <c r="CW1722" s="37"/>
      <c r="CX1722" s="37"/>
      <c r="CY1722" s="37"/>
    </row>
    <row r="1723" spans="2:103" s="10" customFormat="1" x14ac:dyDescent="0.4">
      <c r="B1723" s="44"/>
      <c r="C1723" s="43"/>
      <c r="D1723" s="50"/>
      <c r="E1723" s="50"/>
      <c r="F1723" s="50"/>
      <c r="G1723" s="50"/>
      <c r="H1723" s="9"/>
      <c r="I1723" s="9"/>
      <c r="CS1723" s="37"/>
      <c r="CT1723" s="37"/>
      <c r="CU1723" s="37"/>
      <c r="CV1723" s="37"/>
      <c r="CW1723" s="37"/>
      <c r="CX1723" s="37"/>
      <c r="CY1723" s="37"/>
    </row>
    <row r="1724" spans="2:103" s="10" customFormat="1" x14ac:dyDescent="0.4">
      <c r="B1724" s="44"/>
      <c r="C1724" s="43"/>
      <c r="D1724" s="50"/>
      <c r="E1724" s="50"/>
      <c r="F1724" s="50"/>
      <c r="G1724" s="50"/>
      <c r="H1724" s="9"/>
      <c r="I1724" s="9"/>
      <c r="CS1724" s="37"/>
      <c r="CT1724" s="37"/>
      <c r="CU1724" s="37"/>
      <c r="CV1724" s="37"/>
      <c r="CW1724" s="37"/>
      <c r="CX1724" s="37"/>
      <c r="CY1724" s="37"/>
    </row>
    <row r="1725" spans="2:103" s="10" customFormat="1" x14ac:dyDescent="0.4">
      <c r="B1725" s="44"/>
      <c r="C1725" s="43"/>
      <c r="D1725" s="50"/>
      <c r="E1725" s="50"/>
      <c r="F1725" s="50"/>
      <c r="G1725" s="50"/>
      <c r="H1725" s="9"/>
      <c r="I1725" s="9"/>
      <c r="CS1725" s="37"/>
      <c r="CT1725" s="37"/>
      <c r="CU1725" s="37"/>
      <c r="CV1725" s="37"/>
      <c r="CW1725" s="37"/>
      <c r="CX1725" s="37"/>
      <c r="CY1725" s="37"/>
    </row>
    <row r="1726" spans="2:103" s="10" customFormat="1" x14ac:dyDescent="0.4">
      <c r="B1726" s="44"/>
      <c r="C1726" s="43"/>
      <c r="D1726" s="50"/>
      <c r="E1726" s="50"/>
      <c r="F1726" s="50"/>
      <c r="G1726" s="50"/>
      <c r="H1726" s="9"/>
      <c r="I1726" s="9"/>
      <c r="CS1726" s="37"/>
      <c r="CT1726" s="37"/>
      <c r="CU1726" s="37"/>
      <c r="CV1726" s="37"/>
      <c r="CW1726" s="37"/>
      <c r="CX1726" s="37"/>
      <c r="CY1726" s="37"/>
    </row>
    <row r="1727" spans="2:103" s="10" customFormat="1" x14ac:dyDescent="0.4">
      <c r="B1727" s="44"/>
      <c r="C1727" s="43"/>
      <c r="D1727" s="50"/>
      <c r="E1727" s="50"/>
      <c r="F1727" s="50"/>
      <c r="G1727" s="50"/>
      <c r="H1727" s="9"/>
      <c r="I1727" s="9"/>
      <c r="CS1727" s="37"/>
      <c r="CT1727" s="37"/>
      <c r="CU1727" s="37"/>
      <c r="CV1727" s="37"/>
      <c r="CW1727" s="37"/>
      <c r="CX1727" s="37"/>
      <c r="CY1727" s="37"/>
    </row>
    <row r="1728" spans="2:103" s="10" customFormat="1" x14ac:dyDescent="0.4">
      <c r="B1728" s="44"/>
      <c r="C1728" s="43"/>
      <c r="D1728" s="50"/>
      <c r="E1728" s="50"/>
      <c r="F1728" s="50"/>
      <c r="G1728" s="50"/>
      <c r="H1728" s="9"/>
      <c r="I1728" s="9"/>
      <c r="CS1728" s="37"/>
      <c r="CT1728" s="37"/>
      <c r="CU1728" s="37"/>
      <c r="CV1728" s="37"/>
      <c r="CW1728" s="37"/>
      <c r="CX1728" s="37"/>
      <c r="CY1728" s="37"/>
    </row>
    <row r="1729" spans="2:103" s="10" customFormat="1" x14ac:dyDescent="0.4">
      <c r="B1729" s="44"/>
      <c r="C1729" s="43"/>
      <c r="D1729" s="50"/>
      <c r="E1729" s="50"/>
      <c r="F1729" s="50"/>
      <c r="G1729" s="50"/>
      <c r="H1729" s="9"/>
      <c r="I1729" s="9"/>
      <c r="CS1729" s="37"/>
      <c r="CT1729" s="37"/>
      <c r="CU1729" s="37"/>
      <c r="CV1729" s="37"/>
      <c r="CW1729" s="37"/>
      <c r="CX1729" s="37"/>
      <c r="CY1729" s="37"/>
    </row>
    <row r="1730" spans="2:103" s="10" customFormat="1" x14ac:dyDescent="0.4">
      <c r="B1730" s="44"/>
      <c r="C1730" s="43"/>
      <c r="D1730" s="50"/>
      <c r="E1730" s="50"/>
      <c r="F1730" s="50"/>
      <c r="G1730" s="50"/>
      <c r="H1730" s="9"/>
      <c r="I1730" s="9"/>
      <c r="CS1730" s="37"/>
      <c r="CT1730" s="37"/>
      <c r="CU1730" s="37"/>
      <c r="CV1730" s="37"/>
      <c r="CW1730" s="37"/>
      <c r="CX1730" s="37"/>
      <c r="CY1730" s="37"/>
    </row>
    <row r="1731" spans="2:103" s="10" customFormat="1" x14ac:dyDescent="0.4">
      <c r="B1731" s="44"/>
      <c r="C1731" s="43"/>
      <c r="D1731" s="50"/>
      <c r="E1731" s="50"/>
      <c r="F1731" s="50"/>
      <c r="G1731" s="50"/>
      <c r="H1731" s="9"/>
      <c r="I1731" s="9"/>
      <c r="CS1731" s="37"/>
      <c r="CT1731" s="37"/>
      <c r="CU1731" s="37"/>
      <c r="CV1731" s="37"/>
      <c r="CW1731" s="37"/>
      <c r="CX1731" s="37"/>
      <c r="CY1731" s="37"/>
    </row>
    <row r="1732" spans="2:103" s="10" customFormat="1" x14ac:dyDescent="0.4">
      <c r="B1732" s="44"/>
      <c r="C1732" s="43"/>
      <c r="D1732" s="50"/>
      <c r="E1732" s="50"/>
      <c r="F1732" s="50"/>
      <c r="G1732" s="50"/>
      <c r="H1732" s="9"/>
      <c r="I1732" s="9"/>
      <c r="CS1732" s="37"/>
      <c r="CT1732" s="37"/>
      <c r="CU1732" s="37"/>
      <c r="CV1732" s="37"/>
      <c r="CW1732" s="37"/>
      <c r="CX1732" s="37"/>
      <c r="CY1732" s="37"/>
    </row>
    <row r="1733" spans="2:103" s="10" customFormat="1" x14ac:dyDescent="0.4">
      <c r="B1733" s="44"/>
      <c r="C1733" s="43"/>
      <c r="D1733" s="50"/>
      <c r="E1733" s="50"/>
      <c r="F1733" s="50"/>
      <c r="G1733" s="50"/>
      <c r="H1733" s="9"/>
      <c r="I1733" s="9"/>
      <c r="CS1733" s="37"/>
      <c r="CT1733" s="37"/>
      <c r="CU1733" s="37"/>
      <c r="CV1733" s="37"/>
      <c r="CW1733" s="37"/>
      <c r="CX1733" s="37"/>
      <c r="CY1733" s="37"/>
    </row>
    <row r="1734" spans="2:103" s="10" customFormat="1" x14ac:dyDescent="0.4">
      <c r="B1734" s="44"/>
      <c r="C1734" s="43"/>
      <c r="D1734" s="50"/>
      <c r="E1734" s="50"/>
      <c r="F1734" s="50"/>
      <c r="G1734" s="50"/>
      <c r="H1734" s="9"/>
      <c r="I1734" s="9"/>
      <c r="CS1734" s="37"/>
      <c r="CT1734" s="37"/>
      <c r="CU1734" s="37"/>
      <c r="CV1734" s="37"/>
      <c r="CW1734" s="37"/>
      <c r="CX1734" s="37"/>
      <c r="CY1734" s="37"/>
    </row>
    <row r="1735" spans="2:103" s="10" customFormat="1" x14ac:dyDescent="0.4">
      <c r="B1735" s="44"/>
      <c r="C1735" s="43"/>
      <c r="D1735" s="50"/>
      <c r="E1735" s="50"/>
      <c r="F1735" s="50"/>
      <c r="G1735" s="50"/>
      <c r="H1735" s="9"/>
      <c r="I1735" s="9"/>
      <c r="CS1735" s="37"/>
      <c r="CT1735" s="37"/>
      <c r="CU1735" s="37"/>
      <c r="CV1735" s="37"/>
      <c r="CW1735" s="37"/>
      <c r="CX1735" s="37"/>
      <c r="CY1735" s="37"/>
    </row>
    <row r="1736" spans="2:103" s="10" customFormat="1" x14ac:dyDescent="0.4">
      <c r="B1736" s="44"/>
      <c r="C1736" s="43"/>
      <c r="D1736" s="50"/>
      <c r="E1736" s="50"/>
      <c r="F1736" s="50"/>
      <c r="G1736" s="50"/>
      <c r="H1736" s="9"/>
      <c r="I1736" s="9"/>
      <c r="CS1736" s="37"/>
      <c r="CT1736" s="37"/>
      <c r="CU1736" s="37"/>
      <c r="CV1736" s="37"/>
      <c r="CW1736" s="37"/>
      <c r="CX1736" s="37"/>
      <c r="CY1736" s="37"/>
    </row>
    <row r="1737" spans="2:103" s="10" customFormat="1" x14ac:dyDescent="0.4">
      <c r="B1737" s="44"/>
      <c r="C1737" s="43"/>
      <c r="D1737" s="50"/>
      <c r="E1737" s="50"/>
      <c r="F1737" s="50"/>
      <c r="G1737" s="50"/>
      <c r="H1737" s="9"/>
      <c r="I1737" s="9"/>
      <c r="CS1737" s="37"/>
      <c r="CT1737" s="37"/>
      <c r="CU1737" s="37"/>
      <c r="CV1737" s="37"/>
      <c r="CW1737" s="37"/>
      <c r="CX1737" s="37"/>
      <c r="CY1737" s="37"/>
    </row>
    <row r="1738" spans="2:103" s="10" customFormat="1" x14ac:dyDescent="0.4">
      <c r="B1738" s="44"/>
      <c r="C1738" s="43"/>
      <c r="D1738" s="50"/>
      <c r="E1738" s="50"/>
      <c r="F1738" s="50"/>
      <c r="G1738" s="50"/>
      <c r="H1738" s="9"/>
      <c r="I1738" s="9"/>
      <c r="CS1738" s="37"/>
      <c r="CT1738" s="37"/>
      <c r="CU1738" s="37"/>
      <c r="CV1738" s="37"/>
      <c r="CW1738" s="37"/>
      <c r="CX1738" s="37"/>
      <c r="CY1738" s="37"/>
    </row>
    <row r="1739" spans="2:103" s="10" customFormat="1" x14ac:dyDescent="0.4">
      <c r="B1739" s="44"/>
      <c r="C1739" s="43"/>
      <c r="D1739" s="50"/>
      <c r="E1739" s="50"/>
      <c r="F1739" s="50"/>
      <c r="G1739" s="50"/>
      <c r="H1739" s="9"/>
      <c r="I1739" s="9"/>
      <c r="CS1739" s="37"/>
      <c r="CT1739" s="37"/>
      <c r="CU1739" s="37"/>
      <c r="CV1739" s="37"/>
      <c r="CW1739" s="37"/>
      <c r="CX1739" s="37"/>
      <c r="CY1739" s="37"/>
    </row>
    <row r="1740" spans="2:103" s="10" customFormat="1" x14ac:dyDescent="0.4">
      <c r="B1740" s="44"/>
      <c r="C1740" s="43"/>
      <c r="D1740" s="50"/>
      <c r="E1740" s="50"/>
      <c r="F1740" s="50"/>
      <c r="G1740" s="50"/>
      <c r="H1740" s="9"/>
      <c r="I1740" s="9"/>
      <c r="CS1740" s="37"/>
      <c r="CT1740" s="37"/>
      <c r="CU1740" s="37"/>
      <c r="CV1740" s="37"/>
      <c r="CW1740" s="37"/>
      <c r="CX1740" s="37"/>
      <c r="CY1740" s="37"/>
    </row>
    <row r="1741" spans="2:103" s="10" customFormat="1" x14ac:dyDescent="0.4">
      <c r="B1741" s="44"/>
      <c r="C1741" s="43"/>
      <c r="D1741" s="50"/>
      <c r="E1741" s="50"/>
      <c r="F1741" s="50"/>
      <c r="G1741" s="50"/>
      <c r="H1741" s="9"/>
      <c r="I1741" s="9"/>
      <c r="CS1741" s="37"/>
      <c r="CT1741" s="37"/>
      <c r="CU1741" s="37"/>
      <c r="CV1741" s="37"/>
      <c r="CW1741" s="37"/>
      <c r="CX1741" s="37"/>
      <c r="CY1741" s="37"/>
    </row>
    <row r="1742" spans="2:103" s="10" customFormat="1" x14ac:dyDescent="0.4">
      <c r="B1742" s="44"/>
      <c r="C1742" s="43"/>
      <c r="D1742" s="50"/>
      <c r="E1742" s="50"/>
      <c r="F1742" s="50"/>
      <c r="G1742" s="50"/>
      <c r="H1742" s="9"/>
      <c r="I1742" s="9"/>
      <c r="CS1742" s="37"/>
      <c r="CT1742" s="37"/>
      <c r="CU1742" s="37"/>
      <c r="CV1742" s="37"/>
      <c r="CW1742" s="37"/>
      <c r="CX1742" s="37"/>
      <c r="CY1742" s="37"/>
    </row>
    <row r="1743" spans="2:103" s="10" customFormat="1" x14ac:dyDescent="0.4">
      <c r="B1743" s="44"/>
      <c r="C1743" s="43"/>
      <c r="D1743" s="50"/>
      <c r="E1743" s="50"/>
      <c r="F1743" s="50"/>
      <c r="G1743" s="50"/>
      <c r="H1743" s="9"/>
      <c r="I1743" s="9"/>
      <c r="CS1743" s="37"/>
      <c r="CT1743" s="37"/>
      <c r="CU1743" s="37"/>
      <c r="CV1743" s="37"/>
      <c r="CW1743" s="37"/>
      <c r="CX1743" s="37"/>
      <c r="CY1743" s="37"/>
    </row>
    <row r="1744" spans="2:103" s="10" customFormat="1" x14ac:dyDescent="0.4">
      <c r="B1744" s="44"/>
      <c r="C1744" s="43"/>
      <c r="D1744" s="50"/>
      <c r="E1744" s="50"/>
      <c r="F1744" s="50"/>
      <c r="G1744" s="50"/>
      <c r="H1744" s="9"/>
      <c r="I1744" s="9"/>
      <c r="CS1744" s="37"/>
      <c r="CT1744" s="37"/>
      <c r="CU1744" s="37"/>
      <c r="CV1744" s="37"/>
      <c r="CW1744" s="37"/>
      <c r="CX1744" s="37"/>
      <c r="CY1744" s="37"/>
    </row>
    <row r="1745" spans="2:103" s="10" customFormat="1" x14ac:dyDescent="0.4">
      <c r="B1745" s="44"/>
      <c r="C1745" s="43"/>
      <c r="D1745" s="50"/>
      <c r="E1745" s="50"/>
      <c r="F1745" s="50"/>
      <c r="G1745" s="50"/>
      <c r="H1745" s="9"/>
      <c r="I1745" s="9"/>
      <c r="CS1745" s="37"/>
      <c r="CT1745" s="37"/>
      <c r="CU1745" s="37"/>
      <c r="CV1745" s="37"/>
      <c r="CW1745" s="37"/>
      <c r="CX1745" s="37"/>
      <c r="CY1745" s="37"/>
    </row>
    <row r="1746" spans="2:103" s="10" customFormat="1" x14ac:dyDescent="0.4">
      <c r="B1746" s="44"/>
      <c r="C1746" s="43"/>
      <c r="D1746" s="50"/>
      <c r="E1746" s="50"/>
      <c r="F1746" s="50"/>
      <c r="G1746" s="50"/>
      <c r="H1746" s="9"/>
      <c r="I1746" s="9"/>
      <c r="CS1746" s="37"/>
      <c r="CT1746" s="37"/>
      <c r="CU1746" s="37"/>
      <c r="CV1746" s="37"/>
      <c r="CW1746" s="37"/>
      <c r="CX1746" s="37"/>
      <c r="CY1746" s="37"/>
    </row>
    <row r="1747" spans="2:103" s="10" customFormat="1" x14ac:dyDescent="0.4">
      <c r="B1747" s="44"/>
      <c r="C1747" s="43"/>
      <c r="D1747" s="50"/>
      <c r="E1747" s="50"/>
      <c r="F1747" s="50"/>
      <c r="G1747" s="50"/>
      <c r="H1747" s="9"/>
      <c r="I1747" s="9"/>
      <c r="CS1747" s="37"/>
      <c r="CT1747" s="37"/>
      <c r="CU1747" s="37"/>
      <c r="CV1747" s="37"/>
      <c r="CW1747" s="37"/>
      <c r="CX1747" s="37"/>
      <c r="CY1747" s="37"/>
    </row>
    <row r="1748" spans="2:103" s="10" customFormat="1" x14ac:dyDescent="0.4">
      <c r="B1748" s="44"/>
      <c r="C1748" s="43"/>
      <c r="D1748" s="50"/>
      <c r="E1748" s="50"/>
      <c r="F1748" s="50"/>
      <c r="G1748" s="50"/>
      <c r="H1748" s="9"/>
      <c r="I1748" s="9"/>
      <c r="CS1748" s="37"/>
      <c r="CT1748" s="37"/>
      <c r="CU1748" s="37"/>
      <c r="CV1748" s="37"/>
      <c r="CW1748" s="37"/>
      <c r="CX1748" s="37"/>
      <c r="CY1748" s="37"/>
    </row>
    <row r="1749" spans="2:103" s="10" customFormat="1" x14ac:dyDescent="0.4">
      <c r="B1749" s="44"/>
      <c r="C1749" s="43"/>
      <c r="D1749" s="50"/>
      <c r="E1749" s="50"/>
      <c r="F1749" s="50"/>
      <c r="G1749" s="50"/>
      <c r="H1749" s="9"/>
      <c r="I1749" s="9"/>
      <c r="CS1749" s="37"/>
      <c r="CT1749" s="37"/>
      <c r="CU1749" s="37"/>
      <c r="CV1749" s="37"/>
      <c r="CW1749" s="37"/>
      <c r="CX1749" s="37"/>
      <c r="CY1749" s="37"/>
    </row>
    <row r="1750" spans="2:103" s="10" customFormat="1" x14ac:dyDescent="0.4">
      <c r="B1750" s="44"/>
      <c r="C1750" s="43"/>
      <c r="D1750" s="50"/>
      <c r="E1750" s="50"/>
      <c r="F1750" s="50"/>
      <c r="G1750" s="50"/>
      <c r="H1750" s="9"/>
      <c r="I1750" s="9"/>
      <c r="CS1750" s="37"/>
      <c r="CT1750" s="37"/>
      <c r="CU1750" s="37"/>
      <c r="CV1750" s="37"/>
      <c r="CW1750" s="37"/>
      <c r="CX1750" s="37"/>
      <c r="CY1750" s="37"/>
    </row>
    <row r="1751" spans="2:103" s="10" customFormat="1" x14ac:dyDescent="0.4">
      <c r="B1751" s="44"/>
      <c r="C1751" s="43"/>
      <c r="D1751" s="50"/>
      <c r="E1751" s="50"/>
      <c r="F1751" s="50"/>
      <c r="G1751" s="50"/>
      <c r="H1751" s="9"/>
      <c r="I1751" s="9"/>
      <c r="CS1751" s="37"/>
      <c r="CT1751" s="37"/>
      <c r="CU1751" s="37"/>
      <c r="CV1751" s="37"/>
      <c r="CW1751" s="37"/>
      <c r="CX1751" s="37"/>
      <c r="CY1751" s="37"/>
    </row>
    <row r="1752" spans="2:103" s="10" customFormat="1" x14ac:dyDescent="0.4">
      <c r="B1752" s="44"/>
      <c r="C1752" s="43"/>
      <c r="D1752" s="50"/>
      <c r="E1752" s="50"/>
      <c r="F1752" s="50"/>
      <c r="G1752" s="50"/>
      <c r="H1752" s="9"/>
      <c r="I1752" s="9"/>
      <c r="CS1752" s="37"/>
      <c r="CT1752" s="37"/>
      <c r="CU1752" s="37"/>
      <c r="CV1752" s="37"/>
      <c r="CW1752" s="37"/>
      <c r="CX1752" s="37"/>
      <c r="CY1752" s="37"/>
    </row>
    <row r="1753" spans="2:103" s="10" customFormat="1" x14ac:dyDescent="0.4">
      <c r="B1753" s="44"/>
      <c r="C1753" s="43"/>
      <c r="D1753" s="50"/>
      <c r="E1753" s="50"/>
      <c r="F1753" s="50"/>
      <c r="G1753" s="50"/>
      <c r="H1753" s="9"/>
      <c r="I1753" s="9"/>
      <c r="CS1753" s="37"/>
      <c r="CT1753" s="37"/>
      <c r="CU1753" s="37"/>
      <c r="CV1753" s="37"/>
      <c r="CW1753" s="37"/>
      <c r="CX1753" s="37"/>
      <c r="CY1753" s="37"/>
    </row>
    <row r="1754" spans="2:103" s="10" customFormat="1" x14ac:dyDescent="0.4">
      <c r="B1754" s="44"/>
      <c r="C1754" s="43"/>
      <c r="D1754" s="50"/>
      <c r="E1754" s="50"/>
      <c r="F1754" s="50"/>
      <c r="G1754" s="50"/>
      <c r="H1754" s="9"/>
      <c r="I1754" s="9"/>
      <c r="CS1754" s="37"/>
      <c r="CT1754" s="37"/>
      <c r="CU1754" s="37"/>
      <c r="CV1754" s="37"/>
      <c r="CW1754" s="37"/>
      <c r="CX1754" s="37"/>
      <c r="CY1754" s="37"/>
    </row>
    <row r="1755" spans="2:103" s="10" customFormat="1" x14ac:dyDescent="0.4">
      <c r="B1755" s="44"/>
      <c r="C1755" s="43"/>
      <c r="D1755" s="50"/>
      <c r="E1755" s="50"/>
      <c r="F1755" s="50"/>
      <c r="G1755" s="50"/>
      <c r="H1755" s="9"/>
      <c r="I1755" s="9"/>
      <c r="CS1755" s="37"/>
      <c r="CT1755" s="37"/>
      <c r="CU1755" s="37"/>
      <c r="CV1755" s="37"/>
      <c r="CW1755" s="37"/>
      <c r="CX1755" s="37"/>
      <c r="CY1755" s="37"/>
    </row>
    <row r="1756" spans="2:103" s="10" customFormat="1" x14ac:dyDescent="0.4">
      <c r="B1756" s="44"/>
      <c r="C1756" s="43"/>
      <c r="D1756" s="50"/>
      <c r="E1756" s="50"/>
      <c r="F1756" s="50"/>
      <c r="G1756" s="50"/>
      <c r="H1756" s="9"/>
      <c r="I1756" s="9"/>
      <c r="CS1756" s="37"/>
      <c r="CT1756" s="37"/>
      <c r="CU1756" s="37"/>
      <c r="CV1756" s="37"/>
      <c r="CW1756" s="37"/>
      <c r="CX1756" s="37"/>
      <c r="CY1756" s="37"/>
    </row>
    <row r="1757" spans="2:103" s="10" customFormat="1" x14ac:dyDescent="0.4">
      <c r="B1757" s="44"/>
      <c r="C1757" s="43"/>
      <c r="D1757" s="50"/>
      <c r="E1757" s="50"/>
      <c r="F1757" s="50"/>
      <c r="G1757" s="50"/>
      <c r="H1757" s="9"/>
      <c r="I1757" s="9"/>
      <c r="CS1757" s="37"/>
      <c r="CT1757" s="37"/>
      <c r="CU1757" s="37"/>
      <c r="CV1757" s="37"/>
      <c r="CW1757" s="37"/>
      <c r="CX1757" s="37"/>
      <c r="CY1757" s="37"/>
    </row>
    <row r="1758" spans="2:103" s="10" customFormat="1" x14ac:dyDescent="0.4">
      <c r="B1758" s="44"/>
      <c r="C1758" s="43"/>
      <c r="D1758" s="50"/>
      <c r="E1758" s="50"/>
      <c r="F1758" s="50"/>
      <c r="G1758" s="50"/>
      <c r="H1758" s="9"/>
      <c r="I1758" s="9"/>
      <c r="CS1758" s="37"/>
      <c r="CT1758" s="37"/>
      <c r="CU1758" s="37"/>
      <c r="CV1758" s="37"/>
      <c r="CW1758" s="37"/>
      <c r="CX1758" s="37"/>
      <c r="CY1758" s="37"/>
    </row>
    <row r="1759" spans="2:103" s="10" customFormat="1" x14ac:dyDescent="0.4">
      <c r="B1759" s="44"/>
      <c r="C1759" s="43"/>
      <c r="D1759" s="50"/>
      <c r="E1759" s="50"/>
      <c r="F1759" s="50"/>
      <c r="G1759" s="50"/>
      <c r="H1759" s="9"/>
      <c r="I1759" s="9"/>
      <c r="CS1759" s="37"/>
      <c r="CT1759" s="37"/>
      <c r="CU1759" s="37"/>
      <c r="CV1759" s="37"/>
      <c r="CW1759" s="37"/>
      <c r="CX1759" s="37"/>
      <c r="CY1759" s="37"/>
    </row>
    <row r="1760" spans="2:103" s="10" customFormat="1" x14ac:dyDescent="0.4">
      <c r="B1760" s="44"/>
      <c r="C1760" s="43"/>
      <c r="D1760" s="50"/>
      <c r="E1760" s="50"/>
      <c r="F1760" s="50"/>
      <c r="G1760" s="50"/>
      <c r="H1760" s="9"/>
      <c r="I1760" s="9"/>
      <c r="CS1760" s="37"/>
      <c r="CT1760" s="37"/>
      <c r="CU1760" s="37"/>
      <c r="CV1760" s="37"/>
      <c r="CW1760" s="37"/>
      <c r="CX1760" s="37"/>
      <c r="CY1760" s="37"/>
    </row>
    <row r="1761" spans="2:103" s="10" customFormat="1" x14ac:dyDescent="0.4">
      <c r="B1761" s="44"/>
      <c r="C1761" s="43"/>
      <c r="D1761" s="50"/>
      <c r="E1761" s="50"/>
      <c r="F1761" s="50"/>
      <c r="G1761" s="50"/>
      <c r="H1761" s="9"/>
      <c r="I1761" s="9"/>
      <c r="CS1761" s="37"/>
      <c r="CT1761" s="37"/>
      <c r="CU1761" s="37"/>
      <c r="CV1761" s="37"/>
      <c r="CW1761" s="37"/>
      <c r="CX1761" s="37"/>
      <c r="CY1761" s="37"/>
    </row>
    <row r="1762" spans="2:103" s="10" customFormat="1" x14ac:dyDescent="0.4">
      <c r="B1762" s="44"/>
      <c r="C1762" s="43"/>
      <c r="D1762" s="50"/>
      <c r="E1762" s="50"/>
      <c r="F1762" s="50"/>
      <c r="G1762" s="50"/>
      <c r="H1762" s="9"/>
      <c r="I1762" s="9"/>
      <c r="CS1762" s="37"/>
      <c r="CT1762" s="37"/>
      <c r="CU1762" s="37"/>
      <c r="CV1762" s="37"/>
      <c r="CW1762" s="37"/>
      <c r="CX1762" s="37"/>
      <c r="CY1762" s="37"/>
    </row>
    <row r="1763" spans="2:103" s="10" customFormat="1" x14ac:dyDescent="0.4">
      <c r="B1763" s="44"/>
      <c r="C1763" s="43"/>
      <c r="D1763" s="50"/>
      <c r="E1763" s="50"/>
      <c r="F1763" s="50"/>
      <c r="G1763" s="50"/>
      <c r="H1763" s="9"/>
      <c r="I1763" s="9"/>
      <c r="CS1763" s="37"/>
      <c r="CT1763" s="37"/>
      <c r="CU1763" s="37"/>
      <c r="CV1763" s="37"/>
      <c r="CW1763" s="37"/>
      <c r="CX1763" s="37"/>
      <c r="CY1763" s="37"/>
    </row>
    <row r="1764" spans="2:103" s="10" customFormat="1" x14ac:dyDescent="0.4">
      <c r="B1764" s="44"/>
      <c r="C1764" s="43"/>
      <c r="D1764" s="50"/>
      <c r="E1764" s="50"/>
      <c r="F1764" s="50"/>
      <c r="G1764" s="50"/>
      <c r="H1764" s="9"/>
      <c r="I1764" s="9"/>
      <c r="CS1764" s="37"/>
      <c r="CT1764" s="37"/>
      <c r="CU1764" s="37"/>
      <c r="CV1764" s="37"/>
      <c r="CW1764" s="37"/>
      <c r="CX1764" s="37"/>
      <c r="CY1764" s="37"/>
    </row>
    <row r="1765" spans="2:103" s="10" customFormat="1" x14ac:dyDescent="0.4">
      <c r="B1765" s="44"/>
      <c r="C1765" s="43"/>
      <c r="D1765" s="50"/>
      <c r="E1765" s="50"/>
      <c r="F1765" s="50"/>
      <c r="G1765" s="50"/>
      <c r="H1765" s="9"/>
      <c r="I1765" s="9"/>
      <c r="CS1765" s="37"/>
      <c r="CT1765" s="37"/>
      <c r="CU1765" s="37"/>
      <c r="CV1765" s="37"/>
      <c r="CW1765" s="37"/>
      <c r="CX1765" s="37"/>
      <c r="CY1765" s="37"/>
    </row>
    <row r="1766" spans="2:103" s="10" customFormat="1" x14ac:dyDescent="0.4">
      <c r="B1766" s="44"/>
      <c r="C1766" s="43"/>
      <c r="D1766" s="50"/>
      <c r="E1766" s="50"/>
      <c r="F1766" s="50"/>
      <c r="G1766" s="50"/>
      <c r="H1766" s="9"/>
      <c r="I1766" s="9"/>
      <c r="CS1766" s="37"/>
      <c r="CT1766" s="37"/>
      <c r="CU1766" s="37"/>
      <c r="CV1766" s="37"/>
      <c r="CW1766" s="37"/>
      <c r="CX1766" s="37"/>
      <c r="CY1766" s="37"/>
    </row>
    <row r="1767" spans="2:103" s="10" customFormat="1" x14ac:dyDescent="0.4">
      <c r="B1767" s="44"/>
      <c r="C1767" s="43"/>
      <c r="D1767" s="50"/>
      <c r="E1767" s="50"/>
      <c r="F1767" s="50"/>
      <c r="G1767" s="50"/>
      <c r="H1767" s="9"/>
      <c r="I1767" s="9"/>
      <c r="CS1767" s="37"/>
      <c r="CT1767" s="37"/>
      <c r="CU1767" s="37"/>
      <c r="CV1767" s="37"/>
      <c r="CW1767" s="37"/>
      <c r="CX1767" s="37"/>
      <c r="CY1767" s="37"/>
    </row>
    <row r="1768" spans="2:103" s="10" customFormat="1" x14ac:dyDescent="0.4">
      <c r="B1768" s="44"/>
      <c r="C1768" s="43"/>
      <c r="D1768" s="50"/>
      <c r="E1768" s="50"/>
      <c r="F1768" s="50"/>
      <c r="G1768" s="50"/>
      <c r="H1768" s="9"/>
      <c r="I1768" s="9"/>
      <c r="CS1768" s="37"/>
      <c r="CT1768" s="37"/>
      <c r="CU1768" s="37"/>
      <c r="CV1768" s="37"/>
      <c r="CW1768" s="37"/>
      <c r="CX1768" s="37"/>
      <c r="CY1768" s="37"/>
    </row>
    <row r="1769" spans="2:103" s="10" customFormat="1" x14ac:dyDescent="0.4">
      <c r="B1769" s="44"/>
      <c r="C1769" s="43"/>
      <c r="D1769" s="50"/>
      <c r="E1769" s="50"/>
      <c r="F1769" s="50"/>
      <c r="G1769" s="50"/>
      <c r="H1769" s="9"/>
      <c r="I1769" s="9"/>
      <c r="CS1769" s="37"/>
      <c r="CT1769" s="37"/>
      <c r="CU1769" s="37"/>
      <c r="CV1769" s="37"/>
      <c r="CW1769" s="37"/>
      <c r="CX1769" s="37"/>
      <c r="CY1769" s="37"/>
    </row>
    <row r="1770" spans="2:103" s="10" customFormat="1" x14ac:dyDescent="0.4">
      <c r="B1770" s="44"/>
      <c r="C1770" s="43"/>
      <c r="D1770" s="50"/>
      <c r="E1770" s="50"/>
      <c r="F1770" s="50"/>
      <c r="G1770" s="50"/>
      <c r="H1770" s="9"/>
      <c r="I1770" s="9"/>
      <c r="CS1770" s="37"/>
      <c r="CT1770" s="37"/>
      <c r="CU1770" s="37"/>
      <c r="CV1770" s="37"/>
      <c r="CW1770" s="37"/>
      <c r="CX1770" s="37"/>
      <c r="CY1770" s="37"/>
    </row>
    <row r="1771" spans="2:103" s="10" customFormat="1" x14ac:dyDescent="0.4">
      <c r="B1771" s="44"/>
      <c r="C1771" s="43"/>
      <c r="D1771" s="50"/>
      <c r="E1771" s="50"/>
      <c r="F1771" s="50"/>
      <c r="G1771" s="50"/>
      <c r="H1771" s="9"/>
      <c r="I1771" s="9"/>
      <c r="CS1771" s="37"/>
      <c r="CT1771" s="37"/>
      <c r="CU1771" s="37"/>
      <c r="CV1771" s="37"/>
      <c r="CW1771" s="37"/>
      <c r="CX1771" s="37"/>
      <c r="CY1771" s="37"/>
    </row>
    <row r="1772" spans="2:103" s="10" customFormat="1" x14ac:dyDescent="0.4">
      <c r="B1772" s="44"/>
      <c r="C1772" s="43"/>
      <c r="D1772" s="50"/>
      <c r="E1772" s="50"/>
      <c r="F1772" s="50"/>
      <c r="G1772" s="50"/>
      <c r="H1772" s="9"/>
      <c r="I1772" s="9"/>
      <c r="CS1772" s="37"/>
      <c r="CT1772" s="37"/>
      <c r="CU1772" s="37"/>
      <c r="CV1772" s="37"/>
      <c r="CW1772" s="37"/>
      <c r="CX1772" s="37"/>
      <c r="CY1772" s="37"/>
    </row>
    <row r="1773" spans="2:103" s="10" customFormat="1" x14ac:dyDescent="0.4">
      <c r="B1773" s="44"/>
      <c r="C1773" s="43"/>
      <c r="D1773" s="50"/>
      <c r="E1773" s="50"/>
      <c r="F1773" s="50"/>
      <c r="G1773" s="50"/>
      <c r="H1773" s="9"/>
      <c r="I1773" s="9"/>
      <c r="CS1773" s="37"/>
      <c r="CT1773" s="37"/>
      <c r="CU1773" s="37"/>
      <c r="CV1773" s="37"/>
      <c r="CW1773" s="37"/>
      <c r="CX1773" s="37"/>
      <c r="CY1773" s="37"/>
    </row>
    <row r="1774" spans="2:103" s="10" customFormat="1" x14ac:dyDescent="0.4">
      <c r="B1774" s="44"/>
      <c r="C1774" s="43"/>
      <c r="D1774" s="50"/>
      <c r="E1774" s="50"/>
      <c r="F1774" s="50"/>
      <c r="G1774" s="50"/>
      <c r="H1774" s="9"/>
      <c r="I1774" s="9"/>
      <c r="CS1774" s="37"/>
      <c r="CT1774" s="37"/>
      <c r="CU1774" s="37"/>
      <c r="CV1774" s="37"/>
      <c r="CW1774" s="37"/>
      <c r="CX1774" s="37"/>
      <c r="CY1774" s="37"/>
    </row>
    <row r="1775" spans="2:103" s="10" customFormat="1" x14ac:dyDescent="0.4">
      <c r="B1775" s="44"/>
      <c r="C1775" s="43"/>
      <c r="D1775" s="50"/>
      <c r="E1775" s="50"/>
      <c r="F1775" s="50"/>
      <c r="G1775" s="50"/>
      <c r="H1775" s="9"/>
      <c r="I1775" s="9"/>
      <c r="CS1775" s="37"/>
      <c r="CT1775" s="37"/>
      <c r="CU1775" s="37"/>
      <c r="CV1775" s="37"/>
      <c r="CW1775" s="37"/>
      <c r="CX1775" s="37"/>
      <c r="CY1775" s="37"/>
    </row>
    <row r="1776" spans="2:103" s="10" customFormat="1" x14ac:dyDescent="0.4">
      <c r="B1776" s="44"/>
      <c r="C1776" s="43"/>
      <c r="D1776" s="50"/>
      <c r="E1776" s="50"/>
      <c r="F1776" s="50"/>
      <c r="G1776" s="50"/>
      <c r="H1776" s="9"/>
      <c r="I1776" s="9"/>
      <c r="CS1776" s="37"/>
      <c r="CT1776" s="37"/>
      <c r="CU1776" s="37"/>
      <c r="CV1776" s="37"/>
      <c r="CW1776" s="37"/>
      <c r="CX1776" s="37"/>
      <c r="CY1776" s="37"/>
    </row>
    <row r="1777" spans="2:103" s="10" customFormat="1" x14ac:dyDescent="0.4">
      <c r="B1777" s="44"/>
      <c r="C1777" s="43"/>
      <c r="D1777" s="50"/>
      <c r="E1777" s="50"/>
      <c r="F1777" s="50"/>
      <c r="G1777" s="50"/>
      <c r="H1777" s="9"/>
      <c r="I1777" s="9"/>
      <c r="CS1777" s="37"/>
      <c r="CT1777" s="37"/>
      <c r="CU1777" s="37"/>
      <c r="CV1777" s="37"/>
      <c r="CW1777" s="37"/>
      <c r="CX1777" s="37"/>
      <c r="CY1777" s="37"/>
    </row>
    <row r="1778" spans="2:103" s="10" customFormat="1" x14ac:dyDescent="0.4">
      <c r="B1778" s="44"/>
      <c r="C1778" s="43"/>
      <c r="D1778" s="50"/>
      <c r="E1778" s="50"/>
      <c r="F1778" s="50"/>
      <c r="G1778" s="50"/>
      <c r="H1778" s="9"/>
      <c r="I1778" s="9"/>
      <c r="CS1778" s="37"/>
      <c r="CT1778" s="37"/>
      <c r="CU1778" s="37"/>
      <c r="CV1778" s="37"/>
      <c r="CW1778" s="37"/>
      <c r="CX1778" s="37"/>
      <c r="CY1778" s="37"/>
    </row>
    <row r="1779" spans="2:103" s="10" customFormat="1" x14ac:dyDescent="0.4">
      <c r="B1779" s="44"/>
      <c r="C1779" s="43"/>
      <c r="D1779" s="50"/>
      <c r="E1779" s="50"/>
      <c r="F1779" s="50"/>
      <c r="G1779" s="50"/>
      <c r="H1779" s="9"/>
      <c r="I1779" s="9"/>
      <c r="CS1779" s="37"/>
      <c r="CT1779" s="37"/>
      <c r="CU1779" s="37"/>
      <c r="CV1779" s="37"/>
      <c r="CW1779" s="37"/>
      <c r="CX1779" s="37"/>
      <c r="CY1779" s="37"/>
    </row>
    <row r="1780" spans="2:103" s="10" customFormat="1" x14ac:dyDescent="0.4">
      <c r="B1780" s="44"/>
      <c r="C1780" s="43"/>
      <c r="D1780" s="50"/>
      <c r="E1780" s="50"/>
      <c r="F1780" s="50"/>
      <c r="G1780" s="50"/>
      <c r="H1780" s="9"/>
      <c r="I1780" s="9"/>
      <c r="CS1780" s="37"/>
      <c r="CT1780" s="37"/>
      <c r="CU1780" s="37"/>
      <c r="CV1780" s="37"/>
      <c r="CW1780" s="37"/>
      <c r="CX1780" s="37"/>
      <c r="CY1780" s="37"/>
    </row>
    <row r="1781" spans="2:103" s="10" customFormat="1" x14ac:dyDescent="0.4">
      <c r="B1781" s="44"/>
      <c r="C1781" s="43"/>
      <c r="D1781" s="50"/>
      <c r="E1781" s="50"/>
      <c r="F1781" s="50"/>
      <c r="G1781" s="50"/>
      <c r="H1781" s="9"/>
      <c r="I1781" s="9"/>
      <c r="CS1781" s="37"/>
      <c r="CT1781" s="37"/>
      <c r="CU1781" s="37"/>
      <c r="CV1781" s="37"/>
      <c r="CW1781" s="37"/>
      <c r="CX1781" s="37"/>
      <c r="CY1781" s="37"/>
    </row>
    <row r="1782" spans="2:103" s="10" customFormat="1" x14ac:dyDescent="0.4">
      <c r="B1782" s="44"/>
      <c r="C1782" s="43"/>
      <c r="D1782" s="50"/>
      <c r="E1782" s="50"/>
      <c r="F1782" s="50"/>
      <c r="G1782" s="50"/>
      <c r="H1782" s="9"/>
      <c r="I1782" s="9"/>
      <c r="CS1782" s="37"/>
      <c r="CT1782" s="37"/>
      <c r="CU1782" s="37"/>
      <c r="CV1782" s="37"/>
      <c r="CW1782" s="37"/>
      <c r="CX1782" s="37"/>
      <c r="CY1782" s="37"/>
    </row>
    <row r="1783" spans="2:103" s="10" customFormat="1" x14ac:dyDescent="0.4">
      <c r="B1783" s="44"/>
      <c r="C1783" s="43"/>
      <c r="D1783" s="50"/>
      <c r="E1783" s="50"/>
      <c r="F1783" s="50"/>
      <c r="G1783" s="50"/>
      <c r="H1783" s="9"/>
      <c r="I1783" s="9"/>
      <c r="CS1783" s="37"/>
      <c r="CT1783" s="37"/>
      <c r="CU1783" s="37"/>
      <c r="CV1783" s="37"/>
      <c r="CW1783" s="37"/>
      <c r="CX1783" s="37"/>
      <c r="CY1783" s="37"/>
    </row>
    <row r="1784" spans="2:103" s="10" customFormat="1" x14ac:dyDescent="0.4">
      <c r="B1784" s="44"/>
      <c r="C1784" s="43"/>
      <c r="D1784" s="50"/>
      <c r="E1784" s="50"/>
      <c r="F1784" s="50"/>
      <c r="G1784" s="50"/>
      <c r="H1784" s="9"/>
      <c r="I1784" s="9"/>
      <c r="CS1784" s="37"/>
      <c r="CT1784" s="37"/>
      <c r="CU1784" s="37"/>
      <c r="CV1784" s="37"/>
      <c r="CW1784" s="37"/>
      <c r="CX1784" s="37"/>
      <c r="CY1784" s="37"/>
    </row>
    <row r="1785" spans="2:103" s="10" customFormat="1" x14ac:dyDescent="0.4">
      <c r="B1785" s="44"/>
      <c r="C1785" s="43"/>
      <c r="D1785" s="50"/>
      <c r="E1785" s="50"/>
      <c r="F1785" s="50"/>
      <c r="G1785" s="50"/>
      <c r="H1785" s="9"/>
      <c r="I1785" s="9"/>
      <c r="CS1785" s="37"/>
      <c r="CT1785" s="37"/>
      <c r="CU1785" s="37"/>
      <c r="CV1785" s="37"/>
      <c r="CW1785" s="37"/>
      <c r="CX1785" s="37"/>
      <c r="CY1785" s="37"/>
    </row>
    <row r="1786" spans="2:103" s="10" customFormat="1" x14ac:dyDescent="0.4">
      <c r="B1786" s="44"/>
      <c r="C1786" s="43"/>
      <c r="D1786" s="50"/>
      <c r="E1786" s="50"/>
      <c r="F1786" s="50"/>
      <c r="G1786" s="50"/>
      <c r="H1786" s="9"/>
      <c r="I1786" s="9"/>
      <c r="CS1786" s="37"/>
      <c r="CT1786" s="37"/>
      <c r="CU1786" s="37"/>
      <c r="CV1786" s="37"/>
      <c r="CW1786" s="37"/>
      <c r="CX1786" s="37"/>
      <c r="CY1786" s="37"/>
    </row>
    <row r="1787" spans="2:103" s="10" customFormat="1" x14ac:dyDescent="0.4">
      <c r="B1787" s="44"/>
      <c r="C1787" s="43"/>
      <c r="D1787" s="50"/>
      <c r="E1787" s="50"/>
      <c r="F1787" s="50"/>
      <c r="G1787" s="50"/>
      <c r="H1787" s="9"/>
      <c r="I1787" s="9"/>
      <c r="CS1787" s="37"/>
      <c r="CT1787" s="37"/>
      <c r="CU1787" s="37"/>
      <c r="CV1787" s="37"/>
      <c r="CW1787" s="37"/>
      <c r="CX1787" s="37"/>
      <c r="CY1787" s="37"/>
    </row>
    <row r="1788" spans="2:103" s="10" customFormat="1" x14ac:dyDescent="0.4">
      <c r="B1788" s="44"/>
      <c r="C1788" s="43"/>
      <c r="D1788" s="50"/>
      <c r="E1788" s="50"/>
      <c r="F1788" s="50"/>
      <c r="G1788" s="50"/>
      <c r="H1788" s="9"/>
      <c r="I1788" s="9"/>
      <c r="CS1788" s="37"/>
      <c r="CT1788" s="37"/>
      <c r="CU1788" s="37"/>
      <c r="CV1788" s="37"/>
      <c r="CW1788" s="37"/>
      <c r="CX1788" s="37"/>
      <c r="CY1788" s="37"/>
    </row>
    <row r="1789" spans="2:103" s="10" customFormat="1" x14ac:dyDescent="0.4">
      <c r="B1789" s="44"/>
      <c r="C1789" s="43"/>
      <c r="D1789" s="50"/>
      <c r="E1789" s="50"/>
      <c r="F1789" s="50"/>
      <c r="G1789" s="50"/>
      <c r="H1789" s="9"/>
      <c r="I1789" s="9"/>
      <c r="CS1789" s="37"/>
      <c r="CT1789" s="37"/>
      <c r="CU1789" s="37"/>
      <c r="CV1789" s="37"/>
      <c r="CW1789" s="37"/>
      <c r="CX1789" s="37"/>
      <c r="CY1789" s="37"/>
    </row>
    <row r="1790" spans="2:103" s="10" customFormat="1" x14ac:dyDescent="0.4">
      <c r="B1790" s="44"/>
      <c r="C1790" s="43"/>
      <c r="D1790" s="50"/>
      <c r="E1790" s="50"/>
      <c r="F1790" s="50"/>
      <c r="G1790" s="50"/>
      <c r="H1790" s="9"/>
      <c r="I1790" s="9"/>
      <c r="CS1790" s="37"/>
      <c r="CT1790" s="37"/>
      <c r="CU1790" s="37"/>
      <c r="CV1790" s="37"/>
      <c r="CW1790" s="37"/>
      <c r="CX1790" s="37"/>
      <c r="CY1790" s="37"/>
    </row>
    <row r="1791" spans="2:103" s="10" customFormat="1" x14ac:dyDescent="0.4">
      <c r="B1791" s="44"/>
      <c r="C1791" s="43"/>
      <c r="D1791" s="50"/>
      <c r="E1791" s="50"/>
      <c r="F1791" s="50"/>
      <c r="G1791" s="50"/>
      <c r="H1791" s="9"/>
      <c r="I1791" s="9"/>
      <c r="CS1791" s="37"/>
      <c r="CT1791" s="37"/>
      <c r="CU1791" s="37"/>
      <c r="CV1791" s="37"/>
      <c r="CW1791" s="37"/>
      <c r="CX1791" s="37"/>
      <c r="CY1791" s="37"/>
    </row>
    <row r="1792" spans="2:103" s="10" customFormat="1" x14ac:dyDescent="0.4">
      <c r="B1792" s="44"/>
      <c r="C1792" s="43"/>
      <c r="D1792" s="50"/>
      <c r="E1792" s="50"/>
      <c r="F1792" s="50"/>
      <c r="G1792" s="50"/>
      <c r="H1792" s="9"/>
      <c r="I1792" s="9"/>
      <c r="CS1792" s="37"/>
      <c r="CT1792" s="37"/>
      <c r="CU1792" s="37"/>
      <c r="CV1792" s="37"/>
      <c r="CW1792" s="37"/>
      <c r="CX1792" s="37"/>
      <c r="CY1792" s="37"/>
    </row>
    <row r="1793" spans="2:103" s="10" customFormat="1" x14ac:dyDescent="0.4">
      <c r="B1793" s="44"/>
      <c r="C1793" s="43"/>
      <c r="D1793" s="50"/>
      <c r="E1793" s="50"/>
      <c r="F1793" s="50"/>
      <c r="G1793" s="50"/>
      <c r="H1793" s="9"/>
      <c r="I1793" s="9"/>
      <c r="CS1793" s="37"/>
      <c r="CT1793" s="37"/>
      <c r="CU1793" s="37"/>
      <c r="CV1793" s="37"/>
      <c r="CW1793" s="37"/>
      <c r="CX1793" s="37"/>
      <c r="CY1793" s="37"/>
    </row>
    <row r="1794" spans="2:103" s="10" customFormat="1" x14ac:dyDescent="0.4">
      <c r="B1794" s="44"/>
      <c r="C1794" s="43"/>
      <c r="D1794" s="50"/>
      <c r="E1794" s="50"/>
      <c r="F1794" s="50"/>
      <c r="G1794" s="50"/>
      <c r="H1794" s="9"/>
      <c r="I1794" s="9"/>
      <c r="CS1794" s="37"/>
      <c r="CT1794" s="37"/>
      <c r="CU1794" s="37"/>
      <c r="CV1794" s="37"/>
      <c r="CW1794" s="37"/>
      <c r="CX1794" s="37"/>
      <c r="CY1794" s="37"/>
    </row>
    <row r="1795" spans="2:103" s="10" customFormat="1" x14ac:dyDescent="0.4">
      <c r="B1795" s="44"/>
      <c r="C1795" s="43"/>
      <c r="D1795" s="50"/>
      <c r="E1795" s="50"/>
      <c r="F1795" s="50"/>
      <c r="G1795" s="50"/>
      <c r="H1795" s="9"/>
      <c r="I1795" s="9"/>
      <c r="CS1795" s="37"/>
      <c r="CT1795" s="37"/>
      <c r="CU1795" s="37"/>
      <c r="CV1795" s="37"/>
      <c r="CW1795" s="37"/>
      <c r="CX1795" s="37"/>
      <c r="CY1795" s="37"/>
    </row>
    <row r="1796" spans="2:103" s="10" customFormat="1" x14ac:dyDescent="0.4">
      <c r="B1796" s="44"/>
      <c r="C1796" s="43"/>
      <c r="D1796" s="50"/>
      <c r="E1796" s="50"/>
      <c r="F1796" s="50"/>
      <c r="G1796" s="50"/>
      <c r="H1796" s="9"/>
      <c r="I1796" s="9"/>
      <c r="CS1796" s="37"/>
      <c r="CT1796" s="37"/>
      <c r="CU1796" s="37"/>
      <c r="CV1796" s="37"/>
      <c r="CW1796" s="37"/>
      <c r="CX1796" s="37"/>
      <c r="CY1796" s="37"/>
    </row>
    <row r="1797" spans="2:103" s="10" customFormat="1" x14ac:dyDescent="0.4">
      <c r="B1797" s="44"/>
      <c r="C1797" s="43"/>
      <c r="D1797" s="50"/>
      <c r="E1797" s="50"/>
      <c r="F1797" s="50"/>
      <c r="G1797" s="50"/>
      <c r="H1797" s="9"/>
      <c r="I1797" s="9"/>
      <c r="CS1797" s="37"/>
      <c r="CT1797" s="37"/>
      <c r="CU1797" s="37"/>
      <c r="CV1797" s="37"/>
      <c r="CW1797" s="37"/>
      <c r="CX1797" s="37"/>
      <c r="CY1797" s="37"/>
    </row>
    <row r="1798" spans="2:103" s="10" customFormat="1" x14ac:dyDescent="0.4">
      <c r="B1798" s="44"/>
      <c r="C1798" s="43"/>
      <c r="D1798" s="50"/>
      <c r="E1798" s="50"/>
      <c r="F1798" s="50"/>
      <c r="G1798" s="50"/>
      <c r="H1798" s="9"/>
      <c r="I1798" s="9"/>
      <c r="CS1798" s="37"/>
      <c r="CT1798" s="37"/>
      <c r="CU1798" s="37"/>
      <c r="CV1798" s="37"/>
      <c r="CW1798" s="37"/>
      <c r="CX1798" s="37"/>
      <c r="CY1798" s="37"/>
    </row>
    <row r="1799" spans="2:103" s="10" customFormat="1" x14ac:dyDescent="0.4">
      <c r="B1799" s="44"/>
      <c r="C1799" s="43"/>
      <c r="D1799" s="50"/>
      <c r="E1799" s="50"/>
      <c r="F1799" s="50"/>
      <c r="G1799" s="50"/>
      <c r="H1799" s="9"/>
      <c r="I1799" s="9"/>
      <c r="CS1799" s="37"/>
      <c r="CT1799" s="37"/>
      <c r="CU1799" s="37"/>
      <c r="CV1799" s="37"/>
      <c r="CW1799" s="37"/>
      <c r="CX1799" s="37"/>
      <c r="CY1799" s="37"/>
    </row>
    <row r="1800" spans="2:103" s="10" customFormat="1" x14ac:dyDescent="0.4">
      <c r="B1800" s="44"/>
      <c r="C1800" s="43"/>
      <c r="D1800" s="50"/>
      <c r="E1800" s="50"/>
      <c r="F1800" s="50"/>
      <c r="G1800" s="50"/>
      <c r="H1800" s="9"/>
      <c r="I1800" s="9"/>
      <c r="CS1800" s="37"/>
      <c r="CT1800" s="37"/>
      <c r="CU1800" s="37"/>
      <c r="CV1800" s="37"/>
      <c r="CW1800" s="37"/>
      <c r="CX1800" s="37"/>
      <c r="CY1800" s="37"/>
    </row>
    <row r="1801" spans="2:103" s="10" customFormat="1" x14ac:dyDescent="0.4">
      <c r="B1801" s="44"/>
      <c r="C1801" s="43"/>
      <c r="D1801" s="50"/>
      <c r="E1801" s="50"/>
      <c r="F1801" s="50"/>
      <c r="G1801" s="50"/>
      <c r="H1801" s="9"/>
      <c r="I1801" s="9"/>
      <c r="CS1801" s="37"/>
      <c r="CT1801" s="37"/>
      <c r="CU1801" s="37"/>
      <c r="CV1801" s="37"/>
      <c r="CW1801" s="37"/>
      <c r="CX1801" s="37"/>
      <c r="CY1801" s="37"/>
    </row>
    <row r="1802" spans="2:103" s="10" customFormat="1" x14ac:dyDescent="0.4">
      <c r="B1802" s="44"/>
      <c r="C1802" s="43"/>
      <c r="D1802" s="50"/>
      <c r="E1802" s="50"/>
      <c r="F1802" s="50"/>
      <c r="G1802" s="50"/>
      <c r="H1802" s="9"/>
      <c r="I1802" s="9"/>
      <c r="CS1802" s="37"/>
      <c r="CT1802" s="37"/>
      <c r="CU1802" s="37"/>
      <c r="CV1802" s="37"/>
      <c r="CW1802" s="37"/>
      <c r="CX1802" s="37"/>
      <c r="CY1802" s="37"/>
    </row>
    <row r="1803" spans="2:103" s="10" customFormat="1" x14ac:dyDescent="0.4">
      <c r="B1803" s="44"/>
      <c r="C1803" s="43"/>
      <c r="D1803" s="50"/>
      <c r="E1803" s="50"/>
      <c r="F1803" s="50"/>
      <c r="G1803" s="50"/>
      <c r="H1803" s="9"/>
      <c r="I1803" s="9"/>
      <c r="CS1803" s="37"/>
      <c r="CT1803" s="37"/>
      <c r="CU1803" s="37"/>
      <c r="CV1803" s="37"/>
      <c r="CW1803" s="37"/>
      <c r="CX1803" s="37"/>
      <c r="CY1803" s="37"/>
    </row>
    <row r="1804" spans="2:103" s="10" customFormat="1" x14ac:dyDescent="0.4">
      <c r="B1804" s="44"/>
      <c r="C1804" s="43"/>
      <c r="D1804" s="50"/>
      <c r="E1804" s="50"/>
      <c r="F1804" s="50"/>
      <c r="G1804" s="50"/>
      <c r="H1804" s="9"/>
      <c r="I1804" s="9"/>
      <c r="CS1804" s="37"/>
      <c r="CT1804" s="37"/>
      <c r="CU1804" s="37"/>
      <c r="CV1804" s="37"/>
      <c r="CW1804" s="37"/>
      <c r="CX1804" s="37"/>
      <c r="CY1804" s="37"/>
    </row>
    <row r="1805" spans="2:103" s="10" customFormat="1" x14ac:dyDescent="0.4">
      <c r="B1805" s="44"/>
      <c r="C1805" s="43"/>
      <c r="D1805" s="50"/>
      <c r="E1805" s="50"/>
      <c r="F1805" s="50"/>
      <c r="G1805" s="50"/>
      <c r="H1805" s="9"/>
      <c r="I1805" s="9"/>
      <c r="CS1805" s="37"/>
      <c r="CT1805" s="37"/>
      <c r="CU1805" s="37"/>
      <c r="CV1805" s="37"/>
      <c r="CW1805" s="37"/>
      <c r="CX1805" s="37"/>
      <c r="CY1805" s="37"/>
    </row>
    <row r="1806" spans="2:103" s="10" customFormat="1" x14ac:dyDescent="0.4">
      <c r="B1806" s="44"/>
      <c r="C1806" s="43"/>
      <c r="D1806" s="50"/>
      <c r="E1806" s="50"/>
      <c r="F1806" s="50"/>
      <c r="G1806" s="50"/>
      <c r="H1806" s="9"/>
      <c r="I1806" s="9"/>
      <c r="CS1806" s="37"/>
      <c r="CT1806" s="37"/>
      <c r="CU1806" s="37"/>
      <c r="CV1806" s="37"/>
      <c r="CW1806" s="37"/>
      <c r="CX1806" s="37"/>
      <c r="CY1806" s="37"/>
    </row>
    <row r="1807" spans="2:103" s="10" customFormat="1" x14ac:dyDescent="0.4">
      <c r="B1807" s="44"/>
      <c r="C1807" s="43"/>
      <c r="D1807" s="50"/>
      <c r="E1807" s="50"/>
      <c r="F1807" s="50"/>
      <c r="G1807" s="50"/>
      <c r="H1807" s="9"/>
      <c r="I1807" s="9"/>
      <c r="CS1807" s="37"/>
      <c r="CT1807" s="37"/>
      <c r="CU1807" s="37"/>
      <c r="CV1807" s="37"/>
      <c r="CW1807" s="37"/>
      <c r="CX1807" s="37"/>
      <c r="CY1807" s="37"/>
    </row>
    <row r="1808" spans="2:103" s="10" customFormat="1" x14ac:dyDescent="0.4">
      <c r="B1808" s="44"/>
      <c r="C1808" s="43"/>
      <c r="D1808" s="50"/>
      <c r="E1808" s="50"/>
      <c r="F1808" s="50"/>
      <c r="G1808" s="50"/>
      <c r="H1808" s="9"/>
      <c r="I1808" s="9"/>
      <c r="CS1808" s="37"/>
      <c r="CT1808" s="37"/>
      <c r="CU1808" s="37"/>
      <c r="CV1808" s="37"/>
      <c r="CW1808" s="37"/>
      <c r="CX1808" s="37"/>
      <c r="CY1808" s="37"/>
    </row>
    <row r="1809" spans="2:103" s="10" customFormat="1" x14ac:dyDescent="0.4">
      <c r="B1809" s="44"/>
      <c r="C1809" s="43"/>
      <c r="D1809" s="50"/>
      <c r="E1809" s="50"/>
      <c r="F1809" s="50"/>
      <c r="G1809" s="50"/>
      <c r="H1809" s="9"/>
      <c r="I1809" s="9"/>
      <c r="CS1809" s="37"/>
      <c r="CT1809" s="37"/>
      <c r="CU1809" s="37"/>
      <c r="CV1809" s="37"/>
      <c r="CW1809" s="37"/>
      <c r="CX1809" s="37"/>
      <c r="CY1809" s="37"/>
    </row>
    <row r="1810" spans="2:103" s="10" customFormat="1" x14ac:dyDescent="0.4">
      <c r="B1810" s="44"/>
      <c r="C1810" s="43"/>
      <c r="D1810" s="50"/>
      <c r="E1810" s="50"/>
      <c r="F1810" s="50"/>
      <c r="G1810" s="50"/>
      <c r="H1810" s="9"/>
      <c r="I1810" s="9"/>
      <c r="CS1810" s="37"/>
      <c r="CT1810" s="37"/>
      <c r="CU1810" s="37"/>
      <c r="CV1810" s="37"/>
      <c r="CW1810" s="37"/>
      <c r="CX1810" s="37"/>
      <c r="CY1810" s="37"/>
    </row>
    <row r="1811" spans="2:103" s="10" customFormat="1" x14ac:dyDescent="0.4">
      <c r="B1811" s="44"/>
      <c r="C1811" s="43"/>
      <c r="D1811" s="50"/>
      <c r="E1811" s="50"/>
      <c r="F1811" s="50"/>
      <c r="G1811" s="50"/>
      <c r="H1811" s="9"/>
      <c r="I1811" s="9"/>
      <c r="CS1811" s="37"/>
      <c r="CT1811" s="37"/>
      <c r="CU1811" s="37"/>
      <c r="CV1811" s="37"/>
      <c r="CW1811" s="37"/>
      <c r="CX1811" s="37"/>
      <c r="CY1811" s="37"/>
    </row>
    <row r="1812" spans="2:103" s="10" customFormat="1" x14ac:dyDescent="0.4">
      <c r="B1812" s="44"/>
      <c r="C1812" s="43"/>
      <c r="D1812" s="50"/>
      <c r="E1812" s="50"/>
      <c r="F1812" s="50"/>
      <c r="G1812" s="50"/>
      <c r="H1812" s="9"/>
      <c r="I1812" s="9"/>
      <c r="CS1812" s="37"/>
      <c r="CT1812" s="37"/>
      <c r="CU1812" s="37"/>
      <c r="CV1812" s="37"/>
      <c r="CW1812" s="37"/>
      <c r="CX1812" s="37"/>
      <c r="CY1812" s="37"/>
    </row>
    <row r="1813" spans="2:103" s="10" customFormat="1" x14ac:dyDescent="0.4">
      <c r="B1813" s="44"/>
      <c r="C1813" s="43"/>
      <c r="D1813" s="50"/>
      <c r="E1813" s="50"/>
      <c r="F1813" s="50"/>
      <c r="G1813" s="50"/>
      <c r="H1813" s="9"/>
      <c r="I1813" s="9"/>
      <c r="CS1813" s="37"/>
      <c r="CT1813" s="37"/>
      <c r="CU1813" s="37"/>
      <c r="CV1813" s="37"/>
      <c r="CW1813" s="37"/>
      <c r="CX1813" s="37"/>
      <c r="CY1813" s="37"/>
    </row>
    <row r="1814" spans="2:103" s="10" customFormat="1" x14ac:dyDescent="0.4">
      <c r="B1814" s="44"/>
      <c r="C1814" s="43"/>
      <c r="D1814" s="50"/>
      <c r="E1814" s="50"/>
      <c r="F1814" s="50"/>
      <c r="G1814" s="50"/>
      <c r="H1814" s="9"/>
      <c r="I1814" s="9"/>
      <c r="CS1814" s="37"/>
      <c r="CT1814" s="37"/>
      <c r="CU1814" s="37"/>
      <c r="CV1814" s="37"/>
      <c r="CW1814" s="37"/>
      <c r="CX1814" s="37"/>
      <c r="CY1814" s="37"/>
    </row>
    <row r="1815" spans="2:103" s="10" customFormat="1" x14ac:dyDescent="0.4">
      <c r="B1815" s="44"/>
      <c r="C1815" s="43"/>
      <c r="D1815" s="50"/>
      <c r="E1815" s="50"/>
      <c r="F1815" s="50"/>
      <c r="G1815" s="50"/>
      <c r="H1815" s="9"/>
      <c r="I1815" s="9"/>
      <c r="CS1815" s="37"/>
      <c r="CT1815" s="37"/>
      <c r="CU1815" s="37"/>
      <c r="CV1815" s="37"/>
      <c r="CW1815" s="37"/>
      <c r="CX1815" s="37"/>
      <c r="CY1815" s="37"/>
    </row>
    <row r="1816" spans="2:103" s="10" customFormat="1" x14ac:dyDescent="0.4">
      <c r="B1816" s="44"/>
      <c r="C1816" s="43"/>
      <c r="D1816" s="50"/>
      <c r="E1816" s="50"/>
      <c r="F1816" s="50"/>
      <c r="G1816" s="50"/>
      <c r="H1816" s="9"/>
      <c r="I1816" s="9"/>
      <c r="CS1816" s="37"/>
      <c r="CT1816" s="37"/>
      <c r="CU1816" s="37"/>
      <c r="CV1816" s="37"/>
      <c r="CW1816" s="37"/>
      <c r="CX1816" s="37"/>
      <c r="CY1816" s="37"/>
    </row>
    <row r="1817" spans="2:103" s="10" customFormat="1" x14ac:dyDescent="0.4">
      <c r="B1817" s="44"/>
      <c r="C1817" s="43"/>
      <c r="D1817" s="50"/>
      <c r="E1817" s="50"/>
      <c r="F1817" s="50"/>
      <c r="G1817" s="50"/>
      <c r="H1817" s="9"/>
      <c r="I1817" s="9"/>
      <c r="CS1817" s="37"/>
      <c r="CT1817" s="37"/>
      <c r="CU1817" s="37"/>
      <c r="CV1817" s="37"/>
      <c r="CW1817" s="37"/>
      <c r="CX1817" s="37"/>
      <c r="CY1817" s="37"/>
    </row>
    <row r="1818" spans="2:103" s="10" customFormat="1" x14ac:dyDescent="0.4">
      <c r="B1818" s="44"/>
      <c r="C1818" s="43"/>
      <c r="D1818" s="50"/>
      <c r="E1818" s="50"/>
      <c r="F1818" s="50"/>
      <c r="G1818" s="50"/>
      <c r="H1818" s="9"/>
      <c r="I1818" s="9"/>
      <c r="CS1818" s="37"/>
      <c r="CT1818" s="37"/>
      <c r="CU1818" s="37"/>
      <c r="CV1818" s="37"/>
      <c r="CW1818" s="37"/>
      <c r="CX1818" s="37"/>
      <c r="CY1818" s="37"/>
    </row>
    <row r="1819" spans="2:103" s="10" customFormat="1" x14ac:dyDescent="0.4">
      <c r="B1819" s="44"/>
      <c r="C1819" s="43"/>
      <c r="D1819" s="50"/>
      <c r="E1819" s="50"/>
      <c r="F1819" s="50"/>
      <c r="G1819" s="50"/>
      <c r="H1819" s="9"/>
      <c r="I1819" s="9"/>
      <c r="CS1819" s="37"/>
      <c r="CT1819" s="37"/>
      <c r="CU1819" s="37"/>
      <c r="CV1819" s="37"/>
      <c r="CW1819" s="37"/>
      <c r="CX1819" s="37"/>
      <c r="CY1819" s="37"/>
    </row>
    <row r="1820" spans="2:103" s="10" customFormat="1" x14ac:dyDescent="0.4">
      <c r="B1820" s="44"/>
      <c r="C1820" s="43"/>
      <c r="D1820" s="50"/>
      <c r="E1820" s="50"/>
      <c r="F1820" s="50"/>
      <c r="G1820" s="50"/>
      <c r="H1820" s="9"/>
      <c r="I1820" s="9"/>
      <c r="CS1820" s="37"/>
      <c r="CT1820" s="37"/>
      <c r="CU1820" s="37"/>
      <c r="CV1820" s="37"/>
      <c r="CW1820" s="37"/>
      <c r="CX1820" s="37"/>
      <c r="CY1820" s="37"/>
    </row>
    <row r="1821" spans="2:103" s="10" customFormat="1" x14ac:dyDescent="0.4">
      <c r="B1821" s="44"/>
      <c r="C1821" s="43"/>
      <c r="D1821" s="50"/>
      <c r="E1821" s="50"/>
      <c r="F1821" s="50"/>
      <c r="G1821" s="50"/>
      <c r="H1821" s="9"/>
      <c r="I1821" s="9"/>
      <c r="CS1821" s="37"/>
      <c r="CT1821" s="37"/>
      <c r="CU1821" s="37"/>
      <c r="CV1821" s="37"/>
      <c r="CW1821" s="37"/>
      <c r="CX1821" s="37"/>
      <c r="CY1821" s="37"/>
    </row>
    <row r="1822" spans="2:103" s="10" customFormat="1" x14ac:dyDescent="0.4">
      <c r="B1822" s="44"/>
      <c r="C1822" s="43"/>
      <c r="D1822" s="50"/>
      <c r="E1822" s="50"/>
      <c r="F1822" s="50"/>
      <c r="G1822" s="50"/>
      <c r="H1822" s="9"/>
      <c r="I1822" s="9"/>
      <c r="CS1822" s="37"/>
      <c r="CT1822" s="37"/>
      <c r="CU1822" s="37"/>
      <c r="CV1822" s="37"/>
      <c r="CW1822" s="37"/>
      <c r="CX1822" s="37"/>
      <c r="CY1822" s="37"/>
    </row>
    <row r="1823" spans="2:103" s="10" customFormat="1" x14ac:dyDescent="0.4">
      <c r="B1823" s="44"/>
      <c r="C1823" s="43"/>
      <c r="D1823" s="50"/>
      <c r="E1823" s="50"/>
      <c r="F1823" s="50"/>
      <c r="G1823" s="50"/>
      <c r="H1823" s="9"/>
      <c r="I1823" s="9"/>
      <c r="CS1823" s="37"/>
      <c r="CT1823" s="37"/>
      <c r="CU1823" s="37"/>
      <c r="CV1823" s="37"/>
      <c r="CW1823" s="37"/>
      <c r="CX1823" s="37"/>
      <c r="CY1823" s="37"/>
    </row>
    <row r="1824" spans="2:103" s="10" customFormat="1" x14ac:dyDescent="0.4">
      <c r="B1824" s="44"/>
      <c r="C1824" s="43"/>
      <c r="D1824" s="50"/>
      <c r="E1824" s="50"/>
      <c r="F1824" s="50"/>
      <c r="G1824" s="50"/>
      <c r="H1824" s="9"/>
      <c r="I1824" s="9"/>
      <c r="CS1824" s="37"/>
      <c r="CT1824" s="37"/>
      <c r="CU1824" s="37"/>
      <c r="CV1824" s="37"/>
      <c r="CW1824" s="37"/>
      <c r="CX1824" s="37"/>
      <c r="CY1824" s="37"/>
    </row>
    <row r="1825" spans="2:103" s="10" customFormat="1" x14ac:dyDescent="0.4">
      <c r="B1825" s="44"/>
      <c r="C1825" s="43"/>
      <c r="D1825" s="50"/>
      <c r="E1825" s="50"/>
      <c r="F1825" s="50"/>
      <c r="G1825" s="50"/>
      <c r="H1825" s="9"/>
      <c r="I1825" s="9"/>
      <c r="CS1825" s="37"/>
      <c r="CT1825" s="37"/>
      <c r="CU1825" s="37"/>
      <c r="CV1825" s="37"/>
      <c r="CW1825" s="37"/>
      <c r="CX1825" s="37"/>
      <c r="CY1825" s="37"/>
    </row>
    <row r="1826" spans="2:103" s="10" customFormat="1" x14ac:dyDescent="0.4">
      <c r="B1826" s="44"/>
      <c r="C1826" s="43"/>
      <c r="D1826" s="50"/>
      <c r="E1826" s="50"/>
      <c r="F1826" s="50"/>
      <c r="G1826" s="50"/>
      <c r="H1826" s="9"/>
      <c r="I1826" s="9"/>
      <c r="CS1826" s="37"/>
      <c r="CT1826" s="37"/>
      <c r="CU1826" s="37"/>
      <c r="CV1826" s="37"/>
      <c r="CW1826" s="37"/>
      <c r="CX1826" s="37"/>
      <c r="CY1826" s="37"/>
    </row>
    <row r="1827" spans="2:103" s="10" customFormat="1" x14ac:dyDescent="0.4">
      <c r="B1827" s="44"/>
      <c r="C1827" s="43"/>
      <c r="D1827" s="50"/>
      <c r="E1827" s="50"/>
      <c r="F1827" s="50"/>
      <c r="G1827" s="50"/>
      <c r="H1827" s="9"/>
      <c r="I1827" s="9"/>
      <c r="CS1827" s="37"/>
      <c r="CT1827" s="37"/>
      <c r="CU1827" s="37"/>
      <c r="CV1827" s="37"/>
      <c r="CW1827" s="37"/>
      <c r="CX1827" s="37"/>
      <c r="CY1827" s="37"/>
    </row>
    <row r="1828" spans="2:103" s="10" customFormat="1" x14ac:dyDescent="0.4">
      <c r="B1828" s="44"/>
      <c r="C1828" s="43"/>
      <c r="D1828" s="50"/>
      <c r="E1828" s="50"/>
      <c r="F1828" s="50"/>
      <c r="G1828" s="50"/>
      <c r="H1828" s="9"/>
      <c r="I1828" s="9"/>
      <c r="CS1828" s="37"/>
      <c r="CT1828" s="37"/>
      <c r="CU1828" s="37"/>
      <c r="CV1828" s="37"/>
      <c r="CW1828" s="37"/>
      <c r="CX1828" s="37"/>
      <c r="CY1828" s="37"/>
    </row>
    <row r="1829" spans="2:103" s="10" customFormat="1" x14ac:dyDescent="0.4">
      <c r="B1829" s="44"/>
      <c r="C1829" s="43"/>
      <c r="D1829" s="50"/>
      <c r="E1829" s="50"/>
      <c r="F1829" s="50"/>
      <c r="G1829" s="50"/>
      <c r="H1829" s="9"/>
      <c r="I1829" s="9"/>
      <c r="CS1829" s="37"/>
      <c r="CT1829" s="37"/>
      <c r="CU1829" s="37"/>
      <c r="CV1829" s="37"/>
      <c r="CW1829" s="37"/>
      <c r="CX1829" s="37"/>
      <c r="CY1829" s="37"/>
    </row>
    <row r="1830" spans="2:103" s="10" customFormat="1" x14ac:dyDescent="0.4">
      <c r="B1830" s="44"/>
      <c r="C1830" s="43"/>
      <c r="D1830" s="50"/>
      <c r="E1830" s="50"/>
      <c r="F1830" s="50"/>
      <c r="G1830" s="50"/>
      <c r="H1830" s="9"/>
      <c r="I1830" s="9"/>
      <c r="CS1830" s="37"/>
      <c r="CT1830" s="37"/>
      <c r="CU1830" s="37"/>
      <c r="CV1830" s="37"/>
      <c r="CW1830" s="37"/>
      <c r="CX1830" s="37"/>
      <c r="CY1830" s="37"/>
    </row>
    <row r="1831" spans="2:103" s="10" customFormat="1" x14ac:dyDescent="0.4">
      <c r="B1831" s="44"/>
      <c r="C1831" s="43"/>
      <c r="D1831" s="50"/>
      <c r="E1831" s="50"/>
      <c r="F1831" s="50"/>
      <c r="G1831" s="50"/>
      <c r="H1831" s="9"/>
      <c r="I1831" s="9"/>
      <c r="CS1831" s="37"/>
      <c r="CT1831" s="37"/>
      <c r="CU1831" s="37"/>
      <c r="CV1831" s="37"/>
      <c r="CW1831" s="37"/>
      <c r="CX1831" s="37"/>
      <c r="CY1831" s="37"/>
    </row>
    <row r="1832" spans="2:103" s="10" customFormat="1" x14ac:dyDescent="0.4">
      <c r="B1832" s="44"/>
      <c r="C1832" s="43"/>
      <c r="D1832" s="50"/>
      <c r="E1832" s="50"/>
      <c r="F1832" s="50"/>
      <c r="G1832" s="50"/>
      <c r="H1832" s="9"/>
      <c r="I1832" s="9"/>
      <c r="CS1832" s="37"/>
      <c r="CT1832" s="37"/>
      <c r="CU1832" s="37"/>
      <c r="CV1832" s="37"/>
      <c r="CW1832" s="37"/>
      <c r="CX1832" s="37"/>
      <c r="CY1832" s="37"/>
    </row>
    <row r="1833" spans="2:103" s="10" customFormat="1" x14ac:dyDescent="0.4">
      <c r="B1833" s="44"/>
      <c r="C1833" s="43"/>
      <c r="D1833" s="50"/>
      <c r="E1833" s="50"/>
      <c r="F1833" s="50"/>
      <c r="G1833" s="50"/>
      <c r="H1833" s="9"/>
      <c r="I1833" s="9"/>
      <c r="CS1833" s="37"/>
      <c r="CT1833" s="37"/>
      <c r="CU1833" s="37"/>
      <c r="CV1833" s="37"/>
      <c r="CW1833" s="37"/>
      <c r="CX1833" s="37"/>
      <c r="CY1833" s="37"/>
    </row>
    <row r="1834" spans="2:103" s="10" customFormat="1" x14ac:dyDescent="0.4">
      <c r="B1834" s="44"/>
      <c r="C1834" s="43"/>
      <c r="D1834" s="50"/>
      <c r="E1834" s="50"/>
      <c r="F1834" s="50"/>
      <c r="G1834" s="50"/>
      <c r="H1834" s="9"/>
      <c r="I1834" s="9"/>
      <c r="CS1834" s="37"/>
      <c r="CT1834" s="37"/>
      <c r="CU1834" s="37"/>
      <c r="CV1834" s="37"/>
      <c r="CW1834" s="37"/>
      <c r="CX1834" s="37"/>
      <c r="CY1834" s="37"/>
    </row>
    <row r="1835" spans="2:103" s="10" customFormat="1" x14ac:dyDescent="0.4">
      <c r="B1835" s="44"/>
      <c r="C1835" s="43"/>
      <c r="D1835" s="50"/>
      <c r="E1835" s="50"/>
      <c r="F1835" s="50"/>
      <c r="G1835" s="50"/>
      <c r="H1835" s="9"/>
      <c r="I1835" s="9"/>
      <c r="CS1835" s="37"/>
      <c r="CT1835" s="37"/>
      <c r="CU1835" s="37"/>
      <c r="CV1835" s="37"/>
      <c r="CW1835" s="37"/>
      <c r="CX1835" s="37"/>
      <c r="CY1835" s="37"/>
    </row>
    <row r="1836" spans="2:103" s="10" customFormat="1" x14ac:dyDescent="0.4">
      <c r="B1836" s="44"/>
      <c r="C1836" s="43"/>
      <c r="D1836" s="50"/>
      <c r="E1836" s="50"/>
      <c r="F1836" s="50"/>
      <c r="G1836" s="50"/>
      <c r="H1836" s="9"/>
      <c r="I1836" s="9"/>
      <c r="CS1836" s="37"/>
      <c r="CT1836" s="37"/>
      <c r="CU1836" s="37"/>
      <c r="CV1836" s="37"/>
      <c r="CW1836" s="37"/>
      <c r="CX1836" s="37"/>
      <c r="CY1836" s="37"/>
    </row>
    <row r="1837" spans="2:103" s="10" customFormat="1" x14ac:dyDescent="0.4">
      <c r="B1837" s="44"/>
      <c r="C1837" s="43"/>
      <c r="D1837" s="50"/>
      <c r="E1837" s="50"/>
      <c r="F1837" s="50"/>
      <c r="G1837" s="50"/>
      <c r="H1837" s="9"/>
      <c r="I1837" s="9"/>
      <c r="CS1837" s="37"/>
      <c r="CT1837" s="37"/>
      <c r="CU1837" s="37"/>
      <c r="CV1837" s="37"/>
      <c r="CW1837" s="37"/>
      <c r="CX1837" s="37"/>
      <c r="CY1837" s="37"/>
    </row>
    <row r="1838" spans="2:103" s="10" customFormat="1" x14ac:dyDescent="0.4">
      <c r="B1838" s="44"/>
      <c r="C1838" s="43"/>
      <c r="D1838" s="50"/>
      <c r="E1838" s="50"/>
      <c r="F1838" s="50"/>
      <c r="G1838" s="50"/>
      <c r="H1838" s="9"/>
      <c r="I1838" s="9"/>
      <c r="CS1838" s="37"/>
      <c r="CT1838" s="37"/>
      <c r="CU1838" s="37"/>
      <c r="CV1838" s="37"/>
      <c r="CW1838" s="37"/>
      <c r="CX1838" s="37"/>
      <c r="CY1838" s="37"/>
    </row>
    <row r="1839" spans="2:103" s="10" customFormat="1" x14ac:dyDescent="0.4">
      <c r="B1839" s="44"/>
      <c r="C1839" s="43"/>
      <c r="D1839" s="50"/>
      <c r="E1839" s="50"/>
      <c r="F1839" s="50"/>
      <c r="G1839" s="50"/>
      <c r="H1839" s="9"/>
      <c r="I1839" s="9"/>
      <c r="CS1839" s="37"/>
      <c r="CT1839" s="37"/>
      <c r="CU1839" s="37"/>
      <c r="CV1839" s="37"/>
      <c r="CW1839" s="37"/>
      <c r="CX1839" s="37"/>
      <c r="CY1839" s="37"/>
    </row>
    <row r="1840" spans="2:103" s="10" customFormat="1" x14ac:dyDescent="0.4">
      <c r="B1840" s="44"/>
      <c r="C1840" s="43"/>
      <c r="D1840" s="50"/>
      <c r="E1840" s="50"/>
      <c r="F1840" s="50"/>
      <c r="G1840" s="50"/>
      <c r="H1840" s="9"/>
      <c r="I1840" s="9"/>
      <c r="CS1840" s="37"/>
      <c r="CT1840" s="37"/>
      <c r="CU1840" s="37"/>
      <c r="CV1840" s="37"/>
      <c r="CW1840" s="37"/>
      <c r="CX1840" s="37"/>
      <c r="CY1840" s="37"/>
    </row>
    <row r="1841" spans="2:103" s="10" customFormat="1" x14ac:dyDescent="0.4">
      <c r="B1841" s="44"/>
      <c r="C1841" s="43"/>
      <c r="D1841" s="50"/>
      <c r="E1841" s="50"/>
      <c r="F1841" s="50"/>
      <c r="G1841" s="50"/>
      <c r="H1841" s="9"/>
      <c r="I1841" s="9"/>
      <c r="CS1841" s="37"/>
      <c r="CT1841" s="37"/>
      <c r="CU1841" s="37"/>
      <c r="CV1841" s="37"/>
      <c r="CW1841" s="37"/>
      <c r="CX1841" s="37"/>
      <c r="CY1841" s="37"/>
    </row>
    <row r="1842" spans="2:103" s="10" customFormat="1" x14ac:dyDescent="0.4">
      <c r="B1842" s="44"/>
      <c r="C1842" s="43"/>
      <c r="D1842" s="50"/>
      <c r="E1842" s="50"/>
      <c r="F1842" s="50"/>
      <c r="G1842" s="50"/>
      <c r="H1842" s="9"/>
      <c r="I1842" s="9"/>
      <c r="CS1842" s="37"/>
      <c r="CT1842" s="37"/>
      <c r="CU1842" s="37"/>
      <c r="CV1842" s="37"/>
      <c r="CW1842" s="37"/>
      <c r="CX1842" s="37"/>
      <c r="CY1842" s="37"/>
    </row>
    <row r="1843" spans="2:103" s="10" customFormat="1" x14ac:dyDescent="0.4">
      <c r="B1843" s="44"/>
      <c r="C1843" s="43"/>
      <c r="D1843" s="50"/>
      <c r="E1843" s="50"/>
      <c r="F1843" s="50"/>
      <c r="G1843" s="50"/>
      <c r="H1843" s="9"/>
      <c r="I1843" s="9"/>
      <c r="CS1843" s="37"/>
      <c r="CT1843" s="37"/>
      <c r="CU1843" s="37"/>
      <c r="CV1843" s="37"/>
      <c r="CW1843" s="37"/>
      <c r="CX1843" s="37"/>
      <c r="CY1843" s="37"/>
    </row>
    <row r="1844" spans="2:103" s="10" customFormat="1" x14ac:dyDescent="0.4">
      <c r="B1844" s="44"/>
      <c r="C1844" s="43"/>
      <c r="D1844" s="50"/>
      <c r="E1844" s="50"/>
      <c r="F1844" s="50"/>
      <c r="G1844" s="50"/>
      <c r="H1844" s="9"/>
      <c r="I1844" s="9"/>
      <c r="CS1844" s="37"/>
      <c r="CT1844" s="37"/>
      <c r="CU1844" s="37"/>
      <c r="CV1844" s="37"/>
      <c r="CW1844" s="37"/>
      <c r="CX1844" s="37"/>
      <c r="CY1844" s="37"/>
    </row>
    <row r="1845" spans="2:103" s="10" customFormat="1" x14ac:dyDescent="0.4">
      <c r="B1845" s="44"/>
      <c r="C1845" s="43"/>
      <c r="D1845" s="50"/>
      <c r="E1845" s="50"/>
      <c r="F1845" s="50"/>
      <c r="G1845" s="50"/>
      <c r="H1845" s="9"/>
      <c r="I1845" s="9"/>
      <c r="CS1845" s="37"/>
      <c r="CT1845" s="37"/>
      <c r="CU1845" s="37"/>
      <c r="CV1845" s="37"/>
      <c r="CW1845" s="37"/>
      <c r="CX1845" s="37"/>
      <c r="CY1845" s="37"/>
    </row>
    <row r="1846" spans="2:103" s="10" customFormat="1" x14ac:dyDescent="0.4">
      <c r="B1846" s="44"/>
      <c r="C1846" s="43"/>
      <c r="D1846" s="50"/>
      <c r="E1846" s="50"/>
      <c r="F1846" s="50"/>
      <c r="G1846" s="50"/>
      <c r="H1846" s="9"/>
      <c r="I1846" s="9"/>
      <c r="CS1846" s="37"/>
      <c r="CT1846" s="37"/>
      <c r="CU1846" s="37"/>
      <c r="CV1846" s="37"/>
      <c r="CW1846" s="37"/>
      <c r="CX1846" s="37"/>
      <c r="CY1846" s="37"/>
    </row>
    <row r="1847" spans="2:103" s="10" customFormat="1" x14ac:dyDescent="0.4">
      <c r="B1847" s="44"/>
      <c r="C1847" s="43"/>
      <c r="D1847" s="50"/>
      <c r="E1847" s="50"/>
      <c r="F1847" s="50"/>
      <c r="G1847" s="50"/>
      <c r="H1847" s="9"/>
      <c r="I1847" s="9"/>
      <c r="CS1847" s="37"/>
      <c r="CT1847" s="37"/>
      <c r="CU1847" s="37"/>
      <c r="CV1847" s="37"/>
      <c r="CW1847" s="37"/>
      <c r="CX1847" s="37"/>
      <c r="CY1847" s="37"/>
    </row>
    <row r="1848" spans="2:103" s="10" customFormat="1" x14ac:dyDescent="0.4">
      <c r="B1848" s="44"/>
      <c r="C1848" s="43"/>
      <c r="D1848" s="50"/>
      <c r="E1848" s="50"/>
      <c r="F1848" s="50"/>
      <c r="G1848" s="50"/>
      <c r="H1848" s="9"/>
      <c r="I1848" s="9"/>
      <c r="CS1848" s="37"/>
      <c r="CT1848" s="37"/>
      <c r="CU1848" s="37"/>
      <c r="CV1848" s="37"/>
      <c r="CW1848" s="37"/>
      <c r="CX1848" s="37"/>
      <c r="CY1848" s="37"/>
    </row>
    <row r="1849" spans="2:103" s="10" customFormat="1" x14ac:dyDescent="0.4">
      <c r="B1849" s="44"/>
      <c r="C1849" s="43"/>
      <c r="D1849" s="50"/>
      <c r="E1849" s="50"/>
      <c r="F1849" s="50"/>
      <c r="G1849" s="50"/>
      <c r="H1849" s="9"/>
      <c r="I1849" s="9"/>
      <c r="CS1849" s="37"/>
      <c r="CT1849" s="37"/>
      <c r="CU1849" s="37"/>
      <c r="CV1849" s="37"/>
      <c r="CW1849" s="37"/>
      <c r="CX1849" s="37"/>
      <c r="CY1849" s="37"/>
    </row>
    <row r="1850" spans="2:103" s="10" customFormat="1" x14ac:dyDescent="0.4">
      <c r="B1850" s="44"/>
      <c r="C1850" s="43"/>
      <c r="D1850" s="50"/>
      <c r="E1850" s="50"/>
      <c r="F1850" s="50"/>
      <c r="G1850" s="50"/>
      <c r="H1850" s="9"/>
      <c r="I1850" s="9"/>
      <c r="CS1850" s="37"/>
      <c r="CT1850" s="37"/>
      <c r="CU1850" s="37"/>
      <c r="CV1850" s="37"/>
      <c r="CW1850" s="37"/>
      <c r="CX1850" s="37"/>
      <c r="CY1850" s="37"/>
    </row>
    <row r="1851" spans="2:103" s="10" customFormat="1" x14ac:dyDescent="0.4">
      <c r="B1851" s="44"/>
      <c r="C1851" s="43"/>
      <c r="D1851" s="50"/>
      <c r="E1851" s="50"/>
      <c r="F1851" s="50"/>
      <c r="G1851" s="50"/>
      <c r="H1851" s="9"/>
      <c r="I1851" s="9"/>
      <c r="CS1851" s="37"/>
      <c r="CT1851" s="37"/>
      <c r="CU1851" s="37"/>
      <c r="CV1851" s="37"/>
      <c r="CW1851" s="37"/>
      <c r="CX1851" s="37"/>
      <c r="CY1851" s="37"/>
    </row>
    <row r="1852" spans="2:103" s="10" customFormat="1" x14ac:dyDescent="0.4">
      <c r="B1852" s="44"/>
      <c r="C1852" s="43"/>
      <c r="D1852" s="50"/>
      <c r="E1852" s="50"/>
      <c r="F1852" s="50"/>
      <c r="G1852" s="50"/>
      <c r="H1852" s="9"/>
      <c r="I1852" s="9"/>
      <c r="CS1852" s="37"/>
      <c r="CT1852" s="37"/>
      <c r="CU1852" s="37"/>
      <c r="CV1852" s="37"/>
      <c r="CW1852" s="37"/>
      <c r="CX1852" s="37"/>
      <c r="CY1852" s="37"/>
    </row>
    <row r="1853" spans="2:103" s="10" customFormat="1" x14ac:dyDescent="0.4">
      <c r="B1853" s="44"/>
      <c r="C1853" s="43"/>
      <c r="D1853" s="50"/>
      <c r="E1853" s="50"/>
      <c r="F1853" s="50"/>
      <c r="G1853" s="50"/>
      <c r="H1853" s="9"/>
      <c r="I1853" s="9"/>
      <c r="CS1853" s="37"/>
      <c r="CT1853" s="37"/>
      <c r="CU1853" s="37"/>
      <c r="CV1853" s="37"/>
      <c r="CW1853" s="37"/>
      <c r="CX1853" s="37"/>
      <c r="CY1853" s="37"/>
    </row>
    <row r="1854" spans="2:103" s="10" customFormat="1" x14ac:dyDescent="0.4">
      <c r="B1854" s="44"/>
      <c r="C1854" s="43"/>
      <c r="D1854" s="50"/>
      <c r="E1854" s="50"/>
      <c r="F1854" s="50"/>
      <c r="G1854" s="50"/>
      <c r="H1854" s="9"/>
      <c r="I1854" s="9"/>
      <c r="CS1854" s="37"/>
      <c r="CT1854" s="37"/>
      <c r="CU1854" s="37"/>
      <c r="CV1854" s="37"/>
      <c r="CW1854" s="37"/>
      <c r="CX1854" s="37"/>
      <c r="CY1854" s="37"/>
    </row>
    <row r="1855" spans="2:103" s="10" customFormat="1" x14ac:dyDescent="0.4">
      <c r="B1855" s="44"/>
      <c r="C1855" s="43"/>
      <c r="D1855" s="50"/>
      <c r="E1855" s="50"/>
      <c r="F1855" s="50"/>
      <c r="G1855" s="50"/>
      <c r="H1855" s="9"/>
      <c r="I1855" s="9"/>
      <c r="CS1855" s="37"/>
      <c r="CT1855" s="37"/>
      <c r="CU1855" s="37"/>
      <c r="CV1855" s="37"/>
      <c r="CW1855" s="37"/>
      <c r="CX1855" s="37"/>
      <c r="CY1855" s="37"/>
    </row>
    <row r="1856" spans="2:103" s="10" customFormat="1" x14ac:dyDescent="0.4">
      <c r="B1856" s="44"/>
      <c r="C1856" s="43"/>
      <c r="D1856" s="50"/>
      <c r="E1856" s="50"/>
      <c r="F1856" s="50"/>
      <c r="G1856" s="50"/>
      <c r="H1856" s="9"/>
      <c r="I1856" s="9"/>
      <c r="CS1856" s="37"/>
      <c r="CT1856" s="37"/>
      <c r="CU1856" s="37"/>
      <c r="CV1856" s="37"/>
      <c r="CW1856" s="37"/>
      <c r="CX1856" s="37"/>
      <c r="CY1856" s="37"/>
    </row>
    <row r="1857" spans="2:103" s="10" customFormat="1" x14ac:dyDescent="0.4">
      <c r="B1857" s="44"/>
      <c r="C1857" s="43"/>
      <c r="D1857" s="50"/>
      <c r="E1857" s="50"/>
      <c r="F1857" s="50"/>
      <c r="G1857" s="50"/>
      <c r="H1857" s="9"/>
      <c r="I1857" s="9"/>
      <c r="CS1857" s="37"/>
      <c r="CT1857" s="37"/>
      <c r="CU1857" s="37"/>
      <c r="CV1857" s="37"/>
      <c r="CW1857" s="37"/>
      <c r="CX1857" s="37"/>
      <c r="CY1857" s="37"/>
    </row>
    <row r="1858" spans="2:103" s="10" customFormat="1" x14ac:dyDescent="0.4">
      <c r="B1858" s="44"/>
      <c r="C1858" s="43"/>
      <c r="D1858" s="50"/>
      <c r="E1858" s="50"/>
      <c r="F1858" s="50"/>
      <c r="G1858" s="50"/>
      <c r="H1858" s="9"/>
      <c r="I1858" s="9"/>
      <c r="CS1858" s="37"/>
      <c r="CT1858" s="37"/>
      <c r="CU1858" s="37"/>
      <c r="CV1858" s="37"/>
      <c r="CW1858" s="37"/>
      <c r="CX1858" s="37"/>
      <c r="CY1858" s="37"/>
    </row>
    <row r="1859" spans="2:103" s="10" customFormat="1" x14ac:dyDescent="0.4">
      <c r="B1859" s="44"/>
      <c r="C1859" s="43"/>
      <c r="D1859" s="50"/>
      <c r="E1859" s="50"/>
      <c r="F1859" s="50"/>
      <c r="G1859" s="50"/>
      <c r="H1859" s="9"/>
      <c r="I1859" s="9"/>
      <c r="CS1859" s="37"/>
      <c r="CT1859" s="37"/>
      <c r="CU1859" s="37"/>
      <c r="CV1859" s="37"/>
      <c r="CW1859" s="37"/>
      <c r="CX1859" s="37"/>
      <c r="CY1859" s="37"/>
    </row>
    <row r="1860" spans="2:103" s="10" customFormat="1" x14ac:dyDescent="0.4">
      <c r="B1860" s="44"/>
      <c r="C1860" s="43"/>
      <c r="D1860" s="50"/>
      <c r="E1860" s="50"/>
      <c r="F1860" s="50"/>
      <c r="G1860" s="50"/>
      <c r="H1860" s="9"/>
      <c r="I1860" s="9"/>
      <c r="CS1860" s="37"/>
      <c r="CT1860" s="37"/>
      <c r="CU1860" s="37"/>
      <c r="CV1860" s="37"/>
      <c r="CW1860" s="37"/>
      <c r="CX1860" s="37"/>
      <c r="CY1860" s="37"/>
    </row>
    <row r="1861" spans="2:103" s="10" customFormat="1" x14ac:dyDescent="0.4">
      <c r="B1861" s="44"/>
      <c r="C1861" s="43"/>
      <c r="D1861" s="50"/>
      <c r="E1861" s="50"/>
      <c r="F1861" s="50"/>
      <c r="G1861" s="50"/>
      <c r="H1861" s="9"/>
      <c r="I1861" s="9"/>
      <c r="CS1861" s="37"/>
      <c r="CT1861" s="37"/>
      <c r="CU1861" s="37"/>
      <c r="CV1861" s="37"/>
      <c r="CW1861" s="37"/>
      <c r="CX1861" s="37"/>
      <c r="CY1861" s="37"/>
    </row>
    <row r="1862" spans="2:103" s="10" customFormat="1" x14ac:dyDescent="0.4">
      <c r="B1862" s="44"/>
      <c r="C1862" s="43"/>
      <c r="D1862" s="50"/>
      <c r="E1862" s="50"/>
      <c r="F1862" s="50"/>
      <c r="G1862" s="50"/>
      <c r="H1862" s="9"/>
      <c r="I1862" s="9"/>
      <c r="CS1862" s="37"/>
      <c r="CT1862" s="37"/>
      <c r="CU1862" s="37"/>
      <c r="CV1862" s="37"/>
      <c r="CW1862" s="37"/>
      <c r="CX1862" s="37"/>
      <c r="CY1862" s="37"/>
    </row>
    <row r="1863" spans="2:103" s="10" customFormat="1" x14ac:dyDescent="0.4">
      <c r="B1863" s="44"/>
      <c r="C1863" s="43"/>
      <c r="D1863" s="50"/>
      <c r="E1863" s="50"/>
      <c r="F1863" s="50"/>
      <c r="G1863" s="50"/>
      <c r="H1863" s="9"/>
      <c r="I1863" s="9"/>
      <c r="CS1863" s="37"/>
      <c r="CT1863" s="37"/>
      <c r="CU1863" s="37"/>
      <c r="CV1863" s="37"/>
      <c r="CW1863" s="37"/>
      <c r="CX1863" s="37"/>
      <c r="CY1863" s="37"/>
    </row>
    <row r="1864" spans="2:103" s="10" customFormat="1" x14ac:dyDescent="0.4">
      <c r="B1864" s="44"/>
      <c r="C1864" s="43"/>
      <c r="D1864" s="50"/>
      <c r="E1864" s="50"/>
      <c r="F1864" s="50"/>
      <c r="G1864" s="50"/>
      <c r="H1864" s="9"/>
      <c r="I1864" s="9"/>
      <c r="CS1864" s="37"/>
      <c r="CT1864" s="37"/>
      <c r="CU1864" s="37"/>
      <c r="CV1864" s="37"/>
      <c r="CW1864" s="37"/>
      <c r="CX1864" s="37"/>
      <c r="CY1864" s="37"/>
    </row>
    <row r="1865" spans="2:103" s="10" customFormat="1" x14ac:dyDescent="0.4">
      <c r="B1865" s="44"/>
      <c r="C1865" s="43"/>
      <c r="D1865" s="50"/>
      <c r="E1865" s="50"/>
      <c r="F1865" s="50"/>
      <c r="G1865" s="50"/>
      <c r="H1865" s="9"/>
      <c r="I1865" s="9"/>
      <c r="CS1865" s="37"/>
      <c r="CT1865" s="37"/>
      <c r="CU1865" s="37"/>
      <c r="CV1865" s="37"/>
      <c r="CW1865" s="37"/>
      <c r="CX1865" s="37"/>
      <c r="CY1865" s="37"/>
    </row>
    <row r="1866" spans="2:103" s="10" customFormat="1" x14ac:dyDescent="0.4">
      <c r="B1866" s="44"/>
      <c r="C1866" s="43"/>
      <c r="D1866" s="50"/>
      <c r="E1866" s="50"/>
      <c r="F1866" s="50"/>
      <c r="G1866" s="50"/>
      <c r="H1866" s="9"/>
      <c r="I1866" s="9"/>
      <c r="CS1866" s="37"/>
      <c r="CT1866" s="37"/>
      <c r="CU1866" s="37"/>
      <c r="CV1866" s="37"/>
      <c r="CW1866" s="37"/>
      <c r="CX1866" s="37"/>
      <c r="CY1866" s="37"/>
    </row>
    <row r="1867" spans="2:103" s="10" customFormat="1" x14ac:dyDescent="0.4">
      <c r="B1867" s="44"/>
      <c r="C1867" s="43"/>
      <c r="D1867" s="50"/>
      <c r="E1867" s="50"/>
      <c r="F1867" s="50"/>
      <c r="G1867" s="50"/>
      <c r="H1867" s="9"/>
      <c r="I1867" s="9"/>
      <c r="CS1867" s="37"/>
      <c r="CT1867" s="37"/>
      <c r="CU1867" s="37"/>
      <c r="CV1867" s="37"/>
      <c r="CW1867" s="37"/>
      <c r="CX1867" s="37"/>
      <c r="CY1867" s="37"/>
    </row>
    <row r="1868" spans="2:103" s="10" customFormat="1" x14ac:dyDescent="0.4">
      <c r="B1868" s="44"/>
      <c r="C1868" s="43"/>
      <c r="D1868" s="50"/>
      <c r="E1868" s="50"/>
      <c r="F1868" s="50"/>
      <c r="G1868" s="50"/>
      <c r="H1868" s="9"/>
      <c r="I1868" s="9"/>
      <c r="CS1868" s="37"/>
      <c r="CT1868" s="37"/>
      <c r="CU1868" s="37"/>
      <c r="CV1868" s="37"/>
      <c r="CW1868" s="37"/>
      <c r="CX1868" s="37"/>
      <c r="CY1868" s="37"/>
    </row>
    <row r="1869" spans="2:103" s="10" customFormat="1" x14ac:dyDescent="0.4">
      <c r="B1869" s="44"/>
      <c r="C1869" s="43"/>
      <c r="D1869" s="50"/>
      <c r="E1869" s="50"/>
      <c r="F1869" s="50"/>
      <c r="G1869" s="50"/>
      <c r="H1869" s="9"/>
      <c r="I1869" s="9"/>
      <c r="CS1869" s="37"/>
      <c r="CT1869" s="37"/>
      <c r="CU1869" s="37"/>
      <c r="CV1869" s="37"/>
      <c r="CW1869" s="37"/>
      <c r="CX1869" s="37"/>
      <c r="CY1869" s="37"/>
    </row>
    <row r="1870" spans="2:103" s="10" customFormat="1" x14ac:dyDescent="0.4">
      <c r="B1870" s="44"/>
      <c r="C1870" s="43"/>
      <c r="D1870" s="50"/>
      <c r="E1870" s="50"/>
      <c r="F1870" s="50"/>
      <c r="G1870" s="50"/>
      <c r="H1870" s="9"/>
      <c r="I1870" s="9"/>
      <c r="CS1870" s="37"/>
      <c r="CT1870" s="37"/>
      <c r="CU1870" s="37"/>
      <c r="CV1870" s="37"/>
      <c r="CW1870" s="37"/>
      <c r="CX1870" s="37"/>
      <c r="CY1870" s="37"/>
    </row>
    <row r="1871" spans="2:103" s="10" customFormat="1" x14ac:dyDescent="0.4">
      <c r="B1871" s="44"/>
      <c r="C1871" s="43"/>
      <c r="D1871" s="50"/>
      <c r="E1871" s="50"/>
      <c r="F1871" s="50"/>
      <c r="G1871" s="50"/>
      <c r="H1871" s="9"/>
      <c r="I1871" s="9"/>
      <c r="CS1871" s="37"/>
      <c r="CT1871" s="37"/>
      <c r="CU1871" s="37"/>
      <c r="CV1871" s="37"/>
      <c r="CW1871" s="37"/>
      <c r="CX1871" s="37"/>
      <c r="CY1871" s="37"/>
    </row>
    <row r="1872" spans="2:103" s="10" customFormat="1" x14ac:dyDescent="0.4">
      <c r="B1872" s="44"/>
      <c r="C1872" s="43"/>
      <c r="D1872" s="50"/>
      <c r="E1872" s="50"/>
      <c r="F1872" s="50"/>
      <c r="G1872" s="50"/>
      <c r="H1872" s="9"/>
      <c r="I1872" s="9"/>
      <c r="CS1872" s="37"/>
      <c r="CT1872" s="37"/>
      <c r="CU1872" s="37"/>
      <c r="CV1872" s="37"/>
      <c r="CW1872" s="37"/>
      <c r="CX1872" s="37"/>
      <c r="CY1872" s="37"/>
    </row>
    <row r="1873" spans="2:103" s="10" customFormat="1" x14ac:dyDescent="0.4">
      <c r="B1873" s="44"/>
      <c r="C1873" s="43"/>
      <c r="D1873" s="50"/>
      <c r="E1873" s="50"/>
      <c r="F1873" s="50"/>
      <c r="G1873" s="50"/>
      <c r="H1873" s="9"/>
      <c r="I1873" s="9"/>
      <c r="CS1873" s="37"/>
      <c r="CT1873" s="37"/>
      <c r="CU1873" s="37"/>
      <c r="CV1873" s="37"/>
      <c r="CW1873" s="37"/>
      <c r="CX1873" s="37"/>
      <c r="CY1873" s="37"/>
    </row>
    <row r="1874" spans="2:103" s="10" customFormat="1" x14ac:dyDescent="0.4">
      <c r="B1874" s="44"/>
      <c r="C1874" s="43"/>
      <c r="D1874" s="50"/>
      <c r="E1874" s="50"/>
      <c r="F1874" s="50"/>
      <c r="G1874" s="50"/>
      <c r="H1874" s="9"/>
      <c r="I1874" s="9"/>
      <c r="CS1874" s="37"/>
      <c r="CT1874" s="37"/>
      <c r="CU1874" s="37"/>
      <c r="CV1874" s="37"/>
      <c r="CW1874" s="37"/>
      <c r="CX1874" s="37"/>
      <c r="CY1874" s="37"/>
    </row>
    <row r="1875" spans="2:103" s="10" customFormat="1" x14ac:dyDescent="0.4">
      <c r="B1875" s="44"/>
      <c r="C1875" s="43"/>
      <c r="D1875" s="50"/>
      <c r="E1875" s="50"/>
      <c r="F1875" s="50"/>
      <c r="G1875" s="50"/>
      <c r="H1875" s="9"/>
      <c r="I1875" s="9"/>
      <c r="CS1875" s="37"/>
      <c r="CT1875" s="37"/>
      <c r="CU1875" s="37"/>
      <c r="CV1875" s="37"/>
      <c r="CW1875" s="37"/>
      <c r="CX1875" s="37"/>
      <c r="CY1875" s="37"/>
    </row>
    <row r="1876" spans="2:103" s="10" customFormat="1" x14ac:dyDescent="0.4">
      <c r="B1876" s="44"/>
      <c r="C1876" s="43"/>
      <c r="D1876" s="50"/>
      <c r="E1876" s="50"/>
      <c r="F1876" s="50"/>
      <c r="G1876" s="50"/>
      <c r="H1876" s="9"/>
      <c r="I1876" s="9"/>
      <c r="CS1876" s="37"/>
      <c r="CT1876" s="37"/>
      <c r="CU1876" s="37"/>
      <c r="CV1876" s="37"/>
      <c r="CW1876" s="37"/>
      <c r="CX1876" s="37"/>
      <c r="CY1876" s="37"/>
    </row>
    <row r="1877" spans="2:103" s="10" customFormat="1" x14ac:dyDescent="0.4">
      <c r="B1877" s="44"/>
      <c r="C1877" s="43"/>
      <c r="D1877" s="50"/>
      <c r="E1877" s="50"/>
      <c r="F1877" s="50"/>
      <c r="G1877" s="50"/>
      <c r="H1877" s="9"/>
      <c r="I1877" s="9"/>
      <c r="CS1877" s="37"/>
      <c r="CT1877" s="37"/>
      <c r="CU1877" s="37"/>
      <c r="CV1877" s="37"/>
      <c r="CW1877" s="37"/>
      <c r="CX1877" s="37"/>
      <c r="CY1877" s="37"/>
    </row>
    <row r="1878" spans="2:103" s="10" customFormat="1" x14ac:dyDescent="0.4">
      <c r="B1878" s="44"/>
      <c r="C1878" s="43"/>
      <c r="D1878" s="50"/>
      <c r="E1878" s="50"/>
      <c r="F1878" s="50"/>
      <c r="G1878" s="50"/>
      <c r="H1878" s="9"/>
      <c r="I1878" s="9"/>
      <c r="CS1878" s="37"/>
      <c r="CT1878" s="37"/>
      <c r="CU1878" s="37"/>
      <c r="CV1878" s="37"/>
      <c r="CW1878" s="37"/>
      <c r="CX1878" s="37"/>
      <c r="CY1878" s="37"/>
    </row>
    <row r="1879" spans="2:103" s="10" customFormat="1" x14ac:dyDescent="0.4">
      <c r="B1879" s="44"/>
      <c r="C1879" s="43"/>
      <c r="D1879" s="50"/>
      <c r="E1879" s="50"/>
      <c r="F1879" s="50"/>
      <c r="G1879" s="50"/>
      <c r="H1879" s="9"/>
      <c r="I1879" s="9"/>
      <c r="CS1879" s="37"/>
      <c r="CT1879" s="37"/>
      <c r="CU1879" s="37"/>
      <c r="CV1879" s="37"/>
      <c r="CW1879" s="37"/>
      <c r="CX1879" s="37"/>
      <c r="CY1879" s="37"/>
    </row>
    <row r="1880" spans="2:103" s="10" customFormat="1" x14ac:dyDescent="0.4">
      <c r="B1880" s="44"/>
      <c r="C1880" s="43"/>
      <c r="D1880" s="50"/>
      <c r="E1880" s="50"/>
      <c r="F1880" s="50"/>
      <c r="G1880" s="50"/>
      <c r="H1880" s="9"/>
      <c r="I1880" s="9"/>
      <c r="CS1880" s="37"/>
      <c r="CT1880" s="37"/>
      <c r="CU1880" s="37"/>
      <c r="CV1880" s="37"/>
      <c r="CW1880" s="37"/>
      <c r="CX1880" s="37"/>
      <c r="CY1880" s="37"/>
    </row>
    <row r="1881" spans="2:103" s="10" customFormat="1" x14ac:dyDescent="0.4">
      <c r="B1881" s="44"/>
      <c r="C1881" s="43"/>
      <c r="D1881" s="50"/>
      <c r="E1881" s="50"/>
      <c r="F1881" s="50"/>
      <c r="G1881" s="50"/>
      <c r="H1881" s="9"/>
      <c r="I1881" s="9"/>
      <c r="CS1881" s="37"/>
      <c r="CT1881" s="37"/>
      <c r="CU1881" s="37"/>
      <c r="CV1881" s="37"/>
      <c r="CW1881" s="37"/>
      <c r="CX1881" s="37"/>
      <c r="CY1881" s="37"/>
    </row>
    <row r="1882" spans="2:103" s="10" customFormat="1" x14ac:dyDescent="0.4">
      <c r="B1882" s="44"/>
      <c r="C1882" s="43"/>
      <c r="D1882" s="50"/>
      <c r="E1882" s="50"/>
      <c r="F1882" s="50"/>
      <c r="G1882" s="50"/>
      <c r="H1882" s="9"/>
      <c r="I1882" s="9"/>
      <c r="CS1882" s="37"/>
      <c r="CT1882" s="37"/>
      <c r="CU1882" s="37"/>
      <c r="CV1882" s="37"/>
      <c r="CW1882" s="37"/>
      <c r="CX1882" s="37"/>
      <c r="CY1882" s="37"/>
    </row>
    <row r="1883" spans="2:103" s="10" customFormat="1" x14ac:dyDescent="0.4">
      <c r="B1883" s="44"/>
      <c r="C1883" s="43"/>
      <c r="D1883" s="50"/>
      <c r="E1883" s="50"/>
      <c r="F1883" s="50"/>
      <c r="G1883" s="50"/>
      <c r="H1883" s="9"/>
      <c r="I1883" s="9"/>
      <c r="CS1883" s="37"/>
      <c r="CT1883" s="37"/>
      <c r="CU1883" s="37"/>
      <c r="CV1883" s="37"/>
      <c r="CW1883" s="37"/>
      <c r="CX1883" s="37"/>
      <c r="CY1883" s="37"/>
    </row>
    <row r="1884" spans="2:103" s="10" customFormat="1" x14ac:dyDescent="0.4">
      <c r="B1884" s="44"/>
      <c r="C1884" s="43"/>
      <c r="D1884" s="50"/>
      <c r="E1884" s="50"/>
      <c r="F1884" s="50"/>
      <c r="G1884" s="50"/>
      <c r="H1884" s="9"/>
      <c r="I1884" s="9"/>
      <c r="CS1884" s="37"/>
      <c r="CT1884" s="37"/>
      <c r="CU1884" s="37"/>
      <c r="CV1884" s="37"/>
      <c r="CW1884" s="37"/>
      <c r="CX1884" s="37"/>
      <c r="CY1884" s="37"/>
    </row>
    <row r="1885" spans="2:103" s="10" customFormat="1" x14ac:dyDescent="0.4">
      <c r="B1885" s="44"/>
      <c r="C1885" s="43"/>
      <c r="D1885" s="50"/>
      <c r="E1885" s="50"/>
      <c r="F1885" s="50"/>
      <c r="G1885" s="50"/>
      <c r="H1885" s="9"/>
      <c r="I1885" s="9"/>
      <c r="CS1885" s="37"/>
      <c r="CT1885" s="37"/>
      <c r="CU1885" s="37"/>
      <c r="CV1885" s="37"/>
      <c r="CW1885" s="37"/>
      <c r="CX1885" s="37"/>
      <c r="CY1885" s="37"/>
    </row>
    <row r="1886" spans="2:103" s="10" customFormat="1" x14ac:dyDescent="0.4">
      <c r="B1886" s="44"/>
      <c r="C1886" s="43"/>
      <c r="D1886" s="50"/>
      <c r="E1886" s="50"/>
      <c r="F1886" s="50"/>
      <c r="G1886" s="50"/>
      <c r="H1886" s="9"/>
      <c r="I1886" s="9"/>
      <c r="CS1886" s="37"/>
      <c r="CT1886" s="37"/>
      <c r="CU1886" s="37"/>
      <c r="CV1886" s="37"/>
      <c r="CW1886" s="37"/>
      <c r="CX1886" s="37"/>
      <c r="CY1886" s="37"/>
    </row>
    <row r="1887" spans="2:103" s="10" customFormat="1" x14ac:dyDescent="0.4">
      <c r="B1887" s="44"/>
      <c r="C1887" s="43"/>
      <c r="D1887" s="50"/>
      <c r="E1887" s="50"/>
      <c r="F1887" s="50"/>
      <c r="G1887" s="50"/>
      <c r="H1887" s="9"/>
      <c r="I1887" s="9"/>
      <c r="CS1887" s="37"/>
      <c r="CT1887" s="37"/>
      <c r="CU1887" s="37"/>
      <c r="CV1887" s="37"/>
      <c r="CW1887" s="37"/>
      <c r="CX1887" s="37"/>
      <c r="CY1887" s="37"/>
    </row>
    <row r="1888" spans="2:103" s="10" customFormat="1" x14ac:dyDescent="0.4">
      <c r="B1888" s="44"/>
      <c r="C1888" s="43"/>
      <c r="D1888" s="50"/>
      <c r="E1888" s="50"/>
      <c r="F1888" s="50"/>
      <c r="G1888" s="50"/>
      <c r="H1888" s="9"/>
      <c r="I1888" s="9"/>
      <c r="CS1888" s="37"/>
      <c r="CT1888" s="37"/>
      <c r="CU1888" s="37"/>
      <c r="CV1888" s="37"/>
      <c r="CW1888" s="37"/>
      <c r="CX1888" s="37"/>
      <c r="CY1888" s="37"/>
    </row>
    <row r="1889" spans="2:103" s="10" customFormat="1" x14ac:dyDescent="0.4">
      <c r="B1889" s="44"/>
      <c r="C1889" s="43"/>
      <c r="D1889" s="50"/>
      <c r="E1889" s="50"/>
      <c r="F1889" s="50"/>
      <c r="G1889" s="50"/>
      <c r="H1889" s="9"/>
      <c r="I1889" s="9"/>
      <c r="CS1889" s="37"/>
      <c r="CT1889" s="37"/>
      <c r="CU1889" s="37"/>
      <c r="CV1889" s="37"/>
      <c r="CW1889" s="37"/>
      <c r="CX1889" s="37"/>
      <c r="CY1889" s="37"/>
    </row>
    <row r="1890" spans="2:103" s="10" customFormat="1" x14ac:dyDescent="0.4">
      <c r="B1890" s="44"/>
      <c r="C1890" s="43"/>
      <c r="D1890" s="50"/>
      <c r="E1890" s="50"/>
      <c r="F1890" s="50"/>
      <c r="G1890" s="50"/>
      <c r="H1890" s="9"/>
      <c r="I1890" s="9"/>
      <c r="CS1890" s="37"/>
      <c r="CT1890" s="37"/>
      <c r="CU1890" s="37"/>
      <c r="CV1890" s="37"/>
      <c r="CW1890" s="37"/>
      <c r="CX1890" s="37"/>
      <c r="CY1890" s="37"/>
    </row>
    <row r="1891" spans="2:103" s="10" customFormat="1" x14ac:dyDescent="0.4">
      <c r="B1891" s="44"/>
      <c r="C1891" s="43"/>
      <c r="D1891" s="50"/>
      <c r="E1891" s="50"/>
      <c r="F1891" s="50"/>
      <c r="G1891" s="50"/>
      <c r="H1891" s="9"/>
      <c r="I1891" s="9"/>
      <c r="CS1891" s="37"/>
      <c r="CT1891" s="37"/>
      <c r="CU1891" s="37"/>
      <c r="CV1891" s="37"/>
      <c r="CW1891" s="37"/>
      <c r="CX1891" s="37"/>
      <c r="CY1891" s="37"/>
    </row>
    <row r="1892" spans="2:103" s="10" customFormat="1" x14ac:dyDescent="0.4">
      <c r="B1892" s="44"/>
      <c r="C1892" s="43"/>
      <c r="D1892" s="50"/>
      <c r="E1892" s="50"/>
      <c r="F1892" s="50"/>
      <c r="G1892" s="50"/>
      <c r="H1892" s="9"/>
      <c r="I1892" s="9"/>
      <c r="CS1892" s="37"/>
      <c r="CT1892" s="37"/>
      <c r="CU1892" s="37"/>
      <c r="CV1892" s="37"/>
      <c r="CW1892" s="37"/>
      <c r="CX1892" s="37"/>
      <c r="CY1892" s="37"/>
    </row>
    <row r="1893" spans="2:103" s="10" customFormat="1" x14ac:dyDescent="0.4">
      <c r="B1893" s="44"/>
      <c r="C1893" s="43"/>
      <c r="D1893" s="50"/>
      <c r="E1893" s="50"/>
      <c r="F1893" s="50"/>
      <c r="G1893" s="50"/>
      <c r="H1893" s="9"/>
      <c r="I1893" s="9"/>
      <c r="CS1893" s="37"/>
      <c r="CT1893" s="37"/>
      <c r="CU1893" s="37"/>
      <c r="CV1893" s="37"/>
      <c r="CW1893" s="37"/>
      <c r="CX1893" s="37"/>
      <c r="CY1893" s="37"/>
    </row>
    <row r="1894" spans="2:103" s="10" customFormat="1" x14ac:dyDescent="0.4">
      <c r="B1894" s="44"/>
      <c r="C1894" s="43"/>
      <c r="D1894" s="50"/>
      <c r="E1894" s="50"/>
      <c r="F1894" s="50"/>
      <c r="G1894" s="50"/>
      <c r="H1894" s="9"/>
      <c r="I1894" s="9"/>
      <c r="CS1894" s="37"/>
      <c r="CT1894" s="37"/>
      <c r="CU1894" s="37"/>
      <c r="CV1894" s="37"/>
      <c r="CW1894" s="37"/>
      <c r="CX1894" s="37"/>
      <c r="CY1894" s="37"/>
    </row>
    <row r="1895" spans="2:103" s="10" customFormat="1" x14ac:dyDescent="0.4">
      <c r="B1895" s="44"/>
      <c r="C1895" s="43"/>
      <c r="D1895" s="50"/>
      <c r="E1895" s="50"/>
      <c r="F1895" s="50"/>
      <c r="G1895" s="50"/>
      <c r="H1895" s="9"/>
      <c r="I1895" s="9"/>
      <c r="CS1895" s="37"/>
      <c r="CT1895" s="37"/>
      <c r="CU1895" s="37"/>
      <c r="CV1895" s="37"/>
      <c r="CW1895" s="37"/>
      <c r="CX1895" s="37"/>
      <c r="CY1895" s="37"/>
    </row>
    <row r="1896" spans="2:103" s="10" customFormat="1" x14ac:dyDescent="0.4">
      <c r="B1896" s="44"/>
      <c r="C1896" s="43"/>
      <c r="D1896" s="50"/>
      <c r="E1896" s="50"/>
      <c r="F1896" s="50"/>
      <c r="G1896" s="50"/>
      <c r="H1896" s="9"/>
      <c r="I1896" s="9"/>
      <c r="CS1896" s="37"/>
      <c r="CT1896" s="37"/>
      <c r="CU1896" s="37"/>
      <c r="CV1896" s="37"/>
      <c r="CW1896" s="37"/>
      <c r="CX1896" s="37"/>
      <c r="CY1896" s="37"/>
    </row>
    <row r="1897" spans="2:103" s="10" customFormat="1" x14ac:dyDescent="0.4">
      <c r="B1897" s="44"/>
      <c r="C1897" s="43"/>
      <c r="D1897" s="50"/>
      <c r="E1897" s="50"/>
      <c r="F1897" s="50"/>
      <c r="G1897" s="50"/>
      <c r="H1897" s="9"/>
      <c r="I1897" s="9"/>
      <c r="CS1897" s="37"/>
      <c r="CT1897" s="37"/>
      <c r="CU1897" s="37"/>
      <c r="CV1897" s="37"/>
      <c r="CW1897" s="37"/>
      <c r="CX1897" s="37"/>
      <c r="CY1897" s="37"/>
    </row>
    <row r="1898" spans="2:103" s="10" customFormat="1" x14ac:dyDescent="0.4">
      <c r="B1898" s="44"/>
      <c r="C1898" s="43"/>
      <c r="D1898" s="50"/>
      <c r="E1898" s="50"/>
      <c r="F1898" s="50"/>
      <c r="G1898" s="50"/>
      <c r="H1898" s="9"/>
      <c r="I1898" s="9"/>
      <c r="CS1898" s="37"/>
      <c r="CT1898" s="37"/>
      <c r="CU1898" s="37"/>
      <c r="CV1898" s="37"/>
      <c r="CW1898" s="37"/>
      <c r="CX1898" s="37"/>
      <c r="CY1898" s="37"/>
    </row>
    <row r="1899" spans="2:103" s="10" customFormat="1" x14ac:dyDescent="0.4">
      <c r="B1899" s="44"/>
      <c r="C1899" s="43"/>
      <c r="D1899" s="50"/>
      <c r="E1899" s="50"/>
      <c r="F1899" s="50"/>
      <c r="G1899" s="50"/>
      <c r="H1899" s="9"/>
      <c r="I1899" s="9"/>
      <c r="CS1899" s="37"/>
      <c r="CT1899" s="37"/>
      <c r="CU1899" s="37"/>
      <c r="CV1899" s="37"/>
      <c r="CW1899" s="37"/>
      <c r="CX1899" s="37"/>
      <c r="CY1899" s="37"/>
    </row>
    <row r="1900" spans="2:103" s="10" customFormat="1" x14ac:dyDescent="0.4">
      <c r="B1900" s="44"/>
      <c r="C1900" s="43"/>
      <c r="D1900" s="50"/>
      <c r="E1900" s="50"/>
      <c r="F1900" s="50"/>
      <c r="G1900" s="50"/>
      <c r="H1900" s="9"/>
      <c r="I1900" s="9"/>
      <c r="CS1900" s="37"/>
      <c r="CT1900" s="37"/>
      <c r="CU1900" s="37"/>
      <c r="CV1900" s="37"/>
      <c r="CW1900" s="37"/>
      <c r="CX1900" s="37"/>
      <c r="CY1900" s="37"/>
    </row>
    <row r="1901" spans="2:103" s="10" customFormat="1" x14ac:dyDescent="0.4">
      <c r="B1901" s="44"/>
      <c r="C1901" s="43"/>
      <c r="D1901" s="50"/>
      <c r="E1901" s="50"/>
      <c r="F1901" s="50"/>
      <c r="G1901" s="50"/>
      <c r="H1901" s="9"/>
      <c r="I1901" s="9"/>
      <c r="CS1901" s="37"/>
      <c r="CT1901" s="37"/>
      <c r="CU1901" s="37"/>
      <c r="CV1901" s="37"/>
      <c r="CW1901" s="37"/>
      <c r="CX1901" s="37"/>
      <c r="CY1901" s="37"/>
    </row>
    <row r="1902" spans="2:103" s="10" customFormat="1" x14ac:dyDescent="0.4">
      <c r="B1902" s="44"/>
      <c r="C1902" s="43"/>
      <c r="D1902" s="50"/>
      <c r="E1902" s="50"/>
      <c r="F1902" s="50"/>
      <c r="G1902" s="50"/>
      <c r="H1902" s="9"/>
      <c r="I1902" s="9"/>
      <c r="CS1902" s="37"/>
      <c r="CT1902" s="37"/>
      <c r="CU1902" s="37"/>
      <c r="CV1902" s="37"/>
      <c r="CW1902" s="37"/>
      <c r="CX1902" s="37"/>
      <c r="CY1902" s="37"/>
    </row>
    <row r="1903" spans="2:103" s="10" customFormat="1" x14ac:dyDescent="0.4">
      <c r="B1903" s="44"/>
      <c r="C1903" s="43"/>
      <c r="D1903" s="50"/>
      <c r="E1903" s="50"/>
      <c r="F1903" s="50"/>
      <c r="G1903" s="50"/>
      <c r="H1903" s="9"/>
      <c r="I1903" s="9"/>
      <c r="CS1903" s="37"/>
      <c r="CT1903" s="37"/>
      <c r="CU1903" s="37"/>
      <c r="CV1903" s="37"/>
      <c r="CW1903" s="37"/>
      <c r="CX1903" s="37"/>
      <c r="CY1903" s="37"/>
    </row>
    <row r="1904" spans="2:103" s="10" customFormat="1" x14ac:dyDescent="0.4">
      <c r="B1904" s="44"/>
      <c r="C1904" s="43"/>
      <c r="D1904" s="50"/>
      <c r="E1904" s="50"/>
      <c r="F1904" s="50"/>
      <c r="G1904" s="50"/>
      <c r="H1904" s="9"/>
      <c r="I1904" s="9"/>
      <c r="CS1904" s="37"/>
      <c r="CT1904" s="37"/>
      <c r="CU1904" s="37"/>
      <c r="CV1904" s="37"/>
      <c r="CW1904" s="37"/>
      <c r="CX1904" s="37"/>
      <c r="CY1904" s="37"/>
    </row>
    <row r="1905" spans="2:103" s="10" customFormat="1" x14ac:dyDescent="0.4">
      <c r="B1905" s="44"/>
      <c r="C1905" s="43"/>
      <c r="D1905" s="50"/>
      <c r="E1905" s="50"/>
      <c r="F1905" s="50"/>
      <c r="G1905" s="50"/>
      <c r="H1905" s="9"/>
      <c r="I1905" s="9"/>
      <c r="CS1905" s="37"/>
      <c r="CT1905" s="37"/>
      <c r="CU1905" s="37"/>
      <c r="CV1905" s="37"/>
      <c r="CW1905" s="37"/>
      <c r="CX1905" s="37"/>
      <c r="CY1905" s="37"/>
    </row>
    <row r="1906" spans="2:103" s="10" customFormat="1" x14ac:dyDescent="0.4">
      <c r="B1906" s="44"/>
      <c r="C1906" s="43"/>
      <c r="D1906" s="50"/>
      <c r="E1906" s="50"/>
      <c r="F1906" s="50"/>
      <c r="G1906" s="50"/>
      <c r="H1906" s="9"/>
      <c r="I1906" s="9"/>
      <c r="CS1906" s="37"/>
      <c r="CT1906" s="37"/>
      <c r="CU1906" s="37"/>
      <c r="CV1906" s="37"/>
      <c r="CW1906" s="37"/>
      <c r="CX1906" s="37"/>
      <c r="CY1906" s="37"/>
    </row>
    <row r="1907" spans="2:103" s="10" customFormat="1" x14ac:dyDescent="0.4">
      <c r="B1907" s="44"/>
      <c r="C1907" s="43"/>
      <c r="D1907" s="50"/>
      <c r="E1907" s="50"/>
      <c r="F1907" s="50"/>
      <c r="G1907" s="50"/>
      <c r="H1907" s="9"/>
      <c r="I1907" s="9"/>
      <c r="CS1907" s="37"/>
      <c r="CT1907" s="37"/>
      <c r="CU1907" s="37"/>
      <c r="CV1907" s="37"/>
      <c r="CW1907" s="37"/>
      <c r="CX1907" s="37"/>
      <c r="CY1907" s="37"/>
    </row>
    <row r="1908" spans="2:103" s="10" customFormat="1" x14ac:dyDescent="0.4">
      <c r="B1908" s="44"/>
      <c r="C1908" s="43"/>
      <c r="D1908" s="50"/>
      <c r="E1908" s="50"/>
      <c r="F1908" s="50"/>
      <c r="G1908" s="50"/>
      <c r="H1908" s="9"/>
      <c r="I1908" s="9"/>
      <c r="CS1908" s="37"/>
      <c r="CT1908" s="37"/>
      <c r="CU1908" s="37"/>
      <c r="CV1908" s="37"/>
      <c r="CW1908" s="37"/>
      <c r="CX1908" s="37"/>
      <c r="CY1908" s="37"/>
    </row>
    <row r="1909" spans="2:103" s="10" customFormat="1" x14ac:dyDescent="0.4">
      <c r="B1909" s="44"/>
      <c r="C1909" s="43"/>
      <c r="D1909" s="50"/>
      <c r="E1909" s="50"/>
      <c r="F1909" s="50"/>
      <c r="G1909" s="50"/>
      <c r="H1909" s="9"/>
      <c r="I1909" s="9"/>
      <c r="CS1909" s="37"/>
      <c r="CT1909" s="37"/>
      <c r="CU1909" s="37"/>
      <c r="CV1909" s="37"/>
      <c r="CW1909" s="37"/>
      <c r="CX1909" s="37"/>
      <c r="CY1909" s="37"/>
    </row>
    <row r="1910" spans="2:103" s="10" customFormat="1" x14ac:dyDescent="0.4">
      <c r="B1910" s="44"/>
      <c r="C1910" s="43"/>
      <c r="D1910" s="50"/>
      <c r="E1910" s="50"/>
      <c r="F1910" s="50"/>
      <c r="G1910" s="50"/>
      <c r="H1910" s="9"/>
      <c r="I1910" s="9"/>
      <c r="CS1910" s="37"/>
      <c r="CT1910" s="37"/>
      <c r="CU1910" s="37"/>
      <c r="CV1910" s="37"/>
      <c r="CW1910" s="37"/>
      <c r="CX1910" s="37"/>
      <c r="CY1910" s="37"/>
    </row>
    <row r="1911" spans="2:103" s="10" customFormat="1" x14ac:dyDescent="0.4">
      <c r="B1911" s="44"/>
      <c r="C1911" s="43"/>
      <c r="D1911" s="50"/>
      <c r="E1911" s="50"/>
      <c r="F1911" s="50"/>
      <c r="G1911" s="50"/>
      <c r="H1911" s="9"/>
      <c r="I1911" s="9"/>
      <c r="CS1911" s="37"/>
      <c r="CT1911" s="37"/>
      <c r="CU1911" s="37"/>
      <c r="CV1911" s="37"/>
      <c r="CW1911" s="37"/>
      <c r="CX1911" s="37"/>
      <c r="CY1911" s="37"/>
    </row>
    <row r="1912" spans="2:103" s="10" customFormat="1" x14ac:dyDescent="0.4">
      <c r="B1912" s="44"/>
      <c r="C1912" s="43"/>
      <c r="D1912" s="50"/>
      <c r="E1912" s="50"/>
      <c r="F1912" s="50"/>
      <c r="G1912" s="50"/>
      <c r="H1912" s="9"/>
      <c r="I1912" s="9"/>
      <c r="CS1912" s="37"/>
      <c r="CT1912" s="37"/>
      <c r="CU1912" s="37"/>
      <c r="CV1912" s="37"/>
      <c r="CW1912" s="37"/>
      <c r="CX1912" s="37"/>
      <c r="CY1912" s="37"/>
    </row>
    <row r="1913" spans="2:103" s="10" customFormat="1" x14ac:dyDescent="0.4">
      <c r="B1913" s="44"/>
      <c r="C1913" s="43"/>
      <c r="D1913" s="50"/>
      <c r="E1913" s="50"/>
      <c r="F1913" s="50"/>
      <c r="G1913" s="50"/>
      <c r="H1913" s="9"/>
      <c r="I1913" s="9"/>
      <c r="CS1913" s="37"/>
      <c r="CT1913" s="37"/>
      <c r="CU1913" s="37"/>
      <c r="CV1913" s="37"/>
      <c r="CW1913" s="37"/>
      <c r="CX1913" s="37"/>
      <c r="CY1913" s="37"/>
    </row>
    <row r="1914" spans="2:103" s="10" customFormat="1" x14ac:dyDescent="0.4">
      <c r="B1914" s="44"/>
      <c r="C1914" s="43"/>
      <c r="D1914" s="50"/>
      <c r="E1914" s="50"/>
      <c r="F1914" s="50"/>
      <c r="G1914" s="50"/>
      <c r="H1914" s="9"/>
      <c r="I1914" s="9"/>
      <c r="CS1914" s="37"/>
      <c r="CT1914" s="37"/>
      <c r="CU1914" s="37"/>
      <c r="CV1914" s="37"/>
      <c r="CW1914" s="37"/>
      <c r="CX1914" s="37"/>
      <c r="CY1914" s="37"/>
    </row>
    <row r="1915" spans="2:103" s="10" customFormat="1" x14ac:dyDescent="0.4">
      <c r="B1915" s="44"/>
      <c r="C1915" s="43"/>
      <c r="D1915" s="50"/>
      <c r="E1915" s="50"/>
      <c r="F1915" s="50"/>
      <c r="G1915" s="50"/>
      <c r="H1915" s="9"/>
      <c r="I1915" s="9"/>
      <c r="CS1915" s="37"/>
      <c r="CT1915" s="37"/>
      <c r="CU1915" s="37"/>
      <c r="CV1915" s="37"/>
      <c r="CW1915" s="37"/>
      <c r="CX1915" s="37"/>
      <c r="CY1915" s="37"/>
    </row>
    <row r="1916" spans="2:103" s="10" customFormat="1" x14ac:dyDescent="0.4">
      <c r="B1916" s="44"/>
      <c r="C1916" s="43"/>
      <c r="D1916" s="50"/>
      <c r="E1916" s="50"/>
      <c r="F1916" s="50"/>
      <c r="G1916" s="50"/>
      <c r="H1916" s="9"/>
      <c r="I1916" s="9"/>
      <c r="CS1916" s="37"/>
      <c r="CT1916" s="37"/>
      <c r="CU1916" s="37"/>
      <c r="CV1916" s="37"/>
      <c r="CW1916" s="37"/>
      <c r="CX1916" s="37"/>
      <c r="CY1916" s="37"/>
    </row>
    <row r="1917" spans="2:103" s="10" customFormat="1" x14ac:dyDescent="0.4">
      <c r="B1917" s="44"/>
      <c r="C1917" s="43"/>
      <c r="D1917" s="50"/>
      <c r="E1917" s="50"/>
      <c r="F1917" s="50"/>
      <c r="G1917" s="50"/>
      <c r="H1917" s="9"/>
      <c r="I1917" s="9"/>
      <c r="CS1917" s="37"/>
      <c r="CT1917" s="37"/>
      <c r="CU1917" s="37"/>
      <c r="CV1917" s="37"/>
      <c r="CW1917" s="37"/>
      <c r="CX1917" s="37"/>
      <c r="CY1917" s="37"/>
    </row>
    <row r="1918" spans="2:103" s="10" customFormat="1" x14ac:dyDescent="0.4">
      <c r="B1918" s="44"/>
      <c r="C1918" s="43"/>
      <c r="D1918" s="50"/>
      <c r="E1918" s="50"/>
      <c r="F1918" s="50"/>
      <c r="G1918" s="50"/>
      <c r="H1918" s="9"/>
      <c r="I1918" s="9"/>
      <c r="CS1918" s="37"/>
      <c r="CT1918" s="37"/>
      <c r="CU1918" s="37"/>
      <c r="CV1918" s="37"/>
      <c r="CW1918" s="37"/>
      <c r="CX1918" s="37"/>
      <c r="CY1918" s="37"/>
    </row>
    <row r="1919" spans="2:103" s="10" customFormat="1" x14ac:dyDescent="0.4">
      <c r="B1919" s="44"/>
      <c r="C1919" s="43"/>
      <c r="D1919" s="50"/>
      <c r="E1919" s="50"/>
      <c r="F1919" s="50"/>
      <c r="G1919" s="50"/>
      <c r="H1919" s="9"/>
      <c r="I1919" s="9"/>
      <c r="CS1919" s="37"/>
      <c r="CT1919" s="37"/>
      <c r="CU1919" s="37"/>
      <c r="CV1919" s="37"/>
      <c r="CW1919" s="37"/>
      <c r="CX1919" s="37"/>
      <c r="CY1919" s="37"/>
    </row>
    <row r="1920" spans="2:103" s="10" customFormat="1" x14ac:dyDescent="0.4">
      <c r="B1920" s="44"/>
      <c r="C1920" s="43"/>
      <c r="D1920" s="50"/>
      <c r="E1920" s="50"/>
      <c r="F1920" s="50"/>
      <c r="G1920" s="50"/>
      <c r="H1920" s="9"/>
      <c r="I1920" s="9"/>
      <c r="CS1920" s="37"/>
      <c r="CT1920" s="37"/>
      <c r="CU1920" s="37"/>
      <c r="CV1920" s="37"/>
      <c r="CW1920" s="37"/>
      <c r="CX1920" s="37"/>
      <c r="CY1920" s="37"/>
    </row>
    <row r="1921" spans="2:103" s="10" customFormat="1" x14ac:dyDescent="0.4">
      <c r="B1921" s="44"/>
      <c r="C1921" s="43"/>
      <c r="D1921" s="50"/>
      <c r="E1921" s="50"/>
      <c r="F1921" s="50"/>
      <c r="G1921" s="50"/>
      <c r="H1921" s="9"/>
      <c r="I1921" s="9"/>
      <c r="CS1921" s="37"/>
      <c r="CT1921" s="37"/>
      <c r="CU1921" s="37"/>
      <c r="CV1921" s="37"/>
      <c r="CW1921" s="37"/>
      <c r="CX1921" s="37"/>
      <c r="CY1921" s="37"/>
    </row>
    <row r="1922" spans="2:103" s="10" customFormat="1" x14ac:dyDescent="0.4">
      <c r="B1922" s="44"/>
      <c r="C1922" s="43"/>
      <c r="D1922" s="50"/>
      <c r="E1922" s="50"/>
      <c r="F1922" s="50"/>
      <c r="G1922" s="50"/>
      <c r="H1922" s="9"/>
      <c r="I1922" s="9"/>
      <c r="CS1922" s="37"/>
      <c r="CT1922" s="37"/>
      <c r="CU1922" s="37"/>
      <c r="CV1922" s="37"/>
      <c r="CW1922" s="37"/>
      <c r="CX1922" s="37"/>
      <c r="CY1922" s="37"/>
    </row>
    <row r="1923" spans="2:103" s="10" customFormat="1" x14ac:dyDescent="0.4">
      <c r="B1923" s="44"/>
      <c r="C1923" s="43"/>
      <c r="D1923" s="50"/>
      <c r="E1923" s="50"/>
      <c r="F1923" s="50"/>
      <c r="G1923" s="50"/>
      <c r="H1923" s="9"/>
      <c r="I1923" s="9"/>
      <c r="CS1923" s="37"/>
      <c r="CT1923" s="37"/>
      <c r="CU1923" s="37"/>
      <c r="CV1923" s="37"/>
      <c r="CW1923" s="37"/>
      <c r="CX1923" s="37"/>
      <c r="CY1923" s="37"/>
    </row>
    <row r="1924" spans="2:103" s="10" customFormat="1" x14ac:dyDescent="0.4">
      <c r="B1924" s="44"/>
      <c r="C1924" s="43"/>
      <c r="D1924" s="50"/>
      <c r="E1924" s="50"/>
      <c r="F1924" s="50"/>
      <c r="G1924" s="50"/>
      <c r="H1924" s="9"/>
      <c r="I1924" s="9"/>
      <c r="CS1924" s="37"/>
      <c r="CT1924" s="37"/>
      <c r="CU1924" s="37"/>
      <c r="CV1924" s="37"/>
      <c r="CW1924" s="37"/>
      <c r="CX1924" s="37"/>
      <c r="CY1924" s="37"/>
    </row>
    <row r="1925" spans="2:103" s="10" customFormat="1" x14ac:dyDescent="0.4">
      <c r="B1925" s="44"/>
      <c r="C1925" s="43"/>
      <c r="D1925" s="50"/>
      <c r="E1925" s="50"/>
      <c r="F1925" s="50"/>
      <c r="G1925" s="50"/>
      <c r="H1925" s="9"/>
      <c r="I1925" s="9"/>
      <c r="CS1925" s="37"/>
      <c r="CT1925" s="37"/>
      <c r="CU1925" s="37"/>
      <c r="CV1925" s="37"/>
      <c r="CW1925" s="37"/>
      <c r="CX1925" s="37"/>
      <c r="CY1925" s="37"/>
    </row>
    <row r="1926" spans="2:103" s="10" customFormat="1" x14ac:dyDescent="0.4">
      <c r="B1926" s="44"/>
      <c r="C1926" s="43"/>
      <c r="D1926" s="50"/>
      <c r="E1926" s="50"/>
      <c r="F1926" s="50"/>
      <c r="G1926" s="50"/>
      <c r="H1926" s="9"/>
      <c r="I1926" s="9"/>
      <c r="CS1926" s="37"/>
      <c r="CT1926" s="37"/>
      <c r="CU1926" s="37"/>
      <c r="CV1926" s="37"/>
      <c r="CW1926" s="37"/>
      <c r="CX1926" s="37"/>
      <c r="CY1926" s="37"/>
    </row>
    <row r="1927" spans="2:103" s="10" customFormat="1" x14ac:dyDescent="0.4">
      <c r="B1927" s="44"/>
      <c r="C1927" s="43"/>
      <c r="D1927" s="50"/>
      <c r="E1927" s="50"/>
      <c r="F1927" s="50"/>
      <c r="G1927" s="50"/>
      <c r="H1927" s="9"/>
      <c r="I1927" s="9"/>
      <c r="CS1927" s="37"/>
      <c r="CT1927" s="37"/>
      <c r="CU1927" s="37"/>
      <c r="CV1927" s="37"/>
      <c r="CW1927" s="37"/>
      <c r="CX1927" s="37"/>
      <c r="CY1927" s="37"/>
    </row>
    <row r="1928" spans="2:103" s="10" customFormat="1" x14ac:dyDescent="0.4">
      <c r="B1928" s="44"/>
      <c r="C1928" s="43"/>
      <c r="D1928" s="50"/>
      <c r="E1928" s="50"/>
      <c r="F1928" s="50"/>
      <c r="G1928" s="50"/>
      <c r="H1928" s="9"/>
      <c r="I1928" s="9"/>
      <c r="CS1928" s="37"/>
      <c r="CT1928" s="37"/>
      <c r="CU1928" s="37"/>
      <c r="CV1928" s="37"/>
      <c r="CW1928" s="37"/>
      <c r="CX1928" s="37"/>
      <c r="CY1928" s="37"/>
    </row>
    <row r="1929" spans="2:103" s="10" customFormat="1" x14ac:dyDescent="0.4">
      <c r="B1929" s="44"/>
      <c r="C1929" s="43"/>
      <c r="D1929" s="50"/>
      <c r="E1929" s="50"/>
      <c r="F1929" s="50"/>
      <c r="G1929" s="50"/>
      <c r="H1929" s="9"/>
      <c r="I1929" s="9"/>
      <c r="CS1929" s="37"/>
      <c r="CT1929" s="37"/>
      <c r="CU1929" s="37"/>
      <c r="CV1929" s="37"/>
      <c r="CW1929" s="37"/>
      <c r="CX1929" s="37"/>
      <c r="CY1929" s="37"/>
    </row>
    <row r="1930" spans="2:103" s="10" customFormat="1" x14ac:dyDescent="0.4">
      <c r="B1930" s="44"/>
      <c r="C1930" s="43"/>
      <c r="D1930" s="50"/>
      <c r="E1930" s="50"/>
      <c r="F1930" s="50"/>
      <c r="G1930" s="50"/>
      <c r="H1930" s="9"/>
      <c r="I1930" s="9"/>
      <c r="CS1930" s="37"/>
      <c r="CT1930" s="37"/>
      <c r="CU1930" s="37"/>
      <c r="CV1930" s="37"/>
      <c r="CW1930" s="37"/>
      <c r="CX1930" s="37"/>
      <c r="CY1930" s="37"/>
    </row>
    <row r="1931" spans="2:103" s="10" customFormat="1" x14ac:dyDescent="0.4">
      <c r="B1931" s="44"/>
      <c r="C1931" s="43"/>
      <c r="D1931" s="50"/>
      <c r="E1931" s="50"/>
      <c r="F1931" s="50"/>
      <c r="G1931" s="50"/>
      <c r="H1931" s="9"/>
      <c r="I1931" s="9"/>
      <c r="CS1931" s="37"/>
      <c r="CT1931" s="37"/>
      <c r="CU1931" s="37"/>
      <c r="CV1931" s="37"/>
      <c r="CW1931" s="37"/>
      <c r="CX1931" s="37"/>
      <c r="CY1931" s="37"/>
    </row>
    <row r="1932" spans="2:103" s="10" customFormat="1" x14ac:dyDescent="0.4">
      <c r="B1932" s="44"/>
      <c r="C1932" s="43"/>
      <c r="D1932" s="50"/>
      <c r="E1932" s="50"/>
      <c r="F1932" s="50"/>
      <c r="G1932" s="50"/>
      <c r="H1932" s="9"/>
      <c r="I1932" s="9"/>
      <c r="CS1932" s="37"/>
      <c r="CT1932" s="37"/>
      <c r="CU1932" s="37"/>
      <c r="CV1932" s="37"/>
      <c r="CW1932" s="37"/>
      <c r="CX1932" s="37"/>
      <c r="CY1932" s="37"/>
    </row>
    <row r="1933" spans="2:103" s="10" customFormat="1" x14ac:dyDescent="0.4">
      <c r="B1933" s="44"/>
      <c r="C1933" s="43"/>
      <c r="D1933" s="50"/>
      <c r="E1933" s="50"/>
      <c r="F1933" s="50"/>
      <c r="G1933" s="50"/>
      <c r="H1933" s="9"/>
      <c r="I1933" s="9"/>
      <c r="CS1933" s="37"/>
      <c r="CT1933" s="37"/>
      <c r="CU1933" s="37"/>
      <c r="CV1933" s="37"/>
      <c r="CW1933" s="37"/>
      <c r="CX1933" s="37"/>
      <c r="CY1933" s="37"/>
    </row>
    <row r="1934" spans="2:103" s="10" customFormat="1" x14ac:dyDescent="0.4">
      <c r="B1934" s="44"/>
      <c r="C1934" s="43"/>
      <c r="D1934" s="50"/>
      <c r="E1934" s="50"/>
      <c r="F1934" s="50"/>
      <c r="G1934" s="50"/>
      <c r="H1934" s="9"/>
      <c r="I1934" s="9"/>
      <c r="CS1934" s="37"/>
      <c r="CT1934" s="37"/>
      <c r="CU1934" s="37"/>
      <c r="CV1934" s="37"/>
      <c r="CW1934" s="37"/>
      <c r="CX1934" s="37"/>
      <c r="CY1934" s="37"/>
    </row>
    <row r="1935" spans="2:103" s="10" customFormat="1" x14ac:dyDescent="0.4">
      <c r="B1935" s="44"/>
      <c r="C1935" s="43"/>
      <c r="D1935" s="50"/>
      <c r="E1935" s="50"/>
      <c r="F1935" s="50"/>
      <c r="G1935" s="50"/>
      <c r="H1935" s="9"/>
      <c r="I1935" s="9"/>
      <c r="CS1935" s="37"/>
      <c r="CT1935" s="37"/>
      <c r="CU1935" s="37"/>
      <c r="CV1935" s="37"/>
      <c r="CW1935" s="37"/>
      <c r="CX1935" s="37"/>
      <c r="CY1935" s="37"/>
    </row>
    <row r="1936" spans="2:103" s="10" customFormat="1" x14ac:dyDescent="0.4">
      <c r="B1936" s="44"/>
      <c r="C1936" s="43"/>
      <c r="D1936" s="50"/>
      <c r="E1936" s="50"/>
      <c r="F1936" s="50"/>
      <c r="G1936" s="50"/>
      <c r="H1936" s="9"/>
      <c r="I1936" s="9"/>
      <c r="CS1936" s="37"/>
      <c r="CT1936" s="37"/>
      <c r="CU1936" s="37"/>
      <c r="CV1936" s="37"/>
      <c r="CW1936" s="37"/>
      <c r="CX1936" s="37"/>
      <c r="CY1936" s="37"/>
    </row>
    <row r="1937" spans="2:103" s="10" customFormat="1" x14ac:dyDescent="0.4">
      <c r="B1937" s="44"/>
      <c r="C1937" s="43"/>
      <c r="D1937" s="50"/>
      <c r="E1937" s="50"/>
      <c r="F1937" s="50"/>
      <c r="G1937" s="50"/>
      <c r="H1937" s="9"/>
      <c r="I1937" s="9"/>
      <c r="CS1937" s="37"/>
      <c r="CT1937" s="37"/>
      <c r="CU1937" s="37"/>
      <c r="CV1937" s="37"/>
      <c r="CW1937" s="37"/>
      <c r="CX1937" s="37"/>
      <c r="CY1937" s="37"/>
    </row>
    <row r="1938" spans="2:103" s="10" customFormat="1" x14ac:dyDescent="0.4">
      <c r="B1938" s="44"/>
      <c r="C1938" s="43"/>
      <c r="D1938" s="50"/>
      <c r="E1938" s="50"/>
      <c r="F1938" s="50"/>
      <c r="G1938" s="50"/>
      <c r="H1938" s="9"/>
      <c r="I1938" s="9"/>
      <c r="CS1938" s="37"/>
      <c r="CT1938" s="37"/>
      <c r="CU1938" s="37"/>
      <c r="CV1938" s="37"/>
      <c r="CW1938" s="37"/>
      <c r="CX1938" s="37"/>
      <c r="CY1938" s="37"/>
    </row>
    <row r="1939" spans="2:103" s="10" customFormat="1" x14ac:dyDescent="0.4">
      <c r="B1939" s="44"/>
      <c r="C1939" s="43"/>
      <c r="D1939" s="50"/>
      <c r="E1939" s="50"/>
      <c r="F1939" s="50"/>
      <c r="G1939" s="50"/>
      <c r="H1939" s="9"/>
      <c r="I1939" s="9"/>
      <c r="CS1939" s="37"/>
      <c r="CT1939" s="37"/>
      <c r="CU1939" s="37"/>
      <c r="CV1939" s="37"/>
      <c r="CW1939" s="37"/>
      <c r="CX1939" s="37"/>
      <c r="CY1939" s="37"/>
    </row>
    <row r="1940" spans="2:103" s="10" customFormat="1" x14ac:dyDescent="0.4">
      <c r="B1940" s="44"/>
      <c r="C1940" s="43"/>
      <c r="D1940" s="50"/>
      <c r="E1940" s="50"/>
      <c r="F1940" s="50"/>
      <c r="G1940" s="50"/>
      <c r="H1940" s="9"/>
      <c r="I1940" s="9"/>
      <c r="CS1940" s="37"/>
      <c r="CT1940" s="37"/>
      <c r="CU1940" s="37"/>
      <c r="CV1940" s="37"/>
      <c r="CW1940" s="37"/>
      <c r="CX1940" s="37"/>
      <c r="CY1940" s="37"/>
    </row>
    <row r="1941" spans="2:103" s="10" customFormat="1" x14ac:dyDescent="0.4">
      <c r="B1941" s="44"/>
      <c r="C1941" s="43"/>
      <c r="D1941" s="50"/>
      <c r="E1941" s="50"/>
      <c r="F1941" s="50"/>
      <c r="G1941" s="50"/>
      <c r="H1941" s="9"/>
      <c r="I1941" s="9"/>
      <c r="CS1941" s="37"/>
      <c r="CT1941" s="37"/>
      <c r="CU1941" s="37"/>
      <c r="CV1941" s="37"/>
      <c r="CW1941" s="37"/>
      <c r="CX1941" s="37"/>
      <c r="CY1941" s="37"/>
    </row>
    <row r="1942" spans="2:103" s="10" customFormat="1" x14ac:dyDescent="0.4">
      <c r="B1942" s="44"/>
      <c r="C1942" s="43"/>
      <c r="D1942" s="50"/>
      <c r="E1942" s="50"/>
      <c r="F1942" s="50"/>
      <c r="G1942" s="50"/>
      <c r="H1942" s="9"/>
      <c r="I1942" s="9"/>
      <c r="CS1942" s="37"/>
      <c r="CT1942" s="37"/>
      <c r="CU1942" s="37"/>
      <c r="CV1942" s="37"/>
      <c r="CW1942" s="37"/>
      <c r="CX1942" s="37"/>
      <c r="CY1942" s="37"/>
    </row>
    <row r="1943" spans="2:103" s="10" customFormat="1" x14ac:dyDescent="0.4">
      <c r="B1943" s="44"/>
      <c r="C1943" s="43"/>
      <c r="D1943" s="50"/>
      <c r="E1943" s="50"/>
      <c r="F1943" s="50"/>
      <c r="G1943" s="50"/>
      <c r="H1943" s="9"/>
      <c r="I1943" s="9"/>
      <c r="CS1943" s="37"/>
      <c r="CT1943" s="37"/>
      <c r="CU1943" s="37"/>
      <c r="CV1943" s="37"/>
      <c r="CW1943" s="37"/>
      <c r="CX1943" s="37"/>
      <c r="CY1943" s="37"/>
    </row>
    <row r="1944" spans="2:103" s="10" customFormat="1" x14ac:dyDescent="0.4">
      <c r="B1944" s="44"/>
      <c r="C1944" s="43"/>
      <c r="D1944" s="50"/>
      <c r="E1944" s="50"/>
      <c r="F1944" s="50"/>
      <c r="G1944" s="50"/>
      <c r="H1944" s="9"/>
      <c r="I1944" s="9"/>
      <c r="CS1944" s="37"/>
      <c r="CT1944" s="37"/>
      <c r="CU1944" s="37"/>
      <c r="CV1944" s="37"/>
      <c r="CW1944" s="37"/>
      <c r="CX1944" s="37"/>
      <c r="CY1944" s="37"/>
    </row>
    <row r="1945" spans="2:103" s="10" customFormat="1" x14ac:dyDescent="0.4">
      <c r="B1945" s="44"/>
      <c r="C1945" s="43"/>
      <c r="D1945" s="50"/>
      <c r="E1945" s="50"/>
      <c r="F1945" s="50"/>
      <c r="G1945" s="50"/>
      <c r="H1945" s="9"/>
      <c r="I1945" s="9"/>
      <c r="CS1945" s="37"/>
      <c r="CT1945" s="37"/>
      <c r="CU1945" s="37"/>
      <c r="CV1945" s="37"/>
      <c r="CW1945" s="37"/>
      <c r="CX1945" s="37"/>
      <c r="CY1945" s="37"/>
    </row>
    <row r="1946" spans="2:103" s="10" customFormat="1" x14ac:dyDescent="0.4">
      <c r="B1946" s="44"/>
      <c r="C1946" s="43"/>
      <c r="D1946" s="50"/>
      <c r="E1946" s="50"/>
      <c r="F1946" s="50"/>
      <c r="G1946" s="50"/>
      <c r="H1946" s="9"/>
      <c r="I1946" s="9"/>
      <c r="CS1946" s="37"/>
      <c r="CT1946" s="37"/>
      <c r="CU1946" s="37"/>
      <c r="CV1946" s="37"/>
      <c r="CW1946" s="37"/>
      <c r="CX1946" s="37"/>
      <c r="CY1946" s="37"/>
    </row>
    <row r="1947" spans="2:103" s="10" customFormat="1" x14ac:dyDescent="0.4">
      <c r="B1947" s="44"/>
      <c r="C1947" s="43"/>
      <c r="D1947" s="50"/>
      <c r="E1947" s="50"/>
      <c r="F1947" s="50"/>
      <c r="G1947" s="50"/>
      <c r="H1947" s="9"/>
      <c r="I1947" s="9"/>
      <c r="CS1947" s="37"/>
      <c r="CT1947" s="37"/>
      <c r="CU1947" s="37"/>
      <c r="CV1947" s="37"/>
      <c r="CW1947" s="37"/>
      <c r="CX1947" s="37"/>
      <c r="CY1947" s="37"/>
    </row>
    <row r="1948" spans="2:103" s="10" customFormat="1" x14ac:dyDescent="0.4">
      <c r="B1948" s="44"/>
      <c r="C1948" s="43"/>
      <c r="D1948" s="50"/>
      <c r="E1948" s="50"/>
      <c r="F1948" s="50"/>
      <c r="G1948" s="50"/>
      <c r="H1948" s="9"/>
      <c r="I1948" s="9"/>
      <c r="CS1948" s="37"/>
      <c r="CT1948" s="37"/>
      <c r="CU1948" s="37"/>
      <c r="CV1948" s="37"/>
      <c r="CW1948" s="37"/>
      <c r="CX1948" s="37"/>
      <c r="CY1948" s="37"/>
    </row>
    <row r="1949" spans="2:103" s="10" customFormat="1" x14ac:dyDescent="0.4">
      <c r="B1949" s="44"/>
      <c r="C1949" s="43"/>
      <c r="D1949" s="50"/>
      <c r="E1949" s="50"/>
      <c r="F1949" s="50"/>
      <c r="G1949" s="50"/>
      <c r="H1949" s="9"/>
      <c r="I1949" s="9"/>
      <c r="CS1949" s="37"/>
      <c r="CT1949" s="37"/>
      <c r="CU1949" s="37"/>
      <c r="CV1949" s="37"/>
      <c r="CW1949" s="37"/>
      <c r="CX1949" s="37"/>
      <c r="CY1949" s="37"/>
    </row>
    <row r="1950" spans="2:103" s="10" customFormat="1" x14ac:dyDescent="0.4">
      <c r="B1950" s="44"/>
      <c r="C1950" s="43"/>
      <c r="D1950" s="50"/>
      <c r="E1950" s="50"/>
      <c r="F1950" s="50"/>
      <c r="G1950" s="50"/>
      <c r="H1950" s="9"/>
      <c r="I1950" s="9"/>
      <c r="CS1950" s="37"/>
      <c r="CT1950" s="37"/>
      <c r="CU1950" s="37"/>
      <c r="CV1950" s="37"/>
      <c r="CW1950" s="37"/>
      <c r="CX1950" s="37"/>
      <c r="CY1950" s="37"/>
    </row>
    <row r="1951" spans="2:103" s="10" customFormat="1" x14ac:dyDescent="0.4">
      <c r="B1951" s="44"/>
      <c r="C1951" s="43"/>
      <c r="D1951" s="50"/>
      <c r="E1951" s="50"/>
      <c r="F1951" s="50"/>
      <c r="G1951" s="50"/>
      <c r="H1951" s="9"/>
      <c r="I1951" s="9"/>
      <c r="CS1951" s="37"/>
      <c r="CT1951" s="37"/>
      <c r="CU1951" s="37"/>
      <c r="CV1951" s="37"/>
      <c r="CW1951" s="37"/>
      <c r="CX1951" s="37"/>
      <c r="CY1951" s="37"/>
    </row>
    <row r="1952" spans="2:103" s="10" customFormat="1" x14ac:dyDescent="0.4">
      <c r="B1952" s="44"/>
      <c r="C1952" s="43"/>
      <c r="D1952" s="50"/>
      <c r="E1952" s="50"/>
      <c r="F1952" s="50"/>
      <c r="G1952" s="50"/>
      <c r="H1952" s="9"/>
      <c r="I1952" s="9"/>
      <c r="CS1952" s="37"/>
      <c r="CT1952" s="37"/>
      <c r="CU1952" s="37"/>
      <c r="CV1952" s="37"/>
      <c r="CW1952" s="37"/>
      <c r="CX1952" s="37"/>
      <c r="CY1952" s="37"/>
    </row>
    <row r="1953" spans="2:103" s="10" customFormat="1" x14ac:dyDescent="0.4">
      <c r="B1953" s="44"/>
      <c r="C1953" s="43"/>
      <c r="D1953" s="50"/>
      <c r="E1953" s="50"/>
      <c r="F1953" s="50"/>
      <c r="G1953" s="50"/>
      <c r="H1953" s="9"/>
      <c r="I1953" s="9"/>
      <c r="CS1953" s="37"/>
      <c r="CT1953" s="37"/>
      <c r="CU1953" s="37"/>
      <c r="CV1953" s="37"/>
      <c r="CW1953" s="37"/>
      <c r="CX1953" s="37"/>
      <c r="CY1953" s="37"/>
    </row>
    <row r="1954" spans="2:103" s="10" customFormat="1" x14ac:dyDescent="0.4">
      <c r="B1954" s="44"/>
      <c r="C1954" s="43"/>
      <c r="D1954" s="50"/>
      <c r="E1954" s="50"/>
      <c r="F1954" s="50"/>
      <c r="G1954" s="50"/>
      <c r="H1954" s="9"/>
      <c r="I1954" s="9"/>
      <c r="CS1954" s="37"/>
      <c r="CT1954" s="37"/>
      <c r="CU1954" s="37"/>
      <c r="CV1954" s="37"/>
      <c r="CW1954" s="37"/>
      <c r="CX1954" s="37"/>
      <c r="CY1954" s="37"/>
    </row>
    <row r="1955" spans="2:103" s="10" customFormat="1" x14ac:dyDescent="0.4">
      <c r="B1955" s="44"/>
      <c r="C1955" s="43"/>
      <c r="D1955" s="50"/>
      <c r="E1955" s="50"/>
      <c r="F1955" s="50"/>
      <c r="G1955" s="50"/>
      <c r="H1955" s="9"/>
      <c r="I1955" s="9"/>
      <c r="CS1955" s="37"/>
      <c r="CT1955" s="37"/>
      <c r="CU1955" s="37"/>
      <c r="CV1955" s="37"/>
      <c r="CW1955" s="37"/>
      <c r="CX1955" s="37"/>
      <c r="CY1955" s="37"/>
    </row>
    <row r="1956" spans="2:103" s="10" customFormat="1" x14ac:dyDescent="0.4">
      <c r="B1956" s="44"/>
      <c r="C1956" s="43"/>
      <c r="D1956" s="50"/>
      <c r="E1956" s="50"/>
      <c r="F1956" s="50"/>
      <c r="G1956" s="50"/>
      <c r="H1956" s="9"/>
      <c r="I1956" s="9"/>
      <c r="CS1956" s="37"/>
      <c r="CT1956" s="37"/>
      <c r="CU1956" s="37"/>
      <c r="CV1956" s="37"/>
      <c r="CW1956" s="37"/>
      <c r="CX1956" s="37"/>
      <c r="CY1956" s="37"/>
    </row>
    <row r="1957" spans="2:103" s="10" customFormat="1" x14ac:dyDescent="0.4">
      <c r="B1957" s="44"/>
      <c r="C1957" s="43"/>
      <c r="D1957" s="50"/>
      <c r="E1957" s="50"/>
      <c r="F1957" s="50"/>
      <c r="G1957" s="50"/>
      <c r="H1957" s="9"/>
      <c r="I1957" s="9"/>
      <c r="CS1957" s="37"/>
      <c r="CT1957" s="37"/>
      <c r="CU1957" s="37"/>
      <c r="CV1957" s="37"/>
      <c r="CW1957" s="37"/>
      <c r="CX1957" s="37"/>
      <c r="CY1957" s="37"/>
    </row>
    <row r="1958" spans="2:103" s="10" customFormat="1" x14ac:dyDescent="0.4">
      <c r="B1958" s="44"/>
      <c r="C1958" s="43"/>
      <c r="D1958" s="50"/>
      <c r="E1958" s="50"/>
      <c r="F1958" s="50"/>
      <c r="G1958" s="50"/>
      <c r="H1958" s="9"/>
      <c r="I1958" s="9"/>
      <c r="CS1958" s="37"/>
      <c r="CT1958" s="37"/>
      <c r="CU1958" s="37"/>
      <c r="CV1958" s="37"/>
      <c r="CW1958" s="37"/>
      <c r="CX1958" s="37"/>
      <c r="CY1958" s="37"/>
    </row>
    <row r="1959" spans="2:103" s="10" customFormat="1" x14ac:dyDescent="0.4">
      <c r="B1959" s="44"/>
      <c r="C1959" s="43"/>
      <c r="D1959" s="50"/>
      <c r="E1959" s="50"/>
      <c r="F1959" s="50"/>
      <c r="G1959" s="50"/>
      <c r="H1959" s="9"/>
      <c r="I1959" s="9"/>
      <c r="CS1959" s="37"/>
      <c r="CT1959" s="37"/>
      <c r="CU1959" s="37"/>
      <c r="CV1959" s="37"/>
      <c r="CW1959" s="37"/>
      <c r="CX1959" s="37"/>
      <c r="CY1959" s="37"/>
    </row>
    <row r="1960" spans="2:103" s="10" customFormat="1" x14ac:dyDescent="0.4">
      <c r="B1960" s="44"/>
      <c r="C1960" s="43"/>
      <c r="D1960" s="50"/>
      <c r="E1960" s="50"/>
      <c r="F1960" s="50"/>
      <c r="G1960" s="50"/>
      <c r="H1960" s="9"/>
      <c r="I1960" s="9"/>
      <c r="CS1960" s="37"/>
      <c r="CT1960" s="37"/>
      <c r="CU1960" s="37"/>
      <c r="CV1960" s="37"/>
      <c r="CW1960" s="37"/>
      <c r="CX1960" s="37"/>
      <c r="CY1960" s="37"/>
    </row>
    <row r="1961" spans="2:103" s="10" customFormat="1" x14ac:dyDescent="0.4">
      <c r="B1961" s="44"/>
      <c r="C1961" s="43"/>
      <c r="D1961" s="50"/>
      <c r="E1961" s="50"/>
      <c r="F1961" s="50"/>
      <c r="G1961" s="50"/>
      <c r="H1961" s="9"/>
      <c r="I1961" s="9"/>
      <c r="CS1961" s="37"/>
      <c r="CT1961" s="37"/>
      <c r="CU1961" s="37"/>
      <c r="CV1961" s="37"/>
      <c r="CW1961" s="37"/>
      <c r="CX1961" s="37"/>
      <c r="CY1961" s="37"/>
    </row>
    <row r="1962" spans="2:103" s="10" customFormat="1" x14ac:dyDescent="0.4">
      <c r="B1962" s="44"/>
      <c r="C1962" s="43"/>
      <c r="D1962" s="50"/>
      <c r="E1962" s="50"/>
      <c r="F1962" s="50"/>
      <c r="G1962" s="50"/>
      <c r="H1962" s="9"/>
      <c r="I1962" s="9"/>
      <c r="CS1962" s="37"/>
      <c r="CT1962" s="37"/>
      <c r="CU1962" s="37"/>
      <c r="CV1962" s="37"/>
      <c r="CW1962" s="37"/>
      <c r="CX1962" s="37"/>
      <c r="CY1962" s="37"/>
    </row>
    <row r="1963" spans="2:103" s="10" customFormat="1" x14ac:dyDescent="0.4">
      <c r="B1963" s="44"/>
      <c r="C1963" s="43"/>
      <c r="D1963" s="50"/>
      <c r="E1963" s="50"/>
      <c r="F1963" s="50"/>
      <c r="G1963" s="50"/>
      <c r="H1963" s="9"/>
      <c r="I1963" s="9"/>
      <c r="CS1963" s="37"/>
      <c r="CT1963" s="37"/>
      <c r="CU1963" s="37"/>
      <c r="CV1963" s="37"/>
      <c r="CW1963" s="37"/>
      <c r="CX1963" s="37"/>
      <c r="CY1963" s="37"/>
    </row>
    <row r="1964" spans="2:103" s="10" customFormat="1" x14ac:dyDescent="0.4">
      <c r="B1964" s="44"/>
      <c r="C1964" s="43"/>
      <c r="D1964" s="50"/>
      <c r="E1964" s="50"/>
      <c r="F1964" s="50"/>
      <c r="G1964" s="50"/>
      <c r="H1964" s="9"/>
      <c r="I1964" s="9"/>
      <c r="CS1964" s="37"/>
      <c r="CT1964" s="37"/>
      <c r="CU1964" s="37"/>
      <c r="CV1964" s="37"/>
      <c r="CW1964" s="37"/>
      <c r="CX1964" s="37"/>
      <c r="CY1964" s="37"/>
    </row>
    <row r="1965" spans="2:103" s="10" customFormat="1" x14ac:dyDescent="0.4">
      <c r="B1965" s="44"/>
      <c r="C1965" s="43"/>
      <c r="D1965" s="50"/>
      <c r="E1965" s="50"/>
      <c r="F1965" s="50"/>
      <c r="G1965" s="50"/>
      <c r="H1965" s="9"/>
      <c r="I1965" s="9"/>
      <c r="CS1965" s="37"/>
      <c r="CT1965" s="37"/>
      <c r="CU1965" s="37"/>
      <c r="CV1965" s="37"/>
      <c r="CW1965" s="37"/>
      <c r="CX1965" s="37"/>
      <c r="CY1965" s="37"/>
    </row>
    <row r="1966" spans="2:103" s="10" customFormat="1" x14ac:dyDescent="0.4">
      <c r="B1966" s="44"/>
      <c r="C1966" s="43"/>
      <c r="D1966" s="50"/>
      <c r="E1966" s="50"/>
      <c r="F1966" s="50"/>
      <c r="G1966" s="50"/>
      <c r="H1966" s="9"/>
      <c r="I1966" s="9"/>
      <c r="CS1966" s="37"/>
      <c r="CT1966" s="37"/>
      <c r="CU1966" s="37"/>
      <c r="CV1966" s="37"/>
      <c r="CW1966" s="37"/>
      <c r="CX1966" s="37"/>
      <c r="CY1966" s="37"/>
    </row>
    <row r="1967" spans="2:103" s="10" customFormat="1" x14ac:dyDescent="0.4">
      <c r="B1967" s="44"/>
      <c r="C1967" s="43"/>
      <c r="D1967" s="50"/>
      <c r="E1967" s="50"/>
      <c r="F1967" s="50"/>
      <c r="G1967" s="50"/>
      <c r="H1967" s="9"/>
      <c r="I1967" s="9"/>
      <c r="CS1967" s="37"/>
      <c r="CT1967" s="37"/>
      <c r="CU1967" s="37"/>
      <c r="CV1967" s="37"/>
      <c r="CW1967" s="37"/>
      <c r="CX1967" s="37"/>
      <c r="CY1967" s="37"/>
    </row>
    <row r="1968" spans="2:103" s="10" customFormat="1" x14ac:dyDescent="0.4">
      <c r="B1968" s="44"/>
      <c r="C1968" s="43"/>
      <c r="D1968" s="50"/>
      <c r="E1968" s="50"/>
      <c r="F1968" s="50"/>
      <c r="G1968" s="50"/>
      <c r="H1968" s="9"/>
      <c r="I1968" s="9"/>
      <c r="CS1968" s="37"/>
      <c r="CT1968" s="37"/>
      <c r="CU1968" s="37"/>
      <c r="CV1968" s="37"/>
      <c r="CW1968" s="37"/>
      <c r="CX1968" s="37"/>
      <c r="CY1968" s="37"/>
    </row>
    <row r="1969" spans="2:103" s="10" customFormat="1" x14ac:dyDescent="0.4">
      <c r="B1969" s="44"/>
      <c r="C1969" s="43"/>
      <c r="D1969" s="50"/>
      <c r="E1969" s="50"/>
      <c r="F1969" s="50"/>
      <c r="G1969" s="50"/>
      <c r="H1969" s="9"/>
      <c r="I1969" s="9"/>
      <c r="CS1969" s="37"/>
      <c r="CT1969" s="37"/>
      <c r="CU1969" s="37"/>
      <c r="CV1969" s="37"/>
      <c r="CW1969" s="37"/>
      <c r="CX1969" s="37"/>
      <c r="CY1969" s="37"/>
    </row>
    <row r="1970" spans="2:103" s="10" customFormat="1" x14ac:dyDescent="0.4">
      <c r="B1970" s="44"/>
      <c r="C1970" s="43"/>
      <c r="D1970" s="50"/>
      <c r="E1970" s="50"/>
      <c r="F1970" s="50"/>
      <c r="G1970" s="50"/>
      <c r="H1970" s="9"/>
      <c r="I1970" s="9"/>
      <c r="CS1970" s="37"/>
      <c r="CT1970" s="37"/>
      <c r="CU1970" s="37"/>
      <c r="CV1970" s="37"/>
      <c r="CW1970" s="37"/>
      <c r="CX1970" s="37"/>
      <c r="CY1970" s="37"/>
    </row>
    <row r="1971" spans="2:103" s="10" customFormat="1" x14ac:dyDescent="0.4">
      <c r="B1971" s="44"/>
      <c r="C1971" s="43"/>
      <c r="D1971" s="50"/>
      <c r="E1971" s="50"/>
      <c r="F1971" s="50"/>
      <c r="G1971" s="50"/>
      <c r="H1971" s="9"/>
      <c r="I1971" s="9"/>
      <c r="CS1971" s="37"/>
      <c r="CT1971" s="37"/>
      <c r="CU1971" s="37"/>
      <c r="CV1971" s="37"/>
      <c r="CW1971" s="37"/>
      <c r="CX1971" s="37"/>
      <c r="CY1971" s="37"/>
    </row>
    <row r="1972" spans="2:103" s="10" customFormat="1" x14ac:dyDescent="0.4">
      <c r="B1972" s="44"/>
      <c r="C1972" s="43"/>
      <c r="D1972" s="50"/>
      <c r="E1972" s="50"/>
      <c r="F1972" s="50"/>
      <c r="G1972" s="50"/>
      <c r="H1972" s="9"/>
      <c r="I1972" s="9"/>
      <c r="CS1972" s="37"/>
      <c r="CT1972" s="37"/>
      <c r="CU1972" s="37"/>
      <c r="CV1972" s="37"/>
      <c r="CW1972" s="37"/>
      <c r="CX1972" s="37"/>
      <c r="CY1972" s="37"/>
    </row>
    <row r="1973" spans="2:103" s="10" customFormat="1" x14ac:dyDescent="0.4">
      <c r="B1973" s="44"/>
      <c r="C1973" s="43"/>
      <c r="D1973" s="50"/>
      <c r="E1973" s="50"/>
      <c r="F1973" s="50"/>
      <c r="G1973" s="50"/>
      <c r="H1973" s="9"/>
      <c r="I1973" s="9"/>
      <c r="CS1973" s="37"/>
      <c r="CT1973" s="37"/>
      <c r="CU1973" s="37"/>
      <c r="CV1973" s="37"/>
      <c r="CW1973" s="37"/>
      <c r="CX1973" s="37"/>
      <c r="CY1973" s="37"/>
    </row>
    <row r="1974" spans="2:103" s="10" customFormat="1" x14ac:dyDescent="0.4">
      <c r="B1974" s="44"/>
      <c r="C1974" s="43"/>
      <c r="D1974" s="50"/>
      <c r="E1974" s="50"/>
      <c r="F1974" s="50"/>
      <c r="G1974" s="50"/>
      <c r="H1974" s="9"/>
      <c r="I1974" s="9"/>
      <c r="CS1974" s="37"/>
      <c r="CT1974" s="37"/>
      <c r="CU1974" s="37"/>
      <c r="CV1974" s="37"/>
      <c r="CW1974" s="37"/>
      <c r="CX1974" s="37"/>
      <c r="CY1974" s="37"/>
    </row>
    <row r="1975" spans="2:103" s="10" customFormat="1" x14ac:dyDescent="0.4">
      <c r="B1975" s="44"/>
      <c r="C1975" s="43"/>
      <c r="D1975" s="50"/>
      <c r="E1975" s="50"/>
      <c r="F1975" s="50"/>
      <c r="G1975" s="50"/>
      <c r="H1975" s="9"/>
      <c r="I1975" s="9"/>
      <c r="CS1975" s="37"/>
      <c r="CT1975" s="37"/>
      <c r="CU1975" s="37"/>
      <c r="CV1975" s="37"/>
      <c r="CW1975" s="37"/>
      <c r="CX1975" s="37"/>
      <c r="CY1975" s="37"/>
    </row>
    <row r="1976" spans="2:103" s="10" customFormat="1" x14ac:dyDescent="0.4">
      <c r="B1976" s="44"/>
      <c r="C1976" s="43"/>
      <c r="D1976" s="50"/>
      <c r="E1976" s="50"/>
      <c r="F1976" s="50"/>
      <c r="G1976" s="50"/>
      <c r="H1976" s="9"/>
      <c r="I1976" s="9"/>
      <c r="CS1976" s="37"/>
      <c r="CT1976" s="37"/>
      <c r="CU1976" s="37"/>
      <c r="CV1976" s="37"/>
      <c r="CW1976" s="37"/>
      <c r="CX1976" s="37"/>
      <c r="CY1976" s="37"/>
    </row>
    <row r="1977" spans="2:103" s="10" customFormat="1" x14ac:dyDescent="0.4">
      <c r="B1977" s="44"/>
      <c r="C1977" s="43"/>
      <c r="D1977" s="50"/>
      <c r="E1977" s="50"/>
      <c r="F1977" s="50"/>
      <c r="G1977" s="50"/>
      <c r="H1977" s="9"/>
      <c r="I1977" s="9"/>
      <c r="CS1977" s="37"/>
      <c r="CT1977" s="37"/>
      <c r="CU1977" s="37"/>
      <c r="CV1977" s="37"/>
      <c r="CW1977" s="37"/>
      <c r="CX1977" s="37"/>
      <c r="CY1977" s="37"/>
    </row>
    <row r="1978" spans="2:103" s="10" customFormat="1" x14ac:dyDescent="0.4">
      <c r="B1978" s="44"/>
      <c r="C1978" s="43"/>
      <c r="D1978" s="50"/>
      <c r="E1978" s="50"/>
      <c r="F1978" s="50"/>
      <c r="G1978" s="50"/>
      <c r="H1978" s="9"/>
      <c r="I1978" s="9"/>
      <c r="CS1978" s="37"/>
      <c r="CT1978" s="37"/>
      <c r="CU1978" s="37"/>
      <c r="CV1978" s="37"/>
      <c r="CW1978" s="37"/>
      <c r="CX1978" s="37"/>
      <c r="CY1978" s="37"/>
    </row>
    <row r="1979" spans="2:103" s="10" customFormat="1" x14ac:dyDescent="0.4">
      <c r="B1979" s="44"/>
      <c r="C1979" s="43"/>
      <c r="D1979" s="50"/>
      <c r="E1979" s="50"/>
      <c r="F1979" s="50"/>
      <c r="G1979" s="50"/>
      <c r="H1979" s="9"/>
      <c r="I1979" s="9"/>
      <c r="CS1979" s="37"/>
      <c r="CT1979" s="37"/>
      <c r="CU1979" s="37"/>
      <c r="CV1979" s="37"/>
      <c r="CW1979" s="37"/>
      <c r="CX1979" s="37"/>
      <c r="CY1979" s="37"/>
    </row>
    <row r="1980" spans="2:103" s="10" customFormat="1" x14ac:dyDescent="0.4">
      <c r="B1980" s="44"/>
      <c r="C1980" s="43"/>
      <c r="D1980" s="50"/>
      <c r="E1980" s="50"/>
      <c r="F1980" s="50"/>
      <c r="G1980" s="50"/>
      <c r="H1980" s="9"/>
      <c r="I1980" s="9"/>
      <c r="CS1980" s="37"/>
      <c r="CT1980" s="37"/>
      <c r="CU1980" s="37"/>
      <c r="CV1980" s="37"/>
      <c r="CW1980" s="37"/>
      <c r="CX1980" s="37"/>
      <c r="CY1980" s="37"/>
    </row>
    <row r="1981" spans="2:103" s="10" customFormat="1" x14ac:dyDescent="0.4">
      <c r="B1981" s="44"/>
      <c r="C1981" s="43"/>
      <c r="D1981" s="50"/>
      <c r="E1981" s="50"/>
      <c r="F1981" s="50"/>
      <c r="G1981" s="50"/>
      <c r="H1981" s="9"/>
      <c r="I1981" s="9"/>
      <c r="CS1981" s="37"/>
      <c r="CT1981" s="37"/>
      <c r="CU1981" s="37"/>
      <c r="CV1981" s="37"/>
      <c r="CW1981" s="37"/>
      <c r="CX1981" s="37"/>
      <c r="CY1981" s="37"/>
    </row>
    <row r="1982" spans="2:103" s="10" customFormat="1" x14ac:dyDescent="0.4">
      <c r="B1982" s="44"/>
      <c r="C1982" s="43"/>
      <c r="D1982" s="50"/>
      <c r="E1982" s="50"/>
      <c r="F1982" s="50"/>
      <c r="G1982" s="50"/>
      <c r="H1982" s="9"/>
      <c r="I1982" s="9"/>
      <c r="CS1982" s="37"/>
      <c r="CT1982" s="37"/>
      <c r="CU1982" s="37"/>
      <c r="CV1982" s="37"/>
      <c r="CW1982" s="37"/>
      <c r="CX1982" s="37"/>
      <c r="CY1982" s="37"/>
    </row>
    <row r="1983" spans="2:103" s="10" customFormat="1" x14ac:dyDescent="0.4">
      <c r="B1983" s="44"/>
      <c r="C1983" s="43"/>
      <c r="D1983" s="50"/>
      <c r="E1983" s="50"/>
      <c r="F1983" s="50"/>
      <c r="G1983" s="50"/>
      <c r="H1983" s="9"/>
      <c r="I1983" s="9"/>
      <c r="CS1983" s="37"/>
      <c r="CT1983" s="37"/>
      <c r="CU1983" s="37"/>
      <c r="CV1983" s="37"/>
      <c r="CW1983" s="37"/>
      <c r="CX1983" s="37"/>
      <c r="CY1983" s="37"/>
    </row>
    <row r="1984" spans="2:103" s="10" customFormat="1" x14ac:dyDescent="0.4">
      <c r="B1984" s="44"/>
      <c r="C1984" s="43"/>
      <c r="D1984" s="50"/>
      <c r="E1984" s="50"/>
      <c r="F1984" s="50"/>
      <c r="G1984" s="50"/>
      <c r="H1984" s="9"/>
      <c r="I1984" s="9"/>
      <c r="CS1984" s="37"/>
      <c r="CT1984" s="37"/>
      <c r="CU1984" s="37"/>
      <c r="CV1984" s="37"/>
      <c r="CW1984" s="37"/>
      <c r="CX1984" s="37"/>
      <c r="CY1984" s="37"/>
    </row>
    <row r="1985" spans="2:103" s="10" customFormat="1" x14ac:dyDescent="0.4">
      <c r="B1985" s="44"/>
      <c r="C1985" s="43"/>
      <c r="D1985" s="50"/>
      <c r="E1985" s="50"/>
      <c r="F1985" s="50"/>
      <c r="G1985" s="50"/>
      <c r="H1985" s="9"/>
      <c r="I1985" s="9"/>
      <c r="CS1985" s="37"/>
      <c r="CT1985" s="37"/>
      <c r="CU1985" s="37"/>
      <c r="CV1985" s="37"/>
      <c r="CW1985" s="37"/>
      <c r="CX1985" s="37"/>
      <c r="CY1985" s="37"/>
    </row>
    <row r="1986" spans="2:103" s="10" customFormat="1" x14ac:dyDescent="0.4">
      <c r="B1986" s="44"/>
      <c r="C1986" s="43"/>
      <c r="D1986" s="50"/>
      <c r="E1986" s="50"/>
      <c r="F1986" s="50"/>
      <c r="G1986" s="50"/>
      <c r="H1986" s="9"/>
      <c r="I1986" s="9"/>
      <c r="CS1986" s="37"/>
      <c r="CT1986" s="37"/>
      <c r="CU1986" s="37"/>
      <c r="CV1986" s="37"/>
      <c r="CW1986" s="37"/>
      <c r="CX1986" s="37"/>
      <c r="CY1986" s="37"/>
    </row>
    <row r="1987" spans="2:103" s="10" customFormat="1" x14ac:dyDescent="0.4">
      <c r="B1987" s="44"/>
      <c r="C1987" s="43"/>
      <c r="D1987" s="50"/>
      <c r="E1987" s="50"/>
      <c r="F1987" s="50"/>
      <c r="G1987" s="50"/>
      <c r="H1987" s="9"/>
      <c r="I1987" s="9"/>
      <c r="CS1987" s="37"/>
      <c r="CT1987" s="37"/>
      <c r="CU1987" s="37"/>
      <c r="CV1987" s="37"/>
      <c r="CW1987" s="37"/>
      <c r="CX1987" s="37"/>
      <c r="CY1987" s="37"/>
    </row>
    <row r="1988" spans="2:103" s="10" customFormat="1" x14ac:dyDescent="0.4">
      <c r="B1988" s="44"/>
      <c r="C1988" s="43"/>
      <c r="D1988" s="50"/>
      <c r="E1988" s="50"/>
      <c r="F1988" s="50"/>
      <c r="G1988" s="50"/>
      <c r="H1988" s="9"/>
      <c r="I1988" s="9"/>
      <c r="CS1988" s="37"/>
      <c r="CT1988" s="37"/>
      <c r="CU1988" s="37"/>
      <c r="CV1988" s="37"/>
      <c r="CW1988" s="37"/>
      <c r="CX1988" s="37"/>
      <c r="CY1988" s="37"/>
    </row>
    <row r="1989" spans="2:103" s="10" customFormat="1" x14ac:dyDescent="0.4">
      <c r="B1989" s="44"/>
      <c r="C1989" s="43"/>
      <c r="D1989" s="50"/>
      <c r="E1989" s="50"/>
      <c r="F1989" s="50"/>
      <c r="G1989" s="50"/>
      <c r="H1989" s="9"/>
      <c r="I1989" s="9"/>
      <c r="CS1989" s="37"/>
      <c r="CT1989" s="37"/>
      <c r="CU1989" s="37"/>
      <c r="CV1989" s="37"/>
      <c r="CW1989" s="37"/>
      <c r="CX1989" s="37"/>
      <c r="CY1989" s="37"/>
    </row>
    <row r="1990" spans="2:103" s="10" customFormat="1" x14ac:dyDescent="0.4">
      <c r="B1990" s="44"/>
      <c r="C1990" s="43"/>
      <c r="D1990" s="50"/>
      <c r="E1990" s="50"/>
      <c r="F1990" s="50"/>
      <c r="G1990" s="50"/>
      <c r="H1990" s="9"/>
      <c r="I1990" s="9"/>
      <c r="CS1990" s="37"/>
      <c r="CT1990" s="37"/>
      <c r="CU1990" s="37"/>
      <c r="CV1990" s="37"/>
      <c r="CW1990" s="37"/>
      <c r="CX1990" s="37"/>
      <c r="CY1990" s="37"/>
    </row>
    <row r="1991" spans="2:103" s="10" customFormat="1" x14ac:dyDescent="0.4">
      <c r="B1991" s="44"/>
      <c r="C1991" s="43"/>
      <c r="D1991" s="50"/>
      <c r="E1991" s="50"/>
      <c r="F1991" s="50"/>
      <c r="G1991" s="50"/>
      <c r="H1991" s="9"/>
      <c r="I1991" s="9"/>
      <c r="CS1991" s="37"/>
      <c r="CT1991" s="37"/>
      <c r="CU1991" s="37"/>
      <c r="CV1991" s="37"/>
      <c r="CW1991" s="37"/>
      <c r="CX1991" s="37"/>
      <c r="CY1991" s="37"/>
    </row>
    <row r="1992" spans="2:103" s="10" customFormat="1" x14ac:dyDescent="0.4">
      <c r="B1992" s="44"/>
      <c r="C1992" s="43"/>
      <c r="D1992" s="50"/>
      <c r="E1992" s="50"/>
      <c r="F1992" s="50"/>
      <c r="G1992" s="50"/>
      <c r="H1992" s="9"/>
      <c r="I1992" s="9"/>
      <c r="CS1992" s="37"/>
      <c r="CT1992" s="37"/>
      <c r="CU1992" s="37"/>
      <c r="CV1992" s="37"/>
      <c r="CW1992" s="37"/>
      <c r="CX1992" s="37"/>
      <c r="CY1992" s="37"/>
    </row>
    <row r="1993" spans="2:103" s="10" customFormat="1" x14ac:dyDescent="0.4">
      <c r="B1993" s="44"/>
      <c r="C1993" s="43"/>
      <c r="D1993" s="50"/>
      <c r="E1993" s="50"/>
      <c r="F1993" s="50"/>
      <c r="G1993" s="50"/>
      <c r="H1993" s="9"/>
      <c r="I1993" s="9"/>
      <c r="CS1993" s="37"/>
      <c r="CT1993" s="37"/>
      <c r="CU1993" s="37"/>
      <c r="CV1993" s="37"/>
      <c r="CW1993" s="37"/>
      <c r="CX1993" s="37"/>
      <c r="CY1993" s="37"/>
    </row>
    <row r="1994" spans="2:103" s="10" customFormat="1" x14ac:dyDescent="0.4">
      <c r="B1994" s="44"/>
      <c r="C1994" s="43"/>
      <c r="D1994" s="50"/>
      <c r="E1994" s="50"/>
      <c r="F1994" s="50"/>
      <c r="G1994" s="50"/>
      <c r="H1994" s="9"/>
      <c r="I1994" s="9"/>
      <c r="CS1994" s="37"/>
      <c r="CT1994" s="37"/>
      <c r="CU1994" s="37"/>
      <c r="CV1994" s="37"/>
      <c r="CW1994" s="37"/>
      <c r="CX1994" s="37"/>
      <c r="CY1994" s="37"/>
    </row>
    <row r="1995" spans="2:103" s="10" customFormat="1" x14ac:dyDescent="0.4">
      <c r="B1995" s="44"/>
      <c r="C1995" s="43"/>
      <c r="D1995" s="50"/>
      <c r="E1995" s="50"/>
      <c r="F1995" s="50"/>
      <c r="G1995" s="50"/>
      <c r="H1995" s="9"/>
      <c r="I1995" s="9"/>
      <c r="CS1995" s="37"/>
      <c r="CT1995" s="37"/>
      <c r="CU1995" s="37"/>
      <c r="CV1995" s="37"/>
      <c r="CW1995" s="37"/>
      <c r="CX1995" s="37"/>
      <c r="CY1995" s="37"/>
    </row>
    <row r="1996" spans="2:103" s="10" customFormat="1" x14ac:dyDescent="0.4">
      <c r="B1996" s="44"/>
      <c r="C1996" s="43"/>
      <c r="D1996" s="50"/>
      <c r="E1996" s="50"/>
      <c r="F1996" s="50"/>
      <c r="G1996" s="50"/>
      <c r="H1996" s="9"/>
      <c r="I1996" s="9"/>
      <c r="CS1996" s="37"/>
      <c r="CT1996" s="37"/>
      <c r="CU1996" s="37"/>
      <c r="CV1996" s="37"/>
      <c r="CW1996" s="37"/>
      <c r="CX1996" s="37"/>
      <c r="CY1996" s="37"/>
    </row>
    <row r="1997" spans="2:103" s="10" customFormat="1" x14ac:dyDescent="0.4">
      <c r="B1997" s="44"/>
      <c r="C1997" s="43"/>
      <c r="D1997" s="50"/>
      <c r="E1997" s="50"/>
      <c r="F1997" s="50"/>
      <c r="G1997" s="50"/>
      <c r="H1997" s="9"/>
      <c r="I1997" s="9"/>
      <c r="CS1997" s="37"/>
      <c r="CT1997" s="37"/>
      <c r="CU1997" s="37"/>
      <c r="CV1997" s="37"/>
      <c r="CW1997" s="37"/>
      <c r="CX1997" s="37"/>
      <c r="CY1997" s="37"/>
    </row>
    <row r="1998" spans="2:103" s="10" customFormat="1" x14ac:dyDescent="0.4">
      <c r="B1998" s="44"/>
      <c r="C1998" s="43"/>
      <c r="D1998" s="50"/>
      <c r="E1998" s="50"/>
      <c r="F1998" s="50"/>
      <c r="G1998" s="50"/>
      <c r="H1998" s="9"/>
      <c r="I1998" s="9"/>
      <c r="CS1998" s="37"/>
      <c r="CT1998" s="37"/>
      <c r="CU1998" s="37"/>
      <c r="CV1998" s="37"/>
      <c r="CW1998" s="37"/>
      <c r="CX1998" s="37"/>
      <c r="CY1998" s="37"/>
    </row>
    <row r="1999" spans="2:103" s="10" customFormat="1" x14ac:dyDescent="0.4">
      <c r="B1999" s="44"/>
      <c r="C1999" s="43"/>
      <c r="D1999" s="50"/>
      <c r="E1999" s="50"/>
      <c r="F1999" s="50"/>
      <c r="G1999" s="50"/>
      <c r="H1999" s="9"/>
      <c r="I1999" s="9"/>
      <c r="CS1999" s="37"/>
      <c r="CT1999" s="37"/>
      <c r="CU1999" s="37"/>
      <c r="CV1999" s="37"/>
      <c r="CW1999" s="37"/>
      <c r="CX1999" s="37"/>
      <c r="CY1999" s="37"/>
    </row>
    <row r="2000" spans="2:103" s="10" customFormat="1" x14ac:dyDescent="0.4">
      <c r="B2000" s="44"/>
      <c r="C2000" s="43"/>
      <c r="D2000" s="50"/>
      <c r="E2000" s="50"/>
      <c r="F2000" s="50"/>
      <c r="G2000" s="50"/>
      <c r="H2000" s="9"/>
      <c r="I2000" s="9"/>
      <c r="CS2000" s="37"/>
      <c r="CT2000" s="37"/>
      <c r="CU2000" s="37"/>
      <c r="CV2000" s="37"/>
      <c r="CW2000" s="37"/>
      <c r="CX2000" s="37"/>
      <c r="CY2000" s="37"/>
    </row>
    <row r="2001" spans="2:103" s="10" customFormat="1" x14ac:dyDescent="0.4">
      <c r="B2001" s="44"/>
      <c r="C2001" s="43"/>
      <c r="D2001" s="50"/>
      <c r="E2001" s="50"/>
      <c r="F2001" s="50"/>
      <c r="G2001" s="50"/>
      <c r="H2001" s="9"/>
      <c r="I2001" s="9"/>
      <c r="CS2001" s="37"/>
      <c r="CT2001" s="37"/>
      <c r="CU2001" s="37"/>
      <c r="CV2001" s="37"/>
      <c r="CW2001" s="37"/>
      <c r="CX2001" s="37"/>
      <c r="CY2001" s="37"/>
    </row>
    <row r="2002" spans="2:103" s="10" customFormat="1" x14ac:dyDescent="0.4">
      <c r="B2002" s="44"/>
      <c r="C2002" s="43"/>
      <c r="D2002" s="50"/>
      <c r="E2002" s="50"/>
      <c r="F2002" s="50"/>
      <c r="G2002" s="50"/>
      <c r="H2002" s="9"/>
      <c r="I2002" s="9"/>
      <c r="CS2002" s="37"/>
      <c r="CT2002" s="37"/>
      <c r="CU2002" s="37"/>
      <c r="CV2002" s="37"/>
      <c r="CW2002" s="37"/>
      <c r="CX2002" s="37"/>
      <c r="CY2002" s="37"/>
    </row>
    <row r="2003" spans="2:103" s="10" customFormat="1" x14ac:dyDescent="0.4">
      <c r="B2003" s="44"/>
      <c r="C2003" s="43"/>
      <c r="D2003" s="50"/>
      <c r="E2003" s="50"/>
      <c r="F2003" s="50"/>
      <c r="G2003" s="50"/>
      <c r="H2003" s="9"/>
      <c r="I2003" s="9"/>
      <c r="CS2003" s="37"/>
      <c r="CT2003" s="37"/>
      <c r="CU2003" s="37"/>
      <c r="CV2003" s="37"/>
      <c r="CW2003" s="37"/>
      <c r="CX2003" s="37"/>
      <c r="CY2003" s="37"/>
    </row>
    <row r="2004" spans="2:103" s="10" customFormat="1" x14ac:dyDescent="0.4">
      <c r="B2004" s="44"/>
      <c r="C2004" s="43"/>
      <c r="D2004" s="50"/>
      <c r="E2004" s="50"/>
      <c r="F2004" s="50"/>
      <c r="G2004" s="50"/>
      <c r="H2004" s="9"/>
      <c r="I2004" s="9"/>
      <c r="CS2004" s="37"/>
      <c r="CT2004" s="37"/>
      <c r="CU2004" s="37"/>
      <c r="CV2004" s="37"/>
      <c r="CW2004" s="37"/>
      <c r="CX2004" s="37"/>
      <c r="CY2004" s="37"/>
    </row>
    <row r="2005" spans="2:103" s="10" customFormat="1" x14ac:dyDescent="0.4">
      <c r="B2005" s="44"/>
      <c r="C2005" s="43"/>
      <c r="D2005" s="50"/>
      <c r="E2005" s="50"/>
      <c r="F2005" s="50"/>
      <c r="G2005" s="50"/>
      <c r="H2005" s="9"/>
      <c r="I2005" s="9"/>
      <c r="CS2005" s="37"/>
      <c r="CT2005" s="37"/>
      <c r="CU2005" s="37"/>
      <c r="CV2005" s="37"/>
      <c r="CW2005" s="37"/>
      <c r="CX2005" s="37"/>
      <c r="CY2005" s="37"/>
    </row>
    <row r="2006" spans="2:103" s="10" customFormat="1" x14ac:dyDescent="0.4">
      <c r="B2006" s="44"/>
      <c r="C2006" s="43"/>
      <c r="D2006" s="50"/>
      <c r="E2006" s="50"/>
      <c r="F2006" s="50"/>
      <c r="G2006" s="50"/>
      <c r="H2006" s="9"/>
      <c r="I2006" s="9"/>
      <c r="CS2006" s="37"/>
      <c r="CT2006" s="37"/>
      <c r="CU2006" s="37"/>
      <c r="CV2006" s="37"/>
      <c r="CW2006" s="37"/>
      <c r="CX2006" s="37"/>
      <c r="CY2006" s="37"/>
    </row>
    <row r="2007" spans="2:103" s="10" customFormat="1" x14ac:dyDescent="0.4">
      <c r="B2007" s="44"/>
      <c r="C2007" s="43"/>
      <c r="D2007" s="50"/>
      <c r="E2007" s="50"/>
      <c r="F2007" s="50"/>
      <c r="G2007" s="50"/>
      <c r="H2007" s="9"/>
      <c r="I2007" s="9"/>
      <c r="CS2007" s="37"/>
      <c r="CT2007" s="37"/>
      <c r="CU2007" s="37"/>
      <c r="CV2007" s="37"/>
      <c r="CW2007" s="37"/>
      <c r="CX2007" s="37"/>
      <c r="CY2007" s="37"/>
    </row>
    <row r="2008" spans="2:103" s="10" customFormat="1" x14ac:dyDescent="0.4">
      <c r="B2008" s="44"/>
      <c r="C2008" s="43"/>
      <c r="D2008" s="50"/>
      <c r="E2008" s="50"/>
      <c r="F2008" s="50"/>
      <c r="G2008" s="50"/>
      <c r="H2008" s="9"/>
      <c r="I2008" s="9"/>
      <c r="CS2008" s="37"/>
      <c r="CT2008" s="37"/>
      <c r="CU2008" s="37"/>
      <c r="CV2008" s="37"/>
      <c r="CW2008" s="37"/>
      <c r="CX2008" s="37"/>
      <c r="CY2008" s="37"/>
    </row>
    <row r="2009" spans="2:103" s="10" customFormat="1" x14ac:dyDescent="0.4">
      <c r="B2009" s="44"/>
      <c r="C2009" s="43"/>
      <c r="D2009" s="50"/>
      <c r="E2009" s="50"/>
      <c r="F2009" s="50"/>
      <c r="G2009" s="50"/>
      <c r="H2009" s="9"/>
      <c r="I2009" s="9"/>
      <c r="CS2009" s="37"/>
      <c r="CT2009" s="37"/>
      <c r="CU2009" s="37"/>
      <c r="CV2009" s="37"/>
      <c r="CW2009" s="37"/>
      <c r="CX2009" s="37"/>
      <c r="CY2009" s="37"/>
    </row>
    <row r="2010" spans="2:103" s="10" customFormat="1" x14ac:dyDescent="0.4">
      <c r="B2010" s="44"/>
      <c r="C2010" s="43"/>
      <c r="D2010" s="50"/>
      <c r="E2010" s="50"/>
      <c r="F2010" s="50"/>
      <c r="G2010" s="50"/>
      <c r="H2010" s="9"/>
      <c r="I2010" s="9"/>
      <c r="CS2010" s="37"/>
      <c r="CT2010" s="37"/>
      <c r="CU2010" s="37"/>
      <c r="CV2010" s="37"/>
      <c r="CW2010" s="37"/>
      <c r="CX2010" s="37"/>
      <c r="CY2010" s="37"/>
    </row>
    <row r="2011" spans="2:103" s="10" customFormat="1" x14ac:dyDescent="0.4">
      <c r="B2011" s="44"/>
      <c r="C2011" s="43"/>
      <c r="D2011" s="50"/>
      <c r="E2011" s="50"/>
      <c r="F2011" s="50"/>
      <c r="G2011" s="50"/>
      <c r="H2011" s="9"/>
      <c r="I2011" s="9"/>
      <c r="CS2011" s="37"/>
      <c r="CT2011" s="37"/>
      <c r="CU2011" s="37"/>
      <c r="CV2011" s="37"/>
      <c r="CW2011" s="37"/>
      <c r="CX2011" s="37"/>
      <c r="CY2011" s="37"/>
    </row>
    <row r="2012" spans="2:103" s="10" customFormat="1" x14ac:dyDescent="0.4">
      <c r="B2012" s="44"/>
      <c r="C2012" s="43"/>
      <c r="D2012" s="50"/>
      <c r="E2012" s="50"/>
      <c r="F2012" s="50"/>
      <c r="G2012" s="50"/>
      <c r="H2012" s="9"/>
      <c r="I2012" s="9"/>
      <c r="CS2012" s="37"/>
      <c r="CT2012" s="37"/>
      <c r="CU2012" s="37"/>
      <c r="CV2012" s="37"/>
      <c r="CW2012" s="37"/>
      <c r="CX2012" s="37"/>
      <c r="CY2012" s="37"/>
    </row>
    <row r="2013" spans="2:103" s="10" customFormat="1" x14ac:dyDescent="0.4">
      <c r="B2013" s="44"/>
      <c r="C2013" s="43"/>
      <c r="D2013" s="50"/>
      <c r="E2013" s="50"/>
      <c r="F2013" s="50"/>
      <c r="G2013" s="50"/>
      <c r="H2013" s="9"/>
      <c r="I2013" s="9"/>
      <c r="CS2013" s="37"/>
      <c r="CT2013" s="37"/>
      <c r="CU2013" s="37"/>
      <c r="CV2013" s="37"/>
      <c r="CW2013" s="37"/>
      <c r="CX2013" s="37"/>
      <c r="CY2013" s="37"/>
    </row>
    <row r="2014" spans="2:103" s="10" customFormat="1" x14ac:dyDescent="0.4">
      <c r="B2014" s="44"/>
      <c r="C2014" s="43"/>
      <c r="D2014" s="50"/>
      <c r="E2014" s="50"/>
      <c r="F2014" s="50"/>
      <c r="G2014" s="50"/>
      <c r="H2014" s="9"/>
      <c r="I2014" s="9"/>
      <c r="CS2014" s="37"/>
      <c r="CT2014" s="37"/>
      <c r="CU2014" s="37"/>
      <c r="CV2014" s="37"/>
      <c r="CW2014" s="37"/>
      <c r="CX2014" s="37"/>
      <c r="CY2014" s="37"/>
    </row>
    <row r="2015" spans="2:103" s="10" customFormat="1" x14ac:dyDescent="0.4">
      <c r="B2015" s="44"/>
      <c r="C2015" s="43"/>
      <c r="D2015" s="50"/>
      <c r="E2015" s="50"/>
      <c r="F2015" s="50"/>
      <c r="G2015" s="50"/>
      <c r="H2015" s="9"/>
      <c r="I2015" s="9"/>
      <c r="CS2015" s="37"/>
      <c r="CT2015" s="37"/>
      <c r="CU2015" s="37"/>
      <c r="CV2015" s="37"/>
      <c r="CW2015" s="37"/>
      <c r="CX2015" s="37"/>
      <c r="CY2015" s="37"/>
    </row>
    <row r="2016" spans="2:103" s="10" customFormat="1" x14ac:dyDescent="0.4">
      <c r="B2016" s="44"/>
      <c r="C2016" s="43"/>
      <c r="D2016" s="50"/>
      <c r="E2016" s="50"/>
      <c r="F2016" s="50"/>
      <c r="G2016" s="50"/>
      <c r="H2016" s="9"/>
      <c r="I2016" s="9"/>
      <c r="CS2016" s="37"/>
      <c r="CT2016" s="37"/>
      <c r="CU2016" s="37"/>
      <c r="CV2016" s="37"/>
      <c r="CW2016" s="37"/>
      <c r="CX2016" s="37"/>
      <c r="CY2016" s="37"/>
    </row>
    <row r="2017" spans="2:103" s="10" customFormat="1" x14ac:dyDescent="0.4">
      <c r="B2017" s="44"/>
      <c r="C2017" s="43"/>
      <c r="D2017" s="50"/>
      <c r="E2017" s="50"/>
      <c r="F2017" s="50"/>
      <c r="G2017" s="50"/>
      <c r="H2017" s="9"/>
      <c r="I2017" s="9"/>
      <c r="CS2017" s="37"/>
      <c r="CT2017" s="37"/>
      <c r="CU2017" s="37"/>
      <c r="CV2017" s="37"/>
      <c r="CW2017" s="37"/>
      <c r="CX2017" s="37"/>
      <c r="CY2017" s="37"/>
    </row>
    <row r="2018" spans="2:103" s="10" customFormat="1" x14ac:dyDescent="0.4">
      <c r="B2018" s="44"/>
      <c r="C2018" s="43"/>
      <c r="D2018" s="50"/>
      <c r="E2018" s="50"/>
      <c r="F2018" s="50"/>
      <c r="G2018" s="50"/>
      <c r="H2018" s="9"/>
      <c r="I2018" s="9"/>
      <c r="CS2018" s="37"/>
      <c r="CT2018" s="37"/>
      <c r="CU2018" s="37"/>
      <c r="CV2018" s="37"/>
      <c r="CW2018" s="37"/>
      <c r="CX2018" s="37"/>
      <c r="CY2018" s="37"/>
    </row>
    <row r="2019" spans="2:103" s="10" customFormat="1" x14ac:dyDescent="0.4">
      <c r="B2019" s="44"/>
      <c r="C2019" s="43"/>
      <c r="D2019" s="50"/>
      <c r="E2019" s="50"/>
      <c r="F2019" s="50"/>
      <c r="G2019" s="50"/>
      <c r="H2019" s="9"/>
      <c r="I2019" s="9"/>
      <c r="CS2019" s="37"/>
      <c r="CT2019" s="37"/>
      <c r="CU2019" s="37"/>
      <c r="CV2019" s="37"/>
      <c r="CW2019" s="37"/>
      <c r="CX2019" s="37"/>
      <c r="CY2019" s="37"/>
    </row>
    <row r="2020" spans="2:103" s="10" customFormat="1" x14ac:dyDescent="0.4">
      <c r="B2020" s="44"/>
      <c r="C2020" s="43"/>
      <c r="D2020" s="50"/>
      <c r="E2020" s="50"/>
      <c r="F2020" s="50"/>
      <c r="G2020" s="50"/>
      <c r="H2020" s="9"/>
      <c r="I2020" s="9"/>
      <c r="CS2020" s="37"/>
      <c r="CT2020" s="37"/>
      <c r="CU2020" s="37"/>
      <c r="CV2020" s="37"/>
      <c r="CW2020" s="37"/>
      <c r="CX2020" s="37"/>
      <c r="CY2020" s="37"/>
    </row>
    <row r="2021" spans="2:103" s="10" customFormat="1" x14ac:dyDescent="0.4">
      <c r="B2021" s="44"/>
      <c r="C2021" s="43"/>
      <c r="D2021" s="50"/>
      <c r="E2021" s="50"/>
      <c r="F2021" s="50"/>
      <c r="G2021" s="50"/>
      <c r="H2021" s="9"/>
      <c r="I2021" s="9"/>
      <c r="CS2021" s="37"/>
      <c r="CT2021" s="37"/>
      <c r="CU2021" s="37"/>
      <c r="CV2021" s="37"/>
      <c r="CW2021" s="37"/>
      <c r="CX2021" s="37"/>
      <c r="CY2021" s="37"/>
    </row>
    <row r="2022" spans="2:103" s="10" customFormat="1" x14ac:dyDescent="0.4">
      <c r="B2022" s="44"/>
      <c r="C2022" s="43"/>
      <c r="D2022" s="50"/>
      <c r="E2022" s="50"/>
      <c r="F2022" s="50"/>
      <c r="G2022" s="50"/>
      <c r="H2022" s="9"/>
      <c r="I2022" s="9"/>
      <c r="CS2022" s="37"/>
      <c r="CT2022" s="37"/>
      <c r="CU2022" s="37"/>
      <c r="CV2022" s="37"/>
      <c r="CW2022" s="37"/>
      <c r="CX2022" s="37"/>
      <c r="CY2022" s="37"/>
    </row>
    <row r="2023" spans="2:103" s="10" customFormat="1" x14ac:dyDescent="0.4">
      <c r="B2023" s="44"/>
      <c r="C2023" s="43"/>
      <c r="D2023" s="50"/>
      <c r="E2023" s="50"/>
      <c r="F2023" s="50"/>
      <c r="G2023" s="50"/>
      <c r="H2023" s="9"/>
      <c r="I2023" s="9"/>
      <c r="CS2023" s="37"/>
      <c r="CT2023" s="37"/>
      <c r="CU2023" s="37"/>
      <c r="CV2023" s="37"/>
      <c r="CW2023" s="37"/>
      <c r="CX2023" s="37"/>
      <c r="CY2023" s="37"/>
    </row>
    <row r="2024" spans="2:103" s="10" customFormat="1" x14ac:dyDescent="0.4">
      <c r="B2024" s="44"/>
      <c r="C2024" s="43"/>
      <c r="D2024" s="50"/>
      <c r="E2024" s="50"/>
      <c r="F2024" s="50"/>
      <c r="G2024" s="50"/>
      <c r="H2024" s="9"/>
      <c r="I2024" s="9"/>
      <c r="CS2024" s="37"/>
      <c r="CT2024" s="37"/>
      <c r="CU2024" s="37"/>
      <c r="CV2024" s="37"/>
      <c r="CW2024" s="37"/>
      <c r="CX2024" s="37"/>
      <c r="CY2024" s="37"/>
    </row>
    <row r="2025" spans="2:103" s="10" customFormat="1" x14ac:dyDescent="0.4">
      <c r="B2025" s="44"/>
      <c r="C2025" s="43"/>
      <c r="D2025" s="50"/>
      <c r="E2025" s="50"/>
      <c r="F2025" s="50"/>
      <c r="G2025" s="50"/>
      <c r="H2025" s="9"/>
      <c r="I2025" s="9"/>
      <c r="CS2025" s="37"/>
      <c r="CT2025" s="37"/>
      <c r="CU2025" s="37"/>
      <c r="CV2025" s="37"/>
      <c r="CW2025" s="37"/>
      <c r="CX2025" s="37"/>
      <c r="CY2025" s="37"/>
    </row>
    <row r="2026" spans="2:103" s="10" customFormat="1" x14ac:dyDescent="0.4">
      <c r="B2026" s="44"/>
      <c r="C2026" s="43"/>
      <c r="D2026" s="50"/>
      <c r="E2026" s="50"/>
      <c r="F2026" s="50"/>
      <c r="G2026" s="50"/>
      <c r="H2026" s="9"/>
      <c r="I2026" s="9"/>
      <c r="CS2026" s="37"/>
      <c r="CT2026" s="37"/>
      <c r="CU2026" s="37"/>
      <c r="CV2026" s="37"/>
      <c r="CW2026" s="37"/>
      <c r="CX2026" s="37"/>
      <c r="CY2026" s="37"/>
    </row>
    <row r="2027" spans="2:103" s="10" customFormat="1" x14ac:dyDescent="0.4">
      <c r="B2027" s="44"/>
      <c r="C2027" s="43"/>
      <c r="D2027" s="50"/>
      <c r="E2027" s="50"/>
      <c r="F2027" s="50"/>
      <c r="G2027" s="50"/>
      <c r="H2027" s="9"/>
      <c r="I2027" s="9"/>
      <c r="CS2027" s="37"/>
      <c r="CT2027" s="37"/>
      <c r="CU2027" s="37"/>
      <c r="CV2027" s="37"/>
      <c r="CW2027" s="37"/>
      <c r="CX2027" s="37"/>
      <c r="CY2027" s="37"/>
    </row>
    <row r="2028" spans="2:103" s="10" customFormat="1" x14ac:dyDescent="0.4">
      <c r="B2028" s="44"/>
      <c r="C2028" s="43"/>
      <c r="D2028" s="50"/>
      <c r="E2028" s="50"/>
      <c r="F2028" s="50"/>
      <c r="G2028" s="50"/>
      <c r="H2028" s="9"/>
      <c r="I2028" s="9"/>
      <c r="CS2028" s="37"/>
      <c r="CT2028" s="37"/>
      <c r="CU2028" s="37"/>
      <c r="CV2028" s="37"/>
      <c r="CW2028" s="37"/>
      <c r="CX2028" s="37"/>
      <c r="CY2028" s="37"/>
    </row>
    <row r="2029" spans="2:103" s="10" customFormat="1" x14ac:dyDescent="0.4">
      <c r="B2029" s="44"/>
      <c r="C2029" s="43"/>
      <c r="D2029" s="50"/>
      <c r="E2029" s="50"/>
      <c r="F2029" s="50"/>
      <c r="G2029" s="50"/>
      <c r="H2029" s="9"/>
      <c r="I2029" s="9"/>
      <c r="CS2029" s="37"/>
      <c r="CT2029" s="37"/>
      <c r="CU2029" s="37"/>
      <c r="CV2029" s="37"/>
      <c r="CW2029" s="37"/>
      <c r="CX2029" s="37"/>
      <c r="CY2029" s="37"/>
    </row>
    <row r="2030" spans="2:103" s="10" customFormat="1" x14ac:dyDescent="0.4">
      <c r="B2030" s="44"/>
      <c r="C2030" s="43"/>
      <c r="D2030" s="50"/>
      <c r="E2030" s="50"/>
      <c r="F2030" s="50"/>
      <c r="G2030" s="50"/>
      <c r="H2030" s="9"/>
      <c r="I2030" s="9"/>
      <c r="CS2030" s="37"/>
      <c r="CT2030" s="37"/>
      <c r="CU2030" s="37"/>
      <c r="CV2030" s="37"/>
      <c r="CW2030" s="37"/>
      <c r="CX2030" s="37"/>
      <c r="CY2030" s="37"/>
    </row>
    <row r="2031" spans="2:103" s="10" customFormat="1" x14ac:dyDescent="0.4">
      <c r="B2031" s="44"/>
      <c r="C2031" s="43"/>
      <c r="D2031" s="50"/>
      <c r="E2031" s="50"/>
      <c r="F2031" s="50"/>
      <c r="G2031" s="50"/>
      <c r="H2031" s="9"/>
      <c r="I2031" s="9"/>
      <c r="CS2031" s="37"/>
      <c r="CT2031" s="37"/>
      <c r="CU2031" s="37"/>
      <c r="CV2031" s="37"/>
      <c r="CW2031" s="37"/>
      <c r="CX2031" s="37"/>
      <c r="CY2031" s="37"/>
    </row>
    <row r="2032" spans="2:103" s="10" customFormat="1" x14ac:dyDescent="0.4">
      <c r="B2032" s="44"/>
      <c r="C2032" s="43"/>
      <c r="D2032" s="50"/>
      <c r="E2032" s="50"/>
      <c r="F2032" s="50"/>
      <c r="G2032" s="50"/>
      <c r="H2032" s="9"/>
      <c r="I2032" s="9"/>
      <c r="CS2032" s="37"/>
      <c r="CT2032" s="37"/>
      <c r="CU2032" s="37"/>
      <c r="CV2032" s="37"/>
      <c r="CW2032" s="37"/>
      <c r="CX2032" s="37"/>
      <c r="CY2032" s="37"/>
    </row>
    <row r="2033" spans="2:103" s="10" customFormat="1" x14ac:dyDescent="0.4">
      <c r="B2033" s="44"/>
      <c r="C2033" s="43"/>
      <c r="D2033" s="50"/>
      <c r="E2033" s="50"/>
      <c r="F2033" s="50"/>
      <c r="G2033" s="50"/>
      <c r="H2033" s="9"/>
      <c r="I2033" s="9"/>
      <c r="CS2033" s="37"/>
      <c r="CT2033" s="37"/>
      <c r="CU2033" s="37"/>
      <c r="CV2033" s="37"/>
      <c r="CW2033" s="37"/>
      <c r="CX2033" s="37"/>
      <c r="CY2033" s="37"/>
    </row>
    <row r="2034" spans="2:103" s="10" customFormat="1" x14ac:dyDescent="0.4">
      <c r="B2034" s="44"/>
      <c r="C2034" s="43"/>
      <c r="D2034" s="50"/>
      <c r="E2034" s="50"/>
      <c r="F2034" s="50"/>
      <c r="G2034" s="50"/>
      <c r="H2034" s="9"/>
      <c r="I2034" s="9"/>
      <c r="CS2034" s="37"/>
      <c r="CT2034" s="37"/>
      <c r="CU2034" s="37"/>
      <c r="CV2034" s="37"/>
      <c r="CW2034" s="37"/>
      <c r="CX2034" s="37"/>
      <c r="CY2034" s="37"/>
    </row>
    <row r="2035" spans="2:103" s="10" customFormat="1" x14ac:dyDescent="0.4">
      <c r="B2035" s="44"/>
      <c r="C2035" s="43"/>
      <c r="D2035" s="50"/>
      <c r="E2035" s="50"/>
      <c r="F2035" s="50"/>
      <c r="G2035" s="50"/>
      <c r="H2035" s="9"/>
      <c r="I2035" s="9"/>
      <c r="CS2035" s="37"/>
      <c r="CT2035" s="37"/>
      <c r="CU2035" s="37"/>
      <c r="CV2035" s="37"/>
      <c r="CW2035" s="37"/>
      <c r="CX2035" s="37"/>
      <c r="CY2035" s="37"/>
    </row>
    <row r="2036" spans="2:103" s="10" customFormat="1" x14ac:dyDescent="0.4">
      <c r="B2036" s="44"/>
      <c r="C2036" s="43"/>
      <c r="D2036" s="50"/>
      <c r="E2036" s="50"/>
      <c r="F2036" s="50"/>
      <c r="G2036" s="50"/>
      <c r="H2036" s="9"/>
      <c r="I2036" s="9"/>
      <c r="CS2036" s="37"/>
      <c r="CT2036" s="37"/>
      <c r="CU2036" s="37"/>
      <c r="CV2036" s="37"/>
      <c r="CW2036" s="37"/>
      <c r="CX2036" s="37"/>
      <c r="CY2036" s="37"/>
    </row>
    <row r="2037" spans="2:103" s="10" customFormat="1" x14ac:dyDescent="0.4">
      <c r="B2037" s="44"/>
      <c r="C2037" s="43"/>
      <c r="D2037" s="50"/>
      <c r="E2037" s="50"/>
      <c r="F2037" s="50"/>
      <c r="G2037" s="50"/>
      <c r="H2037" s="9"/>
      <c r="I2037" s="9"/>
      <c r="CS2037" s="37"/>
      <c r="CT2037" s="37"/>
      <c r="CU2037" s="37"/>
      <c r="CV2037" s="37"/>
      <c r="CW2037" s="37"/>
      <c r="CX2037" s="37"/>
      <c r="CY2037" s="37"/>
    </row>
    <row r="2038" spans="2:103" s="10" customFormat="1" x14ac:dyDescent="0.4">
      <c r="B2038" s="44"/>
      <c r="C2038" s="43"/>
      <c r="D2038" s="50"/>
      <c r="E2038" s="50"/>
      <c r="F2038" s="50"/>
      <c r="G2038" s="50"/>
      <c r="H2038" s="9"/>
      <c r="I2038" s="9"/>
      <c r="CS2038" s="37"/>
      <c r="CT2038" s="37"/>
      <c r="CU2038" s="37"/>
      <c r="CV2038" s="37"/>
      <c r="CW2038" s="37"/>
      <c r="CX2038" s="37"/>
      <c r="CY2038" s="37"/>
    </row>
    <row r="2039" spans="2:103" s="10" customFormat="1" x14ac:dyDescent="0.4">
      <c r="B2039" s="44"/>
      <c r="C2039" s="43"/>
      <c r="D2039" s="50"/>
      <c r="E2039" s="50"/>
      <c r="F2039" s="50"/>
      <c r="G2039" s="50"/>
      <c r="H2039" s="9"/>
      <c r="I2039" s="9"/>
      <c r="CS2039" s="37"/>
      <c r="CT2039" s="37"/>
      <c r="CU2039" s="37"/>
      <c r="CV2039" s="37"/>
      <c r="CW2039" s="37"/>
      <c r="CX2039" s="37"/>
      <c r="CY2039" s="37"/>
    </row>
    <row r="2040" spans="2:103" s="10" customFormat="1" x14ac:dyDescent="0.4">
      <c r="B2040" s="44"/>
      <c r="C2040" s="43"/>
      <c r="D2040" s="50"/>
      <c r="E2040" s="50"/>
      <c r="F2040" s="50"/>
      <c r="G2040" s="50"/>
      <c r="H2040" s="9"/>
      <c r="I2040" s="9"/>
      <c r="CS2040" s="37"/>
      <c r="CT2040" s="37"/>
      <c r="CU2040" s="37"/>
      <c r="CV2040" s="37"/>
      <c r="CW2040" s="37"/>
      <c r="CX2040" s="37"/>
      <c r="CY2040" s="37"/>
    </row>
    <row r="2041" spans="2:103" s="10" customFormat="1" x14ac:dyDescent="0.4">
      <c r="B2041" s="44"/>
      <c r="C2041" s="43"/>
      <c r="D2041" s="50"/>
      <c r="E2041" s="50"/>
      <c r="F2041" s="50"/>
      <c r="G2041" s="50"/>
      <c r="H2041" s="9"/>
      <c r="I2041" s="9"/>
      <c r="CS2041" s="37"/>
      <c r="CT2041" s="37"/>
      <c r="CU2041" s="37"/>
      <c r="CV2041" s="37"/>
      <c r="CW2041" s="37"/>
      <c r="CX2041" s="37"/>
      <c r="CY2041" s="37"/>
    </row>
    <row r="2042" spans="2:103" s="10" customFormat="1" x14ac:dyDescent="0.4">
      <c r="B2042" s="44"/>
      <c r="C2042" s="43"/>
      <c r="D2042" s="50"/>
      <c r="E2042" s="50"/>
      <c r="F2042" s="50"/>
      <c r="G2042" s="50"/>
      <c r="H2042" s="9"/>
      <c r="I2042" s="9"/>
      <c r="CS2042" s="37"/>
      <c r="CT2042" s="37"/>
      <c r="CU2042" s="37"/>
      <c r="CV2042" s="37"/>
      <c r="CW2042" s="37"/>
      <c r="CX2042" s="37"/>
      <c r="CY2042" s="37"/>
    </row>
    <row r="2043" spans="2:103" s="10" customFormat="1" x14ac:dyDescent="0.4">
      <c r="B2043" s="44"/>
      <c r="C2043" s="43"/>
      <c r="D2043" s="50"/>
      <c r="E2043" s="50"/>
      <c r="F2043" s="50"/>
      <c r="G2043" s="50"/>
      <c r="H2043" s="9"/>
      <c r="I2043" s="9"/>
      <c r="CS2043" s="37"/>
      <c r="CT2043" s="37"/>
      <c r="CU2043" s="37"/>
      <c r="CV2043" s="37"/>
      <c r="CW2043" s="37"/>
      <c r="CX2043" s="37"/>
      <c r="CY2043" s="37"/>
    </row>
    <row r="2044" spans="2:103" s="10" customFormat="1" x14ac:dyDescent="0.4">
      <c r="B2044" s="44"/>
      <c r="C2044" s="43"/>
      <c r="D2044" s="50"/>
      <c r="E2044" s="50"/>
      <c r="F2044" s="50"/>
      <c r="G2044" s="50"/>
      <c r="H2044" s="9"/>
      <c r="I2044" s="9"/>
      <c r="CS2044" s="37"/>
      <c r="CT2044" s="37"/>
      <c r="CU2044" s="37"/>
      <c r="CV2044" s="37"/>
      <c r="CW2044" s="37"/>
      <c r="CX2044" s="37"/>
      <c r="CY2044" s="37"/>
    </row>
    <row r="2045" spans="2:103" s="10" customFormat="1" x14ac:dyDescent="0.4">
      <c r="B2045" s="44"/>
      <c r="C2045" s="43"/>
      <c r="D2045" s="50"/>
      <c r="E2045" s="50"/>
      <c r="F2045" s="50"/>
      <c r="G2045" s="50"/>
      <c r="H2045" s="9"/>
      <c r="I2045" s="9"/>
      <c r="CS2045" s="37"/>
      <c r="CT2045" s="37"/>
      <c r="CU2045" s="37"/>
      <c r="CV2045" s="37"/>
      <c r="CW2045" s="37"/>
      <c r="CX2045" s="37"/>
      <c r="CY2045" s="37"/>
    </row>
    <row r="2046" spans="2:103" s="10" customFormat="1" x14ac:dyDescent="0.4">
      <c r="B2046" s="44"/>
      <c r="C2046" s="43"/>
      <c r="D2046" s="50"/>
      <c r="E2046" s="50"/>
      <c r="F2046" s="50"/>
      <c r="G2046" s="50"/>
      <c r="H2046" s="9"/>
      <c r="I2046" s="9"/>
      <c r="CS2046" s="37"/>
      <c r="CT2046" s="37"/>
      <c r="CU2046" s="37"/>
      <c r="CV2046" s="37"/>
      <c r="CW2046" s="37"/>
      <c r="CX2046" s="37"/>
      <c r="CY2046" s="37"/>
    </row>
    <row r="2047" spans="2:103" s="10" customFormat="1" x14ac:dyDescent="0.4">
      <c r="B2047" s="44"/>
      <c r="C2047" s="43"/>
      <c r="D2047" s="50"/>
      <c r="E2047" s="50"/>
      <c r="F2047" s="50"/>
      <c r="G2047" s="50"/>
      <c r="H2047" s="9"/>
      <c r="I2047" s="9"/>
      <c r="CS2047" s="37"/>
      <c r="CT2047" s="37"/>
      <c r="CU2047" s="37"/>
      <c r="CV2047" s="37"/>
      <c r="CW2047" s="37"/>
      <c r="CX2047" s="37"/>
      <c r="CY2047" s="37"/>
    </row>
    <row r="2048" spans="2:103" s="10" customFormat="1" x14ac:dyDescent="0.4">
      <c r="B2048" s="44"/>
      <c r="C2048" s="43"/>
      <c r="D2048" s="50"/>
      <c r="E2048" s="50"/>
      <c r="F2048" s="50"/>
      <c r="G2048" s="50"/>
      <c r="H2048" s="9"/>
      <c r="I2048" s="9"/>
      <c r="CS2048" s="37"/>
      <c r="CT2048" s="37"/>
      <c r="CU2048" s="37"/>
      <c r="CV2048" s="37"/>
      <c r="CW2048" s="37"/>
      <c r="CX2048" s="37"/>
      <c r="CY2048" s="37"/>
    </row>
    <row r="2049" spans="2:103" s="10" customFormat="1" x14ac:dyDescent="0.4">
      <c r="B2049" s="44"/>
      <c r="C2049" s="43"/>
      <c r="D2049" s="50"/>
      <c r="E2049" s="50"/>
      <c r="F2049" s="50"/>
      <c r="G2049" s="50"/>
      <c r="H2049" s="9"/>
      <c r="I2049" s="9"/>
      <c r="CS2049" s="37"/>
      <c r="CT2049" s="37"/>
      <c r="CU2049" s="37"/>
      <c r="CV2049" s="37"/>
      <c r="CW2049" s="37"/>
      <c r="CX2049" s="37"/>
      <c r="CY2049" s="37"/>
    </row>
    <row r="2050" spans="2:103" s="10" customFormat="1" x14ac:dyDescent="0.4">
      <c r="B2050" s="44"/>
      <c r="C2050" s="43"/>
      <c r="D2050" s="50"/>
      <c r="E2050" s="50"/>
      <c r="F2050" s="50"/>
      <c r="G2050" s="50"/>
      <c r="H2050" s="9"/>
      <c r="I2050" s="9"/>
      <c r="CS2050" s="37"/>
      <c r="CT2050" s="37"/>
      <c r="CU2050" s="37"/>
      <c r="CV2050" s="37"/>
      <c r="CW2050" s="37"/>
      <c r="CX2050" s="37"/>
      <c r="CY2050" s="37"/>
    </row>
    <row r="2051" spans="2:103" s="10" customFormat="1" x14ac:dyDescent="0.4">
      <c r="B2051" s="44"/>
      <c r="C2051" s="43"/>
      <c r="D2051" s="50"/>
      <c r="E2051" s="50"/>
      <c r="F2051" s="50"/>
      <c r="G2051" s="50"/>
      <c r="H2051" s="9"/>
      <c r="I2051" s="9"/>
      <c r="CS2051" s="37"/>
      <c r="CT2051" s="37"/>
      <c r="CU2051" s="37"/>
      <c r="CV2051" s="37"/>
      <c r="CW2051" s="37"/>
      <c r="CX2051" s="37"/>
      <c r="CY2051" s="37"/>
    </row>
    <row r="2052" spans="2:103" s="10" customFormat="1" x14ac:dyDescent="0.4">
      <c r="B2052" s="44"/>
      <c r="C2052" s="43"/>
      <c r="D2052" s="50"/>
      <c r="E2052" s="50"/>
      <c r="F2052" s="50"/>
      <c r="G2052" s="50"/>
      <c r="H2052" s="9"/>
      <c r="I2052" s="9"/>
      <c r="CS2052" s="37"/>
      <c r="CT2052" s="37"/>
      <c r="CU2052" s="37"/>
      <c r="CV2052" s="37"/>
      <c r="CW2052" s="37"/>
      <c r="CX2052" s="37"/>
      <c r="CY2052" s="37"/>
    </row>
    <row r="2053" spans="2:103" s="10" customFormat="1" x14ac:dyDescent="0.4">
      <c r="B2053" s="44"/>
      <c r="C2053" s="43"/>
      <c r="D2053" s="50"/>
      <c r="E2053" s="50"/>
      <c r="F2053" s="50"/>
      <c r="G2053" s="50"/>
      <c r="H2053" s="9"/>
      <c r="I2053" s="9"/>
      <c r="CS2053" s="37"/>
      <c r="CT2053" s="37"/>
      <c r="CU2053" s="37"/>
      <c r="CV2053" s="37"/>
      <c r="CW2053" s="37"/>
      <c r="CX2053" s="37"/>
      <c r="CY2053" s="37"/>
    </row>
    <row r="2054" spans="2:103" s="10" customFormat="1" x14ac:dyDescent="0.4">
      <c r="B2054" s="44"/>
      <c r="C2054" s="43"/>
      <c r="D2054" s="50"/>
      <c r="E2054" s="50"/>
      <c r="F2054" s="50"/>
      <c r="G2054" s="50"/>
      <c r="H2054" s="9"/>
      <c r="I2054" s="9"/>
      <c r="CS2054" s="37"/>
      <c r="CT2054" s="37"/>
      <c r="CU2054" s="37"/>
      <c r="CV2054" s="37"/>
      <c r="CW2054" s="37"/>
      <c r="CX2054" s="37"/>
      <c r="CY2054" s="37"/>
    </row>
    <row r="2055" spans="2:103" s="10" customFormat="1" x14ac:dyDescent="0.4">
      <c r="B2055" s="44"/>
      <c r="C2055" s="43"/>
      <c r="D2055" s="50"/>
      <c r="E2055" s="50"/>
      <c r="F2055" s="50"/>
      <c r="G2055" s="50"/>
      <c r="H2055" s="9"/>
      <c r="I2055" s="9"/>
      <c r="CS2055" s="37"/>
      <c r="CT2055" s="37"/>
      <c r="CU2055" s="37"/>
      <c r="CV2055" s="37"/>
      <c r="CW2055" s="37"/>
      <c r="CX2055" s="37"/>
      <c r="CY2055" s="37"/>
    </row>
    <row r="2056" spans="2:103" s="10" customFormat="1" x14ac:dyDescent="0.4">
      <c r="B2056" s="44"/>
      <c r="C2056" s="43"/>
      <c r="D2056" s="50"/>
      <c r="E2056" s="50"/>
      <c r="F2056" s="50"/>
      <c r="G2056" s="50"/>
      <c r="H2056" s="9"/>
      <c r="I2056" s="9"/>
      <c r="CS2056" s="37"/>
      <c r="CT2056" s="37"/>
      <c r="CU2056" s="37"/>
      <c r="CV2056" s="37"/>
      <c r="CW2056" s="37"/>
      <c r="CX2056" s="37"/>
      <c r="CY2056" s="37"/>
    </row>
    <row r="2057" spans="2:103" s="10" customFormat="1" x14ac:dyDescent="0.4">
      <c r="B2057" s="44"/>
      <c r="C2057" s="43"/>
      <c r="D2057" s="50"/>
      <c r="E2057" s="50"/>
      <c r="F2057" s="50"/>
      <c r="G2057" s="50"/>
      <c r="H2057" s="9"/>
      <c r="I2057" s="9"/>
      <c r="CS2057" s="37"/>
      <c r="CT2057" s="37"/>
      <c r="CU2057" s="37"/>
      <c r="CV2057" s="37"/>
      <c r="CW2057" s="37"/>
      <c r="CX2057" s="37"/>
      <c r="CY2057" s="37"/>
    </row>
    <row r="2058" spans="2:103" s="10" customFormat="1" x14ac:dyDescent="0.4">
      <c r="B2058" s="44"/>
      <c r="C2058" s="43"/>
      <c r="D2058" s="50"/>
      <c r="E2058" s="50"/>
      <c r="F2058" s="50"/>
      <c r="G2058" s="50"/>
      <c r="H2058" s="9"/>
      <c r="I2058" s="9"/>
      <c r="CS2058" s="37"/>
      <c r="CT2058" s="37"/>
      <c r="CU2058" s="37"/>
      <c r="CV2058" s="37"/>
      <c r="CW2058" s="37"/>
      <c r="CX2058" s="37"/>
      <c r="CY2058" s="37"/>
    </row>
    <row r="2059" spans="2:103" s="10" customFormat="1" x14ac:dyDescent="0.4">
      <c r="B2059" s="44"/>
      <c r="C2059" s="43"/>
      <c r="D2059" s="50"/>
      <c r="E2059" s="50"/>
      <c r="F2059" s="50"/>
      <c r="G2059" s="50"/>
      <c r="H2059" s="9"/>
      <c r="I2059" s="9"/>
      <c r="CS2059" s="37"/>
      <c r="CT2059" s="37"/>
      <c r="CU2059" s="37"/>
      <c r="CV2059" s="37"/>
      <c r="CW2059" s="37"/>
      <c r="CX2059" s="37"/>
      <c r="CY2059" s="37"/>
    </row>
    <row r="2060" spans="2:103" s="10" customFormat="1" x14ac:dyDescent="0.4">
      <c r="B2060" s="44"/>
      <c r="C2060" s="43"/>
      <c r="D2060" s="50"/>
      <c r="E2060" s="50"/>
      <c r="F2060" s="50"/>
      <c r="G2060" s="50"/>
      <c r="H2060" s="9"/>
      <c r="I2060" s="9"/>
      <c r="CS2060" s="37"/>
      <c r="CT2060" s="37"/>
      <c r="CU2060" s="37"/>
      <c r="CV2060" s="37"/>
      <c r="CW2060" s="37"/>
      <c r="CX2060" s="37"/>
      <c r="CY2060" s="37"/>
    </row>
    <row r="2061" spans="2:103" s="10" customFormat="1" x14ac:dyDescent="0.4">
      <c r="B2061" s="44"/>
      <c r="C2061" s="43"/>
      <c r="D2061" s="50"/>
      <c r="E2061" s="50"/>
      <c r="F2061" s="50"/>
      <c r="G2061" s="50"/>
      <c r="H2061" s="9"/>
      <c r="I2061" s="9"/>
      <c r="CS2061" s="37"/>
      <c r="CT2061" s="37"/>
      <c r="CU2061" s="37"/>
      <c r="CV2061" s="37"/>
      <c r="CW2061" s="37"/>
      <c r="CX2061" s="37"/>
      <c r="CY2061" s="37"/>
    </row>
    <row r="2062" spans="2:103" s="10" customFormat="1" x14ac:dyDescent="0.4">
      <c r="B2062" s="44"/>
      <c r="C2062" s="43"/>
      <c r="D2062" s="50"/>
      <c r="E2062" s="50"/>
      <c r="F2062" s="50"/>
      <c r="G2062" s="50"/>
      <c r="H2062" s="9"/>
      <c r="I2062" s="9"/>
      <c r="CS2062" s="37"/>
      <c r="CT2062" s="37"/>
      <c r="CU2062" s="37"/>
      <c r="CV2062" s="37"/>
      <c r="CW2062" s="37"/>
      <c r="CX2062" s="37"/>
      <c r="CY2062" s="37"/>
    </row>
    <row r="2063" spans="2:103" s="10" customFormat="1" x14ac:dyDescent="0.4">
      <c r="B2063" s="44"/>
      <c r="C2063" s="43"/>
      <c r="D2063" s="50"/>
      <c r="E2063" s="50"/>
      <c r="F2063" s="50"/>
      <c r="G2063" s="50"/>
      <c r="H2063" s="9"/>
      <c r="I2063" s="9"/>
      <c r="CS2063" s="37"/>
      <c r="CT2063" s="37"/>
      <c r="CU2063" s="37"/>
      <c r="CV2063" s="37"/>
      <c r="CW2063" s="37"/>
      <c r="CX2063" s="37"/>
      <c r="CY2063" s="37"/>
    </row>
    <row r="2064" spans="2:103" s="10" customFormat="1" x14ac:dyDescent="0.4">
      <c r="B2064" s="44"/>
      <c r="C2064" s="43"/>
      <c r="D2064" s="50"/>
      <c r="E2064" s="50"/>
      <c r="F2064" s="50"/>
      <c r="G2064" s="50"/>
      <c r="H2064" s="9"/>
      <c r="I2064" s="9"/>
      <c r="CS2064" s="37"/>
      <c r="CT2064" s="37"/>
      <c r="CU2064" s="37"/>
      <c r="CV2064" s="37"/>
      <c r="CW2064" s="37"/>
      <c r="CX2064" s="37"/>
      <c r="CY2064" s="37"/>
    </row>
    <row r="2065" spans="2:103" s="10" customFormat="1" x14ac:dyDescent="0.4">
      <c r="B2065" s="44"/>
      <c r="C2065" s="43"/>
      <c r="D2065" s="50"/>
      <c r="E2065" s="50"/>
      <c r="F2065" s="50"/>
      <c r="G2065" s="50"/>
      <c r="H2065" s="9"/>
      <c r="I2065" s="9"/>
      <c r="CS2065" s="37"/>
      <c r="CT2065" s="37"/>
      <c r="CU2065" s="37"/>
      <c r="CV2065" s="37"/>
      <c r="CW2065" s="37"/>
      <c r="CX2065" s="37"/>
      <c r="CY2065" s="37"/>
    </row>
    <row r="2066" spans="2:103" s="10" customFormat="1" x14ac:dyDescent="0.4">
      <c r="B2066" s="44"/>
      <c r="C2066" s="43"/>
      <c r="D2066" s="50"/>
      <c r="E2066" s="50"/>
      <c r="F2066" s="50"/>
      <c r="G2066" s="50"/>
      <c r="H2066" s="9"/>
      <c r="I2066" s="9"/>
      <c r="CS2066" s="37"/>
      <c r="CT2066" s="37"/>
      <c r="CU2066" s="37"/>
      <c r="CV2066" s="37"/>
      <c r="CW2066" s="37"/>
      <c r="CX2066" s="37"/>
      <c r="CY2066" s="37"/>
    </row>
    <row r="2067" spans="2:103" s="10" customFormat="1" x14ac:dyDescent="0.4">
      <c r="B2067" s="44"/>
      <c r="C2067" s="43"/>
      <c r="D2067" s="50"/>
      <c r="E2067" s="50"/>
      <c r="F2067" s="50"/>
      <c r="G2067" s="50"/>
      <c r="H2067" s="9"/>
      <c r="I2067" s="9"/>
      <c r="CS2067" s="37"/>
      <c r="CT2067" s="37"/>
      <c r="CU2067" s="37"/>
      <c r="CV2067" s="37"/>
      <c r="CW2067" s="37"/>
      <c r="CX2067" s="37"/>
      <c r="CY2067" s="37"/>
    </row>
    <row r="2068" spans="2:103" s="10" customFormat="1" x14ac:dyDescent="0.4">
      <c r="B2068" s="44"/>
      <c r="C2068" s="43"/>
      <c r="D2068" s="50"/>
      <c r="E2068" s="50"/>
      <c r="F2068" s="50"/>
      <c r="G2068" s="50"/>
      <c r="H2068" s="9"/>
      <c r="I2068" s="9"/>
      <c r="CS2068" s="37"/>
      <c r="CT2068" s="37"/>
      <c r="CU2068" s="37"/>
      <c r="CV2068" s="37"/>
      <c r="CW2068" s="37"/>
      <c r="CX2068" s="37"/>
      <c r="CY2068" s="37"/>
    </row>
    <row r="2069" spans="2:103" s="10" customFormat="1" x14ac:dyDescent="0.4">
      <c r="B2069" s="44"/>
      <c r="C2069" s="43"/>
      <c r="D2069" s="50"/>
      <c r="E2069" s="50"/>
      <c r="F2069" s="50"/>
      <c r="G2069" s="50"/>
      <c r="H2069" s="9"/>
      <c r="I2069" s="9"/>
      <c r="CS2069" s="37"/>
      <c r="CT2069" s="37"/>
      <c r="CU2069" s="37"/>
      <c r="CV2069" s="37"/>
      <c r="CW2069" s="37"/>
      <c r="CX2069" s="37"/>
      <c r="CY2069" s="37"/>
    </row>
    <row r="2070" spans="2:103" s="10" customFormat="1" x14ac:dyDescent="0.4">
      <c r="B2070" s="44"/>
      <c r="C2070" s="43"/>
      <c r="D2070" s="50"/>
      <c r="E2070" s="50"/>
      <c r="F2070" s="50"/>
      <c r="G2070" s="50"/>
      <c r="H2070" s="9"/>
      <c r="I2070" s="9"/>
      <c r="CS2070" s="37"/>
      <c r="CT2070" s="37"/>
      <c r="CU2070" s="37"/>
      <c r="CV2070" s="37"/>
      <c r="CW2070" s="37"/>
      <c r="CX2070" s="37"/>
      <c r="CY2070" s="37"/>
    </row>
    <row r="2071" spans="2:103" s="10" customFormat="1" x14ac:dyDescent="0.4">
      <c r="B2071" s="44"/>
      <c r="C2071" s="43"/>
      <c r="D2071" s="50"/>
      <c r="E2071" s="50"/>
      <c r="F2071" s="50"/>
      <c r="G2071" s="50"/>
      <c r="H2071" s="9"/>
      <c r="I2071" s="9"/>
      <c r="CS2071" s="37"/>
      <c r="CT2071" s="37"/>
      <c r="CU2071" s="37"/>
      <c r="CV2071" s="37"/>
      <c r="CW2071" s="37"/>
      <c r="CX2071" s="37"/>
      <c r="CY2071" s="37"/>
    </row>
    <row r="2072" spans="2:103" s="10" customFormat="1" x14ac:dyDescent="0.4">
      <c r="B2072" s="44"/>
      <c r="C2072" s="43"/>
      <c r="D2072" s="50"/>
      <c r="E2072" s="50"/>
      <c r="F2072" s="50"/>
      <c r="G2072" s="50"/>
      <c r="H2072" s="9"/>
      <c r="I2072" s="9"/>
      <c r="CS2072" s="37"/>
      <c r="CT2072" s="37"/>
      <c r="CU2072" s="37"/>
      <c r="CV2072" s="37"/>
      <c r="CW2072" s="37"/>
      <c r="CX2072" s="37"/>
      <c r="CY2072" s="37"/>
    </row>
    <row r="2073" spans="2:103" s="10" customFormat="1" x14ac:dyDescent="0.4">
      <c r="B2073" s="44"/>
      <c r="C2073" s="43"/>
      <c r="D2073" s="50"/>
      <c r="E2073" s="50"/>
      <c r="F2073" s="50"/>
      <c r="G2073" s="50"/>
      <c r="H2073" s="9"/>
      <c r="I2073" s="9"/>
      <c r="CS2073" s="37"/>
      <c r="CT2073" s="37"/>
      <c r="CU2073" s="37"/>
      <c r="CV2073" s="37"/>
      <c r="CW2073" s="37"/>
      <c r="CX2073" s="37"/>
      <c r="CY2073" s="37"/>
    </row>
    <row r="2074" spans="2:103" s="10" customFormat="1" x14ac:dyDescent="0.4">
      <c r="B2074" s="44"/>
      <c r="C2074" s="43"/>
      <c r="D2074" s="50"/>
      <c r="E2074" s="50"/>
      <c r="F2074" s="50"/>
      <c r="G2074" s="50"/>
      <c r="H2074" s="9"/>
      <c r="I2074" s="9"/>
      <c r="CS2074" s="37"/>
      <c r="CT2074" s="37"/>
      <c r="CU2074" s="37"/>
      <c r="CV2074" s="37"/>
      <c r="CW2074" s="37"/>
      <c r="CX2074" s="37"/>
      <c r="CY2074" s="37"/>
    </row>
    <row r="2075" spans="2:103" s="10" customFormat="1" x14ac:dyDescent="0.4">
      <c r="B2075" s="44"/>
      <c r="C2075" s="43"/>
      <c r="D2075" s="50"/>
      <c r="E2075" s="50"/>
      <c r="F2075" s="50"/>
      <c r="G2075" s="50"/>
      <c r="H2075" s="9"/>
      <c r="I2075" s="9"/>
      <c r="CS2075" s="37"/>
      <c r="CT2075" s="37"/>
      <c r="CU2075" s="37"/>
      <c r="CV2075" s="37"/>
      <c r="CW2075" s="37"/>
      <c r="CX2075" s="37"/>
      <c r="CY2075" s="37"/>
    </row>
    <row r="2076" spans="2:103" s="10" customFormat="1" x14ac:dyDescent="0.4">
      <c r="B2076" s="44"/>
      <c r="C2076" s="43"/>
      <c r="D2076" s="50"/>
      <c r="E2076" s="50"/>
      <c r="F2076" s="50"/>
      <c r="G2076" s="50"/>
      <c r="H2076" s="9"/>
      <c r="I2076" s="9"/>
      <c r="CS2076" s="37"/>
      <c r="CT2076" s="37"/>
      <c r="CU2076" s="37"/>
      <c r="CV2076" s="37"/>
      <c r="CW2076" s="37"/>
      <c r="CX2076" s="37"/>
      <c r="CY2076" s="37"/>
    </row>
    <row r="2077" spans="2:103" s="10" customFormat="1" x14ac:dyDescent="0.4">
      <c r="B2077" s="44"/>
      <c r="C2077" s="43"/>
      <c r="D2077" s="50"/>
      <c r="E2077" s="50"/>
      <c r="F2077" s="50"/>
      <c r="G2077" s="50"/>
      <c r="H2077" s="9"/>
      <c r="I2077" s="9"/>
      <c r="CS2077" s="37"/>
      <c r="CT2077" s="37"/>
      <c r="CU2077" s="37"/>
      <c r="CV2077" s="37"/>
      <c r="CW2077" s="37"/>
      <c r="CX2077" s="37"/>
      <c r="CY2077" s="37"/>
    </row>
    <row r="2078" spans="2:103" s="10" customFormat="1" x14ac:dyDescent="0.4">
      <c r="B2078" s="44"/>
      <c r="C2078" s="43"/>
      <c r="D2078" s="50"/>
      <c r="E2078" s="50"/>
      <c r="F2078" s="50"/>
      <c r="G2078" s="50"/>
      <c r="H2078" s="9"/>
      <c r="I2078" s="9"/>
      <c r="CS2078" s="37"/>
      <c r="CT2078" s="37"/>
      <c r="CU2078" s="37"/>
      <c r="CV2078" s="37"/>
      <c r="CW2078" s="37"/>
      <c r="CX2078" s="37"/>
      <c r="CY2078" s="37"/>
    </row>
    <row r="2079" spans="2:103" s="10" customFormat="1" x14ac:dyDescent="0.4">
      <c r="B2079" s="44"/>
      <c r="C2079" s="43"/>
      <c r="D2079" s="50"/>
      <c r="E2079" s="50"/>
      <c r="F2079" s="50"/>
      <c r="G2079" s="50"/>
      <c r="H2079" s="9"/>
      <c r="I2079" s="9"/>
      <c r="CS2079" s="37"/>
      <c r="CT2079" s="37"/>
      <c r="CU2079" s="37"/>
      <c r="CV2079" s="37"/>
      <c r="CW2079" s="37"/>
      <c r="CX2079" s="37"/>
      <c r="CY2079" s="37"/>
    </row>
    <row r="2080" spans="2:103" s="10" customFormat="1" x14ac:dyDescent="0.4">
      <c r="B2080" s="44"/>
      <c r="C2080" s="43"/>
      <c r="D2080" s="50"/>
      <c r="E2080" s="50"/>
      <c r="F2080" s="50"/>
      <c r="G2080" s="50"/>
      <c r="H2080" s="9"/>
      <c r="I2080" s="9"/>
      <c r="CS2080" s="37"/>
      <c r="CT2080" s="37"/>
      <c r="CU2080" s="37"/>
      <c r="CV2080" s="37"/>
      <c r="CW2080" s="37"/>
      <c r="CX2080" s="37"/>
      <c r="CY2080" s="37"/>
    </row>
    <row r="2081" spans="2:103" s="10" customFormat="1" x14ac:dyDescent="0.4">
      <c r="B2081" s="44"/>
      <c r="C2081" s="43"/>
      <c r="D2081" s="50"/>
      <c r="E2081" s="50"/>
      <c r="F2081" s="50"/>
      <c r="G2081" s="50"/>
      <c r="H2081" s="9"/>
      <c r="I2081" s="9"/>
      <c r="CS2081" s="37"/>
      <c r="CT2081" s="37"/>
      <c r="CU2081" s="37"/>
      <c r="CV2081" s="37"/>
      <c r="CW2081" s="37"/>
      <c r="CX2081" s="37"/>
      <c r="CY2081" s="37"/>
    </row>
    <row r="2082" spans="2:103" s="10" customFormat="1" x14ac:dyDescent="0.4">
      <c r="B2082" s="44"/>
      <c r="C2082" s="43"/>
      <c r="D2082" s="50"/>
      <c r="E2082" s="50"/>
      <c r="F2082" s="50"/>
      <c r="G2082" s="50"/>
      <c r="H2082" s="9"/>
      <c r="I2082" s="9"/>
      <c r="CS2082" s="37"/>
      <c r="CT2082" s="37"/>
      <c r="CU2082" s="37"/>
      <c r="CV2082" s="37"/>
      <c r="CW2082" s="37"/>
      <c r="CX2082" s="37"/>
      <c r="CY2082" s="37"/>
    </row>
    <row r="2083" spans="2:103" s="10" customFormat="1" x14ac:dyDescent="0.4">
      <c r="B2083" s="44"/>
      <c r="C2083" s="43"/>
      <c r="D2083" s="50"/>
      <c r="E2083" s="50"/>
      <c r="F2083" s="50"/>
      <c r="G2083" s="50"/>
      <c r="H2083" s="9"/>
      <c r="I2083" s="9"/>
      <c r="CS2083" s="37"/>
      <c r="CT2083" s="37"/>
      <c r="CU2083" s="37"/>
      <c r="CV2083" s="37"/>
      <c r="CW2083" s="37"/>
      <c r="CX2083" s="37"/>
      <c r="CY2083" s="37"/>
    </row>
    <row r="2084" spans="2:103" s="10" customFormat="1" x14ac:dyDescent="0.4">
      <c r="B2084" s="44"/>
      <c r="C2084" s="43"/>
      <c r="D2084" s="50"/>
      <c r="E2084" s="50"/>
      <c r="F2084" s="50"/>
      <c r="G2084" s="50"/>
      <c r="H2084" s="9"/>
      <c r="I2084" s="9"/>
      <c r="CS2084" s="37"/>
      <c r="CT2084" s="37"/>
      <c r="CU2084" s="37"/>
      <c r="CV2084" s="37"/>
      <c r="CW2084" s="37"/>
      <c r="CX2084" s="37"/>
      <c r="CY2084" s="37"/>
    </row>
    <row r="2085" spans="2:103" s="10" customFormat="1" x14ac:dyDescent="0.4">
      <c r="B2085" s="44"/>
      <c r="C2085" s="43"/>
      <c r="D2085" s="50"/>
      <c r="E2085" s="50"/>
      <c r="F2085" s="50"/>
      <c r="G2085" s="50"/>
      <c r="H2085" s="9"/>
      <c r="I2085" s="9"/>
      <c r="CS2085" s="37"/>
      <c r="CT2085" s="37"/>
      <c r="CU2085" s="37"/>
      <c r="CV2085" s="37"/>
      <c r="CW2085" s="37"/>
      <c r="CX2085" s="37"/>
      <c r="CY2085" s="37"/>
    </row>
    <row r="2086" spans="2:103" s="10" customFormat="1" x14ac:dyDescent="0.4">
      <c r="B2086" s="44"/>
      <c r="C2086" s="43"/>
      <c r="D2086" s="50"/>
      <c r="E2086" s="50"/>
      <c r="F2086" s="50"/>
      <c r="G2086" s="50"/>
      <c r="H2086" s="9"/>
      <c r="I2086" s="9"/>
      <c r="CS2086" s="37"/>
      <c r="CT2086" s="37"/>
      <c r="CU2086" s="37"/>
      <c r="CV2086" s="37"/>
      <c r="CW2086" s="37"/>
      <c r="CX2086" s="37"/>
      <c r="CY2086" s="37"/>
    </row>
    <row r="2087" spans="2:103" s="10" customFormat="1" x14ac:dyDescent="0.4">
      <c r="B2087" s="44"/>
      <c r="C2087" s="43"/>
      <c r="D2087" s="50"/>
      <c r="E2087" s="50"/>
      <c r="F2087" s="50"/>
      <c r="G2087" s="50"/>
      <c r="H2087" s="9"/>
      <c r="I2087" s="9"/>
      <c r="CS2087" s="37"/>
      <c r="CT2087" s="37"/>
      <c r="CU2087" s="37"/>
      <c r="CV2087" s="37"/>
      <c r="CW2087" s="37"/>
      <c r="CX2087" s="37"/>
      <c r="CY2087" s="37"/>
    </row>
    <row r="2088" spans="2:103" s="10" customFormat="1" x14ac:dyDescent="0.4">
      <c r="B2088" s="44"/>
      <c r="C2088" s="43"/>
      <c r="D2088" s="50"/>
      <c r="E2088" s="50"/>
      <c r="F2088" s="50"/>
      <c r="G2088" s="50"/>
      <c r="H2088" s="9"/>
      <c r="I2088" s="9"/>
      <c r="CS2088" s="37"/>
      <c r="CT2088" s="37"/>
      <c r="CU2088" s="37"/>
      <c r="CV2088" s="37"/>
      <c r="CW2088" s="37"/>
      <c r="CX2088" s="37"/>
      <c r="CY2088" s="37"/>
    </row>
    <row r="2089" spans="2:103" s="10" customFormat="1" x14ac:dyDescent="0.4">
      <c r="B2089" s="44"/>
      <c r="C2089" s="43"/>
      <c r="D2089" s="50"/>
      <c r="E2089" s="50"/>
      <c r="F2089" s="50"/>
      <c r="G2089" s="50"/>
      <c r="H2089" s="9"/>
      <c r="I2089" s="9"/>
      <c r="CS2089" s="37"/>
      <c r="CT2089" s="37"/>
      <c r="CU2089" s="37"/>
      <c r="CV2089" s="37"/>
      <c r="CW2089" s="37"/>
      <c r="CX2089" s="37"/>
      <c r="CY2089" s="37"/>
    </row>
    <row r="2090" spans="2:103" s="10" customFormat="1" x14ac:dyDescent="0.4">
      <c r="B2090" s="44"/>
      <c r="C2090" s="43"/>
      <c r="D2090" s="50"/>
      <c r="E2090" s="50"/>
      <c r="F2090" s="50"/>
      <c r="G2090" s="50"/>
      <c r="H2090" s="9"/>
      <c r="I2090" s="9"/>
      <c r="CS2090" s="37"/>
      <c r="CT2090" s="37"/>
      <c r="CU2090" s="37"/>
      <c r="CV2090" s="37"/>
      <c r="CW2090" s="37"/>
      <c r="CX2090" s="37"/>
      <c r="CY2090" s="37"/>
    </row>
    <row r="2091" spans="2:103" s="10" customFormat="1" x14ac:dyDescent="0.4">
      <c r="B2091" s="44"/>
      <c r="C2091" s="43"/>
      <c r="D2091" s="50"/>
      <c r="E2091" s="50"/>
      <c r="F2091" s="50"/>
      <c r="G2091" s="50"/>
      <c r="H2091" s="9"/>
      <c r="I2091" s="9"/>
      <c r="CS2091" s="37"/>
      <c r="CT2091" s="37"/>
      <c r="CU2091" s="37"/>
      <c r="CV2091" s="37"/>
      <c r="CW2091" s="37"/>
      <c r="CX2091" s="37"/>
      <c r="CY2091" s="37"/>
    </row>
    <row r="2092" spans="2:103" s="10" customFormat="1" x14ac:dyDescent="0.4">
      <c r="B2092" s="44"/>
      <c r="C2092" s="43"/>
      <c r="D2092" s="50"/>
      <c r="E2092" s="50"/>
      <c r="F2092" s="50"/>
      <c r="G2092" s="50"/>
      <c r="H2092" s="9"/>
      <c r="I2092" s="9"/>
      <c r="CS2092" s="37"/>
      <c r="CT2092" s="37"/>
      <c r="CU2092" s="37"/>
      <c r="CV2092" s="37"/>
      <c r="CW2092" s="37"/>
      <c r="CX2092" s="37"/>
      <c r="CY2092" s="37"/>
    </row>
    <row r="2093" spans="2:103" s="10" customFormat="1" x14ac:dyDescent="0.4">
      <c r="B2093" s="44"/>
      <c r="C2093" s="43"/>
      <c r="D2093" s="50"/>
      <c r="E2093" s="50"/>
      <c r="F2093" s="50"/>
      <c r="G2093" s="50"/>
      <c r="H2093" s="9"/>
      <c r="I2093" s="9"/>
      <c r="CS2093" s="37"/>
      <c r="CT2093" s="37"/>
      <c r="CU2093" s="37"/>
      <c r="CV2093" s="37"/>
      <c r="CW2093" s="37"/>
      <c r="CX2093" s="37"/>
      <c r="CY2093" s="37"/>
    </row>
    <row r="2094" spans="2:103" s="10" customFormat="1" x14ac:dyDescent="0.4">
      <c r="B2094" s="44"/>
      <c r="C2094" s="43"/>
      <c r="D2094" s="50"/>
      <c r="E2094" s="50"/>
      <c r="F2094" s="50"/>
      <c r="G2094" s="50"/>
      <c r="H2094" s="9"/>
      <c r="I2094" s="9"/>
      <c r="CS2094" s="37"/>
      <c r="CT2094" s="37"/>
      <c r="CU2094" s="37"/>
      <c r="CV2094" s="37"/>
      <c r="CW2094" s="37"/>
      <c r="CX2094" s="37"/>
      <c r="CY2094" s="37"/>
    </row>
    <row r="2095" spans="2:103" s="10" customFormat="1" x14ac:dyDescent="0.4">
      <c r="B2095" s="44"/>
      <c r="C2095" s="43"/>
      <c r="D2095" s="50"/>
      <c r="E2095" s="50"/>
      <c r="F2095" s="50"/>
      <c r="G2095" s="50"/>
      <c r="H2095" s="9"/>
      <c r="I2095" s="9"/>
      <c r="CS2095" s="37"/>
      <c r="CT2095" s="37"/>
      <c r="CU2095" s="37"/>
      <c r="CV2095" s="37"/>
      <c r="CW2095" s="37"/>
      <c r="CX2095" s="37"/>
      <c r="CY2095" s="37"/>
    </row>
    <row r="2096" spans="2:103" s="10" customFormat="1" x14ac:dyDescent="0.4">
      <c r="B2096" s="44"/>
      <c r="C2096" s="43"/>
      <c r="D2096" s="50"/>
      <c r="E2096" s="50"/>
      <c r="F2096" s="50"/>
      <c r="G2096" s="50"/>
      <c r="H2096" s="9"/>
      <c r="I2096" s="9"/>
      <c r="CS2096" s="37"/>
      <c r="CT2096" s="37"/>
      <c r="CU2096" s="37"/>
      <c r="CV2096" s="37"/>
      <c r="CW2096" s="37"/>
      <c r="CX2096" s="37"/>
      <c r="CY2096" s="37"/>
    </row>
    <row r="2097" spans="2:103" s="10" customFormat="1" x14ac:dyDescent="0.4">
      <c r="B2097" s="44"/>
      <c r="C2097" s="43"/>
      <c r="D2097" s="50"/>
      <c r="E2097" s="50"/>
      <c r="F2097" s="50"/>
      <c r="G2097" s="50"/>
      <c r="H2097" s="9"/>
      <c r="I2097" s="9"/>
      <c r="CS2097" s="37"/>
      <c r="CT2097" s="37"/>
      <c r="CU2097" s="37"/>
      <c r="CV2097" s="37"/>
      <c r="CW2097" s="37"/>
      <c r="CX2097" s="37"/>
      <c r="CY2097" s="37"/>
    </row>
    <row r="2098" spans="2:103" s="10" customFormat="1" x14ac:dyDescent="0.4">
      <c r="B2098" s="44"/>
      <c r="C2098" s="43"/>
      <c r="D2098" s="50"/>
      <c r="E2098" s="50"/>
      <c r="F2098" s="50"/>
      <c r="G2098" s="50"/>
      <c r="H2098" s="9"/>
      <c r="I2098" s="9"/>
      <c r="CS2098" s="37"/>
      <c r="CT2098" s="37"/>
      <c r="CU2098" s="37"/>
      <c r="CV2098" s="37"/>
      <c r="CW2098" s="37"/>
      <c r="CX2098" s="37"/>
      <c r="CY2098" s="37"/>
    </row>
    <row r="2099" spans="2:103" s="10" customFormat="1" x14ac:dyDescent="0.4">
      <c r="B2099" s="44"/>
      <c r="C2099" s="43"/>
      <c r="D2099" s="50"/>
      <c r="E2099" s="50"/>
      <c r="F2099" s="50"/>
      <c r="G2099" s="50"/>
      <c r="H2099" s="9"/>
      <c r="I2099" s="9"/>
      <c r="CS2099" s="37"/>
      <c r="CT2099" s="37"/>
      <c r="CU2099" s="37"/>
      <c r="CV2099" s="37"/>
      <c r="CW2099" s="37"/>
      <c r="CX2099" s="37"/>
      <c r="CY2099" s="37"/>
    </row>
    <row r="2100" spans="2:103" s="10" customFormat="1" x14ac:dyDescent="0.4">
      <c r="B2100" s="44"/>
      <c r="C2100" s="43"/>
      <c r="D2100" s="50"/>
      <c r="E2100" s="50"/>
      <c r="F2100" s="50"/>
      <c r="G2100" s="50"/>
      <c r="H2100" s="9"/>
      <c r="I2100" s="9"/>
      <c r="CS2100" s="37"/>
      <c r="CT2100" s="37"/>
      <c r="CU2100" s="37"/>
      <c r="CV2100" s="37"/>
      <c r="CW2100" s="37"/>
      <c r="CX2100" s="37"/>
      <c r="CY2100" s="37"/>
    </row>
    <row r="2101" spans="2:103" s="10" customFormat="1" x14ac:dyDescent="0.4">
      <c r="B2101" s="44"/>
      <c r="C2101" s="43"/>
      <c r="D2101" s="50"/>
      <c r="E2101" s="50"/>
      <c r="F2101" s="50"/>
      <c r="G2101" s="50"/>
      <c r="H2101" s="9"/>
      <c r="I2101" s="9"/>
      <c r="CS2101" s="37"/>
      <c r="CT2101" s="37"/>
      <c r="CU2101" s="37"/>
      <c r="CV2101" s="37"/>
      <c r="CW2101" s="37"/>
      <c r="CX2101" s="37"/>
      <c r="CY2101" s="37"/>
    </row>
    <row r="2102" spans="2:103" s="10" customFormat="1" x14ac:dyDescent="0.4">
      <c r="B2102" s="44"/>
      <c r="C2102" s="43"/>
      <c r="D2102" s="50"/>
      <c r="E2102" s="50"/>
      <c r="F2102" s="50"/>
      <c r="G2102" s="50"/>
      <c r="H2102" s="9"/>
      <c r="I2102" s="9"/>
      <c r="CS2102" s="37"/>
      <c r="CT2102" s="37"/>
      <c r="CU2102" s="37"/>
      <c r="CV2102" s="37"/>
      <c r="CW2102" s="37"/>
      <c r="CX2102" s="37"/>
      <c r="CY2102" s="37"/>
    </row>
    <row r="2103" spans="2:103" s="10" customFormat="1" x14ac:dyDescent="0.4">
      <c r="B2103" s="44"/>
      <c r="C2103" s="43"/>
      <c r="D2103" s="50"/>
      <c r="E2103" s="50"/>
      <c r="F2103" s="50"/>
      <c r="G2103" s="50"/>
      <c r="H2103" s="9"/>
      <c r="I2103" s="9"/>
      <c r="CS2103" s="37"/>
      <c r="CT2103" s="37"/>
      <c r="CU2103" s="37"/>
      <c r="CV2103" s="37"/>
      <c r="CW2103" s="37"/>
      <c r="CX2103" s="37"/>
      <c r="CY2103" s="37"/>
    </row>
    <row r="2104" spans="2:103" s="10" customFormat="1" x14ac:dyDescent="0.4">
      <c r="B2104" s="44"/>
      <c r="C2104" s="43"/>
      <c r="D2104" s="50"/>
      <c r="E2104" s="50"/>
      <c r="F2104" s="50"/>
      <c r="G2104" s="50"/>
      <c r="H2104" s="9"/>
      <c r="I2104" s="9"/>
      <c r="CS2104" s="37"/>
      <c r="CT2104" s="37"/>
      <c r="CU2104" s="37"/>
      <c r="CV2104" s="37"/>
      <c r="CW2104" s="37"/>
      <c r="CX2104" s="37"/>
      <c r="CY2104" s="37"/>
    </row>
    <row r="2105" spans="2:103" s="10" customFormat="1" x14ac:dyDescent="0.4">
      <c r="B2105" s="44"/>
      <c r="C2105" s="43"/>
      <c r="D2105" s="50"/>
      <c r="E2105" s="50"/>
      <c r="F2105" s="50"/>
      <c r="G2105" s="50"/>
      <c r="H2105" s="9"/>
      <c r="I2105" s="9"/>
      <c r="CS2105" s="37"/>
      <c r="CT2105" s="37"/>
      <c r="CU2105" s="37"/>
      <c r="CV2105" s="37"/>
      <c r="CW2105" s="37"/>
      <c r="CX2105" s="37"/>
      <c r="CY2105" s="37"/>
    </row>
    <row r="2106" spans="2:103" s="10" customFormat="1" x14ac:dyDescent="0.4">
      <c r="B2106" s="44"/>
      <c r="C2106" s="43"/>
      <c r="D2106" s="50"/>
      <c r="E2106" s="50"/>
      <c r="F2106" s="50"/>
      <c r="G2106" s="50"/>
      <c r="H2106" s="9"/>
      <c r="I2106" s="9"/>
      <c r="CS2106" s="37"/>
      <c r="CT2106" s="37"/>
      <c r="CU2106" s="37"/>
      <c r="CV2106" s="37"/>
      <c r="CW2106" s="37"/>
      <c r="CX2106" s="37"/>
      <c r="CY2106" s="37"/>
    </row>
    <row r="2107" spans="2:103" s="10" customFormat="1" x14ac:dyDescent="0.4">
      <c r="B2107" s="44"/>
      <c r="C2107" s="43"/>
      <c r="D2107" s="50"/>
      <c r="E2107" s="50"/>
      <c r="F2107" s="50"/>
      <c r="G2107" s="50"/>
      <c r="H2107" s="9"/>
      <c r="I2107" s="9"/>
      <c r="CS2107" s="37"/>
      <c r="CT2107" s="37"/>
      <c r="CU2107" s="37"/>
      <c r="CV2107" s="37"/>
      <c r="CW2107" s="37"/>
      <c r="CX2107" s="37"/>
      <c r="CY2107" s="37"/>
    </row>
    <row r="2108" spans="2:103" s="10" customFormat="1" x14ac:dyDescent="0.4">
      <c r="B2108" s="44"/>
      <c r="C2108" s="43"/>
      <c r="D2108" s="50"/>
      <c r="E2108" s="50"/>
      <c r="F2108" s="50"/>
      <c r="G2108" s="50"/>
      <c r="H2108" s="9"/>
      <c r="I2108" s="9"/>
      <c r="CS2108" s="37"/>
      <c r="CT2108" s="37"/>
      <c r="CU2108" s="37"/>
      <c r="CV2108" s="37"/>
      <c r="CW2108" s="37"/>
      <c r="CX2108" s="37"/>
      <c r="CY2108" s="37"/>
    </row>
    <row r="2109" spans="2:103" s="10" customFormat="1" x14ac:dyDescent="0.4">
      <c r="B2109" s="44"/>
      <c r="C2109" s="43"/>
      <c r="D2109" s="50"/>
      <c r="E2109" s="50"/>
      <c r="F2109" s="50"/>
      <c r="G2109" s="50"/>
      <c r="H2109" s="9"/>
      <c r="I2109" s="9"/>
      <c r="CS2109" s="37"/>
      <c r="CT2109" s="37"/>
      <c r="CU2109" s="37"/>
      <c r="CV2109" s="37"/>
      <c r="CW2109" s="37"/>
      <c r="CX2109" s="37"/>
      <c r="CY2109" s="37"/>
    </row>
    <row r="2110" spans="2:103" s="10" customFormat="1" x14ac:dyDescent="0.4">
      <c r="B2110" s="44"/>
      <c r="C2110" s="43"/>
      <c r="D2110" s="50"/>
      <c r="E2110" s="50"/>
      <c r="F2110" s="50"/>
      <c r="G2110" s="50"/>
      <c r="H2110" s="9"/>
      <c r="I2110" s="9"/>
      <c r="CS2110" s="37"/>
      <c r="CT2110" s="37"/>
      <c r="CU2110" s="37"/>
      <c r="CV2110" s="37"/>
      <c r="CW2110" s="37"/>
      <c r="CX2110" s="37"/>
      <c r="CY2110" s="37"/>
    </row>
    <row r="2111" spans="2:103" s="10" customFormat="1" x14ac:dyDescent="0.4">
      <c r="B2111" s="44"/>
      <c r="C2111" s="43"/>
      <c r="D2111" s="50"/>
      <c r="E2111" s="50"/>
      <c r="F2111" s="50"/>
      <c r="G2111" s="50"/>
      <c r="H2111" s="9"/>
      <c r="I2111" s="9"/>
      <c r="CS2111" s="37"/>
      <c r="CT2111" s="37"/>
      <c r="CU2111" s="37"/>
      <c r="CV2111" s="37"/>
      <c r="CW2111" s="37"/>
      <c r="CX2111" s="37"/>
      <c r="CY2111" s="37"/>
    </row>
    <row r="2112" spans="2:103" s="10" customFormat="1" x14ac:dyDescent="0.4">
      <c r="B2112" s="44"/>
      <c r="C2112" s="43"/>
      <c r="D2112" s="50"/>
      <c r="E2112" s="50"/>
      <c r="F2112" s="50"/>
      <c r="G2112" s="50"/>
      <c r="H2112" s="9"/>
      <c r="I2112" s="9"/>
      <c r="CS2112" s="37"/>
      <c r="CT2112" s="37"/>
      <c r="CU2112" s="37"/>
      <c r="CV2112" s="37"/>
      <c r="CW2112" s="37"/>
      <c r="CX2112" s="37"/>
      <c r="CY2112" s="37"/>
    </row>
    <row r="2113" spans="2:103" s="10" customFormat="1" x14ac:dyDescent="0.4">
      <c r="B2113" s="44"/>
      <c r="C2113" s="43"/>
      <c r="D2113" s="50"/>
      <c r="E2113" s="50"/>
      <c r="F2113" s="50"/>
      <c r="G2113" s="50"/>
      <c r="H2113" s="9"/>
      <c r="I2113" s="9"/>
      <c r="CS2113" s="37"/>
      <c r="CT2113" s="37"/>
      <c r="CU2113" s="37"/>
      <c r="CV2113" s="37"/>
      <c r="CW2113" s="37"/>
      <c r="CX2113" s="37"/>
      <c r="CY2113" s="37"/>
    </row>
    <row r="2114" spans="2:103" s="10" customFormat="1" x14ac:dyDescent="0.4">
      <c r="B2114" s="44"/>
      <c r="C2114" s="43"/>
      <c r="D2114" s="50"/>
      <c r="E2114" s="50"/>
      <c r="F2114" s="50"/>
      <c r="G2114" s="50"/>
      <c r="H2114" s="9"/>
      <c r="I2114" s="9"/>
      <c r="CS2114" s="37"/>
      <c r="CT2114" s="37"/>
      <c r="CU2114" s="37"/>
      <c r="CV2114" s="37"/>
      <c r="CW2114" s="37"/>
      <c r="CX2114" s="37"/>
      <c r="CY2114" s="37"/>
    </row>
    <row r="2115" spans="2:103" s="10" customFormat="1" x14ac:dyDescent="0.4">
      <c r="B2115" s="44"/>
      <c r="C2115" s="43"/>
      <c r="D2115" s="50"/>
      <c r="E2115" s="50"/>
      <c r="F2115" s="50"/>
      <c r="G2115" s="50"/>
      <c r="H2115" s="9"/>
      <c r="I2115" s="9"/>
      <c r="CS2115" s="37"/>
      <c r="CT2115" s="37"/>
      <c r="CU2115" s="37"/>
      <c r="CV2115" s="37"/>
      <c r="CW2115" s="37"/>
      <c r="CX2115" s="37"/>
      <c r="CY2115" s="37"/>
    </row>
    <row r="2116" spans="2:103" s="10" customFormat="1" x14ac:dyDescent="0.4">
      <c r="B2116" s="44"/>
      <c r="C2116" s="43"/>
      <c r="D2116" s="50"/>
      <c r="E2116" s="50"/>
      <c r="F2116" s="50"/>
      <c r="G2116" s="50"/>
      <c r="H2116" s="9"/>
      <c r="I2116" s="9"/>
      <c r="CS2116" s="37"/>
      <c r="CT2116" s="37"/>
      <c r="CU2116" s="37"/>
      <c r="CV2116" s="37"/>
      <c r="CW2116" s="37"/>
      <c r="CX2116" s="37"/>
      <c r="CY2116" s="37"/>
    </row>
    <row r="2117" spans="2:103" s="10" customFormat="1" x14ac:dyDescent="0.4">
      <c r="B2117" s="44"/>
      <c r="C2117" s="43"/>
      <c r="D2117" s="50"/>
      <c r="E2117" s="50"/>
      <c r="F2117" s="50"/>
      <c r="G2117" s="50"/>
      <c r="H2117" s="9"/>
      <c r="I2117" s="9"/>
      <c r="CS2117" s="37"/>
      <c r="CT2117" s="37"/>
      <c r="CU2117" s="37"/>
      <c r="CV2117" s="37"/>
      <c r="CW2117" s="37"/>
      <c r="CX2117" s="37"/>
      <c r="CY2117" s="37"/>
    </row>
    <row r="2118" spans="2:103" s="10" customFormat="1" x14ac:dyDescent="0.4">
      <c r="B2118" s="44"/>
      <c r="C2118" s="43"/>
      <c r="D2118" s="50"/>
      <c r="E2118" s="50"/>
      <c r="F2118" s="50"/>
      <c r="G2118" s="50"/>
      <c r="H2118" s="9"/>
      <c r="I2118" s="9"/>
      <c r="CS2118" s="37"/>
      <c r="CT2118" s="37"/>
      <c r="CU2118" s="37"/>
      <c r="CV2118" s="37"/>
      <c r="CW2118" s="37"/>
      <c r="CX2118" s="37"/>
      <c r="CY2118" s="37"/>
    </row>
    <row r="2119" spans="2:103" s="10" customFormat="1" x14ac:dyDescent="0.4">
      <c r="B2119" s="44"/>
      <c r="C2119" s="43"/>
      <c r="D2119" s="50"/>
      <c r="E2119" s="50"/>
      <c r="F2119" s="50"/>
      <c r="G2119" s="50"/>
      <c r="H2119" s="9"/>
      <c r="I2119" s="9"/>
      <c r="CS2119" s="37"/>
      <c r="CT2119" s="37"/>
      <c r="CU2119" s="37"/>
      <c r="CV2119" s="37"/>
      <c r="CW2119" s="37"/>
      <c r="CX2119" s="37"/>
      <c r="CY2119" s="37"/>
    </row>
    <row r="2120" spans="2:103" s="10" customFormat="1" x14ac:dyDescent="0.4">
      <c r="B2120" s="44"/>
      <c r="C2120" s="43"/>
      <c r="D2120" s="50"/>
      <c r="E2120" s="50"/>
      <c r="F2120" s="50"/>
      <c r="G2120" s="50"/>
      <c r="H2120" s="9"/>
      <c r="I2120" s="9"/>
      <c r="CS2120" s="37"/>
      <c r="CT2120" s="37"/>
      <c r="CU2120" s="37"/>
      <c r="CV2120" s="37"/>
      <c r="CW2120" s="37"/>
      <c r="CX2120" s="37"/>
      <c r="CY2120" s="37"/>
    </row>
    <row r="2121" spans="2:103" s="10" customFormat="1" x14ac:dyDescent="0.4">
      <c r="B2121" s="44"/>
      <c r="C2121" s="43"/>
      <c r="D2121" s="50"/>
      <c r="E2121" s="50"/>
      <c r="F2121" s="50"/>
      <c r="G2121" s="50"/>
      <c r="H2121" s="9"/>
      <c r="I2121" s="9"/>
      <c r="CS2121" s="37"/>
      <c r="CT2121" s="37"/>
      <c r="CU2121" s="37"/>
      <c r="CV2121" s="37"/>
      <c r="CW2121" s="37"/>
      <c r="CX2121" s="37"/>
      <c r="CY2121" s="37"/>
    </row>
    <row r="2122" spans="2:103" s="10" customFormat="1" x14ac:dyDescent="0.4">
      <c r="B2122" s="44"/>
      <c r="C2122" s="43"/>
      <c r="D2122" s="50"/>
      <c r="E2122" s="50"/>
      <c r="F2122" s="50"/>
      <c r="G2122" s="50"/>
      <c r="H2122" s="9"/>
      <c r="I2122" s="9"/>
      <c r="CS2122" s="37"/>
      <c r="CT2122" s="37"/>
      <c r="CU2122" s="37"/>
      <c r="CV2122" s="37"/>
      <c r="CW2122" s="37"/>
      <c r="CX2122" s="37"/>
      <c r="CY2122" s="37"/>
    </row>
    <row r="2123" spans="2:103" s="10" customFormat="1" x14ac:dyDescent="0.4">
      <c r="B2123" s="44"/>
      <c r="C2123" s="43"/>
      <c r="D2123" s="50"/>
      <c r="E2123" s="50"/>
      <c r="F2123" s="50"/>
      <c r="G2123" s="50"/>
      <c r="H2123" s="9"/>
      <c r="I2123" s="9"/>
      <c r="CS2123" s="37"/>
      <c r="CT2123" s="37"/>
      <c r="CU2123" s="37"/>
      <c r="CV2123" s="37"/>
      <c r="CW2123" s="37"/>
      <c r="CX2123" s="37"/>
      <c r="CY2123" s="37"/>
    </row>
    <row r="2124" spans="2:103" s="10" customFormat="1" x14ac:dyDescent="0.4">
      <c r="B2124" s="44"/>
      <c r="C2124" s="43"/>
      <c r="D2124" s="50"/>
      <c r="E2124" s="50"/>
      <c r="F2124" s="50"/>
      <c r="G2124" s="50"/>
      <c r="H2124" s="9"/>
      <c r="I2124" s="9"/>
      <c r="CS2124" s="37"/>
      <c r="CT2124" s="37"/>
      <c r="CU2124" s="37"/>
      <c r="CV2124" s="37"/>
      <c r="CW2124" s="37"/>
      <c r="CX2124" s="37"/>
      <c r="CY2124" s="37"/>
    </row>
    <row r="2125" spans="2:103" s="10" customFormat="1" x14ac:dyDescent="0.4">
      <c r="B2125" s="44"/>
      <c r="C2125" s="43"/>
      <c r="D2125" s="50"/>
      <c r="E2125" s="50"/>
      <c r="F2125" s="50"/>
      <c r="G2125" s="50"/>
      <c r="H2125" s="9"/>
      <c r="I2125" s="9"/>
      <c r="CS2125" s="37"/>
      <c r="CT2125" s="37"/>
      <c r="CU2125" s="37"/>
      <c r="CV2125" s="37"/>
      <c r="CW2125" s="37"/>
      <c r="CX2125" s="37"/>
      <c r="CY2125" s="37"/>
    </row>
    <row r="2126" spans="2:103" s="10" customFormat="1" x14ac:dyDescent="0.4">
      <c r="B2126" s="44"/>
      <c r="C2126" s="43"/>
      <c r="D2126" s="50"/>
      <c r="E2126" s="50"/>
      <c r="F2126" s="50"/>
      <c r="G2126" s="50"/>
      <c r="H2126" s="9"/>
      <c r="I2126" s="9"/>
      <c r="CS2126" s="37"/>
      <c r="CT2126" s="37"/>
      <c r="CU2126" s="37"/>
      <c r="CV2126" s="37"/>
      <c r="CW2126" s="37"/>
      <c r="CX2126" s="37"/>
      <c r="CY2126" s="37"/>
    </row>
    <row r="2127" spans="2:103" s="10" customFormat="1" x14ac:dyDescent="0.4">
      <c r="B2127" s="44"/>
      <c r="C2127" s="43"/>
      <c r="D2127" s="50"/>
      <c r="E2127" s="50"/>
      <c r="F2127" s="50"/>
      <c r="G2127" s="50"/>
      <c r="H2127" s="9"/>
      <c r="I2127" s="9"/>
      <c r="CS2127" s="37"/>
      <c r="CT2127" s="37"/>
      <c r="CU2127" s="37"/>
      <c r="CV2127" s="37"/>
      <c r="CW2127" s="37"/>
      <c r="CX2127" s="37"/>
      <c r="CY2127" s="37"/>
    </row>
    <row r="2128" spans="2:103" s="10" customFormat="1" x14ac:dyDescent="0.4">
      <c r="B2128" s="44"/>
      <c r="C2128" s="43"/>
      <c r="D2128" s="50"/>
      <c r="E2128" s="50"/>
      <c r="F2128" s="50"/>
      <c r="G2128" s="50"/>
      <c r="H2128" s="9"/>
      <c r="I2128" s="9"/>
      <c r="CS2128" s="37"/>
      <c r="CT2128" s="37"/>
      <c r="CU2128" s="37"/>
      <c r="CV2128" s="37"/>
      <c r="CW2128" s="37"/>
      <c r="CX2128" s="37"/>
      <c r="CY2128" s="37"/>
    </row>
    <row r="2129" spans="2:103" s="10" customFormat="1" x14ac:dyDescent="0.4">
      <c r="B2129" s="44"/>
      <c r="C2129" s="43"/>
      <c r="D2129" s="50"/>
      <c r="E2129" s="50"/>
      <c r="F2129" s="50"/>
      <c r="G2129" s="50"/>
      <c r="H2129" s="9"/>
      <c r="I2129" s="9"/>
      <c r="CS2129" s="37"/>
      <c r="CT2129" s="37"/>
      <c r="CU2129" s="37"/>
      <c r="CV2129" s="37"/>
      <c r="CW2129" s="37"/>
      <c r="CX2129" s="37"/>
      <c r="CY2129" s="37"/>
    </row>
    <row r="2130" spans="2:103" s="10" customFormat="1" x14ac:dyDescent="0.4">
      <c r="B2130" s="44"/>
      <c r="C2130" s="43"/>
      <c r="D2130" s="50"/>
      <c r="E2130" s="50"/>
      <c r="F2130" s="50"/>
      <c r="G2130" s="50"/>
      <c r="H2130" s="9"/>
      <c r="I2130" s="9"/>
      <c r="CS2130" s="37"/>
      <c r="CT2130" s="37"/>
      <c r="CU2130" s="37"/>
      <c r="CV2130" s="37"/>
      <c r="CW2130" s="37"/>
      <c r="CX2130" s="37"/>
      <c r="CY2130" s="37"/>
    </row>
    <row r="2131" spans="2:103" s="10" customFormat="1" x14ac:dyDescent="0.4">
      <c r="B2131" s="44"/>
      <c r="C2131" s="43"/>
      <c r="D2131" s="50"/>
      <c r="E2131" s="50"/>
      <c r="F2131" s="50"/>
      <c r="G2131" s="50"/>
      <c r="H2131" s="9"/>
      <c r="I2131" s="9"/>
      <c r="CS2131" s="37"/>
      <c r="CT2131" s="37"/>
      <c r="CU2131" s="37"/>
      <c r="CV2131" s="37"/>
      <c r="CW2131" s="37"/>
      <c r="CX2131" s="37"/>
      <c r="CY2131" s="37"/>
    </row>
    <row r="2132" spans="2:103" s="10" customFormat="1" x14ac:dyDescent="0.4">
      <c r="B2132" s="44"/>
      <c r="C2132" s="43"/>
      <c r="D2132" s="50"/>
      <c r="E2132" s="50"/>
      <c r="F2132" s="50"/>
      <c r="G2132" s="50"/>
      <c r="H2132" s="9"/>
      <c r="I2132" s="9"/>
      <c r="CS2132" s="37"/>
      <c r="CT2132" s="37"/>
      <c r="CU2132" s="37"/>
      <c r="CV2132" s="37"/>
      <c r="CW2132" s="37"/>
      <c r="CX2132" s="37"/>
      <c r="CY2132" s="37"/>
    </row>
    <row r="2133" spans="2:103" s="10" customFormat="1" x14ac:dyDescent="0.4">
      <c r="B2133" s="44"/>
      <c r="C2133" s="43"/>
      <c r="D2133" s="50"/>
      <c r="E2133" s="50"/>
      <c r="F2133" s="50"/>
      <c r="G2133" s="50"/>
      <c r="H2133" s="9"/>
      <c r="I2133" s="9"/>
      <c r="CS2133" s="37"/>
      <c r="CT2133" s="37"/>
      <c r="CU2133" s="37"/>
      <c r="CV2133" s="37"/>
      <c r="CW2133" s="37"/>
      <c r="CX2133" s="37"/>
      <c r="CY2133" s="37"/>
    </row>
    <row r="2134" spans="2:103" s="10" customFormat="1" x14ac:dyDescent="0.4">
      <c r="B2134" s="44"/>
      <c r="C2134" s="43"/>
      <c r="D2134" s="50"/>
      <c r="E2134" s="50"/>
      <c r="F2134" s="50"/>
      <c r="G2134" s="50"/>
      <c r="H2134" s="9"/>
      <c r="I2134" s="9"/>
      <c r="CS2134" s="37"/>
      <c r="CT2134" s="37"/>
      <c r="CU2134" s="37"/>
      <c r="CV2134" s="37"/>
      <c r="CW2134" s="37"/>
      <c r="CX2134" s="37"/>
      <c r="CY2134" s="37"/>
    </row>
    <row r="2135" spans="2:103" s="10" customFormat="1" x14ac:dyDescent="0.4">
      <c r="B2135" s="44"/>
      <c r="C2135" s="43"/>
      <c r="D2135" s="50"/>
      <c r="E2135" s="50"/>
      <c r="F2135" s="50"/>
      <c r="G2135" s="50"/>
      <c r="H2135" s="9"/>
      <c r="I2135" s="9"/>
      <c r="CS2135" s="37"/>
      <c r="CT2135" s="37"/>
      <c r="CU2135" s="37"/>
      <c r="CV2135" s="37"/>
      <c r="CW2135" s="37"/>
      <c r="CX2135" s="37"/>
      <c r="CY2135" s="37"/>
    </row>
    <row r="2136" spans="2:103" s="10" customFormat="1" x14ac:dyDescent="0.4">
      <c r="B2136" s="44"/>
      <c r="C2136" s="43"/>
      <c r="D2136" s="50"/>
      <c r="E2136" s="50"/>
      <c r="F2136" s="50"/>
      <c r="G2136" s="50"/>
      <c r="H2136" s="9"/>
      <c r="I2136" s="9"/>
      <c r="CS2136" s="37"/>
      <c r="CT2136" s="37"/>
      <c r="CU2136" s="37"/>
      <c r="CV2136" s="37"/>
      <c r="CW2136" s="37"/>
      <c r="CX2136" s="37"/>
      <c r="CY2136" s="37"/>
    </row>
    <row r="2137" spans="2:103" s="10" customFormat="1" x14ac:dyDescent="0.4">
      <c r="B2137" s="44"/>
      <c r="C2137" s="43"/>
      <c r="D2137" s="50"/>
      <c r="E2137" s="50"/>
      <c r="F2137" s="50"/>
      <c r="G2137" s="50"/>
      <c r="H2137" s="9"/>
      <c r="I2137" s="9"/>
      <c r="CS2137" s="37"/>
      <c r="CT2137" s="37"/>
      <c r="CU2137" s="37"/>
      <c r="CV2137" s="37"/>
      <c r="CW2137" s="37"/>
      <c r="CX2137" s="37"/>
      <c r="CY2137" s="37"/>
    </row>
    <row r="2138" spans="2:103" s="10" customFormat="1" x14ac:dyDescent="0.4">
      <c r="B2138" s="44"/>
      <c r="C2138" s="43"/>
      <c r="D2138" s="50"/>
      <c r="E2138" s="50"/>
      <c r="F2138" s="50"/>
      <c r="G2138" s="50"/>
      <c r="H2138" s="9"/>
      <c r="I2138" s="9"/>
      <c r="CS2138" s="37"/>
      <c r="CT2138" s="37"/>
      <c r="CU2138" s="37"/>
      <c r="CV2138" s="37"/>
      <c r="CW2138" s="37"/>
      <c r="CX2138" s="37"/>
      <c r="CY2138" s="37"/>
    </row>
    <row r="2139" spans="2:103" s="10" customFormat="1" x14ac:dyDescent="0.4">
      <c r="B2139" s="44"/>
      <c r="C2139" s="43"/>
      <c r="D2139" s="50"/>
      <c r="E2139" s="50"/>
      <c r="F2139" s="50"/>
      <c r="G2139" s="50"/>
      <c r="H2139" s="9"/>
      <c r="I2139" s="9"/>
      <c r="CS2139" s="37"/>
      <c r="CT2139" s="37"/>
      <c r="CU2139" s="37"/>
      <c r="CV2139" s="37"/>
      <c r="CW2139" s="37"/>
      <c r="CX2139" s="37"/>
      <c r="CY2139" s="37"/>
    </row>
    <row r="2140" spans="2:103" s="10" customFormat="1" x14ac:dyDescent="0.4">
      <c r="B2140" s="44"/>
      <c r="C2140" s="43"/>
      <c r="D2140" s="50"/>
      <c r="E2140" s="50"/>
      <c r="F2140" s="50"/>
      <c r="G2140" s="50"/>
      <c r="H2140" s="9"/>
      <c r="I2140" s="9"/>
      <c r="CS2140" s="37"/>
      <c r="CT2140" s="37"/>
      <c r="CU2140" s="37"/>
      <c r="CV2140" s="37"/>
      <c r="CW2140" s="37"/>
      <c r="CX2140" s="37"/>
      <c r="CY2140" s="37"/>
    </row>
    <row r="2141" spans="2:103" s="10" customFormat="1" x14ac:dyDescent="0.4">
      <c r="B2141" s="44"/>
      <c r="C2141" s="43"/>
      <c r="D2141" s="50"/>
      <c r="E2141" s="50"/>
      <c r="F2141" s="50"/>
      <c r="G2141" s="50"/>
      <c r="H2141" s="9"/>
      <c r="I2141" s="9"/>
      <c r="CS2141" s="37"/>
      <c r="CT2141" s="37"/>
      <c r="CU2141" s="37"/>
      <c r="CV2141" s="37"/>
      <c r="CW2141" s="37"/>
      <c r="CX2141" s="37"/>
      <c r="CY2141" s="37"/>
    </row>
    <row r="2142" spans="2:103" s="10" customFormat="1" x14ac:dyDescent="0.4">
      <c r="B2142" s="44"/>
      <c r="C2142" s="43"/>
      <c r="D2142" s="50"/>
      <c r="E2142" s="50"/>
      <c r="F2142" s="50"/>
      <c r="G2142" s="50"/>
      <c r="H2142" s="9"/>
      <c r="I2142" s="9"/>
      <c r="CS2142" s="37"/>
      <c r="CT2142" s="37"/>
      <c r="CU2142" s="37"/>
      <c r="CV2142" s="37"/>
      <c r="CW2142" s="37"/>
      <c r="CX2142" s="37"/>
      <c r="CY2142" s="37"/>
    </row>
    <row r="2143" spans="2:103" s="10" customFormat="1" x14ac:dyDescent="0.4">
      <c r="B2143" s="44"/>
      <c r="C2143" s="43"/>
      <c r="D2143" s="50"/>
      <c r="E2143" s="50"/>
      <c r="F2143" s="50"/>
      <c r="G2143" s="50"/>
      <c r="H2143" s="9"/>
      <c r="I2143" s="9"/>
      <c r="CS2143" s="37"/>
      <c r="CT2143" s="37"/>
      <c r="CU2143" s="37"/>
      <c r="CV2143" s="37"/>
      <c r="CW2143" s="37"/>
      <c r="CX2143" s="37"/>
      <c r="CY2143" s="37"/>
    </row>
    <row r="2144" spans="2:103" s="10" customFormat="1" x14ac:dyDescent="0.4">
      <c r="B2144" s="44"/>
      <c r="C2144" s="43"/>
      <c r="D2144" s="50"/>
      <c r="E2144" s="50"/>
      <c r="F2144" s="50"/>
      <c r="G2144" s="50"/>
      <c r="H2144" s="9"/>
      <c r="I2144" s="9"/>
      <c r="CS2144" s="37"/>
      <c r="CT2144" s="37"/>
      <c r="CU2144" s="37"/>
      <c r="CV2144" s="37"/>
      <c r="CW2144" s="37"/>
      <c r="CX2144" s="37"/>
      <c r="CY2144" s="37"/>
    </row>
    <row r="2145" spans="2:103" s="10" customFormat="1" x14ac:dyDescent="0.4">
      <c r="B2145" s="44"/>
      <c r="C2145" s="43"/>
      <c r="D2145" s="50"/>
      <c r="E2145" s="50"/>
      <c r="F2145" s="50"/>
      <c r="G2145" s="50"/>
      <c r="H2145" s="9"/>
      <c r="I2145" s="9"/>
      <c r="CS2145" s="37"/>
      <c r="CT2145" s="37"/>
      <c r="CU2145" s="37"/>
      <c r="CV2145" s="37"/>
      <c r="CW2145" s="37"/>
      <c r="CX2145" s="37"/>
      <c r="CY2145" s="37"/>
    </row>
    <row r="2146" spans="2:103" s="10" customFormat="1" x14ac:dyDescent="0.4">
      <c r="B2146" s="44"/>
      <c r="C2146" s="43"/>
      <c r="D2146" s="50"/>
      <c r="E2146" s="50"/>
      <c r="F2146" s="50"/>
      <c r="G2146" s="50"/>
      <c r="H2146" s="9"/>
      <c r="I2146" s="9"/>
      <c r="CS2146" s="37"/>
      <c r="CT2146" s="37"/>
      <c r="CU2146" s="37"/>
      <c r="CV2146" s="37"/>
      <c r="CW2146" s="37"/>
      <c r="CX2146" s="37"/>
      <c r="CY2146" s="37"/>
    </row>
    <row r="2147" spans="2:103" s="10" customFormat="1" x14ac:dyDescent="0.4">
      <c r="B2147" s="44"/>
      <c r="C2147" s="43"/>
      <c r="D2147" s="50"/>
      <c r="E2147" s="50"/>
      <c r="F2147" s="50"/>
      <c r="G2147" s="50"/>
      <c r="H2147" s="9"/>
      <c r="I2147" s="9"/>
      <c r="CS2147" s="37"/>
      <c r="CT2147" s="37"/>
      <c r="CU2147" s="37"/>
      <c r="CV2147" s="37"/>
      <c r="CW2147" s="37"/>
      <c r="CX2147" s="37"/>
      <c r="CY2147" s="37"/>
    </row>
    <row r="2148" spans="2:103" s="10" customFormat="1" x14ac:dyDescent="0.4">
      <c r="B2148" s="44"/>
      <c r="C2148" s="43"/>
      <c r="D2148" s="50"/>
      <c r="E2148" s="50"/>
      <c r="F2148" s="50"/>
      <c r="G2148" s="50"/>
      <c r="H2148" s="9"/>
      <c r="I2148" s="9"/>
      <c r="CS2148" s="37"/>
      <c r="CT2148" s="37"/>
      <c r="CU2148" s="37"/>
      <c r="CV2148" s="37"/>
      <c r="CW2148" s="37"/>
      <c r="CX2148" s="37"/>
      <c r="CY2148" s="37"/>
    </row>
    <row r="2149" spans="2:103" s="10" customFormat="1" x14ac:dyDescent="0.4">
      <c r="B2149" s="44"/>
      <c r="C2149" s="43"/>
      <c r="D2149" s="50"/>
      <c r="E2149" s="50"/>
      <c r="F2149" s="50"/>
      <c r="G2149" s="50"/>
      <c r="H2149" s="9"/>
      <c r="I2149" s="9"/>
      <c r="CS2149" s="37"/>
      <c r="CT2149" s="37"/>
      <c r="CU2149" s="37"/>
      <c r="CV2149" s="37"/>
      <c r="CW2149" s="37"/>
      <c r="CX2149" s="37"/>
      <c r="CY2149" s="37"/>
    </row>
    <row r="2150" spans="2:103" s="10" customFormat="1" x14ac:dyDescent="0.4">
      <c r="B2150" s="44"/>
      <c r="C2150" s="43"/>
      <c r="D2150" s="50"/>
      <c r="E2150" s="50"/>
      <c r="F2150" s="50"/>
      <c r="G2150" s="50"/>
      <c r="H2150" s="9"/>
      <c r="I2150" s="9"/>
      <c r="CS2150" s="37"/>
      <c r="CT2150" s="37"/>
      <c r="CU2150" s="37"/>
      <c r="CV2150" s="37"/>
      <c r="CW2150" s="37"/>
      <c r="CX2150" s="37"/>
      <c r="CY2150" s="37"/>
    </row>
    <row r="2151" spans="2:103" s="10" customFormat="1" x14ac:dyDescent="0.4">
      <c r="B2151" s="44"/>
      <c r="C2151" s="43"/>
      <c r="D2151" s="50"/>
      <c r="E2151" s="50"/>
      <c r="F2151" s="50"/>
      <c r="G2151" s="50"/>
      <c r="H2151" s="9"/>
      <c r="I2151" s="9"/>
      <c r="CS2151" s="37"/>
      <c r="CT2151" s="37"/>
      <c r="CU2151" s="37"/>
      <c r="CV2151" s="37"/>
      <c r="CW2151" s="37"/>
      <c r="CX2151" s="37"/>
      <c r="CY2151" s="37"/>
    </row>
    <row r="2152" spans="2:103" s="10" customFormat="1" x14ac:dyDescent="0.4">
      <c r="B2152" s="44"/>
      <c r="C2152" s="43"/>
      <c r="D2152" s="50"/>
      <c r="E2152" s="50"/>
      <c r="F2152" s="50"/>
      <c r="G2152" s="50"/>
      <c r="H2152" s="9"/>
      <c r="I2152" s="9"/>
      <c r="CS2152" s="37"/>
      <c r="CT2152" s="37"/>
      <c r="CU2152" s="37"/>
      <c r="CV2152" s="37"/>
      <c r="CW2152" s="37"/>
      <c r="CX2152" s="37"/>
      <c r="CY2152" s="37"/>
    </row>
    <row r="2153" spans="2:103" s="10" customFormat="1" x14ac:dyDescent="0.4">
      <c r="B2153" s="44"/>
      <c r="C2153" s="43"/>
      <c r="D2153" s="50"/>
      <c r="E2153" s="50"/>
      <c r="F2153" s="50"/>
      <c r="G2153" s="50"/>
      <c r="H2153" s="9"/>
      <c r="I2153" s="9"/>
      <c r="CS2153" s="37"/>
      <c r="CT2153" s="37"/>
      <c r="CU2153" s="37"/>
      <c r="CV2153" s="37"/>
      <c r="CW2153" s="37"/>
      <c r="CX2153" s="37"/>
      <c r="CY2153" s="37"/>
    </row>
    <row r="2154" spans="2:103" s="10" customFormat="1" x14ac:dyDescent="0.4">
      <c r="B2154" s="44"/>
      <c r="C2154" s="43"/>
      <c r="D2154" s="50"/>
      <c r="E2154" s="50"/>
      <c r="F2154" s="50"/>
      <c r="G2154" s="50"/>
      <c r="H2154" s="9"/>
      <c r="I2154" s="9"/>
      <c r="CS2154" s="37"/>
      <c r="CT2154" s="37"/>
      <c r="CU2154" s="37"/>
      <c r="CV2154" s="37"/>
      <c r="CW2154" s="37"/>
      <c r="CX2154" s="37"/>
      <c r="CY2154" s="37"/>
    </row>
    <row r="2155" spans="2:103" s="10" customFormat="1" x14ac:dyDescent="0.4">
      <c r="B2155" s="44"/>
      <c r="C2155" s="43"/>
      <c r="D2155" s="50"/>
      <c r="E2155" s="50"/>
      <c r="F2155" s="50"/>
      <c r="G2155" s="50"/>
      <c r="H2155" s="9"/>
      <c r="I2155" s="9"/>
      <c r="CS2155" s="37"/>
      <c r="CT2155" s="37"/>
      <c r="CU2155" s="37"/>
      <c r="CV2155" s="37"/>
      <c r="CW2155" s="37"/>
      <c r="CX2155" s="37"/>
      <c r="CY2155" s="37"/>
    </row>
    <row r="2156" spans="2:103" s="10" customFormat="1" x14ac:dyDescent="0.4">
      <c r="B2156" s="44"/>
      <c r="C2156" s="43"/>
      <c r="D2156" s="50"/>
      <c r="E2156" s="50"/>
      <c r="F2156" s="50"/>
      <c r="G2156" s="50"/>
      <c r="H2156" s="9"/>
      <c r="I2156" s="9"/>
      <c r="CS2156" s="37"/>
      <c r="CT2156" s="37"/>
      <c r="CU2156" s="37"/>
      <c r="CV2156" s="37"/>
      <c r="CW2156" s="37"/>
      <c r="CX2156" s="37"/>
      <c r="CY2156" s="37"/>
    </row>
    <row r="2157" spans="2:103" s="10" customFormat="1" x14ac:dyDescent="0.4">
      <c r="B2157" s="44"/>
      <c r="C2157" s="43"/>
      <c r="D2157" s="50"/>
      <c r="E2157" s="50"/>
      <c r="F2157" s="50"/>
      <c r="G2157" s="50"/>
      <c r="H2157" s="9"/>
      <c r="I2157" s="9"/>
      <c r="CS2157" s="37"/>
      <c r="CT2157" s="37"/>
      <c r="CU2157" s="37"/>
      <c r="CV2157" s="37"/>
      <c r="CW2157" s="37"/>
      <c r="CX2157" s="37"/>
      <c r="CY2157" s="37"/>
    </row>
    <row r="2158" spans="2:103" s="10" customFormat="1" x14ac:dyDescent="0.4">
      <c r="B2158" s="44"/>
      <c r="C2158" s="43"/>
      <c r="D2158" s="50"/>
      <c r="E2158" s="50"/>
      <c r="F2158" s="50"/>
      <c r="G2158" s="50"/>
      <c r="H2158" s="9"/>
      <c r="I2158" s="9"/>
      <c r="CS2158" s="37"/>
      <c r="CT2158" s="37"/>
      <c r="CU2158" s="37"/>
      <c r="CV2158" s="37"/>
      <c r="CW2158" s="37"/>
      <c r="CX2158" s="37"/>
      <c r="CY2158" s="37"/>
    </row>
    <row r="2159" spans="2:103" s="10" customFormat="1" x14ac:dyDescent="0.4">
      <c r="B2159" s="44"/>
      <c r="C2159" s="43"/>
      <c r="D2159" s="50"/>
      <c r="E2159" s="50"/>
      <c r="F2159" s="50"/>
      <c r="G2159" s="50"/>
      <c r="H2159" s="9"/>
      <c r="I2159" s="9"/>
      <c r="CS2159" s="37"/>
      <c r="CT2159" s="37"/>
      <c r="CU2159" s="37"/>
      <c r="CV2159" s="37"/>
      <c r="CW2159" s="37"/>
      <c r="CX2159" s="37"/>
      <c r="CY2159" s="37"/>
    </row>
    <row r="2160" spans="2:103" s="10" customFormat="1" x14ac:dyDescent="0.4">
      <c r="B2160" s="44"/>
      <c r="C2160" s="43"/>
      <c r="D2160" s="50"/>
      <c r="E2160" s="50"/>
      <c r="F2160" s="50"/>
      <c r="G2160" s="50"/>
      <c r="H2160" s="9"/>
      <c r="I2160" s="9"/>
      <c r="CS2160" s="37"/>
      <c r="CT2160" s="37"/>
      <c r="CU2160" s="37"/>
      <c r="CV2160" s="37"/>
      <c r="CW2160" s="37"/>
      <c r="CX2160" s="37"/>
      <c r="CY2160" s="37"/>
    </row>
    <row r="2161" spans="2:103" s="10" customFormat="1" x14ac:dyDescent="0.4">
      <c r="B2161" s="44"/>
      <c r="C2161" s="43"/>
      <c r="D2161" s="50"/>
      <c r="E2161" s="50"/>
      <c r="F2161" s="50"/>
      <c r="G2161" s="50"/>
      <c r="H2161" s="9"/>
      <c r="I2161" s="9"/>
      <c r="CS2161" s="37"/>
      <c r="CT2161" s="37"/>
      <c r="CU2161" s="37"/>
      <c r="CV2161" s="37"/>
      <c r="CW2161" s="37"/>
      <c r="CX2161" s="37"/>
      <c r="CY2161" s="37"/>
    </row>
    <row r="2162" spans="2:103" s="10" customFormat="1" x14ac:dyDescent="0.4">
      <c r="B2162" s="44"/>
      <c r="C2162" s="43"/>
      <c r="D2162" s="50"/>
      <c r="E2162" s="50"/>
      <c r="F2162" s="50"/>
      <c r="G2162" s="50"/>
      <c r="H2162" s="9"/>
      <c r="I2162" s="9"/>
      <c r="CS2162" s="37"/>
      <c r="CT2162" s="37"/>
      <c r="CU2162" s="37"/>
      <c r="CV2162" s="37"/>
      <c r="CW2162" s="37"/>
      <c r="CX2162" s="37"/>
      <c r="CY2162" s="37"/>
    </row>
    <row r="2163" spans="2:103" s="10" customFormat="1" x14ac:dyDescent="0.4">
      <c r="B2163" s="44"/>
      <c r="C2163" s="43"/>
      <c r="D2163" s="50"/>
      <c r="E2163" s="50"/>
      <c r="F2163" s="50"/>
      <c r="G2163" s="50"/>
      <c r="H2163" s="9"/>
      <c r="I2163" s="9"/>
      <c r="CS2163" s="37"/>
      <c r="CT2163" s="37"/>
      <c r="CU2163" s="37"/>
      <c r="CV2163" s="37"/>
      <c r="CW2163" s="37"/>
      <c r="CX2163" s="37"/>
      <c r="CY2163" s="37"/>
    </row>
    <row r="2164" spans="2:103" s="10" customFormat="1" x14ac:dyDescent="0.4">
      <c r="B2164" s="44"/>
      <c r="C2164" s="43"/>
      <c r="D2164" s="50"/>
      <c r="E2164" s="50"/>
      <c r="F2164" s="50"/>
      <c r="G2164" s="50"/>
      <c r="H2164" s="9"/>
      <c r="I2164" s="9"/>
      <c r="CS2164" s="37"/>
      <c r="CT2164" s="37"/>
      <c r="CU2164" s="37"/>
      <c r="CV2164" s="37"/>
      <c r="CW2164" s="37"/>
      <c r="CX2164" s="37"/>
      <c r="CY2164" s="37"/>
    </row>
    <row r="2165" spans="2:103" s="10" customFormat="1" x14ac:dyDescent="0.4">
      <c r="B2165" s="44"/>
      <c r="C2165" s="43"/>
      <c r="D2165" s="50"/>
      <c r="E2165" s="50"/>
      <c r="F2165" s="50"/>
      <c r="G2165" s="50"/>
      <c r="H2165" s="9"/>
      <c r="I2165" s="9"/>
      <c r="CS2165" s="37"/>
      <c r="CT2165" s="37"/>
      <c r="CU2165" s="37"/>
      <c r="CV2165" s="37"/>
      <c r="CW2165" s="37"/>
      <c r="CX2165" s="37"/>
      <c r="CY2165" s="37"/>
    </row>
    <row r="2166" spans="2:103" s="10" customFormat="1" x14ac:dyDescent="0.4">
      <c r="B2166" s="44"/>
      <c r="C2166" s="43"/>
      <c r="D2166" s="50"/>
      <c r="E2166" s="50"/>
      <c r="F2166" s="50"/>
      <c r="G2166" s="50"/>
      <c r="H2166" s="9"/>
      <c r="I2166" s="9"/>
      <c r="CS2166" s="37"/>
      <c r="CT2166" s="37"/>
      <c r="CU2166" s="37"/>
      <c r="CV2166" s="37"/>
      <c r="CW2166" s="37"/>
      <c r="CX2166" s="37"/>
      <c r="CY2166" s="37"/>
    </row>
    <row r="2167" spans="2:103" s="10" customFormat="1" x14ac:dyDescent="0.4">
      <c r="B2167" s="44"/>
      <c r="C2167" s="43"/>
      <c r="D2167" s="50"/>
      <c r="E2167" s="50"/>
      <c r="F2167" s="50"/>
      <c r="G2167" s="50"/>
      <c r="H2167" s="9"/>
      <c r="I2167" s="9"/>
      <c r="CS2167" s="37"/>
      <c r="CT2167" s="37"/>
      <c r="CU2167" s="37"/>
      <c r="CV2167" s="37"/>
      <c r="CW2167" s="37"/>
      <c r="CX2167" s="37"/>
      <c r="CY2167" s="37"/>
    </row>
    <row r="2168" spans="2:103" s="10" customFormat="1" x14ac:dyDescent="0.4">
      <c r="B2168" s="44"/>
      <c r="C2168" s="43"/>
      <c r="D2168" s="50"/>
      <c r="E2168" s="50"/>
      <c r="F2168" s="50"/>
      <c r="G2168" s="50"/>
      <c r="H2168" s="9"/>
      <c r="I2168" s="9"/>
      <c r="CS2168" s="37"/>
      <c r="CT2168" s="37"/>
      <c r="CU2168" s="37"/>
      <c r="CV2168" s="37"/>
      <c r="CW2168" s="37"/>
      <c r="CX2168" s="37"/>
      <c r="CY2168" s="37"/>
    </row>
    <row r="2169" spans="2:103" s="10" customFormat="1" x14ac:dyDescent="0.4">
      <c r="B2169" s="44"/>
      <c r="C2169" s="43"/>
      <c r="D2169" s="50"/>
      <c r="E2169" s="50"/>
      <c r="F2169" s="50"/>
      <c r="G2169" s="50"/>
      <c r="H2169" s="9"/>
      <c r="I2169" s="9"/>
      <c r="CS2169" s="37"/>
      <c r="CT2169" s="37"/>
      <c r="CU2169" s="37"/>
      <c r="CV2169" s="37"/>
      <c r="CW2169" s="37"/>
      <c r="CX2169" s="37"/>
      <c r="CY2169" s="37"/>
    </row>
    <row r="2170" spans="2:103" s="10" customFormat="1" x14ac:dyDescent="0.4">
      <c r="B2170" s="44"/>
      <c r="C2170" s="43"/>
      <c r="D2170" s="50"/>
      <c r="E2170" s="50"/>
      <c r="F2170" s="50"/>
      <c r="G2170" s="50"/>
      <c r="H2170" s="9"/>
      <c r="I2170" s="9"/>
      <c r="CS2170" s="37"/>
      <c r="CT2170" s="37"/>
      <c r="CU2170" s="37"/>
      <c r="CV2170" s="37"/>
      <c r="CW2170" s="37"/>
      <c r="CX2170" s="37"/>
      <c r="CY2170" s="37"/>
    </row>
    <row r="2171" spans="2:103" s="10" customFormat="1" x14ac:dyDescent="0.4">
      <c r="B2171" s="44"/>
      <c r="C2171" s="43"/>
      <c r="D2171" s="50"/>
      <c r="E2171" s="50"/>
      <c r="F2171" s="50"/>
      <c r="G2171" s="50"/>
      <c r="H2171" s="9"/>
      <c r="I2171" s="9"/>
      <c r="CS2171" s="37"/>
      <c r="CT2171" s="37"/>
      <c r="CU2171" s="37"/>
      <c r="CV2171" s="37"/>
      <c r="CW2171" s="37"/>
      <c r="CX2171" s="37"/>
      <c r="CY2171" s="37"/>
    </row>
    <row r="2172" spans="2:103" s="10" customFormat="1" x14ac:dyDescent="0.4">
      <c r="B2172" s="44"/>
      <c r="C2172" s="43"/>
      <c r="D2172" s="50"/>
      <c r="E2172" s="50"/>
      <c r="F2172" s="50"/>
      <c r="G2172" s="50"/>
      <c r="H2172" s="9"/>
      <c r="I2172" s="9"/>
      <c r="CS2172" s="37"/>
      <c r="CT2172" s="37"/>
      <c r="CU2172" s="37"/>
      <c r="CV2172" s="37"/>
      <c r="CW2172" s="37"/>
      <c r="CX2172" s="37"/>
      <c r="CY2172" s="37"/>
    </row>
    <row r="2173" spans="2:103" s="10" customFormat="1" x14ac:dyDescent="0.4">
      <c r="B2173" s="44"/>
      <c r="C2173" s="43"/>
      <c r="D2173" s="50"/>
      <c r="E2173" s="50"/>
      <c r="F2173" s="50"/>
      <c r="G2173" s="50"/>
      <c r="H2173" s="9"/>
      <c r="I2173" s="9"/>
      <c r="CS2173" s="37"/>
      <c r="CT2173" s="37"/>
      <c r="CU2173" s="37"/>
      <c r="CV2173" s="37"/>
      <c r="CW2173" s="37"/>
      <c r="CX2173" s="37"/>
      <c r="CY2173" s="37"/>
    </row>
    <row r="2174" spans="2:103" s="10" customFormat="1" x14ac:dyDescent="0.4">
      <c r="B2174" s="44"/>
      <c r="C2174" s="43"/>
      <c r="D2174" s="50"/>
      <c r="E2174" s="50"/>
      <c r="F2174" s="50"/>
      <c r="G2174" s="50"/>
      <c r="H2174" s="9"/>
      <c r="I2174" s="9"/>
      <c r="CS2174" s="37"/>
      <c r="CT2174" s="37"/>
      <c r="CU2174" s="37"/>
      <c r="CV2174" s="37"/>
      <c r="CW2174" s="37"/>
      <c r="CX2174" s="37"/>
      <c r="CY2174" s="37"/>
    </row>
    <row r="2175" spans="2:103" s="10" customFormat="1" x14ac:dyDescent="0.4">
      <c r="B2175" s="44"/>
      <c r="C2175" s="43"/>
      <c r="D2175" s="50"/>
      <c r="E2175" s="50"/>
      <c r="F2175" s="50"/>
      <c r="G2175" s="50"/>
      <c r="H2175" s="9"/>
      <c r="I2175" s="9"/>
      <c r="CS2175" s="37"/>
      <c r="CT2175" s="37"/>
      <c r="CU2175" s="37"/>
      <c r="CV2175" s="37"/>
      <c r="CW2175" s="37"/>
      <c r="CX2175" s="37"/>
      <c r="CY2175" s="37"/>
    </row>
    <row r="2176" spans="2:103" s="10" customFormat="1" x14ac:dyDescent="0.4">
      <c r="B2176" s="44"/>
      <c r="C2176" s="43"/>
      <c r="D2176" s="50"/>
      <c r="E2176" s="50"/>
      <c r="F2176" s="50"/>
      <c r="G2176" s="50"/>
      <c r="H2176" s="9"/>
      <c r="I2176" s="9"/>
      <c r="CS2176" s="37"/>
      <c r="CT2176" s="37"/>
      <c r="CU2176" s="37"/>
      <c r="CV2176" s="37"/>
      <c r="CW2176" s="37"/>
      <c r="CX2176" s="37"/>
      <c r="CY2176" s="37"/>
    </row>
    <row r="2177" spans="2:103" s="10" customFormat="1" x14ac:dyDescent="0.4">
      <c r="B2177" s="44"/>
      <c r="C2177" s="43"/>
      <c r="D2177" s="50"/>
      <c r="E2177" s="50"/>
      <c r="F2177" s="50"/>
      <c r="G2177" s="50"/>
      <c r="H2177" s="9"/>
      <c r="I2177" s="9"/>
      <c r="CS2177" s="37"/>
      <c r="CT2177" s="37"/>
      <c r="CU2177" s="37"/>
      <c r="CV2177" s="37"/>
      <c r="CW2177" s="37"/>
      <c r="CX2177" s="37"/>
      <c r="CY2177" s="37"/>
    </row>
    <row r="2178" spans="2:103" s="10" customFormat="1" x14ac:dyDescent="0.4">
      <c r="B2178" s="44"/>
      <c r="C2178" s="43"/>
      <c r="D2178" s="50"/>
      <c r="E2178" s="50"/>
      <c r="F2178" s="50"/>
      <c r="G2178" s="50"/>
      <c r="H2178" s="9"/>
      <c r="I2178" s="9"/>
      <c r="CS2178" s="37"/>
      <c r="CT2178" s="37"/>
      <c r="CU2178" s="37"/>
      <c r="CV2178" s="37"/>
      <c r="CW2178" s="37"/>
      <c r="CX2178" s="37"/>
      <c r="CY2178" s="37"/>
    </row>
    <row r="2179" spans="2:103" s="10" customFormat="1" x14ac:dyDescent="0.4">
      <c r="B2179" s="44"/>
      <c r="C2179" s="43"/>
      <c r="D2179" s="50"/>
      <c r="E2179" s="50"/>
      <c r="F2179" s="50"/>
      <c r="G2179" s="50"/>
      <c r="H2179" s="9"/>
      <c r="I2179" s="9"/>
      <c r="CS2179" s="37"/>
      <c r="CT2179" s="37"/>
      <c r="CU2179" s="37"/>
      <c r="CV2179" s="37"/>
      <c r="CW2179" s="37"/>
      <c r="CX2179" s="37"/>
      <c r="CY2179" s="37"/>
    </row>
    <row r="2180" spans="2:103" s="10" customFormat="1" x14ac:dyDescent="0.4">
      <c r="B2180" s="44"/>
      <c r="C2180" s="43"/>
      <c r="D2180" s="50"/>
      <c r="E2180" s="50"/>
      <c r="F2180" s="50"/>
      <c r="G2180" s="50"/>
      <c r="H2180" s="9"/>
      <c r="I2180" s="9"/>
      <c r="CS2180" s="37"/>
      <c r="CT2180" s="37"/>
      <c r="CU2180" s="37"/>
      <c r="CV2180" s="37"/>
      <c r="CW2180" s="37"/>
      <c r="CX2180" s="37"/>
      <c r="CY2180" s="37"/>
    </row>
    <row r="2181" spans="2:103" s="10" customFormat="1" x14ac:dyDescent="0.4">
      <c r="B2181" s="44"/>
      <c r="C2181" s="43"/>
      <c r="D2181" s="50"/>
      <c r="E2181" s="50"/>
      <c r="F2181" s="50"/>
      <c r="G2181" s="50"/>
      <c r="H2181" s="9"/>
      <c r="I2181" s="9"/>
      <c r="CS2181" s="37"/>
      <c r="CT2181" s="37"/>
      <c r="CU2181" s="37"/>
      <c r="CV2181" s="37"/>
      <c r="CW2181" s="37"/>
      <c r="CX2181" s="37"/>
      <c r="CY2181" s="37"/>
    </row>
    <row r="2182" spans="2:103" s="10" customFormat="1" x14ac:dyDescent="0.4">
      <c r="B2182" s="44"/>
      <c r="C2182" s="43"/>
      <c r="D2182" s="50"/>
      <c r="E2182" s="50"/>
      <c r="F2182" s="50"/>
      <c r="G2182" s="50"/>
      <c r="H2182" s="9"/>
      <c r="I2182" s="9"/>
      <c r="CS2182" s="37"/>
      <c r="CT2182" s="37"/>
      <c r="CU2182" s="37"/>
      <c r="CV2182" s="37"/>
      <c r="CW2182" s="37"/>
      <c r="CX2182" s="37"/>
      <c r="CY2182" s="37"/>
    </row>
    <row r="2183" spans="2:103" s="10" customFormat="1" x14ac:dyDescent="0.4">
      <c r="B2183" s="44"/>
      <c r="C2183" s="43"/>
      <c r="D2183" s="50"/>
      <c r="E2183" s="50"/>
      <c r="F2183" s="50"/>
      <c r="G2183" s="50"/>
      <c r="H2183" s="9"/>
      <c r="I2183" s="9"/>
      <c r="CS2183" s="37"/>
      <c r="CT2183" s="37"/>
      <c r="CU2183" s="37"/>
      <c r="CV2183" s="37"/>
      <c r="CW2183" s="37"/>
      <c r="CX2183" s="37"/>
      <c r="CY2183" s="37"/>
    </row>
    <row r="2184" spans="2:103" s="10" customFormat="1" x14ac:dyDescent="0.4">
      <c r="B2184" s="44"/>
      <c r="C2184" s="43"/>
      <c r="D2184" s="50"/>
      <c r="E2184" s="50"/>
      <c r="F2184" s="50"/>
      <c r="G2184" s="50"/>
      <c r="H2184" s="9"/>
      <c r="I2184" s="9"/>
      <c r="CS2184" s="37"/>
      <c r="CT2184" s="37"/>
      <c r="CU2184" s="37"/>
      <c r="CV2184" s="37"/>
      <c r="CW2184" s="37"/>
      <c r="CX2184" s="37"/>
      <c r="CY2184" s="37"/>
    </row>
    <row r="2185" spans="2:103" s="10" customFormat="1" x14ac:dyDescent="0.4">
      <c r="B2185" s="44"/>
      <c r="C2185" s="43"/>
      <c r="D2185" s="50"/>
      <c r="E2185" s="50"/>
      <c r="F2185" s="50"/>
      <c r="G2185" s="50"/>
      <c r="H2185" s="9"/>
      <c r="I2185" s="9"/>
      <c r="CS2185" s="37"/>
      <c r="CT2185" s="37"/>
      <c r="CU2185" s="37"/>
      <c r="CV2185" s="37"/>
      <c r="CW2185" s="37"/>
      <c r="CX2185" s="37"/>
      <c r="CY2185" s="37"/>
    </row>
    <row r="2186" spans="2:103" s="10" customFormat="1" x14ac:dyDescent="0.4">
      <c r="B2186" s="44"/>
      <c r="C2186" s="43"/>
      <c r="D2186" s="50"/>
      <c r="E2186" s="50"/>
      <c r="F2186" s="50"/>
      <c r="G2186" s="50"/>
      <c r="H2186" s="9"/>
      <c r="I2186" s="9"/>
      <c r="CS2186" s="37"/>
      <c r="CT2186" s="37"/>
      <c r="CU2186" s="37"/>
      <c r="CV2186" s="37"/>
      <c r="CW2186" s="37"/>
      <c r="CX2186" s="37"/>
      <c r="CY2186" s="37"/>
    </row>
    <row r="2187" spans="2:103" s="10" customFormat="1" x14ac:dyDescent="0.4">
      <c r="B2187" s="44"/>
      <c r="C2187" s="43"/>
      <c r="D2187" s="50"/>
      <c r="E2187" s="50"/>
      <c r="F2187" s="50"/>
      <c r="G2187" s="50"/>
      <c r="H2187" s="9"/>
      <c r="I2187" s="9"/>
      <c r="CS2187" s="37"/>
      <c r="CT2187" s="37"/>
      <c r="CU2187" s="37"/>
      <c r="CV2187" s="37"/>
      <c r="CW2187" s="37"/>
      <c r="CX2187" s="37"/>
      <c r="CY2187" s="37"/>
    </row>
    <row r="2188" spans="2:103" s="10" customFormat="1" x14ac:dyDescent="0.4">
      <c r="B2188" s="44"/>
      <c r="C2188" s="43"/>
      <c r="D2188" s="50"/>
      <c r="E2188" s="50"/>
      <c r="F2188" s="50"/>
      <c r="G2188" s="50"/>
      <c r="H2188" s="9"/>
      <c r="I2188" s="9"/>
      <c r="CS2188" s="37"/>
      <c r="CT2188" s="37"/>
      <c r="CU2188" s="37"/>
      <c r="CV2188" s="37"/>
      <c r="CW2188" s="37"/>
      <c r="CX2188" s="37"/>
      <c r="CY2188" s="37"/>
    </row>
    <row r="2189" spans="2:103" s="10" customFormat="1" x14ac:dyDescent="0.4">
      <c r="B2189" s="44"/>
      <c r="C2189" s="43"/>
      <c r="D2189" s="50"/>
      <c r="E2189" s="50"/>
      <c r="F2189" s="50"/>
      <c r="G2189" s="50"/>
      <c r="H2189" s="9"/>
      <c r="I2189" s="9"/>
      <c r="CS2189" s="37"/>
      <c r="CT2189" s="37"/>
      <c r="CU2189" s="37"/>
      <c r="CV2189" s="37"/>
      <c r="CW2189" s="37"/>
      <c r="CX2189" s="37"/>
      <c r="CY2189" s="37"/>
    </row>
    <row r="2190" spans="2:103" s="10" customFormat="1" x14ac:dyDescent="0.4">
      <c r="B2190" s="44"/>
      <c r="C2190" s="43"/>
      <c r="D2190" s="50"/>
      <c r="E2190" s="50"/>
      <c r="F2190" s="50"/>
      <c r="G2190" s="50"/>
      <c r="H2190" s="9"/>
      <c r="I2190" s="9"/>
      <c r="CS2190" s="37"/>
      <c r="CT2190" s="37"/>
      <c r="CU2190" s="37"/>
      <c r="CV2190" s="37"/>
      <c r="CW2190" s="37"/>
      <c r="CX2190" s="37"/>
      <c r="CY2190" s="37"/>
    </row>
    <row r="2191" spans="2:103" s="10" customFormat="1" x14ac:dyDescent="0.4">
      <c r="B2191" s="44"/>
      <c r="C2191" s="43"/>
      <c r="D2191" s="50"/>
      <c r="E2191" s="50"/>
      <c r="F2191" s="50"/>
      <c r="G2191" s="50"/>
      <c r="H2191" s="9"/>
      <c r="I2191" s="9"/>
      <c r="CS2191" s="37"/>
      <c r="CT2191" s="37"/>
      <c r="CU2191" s="37"/>
      <c r="CV2191" s="37"/>
      <c r="CW2191" s="37"/>
      <c r="CX2191" s="37"/>
      <c r="CY2191" s="37"/>
    </row>
    <row r="2192" spans="2:103" s="10" customFormat="1" x14ac:dyDescent="0.4">
      <c r="B2192" s="44"/>
      <c r="C2192" s="43"/>
      <c r="D2192" s="50"/>
      <c r="E2192" s="50"/>
      <c r="F2192" s="50"/>
      <c r="G2192" s="50"/>
      <c r="H2192" s="9"/>
      <c r="I2192" s="9"/>
      <c r="CS2192" s="37"/>
      <c r="CT2192" s="37"/>
      <c r="CU2192" s="37"/>
      <c r="CV2192" s="37"/>
      <c r="CW2192" s="37"/>
      <c r="CX2192" s="37"/>
      <c r="CY2192" s="37"/>
    </row>
    <row r="2193" spans="2:103" s="10" customFormat="1" x14ac:dyDescent="0.4">
      <c r="B2193" s="44"/>
      <c r="C2193" s="43"/>
      <c r="D2193" s="50"/>
      <c r="E2193" s="50"/>
      <c r="F2193" s="50"/>
      <c r="G2193" s="50"/>
      <c r="H2193" s="9"/>
      <c r="I2193" s="9"/>
      <c r="CS2193" s="37"/>
      <c r="CT2193" s="37"/>
      <c r="CU2193" s="37"/>
      <c r="CV2193" s="37"/>
      <c r="CW2193" s="37"/>
      <c r="CX2193" s="37"/>
      <c r="CY2193" s="37"/>
    </row>
    <row r="2194" spans="2:103" s="10" customFormat="1" x14ac:dyDescent="0.4">
      <c r="B2194" s="44"/>
      <c r="C2194" s="43"/>
      <c r="D2194" s="50"/>
      <c r="E2194" s="50"/>
      <c r="F2194" s="50"/>
      <c r="G2194" s="50"/>
      <c r="H2194" s="9"/>
      <c r="I2194" s="9"/>
      <c r="CS2194" s="37"/>
      <c r="CT2194" s="37"/>
      <c r="CU2194" s="37"/>
      <c r="CV2194" s="37"/>
      <c r="CW2194" s="37"/>
      <c r="CX2194" s="37"/>
      <c r="CY2194" s="37"/>
    </row>
    <row r="2195" spans="2:103" s="10" customFormat="1" x14ac:dyDescent="0.4">
      <c r="B2195" s="44"/>
      <c r="C2195" s="43"/>
      <c r="D2195" s="50"/>
      <c r="E2195" s="50"/>
      <c r="F2195" s="50"/>
      <c r="G2195" s="50"/>
      <c r="H2195" s="9"/>
      <c r="I2195" s="9"/>
      <c r="CS2195" s="37"/>
      <c r="CT2195" s="37"/>
      <c r="CU2195" s="37"/>
      <c r="CV2195" s="37"/>
      <c r="CW2195" s="37"/>
      <c r="CX2195" s="37"/>
      <c r="CY2195" s="37"/>
    </row>
    <row r="2196" spans="2:103" s="10" customFormat="1" x14ac:dyDescent="0.4">
      <c r="B2196" s="44"/>
      <c r="C2196" s="43"/>
      <c r="D2196" s="50"/>
      <c r="E2196" s="50"/>
      <c r="F2196" s="50"/>
      <c r="G2196" s="50"/>
      <c r="H2196" s="9"/>
      <c r="I2196" s="9"/>
      <c r="CS2196" s="37"/>
      <c r="CT2196" s="37"/>
      <c r="CU2196" s="37"/>
      <c r="CV2196" s="37"/>
      <c r="CW2196" s="37"/>
      <c r="CX2196" s="37"/>
      <c r="CY2196" s="37"/>
    </row>
    <row r="2197" spans="2:103" s="10" customFormat="1" x14ac:dyDescent="0.4">
      <c r="B2197" s="44"/>
      <c r="C2197" s="43"/>
      <c r="D2197" s="50"/>
      <c r="E2197" s="50"/>
      <c r="F2197" s="50"/>
      <c r="G2197" s="50"/>
      <c r="H2197" s="9"/>
      <c r="I2197" s="9"/>
      <c r="CS2197" s="37"/>
      <c r="CT2197" s="37"/>
      <c r="CU2197" s="37"/>
      <c r="CV2197" s="37"/>
      <c r="CW2197" s="37"/>
      <c r="CX2197" s="37"/>
      <c r="CY2197" s="37"/>
    </row>
    <row r="2198" spans="2:103" s="10" customFormat="1" x14ac:dyDescent="0.4">
      <c r="B2198" s="44"/>
      <c r="C2198" s="43"/>
      <c r="D2198" s="50"/>
      <c r="E2198" s="50"/>
      <c r="F2198" s="50"/>
      <c r="G2198" s="50"/>
      <c r="H2198" s="9"/>
      <c r="I2198" s="9"/>
      <c r="CS2198" s="37"/>
      <c r="CT2198" s="37"/>
      <c r="CU2198" s="37"/>
      <c r="CV2198" s="37"/>
      <c r="CW2198" s="37"/>
      <c r="CX2198" s="37"/>
      <c r="CY2198" s="37"/>
    </row>
    <row r="2199" spans="2:103" s="10" customFormat="1" x14ac:dyDescent="0.4">
      <c r="B2199" s="44"/>
      <c r="C2199" s="43"/>
      <c r="D2199" s="50"/>
      <c r="E2199" s="50"/>
      <c r="F2199" s="50"/>
      <c r="G2199" s="50"/>
      <c r="H2199" s="9"/>
      <c r="I2199" s="9"/>
      <c r="CS2199" s="37"/>
      <c r="CT2199" s="37"/>
      <c r="CU2199" s="37"/>
      <c r="CV2199" s="37"/>
      <c r="CW2199" s="37"/>
      <c r="CX2199" s="37"/>
      <c r="CY2199" s="37"/>
    </row>
    <row r="2200" spans="2:103" s="10" customFormat="1" x14ac:dyDescent="0.4">
      <c r="B2200" s="44"/>
      <c r="C2200" s="43"/>
      <c r="D2200" s="50"/>
      <c r="E2200" s="50"/>
      <c r="F2200" s="50"/>
      <c r="G2200" s="50"/>
      <c r="H2200" s="9"/>
      <c r="I2200" s="9"/>
      <c r="CS2200" s="37"/>
      <c r="CT2200" s="37"/>
      <c r="CU2200" s="37"/>
      <c r="CV2200" s="37"/>
      <c r="CW2200" s="37"/>
      <c r="CX2200" s="37"/>
      <c r="CY2200" s="37"/>
    </row>
    <row r="2201" spans="2:103" s="10" customFormat="1" x14ac:dyDescent="0.4">
      <c r="B2201" s="44"/>
      <c r="C2201" s="43"/>
      <c r="D2201" s="50"/>
      <c r="E2201" s="50"/>
      <c r="F2201" s="50"/>
      <c r="G2201" s="50"/>
      <c r="H2201" s="9"/>
      <c r="I2201" s="9"/>
      <c r="CS2201" s="37"/>
      <c r="CT2201" s="37"/>
      <c r="CU2201" s="37"/>
      <c r="CV2201" s="37"/>
      <c r="CW2201" s="37"/>
      <c r="CX2201" s="37"/>
      <c r="CY2201" s="37"/>
    </row>
    <row r="2202" spans="2:103" s="10" customFormat="1" x14ac:dyDescent="0.4">
      <c r="B2202" s="44"/>
      <c r="C2202" s="43"/>
      <c r="D2202" s="50"/>
      <c r="E2202" s="50"/>
      <c r="F2202" s="50"/>
      <c r="G2202" s="50"/>
      <c r="H2202" s="9"/>
      <c r="I2202" s="9"/>
      <c r="CS2202" s="37"/>
      <c r="CT2202" s="37"/>
      <c r="CU2202" s="37"/>
      <c r="CV2202" s="37"/>
      <c r="CW2202" s="37"/>
      <c r="CX2202" s="37"/>
      <c r="CY2202" s="37"/>
    </row>
    <row r="2203" spans="2:103" s="10" customFormat="1" x14ac:dyDescent="0.4">
      <c r="B2203" s="44"/>
      <c r="C2203" s="43"/>
      <c r="D2203" s="50"/>
      <c r="E2203" s="50"/>
      <c r="F2203" s="50"/>
      <c r="G2203" s="50"/>
      <c r="H2203" s="9"/>
      <c r="I2203" s="9"/>
      <c r="CS2203" s="37"/>
      <c r="CT2203" s="37"/>
      <c r="CU2203" s="37"/>
      <c r="CV2203" s="37"/>
      <c r="CW2203" s="37"/>
      <c r="CX2203" s="37"/>
      <c r="CY2203" s="37"/>
    </row>
    <row r="2204" spans="2:103" s="10" customFormat="1" x14ac:dyDescent="0.4">
      <c r="B2204" s="44"/>
      <c r="C2204" s="43"/>
      <c r="D2204" s="50"/>
      <c r="E2204" s="50"/>
      <c r="F2204" s="50"/>
      <c r="G2204" s="50"/>
      <c r="H2204" s="9"/>
      <c r="I2204" s="9"/>
      <c r="CS2204" s="37"/>
      <c r="CT2204" s="37"/>
      <c r="CU2204" s="37"/>
      <c r="CV2204" s="37"/>
      <c r="CW2204" s="37"/>
      <c r="CX2204" s="37"/>
      <c r="CY2204" s="37"/>
    </row>
    <row r="2205" spans="2:103" s="10" customFormat="1" x14ac:dyDescent="0.4">
      <c r="B2205" s="44"/>
      <c r="C2205" s="43"/>
      <c r="D2205" s="50"/>
      <c r="E2205" s="50"/>
      <c r="F2205" s="50"/>
      <c r="G2205" s="50"/>
      <c r="H2205" s="9"/>
      <c r="I2205" s="9"/>
      <c r="CS2205" s="37"/>
      <c r="CT2205" s="37"/>
      <c r="CU2205" s="37"/>
      <c r="CV2205" s="37"/>
      <c r="CW2205" s="37"/>
      <c r="CX2205" s="37"/>
      <c r="CY2205" s="37"/>
    </row>
    <row r="2206" spans="2:103" s="10" customFormat="1" x14ac:dyDescent="0.4">
      <c r="B2206" s="44"/>
      <c r="C2206" s="43"/>
      <c r="D2206" s="50"/>
      <c r="E2206" s="50"/>
      <c r="F2206" s="50"/>
      <c r="G2206" s="50"/>
      <c r="H2206" s="9"/>
      <c r="I2206" s="9"/>
      <c r="CS2206" s="37"/>
      <c r="CT2206" s="37"/>
      <c r="CU2206" s="37"/>
      <c r="CV2206" s="37"/>
      <c r="CW2206" s="37"/>
      <c r="CX2206" s="37"/>
      <c r="CY2206" s="37"/>
    </row>
    <row r="2207" spans="2:103" s="10" customFormat="1" x14ac:dyDescent="0.4">
      <c r="B2207" s="44"/>
      <c r="C2207" s="43"/>
      <c r="D2207" s="50"/>
      <c r="E2207" s="50"/>
      <c r="F2207" s="50"/>
      <c r="G2207" s="50"/>
      <c r="H2207" s="9"/>
      <c r="I2207" s="9"/>
      <c r="CS2207" s="37"/>
      <c r="CT2207" s="37"/>
      <c r="CU2207" s="37"/>
      <c r="CV2207" s="37"/>
      <c r="CW2207" s="37"/>
      <c r="CX2207" s="37"/>
      <c r="CY2207" s="37"/>
    </row>
    <row r="2208" spans="2:103" s="10" customFormat="1" x14ac:dyDescent="0.4">
      <c r="B2208" s="44"/>
      <c r="C2208" s="43"/>
      <c r="D2208" s="50"/>
      <c r="E2208" s="50"/>
      <c r="F2208" s="50"/>
      <c r="G2208" s="50"/>
      <c r="H2208" s="9"/>
      <c r="I2208" s="9"/>
      <c r="CS2208" s="37"/>
      <c r="CT2208" s="37"/>
      <c r="CU2208" s="37"/>
      <c r="CV2208" s="37"/>
      <c r="CW2208" s="37"/>
      <c r="CX2208" s="37"/>
      <c r="CY2208" s="37"/>
    </row>
    <row r="2209" spans="2:103" s="10" customFormat="1" x14ac:dyDescent="0.4">
      <c r="B2209" s="44"/>
      <c r="C2209" s="43"/>
      <c r="D2209" s="50"/>
      <c r="E2209" s="50"/>
      <c r="F2209" s="50"/>
      <c r="G2209" s="50"/>
      <c r="H2209" s="9"/>
      <c r="I2209" s="9"/>
      <c r="CS2209" s="37"/>
      <c r="CT2209" s="37"/>
      <c r="CU2209" s="37"/>
      <c r="CV2209" s="37"/>
      <c r="CW2209" s="37"/>
      <c r="CX2209" s="37"/>
      <c r="CY2209" s="37"/>
    </row>
    <row r="2210" spans="2:103" s="10" customFormat="1" x14ac:dyDescent="0.4">
      <c r="B2210" s="44"/>
      <c r="C2210" s="43"/>
      <c r="D2210" s="50"/>
      <c r="E2210" s="50"/>
      <c r="F2210" s="50"/>
      <c r="G2210" s="50"/>
      <c r="H2210" s="9"/>
      <c r="I2210" s="9"/>
      <c r="CS2210" s="37"/>
      <c r="CT2210" s="37"/>
      <c r="CU2210" s="37"/>
      <c r="CV2210" s="37"/>
      <c r="CW2210" s="37"/>
      <c r="CX2210" s="37"/>
      <c r="CY2210" s="37"/>
    </row>
    <row r="2211" spans="2:103" s="10" customFormat="1" x14ac:dyDescent="0.4">
      <c r="B2211" s="44"/>
      <c r="C2211" s="43"/>
      <c r="D2211" s="50"/>
      <c r="E2211" s="50"/>
      <c r="F2211" s="50"/>
      <c r="G2211" s="50"/>
      <c r="H2211" s="9"/>
      <c r="I2211" s="9"/>
      <c r="CS2211" s="37"/>
      <c r="CT2211" s="37"/>
      <c r="CU2211" s="37"/>
      <c r="CV2211" s="37"/>
      <c r="CW2211" s="37"/>
      <c r="CX2211" s="37"/>
      <c r="CY2211" s="37"/>
    </row>
    <row r="2212" spans="2:103" s="10" customFormat="1" x14ac:dyDescent="0.4">
      <c r="B2212" s="44"/>
      <c r="C2212" s="43"/>
      <c r="D2212" s="50"/>
      <c r="E2212" s="50"/>
      <c r="F2212" s="50"/>
      <c r="G2212" s="50"/>
      <c r="H2212" s="9"/>
      <c r="I2212" s="9"/>
      <c r="CS2212" s="37"/>
      <c r="CT2212" s="37"/>
      <c r="CU2212" s="37"/>
      <c r="CV2212" s="37"/>
      <c r="CW2212" s="37"/>
      <c r="CX2212" s="37"/>
      <c r="CY2212" s="37"/>
    </row>
    <row r="2213" spans="2:103" s="10" customFormat="1" x14ac:dyDescent="0.4">
      <c r="B2213" s="44"/>
      <c r="C2213" s="43"/>
      <c r="D2213" s="50"/>
      <c r="E2213" s="50"/>
      <c r="F2213" s="50"/>
      <c r="G2213" s="50"/>
      <c r="H2213" s="9"/>
      <c r="I2213" s="9"/>
      <c r="CS2213" s="37"/>
      <c r="CT2213" s="37"/>
      <c r="CU2213" s="37"/>
      <c r="CV2213" s="37"/>
      <c r="CW2213" s="37"/>
      <c r="CX2213" s="37"/>
      <c r="CY2213" s="37"/>
    </row>
    <row r="2214" spans="2:103" s="10" customFormat="1" x14ac:dyDescent="0.4">
      <c r="B2214" s="44"/>
      <c r="C2214" s="43"/>
      <c r="D2214" s="50"/>
      <c r="E2214" s="50"/>
      <c r="F2214" s="50"/>
      <c r="G2214" s="50"/>
      <c r="H2214" s="9"/>
      <c r="I2214" s="9"/>
      <c r="CS2214" s="37"/>
      <c r="CT2214" s="37"/>
      <c r="CU2214" s="37"/>
      <c r="CV2214" s="37"/>
      <c r="CW2214" s="37"/>
      <c r="CX2214" s="37"/>
      <c r="CY2214" s="37"/>
    </row>
    <row r="2215" spans="2:103" s="10" customFormat="1" x14ac:dyDescent="0.4">
      <c r="B2215" s="44"/>
      <c r="C2215" s="43"/>
      <c r="D2215" s="50"/>
      <c r="E2215" s="50"/>
      <c r="F2215" s="50"/>
      <c r="G2215" s="50"/>
      <c r="H2215" s="9"/>
      <c r="I2215" s="9"/>
      <c r="CS2215" s="37"/>
      <c r="CT2215" s="37"/>
      <c r="CU2215" s="37"/>
      <c r="CV2215" s="37"/>
      <c r="CW2215" s="37"/>
      <c r="CX2215" s="37"/>
      <c r="CY2215" s="37"/>
    </row>
    <row r="2216" spans="2:103" s="10" customFormat="1" x14ac:dyDescent="0.4">
      <c r="B2216" s="44"/>
      <c r="C2216" s="43"/>
      <c r="D2216" s="50"/>
      <c r="E2216" s="50"/>
      <c r="F2216" s="50"/>
      <c r="G2216" s="50"/>
      <c r="H2216" s="9"/>
      <c r="I2216" s="9"/>
      <c r="CS2216" s="37"/>
      <c r="CT2216" s="37"/>
      <c r="CU2216" s="37"/>
      <c r="CV2216" s="37"/>
      <c r="CW2216" s="37"/>
      <c r="CX2216" s="37"/>
      <c r="CY2216" s="37"/>
    </row>
    <row r="2217" spans="2:103" s="10" customFormat="1" x14ac:dyDescent="0.4">
      <c r="B2217" s="44"/>
      <c r="C2217" s="43"/>
      <c r="D2217" s="50"/>
      <c r="E2217" s="50"/>
      <c r="F2217" s="50"/>
      <c r="G2217" s="50"/>
      <c r="H2217" s="9"/>
      <c r="I2217" s="9"/>
      <c r="CS2217" s="37"/>
      <c r="CT2217" s="37"/>
      <c r="CU2217" s="37"/>
      <c r="CV2217" s="37"/>
      <c r="CW2217" s="37"/>
      <c r="CX2217" s="37"/>
      <c r="CY2217" s="37"/>
    </row>
    <row r="2218" spans="2:103" s="10" customFormat="1" x14ac:dyDescent="0.4">
      <c r="B2218" s="44"/>
      <c r="C2218" s="43"/>
      <c r="D2218" s="50"/>
      <c r="E2218" s="50"/>
      <c r="F2218" s="50"/>
      <c r="G2218" s="50"/>
      <c r="H2218" s="9"/>
      <c r="I2218" s="9"/>
      <c r="CS2218" s="37"/>
      <c r="CT2218" s="37"/>
      <c r="CU2218" s="37"/>
      <c r="CV2218" s="37"/>
      <c r="CW2218" s="37"/>
      <c r="CX2218" s="37"/>
      <c r="CY2218" s="37"/>
    </row>
    <row r="2219" spans="2:103" s="10" customFormat="1" x14ac:dyDescent="0.4">
      <c r="B2219" s="44"/>
      <c r="C2219" s="43"/>
      <c r="D2219" s="50"/>
      <c r="E2219" s="50"/>
      <c r="F2219" s="50"/>
      <c r="G2219" s="50"/>
      <c r="H2219" s="9"/>
      <c r="I2219" s="9"/>
      <c r="CS2219" s="37"/>
      <c r="CT2219" s="37"/>
      <c r="CU2219" s="37"/>
      <c r="CV2219" s="37"/>
      <c r="CW2219" s="37"/>
      <c r="CX2219" s="37"/>
      <c r="CY2219" s="37"/>
    </row>
    <row r="2220" spans="2:103" s="10" customFormat="1" x14ac:dyDescent="0.4">
      <c r="B2220" s="44"/>
      <c r="C2220" s="43"/>
      <c r="D2220" s="50"/>
      <c r="E2220" s="50"/>
      <c r="F2220" s="50"/>
      <c r="G2220" s="50"/>
      <c r="H2220" s="9"/>
      <c r="I2220" s="9"/>
      <c r="CS2220" s="37"/>
      <c r="CT2220" s="37"/>
      <c r="CU2220" s="37"/>
      <c r="CV2220" s="37"/>
      <c r="CW2220" s="37"/>
      <c r="CX2220" s="37"/>
      <c r="CY2220" s="37"/>
    </row>
    <row r="2221" spans="2:103" s="10" customFormat="1" x14ac:dyDescent="0.4">
      <c r="B2221" s="44"/>
      <c r="C2221" s="43"/>
      <c r="D2221" s="50"/>
      <c r="E2221" s="50"/>
      <c r="F2221" s="50"/>
      <c r="G2221" s="50"/>
      <c r="H2221" s="9"/>
      <c r="I2221" s="9"/>
      <c r="CS2221" s="37"/>
      <c r="CT2221" s="37"/>
      <c r="CU2221" s="37"/>
      <c r="CV2221" s="37"/>
      <c r="CW2221" s="37"/>
      <c r="CX2221" s="37"/>
      <c r="CY2221" s="37"/>
    </row>
    <row r="2222" spans="2:103" s="10" customFormat="1" x14ac:dyDescent="0.4">
      <c r="B2222" s="44"/>
      <c r="C2222" s="43"/>
      <c r="D2222" s="50"/>
      <c r="E2222" s="50"/>
      <c r="F2222" s="50"/>
      <c r="G2222" s="50"/>
      <c r="H2222" s="9"/>
      <c r="I2222" s="9"/>
      <c r="CS2222" s="37"/>
      <c r="CT2222" s="37"/>
      <c r="CU2222" s="37"/>
      <c r="CV2222" s="37"/>
      <c r="CW2222" s="37"/>
      <c r="CX2222" s="37"/>
      <c r="CY2222" s="37"/>
    </row>
    <row r="2223" spans="2:103" s="10" customFormat="1" x14ac:dyDescent="0.4">
      <c r="B2223" s="44"/>
      <c r="C2223" s="43"/>
      <c r="D2223" s="50"/>
      <c r="E2223" s="50"/>
      <c r="F2223" s="50"/>
      <c r="G2223" s="50"/>
      <c r="H2223" s="9"/>
      <c r="I2223" s="9"/>
      <c r="CS2223" s="37"/>
      <c r="CT2223" s="37"/>
      <c r="CU2223" s="37"/>
      <c r="CV2223" s="37"/>
      <c r="CW2223" s="37"/>
      <c r="CX2223" s="37"/>
      <c r="CY2223" s="37"/>
    </row>
    <row r="2224" spans="2:103" s="10" customFormat="1" x14ac:dyDescent="0.4">
      <c r="B2224" s="44"/>
      <c r="C2224" s="43"/>
      <c r="D2224" s="50"/>
      <c r="E2224" s="50"/>
      <c r="F2224" s="50"/>
      <c r="G2224" s="50"/>
      <c r="H2224" s="9"/>
      <c r="I2224" s="9"/>
      <c r="CS2224" s="37"/>
      <c r="CT2224" s="37"/>
      <c r="CU2224" s="37"/>
      <c r="CV2224" s="37"/>
      <c r="CW2224" s="37"/>
      <c r="CX2224" s="37"/>
      <c r="CY2224" s="37"/>
    </row>
    <row r="2225" spans="2:103" s="10" customFormat="1" x14ac:dyDescent="0.4">
      <c r="B2225" s="44"/>
      <c r="C2225" s="43"/>
      <c r="D2225" s="50"/>
      <c r="E2225" s="50"/>
      <c r="F2225" s="50"/>
      <c r="G2225" s="50"/>
      <c r="H2225" s="9"/>
      <c r="I2225" s="9"/>
      <c r="CS2225" s="37"/>
      <c r="CT2225" s="37"/>
      <c r="CU2225" s="37"/>
      <c r="CV2225" s="37"/>
      <c r="CW2225" s="37"/>
      <c r="CX2225" s="37"/>
      <c r="CY2225" s="37"/>
    </row>
    <row r="2226" spans="2:103" s="10" customFormat="1" x14ac:dyDescent="0.4">
      <c r="B2226" s="44"/>
      <c r="C2226" s="43"/>
      <c r="D2226" s="50"/>
      <c r="E2226" s="50"/>
      <c r="F2226" s="50"/>
      <c r="G2226" s="50"/>
      <c r="H2226" s="9"/>
      <c r="I2226" s="9"/>
      <c r="CS2226" s="37"/>
      <c r="CT2226" s="37"/>
      <c r="CU2226" s="37"/>
      <c r="CV2226" s="37"/>
      <c r="CW2226" s="37"/>
      <c r="CX2226" s="37"/>
      <c r="CY2226" s="37"/>
    </row>
    <row r="2227" spans="2:103" s="10" customFormat="1" x14ac:dyDescent="0.4">
      <c r="B2227" s="44"/>
      <c r="C2227" s="43"/>
      <c r="D2227" s="50"/>
      <c r="E2227" s="50"/>
      <c r="F2227" s="50"/>
      <c r="G2227" s="50"/>
      <c r="H2227" s="9"/>
      <c r="I2227" s="9"/>
      <c r="CS2227" s="37"/>
      <c r="CT2227" s="37"/>
      <c r="CU2227" s="37"/>
      <c r="CV2227" s="37"/>
      <c r="CW2227" s="37"/>
      <c r="CX2227" s="37"/>
      <c r="CY2227" s="37"/>
    </row>
    <row r="2228" spans="2:103" s="10" customFormat="1" x14ac:dyDescent="0.4">
      <c r="B2228" s="44"/>
      <c r="C2228" s="43"/>
      <c r="D2228" s="50"/>
      <c r="E2228" s="50"/>
      <c r="F2228" s="50"/>
      <c r="G2228" s="50"/>
      <c r="H2228" s="9"/>
      <c r="I2228" s="9"/>
      <c r="CS2228" s="37"/>
      <c r="CT2228" s="37"/>
      <c r="CU2228" s="37"/>
      <c r="CV2228" s="37"/>
      <c r="CW2228" s="37"/>
      <c r="CX2228" s="37"/>
      <c r="CY2228" s="37"/>
    </row>
    <row r="2229" spans="2:103" s="10" customFormat="1" x14ac:dyDescent="0.4">
      <c r="B2229" s="44"/>
      <c r="C2229" s="43"/>
      <c r="D2229" s="50"/>
      <c r="E2229" s="50"/>
      <c r="F2229" s="50"/>
      <c r="G2229" s="50"/>
      <c r="H2229" s="9"/>
      <c r="I2229" s="9"/>
      <c r="CS2229" s="37"/>
      <c r="CT2229" s="37"/>
      <c r="CU2229" s="37"/>
      <c r="CV2229" s="37"/>
      <c r="CW2229" s="37"/>
      <c r="CX2229" s="37"/>
      <c r="CY2229" s="37"/>
    </row>
    <row r="2230" spans="2:103" s="10" customFormat="1" x14ac:dyDescent="0.4">
      <c r="B2230" s="44"/>
      <c r="C2230" s="43"/>
      <c r="D2230" s="50"/>
      <c r="E2230" s="50"/>
      <c r="F2230" s="50"/>
      <c r="G2230" s="50"/>
      <c r="H2230" s="9"/>
      <c r="I2230" s="9"/>
      <c r="CS2230" s="37"/>
      <c r="CT2230" s="37"/>
      <c r="CU2230" s="37"/>
      <c r="CV2230" s="37"/>
      <c r="CW2230" s="37"/>
      <c r="CX2230" s="37"/>
      <c r="CY2230" s="37"/>
    </row>
    <row r="2231" spans="2:103" s="10" customFormat="1" x14ac:dyDescent="0.4">
      <c r="B2231" s="44"/>
      <c r="C2231" s="43"/>
      <c r="D2231" s="50"/>
      <c r="E2231" s="50"/>
      <c r="F2231" s="50"/>
      <c r="G2231" s="50"/>
      <c r="H2231" s="9"/>
      <c r="I2231" s="9"/>
      <c r="CS2231" s="37"/>
      <c r="CT2231" s="37"/>
      <c r="CU2231" s="37"/>
      <c r="CV2231" s="37"/>
      <c r="CW2231" s="37"/>
      <c r="CX2231" s="37"/>
      <c r="CY2231" s="37"/>
    </row>
    <row r="2232" spans="2:103" s="10" customFormat="1" x14ac:dyDescent="0.4">
      <c r="B2232" s="44"/>
      <c r="C2232" s="43"/>
      <c r="D2232" s="50"/>
      <c r="E2232" s="50"/>
      <c r="F2232" s="50"/>
      <c r="G2232" s="50"/>
      <c r="H2232" s="9"/>
      <c r="I2232" s="9"/>
      <c r="CS2232" s="37"/>
      <c r="CT2232" s="37"/>
      <c r="CU2232" s="37"/>
      <c r="CV2232" s="37"/>
      <c r="CW2232" s="37"/>
      <c r="CX2232" s="37"/>
      <c r="CY2232" s="37"/>
    </row>
    <row r="2233" spans="2:103" s="10" customFormat="1" x14ac:dyDescent="0.4">
      <c r="B2233" s="44"/>
      <c r="C2233" s="43"/>
      <c r="D2233" s="50"/>
      <c r="E2233" s="50"/>
      <c r="F2233" s="50"/>
      <c r="G2233" s="50"/>
      <c r="H2233" s="9"/>
      <c r="I2233" s="9"/>
      <c r="CS2233" s="37"/>
      <c r="CT2233" s="37"/>
      <c r="CU2233" s="37"/>
      <c r="CV2233" s="37"/>
      <c r="CW2233" s="37"/>
      <c r="CX2233" s="37"/>
      <c r="CY2233" s="37"/>
    </row>
    <row r="2234" spans="2:103" s="10" customFormat="1" x14ac:dyDescent="0.4">
      <c r="B2234" s="44"/>
      <c r="C2234" s="43"/>
      <c r="D2234" s="50"/>
      <c r="E2234" s="50"/>
      <c r="F2234" s="50"/>
      <c r="G2234" s="50"/>
      <c r="H2234" s="9"/>
      <c r="I2234" s="9"/>
      <c r="CS2234" s="37"/>
      <c r="CT2234" s="37"/>
      <c r="CU2234" s="37"/>
      <c r="CV2234" s="37"/>
      <c r="CW2234" s="37"/>
      <c r="CX2234" s="37"/>
      <c r="CY2234" s="37"/>
    </row>
    <row r="2235" spans="2:103" s="10" customFormat="1" x14ac:dyDescent="0.4">
      <c r="B2235" s="44"/>
      <c r="C2235" s="43"/>
      <c r="D2235" s="50"/>
      <c r="E2235" s="50"/>
      <c r="F2235" s="50"/>
      <c r="G2235" s="50"/>
      <c r="H2235" s="9"/>
      <c r="I2235" s="9"/>
      <c r="CS2235" s="37"/>
      <c r="CT2235" s="37"/>
      <c r="CU2235" s="37"/>
      <c r="CV2235" s="37"/>
      <c r="CW2235" s="37"/>
      <c r="CX2235" s="37"/>
      <c r="CY2235" s="37"/>
    </row>
    <row r="2236" spans="2:103" s="10" customFormat="1" x14ac:dyDescent="0.4">
      <c r="B2236" s="44"/>
      <c r="C2236" s="43"/>
      <c r="D2236" s="50"/>
      <c r="E2236" s="50"/>
      <c r="F2236" s="50"/>
      <c r="G2236" s="50"/>
      <c r="H2236" s="9"/>
      <c r="I2236" s="9"/>
      <c r="CS2236" s="37"/>
      <c r="CT2236" s="37"/>
      <c r="CU2236" s="37"/>
      <c r="CV2236" s="37"/>
      <c r="CW2236" s="37"/>
      <c r="CX2236" s="37"/>
      <c r="CY2236" s="37"/>
    </row>
    <row r="2237" spans="2:103" s="10" customFormat="1" x14ac:dyDescent="0.4">
      <c r="B2237" s="44"/>
      <c r="C2237" s="43"/>
      <c r="D2237" s="50"/>
      <c r="E2237" s="50"/>
      <c r="F2237" s="50"/>
      <c r="G2237" s="50"/>
      <c r="H2237" s="9"/>
      <c r="I2237" s="9"/>
      <c r="CS2237" s="37"/>
      <c r="CT2237" s="37"/>
      <c r="CU2237" s="37"/>
      <c r="CV2237" s="37"/>
      <c r="CW2237" s="37"/>
      <c r="CX2237" s="37"/>
      <c r="CY2237" s="37"/>
    </row>
    <row r="2238" spans="2:103" s="10" customFormat="1" x14ac:dyDescent="0.4">
      <c r="B2238" s="44"/>
      <c r="C2238" s="43"/>
      <c r="D2238" s="50"/>
      <c r="E2238" s="50"/>
      <c r="F2238" s="50"/>
      <c r="G2238" s="50"/>
      <c r="H2238" s="9"/>
      <c r="I2238" s="9"/>
      <c r="CS2238" s="37"/>
      <c r="CT2238" s="37"/>
      <c r="CU2238" s="37"/>
      <c r="CV2238" s="37"/>
      <c r="CW2238" s="37"/>
      <c r="CX2238" s="37"/>
      <c r="CY2238" s="37"/>
    </row>
    <row r="2239" spans="2:103" s="10" customFormat="1" x14ac:dyDescent="0.4">
      <c r="B2239" s="44"/>
      <c r="C2239" s="43"/>
      <c r="D2239" s="50"/>
      <c r="E2239" s="50"/>
      <c r="F2239" s="50"/>
      <c r="G2239" s="50"/>
      <c r="H2239" s="9"/>
      <c r="I2239" s="9"/>
      <c r="CS2239" s="37"/>
      <c r="CT2239" s="37"/>
      <c r="CU2239" s="37"/>
      <c r="CV2239" s="37"/>
      <c r="CW2239" s="37"/>
      <c r="CX2239" s="37"/>
      <c r="CY2239" s="37"/>
    </row>
    <row r="2240" spans="2:103" s="10" customFormat="1" x14ac:dyDescent="0.4">
      <c r="B2240" s="44"/>
      <c r="C2240" s="43"/>
      <c r="D2240" s="50"/>
      <c r="E2240" s="50"/>
      <c r="F2240" s="50"/>
      <c r="G2240" s="50"/>
      <c r="H2240" s="9"/>
      <c r="I2240" s="9"/>
      <c r="CS2240" s="37"/>
      <c r="CT2240" s="37"/>
      <c r="CU2240" s="37"/>
      <c r="CV2240" s="37"/>
      <c r="CW2240" s="37"/>
      <c r="CX2240" s="37"/>
      <c r="CY2240" s="37"/>
    </row>
    <row r="2241" spans="2:103" s="10" customFormat="1" x14ac:dyDescent="0.4">
      <c r="B2241" s="44"/>
      <c r="C2241" s="43"/>
      <c r="D2241" s="50"/>
      <c r="E2241" s="50"/>
      <c r="F2241" s="50"/>
      <c r="G2241" s="50"/>
      <c r="H2241" s="9"/>
      <c r="I2241" s="9"/>
      <c r="CS2241" s="37"/>
      <c r="CT2241" s="37"/>
      <c r="CU2241" s="37"/>
      <c r="CV2241" s="37"/>
      <c r="CW2241" s="37"/>
      <c r="CX2241" s="37"/>
      <c r="CY2241" s="37"/>
    </row>
    <row r="2242" spans="2:103" s="10" customFormat="1" x14ac:dyDescent="0.4">
      <c r="B2242" s="44"/>
      <c r="C2242" s="43"/>
      <c r="D2242" s="50"/>
      <c r="E2242" s="50"/>
      <c r="F2242" s="50"/>
      <c r="G2242" s="50"/>
      <c r="H2242" s="9"/>
      <c r="I2242" s="9"/>
      <c r="CS2242" s="37"/>
      <c r="CT2242" s="37"/>
      <c r="CU2242" s="37"/>
      <c r="CV2242" s="37"/>
      <c r="CW2242" s="37"/>
      <c r="CX2242" s="37"/>
      <c r="CY2242" s="37"/>
    </row>
    <row r="2243" spans="2:103" s="10" customFormat="1" x14ac:dyDescent="0.4">
      <c r="B2243" s="44"/>
      <c r="C2243" s="43"/>
      <c r="D2243" s="50"/>
      <c r="E2243" s="50"/>
      <c r="F2243" s="50"/>
      <c r="G2243" s="50"/>
      <c r="H2243" s="9"/>
      <c r="I2243" s="9"/>
      <c r="CS2243" s="37"/>
      <c r="CT2243" s="37"/>
      <c r="CU2243" s="37"/>
      <c r="CV2243" s="37"/>
      <c r="CW2243" s="37"/>
      <c r="CX2243" s="37"/>
      <c r="CY2243" s="37"/>
    </row>
    <row r="2244" spans="2:103" s="10" customFormat="1" x14ac:dyDescent="0.4">
      <c r="B2244" s="44"/>
      <c r="C2244" s="43"/>
      <c r="D2244" s="50"/>
      <c r="E2244" s="50"/>
      <c r="F2244" s="50"/>
      <c r="G2244" s="50"/>
      <c r="H2244" s="9"/>
      <c r="I2244" s="9"/>
      <c r="CS2244" s="37"/>
      <c r="CT2244" s="37"/>
      <c r="CU2244" s="37"/>
      <c r="CV2244" s="37"/>
      <c r="CW2244" s="37"/>
      <c r="CX2244" s="37"/>
      <c r="CY2244" s="37"/>
    </row>
    <row r="2245" spans="2:103" s="10" customFormat="1" x14ac:dyDescent="0.4">
      <c r="B2245" s="44"/>
      <c r="C2245" s="43"/>
      <c r="D2245" s="50"/>
      <c r="E2245" s="50"/>
      <c r="F2245" s="50"/>
      <c r="G2245" s="50"/>
      <c r="H2245" s="9"/>
      <c r="I2245" s="9"/>
      <c r="CS2245" s="37"/>
      <c r="CT2245" s="37"/>
      <c r="CU2245" s="37"/>
      <c r="CV2245" s="37"/>
      <c r="CW2245" s="37"/>
      <c r="CX2245" s="37"/>
      <c r="CY2245" s="37"/>
    </row>
    <row r="2246" spans="2:103" s="10" customFormat="1" x14ac:dyDescent="0.4">
      <c r="B2246" s="44"/>
      <c r="C2246" s="43"/>
      <c r="D2246" s="50"/>
      <c r="E2246" s="50"/>
      <c r="F2246" s="50"/>
      <c r="G2246" s="50"/>
      <c r="H2246" s="9"/>
      <c r="I2246" s="9"/>
      <c r="CS2246" s="37"/>
      <c r="CT2246" s="37"/>
      <c r="CU2246" s="37"/>
      <c r="CV2246" s="37"/>
      <c r="CW2246" s="37"/>
      <c r="CX2246" s="37"/>
      <c r="CY2246" s="37"/>
    </row>
    <row r="2247" spans="2:103" s="10" customFormat="1" x14ac:dyDescent="0.4">
      <c r="B2247" s="44"/>
      <c r="C2247" s="43"/>
      <c r="D2247" s="50"/>
      <c r="E2247" s="50"/>
      <c r="F2247" s="50"/>
      <c r="G2247" s="50"/>
      <c r="H2247" s="9"/>
      <c r="I2247" s="9"/>
      <c r="CS2247" s="37"/>
      <c r="CT2247" s="37"/>
      <c r="CU2247" s="37"/>
      <c r="CV2247" s="37"/>
      <c r="CW2247" s="37"/>
      <c r="CX2247" s="37"/>
      <c r="CY2247" s="37"/>
    </row>
    <row r="2248" spans="2:103" s="10" customFormat="1" x14ac:dyDescent="0.4">
      <c r="B2248" s="44"/>
      <c r="C2248" s="43"/>
      <c r="D2248" s="50"/>
      <c r="E2248" s="50"/>
      <c r="F2248" s="50"/>
      <c r="G2248" s="50"/>
      <c r="H2248" s="9"/>
      <c r="I2248" s="9"/>
      <c r="CS2248" s="37"/>
      <c r="CT2248" s="37"/>
      <c r="CU2248" s="37"/>
      <c r="CV2248" s="37"/>
      <c r="CW2248" s="37"/>
      <c r="CX2248" s="37"/>
      <c r="CY2248" s="37"/>
    </row>
    <row r="2249" spans="2:103" s="10" customFormat="1" x14ac:dyDescent="0.4">
      <c r="B2249" s="44"/>
      <c r="C2249" s="43"/>
      <c r="D2249" s="50"/>
      <c r="E2249" s="50"/>
      <c r="F2249" s="50"/>
      <c r="G2249" s="50"/>
      <c r="H2249" s="9"/>
      <c r="I2249" s="9"/>
      <c r="CS2249" s="37"/>
      <c r="CT2249" s="37"/>
      <c r="CU2249" s="37"/>
      <c r="CV2249" s="37"/>
      <c r="CW2249" s="37"/>
      <c r="CX2249" s="37"/>
      <c r="CY2249" s="37"/>
    </row>
    <row r="2250" spans="2:103" s="10" customFormat="1" x14ac:dyDescent="0.4">
      <c r="B2250" s="44"/>
      <c r="C2250" s="43"/>
      <c r="D2250" s="50"/>
      <c r="E2250" s="50"/>
      <c r="F2250" s="50"/>
      <c r="G2250" s="50"/>
      <c r="H2250" s="9"/>
      <c r="I2250" s="9"/>
      <c r="CS2250" s="37"/>
      <c r="CT2250" s="37"/>
      <c r="CU2250" s="37"/>
      <c r="CV2250" s="37"/>
      <c r="CW2250" s="37"/>
      <c r="CX2250" s="37"/>
      <c r="CY2250" s="37"/>
    </row>
    <row r="2251" spans="2:103" s="10" customFormat="1" x14ac:dyDescent="0.4">
      <c r="B2251" s="44"/>
      <c r="C2251" s="43"/>
      <c r="D2251" s="50"/>
      <c r="E2251" s="50"/>
      <c r="F2251" s="50"/>
      <c r="G2251" s="50"/>
      <c r="H2251" s="9"/>
      <c r="I2251" s="9"/>
      <c r="CS2251" s="37"/>
      <c r="CT2251" s="37"/>
      <c r="CU2251" s="37"/>
      <c r="CV2251" s="37"/>
      <c r="CW2251" s="37"/>
      <c r="CX2251" s="37"/>
      <c r="CY2251" s="37"/>
    </row>
    <row r="2252" spans="2:103" s="10" customFormat="1" x14ac:dyDescent="0.4">
      <c r="B2252" s="44"/>
      <c r="C2252" s="43"/>
      <c r="D2252" s="50"/>
      <c r="E2252" s="50"/>
      <c r="F2252" s="50"/>
      <c r="G2252" s="50"/>
      <c r="H2252" s="9"/>
      <c r="I2252" s="9"/>
      <c r="CS2252" s="37"/>
      <c r="CT2252" s="37"/>
      <c r="CU2252" s="37"/>
      <c r="CV2252" s="37"/>
      <c r="CW2252" s="37"/>
      <c r="CX2252" s="37"/>
      <c r="CY2252" s="37"/>
    </row>
    <row r="2253" spans="2:103" s="10" customFormat="1" x14ac:dyDescent="0.4">
      <c r="B2253" s="44"/>
      <c r="C2253" s="43"/>
      <c r="D2253" s="50"/>
      <c r="E2253" s="50"/>
      <c r="F2253" s="50"/>
      <c r="G2253" s="50"/>
      <c r="H2253" s="9"/>
      <c r="I2253" s="9"/>
      <c r="CS2253" s="37"/>
      <c r="CT2253" s="37"/>
      <c r="CU2253" s="37"/>
      <c r="CV2253" s="37"/>
      <c r="CW2253" s="37"/>
      <c r="CX2253" s="37"/>
      <c r="CY2253" s="37"/>
    </row>
    <row r="2254" spans="2:103" s="10" customFormat="1" x14ac:dyDescent="0.4">
      <c r="B2254" s="44"/>
      <c r="C2254" s="43"/>
      <c r="D2254" s="50"/>
      <c r="E2254" s="50"/>
      <c r="F2254" s="50"/>
      <c r="G2254" s="50"/>
      <c r="H2254" s="9"/>
      <c r="I2254" s="9"/>
      <c r="CS2254" s="37"/>
      <c r="CT2254" s="37"/>
      <c r="CU2254" s="37"/>
      <c r="CV2254" s="37"/>
      <c r="CW2254" s="37"/>
      <c r="CX2254" s="37"/>
      <c r="CY2254" s="37"/>
    </row>
    <row r="2255" spans="2:103" s="10" customFormat="1" x14ac:dyDescent="0.4">
      <c r="B2255" s="44"/>
      <c r="C2255" s="43"/>
      <c r="D2255" s="50"/>
      <c r="E2255" s="50"/>
      <c r="F2255" s="50"/>
      <c r="G2255" s="50"/>
      <c r="H2255" s="9"/>
      <c r="I2255" s="9"/>
      <c r="CS2255" s="37"/>
      <c r="CT2255" s="37"/>
      <c r="CU2255" s="37"/>
      <c r="CV2255" s="37"/>
      <c r="CW2255" s="37"/>
      <c r="CX2255" s="37"/>
      <c r="CY2255" s="37"/>
    </row>
    <row r="2256" spans="2:103" s="10" customFormat="1" x14ac:dyDescent="0.4">
      <c r="B2256" s="44"/>
      <c r="C2256" s="43"/>
      <c r="D2256" s="50"/>
      <c r="E2256" s="50"/>
      <c r="F2256" s="50"/>
      <c r="G2256" s="50"/>
      <c r="H2256" s="9"/>
      <c r="I2256" s="9"/>
      <c r="CS2256" s="37"/>
      <c r="CT2256" s="37"/>
      <c r="CU2256" s="37"/>
      <c r="CV2256" s="37"/>
      <c r="CW2256" s="37"/>
      <c r="CX2256" s="37"/>
      <c r="CY2256" s="37"/>
    </row>
    <row r="2257" spans="2:103" s="10" customFormat="1" x14ac:dyDescent="0.4">
      <c r="B2257" s="44"/>
      <c r="C2257" s="43"/>
      <c r="D2257" s="50"/>
      <c r="E2257" s="50"/>
      <c r="F2257" s="50"/>
      <c r="G2257" s="50"/>
      <c r="H2257" s="9"/>
      <c r="I2257" s="9"/>
      <c r="CS2257" s="37"/>
      <c r="CT2257" s="37"/>
      <c r="CU2257" s="37"/>
      <c r="CV2257" s="37"/>
      <c r="CW2257" s="37"/>
      <c r="CX2257" s="37"/>
      <c r="CY2257" s="37"/>
    </row>
    <row r="2258" spans="2:103" s="10" customFormat="1" x14ac:dyDescent="0.4">
      <c r="B2258" s="44"/>
      <c r="C2258" s="43"/>
      <c r="D2258" s="50"/>
      <c r="E2258" s="50"/>
      <c r="F2258" s="50"/>
      <c r="G2258" s="50"/>
      <c r="H2258" s="9"/>
      <c r="I2258" s="9"/>
      <c r="CS2258" s="37"/>
      <c r="CT2258" s="37"/>
      <c r="CU2258" s="37"/>
      <c r="CV2258" s="37"/>
      <c r="CW2258" s="37"/>
      <c r="CX2258" s="37"/>
      <c r="CY2258" s="37"/>
    </row>
    <row r="2259" spans="2:103" s="10" customFormat="1" x14ac:dyDescent="0.4">
      <c r="B2259" s="44"/>
      <c r="C2259" s="43"/>
      <c r="D2259" s="50"/>
      <c r="E2259" s="50"/>
      <c r="F2259" s="50"/>
      <c r="G2259" s="50"/>
      <c r="H2259" s="9"/>
      <c r="I2259" s="9"/>
      <c r="CS2259" s="37"/>
      <c r="CT2259" s="37"/>
      <c r="CU2259" s="37"/>
      <c r="CV2259" s="37"/>
      <c r="CW2259" s="37"/>
      <c r="CX2259" s="37"/>
      <c r="CY2259" s="37"/>
    </row>
    <row r="2260" spans="2:103" s="10" customFormat="1" x14ac:dyDescent="0.4">
      <c r="B2260" s="44"/>
      <c r="C2260" s="43"/>
      <c r="D2260" s="50"/>
      <c r="E2260" s="50"/>
      <c r="F2260" s="50"/>
      <c r="G2260" s="50"/>
      <c r="H2260" s="9"/>
      <c r="I2260" s="9"/>
      <c r="CS2260" s="37"/>
      <c r="CT2260" s="37"/>
      <c r="CU2260" s="37"/>
      <c r="CV2260" s="37"/>
      <c r="CW2260" s="37"/>
      <c r="CX2260" s="37"/>
      <c r="CY2260" s="37"/>
    </row>
    <row r="2261" spans="2:103" s="10" customFormat="1" x14ac:dyDescent="0.4">
      <c r="B2261" s="44"/>
      <c r="C2261" s="43"/>
      <c r="D2261" s="50"/>
      <c r="E2261" s="50"/>
      <c r="F2261" s="50"/>
      <c r="G2261" s="50"/>
      <c r="H2261" s="9"/>
      <c r="I2261" s="9"/>
      <c r="CS2261" s="37"/>
      <c r="CT2261" s="37"/>
      <c r="CU2261" s="37"/>
      <c r="CV2261" s="37"/>
      <c r="CW2261" s="37"/>
      <c r="CX2261" s="37"/>
      <c r="CY2261" s="37"/>
    </row>
    <row r="2262" spans="2:103" s="10" customFormat="1" x14ac:dyDescent="0.4">
      <c r="B2262" s="44"/>
      <c r="C2262" s="43"/>
      <c r="D2262" s="50"/>
      <c r="E2262" s="50"/>
      <c r="F2262" s="50"/>
      <c r="G2262" s="50"/>
      <c r="H2262" s="9"/>
      <c r="I2262" s="9"/>
      <c r="CS2262" s="37"/>
      <c r="CT2262" s="37"/>
      <c r="CU2262" s="37"/>
      <c r="CV2262" s="37"/>
      <c r="CW2262" s="37"/>
      <c r="CX2262" s="37"/>
      <c r="CY2262" s="37"/>
    </row>
    <row r="2263" spans="2:103" s="10" customFormat="1" x14ac:dyDescent="0.4">
      <c r="B2263" s="44"/>
      <c r="C2263" s="43"/>
      <c r="D2263" s="50"/>
      <c r="E2263" s="50"/>
      <c r="F2263" s="50"/>
      <c r="G2263" s="50"/>
      <c r="H2263" s="9"/>
      <c r="I2263" s="9"/>
      <c r="CS2263" s="37"/>
      <c r="CT2263" s="37"/>
      <c r="CU2263" s="37"/>
      <c r="CV2263" s="37"/>
      <c r="CW2263" s="37"/>
      <c r="CX2263" s="37"/>
      <c r="CY2263" s="37"/>
    </row>
    <row r="2264" spans="2:103" s="10" customFormat="1" x14ac:dyDescent="0.4">
      <c r="B2264" s="44"/>
      <c r="C2264" s="43"/>
      <c r="D2264" s="50"/>
      <c r="E2264" s="50"/>
      <c r="F2264" s="50"/>
      <c r="G2264" s="50"/>
      <c r="H2264" s="9"/>
      <c r="I2264" s="9"/>
      <c r="CS2264" s="37"/>
      <c r="CT2264" s="37"/>
      <c r="CU2264" s="37"/>
      <c r="CV2264" s="37"/>
      <c r="CW2264" s="37"/>
      <c r="CX2264" s="37"/>
      <c r="CY2264" s="37"/>
    </row>
    <row r="2265" spans="2:103" s="10" customFormat="1" x14ac:dyDescent="0.4">
      <c r="B2265" s="44"/>
      <c r="C2265" s="43"/>
      <c r="D2265" s="50"/>
      <c r="E2265" s="50"/>
      <c r="F2265" s="50"/>
      <c r="G2265" s="50"/>
      <c r="H2265" s="9"/>
      <c r="I2265" s="9"/>
      <c r="CS2265" s="37"/>
      <c r="CT2265" s="37"/>
      <c r="CU2265" s="37"/>
      <c r="CV2265" s="37"/>
      <c r="CW2265" s="37"/>
      <c r="CX2265" s="37"/>
      <c r="CY2265" s="37"/>
    </row>
    <row r="2266" spans="2:103" s="10" customFormat="1" x14ac:dyDescent="0.4">
      <c r="B2266" s="44"/>
      <c r="C2266" s="43"/>
      <c r="D2266" s="50"/>
      <c r="E2266" s="50"/>
      <c r="F2266" s="50"/>
      <c r="G2266" s="50"/>
      <c r="H2266" s="9"/>
      <c r="I2266" s="9"/>
      <c r="CS2266" s="37"/>
      <c r="CT2266" s="37"/>
      <c r="CU2266" s="37"/>
      <c r="CV2266" s="37"/>
      <c r="CW2266" s="37"/>
      <c r="CX2266" s="37"/>
      <c r="CY2266" s="37"/>
    </row>
    <row r="2267" spans="2:103" s="10" customFormat="1" x14ac:dyDescent="0.4">
      <c r="B2267" s="44"/>
      <c r="C2267" s="43"/>
      <c r="D2267" s="50"/>
      <c r="E2267" s="50"/>
      <c r="F2267" s="50"/>
      <c r="G2267" s="50"/>
      <c r="H2267" s="9"/>
      <c r="I2267" s="9"/>
      <c r="CS2267" s="37"/>
      <c r="CT2267" s="37"/>
      <c r="CU2267" s="37"/>
      <c r="CV2267" s="37"/>
      <c r="CW2267" s="37"/>
      <c r="CX2267" s="37"/>
      <c r="CY2267" s="37"/>
    </row>
    <row r="2268" spans="2:103" s="10" customFormat="1" x14ac:dyDescent="0.4">
      <c r="B2268" s="44"/>
      <c r="C2268" s="43"/>
      <c r="D2268" s="50"/>
      <c r="E2268" s="50"/>
      <c r="F2268" s="50"/>
      <c r="G2268" s="50"/>
      <c r="H2268" s="9"/>
      <c r="I2268" s="9"/>
      <c r="CS2268" s="37"/>
      <c r="CT2268" s="37"/>
      <c r="CU2268" s="37"/>
      <c r="CV2268" s="37"/>
      <c r="CW2268" s="37"/>
      <c r="CX2268" s="37"/>
      <c r="CY2268" s="37"/>
    </row>
    <row r="2269" spans="2:103" s="10" customFormat="1" x14ac:dyDescent="0.4">
      <c r="B2269" s="44"/>
      <c r="C2269" s="43"/>
      <c r="D2269" s="50"/>
      <c r="E2269" s="50"/>
      <c r="F2269" s="50"/>
      <c r="G2269" s="50"/>
      <c r="H2269" s="9"/>
      <c r="I2269" s="9"/>
      <c r="CS2269" s="37"/>
      <c r="CT2269" s="37"/>
      <c r="CU2269" s="37"/>
      <c r="CV2269" s="37"/>
      <c r="CW2269" s="37"/>
      <c r="CX2269" s="37"/>
      <c r="CY2269" s="37"/>
    </row>
    <row r="2270" spans="2:103" s="10" customFormat="1" x14ac:dyDescent="0.4">
      <c r="B2270" s="44"/>
      <c r="C2270" s="43"/>
      <c r="D2270" s="50"/>
      <c r="E2270" s="50"/>
      <c r="F2270" s="50"/>
      <c r="G2270" s="50"/>
      <c r="H2270" s="9"/>
      <c r="I2270" s="9"/>
      <c r="CS2270" s="37"/>
      <c r="CT2270" s="37"/>
      <c r="CU2270" s="37"/>
      <c r="CV2270" s="37"/>
      <c r="CW2270" s="37"/>
      <c r="CX2270" s="37"/>
      <c r="CY2270" s="37"/>
    </row>
    <row r="2271" spans="2:103" s="10" customFormat="1" x14ac:dyDescent="0.4">
      <c r="B2271" s="44"/>
      <c r="C2271" s="43"/>
      <c r="D2271" s="50"/>
      <c r="E2271" s="50"/>
      <c r="F2271" s="50"/>
      <c r="G2271" s="50"/>
      <c r="H2271" s="9"/>
      <c r="I2271" s="9"/>
      <c r="CS2271" s="37"/>
      <c r="CT2271" s="37"/>
      <c r="CU2271" s="37"/>
      <c r="CV2271" s="37"/>
      <c r="CW2271" s="37"/>
      <c r="CX2271" s="37"/>
      <c r="CY2271" s="37"/>
    </row>
    <row r="2272" spans="2:103" s="10" customFormat="1" x14ac:dyDescent="0.4">
      <c r="B2272" s="44"/>
      <c r="C2272" s="43"/>
      <c r="D2272" s="50"/>
      <c r="E2272" s="50"/>
      <c r="F2272" s="50"/>
      <c r="G2272" s="50"/>
      <c r="H2272" s="9"/>
      <c r="I2272" s="9"/>
      <c r="CS2272" s="37"/>
      <c r="CT2272" s="37"/>
      <c r="CU2272" s="37"/>
      <c r="CV2272" s="37"/>
      <c r="CW2272" s="37"/>
      <c r="CX2272" s="37"/>
      <c r="CY2272" s="37"/>
    </row>
    <row r="2273" spans="2:103" s="10" customFormat="1" x14ac:dyDescent="0.4">
      <c r="B2273" s="44"/>
      <c r="C2273" s="43"/>
      <c r="D2273" s="50"/>
      <c r="E2273" s="50"/>
      <c r="F2273" s="50"/>
      <c r="G2273" s="50"/>
      <c r="H2273" s="9"/>
      <c r="I2273" s="9"/>
      <c r="CS2273" s="37"/>
      <c r="CT2273" s="37"/>
      <c r="CU2273" s="37"/>
      <c r="CV2273" s="37"/>
      <c r="CW2273" s="37"/>
      <c r="CX2273" s="37"/>
      <c r="CY2273" s="37"/>
    </row>
    <row r="2274" spans="2:103" s="10" customFormat="1" x14ac:dyDescent="0.4">
      <c r="B2274" s="44"/>
      <c r="C2274" s="43"/>
      <c r="D2274" s="50"/>
      <c r="E2274" s="50"/>
      <c r="F2274" s="50"/>
      <c r="G2274" s="50"/>
      <c r="H2274" s="9"/>
      <c r="I2274" s="9"/>
      <c r="CS2274" s="37"/>
      <c r="CT2274" s="37"/>
      <c r="CU2274" s="37"/>
      <c r="CV2274" s="37"/>
      <c r="CW2274" s="37"/>
      <c r="CX2274" s="37"/>
      <c r="CY2274" s="37"/>
    </row>
    <row r="2275" spans="2:103" s="10" customFormat="1" x14ac:dyDescent="0.4">
      <c r="B2275" s="44"/>
      <c r="C2275" s="43"/>
      <c r="D2275" s="50"/>
      <c r="E2275" s="50"/>
      <c r="F2275" s="50"/>
      <c r="G2275" s="50"/>
      <c r="H2275" s="9"/>
      <c r="I2275" s="9"/>
      <c r="CS2275" s="37"/>
      <c r="CT2275" s="37"/>
      <c r="CU2275" s="37"/>
      <c r="CV2275" s="37"/>
      <c r="CW2275" s="37"/>
      <c r="CX2275" s="37"/>
      <c r="CY2275" s="37"/>
    </row>
    <row r="2276" spans="2:103" s="10" customFormat="1" x14ac:dyDescent="0.4">
      <c r="B2276" s="44"/>
      <c r="C2276" s="43"/>
      <c r="D2276" s="50"/>
      <c r="E2276" s="50"/>
      <c r="F2276" s="50"/>
      <c r="G2276" s="50"/>
      <c r="H2276" s="9"/>
      <c r="I2276" s="9"/>
      <c r="CS2276" s="37"/>
      <c r="CT2276" s="37"/>
      <c r="CU2276" s="37"/>
      <c r="CV2276" s="37"/>
      <c r="CW2276" s="37"/>
      <c r="CX2276" s="37"/>
      <c r="CY2276" s="37"/>
    </row>
    <row r="2277" spans="2:103" s="10" customFormat="1" x14ac:dyDescent="0.4">
      <c r="B2277" s="44"/>
      <c r="C2277" s="43"/>
      <c r="D2277" s="50"/>
      <c r="E2277" s="50"/>
      <c r="F2277" s="50"/>
      <c r="G2277" s="50"/>
      <c r="H2277" s="9"/>
      <c r="I2277" s="9"/>
      <c r="CS2277" s="37"/>
      <c r="CT2277" s="37"/>
      <c r="CU2277" s="37"/>
      <c r="CV2277" s="37"/>
      <c r="CW2277" s="37"/>
      <c r="CX2277" s="37"/>
      <c r="CY2277" s="37"/>
    </row>
    <row r="2278" spans="2:103" s="10" customFormat="1" x14ac:dyDescent="0.4">
      <c r="B2278" s="44"/>
      <c r="C2278" s="43"/>
      <c r="D2278" s="50"/>
      <c r="E2278" s="50"/>
      <c r="F2278" s="50"/>
      <c r="G2278" s="50"/>
      <c r="H2278" s="9"/>
      <c r="I2278" s="9"/>
      <c r="CS2278" s="37"/>
      <c r="CT2278" s="37"/>
      <c r="CU2278" s="37"/>
      <c r="CV2278" s="37"/>
      <c r="CW2278" s="37"/>
      <c r="CX2278" s="37"/>
      <c r="CY2278" s="37"/>
    </row>
    <row r="2279" spans="2:103" s="10" customFormat="1" x14ac:dyDescent="0.4">
      <c r="B2279" s="44"/>
      <c r="C2279" s="43"/>
      <c r="D2279" s="50"/>
      <c r="E2279" s="50"/>
      <c r="F2279" s="50"/>
      <c r="G2279" s="50"/>
      <c r="H2279" s="9"/>
      <c r="I2279" s="9"/>
      <c r="CS2279" s="37"/>
      <c r="CT2279" s="37"/>
      <c r="CU2279" s="37"/>
      <c r="CV2279" s="37"/>
      <c r="CW2279" s="37"/>
      <c r="CX2279" s="37"/>
      <c r="CY2279" s="37"/>
    </row>
    <row r="2280" spans="2:103" s="10" customFormat="1" x14ac:dyDescent="0.4">
      <c r="B2280" s="44"/>
      <c r="C2280" s="43"/>
      <c r="D2280" s="50"/>
      <c r="E2280" s="50"/>
      <c r="F2280" s="50"/>
      <c r="G2280" s="50"/>
      <c r="H2280" s="9"/>
      <c r="I2280" s="9"/>
      <c r="CS2280" s="37"/>
      <c r="CT2280" s="37"/>
      <c r="CU2280" s="37"/>
      <c r="CV2280" s="37"/>
      <c r="CW2280" s="37"/>
      <c r="CX2280" s="37"/>
      <c r="CY2280" s="37"/>
    </row>
    <row r="2281" spans="2:103" s="10" customFormat="1" x14ac:dyDescent="0.4">
      <c r="B2281" s="44"/>
      <c r="C2281" s="43"/>
      <c r="D2281" s="50"/>
      <c r="E2281" s="50"/>
      <c r="F2281" s="50"/>
      <c r="G2281" s="50"/>
      <c r="H2281" s="9"/>
      <c r="I2281" s="9"/>
      <c r="CS2281" s="37"/>
      <c r="CT2281" s="37"/>
      <c r="CU2281" s="37"/>
      <c r="CV2281" s="37"/>
      <c r="CW2281" s="37"/>
      <c r="CX2281" s="37"/>
      <c r="CY2281" s="37"/>
    </row>
    <row r="2282" spans="2:103" s="10" customFormat="1" x14ac:dyDescent="0.4">
      <c r="B2282" s="44"/>
      <c r="C2282" s="43"/>
      <c r="D2282" s="50"/>
      <c r="E2282" s="50"/>
      <c r="F2282" s="50"/>
      <c r="G2282" s="50"/>
      <c r="H2282" s="9"/>
      <c r="I2282" s="9"/>
      <c r="CS2282" s="37"/>
      <c r="CT2282" s="37"/>
      <c r="CU2282" s="37"/>
      <c r="CV2282" s="37"/>
      <c r="CW2282" s="37"/>
      <c r="CX2282" s="37"/>
      <c r="CY2282" s="37"/>
    </row>
    <row r="2283" spans="2:103" s="10" customFormat="1" x14ac:dyDescent="0.4">
      <c r="B2283" s="44"/>
      <c r="C2283" s="43"/>
      <c r="D2283" s="50"/>
      <c r="E2283" s="50"/>
      <c r="F2283" s="50"/>
      <c r="G2283" s="50"/>
      <c r="H2283" s="9"/>
      <c r="I2283" s="9"/>
      <c r="CS2283" s="37"/>
      <c r="CT2283" s="37"/>
      <c r="CU2283" s="37"/>
      <c r="CV2283" s="37"/>
      <c r="CW2283" s="37"/>
      <c r="CX2283" s="37"/>
      <c r="CY2283" s="37"/>
    </row>
    <row r="2284" spans="2:103" s="10" customFormat="1" x14ac:dyDescent="0.4">
      <c r="B2284" s="44"/>
      <c r="C2284" s="43"/>
      <c r="D2284" s="50"/>
      <c r="E2284" s="50"/>
      <c r="F2284" s="50"/>
      <c r="G2284" s="50"/>
      <c r="H2284" s="9"/>
      <c r="I2284" s="9"/>
      <c r="CS2284" s="37"/>
      <c r="CT2284" s="37"/>
      <c r="CU2284" s="37"/>
      <c r="CV2284" s="37"/>
      <c r="CW2284" s="37"/>
      <c r="CX2284" s="37"/>
      <c r="CY2284" s="37"/>
    </row>
    <row r="2285" spans="2:103" s="10" customFormat="1" x14ac:dyDescent="0.4">
      <c r="B2285" s="44"/>
      <c r="C2285" s="43"/>
      <c r="D2285" s="50"/>
      <c r="E2285" s="50"/>
      <c r="F2285" s="50"/>
      <c r="G2285" s="50"/>
      <c r="H2285" s="9"/>
      <c r="I2285" s="9"/>
      <c r="CS2285" s="37"/>
      <c r="CT2285" s="37"/>
      <c r="CU2285" s="37"/>
      <c r="CV2285" s="37"/>
      <c r="CW2285" s="37"/>
      <c r="CX2285" s="37"/>
      <c r="CY2285" s="37"/>
    </row>
    <row r="2286" spans="2:103" s="10" customFormat="1" x14ac:dyDescent="0.4">
      <c r="B2286" s="44"/>
      <c r="C2286" s="43"/>
      <c r="D2286" s="50"/>
      <c r="E2286" s="50"/>
      <c r="F2286" s="50"/>
      <c r="G2286" s="50"/>
      <c r="H2286" s="9"/>
      <c r="I2286" s="9"/>
      <c r="CS2286" s="37"/>
      <c r="CT2286" s="37"/>
      <c r="CU2286" s="37"/>
      <c r="CV2286" s="37"/>
      <c r="CW2286" s="37"/>
      <c r="CX2286" s="37"/>
      <c r="CY2286" s="37"/>
    </row>
    <row r="2287" spans="2:103" s="10" customFormat="1" x14ac:dyDescent="0.4">
      <c r="B2287" s="44"/>
      <c r="C2287" s="43"/>
      <c r="D2287" s="50"/>
      <c r="E2287" s="50"/>
      <c r="F2287" s="50"/>
      <c r="G2287" s="50"/>
      <c r="H2287" s="9"/>
      <c r="I2287" s="9"/>
      <c r="CS2287" s="37"/>
      <c r="CT2287" s="37"/>
      <c r="CU2287" s="37"/>
      <c r="CV2287" s="37"/>
      <c r="CW2287" s="37"/>
      <c r="CX2287" s="37"/>
      <c r="CY2287" s="37"/>
    </row>
    <row r="2288" spans="2:103" s="10" customFormat="1" x14ac:dyDescent="0.4">
      <c r="B2288" s="44"/>
      <c r="C2288" s="43"/>
      <c r="D2288" s="50"/>
      <c r="E2288" s="50"/>
      <c r="F2288" s="50"/>
      <c r="G2288" s="50"/>
      <c r="H2288" s="9"/>
      <c r="I2288" s="9"/>
      <c r="CS2288" s="37"/>
      <c r="CT2288" s="37"/>
      <c r="CU2288" s="37"/>
      <c r="CV2288" s="37"/>
      <c r="CW2288" s="37"/>
      <c r="CX2288" s="37"/>
      <c r="CY2288" s="37"/>
    </row>
    <row r="2289" spans="2:103" s="10" customFormat="1" x14ac:dyDescent="0.4">
      <c r="B2289" s="44"/>
      <c r="C2289" s="43"/>
      <c r="D2289" s="50"/>
      <c r="E2289" s="50"/>
      <c r="F2289" s="50"/>
      <c r="G2289" s="50"/>
      <c r="H2289" s="9"/>
      <c r="I2289" s="9"/>
      <c r="CS2289" s="37"/>
      <c r="CT2289" s="37"/>
      <c r="CU2289" s="37"/>
      <c r="CV2289" s="37"/>
      <c r="CW2289" s="37"/>
      <c r="CX2289" s="37"/>
      <c r="CY2289" s="37"/>
    </row>
    <row r="2290" spans="2:103" s="10" customFormat="1" x14ac:dyDescent="0.4">
      <c r="B2290" s="44"/>
      <c r="C2290" s="43"/>
      <c r="D2290" s="50"/>
      <c r="E2290" s="50"/>
      <c r="F2290" s="50"/>
      <c r="G2290" s="50"/>
      <c r="H2290" s="9"/>
      <c r="I2290" s="9"/>
      <c r="CS2290" s="37"/>
      <c r="CT2290" s="37"/>
      <c r="CU2290" s="37"/>
      <c r="CV2290" s="37"/>
      <c r="CW2290" s="37"/>
      <c r="CX2290" s="37"/>
      <c r="CY2290" s="37"/>
    </row>
    <row r="2291" spans="2:103" s="10" customFormat="1" x14ac:dyDescent="0.4">
      <c r="B2291" s="44"/>
      <c r="C2291" s="43"/>
      <c r="D2291" s="50"/>
      <c r="E2291" s="50"/>
      <c r="F2291" s="50"/>
      <c r="G2291" s="50"/>
      <c r="H2291" s="9"/>
      <c r="I2291" s="9"/>
      <c r="CS2291" s="37"/>
      <c r="CT2291" s="37"/>
      <c r="CU2291" s="37"/>
      <c r="CV2291" s="37"/>
      <c r="CW2291" s="37"/>
      <c r="CX2291" s="37"/>
      <c r="CY2291" s="37"/>
    </row>
    <row r="2292" spans="2:103" s="10" customFormat="1" x14ac:dyDescent="0.4">
      <c r="B2292" s="44"/>
      <c r="C2292" s="43"/>
      <c r="D2292" s="50"/>
      <c r="E2292" s="50"/>
      <c r="F2292" s="50"/>
      <c r="G2292" s="50"/>
      <c r="H2292" s="9"/>
      <c r="I2292" s="9"/>
      <c r="CS2292" s="37"/>
      <c r="CT2292" s="37"/>
      <c r="CU2292" s="37"/>
      <c r="CV2292" s="37"/>
      <c r="CW2292" s="37"/>
      <c r="CX2292" s="37"/>
      <c r="CY2292" s="37"/>
    </row>
    <row r="2293" spans="2:103" s="10" customFormat="1" x14ac:dyDescent="0.4">
      <c r="B2293" s="44"/>
      <c r="C2293" s="43"/>
      <c r="D2293" s="50"/>
      <c r="E2293" s="50"/>
      <c r="F2293" s="50"/>
      <c r="G2293" s="50"/>
      <c r="H2293" s="9"/>
      <c r="I2293" s="9"/>
      <c r="CS2293" s="37"/>
      <c r="CT2293" s="37"/>
      <c r="CU2293" s="37"/>
      <c r="CV2293" s="37"/>
      <c r="CW2293" s="37"/>
      <c r="CX2293" s="37"/>
      <c r="CY2293" s="37"/>
    </row>
    <row r="2294" spans="2:103" s="10" customFormat="1" x14ac:dyDescent="0.4">
      <c r="B2294" s="44"/>
      <c r="C2294" s="43"/>
      <c r="D2294" s="50"/>
      <c r="E2294" s="50"/>
      <c r="F2294" s="50"/>
      <c r="G2294" s="50"/>
      <c r="H2294" s="9"/>
      <c r="I2294" s="9"/>
      <c r="CS2294" s="37"/>
      <c r="CT2294" s="37"/>
      <c r="CU2294" s="37"/>
      <c r="CV2294" s="37"/>
      <c r="CW2294" s="37"/>
      <c r="CX2294" s="37"/>
      <c r="CY2294" s="37"/>
    </row>
    <row r="2295" spans="2:103" s="10" customFormat="1" x14ac:dyDescent="0.4">
      <c r="B2295" s="44"/>
      <c r="C2295" s="43"/>
      <c r="D2295" s="50"/>
      <c r="E2295" s="50"/>
      <c r="F2295" s="50"/>
      <c r="G2295" s="50"/>
      <c r="H2295" s="9"/>
      <c r="I2295" s="9"/>
      <c r="CS2295" s="37"/>
      <c r="CT2295" s="37"/>
      <c r="CU2295" s="37"/>
      <c r="CV2295" s="37"/>
      <c r="CW2295" s="37"/>
      <c r="CX2295" s="37"/>
      <c r="CY2295" s="37"/>
    </row>
    <row r="2296" spans="2:103" s="10" customFormat="1" x14ac:dyDescent="0.4">
      <c r="B2296" s="44"/>
      <c r="C2296" s="43"/>
      <c r="D2296" s="50"/>
      <c r="E2296" s="50"/>
      <c r="F2296" s="50"/>
      <c r="G2296" s="50"/>
      <c r="H2296" s="9"/>
      <c r="I2296" s="9"/>
      <c r="CS2296" s="37"/>
      <c r="CT2296" s="37"/>
      <c r="CU2296" s="37"/>
      <c r="CV2296" s="37"/>
      <c r="CW2296" s="37"/>
      <c r="CX2296" s="37"/>
      <c r="CY2296" s="37"/>
    </row>
    <row r="2297" spans="2:103" s="10" customFormat="1" x14ac:dyDescent="0.4">
      <c r="B2297" s="44"/>
      <c r="C2297" s="43"/>
      <c r="D2297" s="50"/>
      <c r="E2297" s="50"/>
      <c r="F2297" s="50"/>
      <c r="G2297" s="50"/>
      <c r="H2297" s="9"/>
      <c r="I2297" s="9"/>
      <c r="CS2297" s="37"/>
      <c r="CT2297" s="37"/>
      <c r="CU2297" s="37"/>
      <c r="CV2297" s="37"/>
      <c r="CW2297" s="37"/>
      <c r="CX2297" s="37"/>
      <c r="CY2297" s="37"/>
    </row>
    <row r="2298" spans="2:103" s="10" customFormat="1" x14ac:dyDescent="0.4">
      <c r="B2298" s="44"/>
      <c r="C2298" s="43"/>
      <c r="D2298" s="50"/>
      <c r="E2298" s="50"/>
      <c r="F2298" s="50"/>
      <c r="G2298" s="50"/>
      <c r="H2298" s="9"/>
      <c r="I2298" s="9"/>
      <c r="CS2298" s="37"/>
      <c r="CT2298" s="37"/>
      <c r="CU2298" s="37"/>
      <c r="CV2298" s="37"/>
      <c r="CW2298" s="37"/>
      <c r="CX2298" s="37"/>
      <c r="CY2298" s="37"/>
    </row>
    <row r="2299" spans="2:103" s="10" customFormat="1" x14ac:dyDescent="0.4">
      <c r="B2299" s="44"/>
      <c r="C2299" s="43"/>
      <c r="D2299" s="50"/>
      <c r="E2299" s="50"/>
      <c r="F2299" s="50"/>
      <c r="G2299" s="50"/>
      <c r="H2299" s="9"/>
      <c r="I2299" s="9"/>
      <c r="CS2299" s="37"/>
      <c r="CT2299" s="37"/>
      <c r="CU2299" s="37"/>
      <c r="CV2299" s="37"/>
      <c r="CW2299" s="37"/>
      <c r="CX2299" s="37"/>
      <c r="CY2299" s="37"/>
    </row>
    <row r="2300" spans="2:103" s="10" customFormat="1" x14ac:dyDescent="0.4">
      <c r="B2300" s="44"/>
      <c r="C2300" s="43"/>
      <c r="D2300" s="50"/>
      <c r="E2300" s="50"/>
      <c r="F2300" s="50"/>
      <c r="G2300" s="50"/>
      <c r="H2300" s="9"/>
      <c r="I2300" s="9"/>
      <c r="CS2300" s="37"/>
      <c r="CT2300" s="37"/>
      <c r="CU2300" s="37"/>
      <c r="CV2300" s="37"/>
      <c r="CW2300" s="37"/>
      <c r="CX2300" s="37"/>
      <c r="CY2300" s="37"/>
    </row>
    <row r="2301" spans="2:103" s="10" customFormat="1" x14ac:dyDescent="0.4">
      <c r="B2301" s="44"/>
      <c r="C2301" s="43"/>
      <c r="D2301" s="50"/>
      <c r="E2301" s="50"/>
      <c r="F2301" s="50"/>
      <c r="G2301" s="50"/>
      <c r="H2301" s="9"/>
      <c r="I2301" s="9"/>
      <c r="CS2301" s="37"/>
      <c r="CT2301" s="37"/>
      <c r="CU2301" s="37"/>
      <c r="CV2301" s="37"/>
      <c r="CW2301" s="37"/>
      <c r="CX2301" s="37"/>
      <c r="CY2301" s="37"/>
    </row>
    <row r="2302" spans="2:103" s="10" customFormat="1" x14ac:dyDescent="0.4">
      <c r="B2302" s="44"/>
      <c r="C2302" s="43"/>
      <c r="D2302" s="50"/>
      <c r="E2302" s="50"/>
      <c r="F2302" s="50"/>
      <c r="G2302" s="50"/>
      <c r="H2302" s="9"/>
      <c r="I2302" s="9"/>
      <c r="CS2302" s="37"/>
      <c r="CT2302" s="37"/>
      <c r="CU2302" s="37"/>
      <c r="CV2302" s="37"/>
      <c r="CW2302" s="37"/>
      <c r="CX2302" s="37"/>
      <c r="CY2302" s="37"/>
    </row>
    <row r="2303" spans="2:103" s="10" customFormat="1" x14ac:dyDescent="0.4">
      <c r="B2303" s="44"/>
      <c r="C2303" s="43"/>
      <c r="D2303" s="50"/>
      <c r="E2303" s="50"/>
      <c r="F2303" s="50"/>
      <c r="G2303" s="50"/>
      <c r="H2303" s="9"/>
      <c r="I2303" s="9"/>
      <c r="CS2303" s="37"/>
      <c r="CT2303" s="37"/>
      <c r="CU2303" s="37"/>
      <c r="CV2303" s="37"/>
      <c r="CW2303" s="37"/>
      <c r="CX2303" s="37"/>
      <c r="CY2303" s="37"/>
    </row>
    <row r="2304" spans="2:103" s="10" customFormat="1" x14ac:dyDescent="0.4">
      <c r="B2304" s="44"/>
      <c r="C2304" s="43"/>
      <c r="D2304" s="50"/>
      <c r="E2304" s="50"/>
      <c r="F2304" s="50"/>
      <c r="G2304" s="50"/>
      <c r="H2304" s="9"/>
      <c r="I2304" s="9"/>
      <c r="CS2304" s="37"/>
      <c r="CT2304" s="37"/>
      <c r="CU2304" s="37"/>
      <c r="CV2304" s="37"/>
      <c r="CW2304" s="37"/>
      <c r="CX2304" s="37"/>
      <c r="CY2304" s="37"/>
    </row>
    <row r="2305" spans="2:103" s="10" customFormat="1" x14ac:dyDescent="0.4">
      <c r="B2305" s="44"/>
      <c r="C2305" s="43"/>
      <c r="D2305" s="50"/>
      <c r="E2305" s="50"/>
      <c r="F2305" s="50"/>
      <c r="G2305" s="50"/>
      <c r="H2305" s="9"/>
      <c r="I2305" s="9"/>
      <c r="CS2305" s="37"/>
      <c r="CT2305" s="37"/>
      <c r="CU2305" s="37"/>
      <c r="CV2305" s="37"/>
      <c r="CW2305" s="37"/>
      <c r="CX2305" s="37"/>
      <c r="CY2305" s="37"/>
    </row>
    <row r="2306" spans="2:103" s="10" customFormat="1" x14ac:dyDescent="0.4">
      <c r="B2306" s="44"/>
      <c r="C2306" s="43"/>
      <c r="D2306" s="50"/>
      <c r="E2306" s="50"/>
      <c r="F2306" s="50"/>
      <c r="G2306" s="50"/>
      <c r="H2306" s="9"/>
      <c r="I2306" s="9"/>
      <c r="CS2306" s="37"/>
      <c r="CT2306" s="37"/>
      <c r="CU2306" s="37"/>
      <c r="CV2306" s="37"/>
      <c r="CW2306" s="37"/>
      <c r="CX2306" s="37"/>
      <c r="CY2306" s="37"/>
    </row>
    <row r="2307" spans="2:103" s="10" customFormat="1" x14ac:dyDescent="0.4">
      <c r="B2307" s="44"/>
      <c r="C2307" s="43"/>
      <c r="D2307" s="50"/>
      <c r="E2307" s="50"/>
      <c r="F2307" s="50"/>
      <c r="G2307" s="50"/>
      <c r="H2307" s="9"/>
      <c r="I2307" s="9"/>
      <c r="CS2307" s="37"/>
      <c r="CT2307" s="37"/>
      <c r="CU2307" s="37"/>
      <c r="CV2307" s="37"/>
      <c r="CW2307" s="37"/>
      <c r="CX2307" s="37"/>
      <c r="CY2307" s="37"/>
    </row>
    <row r="2308" spans="2:103" s="10" customFormat="1" x14ac:dyDescent="0.4">
      <c r="B2308" s="44"/>
      <c r="C2308" s="43"/>
      <c r="D2308" s="50"/>
      <c r="E2308" s="50"/>
      <c r="F2308" s="50"/>
      <c r="G2308" s="50"/>
      <c r="H2308" s="9"/>
      <c r="I2308" s="9"/>
      <c r="CS2308" s="37"/>
      <c r="CT2308" s="37"/>
      <c r="CU2308" s="37"/>
      <c r="CV2308" s="37"/>
      <c r="CW2308" s="37"/>
      <c r="CX2308" s="37"/>
      <c r="CY2308" s="37"/>
    </row>
    <row r="2309" spans="2:103" s="10" customFormat="1" x14ac:dyDescent="0.4">
      <c r="B2309" s="44"/>
      <c r="C2309" s="43"/>
      <c r="D2309" s="50"/>
      <c r="E2309" s="50"/>
      <c r="F2309" s="50"/>
      <c r="G2309" s="50"/>
      <c r="H2309" s="9"/>
      <c r="I2309" s="9"/>
      <c r="CS2309" s="37"/>
      <c r="CT2309" s="37"/>
      <c r="CU2309" s="37"/>
      <c r="CV2309" s="37"/>
      <c r="CW2309" s="37"/>
      <c r="CX2309" s="37"/>
      <c r="CY2309" s="37"/>
    </row>
    <row r="2310" spans="2:103" s="10" customFormat="1" x14ac:dyDescent="0.4">
      <c r="B2310" s="44"/>
      <c r="C2310" s="43"/>
      <c r="D2310" s="50"/>
      <c r="E2310" s="50"/>
      <c r="F2310" s="50"/>
      <c r="G2310" s="50"/>
      <c r="H2310" s="9"/>
      <c r="I2310" s="9"/>
      <c r="CS2310" s="37"/>
      <c r="CT2310" s="37"/>
      <c r="CU2310" s="37"/>
      <c r="CV2310" s="37"/>
      <c r="CW2310" s="37"/>
      <c r="CX2310" s="37"/>
      <c r="CY2310" s="37"/>
    </row>
    <row r="2311" spans="2:103" s="10" customFormat="1" x14ac:dyDescent="0.4">
      <c r="B2311" s="44"/>
      <c r="C2311" s="43"/>
      <c r="D2311" s="50"/>
      <c r="E2311" s="50"/>
      <c r="F2311" s="50"/>
      <c r="G2311" s="50"/>
      <c r="H2311" s="9"/>
      <c r="I2311" s="9"/>
      <c r="CS2311" s="37"/>
      <c r="CT2311" s="37"/>
      <c r="CU2311" s="37"/>
      <c r="CV2311" s="37"/>
      <c r="CW2311" s="37"/>
      <c r="CX2311" s="37"/>
      <c r="CY2311" s="37"/>
    </row>
    <row r="2312" spans="2:103" s="10" customFormat="1" x14ac:dyDescent="0.4">
      <c r="B2312" s="44"/>
      <c r="C2312" s="43"/>
      <c r="D2312" s="50"/>
      <c r="E2312" s="50"/>
      <c r="F2312" s="50"/>
      <c r="G2312" s="50"/>
      <c r="H2312" s="9"/>
      <c r="I2312" s="9"/>
      <c r="CS2312" s="37"/>
      <c r="CT2312" s="37"/>
      <c r="CU2312" s="37"/>
      <c r="CV2312" s="37"/>
      <c r="CW2312" s="37"/>
      <c r="CX2312" s="37"/>
      <c r="CY2312" s="37"/>
    </row>
    <row r="2313" spans="2:103" s="10" customFormat="1" x14ac:dyDescent="0.4">
      <c r="B2313" s="44"/>
      <c r="C2313" s="43"/>
      <c r="D2313" s="50"/>
      <c r="E2313" s="50"/>
      <c r="F2313" s="50"/>
      <c r="G2313" s="50"/>
      <c r="H2313" s="9"/>
      <c r="I2313" s="9"/>
      <c r="CS2313" s="37"/>
      <c r="CT2313" s="37"/>
      <c r="CU2313" s="37"/>
      <c r="CV2313" s="37"/>
      <c r="CW2313" s="37"/>
      <c r="CX2313" s="37"/>
      <c r="CY2313" s="37"/>
    </row>
    <row r="2314" spans="2:103" s="10" customFormat="1" x14ac:dyDescent="0.4">
      <c r="B2314" s="44"/>
      <c r="C2314" s="43"/>
      <c r="D2314" s="50"/>
      <c r="E2314" s="50"/>
      <c r="F2314" s="50"/>
      <c r="G2314" s="50"/>
      <c r="H2314" s="9"/>
      <c r="I2314" s="9"/>
      <c r="CS2314" s="37"/>
      <c r="CT2314" s="37"/>
      <c r="CU2314" s="37"/>
      <c r="CV2314" s="37"/>
      <c r="CW2314" s="37"/>
      <c r="CX2314" s="37"/>
      <c r="CY2314" s="37"/>
    </row>
    <row r="2315" spans="2:103" s="10" customFormat="1" x14ac:dyDescent="0.4">
      <c r="B2315" s="44"/>
      <c r="C2315" s="43"/>
      <c r="D2315" s="50"/>
      <c r="E2315" s="50"/>
      <c r="F2315" s="50"/>
      <c r="G2315" s="50"/>
      <c r="H2315" s="9"/>
      <c r="I2315" s="9"/>
      <c r="CS2315" s="37"/>
      <c r="CT2315" s="37"/>
      <c r="CU2315" s="37"/>
      <c r="CV2315" s="37"/>
      <c r="CW2315" s="37"/>
      <c r="CX2315" s="37"/>
      <c r="CY2315" s="37"/>
    </row>
    <row r="2316" spans="2:103" s="10" customFormat="1" x14ac:dyDescent="0.4">
      <c r="B2316" s="44"/>
      <c r="C2316" s="43"/>
      <c r="D2316" s="50"/>
      <c r="E2316" s="50"/>
      <c r="F2316" s="50"/>
      <c r="G2316" s="50"/>
      <c r="H2316" s="9"/>
      <c r="I2316" s="9"/>
      <c r="CS2316" s="37"/>
      <c r="CT2316" s="37"/>
      <c r="CU2316" s="37"/>
      <c r="CV2316" s="37"/>
      <c r="CW2316" s="37"/>
      <c r="CX2316" s="37"/>
      <c r="CY2316" s="37"/>
    </row>
    <row r="2317" spans="2:103" s="10" customFormat="1" x14ac:dyDescent="0.4">
      <c r="B2317" s="44"/>
      <c r="C2317" s="43"/>
      <c r="D2317" s="50"/>
      <c r="E2317" s="50"/>
      <c r="F2317" s="50"/>
      <c r="G2317" s="50"/>
      <c r="H2317" s="9"/>
      <c r="I2317" s="9"/>
      <c r="CS2317" s="37"/>
      <c r="CT2317" s="37"/>
      <c r="CU2317" s="37"/>
      <c r="CV2317" s="37"/>
      <c r="CW2317" s="37"/>
      <c r="CX2317" s="37"/>
      <c r="CY2317" s="37"/>
    </row>
    <row r="2318" spans="2:103" s="10" customFormat="1" x14ac:dyDescent="0.4">
      <c r="B2318" s="44"/>
      <c r="C2318" s="43"/>
      <c r="D2318" s="50"/>
      <c r="E2318" s="50"/>
      <c r="F2318" s="50"/>
      <c r="G2318" s="50"/>
      <c r="H2318" s="9"/>
      <c r="I2318" s="9"/>
      <c r="CS2318" s="37"/>
      <c r="CT2318" s="37"/>
      <c r="CU2318" s="37"/>
      <c r="CV2318" s="37"/>
      <c r="CW2318" s="37"/>
      <c r="CX2318" s="37"/>
      <c r="CY2318" s="37"/>
    </row>
    <row r="2319" spans="2:103" s="10" customFormat="1" x14ac:dyDescent="0.4">
      <c r="B2319" s="44"/>
      <c r="C2319" s="43"/>
      <c r="D2319" s="50"/>
      <c r="E2319" s="50"/>
      <c r="F2319" s="50"/>
      <c r="G2319" s="50"/>
      <c r="H2319" s="9"/>
      <c r="I2319" s="9"/>
      <c r="CS2319" s="37"/>
      <c r="CT2319" s="37"/>
      <c r="CU2319" s="37"/>
      <c r="CV2319" s="37"/>
      <c r="CW2319" s="37"/>
      <c r="CX2319" s="37"/>
      <c r="CY2319" s="37"/>
    </row>
    <row r="2320" spans="2:103" s="10" customFormat="1" x14ac:dyDescent="0.4">
      <c r="B2320" s="44"/>
      <c r="C2320" s="43"/>
      <c r="D2320" s="50"/>
      <c r="E2320" s="50"/>
      <c r="F2320" s="50"/>
      <c r="G2320" s="50"/>
      <c r="H2320" s="9"/>
      <c r="I2320" s="9"/>
      <c r="CS2320" s="37"/>
      <c r="CT2320" s="37"/>
      <c r="CU2320" s="37"/>
      <c r="CV2320" s="37"/>
      <c r="CW2320" s="37"/>
      <c r="CX2320" s="37"/>
      <c r="CY2320" s="37"/>
    </row>
    <row r="2321" spans="2:103" s="10" customFormat="1" x14ac:dyDescent="0.4">
      <c r="B2321" s="44"/>
      <c r="C2321" s="43"/>
      <c r="D2321" s="50"/>
      <c r="E2321" s="50"/>
      <c r="F2321" s="50"/>
      <c r="G2321" s="50"/>
      <c r="H2321" s="9"/>
      <c r="I2321" s="9"/>
      <c r="CS2321" s="37"/>
      <c r="CT2321" s="37"/>
      <c r="CU2321" s="37"/>
      <c r="CV2321" s="37"/>
      <c r="CW2321" s="37"/>
      <c r="CX2321" s="37"/>
      <c r="CY2321" s="37"/>
    </row>
    <row r="2322" spans="2:103" s="10" customFormat="1" x14ac:dyDescent="0.4">
      <c r="B2322" s="44"/>
      <c r="C2322" s="43"/>
      <c r="D2322" s="50"/>
      <c r="E2322" s="50"/>
      <c r="F2322" s="50"/>
      <c r="G2322" s="50"/>
      <c r="H2322" s="9"/>
      <c r="I2322" s="9"/>
      <c r="CS2322" s="37"/>
      <c r="CT2322" s="37"/>
      <c r="CU2322" s="37"/>
      <c r="CV2322" s="37"/>
      <c r="CW2322" s="37"/>
      <c r="CX2322" s="37"/>
      <c r="CY2322" s="37"/>
    </row>
    <row r="2323" spans="2:103" s="10" customFormat="1" x14ac:dyDescent="0.4">
      <c r="B2323" s="44"/>
      <c r="C2323" s="43"/>
      <c r="D2323" s="50"/>
      <c r="E2323" s="50"/>
      <c r="F2323" s="50"/>
      <c r="G2323" s="50"/>
      <c r="H2323" s="9"/>
      <c r="I2323" s="9"/>
      <c r="CS2323" s="37"/>
      <c r="CT2323" s="37"/>
      <c r="CU2323" s="37"/>
      <c r="CV2323" s="37"/>
      <c r="CW2323" s="37"/>
      <c r="CX2323" s="37"/>
      <c r="CY2323" s="37"/>
    </row>
    <row r="2324" spans="2:103" s="10" customFormat="1" x14ac:dyDescent="0.4">
      <c r="B2324" s="44"/>
      <c r="C2324" s="43"/>
      <c r="D2324" s="50"/>
      <c r="E2324" s="50"/>
      <c r="F2324" s="50"/>
      <c r="G2324" s="50"/>
      <c r="H2324" s="9"/>
      <c r="I2324" s="9"/>
      <c r="CS2324" s="37"/>
      <c r="CT2324" s="37"/>
      <c r="CU2324" s="37"/>
      <c r="CV2324" s="37"/>
      <c r="CW2324" s="37"/>
      <c r="CX2324" s="37"/>
      <c r="CY2324" s="37"/>
    </row>
    <row r="2325" spans="2:103" s="10" customFormat="1" x14ac:dyDescent="0.4">
      <c r="B2325" s="44"/>
      <c r="C2325" s="43"/>
      <c r="D2325" s="50"/>
      <c r="E2325" s="50"/>
      <c r="F2325" s="50"/>
      <c r="G2325" s="50"/>
      <c r="H2325" s="9"/>
      <c r="I2325" s="9"/>
      <c r="CS2325" s="37"/>
      <c r="CT2325" s="37"/>
      <c r="CU2325" s="37"/>
      <c r="CV2325" s="37"/>
      <c r="CW2325" s="37"/>
      <c r="CX2325" s="37"/>
      <c r="CY2325" s="37"/>
    </row>
    <row r="2326" spans="2:103" s="10" customFormat="1" x14ac:dyDescent="0.4">
      <c r="B2326" s="44"/>
      <c r="C2326" s="43"/>
      <c r="D2326" s="50"/>
      <c r="E2326" s="50"/>
      <c r="F2326" s="50"/>
      <c r="G2326" s="50"/>
      <c r="H2326" s="9"/>
      <c r="I2326" s="9"/>
      <c r="CS2326" s="37"/>
      <c r="CT2326" s="37"/>
      <c r="CU2326" s="37"/>
      <c r="CV2326" s="37"/>
      <c r="CW2326" s="37"/>
      <c r="CX2326" s="37"/>
      <c r="CY2326" s="37"/>
    </row>
    <row r="2327" spans="2:103" s="10" customFormat="1" x14ac:dyDescent="0.4">
      <c r="B2327" s="44"/>
      <c r="C2327" s="43"/>
      <c r="D2327" s="50"/>
      <c r="E2327" s="50"/>
      <c r="F2327" s="50"/>
      <c r="G2327" s="50"/>
      <c r="H2327" s="9"/>
      <c r="I2327" s="9"/>
      <c r="CS2327" s="37"/>
      <c r="CT2327" s="37"/>
      <c r="CU2327" s="37"/>
      <c r="CV2327" s="37"/>
      <c r="CW2327" s="37"/>
      <c r="CX2327" s="37"/>
      <c r="CY2327" s="37"/>
    </row>
    <row r="2328" spans="2:103" s="10" customFormat="1" x14ac:dyDescent="0.4">
      <c r="B2328" s="44"/>
      <c r="C2328" s="43"/>
      <c r="D2328" s="50"/>
      <c r="E2328" s="50"/>
      <c r="F2328" s="50"/>
      <c r="G2328" s="50"/>
      <c r="H2328" s="9"/>
      <c r="I2328" s="9"/>
      <c r="CS2328" s="37"/>
      <c r="CT2328" s="37"/>
      <c r="CU2328" s="37"/>
      <c r="CV2328" s="37"/>
      <c r="CW2328" s="37"/>
      <c r="CX2328" s="37"/>
      <c r="CY2328" s="37"/>
    </row>
    <row r="2329" spans="2:103" s="10" customFormat="1" x14ac:dyDescent="0.4">
      <c r="B2329" s="44"/>
      <c r="C2329" s="43"/>
      <c r="D2329" s="50"/>
      <c r="E2329" s="50"/>
      <c r="F2329" s="50"/>
      <c r="G2329" s="50"/>
      <c r="H2329" s="9"/>
      <c r="I2329" s="9"/>
      <c r="CS2329" s="37"/>
      <c r="CT2329" s="37"/>
      <c r="CU2329" s="37"/>
      <c r="CV2329" s="37"/>
      <c r="CW2329" s="37"/>
      <c r="CX2329" s="37"/>
      <c r="CY2329" s="37"/>
    </row>
    <row r="2330" spans="2:103" s="10" customFormat="1" x14ac:dyDescent="0.4">
      <c r="B2330" s="44"/>
      <c r="C2330" s="43"/>
      <c r="D2330" s="50"/>
      <c r="E2330" s="50"/>
      <c r="F2330" s="50"/>
      <c r="G2330" s="50"/>
      <c r="H2330" s="9"/>
      <c r="I2330" s="9"/>
      <c r="CS2330" s="37"/>
      <c r="CT2330" s="37"/>
      <c r="CU2330" s="37"/>
      <c r="CV2330" s="37"/>
      <c r="CW2330" s="37"/>
      <c r="CX2330" s="37"/>
      <c r="CY2330" s="37"/>
    </row>
    <row r="2331" spans="2:103" s="10" customFormat="1" x14ac:dyDescent="0.4">
      <c r="B2331" s="44"/>
      <c r="C2331" s="43"/>
      <c r="D2331" s="50"/>
      <c r="E2331" s="50"/>
      <c r="F2331" s="50"/>
      <c r="G2331" s="50"/>
      <c r="H2331" s="9"/>
      <c r="I2331" s="9"/>
      <c r="CS2331" s="37"/>
      <c r="CT2331" s="37"/>
      <c r="CU2331" s="37"/>
      <c r="CV2331" s="37"/>
      <c r="CW2331" s="37"/>
      <c r="CX2331" s="37"/>
      <c r="CY2331" s="37"/>
    </row>
    <row r="2332" spans="2:103" s="10" customFormat="1" x14ac:dyDescent="0.4">
      <c r="B2332" s="44"/>
      <c r="C2332" s="43"/>
      <c r="D2332" s="50"/>
      <c r="E2332" s="50"/>
      <c r="F2332" s="50"/>
      <c r="G2332" s="50"/>
      <c r="H2332" s="9"/>
      <c r="I2332" s="9"/>
      <c r="CS2332" s="37"/>
      <c r="CT2332" s="37"/>
      <c r="CU2332" s="37"/>
      <c r="CV2332" s="37"/>
      <c r="CW2332" s="37"/>
      <c r="CX2332" s="37"/>
      <c r="CY2332" s="37"/>
    </row>
    <row r="2333" spans="2:103" s="10" customFormat="1" x14ac:dyDescent="0.4">
      <c r="B2333" s="44"/>
      <c r="C2333" s="43"/>
      <c r="D2333" s="50"/>
      <c r="E2333" s="50"/>
      <c r="F2333" s="50"/>
      <c r="G2333" s="50"/>
      <c r="H2333" s="9"/>
      <c r="I2333" s="9"/>
      <c r="CS2333" s="37"/>
      <c r="CT2333" s="37"/>
      <c r="CU2333" s="37"/>
      <c r="CV2333" s="37"/>
      <c r="CW2333" s="37"/>
      <c r="CX2333" s="37"/>
      <c r="CY2333" s="37"/>
    </row>
    <row r="2334" spans="2:103" s="10" customFormat="1" x14ac:dyDescent="0.4">
      <c r="B2334" s="44"/>
      <c r="C2334" s="43"/>
      <c r="D2334" s="50"/>
      <c r="E2334" s="50"/>
      <c r="F2334" s="50"/>
      <c r="G2334" s="50"/>
      <c r="H2334" s="9"/>
      <c r="I2334" s="9"/>
      <c r="CS2334" s="37"/>
      <c r="CT2334" s="37"/>
      <c r="CU2334" s="37"/>
      <c r="CV2334" s="37"/>
      <c r="CW2334" s="37"/>
      <c r="CX2334" s="37"/>
      <c r="CY2334" s="37"/>
    </row>
    <row r="2335" spans="2:103" s="10" customFormat="1" x14ac:dyDescent="0.4">
      <c r="B2335" s="44"/>
      <c r="C2335" s="43"/>
      <c r="D2335" s="50"/>
      <c r="E2335" s="50"/>
      <c r="F2335" s="50"/>
      <c r="G2335" s="50"/>
      <c r="H2335" s="9"/>
      <c r="I2335" s="9"/>
      <c r="CS2335" s="37"/>
      <c r="CT2335" s="37"/>
      <c r="CU2335" s="37"/>
      <c r="CV2335" s="37"/>
      <c r="CW2335" s="37"/>
      <c r="CX2335" s="37"/>
      <c r="CY2335" s="37"/>
    </row>
    <row r="2336" spans="2:103" s="10" customFormat="1" x14ac:dyDescent="0.4">
      <c r="B2336" s="44"/>
      <c r="C2336" s="43"/>
      <c r="D2336" s="50"/>
      <c r="E2336" s="50"/>
      <c r="F2336" s="50"/>
      <c r="G2336" s="50"/>
      <c r="H2336" s="9"/>
      <c r="I2336" s="9"/>
      <c r="CS2336" s="37"/>
      <c r="CT2336" s="37"/>
      <c r="CU2336" s="37"/>
      <c r="CV2336" s="37"/>
      <c r="CW2336" s="37"/>
      <c r="CX2336" s="37"/>
      <c r="CY2336" s="37"/>
    </row>
    <row r="2337" spans="2:103" s="10" customFormat="1" x14ac:dyDescent="0.4">
      <c r="B2337" s="44"/>
      <c r="C2337" s="43"/>
      <c r="D2337" s="50"/>
      <c r="E2337" s="50"/>
      <c r="F2337" s="50"/>
      <c r="G2337" s="50"/>
      <c r="H2337" s="9"/>
      <c r="I2337" s="9"/>
      <c r="CS2337" s="37"/>
      <c r="CT2337" s="37"/>
      <c r="CU2337" s="37"/>
      <c r="CV2337" s="37"/>
      <c r="CW2337" s="37"/>
      <c r="CX2337" s="37"/>
      <c r="CY2337" s="37"/>
    </row>
    <row r="2338" spans="2:103" s="10" customFormat="1" x14ac:dyDescent="0.4">
      <c r="B2338" s="44"/>
      <c r="C2338" s="43"/>
      <c r="D2338" s="50"/>
      <c r="E2338" s="50"/>
      <c r="F2338" s="50"/>
      <c r="G2338" s="50"/>
      <c r="H2338" s="9"/>
      <c r="I2338" s="9"/>
      <c r="CS2338" s="37"/>
      <c r="CT2338" s="37"/>
      <c r="CU2338" s="37"/>
      <c r="CV2338" s="37"/>
      <c r="CW2338" s="37"/>
      <c r="CX2338" s="37"/>
      <c r="CY2338" s="37"/>
    </row>
    <row r="2339" spans="2:103" s="10" customFormat="1" x14ac:dyDescent="0.4">
      <c r="B2339" s="44"/>
      <c r="C2339" s="43"/>
      <c r="D2339" s="50"/>
      <c r="E2339" s="50"/>
      <c r="F2339" s="50"/>
      <c r="G2339" s="50"/>
      <c r="H2339" s="9"/>
      <c r="I2339" s="9"/>
      <c r="CS2339" s="37"/>
      <c r="CT2339" s="37"/>
      <c r="CU2339" s="37"/>
      <c r="CV2339" s="37"/>
      <c r="CW2339" s="37"/>
      <c r="CX2339" s="37"/>
      <c r="CY2339" s="37"/>
    </row>
    <row r="2340" spans="2:103" s="10" customFormat="1" x14ac:dyDescent="0.4">
      <c r="B2340" s="44"/>
      <c r="C2340" s="43"/>
      <c r="D2340" s="50"/>
      <c r="E2340" s="50"/>
      <c r="F2340" s="50"/>
      <c r="G2340" s="50"/>
      <c r="H2340" s="9"/>
      <c r="I2340" s="9"/>
      <c r="CS2340" s="37"/>
      <c r="CT2340" s="37"/>
      <c r="CU2340" s="37"/>
      <c r="CV2340" s="37"/>
      <c r="CW2340" s="37"/>
      <c r="CX2340" s="37"/>
      <c r="CY2340" s="37"/>
    </row>
    <row r="2341" spans="2:103" s="10" customFormat="1" x14ac:dyDescent="0.4">
      <c r="B2341" s="44"/>
      <c r="C2341" s="43"/>
      <c r="D2341" s="50"/>
      <c r="E2341" s="50"/>
      <c r="F2341" s="50"/>
      <c r="G2341" s="50"/>
      <c r="H2341" s="9"/>
      <c r="I2341" s="9"/>
      <c r="CS2341" s="37"/>
      <c r="CT2341" s="37"/>
      <c r="CU2341" s="37"/>
      <c r="CV2341" s="37"/>
      <c r="CW2341" s="37"/>
      <c r="CX2341" s="37"/>
      <c r="CY2341" s="37"/>
    </row>
    <row r="2342" spans="2:103" s="10" customFormat="1" x14ac:dyDescent="0.4">
      <c r="B2342" s="44"/>
      <c r="C2342" s="43"/>
      <c r="D2342" s="50"/>
      <c r="E2342" s="50"/>
      <c r="F2342" s="50"/>
      <c r="G2342" s="50"/>
      <c r="H2342" s="9"/>
      <c r="I2342" s="9"/>
      <c r="CS2342" s="37"/>
      <c r="CT2342" s="37"/>
      <c r="CU2342" s="37"/>
      <c r="CV2342" s="37"/>
      <c r="CW2342" s="37"/>
      <c r="CX2342" s="37"/>
      <c r="CY2342" s="37"/>
    </row>
    <row r="2343" spans="2:103" s="10" customFormat="1" x14ac:dyDescent="0.4">
      <c r="B2343" s="44"/>
      <c r="C2343" s="43"/>
      <c r="D2343" s="50"/>
      <c r="E2343" s="50"/>
      <c r="F2343" s="50"/>
      <c r="G2343" s="50"/>
      <c r="H2343" s="9"/>
      <c r="I2343" s="9"/>
      <c r="CS2343" s="37"/>
      <c r="CT2343" s="37"/>
      <c r="CU2343" s="37"/>
      <c r="CV2343" s="37"/>
      <c r="CW2343" s="37"/>
      <c r="CX2343" s="37"/>
      <c r="CY2343" s="37"/>
    </row>
    <row r="2344" spans="2:103" s="10" customFormat="1" x14ac:dyDescent="0.4">
      <c r="B2344" s="44"/>
      <c r="C2344" s="43"/>
      <c r="D2344" s="50"/>
      <c r="E2344" s="50"/>
      <c r="F2344" s="50"/>
      <c r="G2344" s="50"/>
      <c r="H2344" s="9"/>
      <c r="I2344" s="9"/>
      <c r="CS2344" s="37"/>
      <c r="CT2344" s="37"/>
      <c r="CU2344" s="37"/>
      <c r="CV2344" s="37"/>
      <c r="CW2344" s="37"/>
      <c r="CX2344" s="37"/>
      <c r="CY2344" s="37"/>
    </row>
    <row r="2345" spans="2:103" s="10" customFormat="1" x14ac:dyDescent="0.4">
      <c r="B2345" s="44"/>
      <c r="C2345" s="43"/>
      <c r="D2345" s="50"/>
      <c r="E2345" s="50"/>
      <c r="F2345" s="50"/>
      <c r="G2345" s="50"/>
      <c r="H2345" s="9"/>
      <c r="I2345" s="9"/>
      <c r="CS2345" s="37"/>
      <c r="CT2345" s="37"/>
      <c r="CU2345" s="37"/>
      <c r="CV2345" s="37"/>
      <c r="CW2345" s="37"/>
      <c r="CX2345" s="37"/>
      <c r="CY2345" s="37"/>
    </row>
    <row r="2346" spans="2:103" s="10" customFormat="1" x14ac:dyDescent="0.4">
      <c r="B2346" s="44"/>
      <c r="C2346" s="43"/>
      <c r="D2346" s="50"/>
      <c r="E2346" s="50"/>
      <c r="F2346" s="50"/>
      <c r="G2346" s="50"/>
      <c r="H2346" s="9"/>
      <c r="I2346" s="9"/>
      <c r="CS2346" s="37"/>
      <c r="CT2346" s="37"/>
      <c r="CU2346" s="37"/>
      <c r="CV2346" s="37"/>
      <c r="CW2346" s="37"/>
      <c r="CX2346" s="37"/>
      <c r="CY2346" s="37"/>
    </row>
    <row r="2347" spans="2:103" s="10" customFormat="1" x14ac:dyDescent="0.4">
      <c r="B2347" s="44"/>
      <c r="C2347" s="43"/>
      <c r="D2347" s="50"/>
      <c r="E2347" s="50"/>
      <c r="F2347" s="50"/>
      <c r="G2347" s="50"/>
      <c r="H2347" s="9"/>
      <c r="I2347" s="9"/>
      <c r="CS2347" s="37"/>
      <c r="CT2347" s="37"/>
      <c r="CU2347" s="37"/>
      <c r="CV2347" s="37"/>
      <c r="CW2347" s="37"/>
      <c r="CX2347" s="37"/>
      <c r="CY2347" s="37"/>
    </row>
    <row r="2348" spans="2:103" s="10" customFormat="1" x14ac:dyDescent="0.4">
      <c r="B2348" s="44"/>
      <c r="C2348" s="43"/>
      <c r="D2348" s="50"/>
      <c r="E2348" s="50"/>
      <c r="F2348" s="50"/>
      <c r="G2348" s="50"/>
      <c r="H2348" s="9"/>
      <c r="I2348" s="9"/>
      <c r="CS2348" s="37"/>
      <c r="CT2348" s="37"/>
      <c r="CU2348" s="37"/>
      <c r="CV2348" s="37"/>
      <c r="CW2348" s="37"/>
      <c r="CX2348" s="37"/>
      <c r="CY2348" s="37"/>
    </row>
    <row r="2349" spans="2:103" s="10" customFormat="1" x14ac:dyDescent="0.4">
      <c r="B2349" s="44"/>
      <c r="C2349" s="43"/>
      <c r="D2349" s="50"/>
      <c r="E2349" s="50"/>
      <c r="F2349" s="50"/>
      <c r="G2349" s="50"/>
      <c r="H2349" s="9"/>
      <c r="I2349" s="9"/>
      <c r="CS2349" s="37"/>
      <c r="CT2349" s="37"/>
      <c r="CU2349" s="37"/>
      <c r="CV2349" s="37"/>
      <c r="CW2349" s="37"/>
      <c r="CX2349" s="37"/>
      <c r="CY2349" s="37"/>
    </row>
    <row r="2350" spans="2:103" s="10" customFormat="1" x14ac:dyDescent="0.4">
      <c r="B2350" s="44"/>
      <c r="C2350" s="43"/>
      <c r="D2350" s="50"/>
      <c r="E2350" s="50"/>
      <c r="F2350" s="50"/>
      <c r="G2350" s="50"/>
      <c r="H2350" s="9"/>
      <c r="I2350" s="9"/>
      <c r="CS2350" s="37"/>
      <c r="CT2350" s="37"/>
      <c r="CU2350" s="37"/>
      <c r="CV2350" s="37"/>
      <c r="CW2350" s="37"/>
      <c r="CX2350" s="37"/>
      <c r="CY2350" s="37"/>
    </row>
    <row r="2351" spans="2:103" s="10" customFormat="1" x14ac:dyDescent="0.4">
      <c r="B2351" s="44"/>
      <c r="C2351" s="43"/>
      <c r="D2351" s="50"/>
      <c r="E2351" s="50"/>
      <c r="F2351" s="50"/>
      <c r="G2351" s="50"/>
      <c r="H2351" s="9"/>
      <c r="I2351" s="9"/>
      <c r="CS2351" s="37"/>
      <c r="CT2351" s="37"/>
      <c r="CU2351" s="37"/>
      <c r="CV2351" s="37"/>
      <c r="CW2351" s="37"/>
      <c r="CX2351" s="37"/>
      <c r="CY2351" s="37"/>
    </row>
    <row r="2352" spans="2:103" s="10" customFormat="1" x14ac:dyDescent="0.4">
      <c r="B2352" s="44"/>
      <c r="C2352" s="43"/>
      <c r="D2352" s="50"/>
      <c r="E2352" s="50"/>
      <c r="F2352" s="50"/>
      <c r="G2352" s="50"/>
      <c r="H2352" s="9"/>
      <c r="I2352" s="9"/>
      <c r="CS2352" s="37"/>
      <c r="CT2352" s="37"/>
      <c r="CU2352" s="37"/>
      <c r="CV2352" s="37"/>
      <c r="CW2352" s="37"/>
      <c r="CX2352" s="37"/>
      <c r="CY2352" s="37"/>
    </row>
    <row r="2353" spans="2:103" s="10" customFormat="1" x14ac:dyDescent="0.4">
      <c r="B2353" s="44"/>
      <c r="C2353" s="43"/>
      <c r="D2353" s="50"/>
      <c r="E2353" s="50"/>
      <c r="F2353" s="50"/>
      <c r="G2353" s="50"/>
      <c r="H2353" s="9"/>
      <c r="I2353" s="9"/>
      <c r="CS2353" s="37"/>
      <c r="CT2353" s="37"/>
      <c r="CU2353" s="37"/>
      <c r="CV2353" s="37"/>
      <c r="CW2353" s="37"/>
      <c r="CX2353" s="37"/>
      <c r="CY2353" s="37"/>
    </row>
    <row r="2354" spans="2:103" s="10" customFormat="1" x14ac:dyDescent="0.4">
      <c r="B2354" s="44"/>
      <c r="C2354" s="43"/>
      <c r="D2354" s="50"/>
      <c r="E2354" s="50"/>
      <c r="F2354" s="50"/>
      <c r="G2354" s="50"/>
      <c r="H2354" s="9"/>
      <c r="I2354" s="9"/>
      <c r="CS2354" s="37"/>
      <c r="CT2354" s="37"/>
      <c r="CU2354" s="37"/>
      <c r="CV2354" s="37"/>
      <c r="CW2354" s="37"/>
      <c r="CX2354" s="37"/>
      <c r="CY2354" s="37"/>
    </row>
    <row r="2355" spans="2:103" s="10" customFormat="1" x14ac:dyDescent="0.4">
      <c r="B2355" s="44"/>
      <c r="C2355" s="43"/>
      <c r="D2355" s="50"/>
      <c r="E2355" s="50"/>
      <c r="F2355" s="50"/>
      <c r="G2355" s="50"/>
      <c r="H2355" s="9"/>
      <c r="I2355" s="9"/>
      <c r="CS2355" s="37"/>
      <c r="CT2355" s="37"/>
      <c r="CU2355" s="37"/>
      <c r="CV2355" s="37"/>
      <c r="CW2355" s="37"/>
      <c r="CX2355" s="37"/>
      <c r="CY2355" s="37"/>
    </row>
    <row r="2356" spans="2:103" s="10" customFormat="1" x14ac:dyDescent="0.4">
      <c r="B2356" s="44"/>
      <c r="C2356" s="43"/>
      <c r="D2356" s="50"/>
      <c r="E2356" s="50"/>
      <c r="F2356" s="50"/>
      <c r="G2356" s="50"/>
      <c r="H2356" s="9"/>
      <c r="I2356" s="9"/>
      <c r="CS2356" s="37"/>
      <c r="CT2356" s="37"/>
      <c r="CU2356" s="37"/>
      <c r="CV2356" s="37"/>
      <c r="CW2356" s="37"/>
      <c r="CX2356" s="37"/>
      <c r="CY2356" s="37"/>
    </row>
    <row r="2357" spans="2:103" s="10" customFormat="1" x14ac:dyDescent="0.4">
      <c r="B2357" s="44"/>
      <c r="C2357" s="43"/>
      <c r="D2357" s="50"/>
      <c r="E2357" s="50"/>
      <c r="F2357" s="50"/>
      <c r="G2357" s="50"/>
      <c r="H2357" s="9"/>
      <c r="I2357" s="9"/>
      <c r="CS2357" s="37"/>
      <c r="CT2357" s="37"/>
      <c r="CU2357" s="37"/>
      <c r="CV2357" s="37"/>
      <c r="CW2357" s="37"/>
      <c r="CX2357" s="37"/>
      <c r="CY2357" s="37"/>
    </row>
    <row r="2358" spans="2:103" s="10" customFormat="1" x14ac:dyDescent="0.4">
      <c r="B2358" s="44"/>
      <c r="C2358" s="43"/>
      <c r="D2358" s="50"/>
      <c r="E2358" s="50"/>
      <c r="F2358" s="50"/>
      <c r="G2358" s="50"/>
      <c r="H2358" s="9"/>
      <c r="I2358" s="9"/>
      <c r="CS2358" s="37"/>
      <c r="CT2358" s="37"/>
      <c r="CU2358" s="37"/>
      <c r="CV2358" s="37"/>
      <c r="CW2358" s="37"/>
      <c r="CX2358" s="37"/>
      <c r="CY2358" s="37"/>
    </row>
    <row r="2359" spans="2:103" s="10" customFormat="1" x14ac:dyDescent="0.4">
      <c r="B2359" s="44"/>
      <c r="C2359" s="43"/>
      <c r="D2359" s="50"/>
      <c r="E2359" s="50"/>
      <c r="F2359" s="50"/>
      <c r="G2359" s="50"/>
      <c r="H2359" s="9"/>
      <c r="I2359" s="9"/>
      <c r="CS2359" s="37"/>
      <c r="CT2359" s="37"/>
      <c r="CU2359" s="37"/>
      <c r="CV2359" s="37"/>
      <c r="CW2359" s="37"/>
      <c r="CX2359" s="37"/>
      <c r="CY2359" s="37"/>
    </row>
    <row r="2360" spans="2:103" s="10" customFormat="1" x14ac:dyDescent="0.4">
      <c r="B2360" s="44"/>
      <c r="C2360" s="43"/>
      <c r="D2360" s="50"/>
      <c r="E2360" s="50"/>
      <c r="F2360" s="50"/>
      <c r="G2360" s="50"/>
      <c r="H2360" s="9"/>
      <c r="I2360" s="9"/>
      <c r="CS2360" s="37"/>
      <c r="CT2360" s="37"/>
      <c r="CU2360" s="37"/>
      <c r="CV2360" s="37"/>
      <c r="CW2360" s="37"/>
      <c r="CX2360" s="37"/>
      <c r="CY2360" s="37"/>
    </row>
    <row r="2361" spans="2:103" s="10" customFormat="1" x14ac:dyDescent="0.4">
      <c r="B2361" s="44"/>
      <c r="C2361" s="43"/>
      <c r="D2361" s="50"/>
      <c r="E2361" s="50"/>
      <c r="F2361" s="50"/>
      <c r="G2361" s="50"/>
      <c r="H2361" s="9"/>
      <c r="I2361" s="9"/>
      <c r="CS2361" s="37"/>
      <c r="CT2361" s="37"/>
      <c r="CU2361" s="37"/>
      <c r="CV2361" s="37"/>
      <c r="CW2361" s="37"/>
      <c r="CX2361" s="37"/>
      <c r="CY2361" s="37"/>
    </row>
    <row r="2362" spans="2:103" s="10" customFormat="1" x14ac:dyDescent="0.4">
      <c r="B2362" s="44"/>
      <c r="C2362" s="43"/>
      <c r="D2362" s="50"/>
      <c r="E2362" s="50"/>
      <c r="F2362" s="50"/>
      <c r="G2362" s="50"/>
      <c r="H2362" s="9"/>
      <c r="I2362" s="9"/>
      <c r="CS2362" s="37"/>
      <c r="CT2362" s="37"/>
      <c r="CU2362" s="37"/>
      <c r="CV2362" s="37"/>
      <c r="CW2362" s="37"/>
      <c r="CX2362" s="37"/>
      <c r="CY2362" s="37"/>
    </row>
    <row r="2363" spans="2:103" s="10" customFormat="1" x14ac:dyDescent="0.4">
      <c r="B2363" s="44"/>
      <c r="C2363" s="43"/>
      <c r="D2363" s="50"/>
      <c r="E2363" s="50"/>
      <c r="F2363" s="50"/>
      <c r="G2363" s="50"/>
      <c r="H2363" s="9"/>
      <c r="I2363" s="9"/>
      <c r="CS2363" s="37"/>
      <c r="CT2363" s="37"/>
      <c r="CU2363" s="37"/>
      <c r="CV2363" s="37"/>
      <c r="CW2363" s="37"/>
      <c r="CX2363" s="37"/>
      <c r="CY2363" s="37"/>
    </row>
    <row r="2364" spans="2:103" s="10" customFormat="1" x14ac:dyDescent="0.4">
      <c r="B2364" s="44"/>
      <c r="C2364" s="43"/>
      <c r="D2364" s="50"/>
      <c r="E2364" s="50"/>
      <c r="F2364" s="50"/>
      <c r="G2364" s="50"/>
      <c r="H2364" s="9"/>
      <c r="I2364" s="9"/>
      <c r="CS2364" s="37"/>
      <c r="CT2364" s="37"/>
      <c r="CU2364" s="37"/>
      <c r="CV2364" s="37"/>
      <c r="CW2364" s="37"/>
      <c r="CX2364" s="37"/>
      <c r="CY2364" s="37"/>
    </row>
    <row r="2365" spans="2:103" s="10" customFormat="1" x14ac:dyDescent="0.4">
      <c r="B2365" s="44"/>
      <c r="C2365" s="43"/>
      <c r="D2365" s="50"/>
      <c r="E2365" s="50"/>
      <c r="F2365" s="50"/>
      <c r="G2365" s="50"/>
      <c r="H2365" s="9"/>
      <c r="I2365" s="9"/>
      <c r="CS2365" s="37"/>
      <c r="CT2365" s="37"/>
      <c r="CU2365" s="37"/>
      <c r="CV2365" s="37"/>
      <c r="CW2365" s="37"/>
      <c r="CX2365" s="37"/>
      <c r="CY2365" s="37"/>
    </row>
    <row r="2366" spans="2:103" s="10" customFormat="1" x14ac:dyDescent="0.4">
      <c r="B2366" s="44"/>
      <c r="C2366" s="43"/>
      <c r="D2366" s="50"/>
      <c r="E2366" s="50"/>
      <c r="F2366" s="50"/>
      <c r="G2366" s="50"/>
      <c r="H2366" s="9"/>
      <c r="I2366" s="9"/>
      <c r="CS2366" s="37"/>
      <c r="CT2366" s="37"/>
      <c r="CU2366" s="37"/>
      <c r="CV2366" s="37"/>
      <c r="CW2366" s="37"/>
      <c r="CX2366" s="37"/>
      <c r="CY2366" s="37"/>
    </row>
    <row r="2367" spans="2:103" s="10" customFormat="1" x14ac:dyDescent="0.4">
      <c r="B2367" s="44"/>
      <c r="C2367" s="43"/>
      <c r="D2367" s="50"/>
      <c r="E2367" s="50"/>
      <c r="F2367" s="50"/>
      <c r="G2367" s="50"/>
      <c r="H2367" s="9"/>
      <c r="I2367" s="9"/>
      <c r="CS2367" s="37"/>
      <c r="CT2367" s="37"/>
      <c r="CU2367" s="37"/>
      <c r="CV2367" s="37"/>
      <c r="CW2367" s="37"/>
      <c r="CX2367" s="37"/>
      <c r="CY2367" s="37"/>
    </row>
    <row r="2368" spans="2:103" s="10" customFormat="1" x14ac:dyDescent="0.4">
      <c r="B2368" s="44"/>
      <c r="C2368" s="43"/>
      <c r="D2368" s="50"/>
      <c r="E2368" s="50"/>
      <c r="F2368" s="50"/>
      <c r="G2368" s="50"/>
      <c r="H2368" s="9"/>
      <c r="I2368" s="9"/>
      <c r="CS2368" s="37"/>
      <c r="CT2368" s="37"/>
      <c r="CU2368" s="37"/>
      <c r="CV2368" s="37"/>
      <c r="CW2368" s="37"/>
      <c r="CX2368" s="37"/>
      <c r="CY2368" s="37"/>
    </row>
    <row r="2369" spans="2:103" s="10" customFormat="1" x14ac:dyDescent="0.4">
      <c r="B2369" s="44"/>
      <c r="C2369" s="43"/>
      <c r="D2369" s="50"/>
      <c r="E2369" s="50"/>
      <c r="F2369" s="50"/>
      <c r="G2369" s="50"/>
      <c r="H2369" s="9"/>
      <c r="I2369" s="9"/>
      <c r="CS2369" s="37"/>
      <c r="CT2369" s="37"/>
      <c r="CU2369" s="37"/>
      <c r="CV2369" s="37"/>
      <c r="CW2369" s="37"/>
      <c r="CX2369" s="37"/>
      <c r="CY2369" s="37"/>
    </row>
    <row r="2370" spans="2:103" s="10" customFormat="1" x14ac:dyDescent="0.4">
      <c r="B2370" s="44"/>
      <c r="C2370" s="43"/>
      <c r="D2370" s="50"/>
      <c r="E2370" s="50"/>
      <c r="F2370" s="50"/>
      <c r="G2370" s="50"/>
      <c r="H2370" s="9"/>
      <c r="I2370" s="9"/>
      <c r="CS2370" s="37"/>
      <c r="CT2370" s="37"/>
      <c r="CU2370" s="37"/>
      <c r="CV2370" s="37"/>
      <c r="CW2370" s="37"/>
      <c r="CX2370" s="37"/>
      <c r="CY2370" s="37"/>
    </row>
    <row r="2371" spans="2:103" s="10" customFormat="1" x14ac:dyDescent="0.4">
      <c r="B2371" s="44"/>
      <c r="C2371" s="43"/>
      <c r="D2371" s="50"/>
      <c r="E2371" s="50"/>
      <c r="F2371" s="50"/>
      <c r="G2371" s="50"/>
      <c r="H2371" s="9"/>
      <c r="I2371" s="9"/>
      <c r="CS2371" s="37"/>
      <c r="CT2371" s="37"/>
      <c r="CU2371" s="37"/>
      <c r="CV2371" s="37"/>
      <c r="CW2371" s="37"/>
      <c r="CX2371" s="37"/>
      <c r="CY2371" s="37"/>
    </row>
    <row r="2372" spans="2:103" s="10" customFormat="1" x14ac:dyDescent="0.4">
      <c r="B2372" s="44"/>
      <c r="C2372" s="43"/>
      <c r="D2372" s="50"/>
      <c r="E2372" s="50"/>
      <c r="F2372" s="50"/>
      <c r="G2372" s="50"/>
      <c r="H2372" s="9"/>
      <c r="I2372" s="9"/>
      <c r="CS2372" s="37"/>
      <c r="CT2372" s="37"/>
      <c r="CU2372" s="37"/>
      <c r="CV2372" s="37"/>
      <c r="CW2372" s="37"/>
      <c r="CX2372" s="37"/>
      <c r="CY2372" s="37"/>
    </row>
    <row r="2373" spans="2:103" s="10" customFormat="1" x14ac:dyDescent="0.4">
      <c r="B2373" s="44"/>
      <c r="C2373" s="43"/>
      <c r="D2373" s="50"/>
      <c r="E2373" s="50"/>
      <c r="F2373" s="50"/>
      <c r="G2373" s="50"/>
      <c r="H2373" s="9"/>
      <c r="I2373" s="9"/>
      <c r="CS2373" s="37"/>
      <c r="CT2373" s="37"/>
      <c r="CU2373" s="37"/>
      <c r="CV2373" s="37"/>
      <c r="CW2373" s="37"/>
      <c r="CX2373" s="37"/>
      <c r="CY2373" s="37"/>
    </row>
    <row r="2374" spans="2:103" s="10" customFormat="1" x14ac:dyDescent="0.4">
      <c r="B2374" s="44"/>
      <c r="C2374" s="43"/>
      <c r="D2374" s="50"/>
      <c r="E2374" s="50"/>
      <c r="F2374" s="50"/>
      <c r="G2374" s="50"/>
      <c r="H2374" s="9"/>
      <c r="I2374" s="9"/>
      <c r="CS2374" s="37"/>
      <c r="CT2374" s="37"/>
      <c r="CU2374" s="37"/>
      <c r="CV2374" s="37"/>
      <c r="CW2374" s="37"/>
      <c r="CX2374" s="37"/>
      <c r="CY2374" s="37"/>
    </row>
    <row r="2375" spans="2:103" s="10" customFormat="1" x14ac:dyDescent="0.4">
      <c r="B2375" s="44"/>
      <c r="C2375" s="43"/>
      <c r="D2375" s="50"/>
      <c r="E2375" s="50"/>
      <c r="F2375" s="50"/>
      <c r="G2375" s="50"/>
      <c r="H2375" s="9"/>
      <c r="I2375" s="9"/>
      <c r="CS2375" s="37"/>
      <c r="CT2375" s="37"/>
      <c r="CU2375" s="37"/>
      <c r="CV2375" s="37"/>
      <c r="CW2375" s="37"/>
      <c r="CX2375" s="37"/>
      <c r="CY2375" s="37"/>
    </row>
    <row r="2376" spans="2:103" s="10" customFormat="1" x14ac:dyDescent="0.4">
      <c r="B2376" s="44"/>
      <c r="C2376" s="43"/>
      <c r="D2376" s="50"/>
      <c r="E2376" s="50"/>
      <c r="F2376" s="50"/>
      <c r="G2376" s="50"/>
      <c r="H2376" s="9"/>
      <c r="I2376" s="9"/>
      <c r="CS2376" s="37"/>
      <c r="CT2376" s="37"/>
      <c r="CU2376" s="37"/>
      <c r="CV2376" s="37"/>
      <c r="CW2376" s="37"/>
      <c r="CX2376" s="37"/>
      <c r="CY2376" s="37"/>
    </row>
    <row r="2377" spans="2:103" s="10" customFormat="1" x14ac:dyDescent="0.4">
      <c r="B2377" s="44"/>
      <c r="C2377" s="43"/>
      <c r="D2377" s="50"/>
      <c r="E2377" s="50"/>
      <c r="F2377" s="50"/>
      <c r="G2377" s="50"/>
      <c r="H2377" s="9"/>
      <c r="I2377" s="9"/>
      <c r="CS2377" s="37"/>
      <c r="CT2377" s="37"/>
      <c r="CU2377" s="37"/>
      <c r="CV2377" s="37"/>
      <c r="CW2377" s="37"/>
      <c r="CX2377" s="37"/>
      <c r="CY2377" s="37"/>
    </row>
    <row r="2378" spans="2:103" s="10" customFormat="1" x14ac:dyDescent="0.4">
      <c r="B2378" s="44"/>
      <c r="C2378" s="43"/>
      <c r="D2378" s="50"/>
      <c r="E2378" s="50"/>
      <c r="F2378" s="50"/>
      <c r="G2378" s="50"/>
      <c r="H2378" s="9"/>
      <c r="I2378" s="9"/>
      <c r="CS2378" s="37"/>
      <c r="CT2378" s="37"/>
      <c r="CU2378" s="37"/>
      <c r="CV2378" s="37"/>
      <c r="CW2378" s="37"/>
      <c r="CX2378" s="37"/>
      <c r="CY2378" s="37"/>
    </row>
    <row r="2379" spans="2:103" s="10" customFormat="1" x14ac:dyDescent="0.4">
      <c r="B2379" s="44"/>
      <c r="C2379" s="43"/>
      <c r="D2379" s="50"/>
      <c r="E2379" s="50"/>
      <c r="F2379" s="50"/>
      <c r="G2379" s="50"/>
      <c r="H2379" s="9"/>
      <c r="I2379" s="9"/>
      <c r="CS2379" s="37"/>
      <c r="CT2379" s="37"/>
      <c r="CU2379" s="37"/>
      <c r="CV2379" s="37"/>
      <c r="CW2379" s="37"/>
      <c r="CX2379" s="37"/>
      <c r="CY2379" s="37"/>
    </row>
    <row r="2380" spans="2:103" s="10" customFormat="1" x14ac:dyDescent="0.4">
      <c r="B2380" s="44"/>
      <c r="C2380" s="43"/>
      <c r="D2380" s="50"/>
      <c r="E2380" s="50"/>
      <c r="F2380" s="50"/>
      <c r="G2380" s="50"/>
      <c r="H2380" s="9"/>
      <c r="I2380" s="9"/>
      <c r="CS2380" s="37"/>
      <c r="CT2380" s="37"/>
      <c r="CU2380" s="37"/>
      <c r="CV2380" s="37"/>
      <c r="CW2380" s="37"/>
      <c r="CX2380" s="37"/>
      <c r="CY2380" s="37"/>
    </row>
    <row r="2381" spans="2:103" s="10" customFormat="1" x14ac:dyDescent="0.4">
      <c r="B2381" s="44"/>
      <c r="C2381" s="43"/>
      <c r="D2381" s="50"/>
      <c r="E2381" s="50"/>
      <c r="F2381" s="50"/>
      <c r="G2381" s="50"/>
      <c r="H2381" s="9"/>
      <c r="I2381" s="9"/>
      <c r="CS2381" s="37"/>
      <c r="CT2381" s="37"/>
      <c r="CU2381" s="37"/>
      <c r="CV2381" s="37"/>
      <c r="CW2381" s="37"/>
      <c r="CX2381" s="37"/>
      <c r="CY2381" s="37"/>
    </row>
    <row r="2382" spans="2:103" s="10" customFormat="1" x14ac:dyDescent="0.4">
      <c r="B2382" s="44"/>
      <c r="C2382" s="43"/>
      <c r="D2382" s="50"/>
      <c r="E2382" s="50"/>
      <c r="F2382" s="50"/>
      <c r="G2382" s="50"/>
      <c r="H2382" s="9"/>
      <c r="I2382" s="9"/>
      <c r="CS2382" s="37"/>
      <c r="CT2382" s="37"/>
      <c r="CU2382" s="37"/>
      <c r="CV2382" s="37"/>
      <c r="CW2382" s="37"/>
      <c r="CX2382" s="37"/>
      <c r="CY2382" s="37"/>
    </row>
    <row r="2383" spans="2:103" s="10" customFormat="1" x14ac:dyDescent="0.4">
      <c r="B2383" s="44"/>
      <c r="C2383" s="43"/>
      <c r="D2383" s="50"/>
      <c r="E2383" s="50"/>
      <c r="F2383" s="50"/>
      <c r="G2383" s="50"/>
      <c r="H2383" s="9"/>
      <c r="I2383" s="9"/>
      <c r="CS2383" s="37"/>
      <c r="CT2383" s="37"/>
      <c r="CU2383" s="37"/>
      <c r="CV2383" s="37"/>
      <c r="CW2383" s="37"/>
      <c r="CX2383" s="37"/>
      <c r="CY2383" s="37"/>
    </row>
    <row r="2384" spans="2:103" s="10" customFormat="1" x14ac:dyDescent="0.4">
      <c r="B2384" s="44"/>
      <c r="C2384" s="43"/>
      <c r="D2384" s="50"/>
      <c r="E2384" s="50"/>
      <c r="F2384" s="50"/>
      <c r="G2384" s="50"/>
      <c r="H2384" s="9"/>
      <c r="I2384" s="9"/>
      <c r="CS2384" s="37"/>
      <c r="CT2384" s="37"/>
      <c r="CU2384" s="37"/>
      <c r="CV2384" s="37"/>
      <c r="CW2384" s="37"/>
      <c r="CX2384" s="37"/>
      <c r="CY2384" s="37"/>
    </row>
    <row r="2385" spans="2:103" s="10" customFormat="1" x14ac:dyDescent="0.4">
      <c r="B2385" s="44"/>
      <c r="C2385" s="43"/>
      <c r="D2385" s="50"/>
      <c r="E2385" s="50"/>
      <c r="F2385" s="50"/>
      <c r="G2385" s="50"/>
      <c r="H2385" s="9"/>
      <c r="I2385" s="9"/>
      <c r="CS2385" s="37"/>
      <c r="CT2385" s="37"/>
      <c r="CU2385" s="37"/>
      <c r="CV2385" s="37"/>
      <c r="CW2385" s="37"/>
      <c r="CX2385" s="37"/>
      <c r="CY2385" s="37"/>
    </row>
    <row r="2386" spans="2:103" s="10" customFormat="1" x14ac:dyDescent="0.4">
      <c r="B2386" s="44"/>
      <c r="C2386" s="43"/>
      <c r="D2386" s="50"/>
      <c r="E2386" s="50"/>
      <c r="F2386" s="50"/>
      <c r="G2386" s="50"/>
      <c r="H2386" s="9"/>
      <c r="I2386" s="9"/>
      <c r="CS2386" s="37"/>
      <c r="CT2386" s="37"/>
      <c r="CU2386" s="37"/>
      <c r="CV2386" s="37"/>
      <c r="CW2386" s="37"/>
      <c r="CX2386" s="37"/>
      <c r="CY2386" s="37"/>
    </row>
    <row r="2387" spans="2:103" s="10" customFormat="1" x14ac:dyDescent="0.4">
      <c r="B2387" s="44"/>
      <c r="C2387" s="43"/>
      <c r="D2387" s="50"/>
      <c r="E2387" s="50"/>
      <c r="F2387" s="50"/>
      <c r="G2387" s="50"/>
      <c r="H2387" s="9"/>
      <c r="I2387" s="9"/>
      <c r="CS2387" s="37"/>
      <c r="CT2387" s="37"/>
      <c r="CU2387" s="37"/>
      <c r="CV2387" s="37"/>
      <c r="CW2387" s="37"/>
      <c r="CX2387" s="37"/>
      <c r="CY2387" s="37"/>
    </row>
    <row r="2388" spans="2:103" s="10" customFormat="1" x14ac:dyDescent="0.4">
      <c r="B2388" s="44"/>
      <c r="C2388" s="43"/>
      <c r="D2388" s="50"/>
      <c r="E2388" s="50"/>
      <c r="F2388" s="50"/>
      <c r="G2388" s="50"/>
      <c r="H2388" s="9"/>
      <c r="I2388" s="9"/>
      <c r="CS2388" s="37"/>
      <c r="CT2388" s="37"/>
      <c r="CU2388" s="37"/>
      <c r="CV2388" s="37"/>
      <c r="CW2388" s="37"/>
      <c r="CX2388" s="37"/>
      <c r="CY2388" s="37"/>
    </row>
    <row r="2389" spans="2:103" s="10" customFormat="1" x14ac:dyDescent="0.4">
      <c r="B2389" s="44"/>
      <c r="C2389" s="43"/>
      <c r="D2389" s="50"/>
      <c r="E2389" s="50"/>
      <c r="F2389" s="50"/>
      <c r="G2389" s="50"/>
      <c r="H2389" s="9"/>
      <c r="I2389" s="9"/>
      <c r="CS2389" s="37"/>
      <c r="CT2389" s="37"/>
      <c r="CU2389" s="37"/>
      <c r="CV2389" s="37"/>
      <c r="CW2389" s="37"/>
      <c r="CX2389" s="37"/>
      <c r="CY2389" s="37"/>
    </row>
    <row r="2390" spans="2:103" s="10" customFormat="1" x14ac:dyDescent="0.4">
      <c r="B2390" s="44"/>
      <c r="C2390" s="43"/>
      <c r="D2390" s="50"/>
      <c r="E2390" s="50"/>
      <c r="F2390" s="50"/>
      <c r="G2390" s="50"/>
      <c r="H2390" s="9"/>
      <c r="I2390" s="9"/>
      <c r="CS2390" s="37"/>
      <c r="CT2390" s="37"/>
      <c r="CU2390" s="37"/>
      <c r="CV2390" s="37"/>
      <c r="CW2390" s="37"/>
      <c r="CX2390" s="37"/>
      <c r="CY2390" s="37"/>
    </row>
    <row r="2391" spans="2:103" s="10" customFormat="1" x14ac:dyDescent="0.4">
      <c r="B2391" s="44"/>
      <c r="C2391" s="43"/>
      <c r="D2391" s="50"/>
      <c r="E2391" s="50"/>
      <c r="F2391" s="50"/>
      <c r="G2391" s="50"/>
      <c r="H2391" s="9"/>
      <c r="I2391" s="9"/>
      <c r="CS2391" s="37"/>
      <c r="CT2391" s="37"/>
      <c r="CU2391" s="37"/>
      <c r="CV2391" s="37"/>
      <c r="CW2391" s="37"/>
      <c r="CX2391" s="37"/>
      <c r="CY2391" s="37"/>
    </row>
    <row r="2392" spans="2:103" s="10" customFormat="1" x14ac:dyDescent="0.4">
      <c r="B2392" s="44"/>
      <c r="C2392" s="43"/>
      <c r="D2392" s="50"/>
      <c r="E2392" s="50"/>
      <c r="F2392" s="50"/>
      <c r="G2392" s="50"/>
      <c r="H2392" s="9"/>
      <c r="I2392" s="9"/>
      <c r="CS2392" s="37"/>
      <c r="CT2392" s="37"/>
      <c r="CU2392" s="37"/>
      <c r="CV2392" s="37"/>
      <c r="CW2392" s="37"/>
      <c r="CX2392" s="37"/>
      <c r="CY2392" s="37"/>
    </row>
    <row r="2393" spans="2:103" s="10" customFormat="1" x14ac:dyDescent="0.4">
      <c r="B2393" s="44"/>
      <c r="C2393" s="43"/>
      <c r="D2393" s="50"/>
      <c r="E2393" s="50"/>
      <c r="F2393" s="50"/>
      <c r="G2393" s="50"/>
      <c r="H2393" s="9"/>
      <c r="I2393" s="9"/>
      <c r="CS2393" s="37"/>
      <c r="CT2393" s="37"/>
      <c r="CU2393" s="37"/>
      <c r="CV2393" s="37"/>
      <c r="CW2393" s="37"/>
      <c r="CX2393" s="37"/>
      <c r="CY2393" s="37"/>
    </row>
    <row r="2394" spans="2:103" s="10" customFormat="1" x14ac:dyDescent="0.4">
      <c r="B2394" s="44"/>
      <c r="C2394" s="43"/>
      <c r="D2394" s="50"/>
      <c r="E2394" s="50"/>
      <c r="F2394" s="50"/>
      <c r="G2394" s="50"/>
      <c r="H2394" s="9"/>
      <c r="I2394" s="9"/>
      <c r="CS2394" s="37"/>
      <c r="CT2394" s="37"/>
      <c r="CU2394" s="37"/>
      <c r="CV2394" s="37"/>
      <c r="CW2394" s="37"/>
      <c r="CX2394" s="37"/>
      <c r="CY2394" s="37"/>
    </row>
    <row r="2395" spans="2:103" s="10" customFormat="1" x14ac:dyDescent="0.4">
      <c r="B2395" s="44"/>
      <c r="C2395" s="43"/>
      <c r="D2395" s="50"/>
      <c r="E2395" s="50"/>
      <c r="F2395" s="50"/>
      <c r="G2395" s="50"/>
      <c r="H2395" s="9"/>
      <c r="I2395" s="9"/>
      <c r="CS2395" s="37"/>
      <c r="CT2395" s="37"/>
      <c r="CU2395" s="37"/>
      <c r="CV2395" s="37"/>
      <c r="CW2395" s="37"/>
      <c r="CX2395" s="37"/>
      <c r="CY2395" s="37"/>
    </row>
    <row r="2396" spans="2:103" s="10" customFormat="1" x14ac:dyDescent="0.4">
      <c r="B2396" s="44"/>
      <c r="C2396" s="43"/>
      <c r="D2396" s="50"/>
      <c r="E2396" s="50"/>
      <c r="F2396" s="50"/>
      <c r="G2396" s="50"/>
      <c r="H2396" s="9"/>
      <c r="I2396" s="9"/>
      <c r="CS2396" s="37"/>
      <c r="CT2396" s="37"/>
      <c r="CU2396" s="37"/>
      <c r="CV2396" s="37"/>
      <c r="CW2396" s="37"/>
      <c r="CX2396" s="37"/>
      <c r="CY2396" s="37"/>
    </row>
    <row r="2397" spans="2:103" s="10" customFormat="1" x14ac:dyDescent="0.4">
      <c r="B2397" s="44"/>
      <c r="C2397" s="43"/>
      <c r="D2397" s="50"/>
      <c r="E2397" s="50"/>
      <c r="F2397" s="50"/>
      <c r="G2397" s="50"/>
      <c r="H2397" s="9"/>
      <c r="I2397" s="9"/>
      <c r="CS2397" s="37"/>
      <c r="CT2397" s="37"/>
      <c r="CU2397" s="37"/>
      <c r="CV2397" s="37"/>
      <c r="CW2397" s="37"/>
      <c r="CX2397" s="37"/>
      <c r="CY2397" s="37"/>
    </row>
    <row r="2398" spans="2:103" s="10" customFormat="1" x14ac:dyDescent="0.4">
      <c r="B2398" s="44"/>
      <c r="C2398" s="43"/>
      <c r="D2398" s="50"/>
      <c r="E2398" s="50"/>
      <c r="F2398" s="50"/>
      <c r="G2398" s="50"/>
      <c r="H2398" s="9"/>
      <c r="I2398" s="9"/>
      <c r="CS2398" s="37"/>
      <c r="CT2398" s="37"/>
      <c r="CU2398" s="37"/>
      <c r="CV2398" s="37"/>
      <c r="CW2398" s="37"/>
      <c r="CX2398" s="37"/>
      <c r="CY2398" s="37"/>
    </row>
    <row r="2399" spans="2:103" s="10" customFormat="1" x14ac:dyDescent="0.4">
      <c r="B2399" s="44"/>
      <c r="C2399" s="43"/>
      <c r="D2399" s="50"/>
      <c r="E2399" s="50"/>
      <c r="F2399" s="50"/>
      <c r="G2399" s="50"/>
      <c r="H2399" s="9"/>
      <c r="I2399" s="9"/>
      <c r="CS2399" s="37"/>
      <c r="CT2399" s="37"/>
      <c r="CU2399" s="37"/>
      <c r="CV2399" s="37"/>
      <c r="CW2399" s="37"/>
      <c r="CX2399" s="37"/>
      <c r="CY2399" s="37"/>
    </row>
    <row r="2400" spans="2:103" s="10" customFormat="1" x14ac:dyDescent="0.4">
      <c r="B2400" s="44"/>
      <c r="C2400" s="43"/>
      <c r="D2400" s="50"/>
      <c r="E2400" s="50"/>
      <c r="F2400" s="50"/>
      <c r="G2400" s="50"/>
      <c r="H2400" s="9"/>
      <c r="I2400" s="9"/>
      <c r="CS2400" s="37"/>
      <c r="CT2400" s="37"/>
      <c r="CU2400" s="37"/>
      <c r="CV2400" s="37"/>
      <c r="CW2400" s="37"/>
      <c r="CX2400" s="37"/>
      <c r="CY2400" s="37"/>
    </row>
    <row r="2401" spans="2:103" s="10" customFormat="1" x14ac:dyDescent="0.4">
      <c r="B2401" s="44"/>
      <c r="C2401" s="43"/>
      <c r="D2401" s="50"/>
      <c r="E2401" s="50"/>
      <c r="F2401" s="50"/>
      <c r="G2401" s="50"/>
      <c r="H2401" s="9"/>
      <c r="I2401" s="9"/>
      <c r="CS2401" s="37"/>
      <c r="CT2401" s="37"/>
      <c r="CU2401" s="37"/>
      <c r="CV2401" s="37"/>
      <c r="CW2401" s="37"/>
      <c r="CX2401" s="37"/>
      <c r="CY2401" s="37"/>
    </row>
    <row r="2402" spans="2:103" s="10" customFormat="1" x14ac:dyDescent="0.4">
      <c r="B2402" s="44"/>
      <c r="C2402" s="43"/>
      <c r="D2402" s="50"/>
      <c r="E2402" s="50"/>
      <c r="F2402" s="50"/>
      <c r="G2402" s="50"/>
      <c r="H2402" s="9"/>
      <c r="I2402" s="9"/>
      <c r="CS2402" s="37"/>
      <c r="CT2402" s="37"/>
      <c r="CU2402" s="37"/>
      <c r="CV2402" s="37"/>
      <c r="CW2402" s="37"/>
      <c r="CX2402" s="37"/>
      <c r="CY2402" s="37"/>
    </row>
    <row r="2403" spans="2:103" s="10" customFormat="1" x14ac:dyDescent="0.4">
      <c r="B2403" s="44"/>
      <c r="C2403" s="43"/>
      <c r="D2403" s="50"/>
      <c r="E2403" s="50"/>
      <c r="F2403" s="50"/>
      <c r="G2403" s="50"/>
      <c r="H2403" s="9"/>
      <c r="I2403" s="9"/>
      <c r="CS2403" s="37"/>
      <c r="CT2403" s="37"/>
      <c r="CU2403" s="37"/>
      <c r="CV2403" s="37"/>
      <c r="CW2403" s="37"/>
      <c r="CX2403" s="37"/>
      <c r="CY2403" s="37"/>
    </row>
    <row r="2404" spans="2:103" s="10" customFormat="1" x14ac:dyDescent="0.4">
      <c r="B2404" s="44"/>
      <c r="C2404" s="43"/>
      <c r="D2404" s="50"/>
      <c r="E2404" s="50"/>
      <c r="F2404" s="50"/>
      <c r="G2404" s="50"/>
      <c r="H2404" s="9"/>
      <c r="I2404" s="9"/>
      <c r="CS2404" s="37"/>
      <c r="CT2404" s="37"/>
      <c r="CU2404" s="37"/>
      <c r="CV2404" s="37"/>
      <c r="CW2404" s="37"/>
      <c r="CX2404" s="37"/>
      <c r="CY2404" s="37"/>
    </row>
    <row r="2405" spans="2:103" s="10" customFormat="1" x14ac:dyDescent="0.4">
      <c r="B2405" s="44"/>
      <c r="C2405" s="43"/>
      <c r="D2405" s="50"/>
      <c r="E2405" s="50"/>
      <c r="F2405" s="50"/>
      <c r="G2405" s="50"/>
      <c r="H2405" s="9"/>
      <c r="I2405" s="9"/>
      <c r="CS2405" s="37"/>
      <c r="CT2405" s="37"/>
      <c r="CU2405" s="37"/>
      <c r="CV2405" s="37"/>
      <c r="CW2405" s="37"/>
      <c r="CX2405" s="37"/>
      <c r="CY2405" s="37"/>
    </row>
    <row r="2406" spans="2:103" s="10" customFormat="1" x14ac:dyDescent="0.4">
      <c r="B2406" s="44"/>
      <c r="C2406" s="43"/>
      <c r="D2406" s="50"/>
      <c r="E2406" s="50"/>
      <c r="F2406" s="50"/>
      <c r="G2406" s="50"/>
      <c r="H2406" s="9"/>
      <c r="I2406" s="9"/>
      <c r="CS2406" s="37"/>
      <c r="CT2406" s="37"/>
      <c r="CU2406" s="37"/>
      <c r="CV2406" s="37"/>
      <c r="CW2406" s="37"/>
      <c r="CX2406" s="37"/>
      <c r="CY2406" s="37"/>
    </row>
    <row r="2407" spans="2:103" s="10" customFormat="1" x14ac:dyDescent="0.4">
      <c r="B2407" s="44"/>
      <c r="C2407" s="43"/>
      <c r="D2407" s="50"/>
      <c r="E2407" s="50"/>
      <c r="F2407" s="50"/>
      <c r="G2407" s="50"/>
      <c r="H2407" s="9"/>
      <c r="I2407" s="9"/>
      <c r="CS2407" s="37"/>
      <c r="CT2407" s="37"/>
      <c r="CU2407" s="37"/>
      <c r="CV2407" s="37"/>
      <c r="CW2407" s="37"/>
      <c r="CX2407" s="37"/>
      <c r="CY2407" s="37"/>
    </row>
    <row r="2408" spans="2:103" s="10" customFormat="1" x14ac:dyDescent="0.4">
      <c r="B2408" s="44"/>
      <c r="C2408" s="43"/>
      <c r="D2408" s="50"/>
      <c r="E2408" s="50"/>
      <c r="F2408" s="50"/>
      <c r="G2408" s="50"/>
      <c r="H2408" s="9"/>
      <c r="I2408" s="9"/>
      <c r="CS2408" s="37"/>
      <c r="CT2408" s="37"/>
      <c r="CU2408" s="37"/>
      <c r="CV2408" s="37"/>
      <c r="CW2408" s="37"/>
      <c r="CX2408" s="37"/>
      <c r="CY2408" s="37"/>
    </row>
    <row r="2409" spans="2:103" s="10" customFormat="1" x14ac:dyDescent="0.4">
      <c r="B2409" s="44"/>
      <c r="C2409" s="43"/>
      <c r="D2409" s="50"/>
      <c r="E2409" s="50"/>
      <c r="F2409" s="50"/>
      <c r="G2409" s="50"/>
      <c r="H2409" s="9"/>
      <c r="I2409" s="9"/>
      <c r="CS2409" s="37"/>
      <c r="CT2409" s="37"/>
      <c r="CU2409" s="37"/>
      <c r="CV2409" s="37"/>
      <c r="CW2409" s="37"/>
      <c r="CX2409" s="37"/>
      <c r="CY2409" s="37"/>
    </row>
    <row r="2410" spans="2:103" s="10" customFormat="1" x14ac:dyDescent="0.4">
      <c r="B2410" s="44"/>
      <c r="C2410" s="43"/>
      <c r="D2410" s="50"/>
      <c r="E2410" s="50"/>
      <c r="F2410" s="50"/>
      <c r="G2410" s="50"/>
      <c r="H2410" s="9"/>
      <c r="I2410" s="9"/>
      <c r="CS2410" s="37"/>
      <c r="CT2410" s="37"/>
      <c r="CU2410" s="37"/>
      <c r="CV2410" s="37"/>
      <c r="CW2410" s="37"/>
      <c r="CX2410" s="37"/>
      <c r="CY2410" s="37"/>
    </row>
    <row r="2411" spans="2:103" s="10" customFormat="1" x14ac:dyDescent="0.4">
      <c r="B2411" s="44"/>
      <c r="C2411" s="43"/>
      <c r="D2411" s="50"/>
      <c r="E2411" s="50"/>
      <c r="F2411" s="50"/>
      <c r="G2411" s="50"/>
      <c r="H2411" s="9"/>
      <c r="I2411" s="9"/>
      <c r="CS2411" s="37"/>
      <c r="CT2411" s="37"/>
      <c r="CU2411" s="37"/>
      <c r="CV2411" s="37"/>
      <c r="CW2411" s="37"/>
      <c r="CX2411" s="37"/>
      <c r="CY2411" s="37"/>
    </row>
    <row r="2412" spans="2:103" s="10" customFormat="1" x14ac:dyDescent="0.4">
      <c r="B2412" s="44"/>
      <c r="C2412" s="43"/>
      <c r="D2412" s="50"/>
      <c r="E2412" s="50"/>
      <c r="F2412" s="50"/>
      <c r="G2412" s="50"/>
      <c r="H2412" s="9"/>
      <c r="I2412" s="9"/>
      <c r="CS2412" s="37"/>
      <c r="CT2412" s="37"/>
      <c r="CU2412" s="37"/>
      <c r="CV2412" s="37"/>
      <c r="CW2412" s="37"/>
      <c r="CX2412" s="37"/>
      <c r="CY2412" s="37"/>
    </row>
    <row r="2413" spans="2:103" s="10" customFormat="1" x14ac:dyDescent="0.4">
      <c r="B2413" s="44"/>
      <c r="C2413" s="43"/>
      <c r="D2413" s="50"/>
      <c r="E2413" s="50"/>
      <c r="F2413" s="50"/>
      <c r="G2413" s="50"/>
      <c r="H2413" s="9"/>
      <c r="I2413" s="9"/>
      <c r="CS2413" s="37"/>
      <c r="CT2413" s="37"/>
      <c r="CU2413" s="37"/>
      <c r="CV2413" s="37"/>
      <c r="CW2413" s="37"/>
      <c r="CX2413" s="37"/>
      <c r="CY2413" s="37"/>
    </row>
    <row r="2414" spans="2:103" s="10" customFormat="1" x14ac:dyDescent="0.4">
      <c r="B2414" s="44"/>
      <c r="C2414" s="43"/>
      <c r="D2414" s="50"/>
      <c r="E2414" s="50"/>
      <c r="F2414" s="50"/>
      <c r="G2414" s="50"/>
      <c r="H2414" s="9"/>
      <c r="I2414" s="9"/>
      <c r="CS2414" s="37"/>
      <c r="CT2414" s="37"/>
      <c r="CU2414" s="37"/>
      <c r="CV2414" s="37"/>
      <c r="CW2414" s="37"/>
      <c r="CX2414" s="37"/>
      <c r="CY2414" s="37"/>
    </row>
    <row r="2415" spans="2:103" s="10" customFormat="1" x14ac:dyDescent="0.4">
      <c r="B2415" s="44"/>
      <c r="C2415" s="43"/>
      <c r="D2415" s="50"/>
      <c r="E2415" s="50"/>
      <c r="F2415" s="50"/>
      <c r="G2415" s="50"/>
      <c r="H2415" s="9"/>
      <c r="I2415" s="9"/>
      <c r="CS2415" s="37"/>
      <c r="CT2415" s="37"/>
      <c r="CU2415" s="37"/>
      <c r="CV2415" s="37"/>
      <c r="CW2415" s="37"/>
      <c r="CX2415" s="37"/>
      <c r="CY2415" s="37"/>
    </row>
    <row r="2416" spans="2:103" s="10" customFormat="1" x14ac:dyDescent="0.4">
      <c r="B2416" s="44"/>
      <c r="C2416" s="43"/>
      <c r="D2416" s="50"/>
      <c r="E2416" s="50"/>
      <c r="F2416" s="50"/>
      <c r="G2416" s="50"/>
      <c r="H2416" s="9"/>
      <c r="I2416" s="9"/>
      <c r="CS2416" s="37"/>
      <c r="CT2416" s="37"/>
      <c r="CU2416" s="37"/>
      <c r="CV2416" s="37"/>
      <c r="CW2416" s="37"/>
      <c r="CX2416" s="37"/>
      <c r="CY2416" s="37"/>
    </row>
    <row r="2417" spans="2:103" s="10" customFormat="1" x14ac:dyDescent="0.4">
      <c r="B2417" s="44"/>
      <c r="C2417" s="43"/>
      <c r="D2417" s="50"/>
      <c r="E2417" s="50"/>
      <c r="F2417" s="50"/>
      <c r="G2417" s="50"/>
      <c r="H2417" s="9"/>
      <c r="I2417" s="9"/>
      <c r="CS2417" s="37"/>
      <c r="CT2417" s="37"/>
      <c r="CU2417" s="37"/>
      <c r="CV2417" s="37"/>
      <c r="CW2417" s="37"/>
      <c r="CX2417" s="37"/>
      <c r="CY2417" s="37"/>
    </row>
    <row r="2418" spans="2:103" s="10" customFormat="1" x14ac:dyDescent="0.4">
      <c r="B2418" s="44"/>
      <c r="C2418" s="43"/>
      <c r="D2418" s="50"/>
      <c r="E2418" s="50"/>
      <c r="F2418" s="50"/>
      <c r="G2418" s="50"/>
      <c r="H2418" s="9"/>
      <c r="I2418" s="9"/>
      <c r="CS2418" s="37"/>
      <c r="CT2418" s="37"/>
      <c r="CU2418" s="37"/>
      <c r="CV2418" s="37"/>
      <c r="CW2418" s="37"/>
      <c r="CX2418" s="37"/>
      <c r="CY2418" s="37"/>
    </row>
    <row r="2419" spans="2:103" s="10" customFormat="1" x14ac:dyDescent="0.4">
      <c r="B2419" s="44"/>
      <c r="C2419" s="43"/>
      <c r="D2419" s="50"/>
      <c r="E2419" s="50"/>
      <c r="F2419" s="50"/>
      <c r="G2419" s="50"/>
      <c r="H2419" s="9"/>
      <c r="I2419" s="9"/>
      <c r="CS2419" s="37"/>
      <c r="CT2419" s="37"/>
      <c r="CU2419" s="37"/>
      <c r="CV2419" s="37"/>
      <c r="CW2419" s="37"/>
      <c r="CX2419" s="37"/>
      <c r="CY2419" s="37"/>
    </row>
    <row r="2420" spans="2:103" s="10" customFormat="1" x14ac:dyDescent="0.4">
      <c r="B2420" s="44"/>
      <c r="C2420" s="43"/>
      <c r="D2420" s="50"/>
      <c r="E2420" s="50"/>
      <c r="F2420" s="50"/>
      <c r="G2420" s="50"/>
      <c r="H2420" s="9"/>
      <c r="I2420" s="9"/>
      <c r="CS2420" s="37"/>
      <c r="CT2420" s="37"/>
      <c r="CU2420" s="37"/>
      <c r="CV2420" s="37"/>
      <c r="CW2420" s="37"/>
      <c r="CX2420" s="37"/>
      <c r="CY2420" s="37"/>
    </row>
    <row r="2421" spans="2:103" s="10" customFormat="1" x14ac:dyDescent="0.4">
      <c r="B2421" s="44"/>
      <c r="C2421" s="43"/>
      <c r="D2421" s="50"/>
      <c r="E2421" s="50"/>
      <c r="F2421" s="50"/>
      <c r="G2421" s="50"/>
      <c r="H2421" s="9"/>
      <c r="I2421" s="9"/>
      <c r="CS2421" s="37"/>
      <c r="CT2421" s="37"/>
      <c r="CU2421" s="37"/>
      <c r="CV2421" s="37"/>
      <c r="CW2421" s="37"/>
      <c r="CX2421" s="37"/>
      <c r="CY2421" s="37"/>
    </row>
    <row r="2422" spans="2:103" s="10" customFormat="1" x14ac:dyDescent="0.4">
      <c r="B2422" s="44"/>
      <c r="C2422" s="43"/>
      <c r="D2422" s="50"/>
      <c r="E2422" s="50"/>
      <c r="F2422" s="50"/>
      <c r="G2422" s="50"/>
      <c r="H2422" s="9"/>
      <c r="I2422" s="9"/>
      <c r="CS2422" s="37"/>
      <c r="CT2422" s="37"/>
      <c r="CU2422" s="37"/>
      <c r="CV2422" s="37"/>
      <c r="CW2422" s="37"/>
      <c r="CX2422" s="37"/>
      <c r="CY2422" s="37"/>
    </row>
    <row r="2423" spans="2:103" s="10" customFormat="1" x14ac:dyDescent="0.4">
      <c r="B2423" s="44"/>
      <c r="C2423" s="43"/>
      <c r="D2423" s="50"/>
      <c r="E2423" s="50"/>
      <c r="F2423" s="50"/>
      <c r="G2423" s="50"/>
      <c r="H2423" s="9"/>
      <c r="I2423" s="9"/>
      <c r="CS2423" s="37"/>
      <c r="CT2423" s="37"/>
      <c r="CU2423" s="37"/>
      <c r="CV2423" s="37"/>
      <c r="CW2423" s="37"/>
      <c r="CX2423" s="37"/>
      <c r="CY2423" s="37"/>
    </row>
    <row r="2424" spans="2:103" s="10" customFormat="1" x14ac:dyDescent="0.4">
      <c r="B2424" s="44"/>
      <c r="C2424" s="43"/>
      <c r="D2424" s="50"/>
      <c r="E2424" s="50"/>
      <c r="F2424" s="50"/>
      <c r="G2424" s="50"/>
      <c r="H2424" s="9"/>
      <c r="I2424" s="9"/>
      <c r="CS2424" s="37"/>
      <c r="CT2424" s="37"/>
      <c r="CU2424" s="37"/>
      <c r="CV2424" s="37"/>
      <c r="CW2424" s="37"/>
      <c r="CX2424" s="37"/>
      <c r="CY2424" s="37"/>
    </row>
    <row r="2440" spans="2:9" s="10" customFormat="1" x14ac:dyDescent="0.4">
      <c r="B2440" s="15"/>
      <c r="C2440" s="19"/>
      <c r="D2440" s="20"/>
      <c r="E2440" s="20"/>
      <c r="F2440" s="20"/>
      <c r="G2440" s="20"/>
      <c r="H2440" s="9"/>
      <c r="I2440" s="9"/>
    </row>
    <row r="2441" spans="2:9" s="10" customFormat="1" x14ac:dyDescent="0.4">
      <c r="B2441" s="15"/>
      <c r="C2441" s="19"/>
      <c r="D2441" s="20"/>
      <c r="E2441" s="20"/>
      <c r="F2441" s="20"/>
      <c r="G2441" s="20"/>
      <c r="H2441" s="9"/>
      <c r="I2441" s="9"/>
    </row>
    <row r="2442" spans="2:9" s="10" customFormat="1" x14ac:dyDescent="0.4">
      <c r="B2442" s="15"/>
      <c r="C2442" s="19"/>
      <c r="D2442" s="20"/>
      <c r="E2442" s="20"/>
      <c r="F2442" s="20"/>
      <c r="G2442" s="20"/>
      <c r="H2442" s="9"/>
      <c r="I2442" s="9"/>
    </row>
    <row r="2443" spans="2:9" s="10" customFormat="1" x14ac:dyDescent="0.4">
      <c r="B2443" s="15"/>
      <c r="C2443" s="19"/>
      <c r="D2443" s="20"/>
      <c r="E2443" s="20"/>
      <c r="F2443" s="20"/>
      <c r="G2443" s="20"/>
      <c r="H2443" s="9"/>
      <c r="I2443" s="9"/>
    </row>
    <row r="2444" spans="2:9" s="10" customFormat="1" x14ac:dyDescent="0.4">
      <c r="B2444" s="15"/>
      <c r="C2444" s="19"/>
      <c r="D2444" s="20"/>
      <c r="E2444" s="20"/>
      <c r="F2444" s="20"/>
      <c r="G2444" s="20"/>
      <c r="H2444" s="9"/>
      <c r="I2444" s="9"/>
    </row>
    <row r="2445" spans="2:9" s="10" customFormat="1" x14ac:dyDescent="0.4">
      <c r="B2445" s="15"/>
      <c r="C2445" s="19"/>
      <c r="D2445" s="20"/>
      <c r="E2445" s="20"/>
      <c r="F2445" s="20"/>
      <c r="G2445" s="20"/>
      <c r="H2445" s="9"/>
      <c r="I2445" s="9"/>
    </row>
    <row r="2446" spans="2:9" s="10" customFormat="1" x14ac:dyDescent="0.4">
      <c r="B2446" s="15"/>
      <c r="C2446" s="19"/>
      <c r="D2446" s="20"/>
      <c r="E2446" s="20"/>
      <c r="F2446" s="20"/>
      <c r="G2446" s="20"/>
      <c r="H2446" s="9"/>
      <c r="I2446" s="9"/>
    </row>
    <row r="2447" spans="2:9" s="10" customFormat="1" x14ac:dyDescent="0.4">
      <c r="B2447" s="15"/>
      <c r="C2447" s="19"/>
      <c r="D2447" s="20"/>
      <c r="E2447" s="20"/>
      <c r="F2447" s="20"/>
      <c r="G2447" s="20"/>
      <c r="H2447" s="9"/>
      <c r="I2447" s="9"/>
    </row>
    <row r="2448" spans="2:9" s="10" customFormat="1" x14ac:dyDescent="0.4">
      <c r="B2448" s="15"/>
      <c r="C2448" s="19"/>
      <c r="D2448" s="20"/>
      <c r="E2448" s="20"/>
      <c r="F2448" s="20"/>
      <c r="G2448" s="20"/>
      <c r="H2448" s="9"/>
      <c r="I2448" s="9"/>
    </row>
    <row r="2449" spans="2:9" s="10" customFormat="1" x14ac:dyDescent="0.4">
      <c r="B2449" s="15"/>
      <c r="C2449" s="19"/>
      <c r="D2449" s="20"/>
      <c r="E2449" s="20"/>
      <c r="F2449" s="20"/>
      <c r="G2449" s="20"/>
      <c r="H2449" s="9"/>
      <c r="I2449" s="9"/>
    </row>
    <row r="2450" spans="2:9" s="10" customFormat="1" x14ac:dyDescent="0.4">
      <c r="B2450" s="15"/>
      <c r="C2450" s="19"/>
      <c r="D2450" s="20"/>
      <c r="E2450" s="20"/>
      <c r="F2450" s="20"/>
      <c r="G2450" s="20"/>
      <c r="H2450" s="9"/>
      <c r="I2450" s="9"/>
    </row>
    <row r="2451" spans="2:9" s="10" customFormat="1" x14ac:dyDescent="0.4">
      <c r="B2451" s="15"/>
      <c r="C2451" s="19"/>
      <c r="D2451" s="20"/>
      <c r="E2451" s="20"/>
      <c r="F2451" s="20"/>
      <c r="G2451" s="20"/>
      <c r="H2451" s="9"/>
      <c r="I2451" s="9"/>
    </row>
    <row r="2452" spans="2:9" s="10" customFormat="1" x14ac:dyDescent="0.4">
      <c r="B2452" s="15"/>
      <c r="C2452" s="19"/>
      <c r="D2452" s="20"/>
      <c r="E2452" s="20"/>
      <c r="F2452" s="20"/>
      <c r="G2452" s="20"/>
      <c r="H2452" s="9"/>
      <c r="I2452" s="9"/>
    </row>
    <row r="2453" spans="2:9" s="10" customFormat="1" x14ac:dyDescent="0.4">
      <c r="B2453" s="15"/>
      <c r="C2453" s="19"/>
      <c r="D2453" s="20"/>
      <c r="E2453" s="20"/>
      <c r="F2453" s="20"/>
      <c r="G2453" s="20"/>
      <c r="H2453" s="9"/>
      <c r="I2453" s="9"/>
    </row>
    <row r="2454" spans="2:9" s="10" customFormat="1" x14ac:dyDescent="0.4">
      <c r="B2454" s="15"/>
      <c r="C2454" s="19"/>
      <c r="D2454" s="20"/>
      <c r="E2454" s="20"/>
      <c r="F2454" s="20"/>
      <c r="G2454" s="20"/>
      <c r="H2454" s="9"/>
      <c r="I2454" s="9"/>
    </row>
    <row r="2455" spans="2:9" s="10" customFormat="1" x14ac:dyDescent="0.4">
      <c r="B2455" s="15"/>
      <c r="C2455" s="19"/>
      <c r="D2455" s="20"/>
      <c r="E2455" s="20"/>
      <c r="F2455" s="20"/>
      <c r="G2455" s="20"/>
      <c r="H2455" s="9"/>
      <c r="I2455" s="9"/>
    </row>
    <row r="2456" spans="2:9" s="10" customFormat="1" x14ac:dyDescent="0.4">
      <c r="B2456" s="15"/>
      <c r="C2456" s="19"/>
      <c r="D2456" s="20"/>
      <c r="E2456" s="20"/>
      <c r="F2456" s="20"/>
      <c r="G2456" s="20"/>
      <c r="H2456" s="9"/>
      <c r="I2456" s="9"/>
    </row>
    <row r="2457" spans="2:9" s="10" customFormat="1" x14ac:dyDescent="0.4">
      <c r="B2457" s="15"/>
      <c r="C2457" s="19"/>
      <c r="D2457" s="20"/>
      <c r="E2457" s="20"/>
      <c r="F2457" s="20"/>
      <c r="G2457" s="20"/>
      <c r="H2457" s="9"/>
      <c r="I2457" s="9"/>
    </row>
    <row r="2458" spans="2:9" s="10" customFormat="1" x14ac:dyDescent="0.4">
      <c r="B2458" s="15"/>
      <c r="C2458" s="19"/>
      <c r="D2458" s="20"/>
      <c r="E2458" s="20"/>
      <c r="F2458" s="20"/>
      <c r="G2458" s="20"/>
      <c r="H2458" s="9"/>
      <c r="I2458" s="9"/>
    </row>
    <row r="2459" spans="2:9" s="10" customFormat="1" x14ac:dyDescent="0.4">
      <c r="B2459" s="15"/>
      <c r="C2459" s="19"/>
      <c r="D2459" s="20"/>
      <c r="E2459" s="20"/>
      <c r="F2459" s="20"/>
      <c r="G2459" s="20"/>
      <c r="H2459" s="9"/>
      <c r="I2459" s="9"/>
    </row>
    <row r="2460" spans="2:9" s="10" customFormat="1" x14ac:dyDescent="0.4">
      <c r="B2460" s="15"/>
      <c r="C2460" s="19"/>
      <c r="D2460" s="20"/>
      <c r="E2460" s="20"/>
      <c r="F2460" s="20"/>
      <c r="G2460" s="20"/>
      <c r="H2460" s="9"/>
      <c r="I2460" s="9"/>
    </row>
    <row r="2461" spans="2:9" s="10" customFormat="1" x14ac:dyDescent="0.4">
      <c r="B2461" s="15"/>
      <c r="C2461" s="19"/>
      <c r="D2461" s="20"/>
      <c r="E2461" s="20"/>
      <c r="F2461" s="20"/>
      <c r="G2461" s="20"/>
      <c r="H2461" s="9"/>
      <c r="I2461" s="9"/>
    </row>
    <row r="2462" spans="2:9" s="10" customFormat="1" x14ac:dyDescent="0.4">
      <c r="B2462" s="15"/>
      <c r="C2462" s="19"/>
      <c r="D2462" s="20"/>
      <c r="E2462" s="20"/>
      <c r="F2462" s="20"/>
      <c r="G2462" s="20"/>
      <c r="H2462" s="9"/>
      <c r="I2462" s="9"/>
    </row>
    <row r="2463" spans="2:9" s="10" customFormat="1" x14ac:dyDescent="0.4">
      <c r="B2463" s="15"/>
      <c r="C2463" s="19"/>
      <c r="D2463" s="20"/>
      <c r="E2463" s="20"/>
      <c r="F2463" s="20"/>
      <c r="G2463" s="20"/>
      <c r="H2463" s="9"/>
      <c r="I2463" s="9"/>
    </row>
    <row r="2464" spans="2:9" s="10" customFormat="1" x14ac:dyDescent="0.4">
      <c r="B2464" s="15"/>
      <c r="C2464" s="19"/>
      <c r="D2464" s="20"/>
      <c r="E2464" s="20"/>
      <c r="F2464" s="20"/>
      <c r="G2464" s="20"/>
      <c r="H2464" s="9"/>
      <c r="I2464" s="9"/>
    </row>
    <row r="2465" spans="2:9" s="10" customFormat="1" x14ac:dyDescent="0.4">
      <c r="B2465" s="15"/>
      <c r="C2465" s="19"/>
      <c r="D2465" s="20"/>
      <c r="E2465" s="20"/>
      <c r="F2465" s="20"/>
      <c r="G2465" s="20"/>
      <c r="H2465" s="9"/>
      <c r="I2465" s="9"/>
    </row>
    <row r="2466" spans="2:9" s="10" customFormat="1" x14ac:dyDescent="0.4">
      <c r="B2466" s="15"/>
      <c r="C2466" s="19"/>
      <c r="D2466" s="20"/>
      <c r="E2466" s="20"/>
      <c r="F2466" s="20"/>
      <c r="G2466" s="20"/>
      <c r="H2466" s="9"/>
      <c r="I2466" s="9"/>
    </row>
    <row r="2467" spans="2:9" s="10" customFormat="1" x14ac:dyDescent="0.4">
      <c r="B2467" s="15"/>
      <c r="C2467" s="19"/>
      <c r="D2467" s="20"/>
      <c r="E2467" s="20"/>
      <c r="F2467" s="20"/>
      <c r="G2467" s="20"/>
      <c r="H2467" s="9"/>
      <c r="I2467" s="9"/>
    </row>
    <row r="2468" spans="2:9" s="10" customFormat="1" x14ac:dyDescent="0.4">
      <c r="B2468" s="15"/>
      <c r="C2468" s="19"/>
      <c r="D2468" s="20"/>
      <c r="E2468" s="20"/>
      <c r="F2468" s="20"/>
      <c r="G2468" s="20"/>
      <c r="H2468" s="9"/>
      <c r="I2468" s="9"/>
    </row>
    <row r="2469" spans="2:9" s="10" customFormat="1" x14ac:dyDescent="0.4">
      <c r="B2469" s="15"/>
      <c r="C2469" s="19"/>
      <c r="D2469" s="20"/>
      <c r="E2469" s="20"/>
      <c r="F2469" s="20"/>
      <c r="G2469" s="20"/>
      <c r="H2469" s="9"/>
      <c r="I2469" s="9"/>
    </row>
    <row r="2470" spans="2:9" s="10" customFormat="1" x14ac:dyDescent="0.4">
      <c r="B2470" s="15"/>
      <c r="C2470" s="19"/>
      <c r="D2470" s="20"/>
      <c r="E2470" s="20"/>
      <c r="F2470" s="20"/>
      <c r="G2470" s="20"/>
      <c r="H2470" s="9"/>
      <c r="I2470" s="9"/>
    </row>
    <row r="2471" spans="2:9" s="10" customFormat="1" x14ac:dyDescent="0.4">
      <c r="B2471" s="15"/>
      <c r="C2471" s="19"/>
      <c r="D2471" s="20"/>
      <c r="E2471" s="20"/>
      <c r="F2471" s="20"/>
      <c r="G2471" s="20"/>
      <c r="H2471" s="9"/>
      <c r="I2471" s="9"/>
    </row>
    <row r="2472" spans="2:9" s="10" customFormat="1" x14ac:dyDescent="0.4">
      <c r="B2472" s="15"/>
      <c r="C2472" s="19"/>
      <c r="D2472" s="20"/>
      <c r="E2472" s="20"/>
      <c r="F2472" s="20"/>
      <c r="G2472" s="20"/>
      <c r="H2472" s="9"/>
      <c r="I2472" s="9"/>
    </row>
    <row r="2473" spans="2:9" s="10" customFormat="1" x14ac:dyDescent="0.4">
      <c r="B2473" s="15"/>
      <c r="C2473" s="19"/>
      <c r="D2473" s="20"/>
      <c r="E2473" s="20"/>
      <c r="F2473" s="20"/>
      <c r="G2473" s="20"/>
      <c r="H2473" s="9"/>
      <c r="I2473" s="9"/>
    </row>
    <row r="2474" spans="2:9" s="10" customFormat="1" x14ac:dyDescent="0.4">
      <c r="B2474" s="15"/>
      <c r="C2474" s="19"/>
      <c r="D2474" s="20"/>
      <c r="E2474" s="20"/>
      <c r="F2474" s="20"/>
      <c r="G2474" s="20"/>
      <c r="H2474" s="9"/>
      <c r="I2474" s="9"/>
    </row>
    <row r="2475" spans="2:9" s="10" customFormat="1" x14ac:dyDescent="0.4">
      <c r="B2475" s="15"/>
      <c r="C2475" s="19"/>
      <c r="D2475" s="20"/>
      <c r="E2475" s="20"/>
      <c r="F2475" s="20"/>
      <c r="G2475" s="20"/>
      <c r="H2475" s="9"/>
      <c r="I2475" s="9"/>
    </row>
    <row r="2476" spans="2:9" s="10" customFormat="1" x14ac:dyDescent="0.4">
      <c r="B2476" s="15"/>
      <c r="C2476" s="19"/>
      <c r="D2476" s="20"/>
      <c r="E2476" s="20"/>
      <c r="F2476" s="20"/>
      <c r="G2476" s="20"/>
      <c r="H2476" s="9"/>
      <c r="I2476" s="9"/>
    </row>
    <row r="2477" spans="2:9" s="10" customFormat="1" x14ac:dyDescent="0.4">
      <c r="B2477" s="15"/>
      <c r="C2477" s="19"/>
      <c r="D2477" s="20"/>
      <c r="E2477" s="20"/>
      <c r="F2477" s="20"/>
      <c r="G2477" s="20"/>
      <c r="H2477" s="9"/>
      <c r="I2477" s="9"/>
    </row>
    <row r="2478" spans="2:9" s="10" customFormat="1" x14ac:dyDescent="0.4">
      <c r="B2478" s="15"/>
      <c r="C2478" s="19"/>
      <c r="D2478" s="20"/>
      <c r="E2478" s="20"/>
      <c r="F2478" s="20"/>
      <c r="G2478" s="20"/>
      <c r="H2478" s="9"/>
      <c r="I2478" s="9"/>
    </row>
    <row r="2479" spans="2:9" s="10" customFormat="1" x14ac:dyDescent="0.4">
      <c r="B2479" s="15"/>
      <c r="C2479" s="19"/>
      <c r="D2479" s="20"/>
      <c r="E2479" s="20"/>
      <c r="F2479" s="20"/>
      <c r="G2479" s="20"/>
      <c r="H2479" s="9"/>
      <c r="I2479" s="9"/>
    </row>
    <row r="2480" spans="2:9" s="10" customFormat="1" x14ac:dyDescent="0.4">
      <c r="B2480" s="15"/>
      <c r="C2480" s="19"/>
      <c r="D2480" s="20"/>
      <c r="E2480" s="20"/>
      <c r="F2480" s="20"/>
      <c r="G2480" s="20"/>
      <c r="H2480" s="9"/>
      <c r="I2480" s="9"/>
    </row>
    <row r="2481" spans="2:9" s="10" customFormat="1" x14ac:dyDescent="0.4">
      <c r="B2481" s="15"/>
      <c r="C2481" s="19"/>
      <c r="D2481" s="20"/>
      <c r="E2481" s="20"/>
      <c r="F2481" s="20"/>
      <c r="G2481" s="20"/>
      <c r="H2481" s="9"/>
      <c r="I2481" s="9"/>
    </row>
    <row r="2482" spans="2:9" s="10" customFormat="1" x14ac:dyDescent="0.4">
      <c r="B2482" s="15"/>
      <c r="C2482" s="19"/>
      <c r="D2482" s="20"/>
      <c r="E2482" s="20"/>
      <c r="F2482" s="20"/>
      <c r="G2482" s="20"/>
      <c r="H2482" s="9"/>
      <c r="I2482" s="9"/>
    </row>
    <row r="2483" spans="2:9" s="10" customFormat="1" x14ac:dyDescent="0.4">
      <c r="B2483" s="15"/>
      <c r="C2483" s="19"/>
      <c r="D2483" s="20"/>
      <c r="E2483" s="20"/>
      <c r="F2483" s="20"/>
      <c r="G2483" s="20"/>
      <c r="H2483" s="9"/>
      <c r="I2483" s="9"/>
    </row>
    <row r="2484" spans="2:9" s="10" customFormat="1" x14ac:dyDescent="0.4">
      <c r="B2484" s="15"/>
      <c r="C2484" s="19"/>
      <c r="D2484" s="20"/>
      <c r="E2484" s="20"/>
      <c r="F2484" s="20"/>
      <c r="G2484" s="20"/>
      <c r="H2484" s="9"/>
      <c r="I2484" s="9"/>
    </row>
    <row r="2485" spans="2:9" s="10" customFormat="1" x14ac:dyDescent="0.4">
      <c r="B2485" s="15"/>
      <c r="C2485" s="19"/>
      <c r="D2485" s="20"/>
      <c r="E2485" s="20"/>
      <c r="F2485" s="20"/>
      <c r="G2485" s="20"/>
      <c r="H2485" s="9"/>
      <c r="I2485" s="9"/>
    </row>
    <row r="2486" spans="2:9" s="10" customFormat="1" x14ac:dyDescent="0.4">
      <c r="B2486" s="15"/>
      <c r="C2486" s="19"/>
      <c r="D2486" s="20"/>
      <c r="E2486" s="20"/>
      <c r="F2486" s="20"/>
      <c r="G2486" s="20"/>
      <c r="H2486" s="9"/>
      <c r="I2486" s="9"/>
    </row>
    <row r="2487" spans="2:9" s="10" customFormat="1" x14ac:dyDescent="0.4">
      <c r="B2487" s="15"/>
      <c r="C2487" s="19"/>
      <c r="D2487" s="20"/>
      <c r="E2487" s="20"/>
      <c r="F2487" s="20"/>
      <c r="G2487" s="20"/>
      <c r="H2487" s="9"/>
      <c r="I2487" s="9"/>
    </row>
    <row r="2488" spans="2:9" s="10" customFormat="1" x14ac:dyDescent="0.4">
      <c r="B2488" s="15"/>
      <c r="C2488" s="19"/>
      <c r="D2488" s="20"/>
      <c r="E2488" s="20"/>
      <c r="F2488" s="20"/>
      <c r="G2488" s="20"/>
      <c r="H2488" s="9"/>
      <c r="I2488" s="9"/>
    </row>
    <row r="2489" spans="2:9" s="10" customFormat="1" x14ac:dyDescent="0.4">
      <c r="B2489" s="15"/>
      <c r="C2489" s="19"/>
      <c r="D2489" s="20"/>
      <c r="E2489" s="20"/>
      <c r="F2489" s="20"/>
      <c r="G2489" s="20"/>
      <c r="H2489" s="9"/>
      <c r="I2489" s="9"/>
    </row>
    <row r="2490" spans="2:9" s="10" customFormat="1" x14ac:dyDescent="0.4">
      <c r="B2490" s="15"/>
      <c r="C2490" s="19"/>
      <c r="D2490" s="20"/>
      <c r="E2490" s="20"/>
      <c r="F2490" s="20"/>
      <c r="G2490" s="20"/>
      <c r="H2490" s="9"/>
      <c r="I2490" s="9"/>
    </row>
    <row r="2491" spans="2:9" s="10" customFormat="1" x14ac:dyDescent="0.4">
      <c r="B2491" s="15"/>
      <c r="C2491" s="19"/>
      <c r="D2491" s="20"/>
      <c r="E2491" s="20"/>
      <c r="F2491" s="20"/>
      <c r="G2491" s="20"/>
      <c r="H2491" s="9"/>
      <c r="I2491" s="9"/>
    </row>
    <row r="2492" spans="2:9" s="10" customFormat="1" x14ac:dyDescent="0.4">
      <c r="B2492" s="15"/>
      <c r="C2492" s="19"/>
      <c r="D2492" s="20"/>
      <c r="E2492" s="20"/>
      <c r="F2492" s="20"/>
      <c r="G2492" s="20"/>
      <c r="H2492" s="9"/>
      <c r="I2492" s="9"/>
    </row>
    <row r="2493" spans="2:9" s="10" customFormat="1" x14ac:dyDescent="0.4">
      <c r="B2493" s="15"/>
      <c r="C2493" s="19"/>
      <c r="D2493" s="20"/>
      <c r="E2493" s="20"/>
      <c r="F2493" s="20"/>
      <c r="G2493" s="20"/>
      <c r="H2493" s="9"/>
      <c r="I2493" s="9"/>
    </row>
    <row r="2494" spans="2:9" s="10" customFormat="1" x14ac:dyDescent="0.4">
      <c r="B2494" s="15"/>
      <c r="C2494" s="19"/>
      <c r="D2494" s="20"/>
      <c r="E2494" s="20"/>
      <c r="F2494" s="20"/>
      <c r="G2494" s="20"/>
      <c r="H2494" s="9"/>
      <c r="I2494" s="9"/>
    </row>
    <row r="2495" spans="2:9" s="10" customFormat="1" x14ac:dyDescent="0.4">
      <c r="B2495" s="15"/>
      <c r="C2495" s="19"/>
      <c r="D2495" s="20"/>
      <c r="E2495" s="20"/>
      <c r="F2495" s="20"/>
      <c r="G2495" s="20"/>
      <c r="H2495" s="9"/>
      <c r="I2495" s="9"/>
    </row>
    <row r="2496" spans="2:9" s="10" customFormat="1" x14ac:dyDescent="0.4">
      <c r="B2496" s="15"/>
      <c r="C2496" s="19"/>
      <c r="D2496" s="20"/>
      <c r="E2496" s="20"/>
      <c r="F2496" s="20"/>
      <c r="G2496" s="20"/>
      <c r="H2496" s="9"/>
      <c r="I2496" s="9"/>
    </row>
    <row r="2497" spans="2:9" s="10" customFormat="1" x14ac:dyDescent="0.4">
      <c r="B2497" s="15"/>
      <c r="C2497" s="19"/>
      <c r="D2497" s="20"/>
      <c r="E2497" s="20"/>
      <c r="F2497" s="20"/>
      <c r="G2497" s="20"/>
      <c r="H2497" s="9"/>
      <c r="I2497" s="9"/>
    </row>
    <row r="2498" spans="2:9" s="10" customFormat="1" x14ac:dyDescent="0.4">
      <c r="B2498" s="15"/>
      <c r="C2498" s="19"/>
      <c r="D2498" s="20"/>
      <c r="E2498" s="20"/>
      <c r="F2498" s="20"/>
      <c r="G2498" s="20"/>
      <c r="H2498" s="9"/>
      <c r="I2498" s="9"/>
    </row>
    <row r="2499" spans="2:9" s="10" customFormat="1" x14ac:dyDescent="0.4">
      <c r="B2499" s="15"/>
      <c r="C2499" s="19"/>
      <c r="D2499" s="20"/>
      <c r="E2499" s="20"/>
      <c r="F2499" s="20"/>
      <c r="G2499" s="20"/>
      <c r="H2499" s="9"/>
      <c r="I2499" s="9"/>
    </row>
    <row r="2500" spans="2:9" s="10" customFormat="1" x14ac:dyDescent="0.4">
      <c r="B2500" s="15"/>
      <c r="C2500" s="19"/>
      <c r="D2500" s="20"/>
      <c r="E2500" s="20"/>
      <c r="F2500" s="20"/>
      <c r="G2500" s="20"/>
      <c r="H2500" s="9"/>
      <c r="I2500" s="9"/>
    </row>
    <row r="2501" spans="2:9" s="10" customFormat="1" x14ac:dyDescent="0.4">
      <c r="B2501" s="15"/>
      <c r="C2501" s="19"/>
      <c r="D2501" s="20"/>
      <c r="E2501" s="20"/>
      <c r="F2501" s="20"/>
      <c r="G2501" s="20"/>
      <c r="H2501" s="9"/>
      <c r="I2501" s="9"/>
    </row>
    <row r="2502" spans="2:9" s="10" customFormat="1" x14ac:dyDescent="0.4">
      <c r="B2502" s="15"/>
      <c r="C2502" s="19"/>
      <c r="D2502" s="20"/>
      <c r="E2502" s="20"/>
      <c r="F2502" s="20"/>
      <c r="G2502" s="20"/>
      <c r="H2502" s="9"/>
      <c r="I2502" s="9"/>
    </row>
    <row r="2503" spans="2:9" s="10" customFormat="1" x14ac:dyDescent="0.4">
      <c r="B2503" s="15"/>
      <c r="C2503" s="19"/>
      <c r="D2503" s="20"/>
      <c r="E2503" s="20"/>
      <c r="F2503" s="20"/>
      <c r="G2503" s="20"/>
      <c r="H2503" s="9"/>
      <c r="I2503" s="9"/>
    </row>
    <row r="2504" spans="2:9" s="10" customFormat="1" x14ac:dyDescent="0.4">
      <c r="B2504" s="15"/>
      <c r="C2504" s="19"/>
      <c r="D2504" s="20"/>
      <c r="E2504" s="20"/>
      <c r="F2504" s="20"/>
      <c r="G2504" s="20"/>
      <c r="H2504" s="9"/>
      <c r="I2504" s="9"/>
    </row>
    <row r="2505" spans="2:9" s="10" customFormat="1" x14ac:dyDescent="0.4">
      <c r="B2505" s="15"/>
      <c r="C2505" s="19"/>
      <c r="D2505" s="20"/>
      <c r="E2505" s="20"/>
      <c r="F2505" s="20"/>
      <c r="G2505" s="20"/>
      <c r="H2505" s="9"/>
      <c r="I2505" s="9"/>
    </row>
    <row r="2506" spans="2:9" s="10" customFormat="1" x14ac:dyDescent="0.4">
      <c r="B2506" s="15"/>
      <c r="C2506" s="19"/>
      <c r="D2506" s="20"/>
      <c r="E2506" s="20"/>
      <c r="F2506" s="20"/>
      <c r="G2506" s="20"/>
      <c r="H2506" s="9"/>
      <c r="I2506" s="9"/>
    </row>
    <row r="2507" spans="2:9" s="10" customFormat="1" x14ac:dyDescent="0.4">
      <c r="B2507" s="15"/>
      <c r="C2507" s="19"/>
      <c r="D2507" s="20"/>
      <c r="E2507" s="20"/>
      <c r="F2507" s="20"/>
      <c r="G2507" s="20"/>
      <c r="H2507" s="9"/>
      <c r="I2507" s="9"/>
    </row>
    <row r="2508" spans="2:9" s="10" customFormat="1" x14ac:dyDescent="0.4">
      <c r="B2508" s="15"/>
      <c r="C2508" s="19"/>
      <c r="D2508" s="20"/>
      <c r="E2508" s="20"/>
      <c r="F2508" s="20"/>
      <c r="G2508" s="20"/>
      <c r="H2508" s="9"/>
      <c r="I2508" s="9"/>
    </row>
    <row r="2509" spans="2:9" s="10" customFormat="1" x14ac:dyDescent="0.4">
      <c r="B2509" s="15"/>
      <c r="C2509" s="19"/>
      <c r="D2509" s="20"/>
      <c r="E2509" s="20"/>
      <c r="F2509" s="20"/>
      <c r="G2509" s="20"/>
      <c r="H2509" s="9"/>
      <c r="I2509" s="9"/>
    </row>
    <row r="2510" spans="2:9" s="10" customFormat="1" x14ac:dyDescent="0.4">
      <c r="B2510" s="15"/>
      <c r="C2510" s="19"/>
      <c r="D2510" s="20"/>
      <c r="E2510" s="20"/>
      <c r="F2510" s="20"/>
      <c r="G2510" s="20"/>
      <c r="H2510" s="9"/>
      <c r="I2510" s="9"/>
    </row>
    <row r="2511" spans="2:9" s="10" customFormat="1" x14ac:dyDescent="0.4">
      <c r="B2511" s="15"/>
      <c r="C2511" s="19"/>
      <c r="D2511" s="20"/>
      <c r="E2511" s="20"/>
      <c r="F2511" s="20"/>
      <c r="G2511" s="20"/>
      <c r="H2511" s="9"/>
      <c r="I2511" s="9"/>
    </row>
    <row r="2512" spans="2:9" s="10" customFormat="1" x14ac:dyDescent="0.4">
      <c r="B2512" s="15"/>
      <c r="C2512" s="19"/>
      <c r="D2512" s="20"/>
      <c r="E2512" s="20"/>
      <c r="F2512" s="20"/>
      <c r="G2512" s="20"/>
      <c r="H2512" s="9"/>
      <c r="I2512" s="9"/>
    </row>
    <row r="2513" spans="2:9" s="10" customFormat="1" x14ac:dyDescent="0.4">
      <c r="B2513" s="15"/>
      <c r="C2513" s="19"/>
      <c r="D2513" s="20"/>
      <c r="E2513" s="20"/>
      <c r="F2513" s="20"/>
      <c r="G2513" s="20"/>
      <c r="H2513" s="9"/>
      <c r="I2513" s="9"/>
    </row>
    <row r="2514" spans="2:9" s="10" customFormat="1" x14ac:dyDescent="0.4">
      <c r="B2514" s="15"/>
      <c r="C2514" s="19"/>
      <c r="D2514" s="20"/>
      <c r="E2514" s="20"/>
      <c r="F2514" s="20"/>
      <c r="G2514" s="20"/>
      <c r="H2514" s="9"/>
      <c r="I2514" s="9"/>
    </row>
    <row r="2515" spans="2:9" s="10" customFormat="1" x14ac:dyDescent="0.4">
      <c r="B2515" s="15"/>
      <c r="C2515" s="19"/>
      <c r="D2515" s="20"/>
      <c r="E2515" s="20"/>
      <c r="F2515" s="20"/>
      <c r="G2515" s="20"/>
      <c r="H2515" s="9"/>
      <c r="I2515" s="9"/>
    </row>
    <row r="2516" spans="2:9" s="10" customFormat="1" x14ac:dyDescent="0.4">
      <c r="B2516" s="15"/>
      <c r="C2516" s="19"/>
      <c r="D2516" s="20"/>
      <c r="E2516" s="20"/>
      <c r="F2516" s="20"/>
      <c r="G2516" s="20"/>
      <c r="H2516" s="9"/>
      <c r="I2516" s="9"/>
    </row>
    <row r="2517" spans="2:9" s="10" customFormat="1" x14ac:dyDescent="0.4">
      <c r="B2517" s="15"/>
      <c r="C2517" s="19"/>
      <c r="D2517" s="20"/>
      <c r="E2517" s="20"/>
      <c r="F2517" s="20"/>
      <c r="G2517" s="20"/>
      <c r="H2517" s="9"/>
      <c r="I2517" s="9"/>
    </row>
    <row r="2518" spans="2:9" s="10" customFormat="1" x14ac:dyDescent="0.4">
      <c r="B2518" s="15"/>
      <c r="C2518" s="19"/>
      <c r="D2518" s="20"/>
      <c r="E2518" s="20"/>
      <c r="F2518" s="20"/>
      <c r="G2518" s="20"/>
      <c r="H2518" s="9"/>
      <c r="I2518" s="9"/>
    </row>
    <row r="2519" spans="2:9" s="10" customFormat="1" x14ac:dyDescent="0.4">
      <c r="B2519" s="15"/>
      <c r="C2519" s="19"/>
      <c r="D2519" s="20"/>
      <c r="E2519" s="20"/>
      <c r="F2519" s="20"/>
      <c r="G2519" s="20"/>
      <c r="H2519" s="9"/>
      <c r="I2519" s="9"/>
    </row>
    <row r="2520" spans="2:9" s="10" customFormat="1" x14ac:dyDescent="0.4">
      <c r="B2520" s="15"/>
      <c r="C2520" s="19"/>
      <c r="D2520" s="20"/>
      <c r="E2520" s="20"/>
      <c r="F2520" s="20"/>
      <c r="G2520" s="20"/>
      <c r="H2520" s="9"/>
      <c r="I2520" s="9"/>
    </row>
    <row r="2521" spans="2:9" s="10" customFormat="1" x14ac:dyDescent="0.4">
      <c r="B2521" s="15"/>
      <c r="C2521" s="19"/>
      <c r="D2521" s="20"/>
      <c r="E2521" s="20"/>
      <c r="F2521" s="20"/>
      <c r="G2521" s="20"/>
      <c r="H2521" s="9"/>
      <c r="I2521" s="9"/>
    </row>
    <row r="2522" spans="2:9" s="10" customFormat="1" x14ac:dyDescent="0.4">
      <c r="B2522" s="15"/>
      <c r="C2522" s="19"/>
      <c r="D2522" s="20"/>
      <c r="E2522" s="20"/>
      <c r="F2522" s="20"/>
      <c r="G2522" s="20"/>
      <c r="H2522" s="9"/>
      <c r="I2522" s="9"/>
    </row>
    <row r="2523" spans="2:9" s="10" customFormat="1" x14ac:dyDescent="0.4">
      <c r="B2523" s="15"/>
      <c r="C2523" s="19"/>
      <c r="D2523" s="20"/>
      <c r="E2523" s="20"/>
      <c r="F2523" s="20"/>
      <c r="G2523" s="20"/>
      <c r="H2523" s="9"/>
      <c r="I2523" s="9"/>
    </row>
    <row r="2524" spans="2:9" s="10" customFormat="1" x14ac:dyDescent="0.4">
      <c r="B2524" s="15"/>
      <c r="C2524" s="19"/>
      <c r="D2524" s="20"/>
      <c r="E2524" s="20"/>
      <c r="F2524" s="20"/>
      <c r="G2524" s="20"/>
      <c r="H2524" s="9"/>
      <c r="I2524" s="9"/>
    </row>
    <row r="2525" spans="2:9" s="10" customFormat="1" x14ac:dyDescent="0.4">
      <c r="B2525" s="15"/>
      <c r="C2525" s="19"/>
      <c r="D2525" s="20"/>
      <c r="E2525" s="20"/>
      <c r="F2525" s="20"/>
      <c r="G2525" s="20"/>
      <c r="H2525" s="9"/>
      <c r="I2525" s="9"/>
    </row>
    <row r="2526" spans="2:9" s="10" customFormat="1" x14ac:dyDescent="0.4">
      <c r="B2526" s="15"/>
      <c r="C2526" s="19"/>
      <c r="D2526" s="20"/>
      <c r="E2526" s="20"/>
      <c r="F2526" s="20"/>
      <c r="G2526" s="20"/>
      <c r="H2526" s="9"/>
      <c r="I2526" s="9"/>
    </row>
    <row r="2527" spans="2:9" s="10" customFormat="1" x14ac:dyDescent="0.4">
      <c r="B2527" s="15"/>
      <c r="C2527" s="19"/>
      <c r="D2527" s="20"/>
      <c r="E2527" s="20"/>
      <c r="F2527" s="20"/>
      <c r="G2527" s="20"/>
      <c r="H2527" s="9"/>
      <c r="I2527" s="9"/>
    </row>
    <row r="2528" spans="2:9" s="10" customFormat="1" x14ac:dyDescent="0.4">
      <c r="B2528" s="15"/>
      <c r="C2528" s="19"/>
      <c r="D2528" s="20"/>
      <c r="E2528" s="20"/>
      <c r="F2528" s="20"/>
      <c r="G2528" s="20"/>
      <c r="H2528" s="9"/>
      <c r="I2528" s="9"/>
    </row>
    <row r="2529" spans="2:9" s="10" customFormat="1" x14ac:dyDescent="0.4">
      <c r="B2529" s="15"/>
      <c r="C2529" s="19"/>
      <c r="D2529" s="20"/>
      <c r="E2529" s="20"/>
      <c r="F2529" s="20"/>
      <c r="G2529" s="20"/>
      <c r="H2529" s="9"/>
      <c r="I2529" s="9"/>
    </row>
    <row r="2530" spans="2:9" s="10" customFormat="1" x14ac:dyDescent="0.4">
      <c r="B2530" s="15"/>
      <c r="C2530" s="19"/>
      <c r="D2530" s="20"/>
      <c r="E2530" s="20"/>
      <c r="F2530" s="20"/>
      <c r="G2530" s="20"/>
      <c r="H2530" s="9"/>
      <c r="I2530" s="9"/>
    </row>
    <row r="2531" spans="2:9" s="10" customFormat="1" x14ac:dyDescent="0.4">
      <c r="B2531" s="15"/>
      <c r="C2531" s="19"/>
      <c r="D2531" s="20"/>
      <c r="E2531" s="20"/>
      <c r="F2531" s="20"/>
      <c r="G2531" s="20"/>
      <c r="H2531" s="9"/>
      <c r="I2531" s="9"/>
    </row>
    <row r="2532" spans="2:9" s="10" customFormat="1" x14ac:dyDescent="0.4">
      <c r="B2532" s="15"/>
      <c r="C2532" s="19"/>
      <c r="D2532" s="20"/>
      <c r="E2532" s="20"/>
      <c r="F2532" s="20"/>
      <c r="G2532" s="20"/>
      <c r="H2532" s="9"/>
      <c r="I2532" s="9"/>
    </row>
    <row r="2533" spans="2:9" s="10" customFormat="1" x14ac:dyDescent="0.4">
      <c r="B2533" s="15"/>
      <c r="C2533" s="19"/>
      <c r="D2533" s="20"/>
      <c r="E2533" s="20"/>
      <c r="F2533" s="20"/>
      <c r="G2533" s="20"/>
      <c r="H2533" s="9"/>
      <c r="I2533" s="9"/>
    </row>
    <row r="2534" spans="2:9" s="10" customFormat="1" x14ac:dyDescent="0.4">
      <c r="B2534" s="15"/>
      <c r="C2534" s="19"/>
      <c r="D2534" s="20"/>
      <c r="E2534" s="20"/>
      <c r="F2534" s="20"/>
      <c r="G2534" s="20"/>
      <c r="H2534" s="9"/>
      <c r="I2534" s="9"/>
    </row>
    <row r="2535" spans="2:9" s="10" customFormat="1" x14ac:dyDescent="0.4">
      <c r="B2535" s="15"/>
      <c r="C2535" s="19"/>
      <c r="D2535" s="20"/>
      <c r="E2535" s="20"/>
      <c r="F2535" s="20"/>
      <c r="G2535" s="20"/>
      <c r="H2535" s="9"/>
      <c r="I2535" s="9"/>
    </row>
    <row r="2536" spans="2:9" s="10" customFormat="1" x14ac:dyDescent="0.4">
      <c r="B2536" s="15"/>
      <c r="C2536" s="19"/>
      <c r="D2536" s="20"/>
      <c r="E2536" s="20"/>
      <c r="F2536" s="20"/>
      <c r="G2536" s="20"/>
      <c r="H2536" s="9"/>
      <c r="I2536" s="9"/>
    </row>
    <row r="2537" spans="2:9" s="10" customFormat="1" x14ac:dyDescent="0.4">
      <c r="B2537" s="15"/>
      <c r="C2537" s="19"/>
      <c r="D2537" s="20"/>
      <c r="E2537" s="20"/>
      <c r="F2537" s="20"/>
      <c r="G2537" s="20"/>
      <c r="H2537" s="9"/>
      <c r="I2537" s="9"/>
    </row>
    <row r="2538" spans="2:9" s="10" customFormat="1" x14ac:dyDescent="0.4">
      <c r="B2538" s="15"/>
      <c r="C2538" s="19"/>
      <c r="D2538" s="20"/>
      <c r="E2538" s="20"/>
      <c r="F2538" s="20"/>
      <c r="G2538" s="20"/>
      <c r="H2538" s="9"/>
      <c r="I2538" s="9"/>
    </row>
    <row r="2539" spans="2:9" s="10" customFormat="1" x14ac:dyDescent="0.4">
      <c r="B2539" s="15"/>
      <c r="C2539" s="19"/>
      <c r="D2539" s="20"/>
      <c r="E2539" s="20"/>
      <c r="F2539" s="20"/>
      <c r="G2539" s="20"/>
      <c r="H2539" s="9"/>
      <c r="I2539" s="9"/>
    </row>
    <row r="2540" spans="2:9" s="10" customFormat="1" x14ac:dyDescent="0.4">
      <c r="B2540" s="15"/>
      <c r="C2540" s="19"/>
      <c r="D2540" s="20"/>
      <c r="E2540" s="20"/>
      <c r="F2540" s="20"/>
      <c r="G2540" s="20"/>
      <c r="H2540" s="9"/>
      <c r="I2540" s="9"/>
    </row>
    <row r="2541" spans="2:9" s="10" customFormat="1" x14ac:dyDescent="0.4">
      <c r="B2541" s="15"/>
      <c r="C2541" s="19"/>
      <c r="D2541" s="20"/>
      <c r="E2541" s="20"/>
      <c r="F2541" s="20"/>
      <c r="G2541" s="20"/>
      <c r="H2541" s="9"/>
      <c r="I2541" s="9"/>
    </row>
    <row r="2542" spans="2:9" s="10" customFormat="1" x14ac:dyDescent="0.4">
      <c r="B2542" s="15"/>
      <c r="C2542" s="19"/>
      <c r="D2542" s="20"/>
      <c r="E2542" s="20"/>
      <c r="F2542" s="20"/>
      <c r="G2542" s="20"/>
      <c r="H2542" s="9"/>
      <c r="I2542" s="9"/>
    </row>
    <row r="2543" spans="2:9" s="10" customFormat="1" x14ac:dyDescent="0.4">
      <c r="B2543" s="15"/>
      <c r="C2543" s="19"/>
      <c r="D2543" s="20"/>
      <c r="E2543" s="20"/>
      <c r="F2543" s="20"/>
      <c r="G2543" s="20"/>
      <c r="H2543" s="9"/>
      <c r="I2543" s="9"/>
    </row>
    <row r="2544" spans="2:9" s="10" customFormat="1" x14ac:dyDescent="0.4">
      <c r="B2544" s="15"/>
      <c r="C2544" s="19"/>
      <c r="D2544" s="20"/>
      <c r="E2544" s="20"/>
      <c r="F2544" s="20"/>
      <c r="G2544" s="20"/>
      <c r="H2544" s="9"/>
      <c r="I2544" s="9"/>
    </row>
    <row r="2545" spans="2:9" s="10" customFormat="1" x14ac:dyDescent="0.4">
      <c r="B2545" s="15"/>
      <c r="C2545" s="19"/>
      <c r="D2545" s="20"/>
      <c r="E2545" s="20"/>
      <c r="F2545" s="20"/>
      <c r="G2545" s="20"/>
      <c r="H2545" s="9"/>
      <c r="I2545" s="9"/>
    </row>
    <row r="2546" spans="2:9" s="10" customFormat="1" x14ac:dyDescent="0.4">
      <c r="B2546" s="15"/>
      <c r="C2546" s="19"/>
      <c r="D2546" s="20"/>
      <c r="E2546" s="20"/>
      <c r="F2546" s="20"/>
      <c r="G2546" s="20"/>
      <c r="H2546" s="9"/>
      <c r="I2546" s="9"/>
    </row>
    <row r="2547" spans="2:9" s="10" customFormat="1" x14ac:dyDescent="0.4">
      <c r="B2547" s="15"/>
      <c r="C2547" s="19"/>
      <c r="D2547" s="20"/>
      <c r="E2547" s="20"/>
      <c r="F2547" s="20"/>
      <c r="G2547" s="20"/>
      <c r="H2547" s="9"/>
      <c r="I2547" s="9"/>
    </row>
    <row r="2548" spans="2:9" s="10" customFormat="1" x14ac:dyDescent="0.4">
      <c r="B2548" s="15"/>
      <c r="C2548" s="19"/>
      <c r="D2548" s="20"/>
      <c r="E2548" s="20"/>
      <c r="F2548" s="20"/>
      <c r="G2548" s="20"/>
      <c r="H2548" s="9"/>
      <c r="I2548" s="9"/>
    </row>
    <row r="2549" spans="2:9" s="10" customFormat="1" x14ac:dyDescent="0.4">
      <c r="B2549" s="15"/>
      <c r="C2549" s="19"/>
      <c r="D2549" s="20"/>
      <c r="E2549" s="20"/>
      <c r="F2549" s="20"/>
      <c r="G2549" s="20"/>
      <c r="H2549" s="9"/>
      <c r="I2549" s="9"/>
    </row>
    <row r="2550" spans="2:9" s="10" customFormat="1" x14ac:dyDescent="0.4">
      <c r="B2550" s="15"/>
      <c r="C2550" s="19"/>
      <c r="D2550" s="20"/>
      <c r="E2550" s="20"/>
      <c r="F2550" s="20"/>
      <c r="G2550" s="20"/>
      <c r="H2550" s="9"/>
      <c r="I2550" s="9"/>
    </row>
    <row r="2551" spans="2:9" s="10" customFormat="1" x14ac:dyDescent="0.4">
      <c r="B2551" s="15"/>
      <c r="C2551" s="19"/>
      <c r="D2551" s="20"/>
      <c r="E2551" s="20"/>
      <c r="F2551" s="20"/>
      <c r="G2551" s="20"/>
      <c r="H2551" s="9"/>
      <c r="I2551" s="9"/>
    </row>
    <row r="2552" spans="2:9" s="10" customFormat="1" x14ac:dyDescent="0.4">
      <c r="B2552" s="15"/>
      <c r="C2552" s="19"/>
      <c r="D2552" s="20"/>
      <c r="E2552" s="20"/>
      <c r="F2552" s="20"/>
      <c r="G2552" s="20"/>
      <c r="H2552" s="9"/>
      <c r="I2552" s="9"/>
    </row>
    <row r="2553" spans="2:9" s="10" customFormat="1" x14ac:dyDescent="0.4">
      <c r="B2553" s="15"/>
      <c r="C2553" s="19"/>
      <c r="D2553" s="20"/>
      <c r="E2553" s="20"/>
      <c r="F2553" s="20"/>
      <c r="G2553" s="20"/>
      <c r="H2553" s="9"/>
      <c r="I2553" s="9"/>
    </row>
    <row r="2554" spans="2:9" s="10" customFormat="1" x14ac:dyDescent="0.4">
      <c r="B2554" s="15"/>
      <c r="C2554" s="19"/>
      <c r="D2554" s="20"/>
      <c r="E2554" s="20"/>
      <c r="F2554" s="20"/>
      <c r="G2554" s="20"/>
      <c r="H2554" s="9"/>
      <c r="I2554" s="9"/>
    </row>
    <row r="2555" spans="2:9" s="10" customFormat="1" x14ac:dyDescent="0.4">
      <c r="B2555" s="15"/>
      <c r="C2555" s="19"/>
      <c r="D2555" s="20"/>
      <c r="E2555" s="20"/>
      <c r="F2555" s="20"/>
      <c r="G2555" s="20"/>
      <c r="H2555" s="9"/>
      <c r="I2555" s="9"/>
    </row>
    <row r="2556" spans="2:9" s="10" customFormat="1" x14ac:dyDescent="0.4">
      <c r="B2556" s="15"/>
      <c r="C2556" s="19"/>
      <c r="D2556" s="20"/>
      <c r="E2556" s="20"/>
      <c r="F2556" s="20"/>
      <c r="G2556" s="20"/>
      <c r="H2556" s="9"/>
      <c r="I2556" s="9"/>
    </row>
    <row r="2557" spans="2:9" s="10" customFormat="1" x14ac:dyDescent="0.4">
      <c r="B2557" s="15"/>
      <c r="C2557" s="19"/>
      <c r="D2557" s="20"/>
      <c r="E2557" s="20"/>
      <c r="F2557" s="20"/>
      <c r="G2557" s="20"/>
      <c r="H2557" s="9"/>
      <c r="I2557" s="9"/>
    </row>
    <row r="2558" spans="2:9" s="10" customFormat="1" x14ac:dyDescent="0.4">
      <c r="B2558" s="15"/>
      <c r="C2558" s="19"/>
      <c r="D2558" s="20"/>
      <c r="E2558" s="20"/>
      <c r="F2558" s="20"/>
      <c r="G2558" s="20"/>
      <c r="H2558" s="9"/>
      <c r="I2558" s="9"/>
    </row>
    <row r="2559" spans="2:9" s="10" customFormat="1" x14ac:dyDescent="0.4">
      <c r="B2559" s="15"/>
      <c r="C2559" s="19"/>
      <c r="D2559" s="20"/>
      <c r="E2559" s="20"/>
      <c r="F2559" s="20"/>
      <c r="G2559" s="20"/>
      <c r="H2559" s="9"/>
      <c r="I2559" s="9"/>
    </row>
    <row r="2560" spans="2:9" s="10" customFormat="1" x14ac:dyDescent="0.4">
      <c r="B2560" s="15"/>
      <c r="C2560" s="19"/>
      <c r="D2560" s="20"/>
      <c r="E2560" s="20"/>
      <c r="F2560" s="20"/>
      <c r="G2560" s="20"/>
      <c r="H2560" s="9"/>
      <c r="I2560" s="9"/>
    </row>
    <row r="2561" spans="2:9" s="10" customFormat="1" x14ac:dyDescent="0.4">
      <c r="B2561" s="15"/>
      <c r="C2561" s="19"/>
      <c r="D2561" s="20"/>
      <c r="E2561" s="20"/>
      <c r="F2561" s="20"/>
      <c r="G2561" s="20"/>
      <c r="H2561" s="9"/>
      <c r="I2561" s="9"/>
    </row>
    <row r="2562" spans="2:9" s="10" customFormat="1" x14ac:dyDescent="0.4">
      <c r="B2562" s="15"/>
      <c r="C2562" s="19"/>
      <c r="D2562" s="20"/>
      <c r="E2562" s="20"/>
      <c r="F2562" s="20"/>
      <c r="G2562" s="20"/>
      <c r="H2562" s="9"/>
      <c r="I2562" s="9"/>
    </row>
    <row r="2563" spans="2:9" s="10" customFormat="1" x14ac:dyDescent="0.4">
      <c r="B2563" s="15"/>
      <c r="C2563" s="19"/>
      <c r="D2563" s="20"/>
      <c r="E2563" s="20"/>
      <c r="F2563" s="20"/>
      <c r="G2563" s="20"/>
      <c r="H2563" s="9"/>
      <c r="I2563" s="9"/>
    </row>
    <row r="2564" spans="2:9" s="10" customFormat="1" x14ac:dyDescent="0.4">
      <c r="B2564" s="15"/>
      <c r="C2564" s="19"/>
      <c r="D2564" s="20"/>
      <c r="E2564" s="20"/>
      <c r="F2564" s="20"/>
      <c r="G2564" s="20"/>
      <c r="H2564" s="9"/>
      <c r="I2564" s="9"/>
    </row>
    <row r="2565" spans="2:9" s="10" customFormat="1" x14ac:dyDescent="0.4">
      <c r="B2565" s="15"/>
      <c r="C2565" s="19"/>
      <c r="D2565" s="20"/>
      <c r="E2565" s="20"/>
      <c r="F2565" s="20"/>
      <c r="G2565" s="20"/>
      <c r="H2565" s="9"/>
      <c r="I2565" s="9"/>
    </row>
    <row r="2566" spans="2:9" s="10" customFormat="1" x14ac:dyDescent="0.4">
      <c r="B2566" s="15"/>
      <c r="C2566" s="19"/>
      <c r="D2566" s="20"/>
      <c r="E2566" s="20"/>
      <c r="F2566" s="20"/>
      <c r="G2566" s="20"/>
      <c r="H2566" s="9"/>
      <c r="I2566" s="9"/>
    </row>
    <row r="2567" spans="2:9" s="10" customFormat="1" x14ac:dyDescent="0.4">
      <c r="B2567" s="15"/>
      <c r="C2567" s="19"/>
      <c r="D2567" s="20"/>
      <c r="E2567" s="20"/>
      <c r="F2567" s="20"/>
      <c r="G2567" s="20"/>
      <c r="H2567" s="9"/>
      <c r="I2567" s="9"/>
    </row>
    <row r="2568" spans="2:9" s="10" customFormat="1" x14ac:dyDescent="0.4">
      <c r="B2568" s="15"/>
      <c r="C2568" s="19"/>
      <c r="D2568" s="20"/>
      <c r="E2568" s="20"/>
      <c r="F2568" s="20"/>
      <c r="G2568" s="20"/>
      <c r="H2568" s="9"/>
      <c r="I2568" s="9"/>
    </row>
    <row r="2569" spans="2:9" s="10" customFormat="1" x14ac:dyDescent="0.4">
      <c r="B2569" s="15"/>
      <c r="C2569" s="19"/>
      <c r="D2569" s="20"/>
      <c r="E2569" s="20"/>
      <c r="F2569" s="20"/>
      <c r="G2569" s="20"/>
      <c r="H2569" s="9"/>
      <c r="I2569" s="9"/>
    </row>
    <row r="2570" spans="2:9" s="10" customFormat="1" x14ac:dyDescent="0.4">
      <c r="B2570" s="15"/>
      <c r="C2570" s="19"/>
      <c r="D2570" s="20"/>
      <c r="E2570" s="20"/>
      <c r="F2570" s="20"/>
      <c r="G2570" s="20"/>
      <c r="H2570" s="9"/>
      <c r="I2570" s="9"/>
    </row>
    <row r="2571" spans="2:9" s="10" customFormat="1" x14ac:dyDescent="0.4">
      <c r="B2571" s="15"/>
      <c r="C2571" s="19"/>
      <c r="D2571" s="20"/>
      <c r="E2571" s="20"/>
      <c r="F2571" s="20"/>
      <c r="G2571" s="20"/>
      <c r="H2571" s="9"/>
      <c r="I2571" s="9"/>
    </row>
    <row r="2572" spans="2:9" s="10" customFormat="1" x14ac:dyDescent="0.4">
      <c r="B2572" s="15"/>
      <c r="C2572" s="19"/>
      <c r="D2572" s="20"/>
      <c r="E2572" s="20"/>
      <c r="F2572" s="20"/>
      <c r="G2572" s="20"/>
      <c r="H2572" s="9"/>
      <c r="I2572" s="9"/>
    </row>
    <row r="2573" spans="2:9" s="10" customFormat="1" x14ac:dyDescent="0.4">
      <c r="B2573" s="15"/>
      <c r="C2573" s="19"/>
      <c r="D2573" s="20"/>
      <c r="E2573" s="20"/>
      <c r="F2573" s="20"/>
      <c r="G2573" s="20"/>
      <c r="H2573" s="9"/>
      <c r="I2573" s="9"/>
    </row>
    <row r="2574" spans="2:9" s="10" customFormat="1" x14ac:dyDescent="0.4">
      <c r="B2574" s="15"/>
      <c r="C2574" s="19"/>
      <c r="D2574" s="20"/>
      <c r="E2574" s="20"/>
      <c r="F2574" s="20"/>
      <c r="G2574" s="20"/>
      <c r="H2574" s="9"/>
      <c r="I2574" s="9"/>
    </row>
    <row r="2575" spans="2:9" s="10" customFormat="1" x14ac:dyDescent="0.4">
      <c r="B2575" s="15"/>
      <c r="C2575" s="19"/>
      <c r="D2575" s="20"/>
      <c r="E2575" s="20"/>
      <c r="F2575" s="20"/>
      <c r="G2575" s="20"/>
      <c r="H2575" s="9"/>
      <c r="I2575" s="9"/>
    </row>
    <row r="2576" spans="2:9" s="10" customFormat="1" x14ac:dyDescent="0.4">
      <c r="B2576" s="15"/>
      <c r="C2576" s="19"/>
      <c r="D2576" s="20"/>
      <c r="E2576" s="20"/>
      <c r="F2576" s="20"/>
      <c r="G2576" s="20"/>
      <c r="H2576" s="9"/>
      <c r="I2576" s="9"/>
    </row>
    <row r="2577" spans="2:9" s="10" customFormat="1" x14ac:dyDescent="0.4">
      <c r="B2577" s="15"/>
      <c r="C2577" s="19"/>
      <c r="D2577" s="20"/>
      <c r="E2577" s="20"/>
      <c r="F2577" s="20"/>
      <c r="G2577" s="20"/>
      <c r="H2577" s="9"/>
      <c r="I2577" s="9"/>
    </row>
    <row r="2578" spans="2:9" s="10" customFormat="1" x14ac:dyDescent="0.4">
      <c r="B2578" s="15"/>
      <c r="C2578" s="19"/>
      <c r="D2578" s="20"/>
      <c r="E2578" s="20"/>
      <c r="F2578" s="20"/>
      <c r="G2578" s="20"/>
      <c r="H2578" s="9"/>
      <c r="I2578" s="9"/>
    </row>
    <row r="2579" spans="2:9" s="10" customFormat="1" x14ac:dyDescent="0.4">
      <c r="B2579" s="15"/>
      <c r="C2579" s="19"/>
      <c r="D2579" s="20"/>
      <c r="E2579" s="20"/>
      <c r="F2579" s="20"/>
      <c r="G2579" s="20"/>
      <c r="H2579" s="9"/>
      <c r="I2579" s="9"/>
    </row>
    <row r="2580" spans="2:9" s="10" customFormat="1" x14ac:dyDescent="0.4">
      <c r="B2580" s="15"/>
      <c r="C2580" s="19"/>
      <c r="D2580" s="20"/>
      <c r="E2580" s="20"/>
      <c r="F2580" s="20"/>
      <c r="G2580" s="20"/>
      <c r="H2580" s="9"/>
      <c r="I2580" s="9"/>
    </row>
    <row r="2581" spans="2:9" s="10" customFormat="1" x14ac:dyDescent="0.4">
      <c r="B2581" s="15"/>
      <c r="C2581" s="19"/>
      <c r="D2581" s="20"/>
      <c r="E2581" s="20"/>
      <c r="F2581" s="20"/>
      <c r="G2581" s="20"/>
      <c r="H2581" s="9"/>
      <c r="I2581" s="9"/>
    </row>
    <row r="2582" spans="2:9" s="10" customFormat="1" x14ac:dyDescent="0.4">
      <c r="B2582" s="15"/>
      <c r="C2582" s="19"/>
      <c r="D2582" s="20"/>
      <c r="E2582" s="20"/>
      <c r="F2582" s="20"/>
      <c r="G2582" s="20"/>
      <c r="H2582" s="9"/>
      <c r="I2582" s="9"/>
    </row>
    <row r="2583" spans="2:9" s="10" customFormat="1" x14ac:dyDescent="0.4">
      <c r="B2583" s="15"/>
      <c r="C2583" s="19"/>
      <c r="D2583" s="20"/>
      <c r="E2583" s="20"/>
      <c r="F2583" s="20"/>
      <c r="G2583" s="20"/>
      <c r="H2583" s="9"/>
      <c r="I2583" s="9"/>
    </row>
    <row r="2584" spans="2:9" s="10" customFormat="1" x14ac:dyDescent="0.4">
      <c r="B2584" s="15"/>
      <c r="C2584" s="19"/>
      <c r="D2584" s="20"/>
      <c r="E2584" s="20"/>
      <c r="F2584" s="20"/>
      <c r="G2584" s="20"/>
      <c r="H2584" s="9"/>
      <c r="I2584" s="9"/>
    </row>
    <row r="2585" spans="2:9" s="10" customFormat="1" x14ac:dyDescent="0.4">
      <c r="B2585" s="15"/>
      <c r="C2585" s="19"/>
      <c r="D2585" s="20"/>
      <c r="E2585" s="20"/>
      <c r="F2585" s="20"/>
      <c r="G2585" s="20"/>
      <c r="H2585" s="9"/>
      <c r="I2585" s="9"/>
    </row>
    <row r="2586" spans="2:9" s="10" customFormat="1" x14ac:dyDescent="0.4">
      <c r="B2586" s="15"/>
      <c r="C2586" s="19"/>
      <c r="D2586" s="20"/>
      <c r="E2586" s="20"/>
      <c r="F2586" s="20"/>
      <c r="G2586" s="20"/>
      <c r="H2586" s="9"/>
      <c r="I2586" s="9"/>
    </row>
    <row r="2587" spans="2:9" s="10" customFormat="1" x14ac:dyDescent="0.4">
      <c r="B2587" s="15"/>
      <c r="C2587" s="19"/>
      <c r="D2587" s="20"/>
      <c r="E2587" s="20"/>
      <c r="F2587" s="20"/>
      <c r="G2587" s="20"/>
      <c r="H2587" s="9"/>
      <c r="I2587" s="9"/>
    </row>
    <row r="2588" spans="2:9" s="10" customFormat="1" x14ac:dyDescent="0.4">
      <c r="B2588" s="15"/>
      <c r="C2588" s="19"/>
      <c r="D2588" s="20"/>
      <c r="E2588" s="20"/>
      <c r="F2588" s="20"/>
      <c r="G2588" s="20"/>
      <c r="H2588" s="9"/>
      <c r="I2588" s="9"/>
    </row>
    <row r="2589" spans="2:9" s="10" customFormat="1" x14ac:dyDescent="0.4">
      <c r="B2589" s="15"/>
      <c r="C2589" s="19"/>
      <c r="D2589" s="20"/>
      <c r="E2589" s="20"/>
      <c r="F2589" s="20"/>
      <c r="G2589" s="20"/>
      <c r="H2589" s="9"/>
      <c r="I2589" s="9"/>
    </row>
    <row r="2590" spans="2:9" s="10" customFormat="1" x14ac:dyDescent="0.4">
      <c r="B2590" s="15"/>
      <c r="C2590" s="19"/>
      <c r="D2590" s="20"/>
      <c r="E2590" s="20"/>
      <c r="F2590" s="20"/>
      <c r="G2590" s="20"/>
      <c r="H2590" s="9"/>
      <c r="I2590" s="9"/>
    </row>
    <row r="2591" spans="2:9" s="10" customFormat="1" x14ac:dyDescent="0.4">
      <c r="B2591" s="15"/>
      <c r="C2591" s="19"/>
      <c r="D2591" s="20"/>
      <c r="E2591" s="20"/>
      <c r="F2591" s="20"/>
      <c r="G2591" s="20"/>
      <c r="H2591" s="9"/>
      <c r="I2591" s="9"/>
    </row>
    <row r="2592" spans="2:9" s="10" customFormat="1" x14ac:dyDescent="0.4">
      <c r="B2592" s="15"/>
      <c r="C2592" s="19"/>
      <c r="D2592" s="20"/>
      <c r="E2592" s="20"/>
      <c r="F2592" s="20"/>
      <c r="G2592" s="20"/>
      <c r="H2592" s="9"/>
      <c r="I2592" s="9"/>
    </row>
    <row r="2593" spans="2:9" s="10" customFormat="1" x14ac:dyDescent="0.4">
      <c r="B2593" s="15"/>
      <c r="C2593" s="19"/>
      <c r="D2593" s="20"/>
      <c r="E2593" s="20"/>
      <c r="F2593" s="20"/>
      <c r="G2593" s="20"/>
      <c r="H2593" s="9"/>
      <c r="I2593" s="9"/>
    </row>
    <row r="2594" spans="2:9" s="10" customFormat="1" x14ac:dyDescent="0.4">
      <c r="B2594" s="15"/>
      <c r="C2594" s="19"/>
      <c r="D2594" s="20"/>
      <c r="E2594" s="20"/>
      <c r="F2594" s="20"/>
      <c r="G2594" s="20"/>
      <c r="H2594" s="9"/>
      <c r="I2594" s="9"/>
    </row>
    <row r="2595" spans="2:9" s="10" customFormat="1" x14ac:dyDescent="0.4">
      <c r="B2595" s="15"/>
      <c r="C2595" s="19"/>
      <c r="D2595" s="20"/>
      <c r="E2595" s="20"/>
      <c r="F2595" s="20"/>
      <c r="G2595" s="20"/>
      <c r="H2595" s="9"/>
      <c r="I2595" s="9"/>
    </row>
    <row r="2596" spans="2:9" s="10" customFormat="1" x14ac:dyDescent="0.4">
      <c r="B2596" s="15"/>
      <c r="C2596" s="19"/>
      <c r="D2596" s="20"/>
      <c r="E2596" s="20"/>
      <c r="F2596" s="20"/>
      <c r="G2596" s="20"/>
      <c r="H2596" s="9"/>
      <c r="I2596" s="9"/>
    </row>
    <row r="2597" spans="2:9" s="10" customFormat="1" x14ac:dyDescent="0.4">
      <c r="B2597" s="15"/>
      <c r="C2597" s="19"/>
      <c r="D2597" s="20"/>
      <c r="E2597" s="20"/>
      <c r="F2597" s="20"/>
      <c r="G2597" s="20"/>
      <c r="H2597" s="9"/>
      <c r="I2597" s="9"/>
    </row>
    <row r="2598" spans="2:9" s="10" customFormat="1" x14ac:dyDescent="0.4">
      <c r="B2598" s="15"/>
      <c r="C2598" s="19"/>
      <c r="D2598" s="20"/>
      <c r="E2598" s="20"/>
      <c r="F2598" s="20"/>
      <c r="G2598" s="20"/>
      <c r="H2598" s="9"/>
      <c r="I2598" s="9"/>
    </row>
    <row r="2599" spans="2:9" s="10" customFormat="1" x14ac:dyDescent="0.4">
      <c r="B2599" s="15"/>
      <c r="C2599" s="19"/>
      <c r="D2599" s="20"/>
      <c r="E2599" s="20"/>
      <c r="F2599" s="20"/>
      <c r="G2599" s="20"/>
      <c r="H2599" s="9"/>
      <c r="I2599" s="9"/>
    </row>
    <row r="2600" spans="2:9" s="10" customFormat="1" x14ac:dyDescent="0.4">
      <c r="B2600" s="15"/>
      <c r="C2600" s="19"/>
      <c r="D2600" s="20"/>
      <c r="E2600" s="20"/>
      <c r="F2600" s="20"/>
      <c r="G2600" s="20"/>
      <c r="H2600" s="9"/>
      <c r="I2600" s="9"/>
    </row>
    <row r="2601" spans="2:9" s="10" customFormat="1" x14ac:dyDescent="0.4">
      <c r="B2601" s="15"/>
      <c r="C2601" s="19"/>
      <c r="D2601" s="20"/>
      <c r="E2601" s="20"/>
      <c r="F2601" s="20"/>
      <c r="G2601" s="20"/>
      <c r="H2601" s="9"/>
      <c r="I2601" s="9"/>
    </row>
    <row r="2602" spans="2:9" s="10" customFormat="1" x14ac:dyDescent="0.4">
      <c r="B2602" s="15"/>
      <c r="C2602" s="19"/>
      <c r="D2602" s="20"/>
      <c r="E2602" s="20"/>
      <c r="F2602" s="20"/>
      <c r="G2602" s="20"/>
      <c r="H2602" s="9"/>
      <c r="I2602" s="9"/>
    </row>
    <row r="2603" spans="2:9" s="10" customFormat="1" x14ac:dyDescent="0.4">
      <c r="B2603" s="15"/>
      <c r="C2603" s="19"/>
      <c r="D2603" s="20"/>
      <c r="E2603" s="20"/>
      <c r="F2603" s="20"/>
      <c r="G2603" s="20"/>
      <c r="H2603" s="9"/>
      <c r="I2603" s="9"/>
    </row>
    <row r="2604" spans="2:9" s="10" customFormat="1" x14ac:dyDescent="0.4">
      <c r="B2604" s="15"/>
      <c r="C2604" s="19"/>
      <c r="D2604" s="20"/>
      <c r="E2604" s="20"/>
      <c r="F2604" s="20"/>
      <c r="G2604" s="20"/>
      <c r="H2604" s="9"/>
      <c r="I2604" s="9"/>
    </row>
    <row r="2605" spans="2:9" s="10" customFormat="1" x14ac:dyDescent="0.4">
      <c r="B2605" s="15"/>
      <c r="C2605" s="19"/>
      <c r="D2605" s="20"/>
      <c r="E2605" s="20"/>
      <c r="F2605" s="20"/>
      <c r="G2605" s="20"/>
      <c r="H2605" s="9"/>
      <c r="I2605" s="9"/>
    </row>
    <row r="2606" spans="2:9" s="10" customFormat="1" x14ac:dyDescent="0.4">
      <c r="B2606" s="15"/>
      <c r="C2606" s="19"/>
      <c r="D2606" s="20"/>
      <c r="E2606" s="20"/>
      <c r="F2606" s="20"/>
      <c r="G2606" s="20"/>
      <c r="H2606" s="9"/>
      <c r="I2606" s="9"/>
    </row>
    <row r="2607" spans="2:9" s="10" customFormat="1" x14ac:dyDescent="0.4">
      <c r="B2607" s="15"/>
      <c r="C2607" s="19"/>
      <c r="D2607" s="20"/>
      <c r="E2607" s="20"/>
      <c r="F2607" s="20"/>
      <c r="G2607" s="20"/>
      <c r="H2607" s="9"/>
      <c r="I2607" s="9"/>
    </row>
    <row r="2608" spans="2:9" s="10" customFormat="1" x14ac:dyDescent="0.4">
      <c r="B2608" s="15"/>
      <c r="C2608" s="19"/>
      <c r="D2608" s="20"/>
      <c r="E2608" s="20"/>
      <c r="F2608" s="20"/>
      <c r="G2608" s="20"/>
      <c r="H2608" s="9"/>
      <c r="I2608" s="9"/>
    </row>
    <row r="2609" spans="2:9" s="10" customFormat="1" x14ac:dyDescent="0.4">
      <c r="B2609" s="15"/>
      <c r="C2609" s="19"/>
      <c r="D2609" s="20"/>
      <c r="E2609" s="20"/>
      <c r="F2609" s="20"/>
      <c r="G2609" s="20"/>
      <c r="H2609" s="9"/>
      <c r="I2609" s="9"/>
    </row>
    <row r="2610" spans="2:9" s="10" customFormat="1" x14ac:dyDescent="0.4">
      <c r="B2610" s="15"/>
      <c r="C2610" s="19"/>
      <c r="D2610" s="20"/>
      <c r="E2610" s="20"/>
      <c r="F2610" s="20"/>
      <c r="G2610" s="20"/>
      <c r="H2610" s="9"/>
      <c r="I2610" s="9"/>
    </row>
    <row r="2611" spans="2:9" s="10" customFormat="1" x14ac:dyDescent="0.4">
      <c r="B2611" s="15"/>
      <c r="C2611" s="19"/>
      <c r="D2611" s="20"/>
      <c r="E2611" s="20"/>
      <c r="F2611" s="20"/>
      <c r="G2611" s="20"/>
      <c r="H2611" s="9"/>
      <c r="I2611" s="9"/>
    </row>
    <row r="2612" spans="2:9" s="10" customFormat="1" x14ac:dyDescent="0.4">
      <c r="B2612" s="15"/>
      <c r="C2612" s="19"/>
      <c r="D2612" s="20"/>
      <c r="E2612" s="20"/>
      <c r="F2612" s="20"/>
      <c r="G2612" s="20"/>
      <c r="H2612" s="9"/>
      <c r="I2612" s="9"/>
    </row>
    <row r="2613" spans="2:9" s="10" customFormat="1" x14ac:dyDescent="0.4">
      <c r="B2613" s="15"/>
      <c r="C2613" s="19"/>
      <c r="D2613" s="20"/>
      <c r="E2613" s="20"/>
      <c r="F2613" s="20"/>
      <c r="G2613" s="20"/>
      <c r="H2613" s="9"/>
      <c r="I2613" s="9"/>
    </row>
    <row r="2614" spans="2:9" s="10" customFormat="1" x14ac:dyDescent="0.4">
      <c r="B2614" s="15"/>
      <c r="C2614" s="19"/>
      <c r="D2614" s="20"/>
      <c r="E2614" s="20"/>
      <c r="F2614" s="20"/>
      <c r="G2614" s="20"/>
      <c r="H2614" s="9"/>
      <c r="I2614" s="9"/>
    </row>
    <row r="2615" spans="2:9" s="10" customFormat="1" x14ac:dyDescent="0.4">
      <c r="B2615" s="15"/>
      <c r="C2615" s="19"/>
      <c r="D2615" s="20"/>
      <c r="E2615" s="20"/>
      <c r="F2615" s="20"/>
      <c r="G2615" s="20"/>
      <c r="H2615" s="9"/>
      <c r="I2615" s="9"/>
    </row>
    <row r="2616" spans="2:9" s="10" customFormat="1" x14ac:dyDescent="0.4">
      <c r="B2616" s="15"/>
      <c r="C2616" s="19"/>
      <c r="D2616" s="20"/>
      <c r="E2616" s="20"/>
      <c r="F2616" s="20"/>
      <c r="G2616" s="20"/>
      <c r="H2616" s="9"/>
      <c r="I2616" s="9"/>
    </row>
    <row r="2617" spans="2:9" s="10" customFormat="1" x14ac:dyDescent="0.4">
      <c r="B2617" s="15"/>
      <c r="C2617" s="19"/>
      <c r="D2617" s="20"/>
      <c r="E2617" s="20"/>
      <c r="F2617" s="20"/>
      <c r="G2617" s="20"/>
      <c r="H2617" s="9"/>
      <c r="I2617" s="9"/>
    </row>
    <row r="2618" spans="2:9" s="10" customFormat="1" x14ac:dyDescent="0.4">
      <c r="B2618" s="15"/>
      <c r="C2618" s="19"/>
      <c r="D2618" s="20"/>
      <c r="E2618" s="20"/>
      <c r="F2618" s="20"/>
      <c r="G2618" s="20"/>
      <c r="H2618" s="9"/>
      <c r="I2618" s="9"/>
    </row>
    <row r="2619" spans="2:9" s="10" customFormat="1" x14ac:dyDescent="0.4">
      <c r="B2619" s="15"/>
      <c r="C2619" s="19"/>
      <c r="D2619" s="20"/>
      <c r="E2619" s="20"/>
      <c r="F2619" s="20"/>
      <c r="G2619" s="20"/>
      <c r="H2619" s="9"/>
      <c r="I2619" s="9"/>
    </row>
    <row r="2620" spans="2:9" s="10" customFormat="1" x14ac:dyDescent="0.4">
      <c r="B2620" s="15"/>
      <c r="C2620" s="19"/>
      <c r="D2620" s="20"/>
      <c r="E2620" s="20"/>
      <c r="F2620" s="20"/>
      <c r="G2620" s="20"/>
      <c r="H2620" s="9"/>
      <c r="I2620" s="9"/>
    </row>
    <row r="2621" spans="2:9" s="10" customFormat="1" x14ac:dyDescent="0.4">
      <c r="B2621" s="15"/>
      <c r="C2621" s="19"/>
      <c r="D2621" s="20"/>
      <c r="E2621" s="20"/>
      <c r="F2621" s="20"/>
      <c r="G2621" s="20"/>
      <c r="H2621" s="9"/>
      <c r="I2621" s="9"/>
    </row>
    <row r="2622" spans="2:9" s="10" customFormat="1" x14ac:dyDescent="0.4">
      <c r="B2622" s="15"/>
      <c r="C2622" s="19"/>
      <c r="D2622" s="20"/>
      <c r="E2622" s="20"/>
      <c r="F2622" s="20"/>
      <c r="G2622" s="20"/>
      <c r="H2622" s="9"/>
      <c r="I2622" s="9"/>
    </row>
    <row r="2623" spans="2:9" s="10" customFormat="1" x14ac:dyDescent="0.4">
      <c r="B2623" s="15"/>
      <c r="C2623" s="19"/>
      <c r="D2623" s="20"/>
      <c r="E2623" s="20"/>
      <c r="F2623" s="20"/>
      <c r="G2623" s="20"/>
      <c r="H2623" s="9"/>
      <c r="I2623" s="9"/>
    </row>
    <row r="2624" spans="2:9" s="10" customFormat="1" x14ac:dyDescent="0.4">
      <c r="B2624" s="15"/>
      <c r="C2624" s="19"/>
      <c r="D2624" s="20"/>
      <c r="E2624" s="20"/>
      <c r="F2624" s="20"/>
      <c r="G2624" s="20"/>
      <c r="H2624" s="9"/>
      <c r="I2624" s="9"/>
    </row>
    <row r="2625" spans="2:9" s="10" customFormat="1" x14ac:dyDescent="0.4">
      <c r="B2625" s="15"/>
      <c r="C2625" s="19"/>
      <c r="D2625" s="20"/>
      <c r="E2625" s="20"/>
      <c r="F2625" s="20"/>
      <c r="G2625" s="20"/>
      <c r="H2625" s="9"/>
      <c r="I2625" s="9"/>
    </row>
    <row r="2626" spans="2:9" s="10" customFormat="1" x14ac:dyDescent="0.4">
      <c r="B2626" s="15"/>
      <c r="C2626" s="19"/>
      <c r="D2626" s="20"/>
      <c r="E2626" s="20"/>
      <c r="F2626" s="20"/>
      <c r="G2626" s="20"/>
      <c r="H2626" s="9"/>
      <c r="I2626" s="9"/>
    </row>
    <row r="2627" spans="2:9" s="10" customFormat="1" x14ac:dyDescent="0.4">
      <c r="B2627" s="15"/>
      <c r="C2627" s="19"/>
      <c r="D2627" s="20"/>
      <c r="E2627" s="20"/>
      <c r="F2627" s="20"/>
      <c r="G2627" s="20"/>
      <c r="H2627" s="9"/>
      <c r="I2627" s="9"/>
    </row>
    <row r="2628" spans="2:9" s="10" customFormat="1" x14ac:dyDescent="0.4">
      <c r="B2628" s="15"/>
      <c r="C2628" s="19"/>
      <c r="D2628" s="20"/>
      <c r="E2628" s="20"/>
      <c r="F2628" s="20"/>
      <c r="G2628" s="20"/>
      <c r="H2628" s="9"/>
      <c r="I2628" s="9"/>
    </row>
    <row r="2629" spans="2:9" s="10" customFormat="1" x14ac:dyDescent="0.4">
      <c r="B2629" s="15"/>
      <c r="C2629" s="19"/>
      <c r="D2629" s="20"/>
      <c r="E2629" s="20"/>
      <c r="F2629" s="20"/>
      <c r="G2629" s="20"/>
      <c r="H2629" s="9"/>
      <c r="I2629" s="9"/>
    </row>
    <row r="2630" spans="2:9" s="10" customFormat="1" x14ac:dyDescent="0.4">
      <c r="B2630" s="15"/>
      <c r="C2630" s="19"/>
      <c r="D2630" s="20"/>
      <c r="E2630" s="20"/>
      <c r="F2630" s="20"/>
      <c r="G2630" s="20"/>
      <c r="H2630" s="9"/>
      <c r="I2630" s="9"/>
    </row>
    <row r="2631" spans="2:9" s="10" customFormat="1" x14ac:dyDescent="0.4">
      <c r="B2631" s="15"/>
      <c r="C2631" s="19"/>
      <c r="D2631" s="20"/>
      <c r="E2631" s="20"/>
      <c r="F2631" s="20"/>
      <c r="G2631" s="20"/>
      <c r="H2631" s="9"/>
      <c r="I2631" s="9"/>
    </row>
    <row r="2632" spans="2:9" s="10" customFormat="1" x14ac:dyDescent="0.4">
      <c r="B2632" s="15"/>
      <c r="C2632" s="19"/>
      <c r="D2632" s="20"/>
      <c r="E2632" s="20"/>
      <c r="F2632" s="20"/>
      <c r="G2632" s="20"/>
      <c r="H2632" s="9"/>
      <c r="I2632" s="9"/>
    </row>
    <row r="2633" spans="2:9" s="10" customFormat="1" x14ac:dyDescent="0.4">
      <c r="B2633" s="15"/>
      <c r="C2633" s="19"/>
      <c r="D2633" s="20"/>
      <c r="E2633" s="20"/>
      <c r="F2633" s="20"/>
      <c r="G2633" s="20"/>
      <c r="H2633" s="9"/>
      <c r="I2633" s="9"/>
    </row>
    <row r="2634" spans="2:9" s="10" customFormat="1" x14ac:dyDescent="0.4">
      <c r="B2634" s="15"/>
      <c r="C2634" s="19"/>
      <c r="D2634" s="20"/>
      <c r="E2634" s="20"/>
      <c r="F2634" s="20"/>
      <c r="G2634" s="20"/>
      <c r="H2634" s="9"/>
      <c r="I2634" s="9"/>
    </row>
    <row r="2635" spans="2:9" s="10" customFormat="1" x14ac:dyDescent="0.4">
      <c r="B2635" s="15"/>
      <c r="C2635" s="19"/>
      <c r="D2635" s="20"/>
      <c r="E2635" s="20"/>
      <c r="F2635" s="20"/>
      <c r="G2635" s="20"/>
      <c r="H2635" s="9"/>
      <c r="I2635" s="9"/>
    </row>
    <row r="2636" spans="2:9" s="10" customFormat="1" x14ac:dyDescent="0.4">
      <c r="B2636" s="15"/>
      <c r="C2636" s="19"/>
      <c r="D2636" s="20"/>
      <c r="E2636" s="20"/>
      <c r="F2636" s="20"/>
      <c r="G2636" s="20"/>
      <c r="H2636" s="9"/>
      <c r="I2636" s="9"/>
    </row>
    <row r="2637" spans="2:9" s="10" customFormat="1" x14ac:dyDescent="0.4">
      <c r="B2637" s="15"/>
      <c r="C2637" s="19"/>
      <c r="D2637" s="20"/>
      <c r="E2637" s="20"/>
      <c r="F2637" s="20"/>
      <c r="G2637" s="20"/>
      <c r="H2637" s="9"/>
      <c r="I2637" s="9"/>
    </row>
    <row r="2638" spans="2:9" s="10" customFormat="1" x14ac:dyDescent="0.4">
      <c r="B2638" s="15"/>
      <c r="C2638" s="19"/>
      <c r="D2638" s="20"/>
      <c r="E2638" s="20"/>
      <c r="F2638" s="20"/>
      <c r="G2638" s="20"/>
      <c r="H2638" s="9"/>
      <c r="I2638" s="9"/>
    </row>
    <row r="2639" spans="2:9" s="10" customFormat="1" x14ac:dyDescent="0.4">
      <c r="B2639" s="15"/>
      <c r="C2639" s="19"/>
      <c r="D2639" s="20"/>
      <c r="E2639" s="20"/>
      <c r="F2639" s="20"/>
      <c r="G2639" s="20"/>
      <c r="H2639" s="9"/>
      <c r="I2639" s="9"/>
    </row>
    <row r="2640" spans="2:9" s="10" customFormat="1" x14ac:dyDescent="0.4">
      <c r="B2640" s="15"/>
      <c r="C2640" s="19"/>
      <c r="D2640" s="20"/>
      <c r="E2640" s="20"/>
      <c r="F2640" s="20"/>
      <c r="G2640" s="20"/>
      <c r="H2640" s="9"/>
      <c r="I2640" s="9"/>
    </row>
    <row r="2641" spans="2:9" s="10" customFormat="1" x14ac:dyDescent="0.4">
      <c r="B2641" s="15"/>
      <c r="C2641" s="19"/>
      <c r="D2641" s="20"/>
      <c r="E2641" s="20"/>
      <c r="F2641" s="20"/>
      <c r="G2641" s="20"/>
      <c r="H2641" s="9"/>
      <c r="I2641" s="9"/>
    </row>
    <row r="2642" spans="2:9" s="10" customFormat="1" x14ac:dyDescent="0.4">
      <c r="B2642" s="15"/>
      <c r="C2642" s="19"/>
      <c r="D2642" s="20"/>
      <c r="E2642" s="20"/>
      <c r="F2642" s="20"/>
      <c r="G2642" s="20"/>
      <c r="H2642" s="9"/>
      <c r="I2642" s="9"/>
    </row>
    <row r="2643" spans="2:9" s="10" customFormat="1" x14ac:dyDescent="0.4">
      <c r="B2643" s="15"/>
      <c r="C2643" s="19"/>
      <c r="D2643" s="20"/>
      <c r="E2643" s="20"/>
      <c r="F2643" s="20"/>
      <c r="G2643" s="20"/>
      <c r="H2643" s="9"/>
      <c r="I2643" s="9"/>
    </row>
    <row r="2644" spans="2:9" s="10" customFormat="1" x14ac:dyDescent="0.4">
      <c r="B2644" s="15"/>
      <c r="C2644" s="19"/>
      <c r="D2644" s="20"/>
      <c r="E2644" s="20"/>
      <c r="F2644" s="20"/>
      <c r="G2644" s="20"/>
      <c r="H2644" s="9"/>
      <c r="I2644" s="9"/>
    </row>
    <row r="2645" spans="2:9" s="10" customFormat="1" x14ac:dyDescent="0.4">
      <c r="B2645" s="15"/>
      <c r="C2645" s="19"/>
      <c r="D2645" s="20"/>
      <c r="E2645" s="20"/>
      <c r="F2645" s="20"/>
      <c r="G2645" s="20"/>
      <c r="H2645" s="9"/>
      <c r="I2645" s="9"/>
    </row>
    <row r="2646" spans="2:9" s="10" customFormat="1" x14ac:dyDescent="0.4">
      <c r="B2646" s="15"/>
      <c r="C2646" s="19"/>
      <c r="D2646" s="20"/>
      <c r="E2646" s="20"/>
      <c r="F2646" s="20"/>
      <c r="G2646" s="20"/>
      <c r="H2646" s="9"/>
      <c r="I2646" s="9"/>
    </row>
    <row r="2647" spans="2:9" s="10" customFormat="1" x14ac:dyDescent="0.4">
      <c r="B2647" s="15"/>
      <c r="C2647" s="19"/>
      <c r="D2647" s="20"/>
      <c r="E2647" s="20"/>
      <c r="F2647" s="20"/>
      <c r="G2647" s="20"/>
      <c r="H2647" s="9"/>
      <c r="I2647" s="9"/>
    </row>
    <row r="2648" spans="2:9" s="10" customFormat="1" x14ac:dyDescent="0.4">
      <c r="B2648" s="15"/>
      <c r="C2648" s="19"/>
      <c r="D2648" s="20"/>
      <c r="E2648" s="20"/>
      <c r="F2648" s="20"/>
      <c r="G2648" s="20"/>
      <c r="H2648" s="9"/>
      <c r="I2648" s="9"/>
    </row>
    <row r="2649" spans="2:9" s="10" customFormat="1" x14ac:dyDescent="0.4">
      <c r="B2649" s="15"/>
      <c r="C2649" s="19"/>
      <c r="D2649" s="20"/>
      <c r="E2649" s="20"/>
      <c r="F2649" s="20"/>
      <c r="G2649" s="20"/>
      <c r="H2649" s="9"/>
      <c r="I2649" s="9"/>
    </row>
    <row r="2650" spans="2:9" s="10" customFormat="1" x14ac:dyDescent="0.4">
      <c r="B2650" s="15"/>
      <c r="C2650" s="19"/>
      <c r="D2650" s="20"/>
      <c r="E2650" s="20"/>
      <c r="F2650" s="20"/>
      <c r="G2650" s="20"/>
      <c r="H2650" s="9"/>
      <c r="I2650" s="9"/>
    </row>
    <row r="2651" spans="2:9" s="10" customFormat="1" x14ac:dyDescent="0.4">
      <c r="B2651" s="15"/>
      <c r="C2651" s="19"/>
      <c r="D2651" s="20"/>
      <c r="E2651" s="20"/>
      <c r="F2651" s="20"/>
      <c r="G2651" s="20"/>
      <c r="H2651" s="9"/>
      <c r="I2651" s="9"/>
    </row>
    <row r="2652" spans="2:9" s="10" customFormat="1" x14ac:dyDescent="0.4">
      <c r="B2652" s="15"/>
      <c r="C2652" s="19"/>
      <c r="D2652" s="20"/>
      <c r="E2652" s="20"/>
      <c r="F2652" s="20"/>
      <c r="G2652" s="20"/>
      <c r="H2652" s="9"/>
      <c r="I2652" s="9"/>
    </row>
    <row r="2653" spans="2:9" s="10" customFormat="1" x14ac:dyDescent="0.4">
      <c r="B2653" s="15"/>
      <c r="C2653" s="19"/>
      <c r="D2653" s="20"/>
      <c r="E2653" s="20"/>
      <c r="F2653" s="20"/>
      <c r="G2653" s="20"/>
      <c r="H2653" s="9"/>
      <c r="I2653" s="9"/>
    </row>
    <row r="2654" spans="2:9" s="10" customFormat="1" x14ac:dyDescent="0.4">
      <c r="B2654" s="15"/>
      <c r="C2654" s="19"/>
      <c r="D2654" s="20"/>
      <c r="E2654" s="20"/>
      <c r="F2654" s="20"/>
      <c r="G2654" s="20"/>
      <c r="H2654" s="9"/>
      <c r="I2654" s="9"/>
    </row>
    <row r="2655" spans="2:9" s="10" customFormat="1" x14ac:dyDescent="0.4">
      <c r="B2655" s="15"/>
      <c r="C2655" s="19"/>
      <c r="D2655" s="20"/>
      <c r="E2655" s="20"/>
      <c r="F2655" s="20"/>
      <c r="G2655" s="20"/>
      <c r="H2655" s="9"/>
      <c r="I2655" s="9"/>
    </row>
    <row r="2656" spans="2:9" s="10" customFormat="1" x14ac:dyDescent="0.4">
      <c r="B2656" s="15"/>
      <c r="C2656" s="19"/>
      <c r="D2656" s="20"/>
      <c r="E2656" s="20"/>
      <c r="F2656" s="20"/>
      <c r="G2656" s="20"/>
      <c r="H2656" s="9"/>
      <c r="I2656" s="9"/>
    </row>
    <row r="2657" spans="2:9" s="10" customFormat="1" x14ac:dyDescent="0.4">
      <c r="B2657" s="15"/>
      <c r="C2657" s="19"/>
      <c r="D2657" s="20"/>
      <c r="E2657" s="20"/>
      <c r="F2657" s="20"/>
      <c r="G2657" s="20"/>
      <c r="H2657" s="9"/>
      <c r="I2657" s="9"/>
    </row>
    <row r="2658" spans="2:9" s="10" customFormat="1" x14ac:dyDescent="0.4">
      <c r="B2658" s="15"/>
      <c r="C2658" s="19"/>
      <c r="D2658" s="20"/>
      <c r="E2658" s="20"/>
      <c r="F2658" s="20"/>
      <c r="G2658" s="20"/>
      <c r="H2658" s="9"/>
      <c r="I2658" s="9"/>
    </row>
    <row r="2659" spans="2:9" s="10" customFormat="1" x14ac:dyDescent="0.4">
      <c r="B2659" s="15"/>
      <c r="C2659" s="19"/>
      <c r="D2659" s="20"/>
      <c r="E2659" s="20"/>
      <c r="F2659" s="20"/>
      <c r="G2659" s="20"/>
      <c r="H2659" s="9"/>
      <c r="I2659" s="9"/>
    </row>
    <row r="2660" spans="2:9" s="10" customFormat="1" x14ac:dyDescent="0.4">
      <c r="B2660" s="15"/>
      <c r="C2660" s="19"/>
      <c r="D2660" s="20"/>
      <c r="E2660" s="20"/>
      <c r="F2660" s="20"/>
      <c r="G2660" s="20"/>
      <c r="H2660" s="9"/>
      <c r="I2660" s="9"/>
    </row>
    <row r="2661" spans="2:9" s="10" customFormat="1" x14ac:dyDescent="0.4">
      <c r="B2661" s="15"/>
      <c r="C2661" s="19"/>
      <c r="D2661" s="20"/>
      <c r="E2661" s="20"/>
      <c r="F2661" s="20"/>
      <c r="G2661" s="20"/>
      <c r="H2661" s="9"/>
      <c r="I2661" s="9"/>
    </row>
    <row r="2662" spans="2:9" s="10" customFormat="1" x14ac:dyDescent="0.4">
      <c r="B2662" s="15"/>
      <c r="C2662" s="19"/>
      <c r="D2662" s="20"/>
      <c r="E2662" s="20"/>
      <c r="F2662" s="20"/>
      <c r="G2662" s="20"/>
      <c r="H2662" s="9"/>
      <c r="I2662" s="9"/>
    </row>
    <row r="2663" spans="2:9" s="10" customFormat="1" x14ac:dyDescent="0.4">
      <c r="B2663" s="15"/>
      <c r="C2663" s="19"/>
      <c r="D2663" s="20"/>
      <c r="E2663" s="20"/>
      <c r="F2663" s="20"/>
      <c r="G2663" s="20"/>
      <c r="H2663" s="9"/>
      <c r="I2663" s="9"/>
    </row>
    <row r="2664" spans="2:9" s="10" customFormat="1" x14ac:dyDescent="0.4">
      <c r="B2664" s="15"/>
      <c r="C2664" s="19"/>
      <c r="D2664" s="20"/>
      <c r="E2664" s="20"/>
      <c r="F2664" s="20"/>
      <c r="G2664" s="20"/>
      <c r="H2664" s="9"/>
      <c r="I2664" s="9"/>
    </row>
    <row r="2665" spans="2:9" s="10" customFormat="1" x14ac:dyDescent="0.4">
      <c r="B2665" s="15"/>
      <c r="C2665" s="19"/>
      <c r="D2665" s="20"/>
      <c r="E2665" s="20"/>
      <c r="F2665" s="20"/>
      <c r="G2665" s="20"/>
      <c r="H2665" s="9"/>
      <c r="I2665" s="9"/>
    </row>
    <row r="2666" spans="2:9" s="10" customFormat="1" x14ac:dyDescent="0.4">
      <c r="B2666" s="15"/>
      <c r="C2666" s="19"/>
      <c r="D2666" s="20"/>
      <c r="E2666" s="20"/>
      <c r="F2666" s="20"/>
      <c r="G2666" s="20"/>
      <c r="H2666" s="9"/>
      <c r="I2666" s="9"/>
    </row>
    <row r="2667" spans="2:9" s="10" customFormat="1" x14ac:dyDescent="0.4">
      <c r="B2667" s="15"/>
      <c r="C2667" s="19"/>
      <c r="D2667" s="20"/>
      <c r="E2667" s="20"/>
      <c r="F2667" s="20"/>
      <c r="G2667" s="20"/>
      <c r="H2667" s="9"/>
      <c r="I2667" s="9"/>
    </row>
    <row r="2668" spans="2:9" s="10" customFormat="1" x14ac:dyDescent="0.4">
      <c r="B2668" s="15"/>
      <c r="C2668" s="19"/>
      <c r="D2668" s="20"/>
      <c r="E2668" s="20"/>
      <c r="F2668" s="20"/>
      <c r="G2668" s="20"/>
      <c r="H2668" s="9"/>
      <c r="I2668" s="9"/>
    </row>
    <row r="2669" spans="2:9" s="10" customFormat="1" x14ac:dyDescent="0.4">
      <c r="B2669" s="15"/>
      <c r="C2669" s="19"/>
      <c r="D2669" s="20"/>
      <c r="E2669" s="20"/>
      <c r="F2669" s="20"/>
      <c r="G2669" s="20"/>
      <c r="H2669" s="9"/>
      <c r="I2669" s="9"/>
    </row>
    <row r="2670" spans="2:9" s="10" customFormat="1" x14ac:dyDescent="0.4">
      <c r="B2670" s="15"/>
      <c r="C2670" s="19"/>
      <c r="D2670" s="20"/>
      <c r="E2670" s="20"/>
      <c r="F2670" s="20"/>
      <c r="G2670" s="20"/>
      <c r="H2670" s="9"/>
      <c r="I2670" s="9"/>
    </row>
    <row r="2671" spans="2:9" s="10" customFormat="1" x14ac:dyDescent="0.4">
      <c r="B2671" s="15"/>
      <c r="C2671" s="19"/>
      <c r="D2671" s="20"/>
      <c r="E2671" s="20"/>
      <c r="F2671" s="20"/>
      <c r="G2671" s="20"/>
      <c r="H2671" s="9"/>
      <c r="I2671" s="9"/>
    </row>
    <row r="2672" spans="2:9" s="10" customFormat="1" x14ac:dyDescent="0.4">
      <c r="B2672" s="15"/>
      <c r="C2672" s="19"/>
      <c r="D2672" s="20"/>
      <c r="E2672" s="20"/>
      <c r="F2672" s="20"/>
      <c r="G2672" s="20"/>
      <c r="H2672" s="9"/>
      <c r="I2672" s="9"/>
    </row>
    <row r="2673" spans="2:9" s="10" customFormat="1" x14ac:dyDescent="0.4">
      <c r="B2673" s="15"/>
      <c r="C2673" s="19"/>
      <c r="D2673" s="20"/>
      <c r="E2673" s="20"/>
      <c r="F2673" s="20"/>
      <c r="G2673" s="20"/>
      <c r="H2673" s="9"/>
      <c r="I2673" s="9"/>
    </row>
    <row r="2674" spans="2:9" s="10" customFormat="1" x14ac:dyDescent="0.4">
      <c r="B2674" s="15"/>
      <c r="C2674" s="19"/>
      <c r="D2674" s="20"/>
      <c r="E2674" s="20"/>
      <c r="F2674" s="20"/>
      <c r="G2674" s="20"/>
      <c r="H2674" s="9"/>
      <c r="I2674" s="9"/>
    </row>
    <row r="2675" spans="2:9" s="10" customFormat="1" x14ac:dyDescent="0.4">
      <c r="B2675" s="15"/>
      <c r="C2675" s="19"/>
      <c r="D2675" s="20"/>
      <c r="E2675" s="20"/>
      <c r="F2675" s="20"/>
      <c r="G2675" s="20"/>
      <c r="H2675" s="9"/>
      <c r="I2675" s="9"/>
    </row>
    <row r="2676" spans="2:9" s="10" customFormat="1" x14ac:dyDescent="0.4">
      <c r="B2676" s="15"/>
      <c r="C2676" s="19"/>
      <c r="D2676" s="20"/>
      <c r="E2676" s="20"/>
      <c r="F2676" s="20"/>
      <c r="G2676" s="20"/>
      <c r="H2676" s="9"/>
      <c r="I2676" s="9"/>
    </row>
    <row r="2677" spans="2:9" s="10" customFormat="1" x14ac:dyDescent="0.4">
      <c r="B2677" s="15"/>
      <c r="C2677" s="19"/>
      <c r="D2677" s="20"/>
      <c r="E2677" s="20"/>
      <c r="F2677" s="20"/>
      <c r="G2677" s="20"/>
      <c r="H2677" s="9"/>
      <c r="I2677" s="9"/>
    </row>
    <row r="2678" spans="2:9" s="10" customFormat="1" x14ac:dyDescent="0.4">
      <c r="B2678" s="15"/>
      <c r="C2678" s="19"/>
      <c r="D2678" s="20"/>
      <c r="E2678" s="20"/>
      <c r="F2678" s="20"/>
      <c r="G2678" s="20"/>
      <c r="H2678" s="9"/>
      <c r="I2678" s="9"/>
    </row>
    <row r="2679" spans="2:9" s="10" customFormat="1" x14ac:dyDescent="0.4">
      <c r="B2679" s="15"/>
      <c r="C2679" s="19"/>
      <c r="D2679" s="20"/>
      <c r="E2679" s="20"/>
      <c r="F2679" s="20"/>
      <c r="G2679" s="20"/>
      <c r="H2679" s="9"/>
      <c r="I2679" s="9"/>
    </row>
    <row r="2680" spans="2:9" s="10" customFormat="1" x14ac:dyDescent="0.4">
      <c r="B2680" s="15"/>
      <c r="C2680" s="19"/>
      <c r="D2680" s="20"/>
      <c r="E2680" s="20"/>
      <c r="F2680" s="20"/>
      <c r="G2680" s="20"/>
      <c r="H2680" s="9"/>
      <c r="I2680" s="9"/>
    </row>
    <row r="2681" spans="2:9" s="10" customFormat="1" x14ac:dyDescent="0.4">
      <c r="B2681" s="15"/>
      <c r="C2681" s="19"/>
      <c r="D2681" s="20"/>
      <c r="E2681" s="20"/>
      <c r="F2681" s="20"/>
      <c r="G2681" s="20"/>
      <c r="H2681" s="9"/>
      <c r="I2681" s="9"/>
    </row>
    <row r="2682" spans="2:9" s="10" customFormat="1" x14ac:dyDescent="0.4">
      <c r="B2682" s="15"/>
      <c r="C2682" s="19"/>
      <c r="D2682" s="20"/>
      <c r="E2682" s="20"/>
      <c r="F2682" s="20"/>
      <c r="G2682" s="20"/>
      <c r="H2682" s="9"/>
      <c r="I2682" s="9"/>
    </row>
    <row r="2683" spans="2:9" s="10" customFormat="1" x14ac:dyDescent="0.4">
      <c r="B2683" s="15"/>
      <c r="C2683" s="19"/>
      <c r="D2683" s="20"/>
      <c r="E2683" s="20"/>
      <c r="F2683" s="20"/>
      <c r="G2683" s="20"/>
      <c r="H2683" s="9"/>
      <c r="I2683" s="9"/>
    </row>
    <row r="2684" spans="2:9" s="10" customFormat="1" x14ac:dyDescent="0.4">
      <c r="B2684" s="15"/>
      <c r="C2684" s="19"/>
      <c r="D2684" s="20"/>
      <c r="E2684" s="20"/>
      <c r="F2684" s="20"/>
      <c r="G2684" s="20"/>
      <c r="H2684" s="9"/>
      <c r="I2684" s="9"/>
    </row>
    <row r="2685" spans="2:9" s="10" customFormat="1" x14ac:dyDescent="0.4">
      <c r="B2685" s="15"/>
      <c r="C2685" s="19"/>
      <c r="D2685" s="20"/>
      <c r="E2685" s="20"/>
      <c r="F2685" s="20"/>
      <c r="G2685" s="20"/>
      <c r="H2685" s="9"/>
      <c r="I2685" s="9"/>
    </row>
    <row r="2686" spans="2:9" s="10" customFormat="1" x14ac:dyDescent="0.4">
      <c r="B2686" s="15"/>
      <c r="C2686" s="19"/>
      <c r="D2686" s="20"/>
      <c r="E2686" s="20"/>
      <c r="F2686" s="20"/>
      <c r="G2686" s="20"/>
      <c r="H2686" s="9"/>
      <c r="I2686" s="9"/>
    </row>
    <row r="2687" spans="2:9" s="10" customFormat="1" x14ac:dyDescent="0.4">
      <c r="B2687" s="15"/>
      <c r="C2687" s="19"/>
      <c r="D2687" s="20"/>
      <c r="E2687" s="20"/>
      <c r="F2687" s="20"/>
      <c r="G2687" s="20"/>
      <c r="H2687" s="9"/>
      <c r="I2687" s="9"/>
    </row>
    <row r="2688" spans="2:9" s="10" customFormat="1" x14ac:dyDescent="0.4">
      <c r="B2688" s="15"/>
      <c r="C2688" s="19"/>
      <c r="D2688" s="20"/>
      <c r="E2688" s="20"/>
      <c r="F2688" s="20"/>
      <c r="G2688" s="20"/>
      <c r="H2688" s="9"/>
      <c r="I2688" s="9"/>
    </row>
    <row r="2689" spans="2:9" s="10" customFormat="1" x14ac:dyDescent="0.4">
      <c r="B2689" s="15"/>
      <c r="C2689" s="19"/>
      <c r="D2689" s="20"/>
      <c r="E2689" s="20"/>
      <c r="F2689" s="20"/>
      <c r="G2689" s="20"/>
      <c r="H2689" s="9"/>
      <c r="I2689" s="9"/>
    </row>
    <row r="2690" spans="2:9" s="10" customFormat="1" x14ac:dyDescent="0.4">
      <c r="B2690" s="15"/>
      <c r="C2690" s="19"/>
      <c r="D2690" s="20"/>
      <c r="E2690" s="20"/>
      <c r="F2690" s="20"/>
      <c r="G2690" s="20"/>
      <c r="H2690" s="9"/>
      <c r="I2690" s="9"/>
    </row>
    <row r="2691" spans="2:9" s="10" customFormat="1" x14ac:dyDescent="0.4">
      <c r="B2691" s="15"/>
      <c r="C2691" s="19"/>
      <c r="D2691" s="20"/>
      <c r="E2691" s="20"/>
      <c r="F2691" s="20"/>
      <c r="G2691" s="20"/>
      <c r="H2691" s="9"/>
      <c r="I2691" s="9"/>
    </row>
    <row r="2692" spans="2:9" s="10" customFormat="1" x14ac:dyDescent="0.4">
      <c r="B2692" s="15"/>
      <c r="C2692" s="19"/>
      <c r="D2692" s="20"/>
      <c r="E2692" s="20"/>
      <c r="F2692" s="20"/>
      <c r="G2692" s="20"/>
      <c r="H2692" s="9"/>
      <c r="I2692" s="9"/>
    </row>
    <row r="2693" spans="2:9" s="10" customFormat="1" x14ac:dyDescent="0.4">
      <c r="B2693" s="15"/>
      <c r="C2693" s="19"/>
      <c r="D2693" s="20"/>
      <c r="E2693" s="20"/>
      <c r="F2693" s="20"/>
      <c r="G2693" s="20"/>
      <c r="H2693" s="9"/>
      <c r="I2693" s="9"/>
    </row>
    <row r="2694" spans="2:9" s="10" customFormat="1" x14ac:dyDescent="0.4">
      <c r="B2694" s="15"/>
      <c r="C2694" s="19"/>
      <c r="D2694" s="20"/>
      <c r="E2694" s="20"/>
      <c r="F2694" s="20"/>
      <c r="G2694" s="20"/>
      <c r="H2694" s="9"/>
      <c r="I2694" s="9"/>
    </row>
    <row r="2695" spans="2:9" s="10" customFormat="1" x14ac:dyDescent="0.4">
      <c r="B2695" s="15"/>
      <c r="C2695" s="19"/>
      <c r="D2695" s="20"/>
      <c r="E2695" s="20"/>
      <c r="F2695" s="20"/>
      <c r="G2695" s="20"/>
      <c r="H2695" s="9"/>
      <c r="I2695" s="9"/>
    </row>
    <row r="2696" spans="2:9" s="10" customFormat="1" x14ac:dyDescent="0.4">
      <c r="B2696" s="15"/>
      <c r="C2696" s="19"/>
      <c r="D2696" s="20"/>
      <c r="E2696" s="20"/>
      <c r="F2696" s="20"/>
      <c r="G2696" s="20"/>
      <c r="H2696" s="9"/>
      <c r="I2696" s="9"/>
    </row>
    <row r="2697" spans="2:9" s="10" customFormat="1" x14ac:dyDescent="0.4">
      <c r="B2697" s="15"/>
      <c r="C2697" s="19"/>
      <c r="D2697" s="20"/>
      <c r="E2697" s="20"/>
      <c r="F2697" s="20"/>
      <c r="G2697" s="20"/>
      <c r="H2697" s="9"/>
      <c r="I2697" s="9"/>
    </row>
    <row r="2698" spans="2:9" s="10" customFormat="1" x14ac:dyDescent="0.4">
      <c r="B2698" s="15"/>
      <c r="C2698" s="19"/>
      <c r="D2698" s="20"/>
      <c r="E2698" s="20"/>
      <c r="F2698" s="20"/>
      <c r="G2698" s="20"/>
      <c r="H2698" s="9"/>
      <c r="I2698" s="9"/>
    </row>
    <row r="2699" spans="2:9" s="10" customFormat="1" x14ac:dyDescent="0.4">
      <c r="B2699" s="15"/>
      <c r="C2699" s="19"/>
      <c r="D2699" s="20"/>
      <c r="E2699" s="20"/>
      <c r="F2699" s="20"/>
      <c r="G2699" s="20"/>
      <c r="H2699" s="9"/>
      <c r="I2699" s="9"/>
    </row>
    <row r="2700" spans="2:9" s="10" customFormat="1" x14ac:dyDescent="0.4">
      <c r="B2700" s="15"/>
      <c r="C2700" s="19"/>
      <c r="D2700" s="20"/>
      <c r="E2700" s="20"/>
      <c r="F2700" s="20"/>
      <c r="G2700" s="20"/>
      <c r="H2700" s="9"/>
      <c r="I2700" s="9"/>
    </row>
    <row r="2701" spans="2:9" s="10" customFormat="1" x14ac:dyDescent="0.4">
      <c r="B2701" s="15"/>
      <c r="C2701" s="19"/>
      <c r="D2701" s="20"/>
      <c r="E2701" s="20"/>
      <c r="F2701" s="20"/>
      <c r="G2701" s="20"/>
      <c r="H2701" s="9"/>
      <c r="I2701" s="9"/>
    </row>
    <row r="2702" spans="2:9" s="10" customFormat="1" x14ac:dyDescent="0.4">
      <c r="B2702" s="15"/>
      <c r="C2702" s="19"/>
      <c r="D2702" s="20"/>
      <c r="E2702" s="20"/>
      <c r="F2702" s="20"/>
      <c r="G2702" s="20"/>
      <c r="H2702" s="9"/>
      <c r="I2702" s="9"/>
    </row>
    <row r="2703" spans="2:9" s="10" customFormat="1" x14ac:dyDescent="0.4">
      <c r="B2703" s="15"/>
      <c r="C2703" s="19"/>
      <c r="D2703" s="20"/>
      <c r="E2703" s="20"/>
      <c r="F2703" s="20"/>
      <c r="G2703" s="20"/>
      <c r="H2703" s="9"/>
      <c r="I2703" s="9"/>
    </row>
    <row r="2704" spans="2:9" s="10" customFormat="1" x14ac:dyDescent="0.4">
      <c r="B2704" s="15"/>
      <c r="C2704" s="19"/>
      <c r="D2704" s="20"/>
      <c r="E2704" s="20"/>
      <c r="F2704" s="20"/>
      <c r="G2704" s="20"/>
      <c r="H2704" s="9"/>
      <c r="I2704" s="9"/>
    </row>
    <row r="2705" spans="2:9" s="10" customFormat="1" x14ac:dyDescent="0.4">
      <c r="B2705" s="15"/>
      <c r="C2705" s="19"/>
      <c r="D2705" s="20"/>
      <c r="E2705" s="20"/>
      <c r="F2705" s="20"/>
      <c r="G2705" s="20"/>
      <c r="H2705" s="9"/>
      <c r="I2705" s="9"/>
    </row>
    <row r="2706" spans="2:9" s="10" customFormat="1" x14ac:dyDescent="0.4">
      <c r="B2706" s="15"/>
      <c r="C2706" s="19"/>
      <c r="D2706" s="20"/>
      <c r="E2706" s="20"/>
      <c r="F2706" s="20"/>
      <c r="G2706" s="20"/>
      <c r="H2706" s="9"/>
      <c r="I2706" s="9"/>
    </row>
    <row r="2707" spans="2:9" s="10" customFormat="1" x14ac:dyDescent="0.4">
      <c r="B2707" s="15"/>
      <c r="C2707" s="19"/>
      <c r="D2707" s="20"/>
      <c r="E2707" s="20"/>
      <c r="F2707" s="20"/>
      <c r="G2707" s="20"/>
      <c r="H2707" s="9"/>
      <c r="I2707" s="9"/>
    </row>
    <row r="2708" spans="2:9" s="10" customFormat="1" x14ac:dyDescent="0.4">
      <c r="B2708" s="15"/>
      <c r="C2708" s="19"/>
      <c r="D2708" s="20"/>
      <c r="E2708" s="20"/>
      <c r="F2708" s="20"/>
      <c r="G2708" s="20"/>
      <c r="H2708" s="9"/>
      <c r="I2708" s="9"/>
    </row>
    <row r="2709" spans="2:9" s="10" customFormat="1" x14ac:dyDescent="0.4">
      <c r="B2709" s="15"/>
      <c r="C2709" s="19"/>
      <c r="D2709" s="20"/>
      <c r="E2709" s="20"/>
      <c r="F2709" s="20"/>
      <c r="G2709" s="20"/>
      <c r="H2709" s="9"/>
      <c r="I2709" s="9"/>
    </row>
    <row r="2710" spans="2:9" s="10" customFormat="1" x14ac:dyDescent="0.4">
      <c r="B2710" s="15"/>
      <c r="C2710" s="19"/>
      <c r="D2710" s="20"/>
      <c r="E2710" s="20"/>
      <c r="F2710" s="20"/>
      <c r="G2710" s="20"/>
      <c r="H2710" s="9"/>
      <c r="I2710" s="9"/>
    </row>
    <row r="2711" spans="2:9" s="10" customFormat="1" x14ac:dyDescent="0.4">
      <c r="B2711" s="15"/>
      <c r="C2711" s="19"/>
      <c r="D2711" s="20"/>
      <c r="E2711" s="20"/>
      <c r="F2711" s="20"/>
      <c r="G2711" s="20"/>
      <c r="H2711" s="9"/>
      <c r="I2711" s="9"/>
    </row>
    <row r="2712" spans="2:9" s="10" customFormat="1" x14ac:dyDescent="0.4">
      <c r="B2712" s="15"/>
      <c r="C2712" s="19"/>
      <c r="D2712" s="20"/>
      <c r="E2712" s="20"/>
      <c r="F2712" s="20"/>
      <c r="G2712" s="20"/>
      <c r="H2712" s="9"/>
      <c r="I2712" s="9"/>
    </row>
    <row r="2713" spans="2:9" s="10" customFormat="1" x14ac:dyDescent="0.4">
      <c r="B2713" s="15"/>
      <c r="C2713" s="19"/>
      <c r="D2713" s="20"/>
      <c r="E2713" s="20"/>
      <c r="F2713" s="20"/>
      <c r="G2713" s="20"/>
      <c r="H2713" s="9"/>
      <c r="I2713" s="9"/>
    </row>
    <row r="2714" spans="2:9" s="10" customFormat="1" x14ac:dyDescent="0.4">
      <c r="B2714" s="15"/>
      <c r="C2714" s="19"/>
      <c r="D2714" s="20"/>
      <c r="E2714" s="20"/>
      <c r="F2714" s="20"/>
      <c r="G2714" s="20"/>
      <c r="H2714" s="9"/>
      <c r="I2714" s="9"/>
    </row>
    <row r="2715" spans="2:9" s="10" customFormat="1" x14ac:dyDescent="0.4">
      <c r="B2715" s="15"/>
      <c r="C2715" s="19"/>
      <c r="D2715" s="20"/>
      <c r="E2715" s="20"/>
      <c r="F2715" s="20"/>
      <c r="G2715" s="20"/>
      <c r="H2715" s="9"/>
      <c r="I2715" s="9"/>
    </row>
    <row r="2716" spans="2:9" s="10" customFormat="1" x14ac:dyDescent="0.4">
      <c r="B2716" s="15"/>
      <c r="C2716" s="19"/>
      <c r="D2716" s="20"/>
      <c r="E2716" s="20"/>
      <c r="F2716" s="20"/>
      <c r="G2716" s="20"/>
      <c r="H2716" s="9"/>
      <c r="I2716" s="9"/>
    </row>
    <row r="2717" spans="2:9" s="10" customFormat="1" x14ac:dyDescent="0.4">
      <c r="B2717" s="15"/>
      <c r="C2717" s="19"/>
      <c r="D2717" s="20"/>
      <c r="E2717" s="20"/>
      <c r="F2717" s="20"/>
      <c r="G2717" s="20"/>
      <c r="H2717" s="9"/>
      <c r="I2717" s="9"/>
    </row>
    <row r="2718" spans="2:9" s="10" customFormat="1" x14ac:dyDescent="0.4">
      <c r="B2718" s="15"/>
      <c r="C2718" s="19"/>
      <c r="D2718" s="20"/>
      <c r="E2718" s="20"/>
      <c r="F2718" s="20"/>
      <c r="G2718" s="20"/>
      <c r="H2718" s="9"/>
      <c r="I2718" s="9"/>
    </row>
    <row r="2719" spans="2:9" s="10" customFormat="1" x14ac:dyDescent="0.4">
      <c r="B2719" s="15"/>
      <c r="C2719" s="19"/>
      <c r="D2719" s="20"/>
      <c r="E2719" s="20"/>
      <c r="F2719" s="20"/>
      <c r="G2719" s="20"/>
      <c r="H2719" s="9"/>
      <c r="I2719" s="9"/>
    </row>
    <row r="2720" spans="2:9" s="10" customFormat="1" x14ac:dyDescent="0.4">
      <c r="B2720" s="15"/>
      <c r="C2720" s="19"/>
      <c r="D2720" s="20"/>
      <c r="E2720" s="20"/>
      <c r="F2720" s="20"/>
      <c r="G2720" s="20"/>
      <c r="H2720" s="9"/>
      <c r="I2720" s="9"/>
    </row>
    <row r="2721" spans="2:9" s="10" customFormat="1" x14ac:dyDescent="0.4">
      <c r="B2721" s="15"/>
      <c r="C2721" s="19"/>
      <c r="D2721" s="20"/>
      <c r="E2721" s="20"/>
      <c r="F2721" s="20"/>
      <c r="G2721" s="20"/>
      <c r="H2721" s="9"/>
      <c r="I2721" s="9"/>
    </row>
    <row r="2722" spans="2:9" s="10" customFormat="1" x14ac:dyDescent="0.4">
      <c r="B2722" s="15"/>
      <c r="C2722" s="19"/>
      <c r="D2722" s="20"/>
      <c r="E2722" s="20"/>
      <c r="F2722" s="20"/>
      <c r="G2722" s="20"/>
      <c r="H2722" s="9"/>
      <c r="I2722" s="9"/>
    </row>
    <row r="2723" spans="2:9" s="10" customFormat="1" x14ac:dyDescent="0.4">
      <c r="B2723" s="15"/>
      <c r="C2723" s="19"/>
      <c r="D2723" s="20"/>
      <c r="E2723" s="20"/>
      <c r="F2723" s="20"/>
      <c r="G2723" s="20"/>
      <c r="H2723" s="9"/>
      <c r="I2723" s="9"/>
    </row>
    <row r="2724" spans="2:9" s="10" customFormat="1" x14ac:dyDescent="0.4">
      <c r="B2724" s="15"/>
      <c r="C2724" s="19"/>
      <c r="D2724" s="20"/>
      <c r="E2724" s="20"/>
      <c r="F2724" s="20"/>
      <c r="G2724" s="20"/>
      <c r="H2724" s="9"/>
      <c r="I2724" s="9"/>
    </row>
    <row r="2725" spans="2:9" s="10" customFormat="1" x14ac:dyDescent="0.4">
      <c r="B2725" s="15"/>
      <c r="C2725" s="19"/>
      <c r="D2725" s="20"/>
      <c r="E2725" s="20"/>
      <c r="F2725" s="20"/>
      <c r="G2725" s="20"/>
      <c r="H2725" s="9"/>
      <c r="I2725" s="9"/>
    </row>
    <row r="2726" spans="2:9" s="10" customFormat="1" x14ac:dyDescent="0.4">
      <c r="B2726" s="15"/>
      <c r="C2726" s="19"/>
      <c r="D2726" s="20"/>
      <c r="E2726" s="20"/>
      <c r="F2726" s="20"/>
      <c r="G2726" s="20"/>
      <c r="H2726" s="9"/>
      <c r="I2726" s="9"/>
    </row>
    <row r="2727" spans="2:9" s="10" customFormat="1" x14ac:dyDescent="0.4">
      <c r="B2727" s="15"/>
      <c r="C2727" s="19"/>
      <c r="D2727" s="20"/>
      <c r="E2727" s="20"/>
      <c r="F2727" s="20"/>
      <c r="G2727" s="20"/>
      <c r="H2727" s="9"/>
      <c r="I2727" s="9"/>
    </row>
    <row r="2728" spans="2:9" s="10" customFormat="1" x14ac:dyDescent="0.4">
      <c r="B2728" s="15"/>
      <c r="C2728" s="19"/>
      <c r="D2728" s="20"/>
      <c r="E2728" s="20"/>
      <c r="F2728" s="20"/>
      <c r="G2728" s="20"/>
      <c r="H2728" s="9"/>
      <c r="I2728" s="9"/>
    </row>
    <row r="2729" spans="2:9" s="10" customFormat="1" x14ac:dyDescent="0.4">
      <c r="B2729" s="15"/>
      <c r="C2729" s="19"/>
      <c r="D2729" s="20"/>
      <c r="E2729" s="20"/>
      <c r="F2729" s="20"/>
      <c r="G2729" s="20"/>
      <c r="H2729" s="9"/>
      <c r="I2729" s="9"/>
    </row>
    <row r="2730" spans="2:9" s="10" customFormat="1" x14ac:dyDescent="0.4">
      <c r="B2730" s="15"/>
      <c r="C2730" s="19"/>
      <c r="D2730" s="20"/>
      <c r="E2730" s="20"/>
      <c r="F2730" s="20"/>
      <c r="G2730" s="20"/>
      <c r="H2730" s="9"/>
      <c r="I2730" s="9"/>
    </row>
    <row r="2731" spans="2:9" s="10" customFormat="1" x14ac:dyDescent="0.4">
      <c r="B2731" s="15"/>
      <c r="C2731" s="19"/>
      <c r="D2731" s="20"/>
      <c r="E2731" s="20"/>
      <c r="F2731" s="20"/>
      <c r="G2731" s="20"/>
      <c r="H2731" s="9"/>
      <c r="I2731" s="9"/>
    </row>
    <row r="2732" spans="2:9" s="10" customFormat="1" x14ac:dyDescent="0.4">
      <c r="B2732" s="15"/>
      <c r="C2732" s="19"/>
      <c r="D2732" s="20"/>
      <c r="E2732" s="20"/>
      <c r="F2732" s="20"/>
      <c r="G2732" s="20"/>
      <c r="H2732" s="9"/>
      <c r="I2732" s="9"/>
    </row>
    <row r="2733" spans="2:9" s="10" customFormat="1" x14ac:dyDescent="0.4">
      <c r="B2733" s="15"/>
      <c r="C2733" s="19"/>
      <c r="D2733" s="20"/>
      <c r="E2733" s="20"/>
      <c r="F2733" s="20"/>
      <c r="G2733" s="20"/>
      <c r="H2733" s="9"/>
      <c r="I2733" s="9"/>
    </row>
    <row r="2734" spans="2:9" s="10" customFormat="1" x14ac:dyDescent="0.4">
      <c r="B2734" s="15"/>
      <c r="C2734" s="19"/>
      <c r="D2734" s="20"/>
      <c r="E2734" s="20"/>
      <c r="F2734" s="20"/>
      <c r="G2734" s="20"/>
      <c r="H2734" s="9"/>
      <c r="I2734" s="9"/>
    </row>
    <row r="2735" spans="2:9" s="10" customFormat="1" x14ac:dyDescent="0.4">
      <c r="B2735" s="15"/>
      <c r="C2735" s="19"/>
      <c r="D2735" s="20"/>
      <c r="E2735" s="20"/>
      <c r="F2735" s="20"/>
      <c r="G2735" s="20"/>
      <c r="H2735" s="9"/>
      <c r="I2735" s="9"/>
    </row>
    <row r="2736" spans="2:9" s="10" customFormat="1" x14ac:dyDescent="0.4">
      <c r="B2736" s="15"/>
      <c r="C2736" s="19"/>
      <c r="D2736" s="20"/>
      <c r="E2736" s="20"/>
      <c r="F2736" s="20"/>
      <c r="G2736" s="20"/>
      <c r="H2736" s="9"/>
      <c r="I2736" s="9"/>
    </row>
    <row r="2737" spans="2:9" s="10" customFormat="1" x14ac:dyDescent="0.4">
      <c r="B2737" s="15"/>
      <c r="C2737" s="19"/>
      <c r="D2737" s="20"/>
      <c r="E2737" s="20"/>
      <c r="F2737" s="20"/>
      <c r="G2737" s="20"/>
      <c r="H2737" s="9"/>
      <c r="I2737" s="9"/>
    </row>
    <row r="2738" spans="2:9" s="10" customFormat="1" x14ac:dyDescent="0.4">
      <c r="B2738" s="15"/>
      <c r="C2738" s="19"/>
      <c r="D2738" s="20"/>
      <c r="E2738" s="20"/>
      <c r="F2738" s="20"/>
      <c r="G2738" s="20"/>
      <c r="H2738" s="9"/>
      <c r="I2738" s="9"/>
    </row>
    <row r="2739" spans="2:9" s="10" customFormat="1" x14ac:dyDescent="0.4">
      <c r="B2739" s="15"/>
      <c r="C2739" s="19"/>
      <c r="D2739" s="20"/>
      <c r="E2739" s="20"/>
      <c r="F2739" s="20"/>
      <c r="G2739" s="20"/>
      <c r="H2739" s="9"/>
      <c r="I2739" s="9"/>
    </row>
    <row r="2740" spans="2:9" s="10" customFormat="1" x14ac:dyDescent="0.4">
      <c r="B2740" s="15"/>
      <c r="C2740" s="19"/>
      <c r="D2740" s="20"/>
      <c r="E2740" s="20"/>
      <c r="F2740" s="20"/>
      <c r="G2740" s="20"/>
      <c r="H2740" s="9"/>
      <c r="I2740" s="9"/>
    </row>
    <row r="2741" spans="2:9" s="10" customFormat="1" x14ac:dyDescent="0.4">
      <c r="B2741" s="15"/>
      <c r="C2741" s="19"/>
      <c r="D2741" s="20"/>
      <c r="E2741" s="20"/>
      <c r="F2741" s="20"/>
      <c r="G2741" s="20"/>
      <c r="H2741" s="9"/>
      <c r="I2741" s="9"/>
    </row>
    <row r="2742" spans="2:9" s="10" customFormat="1" x14ac:dyDescent="0.4">
      <c r="B2742" s="15"/>
      <c r="C2742" s="19"/>
      <c r="D2742" s="20"/>
      <c r="E2742" s="20"/>
      <c r="F2742" s="20"/>
      <c r="G2742" s="20"/>
      <c r="H2742" s="9"/>
      <c r="I2742" s="9"/>
    </row>
    <row r="2743" spans="2:9" s="10" customFormat="1" x14ac:dyDescent="0.4">
      <c r="B2743" s="15"/>
      <c r="C2743" s="19"/>
      <c r="D2743" s="20"/>
      <c r="E2743" s="20"/>
      <c r="F2743" s="20"/>
      <c r="G2743" s="20"/>
      <c r="H2743" s="9"/>
      <c r="I2743" s="9"/>
    </row>
    <row r="2744" spans="2:9" s="10" customFormat="1" x14ac:dyDescent="0.4">
      <c r="B2744" s="15"/>
      <c r="C2744" s="19"/>
      <c r="D2744" s="20"/>
      <c r="E2744" s="20"/>
      <c r="F2744" s="20"/>
      <c r="G2744" s="20"/>
      <c r="H2744" s="9"/>
      <c r="I2744" s="9"/>
    </row>
    <row r="2745" spans="2:9" s="10" customFormat="1" x14ac:dyDescent="0.4">
      <c r="B2745" s="15"/>
      <c r="C2745" s="19"/>
      <c r="D2745" s="20"/>
      <c r="E2745" s="20"/>
      <c r="F2745" s="20"/>
      <c r="G2745" s="20"/>
      <c r="H2745" s="9"/>
      <c r="I2745" s="9"/>
    </row>
    <row r="2746" spans="2:9" s="10" customFormat="1" x14ac:dyDescent="0.4">
      <c r="B2746" s="15"/>
      <c r="C2746" s="19"/>
      <c r="D2746" s="20"/>
      <c r="E2746" s="20"/>
      <c r="F2746" s="20"/>
      <c r="G2746" s="20"/>
      <c r="H2746" s="9"/>
      <c r="I2746" s="9"/>
    </row>
    <row r="2747" spans="2:9" s="10" customFormat="1" x14ac:dyDescent="0.4">
      <c r="B2747" s="15"/>
      <c r="C2747" s="19"/>
      <c r="D2747" s="20"/>
      <c r="E2747" s="20"/>
      <c r="F2747" s="20"/>
      <c r="G2747" s="20"/>
      <c r="H2747" s="9"/>
      <c r="I2747" s="9"/>
    </row>
    <row r="2748" spans="2:9" s="10" customFormat="1" x14ac:dyDescent="0.4">
      <c r="B2748" s="15"/>
      <c r="C2748" s="19"/>
      <c r="D2748" s="20"/>
      <c r="E2748" s="20"/>
      <c r="F2748" s="20"/>
      <c r="G2748" s="20"/>
      <c r="H2748" s="9"/>
      <c r="I2748" s="9"/>
    </row>
    <row r="2749" spans="2:9" s="10" customFormat="1" x14ac:dyDescent="0.4">
      <c r="B2749" s="15"/>
      <c r="C2749" s="19"/>
      <c r="D2749" s="20"/>
      <c r="E2749" s="20"/>
      <c r="F2749" s="20"/>
      <c r="G2749" s="20"/>
      <c r="H2749" s="9"/>
      <c r="I2749" s="9"/>
    </row>
    <row r="2750" spans="2:9" s="10" customFormat="1" x14ac:dyDescent="0.4">
      <c r="B2750" s="15"/>
      <c r="C2750" s="19"/>
      <c r="D2750" s="20"/>
      <c r="E2750" s="20"/>
      <c r="F2750" s="20"/>
      <c r="G2750" s="20"/>
      <c r="H2750" s="9"/>
      <c r="I2750" s="9"/>
    </row>
    <row r="2751" spans="2:9" s="10" customFormat="1" x14ac:dyDescent="0.4">
      <c r="B2751" s="15"/>
      <c r="C2751" s="19"/>
      <c r="D2751" s="20"/>
      <c r="E2751" s="20"/>
      <c r="F2751" s="20"/>
      <c r="G2751" s="20"/>
      <c r="H2751" s="9"/>
      <c r="I2751" s="9"/>
    </row>
    <row r="2752" spans="2:9" s="10" customFormat="1" x14ac:dyDescent="0.4">
      <c r="B2752" s="15"/>
      <c r="C2752" s="19"/>
      <c r="D2752" s="20"/>
      <c r="E2752" s="20"/>
      <c r="F2752" s="20"/>
      <c r="G2752" s="20"/>
      <c r="H2752" s="9"/>
      <c r="I2752" s="9"/>
    </row>
    <row r="2753" spans="2:9" s="10" customFormat="1" x14ac:dyDescent="0.4">
      <c r="B2753" s="15"/>
      <c r="C2753" s="19"/>
      <c r="D2753" s="20"/>
      <c r="E2753" s="20"/>
      <c r="F2753" s="20"/>
      <c r="G2753" s="20"/>
      <c r="H2753" s="9"/>
      <c r="I2753" s="9"/>
    </row>
    <row r="2754" spans="2:9" s="10" customFormat="1" x14ac:dyDescent="0.4">
      <c r="B2754" s="15"/>
      <c r="C2754" s="19"/>
      <c r="D2754" s="20"/>
      <c r="E2754" s="20"/>
      <c r="F2754" s="20"/>
      <c r="G2754" s="20"/>
      <c r="H2754" s="9"/>
      <c r="I2754" s="9"/>
    </row>
    <row r="2755" spans="2:9" s="10" customFormat="1" x14ac:dyDescent="0.4">
      <c r="B2755" s="15"/>
      <c r="C2755" s="19"/>
      <c r="D2755" s="20"/>
      <c r="E2755" s="20"/>
      <c r="F2755" s="20"/>
      <c r="G2755" s="20"/>
      <c r="H2755" s="9"/>
      <c r="I2755" s="9"/>
    </row>
    <row r="2756" spans="2:9" s="10" customFormat="1" x14ac:dyDescent="0.4">
      <c r="B2756" s="15"/>
      <c r="C2756" s="19"/>
      <c r="D2756" s="20"/>
      <c r="E2756" s="20"/>
      <c r="F2756" s="20"/>
      <c r="G2756" s="20"/>
      <c r="H2756" s="9"/>
      <c r="I2756" s="9"/>
    </row>
    <row r="2757" spans="2:9" s="10" customFormat="1" x14ac:dyDescent="0.4">
      <c r="B2757" s="15"/>
      <c r="C2757" s="19"/>
      <c r="D2757" s="20"/>
      <c r="E2757" s="20"/>
      <c r="F2757" s="20"/>
      <c r="G2757" s="20"/>
      <c r="H2757" s="9"/>
      <c r="I2757" s="9"/>
    </row>
    <row r="2758" spans="2:9" s="10" customFormat="1" x14ac:dyDescent="0.4">
      <c r="B2758" s="15"/>
      <c r="C2758" s="19"/>
      <c r="D2758" s="20"/>
      <c r="E2758" s="20"/>
      <c r="F2758" s="20"/>
      <c r="G2758" s="20"/>
      <c r="H2758" s="9"/>
      <c r="I2758" s="9"/>
    </row>
    <row r="2759" spans="2:9" s="10" customFormat="1" x14ac:dyDescent="0.4">
      <c r="B2759" s="15"/>
      <c r="C2759" s="19"/>
      <c r="D2759" s="20"/>
      <c r="E2759" s="20"/>
      <c r="F2759" s="20"/>
      <c r="G2759" s="20"/>
      <c r="H2759" s="9"/>
      <c r="I2759" s="9"/>
    </row>
    <row r="2760" spans="2:9" s="10" customFormat="1" x14ac:dyDescent="0.4">
      <c r="B2760" s="15"/>
      <c r="C2760" s="19"/>
      <c r="D2760" s="20"/>
      <c r="E2760" s="20"/>
      <c r="F2760" s="20"/>
      <c r="G2760" s="20"/>
      <c r="H2760" s="9"/>
      <c r="I2760" s="9"/>
    </row>
    <row r="2761" spans="2:9" s="10" customFormat="1" x14ac:dyDescent="0.4">
      <c r="B2761" s="15"/>
      <c r="C2761" s="19"/>
      <c r="D2761" s="20"/>
      <c r="E2761" s="20"/>
      <c r="F2761" s="20"/>
      <c r="G2761" s="20"/>
      <c r="H2761" s="9"/>
      <c r="I2761" s="9"/>
    </row>
    <row r="2762" spans="2:9" s="10" customFormat="1" x14ac:dyDescent="0.4">
      <c r="B2762" s="15"/>
      <c r="C2762" s="19"/>
      <c r="D2762" s="20"/>
      <c r="E2762" s="20"/>
      <c r="F2762" s="20"/>
      <c r="G2762" s="20"/>
      <c r="H2762" s="9"/>
      <c r="I2762" s="9"/>
    </row>
    <row r="2763" spans="2:9" s="10" customFormat="1" x14ac:dyDescent="0.4">
      <c r="B2763" s="15"/>
      <c r="C2763" s="19"/>
      <c r="D2763" s="20"/>
      <c r="E2763" s="20"/>
      <c r="F2763" s="20"/>
      <c r="G2763" s="20"/>
      <c r="H2763" s="9"/>
      <c r="I2763" s="9"/>
    </row>
    <row r="2764" spans="2:9" s="10" customFormat="1" x14ac:dyDescent="0.4">
      <c r="B2764" s="15"/>
      <c r="C2764" s="19"/>
      <c r="D2764" s="20"/>
      <c r="E2764" s="20"/>
      <c r="F2764" s="20"/>
      <c r="G2764" s="20"/>
      <c r="H2764" s="9"/>
      <c r="I2764" s="9"/>
    </row>
    <row r="2765" spans="2:9" s="10" customFormat="1" x14ac:dyDescent="0.4">
      <c r="B2765" s="15"/>
      <c r="C2765" s="19"/>
      <c r="D2765" s="20"/>
      <c r="E2765" s="20"/>
      <c r="F2765" s="20"/>
      <c r="G2765" s="20"/>
      <c r="H2765" s="9"/>
      <c r="I2765" s="9"/>
    </row>
    <row r="2766" spans="2:9" s="10" customFormat="1" x14ac:dyDescent="0.4">
      <c r="B2766" s="15"/>
      <c r="C2766" s="19"/>
      <c r="D2766" s="20"/>
      <c r="E2766" s="20"/>
      <c r="F2766" s="20"/>
      <c r="G2766" s="20"/>
      <c r="H2766" s="9"/>
      <c r="I2766" s="9"/>
    </row>
    <row r="2767" spans="2:9" s="10" customFormat="1" x14ac:dyDescent="0.4">
      <c r="B2767" s="15"/>
      <c r="C2767" s="19"/>
      <c r="D2767" s="20"/>
      <c r="E2767" s="20"/>
      <c r="F2767" s="20"/>
      <c r="G2767" s="20"/>
      <c r="H2767" s="9"/>
      <c r="I2767" s="9"/>
    </row>
    <row r="2768" spans="2:9" s="10" customFormat="1" x14ac:dyDescent="0.4">
      <c r="B2768" s="15"/>
      <c r="C2768" s="19"/>
      <c r="D2768" s="20"/>
      <c r="E2768" s="20"/>
      <c r="F2768" s="20"/>
      <c r="G2768" s="20"/>
      <c r="H2768" s="9"/>
      <c r="I2768" s="9"/>
    </row>
    <row r="2769" spans="2:9" s="10" customFormat="1" x14ac:dyDescent="0.4">
      <c r="B2769" s="15"/>
      <c r="C2769" s="19"/>
      <c r="D2769" s="20"/>
      <c r="E2769" s="20"/>
      <c r="F2769" s="20"/>
      <c r="G2769" s="20"/>
      <c r="H2769" s="9"/>
      <c r="I2769" s="9"/>
    </row>
    <row r="2770" spans="2:9" s="10" customFormat="1" x14ac:dyDescent="0.4">
      <c r="B2770" s="15"/>
      <c r="C2770" s="19"/>
      <c r="D2770" s="20"/>
      <c r="E2770" s="20"/>
      <c r="F2770" s="20"/>
      <c r="G2770" s="20"/>
      <c r="H2770" s="9"/>
      <c r="I2770" s="9"/>
    </row>
    <row r="2771" spans="2:9" s="10" customFormat="1" x14ac:dyDescent="0.4">
      <c r="B2771" s="15"/>
      <c r="C2771" s="19"/>
      <c r="D2771" s="20"/>
      <c r="E2771" s="20"/>
      <c r="F2771" s="20"/>
      <c r="G2771" s="20"/>
      <c r="H2771" s="9"/>
      <c r="I2771" s="9"/>
    </row>
    <row r="2772" spans="2:9" s="10" customFormat="1" x14ac:dyDescent="0.4">
      <c r="B2772" s="15"/>
      <c r="C2772" s="19"/>
      <c r="D2772" s="20"/>
      <c r="E2772" s="20"/>
      <c r="F2772" s="20"/>
      <c r="G2772" s="20"/>
      <c r="H2772" s="9"/>
      <c r="I2772" s="9"/>
    </row>
    <row r="2773" spans="2:9" s="10" customFormat="1" x14ac:dyDescent="0.4">
      <c r="B2773" s="15"/>
      <c r="C2773" s="19"/>
      <c r="D2773" s="20"/>
      <c r="E2773" s="20"/>
      <c r="F2773" s="20"/>
      <c r="G2773" s="20"/>
      <c r="H2773" s="9"/>
      <c r="I2773" s="9"/>
    </row>
    <row r="2774" spans="2:9" s="10" customFormat="1" x14ac:dyDescent="0.4">
      <c r="B2774" s="15"/>
      <c r="C2774" s="19"/>
      <c r="D2774" s="20"/>
      <c r="E2774" s="20"/>
      <c r="F2774" s="20"/>
      <c r="G2774" s="20"/>
      <c r="H2774" s="9"/>
      <c r="I2774" s="9"/>
    </row>
    <row r="2775" spans="2:9" s="10" customFormat="1" x14ac:dyDescent="0.4">
      <c r="B2775" s="15"/>
      <c r="C2775" s="19"/>
      <c r="D2775" s="20"/>
      <c r="E2775" s="20"/>
      <c r="F2775" s="20"/>
      <c r="G2775" s="20"/>
      <c r="H2775" s="9"/>
      <c r="I2775" s="9"/>
    </row>
    <row r="2776" spans="2:9" s="10" customFormat="1" x14ac:dyDescent="0.4">
      <c r="B2776" s="15"/>
      <c r="C2776" s="19"/>
      <c r="D2776" s="20"/>
      <c r="E2776" s="20"/>
      <c r="F2776" s="20"/>
      <c r="G2776" s="20"/>
      <c r="H2776" s="9"/>
      <c r="I2776" s="9"/>
    </row>
    <row r="2777" spans="2:9" s="10" customFormat="1" x14ac:dyDescent="0.4">
      <c r="B2777" s="15"/>
      <c r="C2777" s="19"/>
      <c r="D2777" s="20"/>
      <c r="E2777" s="20"/>
      <c r="F2777" s="20"/>
      <c r="G2777" s="20"/>
      <c r="H2777" s="9"/>
      <c r="I2777" s="9"/>
    </row>
    <row r="2778" spans="2:9" s="10" customFormat="1" x14ac:dyDescent="0.4">
      <c r="B2778" s="15"/>
      <c r="C2778" s="19"/>
      <c r="D2778" s="20"/>
      <c r="E2778" s="20"/>
      <c r="F2778" s="20"/>
      <c r="G2778" s="20"/>
      <c r="H2778" s="9"/>
      <c r="I2778" s="9"/>
    </row>
    <row r="2779" spans="2:9" s="10" customFormat="1" x14ac:dyDescent="0.4">
      <c r="B2779" s="15"/>
      <c r="C2779" s="19"/>
      <c r="D2779" s="20"/>
      <c r="E2779" s="20"/>
      <c r="F2779" s="20"/>
      <c r="G2779" s="20"/>
      <c r="H2779" s="9"/>
      <c r="I2779" s="9"/>
    </row>
    <row r="2780" spans="2:9" s="10" customFormat="1" x14ac:dyDescent="0.4">
      <c r="B2780" s="15"/>
      <c r="C2780" s="19"/>
      <c r="D2780" s="20"/>
      <c r="E2780" s="20"/>
      <c r="F2780" s="20"/>
      <c r="G2780" s="20"/>
      <c r="H2780" s="9"/>
      <c r="I2780" s="9"/>
    </row>
    <row r="2781" spans="2:9" s="10" customFormat="1" x14ac:dyDescent="0.4">
      <c r="B2781" s="15"/>
      <c r="C2781" s="19"/>
      <c r="D2781" s="20"/>
      <c r="E2781" s="20"/>
      <c r="F2781" s="20"/>
      <c r="G2781" s="20"/>
      <c r="H2781" s="9"/>
      <c r="I2781" s="9"/>
    </row>
    <row r="2782" spans="2:9" s="10" customFormat="1" x14ac:dyDescent="0.4">
      <c r="B2782" s="15"/>
      <c r="C2782" s="19"/>
      <c r="D2782" s="20"/>
      <c r="E2782" s="20"/>
      <c r="F2782" s="20"/>
      <c r="G2782" s="20"/>
      <c r="H2782" s="9"/>
      <c r="I2782" s="9"/>
    </row>
    <row r="2783" spans="2:9" s="10" customFormat="1" x14ac:dyDescent="0.4">
      <c r="B2783" s="15"/>
      <c r="C2783" s="19"/>
      <c r="D2783" s="20"/>
      <c r="E2783" s="20"/>
      <c r="F2783" s="20"/>
      <c r="G2783" s="20"/>
      <c r="H2783" s="9"/>
      <c r="I2783" s="9"/>
    </row>
    <row r="2784" spans="2:9" s="10" customFormat="1" x14ac:dyDescent="0.4">
      <c r="B2784" s="15"/>
      <c r="C2784" s="19"/>
      <c r="D2784" s="20"/>
      <c r="E2784" s="20"/>
      <c r="F2784" s="20"/>
      <c r="G2784" s="20"/>
      <c r="H2784" s="9"/>
      <c r="I2784" s="9"/>
    </row>
    <row r="2785" spans="2:9" s="10" customFormat="1" x14ac:dyDescent="0.4">
      <c r="B2785" s="15"/>
      <c r="C2785" s="19"/>
      <c r="D2785" s="20"/>
      <c r="E2785" s="20"/>
      <c r="F2785" s="20"/>
      <c r="G2785" s="20"/>
      <c r="H2785" s="9"/>
      <c r="I2785" s="9"/>
    </row>
    <row r="2786" spans="2:9" s="10" customFormat="1" x14ac:dyDescent="0.4">
      <c r="B2786" s="15"/>
      <c r="C2786" s="19"/>
      <c r="D2786" s="20"/>
      <c r="E2786" s="20"/>
      <c r="F2786" s="20"/>
      <c r="G2786" s="20"/>
      <c r="H2786" s="9"/>
      <c r="I2786" s="9"/>
    </row>
    <row r="2787" spans="2:9" s="10" customFormat="1" x14ac:dyDescent="0.4">
      <c r="B2787" s="15"/>
      <c r="C2787" s="19"/>
      <c r="D2787" s="20"/>
      <c r="E2787" s="20"/>
      <c r="F2787" s="20"/>
      <c r="G2787" s="20"/>
      <c r="H2787" s="9"/>
      <c r="I2787" s="9"/>
    </row>
    <row r="2788" spans="2:9" s="10" customFormat="1" x14ac:dyDescent="0.4">
      <c r="B2788" s="15"/>
      <c r="C2788" s="19"/>
      <c r="D2788" s="20"/>
      <c r="E2788" s="20"/>
      <c r="F2788" s="20"/>
      <c r="G2788" s="20"/>
      <c r="H2788" s="9"/>
      <c r="I2788" s="9"/>
    </row>
    <row r="2789" spans="2:9" s="10" customFormat="1" x14ac:dyDescent="0.4">
      <c r="B2789" s="15"/>
      <c r="C2789" s="19"/>
      <c r="D2789" s="20"/>
      <c r="E2789" s="20"/>
      <c r="F2789" s="20"/>
      <c r="G2789" s="20"/>
      <c r="H2789" s="9"/>
      <c r="I2789" s="9"/>
    </row>
    <row r="2790" spans="2:9" s="10" customFormat="1" x14ac:dyDescent="0.4">
      <c r="B2790" s="15"/>
      <c r="C2790" s="19"/>
      <c r="D2790" s="20"/>
      <c r="E2790" s="20"/>
      <c r="F2790" s="20"/>
      <c r="G2790" s="20"/>
      <c r="H2790" s="9"/>
      <c r="I2790" s="9"/>
    </row>
    <row r="2791" spans="2:9" s="10" customFormat="1" x14ac:dyDescent="0.4">
      <c r="B2791" s="15"/>
      <c r="C2791" s="19"/>
      <c r="D2791" s="20"/>
      <c r="E2791" s="20"/>
      <c r="F2791" s="20"/>
      <c r="G2791" s="20"/>
      <c r="H2791" s="9"/>
      <c r="I2791" s="9"/>
    </row>
    <row r="2792" spans="2:9" s="10" customFormat="1" x14ac:dyDescent="0.4">
      <c r="B2792" s="15"/>
      <c r="C2792" s="19"/>
      <c r="D2792" s="20"/>
      <c r="E2792" s="20"/>
      <c r="F2792" s="20"/>
      <c r="G2792" s="20"/>
      <c r="H2792" s="9"/>
      <c r="I2792" s="9"/>
    </row>
    <row r="2793" spans="2:9" s="10" customFormat="1" x14ac:dyDescent="0.4">
      <c r="B2793" s="15"/>
      <c r="C2793" s="19"/>
      <c r="D2793" s="20"/>
      <c r="E2793" s="20"/>
      <c r="F2793" s="20"/>
      <c r="G2793" s="20"/>
      <c r="H2793" s="9"/>
      <c r="I2793" s="9"/>
    </row>
    <row r="2794" spans="2:9" s="10" customFormat="1" x14ac:dyDescent="0.4">
      <c r="B2794" s="15"/>
      <c r="C2794" s="19"/>
      <c r="D2794" s="20"/>
      <c r="E2794" s="20"/>
      <c r="F2794" s="20"/>
      <c r="G2794" s="20"/>
      <c r="H2794" s="9"/>
      <c r="I2794" s="9"/>
    </row>
    <row r="2795" spans="2:9" s="10" customFormat="1" x14ac:dyDescent="0.4">
      <c r="B2795" s="15"/>
      <c r="C2795" s="19"/>
      <c r="D2795" s="20"/>
      <c r="E2795" s="20"/>
      <c r="F2795" s="20"/>
      <c r="G2795" s="20"/>
      <c r="H2795" s="9"/>
      <c r="I2795" s="9"/>
    </row>
    <row r="2796" spans="2:9" s="10" customFormat="1" x14ac:dyDescent="0.4">
      <c r="B2796" s="15"/>
      <c r="C2796" s="19"/>
      <c r="D2796" s="20"/>
      <c r="E2796" s="20"/>
      <c r="F2796" s="20"/>
      <c r="G2796" s="20"/>
      <c r="H2796" s="9"/>
      <c r="I2796" s="9"/>
    </row>
    <row r="2797" spans="2:9" s="10" customFormat="1" x14ac:dyDescent="0.4">
      <c r="B2797" s="15"/>
      <c r="C2797" s="19"/>
      <c r="D2797" s="20"/>
      <c r="E2797" s="20"/>
      <c r="F2797" s="20"/>
      <c r="G2797" s="20"/>
      <c r="H2797" s="9"/>
      <c r="I2797" s="9"/>
    </row>
    <row r="2798" spans="2:9" s="10" customFormat="1" x14ac:dyDescent="0.4">
      <c r="B2798" s="15"/>
      <c r="C2798" s="19"/>
      <c r="D2798" s="20"/>
      <c r="E2798" s="20"/>
      <c r="F2798" s="20"/>
      <c r="G2798" s="20"/>
      <c r="H2798" s="9"/>
      <c r="I2798" s="9"/>
    </row>
    <row r="2799" spans="2:9" s="10" customFormat="1" x14ac:dyDescent="0.4">
      <c r="B2799" s="15"/>
      <c r="C2799" s="19"/>
      <c r="D2799" s="20"/>
      <c r="E2799" s="20"/>
      <c r="F2799" s="20"/>
      <c r="G2799" s="20"/>
      <c r="H2799" s="9"/>
      <c r="I2799" s="9"/>
    </row>
    <row r="2800" spans="2:9" s="10" customFormat="1" x14ac:dyDescent="0.4">
      <c r="B2800" s="15"/>
      <c r="C2800" s="19"/>
      <c r="D2800" s="20"/>
      <c r="E2800" s="20"/>
      <c r="F2800" s="20"/>
      <c r="G2800" s="20"/>
      <c r="H2800" s="9"/>
      <c r="I2800" s="9"/>
    </row>
    <row r="2801" spans="2:9" s="10" customFormat="1" x14ac:dyDescent="0.4">
      <c r="B2801" s="15"/>
      <c r="C2801" s="19"/>
      <c r="D2801" s="20"/>
      <c r="E2801" s="20"/>
      <c r="F2801" s="20"/>
      <c r="G2801" s="20"/>
      <c r="H2801" s="9"/>
      <c r="I2801" s="9"/>
    </row>
    <row r="2802" spans="2:9" s="10" customFormat="1" x14ac:dyDescent="0.4">
      <c r="B2802" s="15"/>
      <c r="C2802" s="19"/>
      <c r="D2802" s="20"/>
      <c r="E2802" s="20"/>
      <c r="F2802" s="20"/>
      <c r="G2802" s="20"/>
      <c r="H2802" s="9"/>
      <c r="I2802" s="9"/>
    </row>
    <row r="2803" spans="2:9" s="10" customFormat="1" x14ac:dyDescent="0.4">
      <c r="B2803" s="15"/>
      <c r="C2803" s="19"/>
      <c r="D2803" s="20"/>
      <c r="E2803" s="20"/>
      <c r="F2803" s="20"/>
      <c r="G2803" s="20"/>
      <c r="H2803" s="9"/>
      <c r="I2803" s="9"/>
    </row>
    <row r="2804" spans="2:9" s="10" customFormat="1" x14ac:dyDescent="0.4">
      <c r="B2804" s="15"/>
      <c r="C2804" s="19"/>
      <c r="D2804" s="20"/>
      <c r="E2804" s="20"/>
      <c r="F2804" s="20"/>
      <c r="G2804" s="20"/>
      <c r="H2804" s="9"/>
      <c r="I2804" s="9"/>
    </row>
    <row r="2805" spans="2:9" s="10" customFormat="1" x14ac:dyDescent="0.4">
      <c r="B2805" s="15"/>
      <c r="C2805" s="19"/>
      <c r="D2805" s="20"/>
      <c r="E2805" s="20"/>
      <c r="F2805" s="20"/>
      <c r="G2805" s="20"/>
      <c r="H2805" s="9"/>
      <c r="I2805" s="9"/>
    </row>
    <row r="2806" spans="2:9" s="10" customFormat="1" x14ac:dyDescent="0.4">
      <c r="B2806" s="15"/>
      <c r="C2806" s="19"/>
      <c r="D2806" s="20"/>
      <c r="E2806" s="20"/>
      <c r="F2806" s="20"/>
      <c r="G2806" s="20"/>
      <c r="H2806" s="9"/>
      <c r="I2806" s="9"/>
    </row>
    <row r="2807" spans="2:9" s="10" customFormat="1" x14ac:dyDescent="0.4">
      <c r="B2807" s="15"/>
      <c r="C2807" s="19"/>
      <c r="D2807" s="20"/>
      <c r="E2807" s="20"/>
      <c r="F2807" s="20"/>
      <c r="G2807" s="20"/>
      <c r="H2807" s="9"/>
      <c r="I2807" s="9"/>
    </row>
    <row r="2808" spans="2:9" s="10" customFormat="1" x14ac:dyDescent="0.4">
      <c r="B2808" s="15"/>
      <c r="C2808" s="19"/>
      <c r="D2808" s="20"/>
      <c r="E2808" s="20"/>
      <c r="F2808" s="20"/>
      <c r="G2808" s="20"/>
      <c r="H2808" s="9"/>
      <c r="I2808" s="9"/>
    </row>
    <row r="2809" spans="2:9" s="10" customFormat="1" x14ac:dyDescent="0.4">
      <c r="B2809" s="15"/>
      <c r="C2809" s="19"/>
      <c r="D2809" s="20"/>
      <c r="E2809" s="20"/>
      <c r="F2809" s="20"/>
      <c r="G2809" s="20"/>
      <c r="H2809" s="9"/>
      <c r="I2809" s="9"/>
    </row>
    <row r="2810" spans="2:9" s="10" customFormat="1" x14ac:dyDescent="0.4">
      <c r="B2810" s="15"/>
      <c r="C2810" s="19"/>
      <c r="D2810" s="20"/>
      <c r="E2810" s="20"/>
      <c r="F2810" s="20"/>
      <c r="G2810" s="20"/>
      <c r="H2810" s="9"/>
      <c r="I2810" s="9"/>
    </row>
    <row r="2811" spans="2:9" s="10" customFormat="1" x14ac:dyDescent="0.4">
      <c r="B2811" s="15"/>
      <c r="C2811" s="19"/>
      <c r="D2811" s="20"/>
      <c r="E2811" s="20"/>
      <c r="F2811" s="20"/>
      <c r="G2811" s="20"/>
      <c r="H2811" s="9"/>
      <c r="I2811" s="9"/>
    </row>
    <row r="2812" spans="2:9" s="10" customFormat="1" x14ac:dyDescent="0.4">
      <c r="B2812" s="15"/>
      <c r="C2812" s="19"/>
      <c r="D2812" s="20"/>
      <c r="E2812" s="20"/>
      <c r="F2812" s="20"/>
      <c r="G2812" s="20"/>
      <c r="H2812" s="9"/>
      <c r="I2812" s="9"/>
    </row>
    <row r="2813" spans="2:9" s="10" customFormat="1" x14ac:dyDescent="0.4">
      <c r="B2813" s="15"/>
      <c r="C2813" s="19"/>
      <c r="D2813" s="20"/>
      <c r="E2813" s="20"/>
      <c r="F2813" s="20"/>
      <c r="G2813" s="20"/>
      <c r="H2813" s="9"/>
      <c r="I2813" s="9"/>
    </row>
    <row r="2814" spans="2:9" s="10" customFormat="1" x14ac:dyDescent="0.4">
      <c r="B2814" s="15"/>
      <c r="C2814" s="19"/>
      <c r="D2814" s="20"/>
      <c r="E2814" s="20"/>
      <c r="F2814" s="20"/>
      <c r="G2814" s="20"/>
      <c r="H2814" s="9"/>
      <c r="I2814" s="9"/>
    </row>
    <row r="2815" spans="2:9" s="10" customFormat="1" x14ac:dyDescent="0.4">
      <c r="B2815" s="15"/>
      <c r="C2815" s="19"/>
      <c r="D2815" s="20"/>
      <c r="E2815" s="20"/>
      <c r="F2815" s="20"/>
      <c r="G2815" s="20"/>
      <c r="H2815" s="9"/>
      <c r="I2815" s="9"/>
    </row>
    <row r="2816" spans="2:9" s="10" customFormat="1" x14ac:dyDescent="0.4">
      <c r="B2816" s="15"/>
      <c r="C2816" s="19"/>
      <c r="D2816" s="20"/>
      <c r="E2816" s="20"/>
      <c r="F2816" s="20"/>
      <c r="G2816" s="20"/>
      <c r="H2816" s="9"/>
      <c r="I2816" s="9"/>
    </row>
    <row r="2817" spans="2:9" s="10" customFormat="1" x14ac:dyDescent="0.4">
      <c r="B2817" s="15"/>
      <c r="C2817" s="19"/>
      <c r="D2817" s="20"/>
      <c r="E2817" s="20"/>
      <c r="F2817" s="20"/>
      <c r="G2817" s="20"/>
      <c r="H2817" s="9"/>
      <c r="I2817" s="9"/>
    </row>
    <row r="2818" spans="2:9" s="10" customFormat="1" x14ac:dyDescent="0.4">
      <c r="B2818" s="15"/>
      <c r="C2818" s="19"/>
      <c r="D2818" s="20"/>
      <c r="E2818" s="20"/>
      <c r="F2818" s="20"/>
      <c r="G2818" s="20"/>
      <c r="H2818" s="9"/>
      <c r="I2818" s="9"/>
    </row>
    <row r="2819" spans="2:9" s="10" customFormat="1" x14ac:dyDescent="0.4">
      <c r="B2819" s="15"/>
      <c r="C2819" s="19"/>
      <c r="D2819" s="20"/>
      <c r="E2819" s="20"/>
      <c r="F2819" s="20"/>
      <c r="G2819" s="20"/>
      <c r="H2819" s="9"/>
      <c r="I2819" s="9"/>
    </row>
    <row r="2820" spans="2:9" s="10" customFormat="1" x14ac:dyDescent="0.4">
      <c r="B2820" s="15"/>
      <c r="C2820" s="19"/>
      <c r="D2820" s="20"/>
      <c r="E2820" s="20"/>
      <c r="F2820" s="20"/>
      <c r="G2820" s="20"/>
      <c r="H2820" s="9"/>
      <c r="I2820" s="9"/>
    </row>
    <row r="2821" spans="2:9" s="10" customFormat="1" x14ac:dyDescent="0.4">
      <c r="B2821" s="15"/>
      <c r="C2821" s="19"/>
      <c r="D2821" s="20"/>
      <c r="E2821" s="20"/>
      <c r="F2821" s="20"/>
      <c r="G2821" s="20"/>
      <c r="H2821" s="9"/>
      <c r="I2821" s="9"/>
    </row>
    <row r="2822" spans="2:9" s="10" customFormat="1" x14ac:dyDescent="0.4">
      <c r="B2822" s="15"/>
      <c r="C2822" s="19"/>
      <c r="D2822" s="20"/>
      <c r="E2822" s="20"/>
      <c r="F2822" s="20"/>
      <c r="G2822" s="20"/>
      <c r="H2822" s="9"/>
      <c r="I2822" s="9"/>
    </row>
    <row r="2823" spans="2:9" s="10" customFormat="1" x14ac:dyDescent="0.4">
      <c r="B2823" s="15"/>
      <c r="C2823" s="19"/>
      <c r="D2823" s="20"/>
      <c r="E2823" s="20"/>
      <c r="F2823" s="20"/>
      <c r="G2823" s="20"/>
      <c r="H2823" s="9"/>
      <c r="I2823" s="9"/>
    </row>
    <row r="2824" spans="2:9" s="10" customFormat="1" x14ac:dyDescent="0.4">
      <c r="B2824" s="15"/>
      <c r="C2824" s="19"/>
      <c r="D2824" s="20"/>
      <c r="E2824" s="20"/>
      <c r="F2824" s="20"/>
      <c r="G2824" s="20"/>
      <c r="H2824" s="9"/>
      <c r="I2824" s="9"/>
    </row>
    <row r="2825" spans="2:9" s="10" customFormat="1" x14ac:dyDescent="0.4">
      <c r="B2825" s="15"/>
      <c r="C2825" s="19"/>
      <c r="D2825" s="20"/>
      <c r="E2825" s="20"/>
      <c r="F2825" s="20"/>
      <c r="G2825" s="20"/>
      <c r="H2825" s="9"/>
      <c r="I2825" s="9"/>
    </row>
    <row r="2826" spans="2:9" s="10" customFormat="1" x14ac:dyDescent="0.4">
      <c r="B2826" s="15"/>
      <c r="C2826" s="19"/>
      <c r="D2826" s="20"/>
      <c r="E2826" s="20"/>
      <c r="F2826" s="20"/>
      <c r="G2826" s="20"/>
      <c r="H2826" s="9"/>
      <c r="I2826" s="9"/>
    </row>
    <row r="2827" spans="2:9" s="10" customFormat="1" x14ac:dyDescent="0.4">
      <c r="B2827" s="15"/>
      <c r="C2827" s="19"/>
      <c r="D2827" s="20"/>
      <c r="E2827" s="20"/>
      <c r="F2827" s="20"/>
      <c r="G2827" s="20"/>
      <c r="H2827" s="9"/>
      <c r="I2827" s="9"/>
    </row>
    <row r="2828" spans="2:9" s="10" customFormat="1" x14ac:dyDescent="0.4">
      <c r="B2828" s="15"/>
      <c r="C2828" s="19"/>
      <c r="D2828" s="20"/>
      <c r="E2828" s="20"/>
      <c r="F2828" s="20"/>
      <c r="G2828" s="20"/>
      <c r="H2828" s="9"/>
      <c r="I2828" s="9"/>
    </row>
    <row r="2829" spans="2:9" s="10" customFormat="1" x14ac:dyDescent="0.4">
      <c r="B2829" s="15"/>
      <c r="C2829" s="19"/>
      <c r="D2829" s="20"/>
      <c r="E2829" s="20"/>
      <c r="F2829" s="20"/>
      <c r="G2829" s="20"/>
      <c r="H2829" s="9"/>
      <c r="I2829" s="9"/>
    </row>
    <row r="2830" spans="2:9" s="10" customFormat="1" x14ac:dyDescent="0.4">
      <c r="B2830" s="15"/>
      <c r="C2830" s="19"/>
      <c r="D2830" s="20"/>
      <c r="E2830" s="20"/>
      <c r="F2830" s="20"/>
      <c r="G2830" s="20"/>
      <c r="H2830" s="9"/>
      <c r="I2830" s="9"/>
    </row>
    <row r="2831" spans="2:9" s="10" customFormat="1" x14ac:dyDescent="0.4">
      <c r="B2831" s="15"/>
      <c r="C2831" s="19"/>
      <c r="D2831" s="20"/>
      <c r="E2831" s="20"/>
      <c r="F2831" s="20"/>
      <c r="G2831" s="20"/>
      <c r="H2831" s="9"/>
      <c r="I2831" s="9"/>
    </row>
    <row r="2832" spans="2:9" s="10" customFormat="1" x14ac:dyDescent="0.4">
      <c r="B2832" s="15"/>
      <c r="C2832" s="19"/>
      <c r="D2832" s="20"/>
      <c r="E2832" s="20"/>
      <c r="F2832" s="20"/>
      <c r="G2832" s="20"/>
      <c r="H2832" s="9"/>
      <c r="I2832" s="9"/>
    </row>
    <row r="2833" spans="2:9" s="10" customFormat="1" x14ac:dyDescent="0.4">
      <c r="B2833" s="15"/>
      <c r="C2833" s="19"/>
      <c r="D2833" s="20"/>
      <c r="E2833" s="20"/>
      <c r="F2833" s="20"/>
      <c r="G2833" s="20"/>
      <c r="H2833" s="9"/>
      <c r="I2833" s="9"/>
    </row>
    <row r="2834" spans="2:9" s="10" customFormat="1" x14ac:dyDescent="0.4">
      <c r="B2834" s="15"/>
      <c r="C2834" s="19"/>
      <c r="D2834" s="20"/>
      <c r="E2834" s="20"/>
      <c r="F2834" s="20"/>
      <c r="G2834" s="20"/>
      <c r="H2834" s="9"/>
      <c r="I2834" s="9"/>
    </row>
    <row r="2835" spans="2:9" s="10" customFormat="1" x14ac:dyDescent="0.4">
      <c r="B2835" s="15"/>
      <c r="C2835" s="19"/>
      <c r="D2835" s="20"/>
      <c r="E2835" s="20"/>
      <c r="F2835" s="20"/>
      <c r="G2835" s="20"/>
      <c r="H2835" s="9"/>
      <c r="I2835" s="9"/>
    </row>
    <row r="2836" spans="2:9" s="10" customFormat="1" x14ac:dyDescent="0.4">
      <c r="B2836" s="15"/>
      <c r="C2836" s="19"/>
      <c r="D2836" s="20"/>
      <c r="E2836" s="20"/>
      <c r="F2836" s="20"/>
      <c r="G2836" s="20"/>
      <c r="H2836" s="9"/>
      <c r="I2836" s="9"/>
    </row>
    <row r="2837" spans="2:9" s="10" customFormat="1" x14ac:dyDescent="0.4">
      <c r="B2837" s="15"/>
      <c r="C2837" s="19"/>
      <c r="D2837" s="20"/>
      <c r="E2837" s="20"/>
      <c r="F2837" s="20"/>
      <c r="G2837" s="20"/>
      <c r="H2837" s="9"/>
      <c r="I2837" s="9"/>
    </row>
    <row r="2838" spans="2:9" s="10" customFormat="1" x14ac:dyDescent="0.4">
      <c r="B2838" s="15"/>
      <c r="C2838" s="19"/>
      <c r="D2838" s="20"/>
      <c r="E2838" s="20"/>
      <c r="F2838" s="20"/>
      <c r="G2838" s="20"/>
      <c r="H2838" s="9"/>
      <c r="I2838" s="9"/>
    </row>
    <row r="2839" spans="2:9" s="10" customFormat="1" x14ac:dyDescent="0.4">
      <c r="B2839" s="15"/>
      <c r="C2839" s="19"/>
      <c r="D2839" s="20"/>
      <c r="E2839" s="20"/>
      <c r="F2839" s="20"/>
      <c r="G2839" s="20"/>
      <c r="H2839" s="9"/>
      <c r="I2839" s="9"/>
    </row>
    <row r="2840" spans="2:9" s="10" customFormat="1" x14ac:dyDescent="0.4">
      <c r="B2840" s="15"/>
      <c r="C2840" s="19"/>
      <c r="D2840" s="20"/>
      <c r="E2840" s="20"/>
      <c r="F2840" s="20"/>
      <c r="G2840" s="20"/>
      <c r="H2840" s="9"/>
      <c r="I2840" s="9"/>
    </row>
    <row r="2841" spans="2:9" s="10" customFormat="1" x14ac:dyDescent="0.4">
      <c r="B2841" s="15"/>
      <c r="C2841" s="19"/>
      <c r="D2841" s="20"/>
      <c r="E2841" s="20"/>
      <c r="F2841" s="20"/>
      <c r="G2841" s="20"/>
      <c r="H2841" s="9"/>
      <c r="I2841" s="9"/>
    </row>
    <row r="2842" spans="2:9" s="10" customFormat="1" x14ac:dyDescent="0.4">
      <c r="B2842" s="15"/>
      <c r="C2842" s="19"/>
      <c r="D2842" s="20"/>
      <c r="E2842" s="20"/>
      <c r="F2842" s="20"/>
      <c r="G2842" s="20"/>
      <c r="H2842" s="9"/>
      <c r="I2842" s="9"/>
    </row>
    <row r="2843" spans="2:9" s="10" customFormat="1" x14ac:dyDescent="0.4">
      <c r="B2843" s="15"/>
      <c r="C2843" s="19"/>
      <c r="D2843" s="20"/>
      <c r="E2843" s="20"/>
      <c r="F2843" s="20"/>
      <c r="G2843" s="20"/>
      <c r="H2843" s="9"/>
      <c r="I2843" s="9"/>
    </row>
    <row r="2844" spans="2:9" s="10" customFormat="1" x14ac:dyDescent="0.4">
      <c r="B2844" s="15"/>
      <c r="C2844" s="19"/>
      <c r="D2844" s="20"/>
      <c r="E2844" s="20"/>
      <c r="F2844" s="20"/>
      <c r="G2844" s="20"/>
      <c r="H2844" s="9"/>
      <c r="I2844" s="9"/>
    </row>
    <row r="2845" spans="2:9" s="10" customFormat="1" x14ac:dyDescent="0.4">
      <c r="B2845" s="15"/>
      <c r="C2845" s="19"/>
      <c r="D2845" s="20"/>
      <c r="E2845" s="20"/>
      <c r="F2845" s="20"/>
      <c r="G2845" s="20"/>
      <c r="H2845" s="9"/>
      <c r="I2845" s="9"/>
    </row>
    <row r="2846" spans="2:9" s="10" customFormat="1" x14ac:dyDescent="0.4">
      <c r="B2846" s="15"/>
      <c r="C2846" s="19"/>
      <c r="D2846" s="20"/>
      <c r="E2846" s="20"/>
      <c r="F2846" s="20"/>
      <c r="G2846" s="20"/>
      <c r="H2846" s="9"/>
      <c r="I2846" s="9"/>
    </row>
    <row r="2847" spans="2:9" s="10" customFormat="1" x14ac:dyDescent="0.4">
      <c r="B2847" s="15"/>
      <c r="C2847" s="19"/>
      <c r="D2847" s="20"/>
      <c r="E2847" s="20"/>
      <c r="F2847" s="20"/>
      <c r="G2847" s="20"/>
      <c r="H2847" s="9"/>
      <c r="I2847" s="9"/>
    </row>
    <row r="2848" spans="2:9" s="10" customFormat="1" x14ac:dyDescent="0.4">
      <c r="B2848" s="15"/>
      <c r="C2848" s="19"/>
      <c r="D2848" s="20"/>
      <c r="E2848" s="20"/>
      <c r="F2848" s="20"/>
      <c r="G2848" s="20"/>
      <c r="H2848" s="9"/>
      <c r="I2848" s="9"/>
    </row>
    <row r="2849" spans="2:9" s="10" customFormat="1" x14ac:dyDescent="0.4">
      <c r="B2849" s="15"/>
      <c r="C2849" s="19"/>
      <c r="D2849" s="20"/>
      <c r="E2849" s="20"/>
      <c r="F2849" s="20"/>
      <c r="G2849" s="20"/>
      <c r="H2849" s="9"/>
      <c r="I2849" s="9"/>
    </row>
    <row r="2850" spans="2:9" s="10" customFormat="1" x14ac:dyDescent="0.4">
      <c r="B2850" s="15"/>
      <c r="C2850" s="19"/>
      <c r="D2850" s="20"/>
      <c r="E2850" s="20"/>
      <c r="F2850" s="20"/>
      <c r="G2850" s="20"/>
      <c r="H2850" s="9"/>
      <c r="I2850" s="9"/>
    </row>
    <row r="2851" spans="2:9" s="10" customFormat="1" x14ac:dyDescent="0.4">
      <c r="B2851" s="15"/>
      <c r="C2851" s="19"/>
      <c r="D2851" s="20"/>
      <c r="E2851" s="20"/>
      <c r="F2851" s="20"/>
      <c r="G2851" s="20"/>
      <c r="H2851" s="9"/>
      <c r="I2851" s="9"/>
    </row>
    <row r="2852" spans="2:9" s="10" customFormat="1" x14ac:dyDescent="0.4">
      <c r="B2852" s="15"/>
      <c r="C2852" s="19"/>
      <c r="D2852" s="20"/>
      <c r="E2852" s="20"/>
      <c r="F2852" s="20"/>
      <c r="G2852" s="20"/>
      <c r="H2852" s="9"/>
      <c r="I2852" s="9"/>
    </row>
    <row r="2853" spans="2:9" s="10" customFormat="1" x14ac:dyDescent="0.4">
      <c r="B2853" s="15"/>
      <c r="C2853" s="19"/>
      <c r="D2853" s="20"/>
      <c r="E2853" s="20"/>
      <c r="F2853" s="20"/>
      <c r="G2853" s="20"/>
      <c r="H2853" s="9"/>
      <c r="I2853" s="9"/>
    </row>
    <row r="2854" spans="2:9" s="10" customFormat="1" x14ac:dyDescent="0.4">
      <c r="B2854" s="15"/>
      <c r="C2854" s="19"/>
      <c r="D2854" s="20"/>
      <c r="E2854" s="20"/>
      <c r="F2854" s="20"/>
      <c r="G2854" s="20"/>
      <c r="H2854" s="9"/>
      <c r="I2854" s="9"/>
    </row>
    <row r="2855" spans="2:9" s="10" customFormat="1" x14ac:dyDescent="0.4">
      <c r="B2855" s="15"/>
      <c r="C2855" s="19"/>
      <c r="D2855" s="20"/>
      <c r="E2855" s="20"/>
      <c r="F2855" s="20"/>
      <c r="G2855" s="20"/>
      <c r="H2855" s="9"/>
      <c r="I2855" s="9"/>
    </row>
    <row r="2856" spans="2:9" s="10" customFormat="1" x14ac:dyDescent="0.4">
      <c r="B2856" s="15"/>
      <c r="C2856" s="19"/>
      <c r="D2856" s="20"/>
      <c r="E2856" s="20"/>
      <c r="F2856" s="20"/>
      <c r="G2856" s="20"/>
      <c r="H2856" s="9"/>
      <c r="I2856" s="9"/>
    </row>
    <row r="2857" spans="2:9" s="10" customFormat="1" x14ac:dyDescent="0.4">
      <c r="B2857" s="15"/>
      <c r="C2857" s="19"/>
      <c r="D2857" s="20"/>
      <c r="E2857" s="20"/>
      <c r="F2857" s="20"/>
      <c r="G2857" s="20"/>
      <c r="H2857" s="9"/>
      <c r="I2857" s="9"/>
    </row>
    <row r="2858" spans="2:9" s="10" customFormat="1" x14ac:dyDescent="0.4">
      <c r="B2858" s="15"/>
      <c r="C2858" s="19"/>
      <c r="D2858" s="20"/>
      <c r="E2858" s="20"/>
      <c r="F2858" s="20"/>
      <c r="G2858" s="20"/>
      <c r="H2858" s="9"/>
      <c r="I2858" s="9"/>
    </row>
    <row r="2859" spans="2:9" s="10" customFormat="1" x14ac:dyDescent="0.4">
      <c r="B2859" s="15"/>
      <c r="C2859" s="19"/>
      <c r="D2859" s="20"/>
      <c r="E2859" s="20"/>
      <c r="F2859" s="20"/>
      <c r="G2859" s="20"/>
      <c r="H2859" s="9"/>
      <c r="I2859" s="9"/>
    </row>
    <row r="2860" spans="2:9" s="10" customFormat="1" x14ac:dyDescent="0.4">
      <c r="B2860" s="15"/>
      <c r="C2860" s="19"/>
      <c r="D2860" s="20"/>
      <c r="E2860" s="20"/>
      <c r="F2860" s="20"/>
      <c r="G2860" s="20"/>
      <c r="H2860" s="9"/>
      <c r="I2860" s="9"/>
    </row>
    <row r="2861" spans="2:9" s="10" customFormat="1" x14ac:dyDescent="0.4">
      <c r="B2861" s="15"/>
      <c r="C2861" s="19"/>
      <c r="D2861" s="20"/>
      <c r="E2861" s="20"/>
      <c r="F2861" s="20"/>
      <c r="G2861" s="20"/>
      <c r="H2861" s="9"/>
      <c r="I2861" s="9"/>
    </row>
    <row r="2862" spans="2:9" s="10" customFormat="1" x14ac:dyDescent="0.4">
      <c r="B2862" s="15"/>
      <c r="C2862" s="19"/>
      <c r="D2862" s="20"/>
      <c r="E2862" s="20"/>
      <c r="F2862" s="20"/>
      <c r="G2862" s="20"/>
      <c r="H2862" s="9"/>
      <c r="I2862" s="9"/>
    </row>
    <row r="2863" spans="2:9" s="10" customFormat="1" x14ac:dyDescent="0.4">
      <c r="B2863" s="15"/>
      <c r="C2863" s="19"/>
      <c r="D2863" s="20"/>
      <c r="E2863" s="20"/>
      <c r="F2863" s="20"/>
      <c r="G2863" s="20"/>
      <c r="H2863" s="9"/>
      <c r="I2863" s="9"/>
    </row>
    <row r="2864" spans="2:9" s="10" customFormat="1" x14ac:dyDescent="0.4">
      <c r="B2864" s="15"/>
      <c r="C2864" s="19"/>
      <c r="D2864" s="20"/>
      <c r="E2864" s="20"/>
      <c r="F2864" s="20"/>
      <c r="G2864" s="20"/>
      <c r="H2864" s="9"/>
      <c r="I2864" s="9"/>
    </row>
    <row r="2865" spans="2:9" s="10" customFormat="1" x14ac:dyDescent="0.4">
      <c r="B2865" s="15"/>
      <c r="C2865" s="19"/>
      <c r="D2865" s="20"/>
      <c r="E2865" s="20"/>
      <c r="F2865" s="20"/>
      <c r="G2865" s="20"/>
      <c r="H2865" s="9"/>
      <c r="I2865" s="9"/>
    </row>
    <row r="2866" spans="2:9" s="10" customFormat="1" x14ac:dyDescent="0.4">
      <c r="B2866" s="15"/>
      <c r="C2866" s="19"/>
      <c r="D2866" s="20"/>
      <c r="E2866" s="20"/>
      <c r="F2866" s="20"/>
      <c r="G2866" s="20"/>
      <c r="H2866" s="9"/>
      <c r="I2866" s="9"/>
    </row>
    <row r="2867" spans="2:9" s="10" customFormat="1" x14ac:dyDescent="0.4">
      <c r="B2867" s="15"/>
      <c r="C2867" s="19"/>
      <c r="D2867" s="20"/>
      <c r="E2867" s="20"/>
      <c r="F2867" s="20"/>
      <c r="G2867" s="20"/>
      <c r="H2867" s="9"/>
      <c r="I2867" s="9"/>
    </row>
    <row r="2868" spans="2:9" s="10" customFormat="1" x14ac:dyDescent="0.4">
      <c r="B2868" s="15"/>
      <c r="C2868" s="19"/>
      <c r="D2868" s="20"/>
      <c r="E2868" s="20"/>
      <c r="F2868" s="20"/>
      <c r="G2868" s="20"/>
      <c r="H2868" s="9"/>
      <c r="I2868" s="9"/>
    </row>
    <row r="2869" spans="2:9" s="10" customFormat="1" x14ac:dyDescent="0.4">
      <c r="B2869" s="15"/>
      <c r="C2869" s="19"/>
      <c r="D2869" s="20"/>
      <c r="E2869" s="20"/>
      <c r="F2869" s="20"/>
      <c r="G2869" s="20"/>
      <c r="H2869" s="9"/>
      <c r="I2869" s="9"/>
    </row>
    <row r="2870" spans="2:9" s="10" customFormat="1" x14ac:dyDescent="0.4">
      <c r="B2870" s="15"/>
      <c r="C2870" s="19"/>
      <c r="D2870" s="20"/>
      <c r="E2870" s="20"/>
      <c r="F2870" s="20"/>
      <c r="G2870" s="20"/>
      <c r="H2870" s="9"/>
      <c r="I2870" s="9"/>
    </row>
    <row r="2871" spans="2:9" s="10" customFormat="1" x14ac:dyDescent="0.4">
      <c r="B2871" s="15"/>
      <c r="C2871" s="19"/>
      <c r="D2871" s="20"/>
      <c r="E2871" s="20"/>
      <c r="F2871" s="20"/>
      <c r="G2871" s="20"/>
      <c r="H2871" s="9"/>
      <c r="I2871" s="9"/>
    </row>
    <row r="2872" spans="2:9" s="10" customFormat="1" x14ac:dyDescent="0.4">
      <c r="B2872" s="15"/>
      <c r="C2872" s="19"/>
      <c r="D2872" s="20"/>
      <c r="E2872" s="20"/>
      <c r="F2872" s="20"/>
      <c r="G2872" s="20"/>
      <c r="H2872" s="9"/>
      <c r="I2872" s="9"/>
    </row>
    <row r="2873" spans="2:9" s="10" customFormat="1" x14ac:dyDescent="0.4">
      <c r="B2873" s="15"/>
      <c r="C2873" s="19"/>
      <c r="D2873" s="20"/>
      <c r="E2873" s="20"/>
      <c r="F2873" s="20"/>
      <c r="G2873" s="20"/>
      <c r="H2873" s="9"/>
      <c r="I2873" s="9"/>
    </row>
    <row r="2874" spans="2:9" s="10" customFormat="1" x14ac:dyDescent="0.4">
      <c r="B2874" s="15"/>
      <c r="C2874" s="19"/>
      <c r="D2874" s="20"/>
      <c r="E2874" s="20"/>
      <c r="F2874" s="20"/>
      <c r="G2874" s="20"/>
      <c r="H2874" s="9"/>
      <c r="I2874" s="9"/>
    </row>
    <row r="2875" spans="2:9" s="10" customFormat="1" x14ac:dyDescent="0.4">
      <c r="B2875" s="15"/>
      <c r="C2875" s="19"/>
      <c r="D2875" s="20"/>
      <c r="E2875" s="20"/>
      <c r="F2875" s="20"/>
      <c r="G2875" s="20"/>
      <c r="H2875" s="9"/>
      <c r="I2875" s="9"/>
    </row>
    <row r="2876" spans="2:9" s="10" customFormat="1" x14ac:dyDescent="0.4">
      <c r="B2876" s="15"/>
      <c r="C2876" s="19"/>
      <c r="D2876" s="20"/>
      <c r="E2876" s="20"/>
      <c r="F2876" s="20"/>
      <c r="G2876" s="20"/>
      <c r="H2876" s="9"/>
      <c r="I2876" s="9"/>
    </row>
    <row r="2877" spans="2:9" s="10" customFormat="1" x14ac:dyDescent="0.4">
      <c r="B2877" s="15"/>
      <c r="C2877" s="19"/>
      <c r="D2877" s="20"/>
      <c r="E2877" s="20"/>
      <c r="F2877" s="20"/>
      <c r="G2877" s="20"/>
      <c r="H2877" s="9"/>
      <c r="I2877" s="9"/>
    </row>
    <row r="2878" spans="2:9" s="10" customFormat="1" x14ac:dyDescent="0.4">
      <c r="B2878" s="15"/>
      <c r="C2878" s="19"/>
      <c r="D2878" s="20"/>
      <c r="E2878" s="20"/>
      <c r="F2878" s="20"/>
      <c r="G2878" s="20"/>
      <c r="H2878" s="9"/>
      <c r="I2878" s="9"/>
    </row>
    <row r="2879" spans="2:9" s="10" customFormat="1" x14ac:dyDescent="0.4">
      <c r="B2879" s="15"/>
      <c r="C2879" s="19"/>
      <c r="D2879" s="20"/>
      <c r="E2879" s="20"/>
      <c r="F2879" s="20"/>
      <c r="G2879" s="20"/>
      <c r="H2879" s="9"/>
      <c r="I2879" s="9"/>
    </row>
    <row r="2880" spans="2:9" s="10" customFormat="1" x14ac:dyDescent="0.4">
      <c r="B2880" s="15"/>
      <c r="C2880" s="19"/>
      <c r="D2880" s="20"/>
      <c r="E2880" s="20"/>
      <c r="F2880" s="20"/>
      <c r="G2880" s="20"/>
      <c r="H2880" s="9"/>
      <c r="I2880" s="9"/>
    </row>
    <row r="2881" spans="2:9" s="10" customFormat="1" x14ac:dyDescent="0.4">
      <c r="B2881" s="15"/>
      <c r="C2881" s="19"/>
      <c r="D2881" s="20"/>
      <c r="E2881" s="20"/>
      <c r="F2881" s="20"/>
      <c r="G2881" s="20"/>
      <c r="H2881" s="9"/>
      <c r="I2881" s="9"/>
    </row>
    <row r="2882" spans="2:9" s="10" customFormat="1" x14ac:dyDescent="0.4">
      <c r="B2882" s="15"/>
      <c r="C2882" s="19"/>
      <c r="D2882" s="20"/>
      <c r="E2882" s="20"/>
      <c r="F2882" s="20"/>
      <c r="G2882" s="20"/>
      <c r="H2882" s="9"/>
      <c r="I2882" s="9"/>
    </row>
    <row r="2883" spans="2:9" s="10" customFormat="1" x14ac:dyDescent="0.4">
      <c r="B2883" s="15"/>
      <c r="C2883" s="19"/>
      <c r="D2883" s="20"/>
      <c r="E2883" s="20"/>
      <c r="F2883" s="20"/>
      <c r="G2883" s="20"/>
      <c r="H2883" s="9"/>
      <c r="I2883" s="9"/>
    </row>
    <row r="2884" spans="2:9" s="10" customFormat="1" x14ac:dyDescent="0.4">
      <c r="B2884" s="15"/>
      <c r="C2884" s="19"/>
      <c r="D2884" s="20"/>
      <c r="E2884" s="20"/>
      <c r="F2884" s="20"/>
      <c r="G2884" s="20"/>
      <c r="H2884" s="9"/>
      <c r="I2884" s="9"/>
    </row>
    <row r="2885" spans="2:9" s="10" customFormat="1" x14ac:dyDescent="0.4">
      <c r="B2885" s="15"/>
      <c r="C2885" s="19"/>
      <c r="D2885" s="20"/>
      <c r="E2885" s="20"/>
      <c r="F2885" s="20"/>
      <c r="G2885" s="20"/>
      <c r="H2885" s="9"/>
      <c r="I2885" s="9"/>
    </row>
    <row r="2886" spans="2:9" s="10" customFormat="1" x14ac:dyDescent="0.4">
      <c r="B2886" s="15"/>
      <c r="C2886" s="19"/>
      <c r="D2886" s="20"/>
      <c r="E2886" s="20"/>
      <c r="F2886" s="20"/>
      <c r="G2886" s="20"/>
      <c r="H2886" s="9"/>
      <c r="I2886" s="9"/>
    </row>
    <row r="2887" spans="2:9" s="10" customFormat="1" x14ac:dyDescent="0.4">
      <c r="B2887" s="15"/>
      <c r="C2887" s="19"/>
      <c r="D2887" s="20"/>
      <c r="E2887" s="20"/>
      <c r="F2887" s="20"/>
      <c r="G2887" s="20"/>
      <c r="H2887" s="9"/>
      <c r="I2887" s="9"/>
    </row>
    <row r="2888" spans="2:9" s="10" customFormat="1" x14ac:dyDescent="0.4">
      <c r="B2888" s="15"/>
      <c r="C2888" s="19"/>
      <c r="D2888" s="20"/>
      <c r="E2888" s="20"/>
      <c r="F2888" s="20"/>
      <c r="G2888" s="20"/>
      <c r="H2888" s="9"/>
      <c r="I2888" s="9"/>
    </row>
    <row r="2889" spans="2:9" s="10" customFormat="1" x14ac:dyDescent="0.4">
      <c r="B2889" s="15"/>
      <c r="C2889" s="19"/>
      <c r="D2889" s="20"/>
      <c r="E2889" s="20"/>
      <c r="F2889" s="20"/>
      <c r="G2889" s="20"/>
      <c r="H2889" s="9"/>
      <c r="I2889" s="9"/>
    </row>
    <row r="2890" spans="2:9" s="10" customFormat="1" x14ac:dyDescent="0.4">
      <c r="B2890" s="15"/>
      <c r="C2890" s="19"/>
      <c r="D2890" s="20"/>
      <c r="E2890" s="20"/>
      <c r="F2890" s="20"/>
      <c r="G2890" s="20"/>
      <c r="H2890" s="9"/>
      <c r="I2890" s="9"/>
    </row>
    <row r="2891" spans="2:9" s="10" customFormat="1" x14ac:dyDescent="0.4">
      <c r="B2891" s="15"/>
      <c r="C2891" s="19"/>
      <c r="D2891" s="20"/>
      <c r="E2891" s="20"/>
      <c r="F2891" s="20"/>
      <c r="G2891" s="20"/>
      <c r="H2891" s="9"/>
      <c r="I2891" s="9"/>
    </row>
    <row r="2892" spans="2:9" s="10" customFormat="1" x14ac:dyDescent="0.4">
      <c r="B2892" s="15"/>
      <c r="C2892" s="19"/>
      <c r="D2892" s="20"/>
      <c r="E2892" s="20"/>
      <c r="F2892" s="20"/>
      <c r="G2892" s="20"/>
      <c r="H2892" s="9"/>
      <c r="I2892" s="9"/>
    </row>
    <row r="2893" spans="2:9" s="10" customFormat="1" x14ac:dyDescent="0.4">
      <c r="B2893" s="15"/>
      <c r="C2893" s="19"/>
      <c r="D2893" s="20"/>
      <c r="E2893" s="20"/>
      <c r="F2893" s="20"/>
      <c r="G2893" s="20"/>
      <c r="H2893" s="9"/>
      <c r="I2893" s="9"/>
    </row>
    <row r="2894" spans="2:9" s="10" customFormat="1" x14ac:dyDescent="0.4">
      <c r="B2894" s="15"/>
      <c r="C2894" s="19"/>
      <c r="D2894" s="20"/>
      <c r="E2894" s="20"/>
      <c r="F2894" s="20"/>
      <c r="G2894" s="20"/>
      <c r="H2894" s="9"/>
      <c r="I2894" s="9"/>
    </row>
    <row r="2895" spans="2:9" s="10" customFormat="1" x14ac:dyDescent="0.4">
      <c r="B2895" s="15"/>
      <c r="C2895" s="19"/>
      <c r="D2895" s="20"/>
      <c r="E2895" s="20"/>
      <c r="F2895" s="20"/>
      <c r="G2895" s="20"/>
      <c r="H2895" s="9"/>
      <c r="I2895" s="9"/>
    </row>
    <row r="2896" spans="2:9" s="10" customFormat="1" x14ac:dyDescent="0.4">
      <c r="B2896" s="15"/>
      <c r="C2896" s="19"/>
      <c r="D2896" s="20"/>
      <c r="E2896" s="20"/>
      <c r="F2896" s="20"/>
      <c r="G2896" s="20"/>
      <c r="H2896" s="9"/>
      <c r="I2896" s="9"/>
    </row>
    <row r="2897" spans="2:9" s="10" customFormat="1" x14ac:dyDescent="0.4">
      <c r="B2897" s="15"/>
      <c r="C2897" s="19"/>
      <c r="D2897" s="20"/>
      <c r="E2897" s="20"/>
      <c r="F2897" s="20"/>
      <c r="G2897" s="20"/>
      <c r="H2897" s="9"/>
      <c r="I2897" s="9"/>
    </row>
    <row r="2898" spans="2:9" s="10" customFormat="1" x14ac:dyDescent="0.4">
      <c r="B2898" s="15"/>
      <c r="C2898" s="19"/>
      <c r="D2898" s="20"/>
      <c r="E2898" s="20"/>
      <c r="F2898" s="20"/>
      <c r="G2898" s="20"/>
      <c r="H2898" s="9"/>
      <c r="I2898" s="9"/>
    </row>
    <row r="2899" spans="2:9" s="10" customFormat="1" x14ac:dyDescent="0.4">
      <c r="B2899" s="15"/>
      <c r="C2899" s="19"/>
      <c r="D2899" s="20"/>
      <c r="E2899" s="20"/>
      <c r="F2899" s="20"/>
      <c r="G2899" s="20"/>
      <c r="H2899" s="9"/>
      <c r="I2899" s="9"/>
    </row>
    <row r="2900" spans="2:9" s="10" customFormat="1" x14ac:dyDescent="0.4">
      <c r="B2900" s="15"/>
      <c r="C2900" s="19"/>
      <c r="D2900" s="20"/>
      <c r="E2900" s="20"/>
      <c r="F2900" s="20"/>
      <c r="G2900" s="20"/>
      <c r="H2900" s="9"/>
      <c r="I2900" s="9"/>
    </row>
    <row r="2901" spans="2:9" s="10" customFormat="1" x14ac:dyDescent="0.4">
      <c r="B2901" s="15"/>
      <c r="C2901" s="19"/>
      <c r="D2901" s="20"/>
      <c r="E2901" s="20"/>
      <c r="F2901" s="20"/>
      <c r="G2901" s="20"/>
      <c r="H2901" s="9"/>
      <c r="I2901" s="9"/>
    </row>
    <row r="2902" spans="2:9" s="10" customFormat="1" x14ac:dyDescent="0.4">
      <c r="B2902" s="15"/>
      <c r="C2902" s="19"/>
      <c r="D2902" s="20"/>
      <c r="E2902" s="20"/>
      <c r="F2902" s="20"/>
      <c r="G2902" s="20"/>
      <c r="H2902" s="9"/>
      <c r="I2902" s="9"/>
    </row>
    <row r="2903" spans="2:9" s="10" customFormat="1" x14ac:dyDescent="0.4">
      <c r="B2903" s="15"/>
      <c r="C2903" s="19"/>
      <c r="D2903" s="20"/>
      <c r="E2903" s="20"/>
      <c r="F2903" s="20"/>
      <c r="G2903" s="20"/>
      <c r="H2903" s="9"/>
      <c r="I2903" s="9"/>
    </row>
    <row r="2904" spans="2:9" s="10" customFormat="1" x14ac:dyDescent="0.4">
      <c r="B2904" s="15"/>
      <c r="C2904" s="19"/>
      <c r="D2904" s="20"/>
      <c r="E2904" s="20"/>
      <c r="F2904" s="20"/>
      <c r="G2904" s="20"/>
      <c r="H2904" s="9"/>
      <c r="I2904" s="9"/>
    </row>
    <row r="2905" spans="2:9" s="10" customFormat="1" x14ac:dyDescent="0.4">
      <c r="B2905" s="15"/>
      <c r="C2905" s="19"/>
      <c r="D2905" s="20"/>
      <c r="E2905" s="20"/>
      <c r="F2905" s="20"/>
      <c r="G2905" s="20"/>
      <c r="H2905" s="9"/>
      <c r="I2905" s="9"/>
    </row>
    <row r="2906" spans="2:9" s="10" customFormat="1" x14ac:dyDescent="0.4">
      <c r="B2906" s="15"/>
      <c r="C2906" s="19"/>
      <c r="D2906" s="20"/>
      <c r="E2906" s="20"/>
      <c r="F2906" s="20"/>
      <c r="G2906" s="20"/>
      <c r="H2906" s="9"/>
      <c r="I2906" s="9"/>
    </row>
    <row r="2907" spans="2:9" s="10" customFormat="1" x14ac:dyDescent="0.4">
      <c r="B2907" s="15"/>
      <c r="C2907" s="19"/>
      <c r="D2907" s="20"/>
      <c r="E2907" s="20"/>
      <c r="F2907" s="20"/>
      <c r="G2907" s="20"/>
      <c r="H2907" s="9"/>
      <c r="I2907" s="9"/>
    </row>
    <row r="2908" spans="2:9" s="10" customFormat="1" x14ac:dyDescent="0.4">
      <c r="B2908" s="15"/>
      <c r="C2908" s="19"/>
      <c r="D2908" s="20"/>
      <c r="E2908" s="20"/>
      <c r="F2908" s="20"/>
      <c r="G2908" s="20"/>
      <c r="H2908" s="9"/>
      <c r="I2908" s="9"/>
    </row>
    <row r="2909" spans="2:9" s="10" customFormat="1" x14ac:dyDescent="0.4">
      <c r="B2909" s="15"/>
      <c r="C2909" s="19"/>
      <c r="D2909" s="20"/>
      <c r="E2909" s="20"/>
      <c r="F2909" s="20"/>
      <c r="G2909" s="20"/>
      <c r="H2909" s="9"/>
      <c r="I2909" s="9"/>
    </row>
    <row r="2910" spans="2:9" s="10" customFormat="1" x14ac:dyDescent="0.4">
      <c r="B2910" s="15"/>
      <c r="C2910" s="19"/>
      <c r="D2910" s="20"/>
      <c r="E2910" s="20"/>
      <c r="F2910" s="20"/>
      <c r="G2910" s="20"/>
      <c r="H2910" s="9"/>
      <c r="I2910" s="9"/>
    </row>
    <row r="2911" spans="2:9" s="10" customFormat="1" x14ac:dyDescent="0.4">
      <c r="B2911" s="15"/>
      <c r="C2911" s="19"/>
      <c r="D2911" s="20"/>
      <c r="E2911" s="20"/>
      <c r="F2911" s="20"/>
      <c r="G2911" s="20"/>
      <c r="H2911" s="9"/>
      <c r="I2911" s="9"/>
    </row>
    <row r="2912" spans="2:9" s="10" customFormat="1" x14ac:dyDescent="0.4">
      <c r="B2912" s="15"/>
      <c r="C2912" s="19"/>
      <c r="D2912" s="20"/>
      <c r="E2912" s="20"/>
      <c r="F2912" s="20"/>
      <c r="G2912" s="20"/>
      <c r="H2912" s="9"/>
      <c r="I2912" s="9"/>
    </row>
    <row r="2913" spans="2:9" s="10" customFormat="1" x14ac:dyDescent="0.4">
      <c r="B2913" s="15"/>
      <c r="C2913" s="19"/>
      <c r="D2913" s="20"/>
      <c r="E2913" s="20"/>
      <c r="F2913" s="20"/>
      <c r="G2913" s="20"/>
      <c r="H2913" s="9"/>
      <c r="I2913" s="9"/>
    </row>
  </sheetData>
  <mergeCells count="26">
    <mergeCell ref="B272:I272"/>
    <mergeCell ref="B289:I289"/>
    <mergeCell ref="B1:I1"/>
    <mergeCell ref="B83:I83"/>
    <mergeCell ref="B150:I150"/>
    <mergeCell ref="B176:I176"/>
    <mergeCell ref="B217:I217"/>
    <mergeCell ref="B46:I46"/>
    <mergeCell ref="B334:I334"/>
    <mergeCell ref="B360:I360"/>
    <mergeCell ref="B374:I374"/>
    <mergeCell ref="B448:I448"/>
    <mergeCell ref="B476:I476"/>
    <mergeCell ref="B499:I499"/>
    <mergeCell ref="B530:I530"/>
    <mergeCell ref="B558:I558"/>
    <mergeCell ref="B839:I839"/>
    <mergeCell ref="B876:I876"/>
    <mergeCell ref="B672:I672"/>
    <mergeCell ref="B710:I710"/>
    <mergeCell ref="B754:I754"/>
    <mergeCell ref="B786:I786"/>
    <mergeCell ref="B576:I576"/>
    <mergeCell ref="B587:I587"/>
    <mergeCell ref="B619:I619"/>
    <mergeCell ref="B651:I651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ignoredErrors>
    <ignoredError sqref="D497" unlockedFormula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TR Final (2)</vt:lpstr>
      <vt:lpstr>GERAL</vt:lpstr>
      <vt:lpstr>TR</vt:lpstr>
      <vt:lpstr>LISTAS PRECOS PARA PROPOSTA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Marcelo Mergulhao</cp:lastModifiedBy>
  <dcterms:created xsi:type="dcterms:W3CDTF">2025-10-28T13:09:17Z</dcterms:created>
  <dcterms:modified xsi:type="dcterms:W3CDTF">2025-10-31T12:36:56Z</dcterms:modified>
</cp:coreProperties>
</file>