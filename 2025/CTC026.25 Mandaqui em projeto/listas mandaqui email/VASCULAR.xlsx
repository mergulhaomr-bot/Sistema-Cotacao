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V:\CME\LISTAGEM E IMAGENS CAIXAS 2024\VASCULAR  Copia\"/>
    </mc:Choice>
  </mc:AlternateContent>
  <bookViews>
    <workbookView xWindow="0" yWindow="0" windowWidth="20490" windowHeight="7650" activeTab="1"/>
  </bookViews>
  <sheets>
    <sheet name="AMPUTAÇÃO 40PÇS" sheetId="2" r:id="rId1"/>
    <sheet name="VASCULAR BRANCA 106PÇS" sheetId="8" r:id="rId2"/>
    <sheet name="VASCULAR PRETA 105PÇS" sheetId="9" r:id="rId3"/>
    <sheet name="VASCULAR VERDE VERDE 103" sheetId="10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5" i="8" l="1"/>
  <c r="B25" i="8"/>
  <c r="B22" i="2" l="1"/>
</calcChain>
</file>

<file path=xl/sharedStrings.xml><?xml version="1.0" encoding="utf-8"?>
<sst xmlns="http://schemas.openxmlformats.org/spreadsheetml/2006/main" count="158" uniqueCount="87">
  <si>
    <t>QTD</t>
  </si>
  <si>
    <t>AMPUTAÇÃO</t>
  </si>
  <si>
    <t>AFASTADOR AUTOSTATICO ARTICULADO GRANDE</t>
  </si>
  <si>
    <t>AFASTADOR AUTOSTATICO ARTICULADO PEQUENO</t>
  </si>
  <si>
    <t>AFASTADOR DE COSTELA</t>
  </si>
  <si>
    <t>BULDDOG</t>
  </si>
  <si>
    <t>PINÇA ADSON COM DENTE</t>
  </si>
  <si>
    <t>PINÇA BABY MIXTER DELICADA</t>
  </si>
  <si>
    <t>PINÇA BACKAUS</t>
  </si>
  <si>
    <t>PINÇA KELLY RETA</t>
  </si>
  <si>
    <t>PINÇA KOCKER CURVA</t>
  </si>
  <si>
    <t>PINÇA MOSQUITO RETO</t>
  </si>
  <si>
    <t>PINÇA MOSQUITO CURVO</t>
  </si>
  <si>
    <t>TESOURA POTZ</t>
  </si>
  <si>
    <t>PINÇA CHERON</t>
  </si>
  <si>
    <t>AFASTADOR FARABEUFF PEQUENO</t>
  </si>
  <si>
    <t>AFASTADOR FARABEUFF MEDIO</t>
  </si>
  <si>
    <t>CABO DE BISTURI 3</t>
  </si>
  <si>
    <t>PINÇA ALLIS</t>
  </si>
  <si>
    <t>PINÇA MIXTER MEDIO</t>
  </si>
  <si>
    <t>PINÇA SANTINSK</t>
  </si>
  <si>
    <t>PORTA AGULHA MEDIO COM VIDEA</t>
  </si>
  <si>
    <t>TESOURA METZEBNAUM RETA DELICADA</t>
  </si>
  <si>
    <t>TESOURA METZEBNAUM CURVA DELICADA</t>
  </si>
  <si>
    <t>Total</t>
  </si>
  <si>
    <t>AFASTADOR DE JANSEN</t>
  </si>
  <si>
    <t>CABO DE BISTURI 4</t>
  </si>
  <si>
    <t>PINÇA ANTOMICA PEQUENA</t>
  </si>
  <si>
    <t>PINÇA ARTERIAL  SERRILHADA</t>
  </si>
  <si>
    <t>PINÇA MIXTER LONGO</t>
  </si>
  <si>
    <t>AFASTADOR RICHARDSON</t>
  </si>
  <si>
    <t>CLAMP CIRCULAR MÉDIO</t>
  </si>
  <si>
    <t>CLAMP CIRCULAR GRANDE</t>
  </si>
  <si>
    <t>CLAMP RETO</t>
  </si>
  <si>
    <t>CLAMP RETO ANGULADO GRANDE</t>
  </si>
  <si>
    <t>CLAMP SEMI RETO</t>
  </si>
  <si>
    <t xml:space="preserve">DESCOLADOR </t>
  </si>
  <si>
    <t>PINÇA ANATOMICA  MÉDIA</t>
  </si>
  <si>
    <t>PINÇA DENTE DE RATO</t>
  </si>
  <si>
    <t>PINÇA KELLY CURVA</t>
  </si>
  <si>
    <t>PINÇA KOCKER RETA</t>
  </si>
  <si>
    <t>ENDARTERÓTOMO</t>
  </si>
  <si>
    <t>PONTA DE ASPIRADOR</t>
  </si>
  <si>
    <t>MATERIAL</t>
  </si>
  <si>
    <t>ANATOMICA</t>
  </si>
  <si>
    <t>BACKAUS</t>
  </si>
  <si>
    <t>CABO DE BISTURI</t>
  </si>
  <si>
    <t>CHERON</t>
  </si>
  <si>
    <t>CIZALIA</t>
  </si>
  <si>
    <t>DENTE DE RATO</t>
  </si>
  <si>
    <t>FARABEUFF DELICADO</t>
  </si>
  <si>
    <t>GANCHO PARA SERRA DE GIGLE</t>
  </si>
  <si>
    <t>KELLY CURVA</t>
  </si>
  <si>
    <t>KELLY RETA</t>
  </si>
  <si>
    <t>KOCKER RETA</t>
  </si>
  <si>
    <t>LIMA OSSEA</t>
  </si>
  <si>
    <t>MOSQUITO CURVO</t>
  </si>
  <si>
    <t>PORTA AGULHA COM VIDEA</t>
  </si>
  <si>
    <t>SACABOCADO</t>
  </si>
  <si>
    <t>TESOURA MAYO CURVA</t>
  </si>
  <si>
    <t>TOTAL</t>
  </si>
  <si>
    <t>AFASTADOR AUTOSTATICO ARTICULADO GDE</t>
  </si>
  <si>
    <t>AFASTADOR AUTOSTATICO ARTICULADO PEQ</t>
  </si>
  <si>
    <t>PORTA AGULHA DELICADO PEQ. COM VIDEA</t>
  </si>
  <si>
    <t>VASCULAR  VERDE E BRANCA</t>
  </si>
  <si>
    <t>QUANTIDADE:01</t>
  </si>
  <si>
    <t>VASCULAR  VERDE E PRETA</t>
  </si>
  <si>
    <t>TOTAL DE CAIXAS: 01</t>
  </si>
  <si>
    <t>PORTA AGULHA DEL. PEQ. COM VIDEA</t>
  </si>
  <si>
    <t>TESOURA METZEBNAUM CURVA DEL.</t>
  </si>
  <si>
    <t>QUANTIDADE DE CAIXA:</t>
  </si>
  <si>
    <t>VASCULAR  VERDE E VERDE</t>
  </si>
  <si>
    <t xml:space="preserve">PINÇA ADSON </t>
  </si>
  <si>
    <t>PINÇA MIXTER DELICADA</t>
  </si>
  <si>
    <t>PORTA AGULHA  P / M/ G</t>
  </si>
  <si>
    <t xml:space="preserve">TESOURA METZEBNAUM RETA </t>
  </si>
  <si>
    <t xml:space="preserve">TESOURA METZEBNAUM CURVA </t>
  </si>
  <si>
    <t>PINÇA VASCULAR</t>
  </si>
  <si>
    <t>CLAMP CURVO</t>
  </si>
  <si>
    <t>CLAMP C PEQUENO</t>
  </si>
  <si>
    <t>CLAMP RETO PEQ</t>
  </si>
  <si>
    <t>DEBAKEY</t>
  </si>
  <si>
    <t xml:space="preserve">TESOURA METZEBNAUM PRETA CURVA </t>
  </si>
  <si>
    <t>TOTAL: 103</t>
  </si>
  <si>
    <t>TOTAL: 109</t>
  </si>
  <si>
    <t>BULDOG</t>
  </si>
  <si>
    <t>TOTAL:109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</si>
</sst>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5" fillId="0" borderId="1" xfId="0" applyFont="1" applyBorder="1"/>
    <xf numFmtId="0" fontId="4" fillId="0" borderId="0" xfId="0" applyFont="1" applyBorder="1"/>
    <xf numFmtId="0" fontId="0" fillId="0" borderId="0" xfId="0" applyBorder="1"/>
    <xf numFmtId="0" fontId="5" fillId="0" borderId="1" xfId="0" applyFont="1" applyBorder="1" applyAlignment="1">
      <alignment horizontal="center"/>
    </xf>
    <xf numFmtId="0" fontId="0" fillId="2" borderId="0" xfId="0" applyFill="1"/>
    <xf numFmtId="0" fontId="4" fillId="2" borderId="1" xfId="0" applyFont="1" applyFill="1" applyBorder="1"/>
    <xf numFmtId="0" fontId="4" fillId="0" borderId="0" xfId="0" applyFont="1"/>
    <xf numFmtId="0" fontId="5" fillId="0" borderId="1" xfId="0" applyFont="1" applyBorder="1" applyAlignment="1">
      <alignment horizontal="left"/>
    </xf>
    <xf numFmtId="0" fontId="1" fillId="0" borderId="0" xfId="0" applyFont="1" applyBorder="1"/>
    <xf numFmtId="0" fontId="1" fillId="0" borderId="0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0" xfId="0" applyFont="1" applyFill="1"/>
    <xf numFmtId="0" fontId="4" fillId="2" borderId="1" xfId="0" applyFont="1" applyFill="1" applyBorder="1" applyAlignment="1">
      <alignment horizontal="left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0" xfId="0" applyFont="1"/>
    <xf numFmtId="0" fontId="6" fillId="0" borderId="1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7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D22"/>
  <sheetViews>
    <sheetView workbookViewId="0">
      <selection activeCell="H20" sqref="H20"/>
    </sheetView>
  </sheetViews>
  <sheetFormatPr defaultRowHeight="15" x14ac:dyDescent="0.25"/>
  <cols>
    <col min="1" max="1" width="31" customWidth="1"/>
    <col min="2" max="2" width="8.7109375" customWidth="1"/>
    <col min="4" max="4" width="14.42578125" customWidth="1"/>
  </cols>
  <sheetData>
    <row r="1" spans="1:4" ht="16.5" thickBot="1" x14ac:dyDescent="0.3">
      <c r="A1" s="24" t="s">
        <v>1</v>
      </c>
      <c r="B1" s="25"/>
    </row>
    <row r="2" spans="1:4" ht="16.5" thickBot="1" x14ac:dyDescent="0.3">
      <c r="A2" s="24" t="s">
        <v>70</v>
      </c>
      <c r="B2" s="25"/>
    </row>
    <row r="4" spans="1:4" ht="15.75" x14ac:dyDescent="0.25">
      <c r="A4" s="6" t="s">
        <v>43</v>
      </c>
      <c r="B4" s="6" t="s">
        <v>0</v>
      </c>
    </row>
    <row r="5" spans="1:4" ht="15.75" x14ac:dyDescent="0.25">
      <c r="A5" s="1" t="s">
        <v>44</v>
      </c>
      <c r="B5" s="5">
        <v>3</v>
      </c>
      <c r="C5" s="7"/>
      <c r="D5" s="8"/>
    </row>
    <row r="6" spans="1:4" ht="15.75" x14ac:dyDescent="0.25">
      <c r="A6" s="1" t="s">
        <v>45</v>
      </c>
      <c r="B6" s="5">
        <v>5</v>
      </c>
      <c r="C6" s="7"/>
      <c r="D6" s="8"/>
    </row>
    <row r="7" spans="1:4" ht="15.75" x14ac:dyDescent="0.25">
      <c r="A7" s="1" t="s">
        <v>46</v>
      </c>
      <c r="B7" s="5">
        <v>1</v>
      </c>
      <c r="C7" s="7"/>
      <c r="D7" s="8"/>
    </row>
    <row r="8" spans="1:4" ht="15.75" x14ac:dyDescent="0.25">
      <c r="A8" s="1" t="s">
        <v>47</v>
      </c>
      <c r="B8" s="5">
        <v>1</v>
      </c>
      <c r="C8" s="7"/>
      <c r="D8" s="8"/>
    </row>
    <row r="9" spans="1:4" ht="15.75" x14ac:dyDescent="0.25">
      <c r="A9" s="1" t="s">
        <v>48</v>
      </c>
      <c r="B9" s="5">
        <v>1</v>
      </c>
      <c r="C9" s="7"/>
      <c r="D9" s="8"/>
    </row>
    <row r="10" spans="1:4" ht="15.75" x14ac:dyDescent="0.25">
      <c r="A10" s="1" t="s">
        <v>49</v>
      </c>
      <c r="B10" s="5">
        <v>3</v>
      </c>
      <c r="C10" s="7"/>
      <c r="D10" s="8"/>
    </row>
    <row r="11" spans="1:4" ht="15.75" x14ac:dyDescent="0.25">
      <c r="A11" s="1" t="s">
        <v>50</v>
      </c>
      <c r="B11" s="5">
        <v>2</v>
      </c>
      <c r="C11" s="7"/>
      <c r="D11" s="8"/>
    </row>
    <row r="12" spans="1:4" ht="15.75" x14ac:dyDescent="0.25">
      <c r="A12" s="1" t="s">
        <v>51</v>
      </c>
      <c r="B12" s="5">
        <v>2</v>
      </c>
      <c r="C12" s="7"/>
      <c r="D12" s="8"/>
    </row>
    <row r="13" spans="1:4" ht="15.75" x14ac:dyDescent="0.25">
      <c r="A13" s="1" t="s">
        <v>52</v>
      </c>
      <c r="B13" s="5">
        <v>6</v>
      </c>
      <c r="C13" s="7"/>
      <c r="D13" s="8"/>
    </row>
    <row r="14" spans="1:4" ht="15.75" x14ac:dyDescent="0.25">
      <c r="A14" s="1" t="s">
        <v>53</v>
      </c>
      <c r="B14" s="5">
        <v>6</v>
      </c>
      <c r="C14" s="7"/>
      <c r="D14" s="8"/>
    </row>
    <row r="15" spans="1:4" ht="15.75" x14ac:dyDescent="0.25">
      <c r="A15" s="1" t="s">
        <v>54</v>
      </c>
      <c r="B15" s="5">
        <v>2</v>
      </c>
      <c r="C15" s="7"/>
      <c r="D15" s="8"/>
    </row>
    <row r="16" spans="1:4" ht="15.75" x14ac:dyDescent="0.25">
      <c r="A16" s="1" t="s">
        <v>55</v>
      </c>
      <c r="B16" s="5">
        <v>1</v>
      </c>
      <c r="C16" s="7"/>
      <c r="D16" s="8"/>
    </row>
    <row r="17" spans="1:4" ht="15.75" x14ac:dyDescent="0.25">
      <c r="A17" s="1" t="s">
        <v>56</v>
      </c>
      <c r="B17" s="5">
        <v>4</v>
      </c>
      <c r="C17" s="7"/>
      <c r="D17" s="8"/>
    </row>
    <row r="18" spans="1:4" ht="15.75" x14ac:dyDescent="0.25">
      <c r="A18" s="1" t="s">
        <v>57</v>
      </c>
      <c r="B18" s="5">
        <v>1</v>
      </c>
      <c r="C18" s="7"/>
      <c r="D18" s="8"/>
    </row>
    <row r="19" spans="1:4" ht="15.75" x14ac:dyDescent="0.25">
      <c r="A19" s="1" t="s">
        <v>58</v>
      </c>
      <c r="B19" s="5">
        <v>1</v>
      </c>
      <c r="C19" s="7"/>
      <c r="D19" s="8"/>
    </row>
    <row r="20" spans="1:4" ht="15.75" x14ac:dyDescent="0.25">
      <c r="A20" s="1" t="s">
        <v>59</v>
      </c>
      <c r="B20" s="5">
        <v>1</v>
      </c>
      <c r="C20" s="7"/>
      <c r="D20" s="8"/>
    </row>
    <row r="21" spans="1:4" ht="15.75" x14ac:dyDescent="0.25">
      <c r="A21" s="5"/>
      <c r="B21" s="5"/>
    </row>
    <row r="22" spans="1:4" ht="15.75" x14ac:dyDescent="0.25">
      <c r="A22" s="6" t="s">
        <v>60</v>
      </c>
      <c r="B22" s="6">
        <f>SUM(B5:B21)</f>
        <v>40</v>
      </c>
    </row>
  </sheetData>
  <sortState ref="A5:B20">
    <sortCondition ref="A5"/>
  </sortState>
  <mergeCells count="2">
    <mergeCell ref="A1:B1"/>
    <mergeCell ref="A2:B2"/>
  </mergeCell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E46"/>
  <sheetViews>
    <sheetView tabSelected="1" view="pageLayout" topLeftCell="A4" zoomScaleNormal="100" workbookViewId="0">
      <selection activeCell="A5" sqref="A5:E24"/>
    </sheetView>
  </sheetViews>
  <sheetFormatPr defaultRowHeight="15" x14ac:dyDescent="0.25"/>
  <cols>
    <col min="1" max="1" width="50.42578125" customWidth="1"/>
    <col min="2" max="2" width="11.5703125" customWidth="1"/>
    <col min="4" max="4" width="40" customWidth="1"/>
  </cols>
  <sheetData>
    <row r="1" spans="1:5" ht="16.5" thickBot="1" x14ac:dyDescent="0.3">
      <c r="A1" s="24" t="s">
        <v>64</v>
      </c>
      <c r="B1" s="28"/>
      <c r="C1" s="28"/>
      <c r="D1" s="28"/>
      <c r="E1" s="25"/>
    </row>
    <row r="2" spans="1:5" ht="16.5" thickBot="1" x14ac:dyDescent="0.3">
      <c r="A2" s="29" t="s">
        <v>65</v>
      </c>
      <c r="B2" s="30"/>
      <c r="C2" s="30"/>
      <c r="D2" s="30"/>
      <c r="E2" s="31"/>
    </row>
    <row r="3" spans="1:5" ht="15.75" x14ac:dyDescent="0.25">
      <c r="A3" s="26"/>
      <c r="B3" s="26"/>
      <c r="C3" s="26"/>
      <c r="D3" s="26"/>
      <c r="E3" s="26"/>
    </row>
    <row r="4" spans="1:5" ht="15.75" x14ac:dyDescent="0.25">
      <c r="A4" s="13" t="s">
        <v>43</v>
      </c>
      <c r="B4" s="9" t="s">
        <v>0</v>
      </c>
      <c r="C4" s="12"/>
      <c r="D4" s="13" t="s">
        <v>43</v>
      </c>
      <c r="E4" s="9" t="s">
        <v>0</v>
      </c>
    </row>
    <row r="5" spans="1:5" ht="18.75" x14ac:dyDescent="0.3">
      <c r="A5" s="20" t="s">
        <v>61</v>
      </c>
      <c r="B5" s="21">
        <v>1</v>
      </c>
      <c r="C5" s="22"/>
      <c r="D5" s="20" t="s">
        <v>37</v>
      </c>
      <c r="E5" s="21">
        <v>2</v>
      </c>
    </row>
    <row r="6" spans="1:5" ht="18.75" x14ac:dyDescent="0.3">
      <c r="A6" s="20" t="s">
        <v>62</v>
      </c>
      <c r="B6" s="21">
        <v>1</v>
      </c>
      <c r="C6" s="22"/>
      <c r="D6" s="20" t="s">
        <v>27</v>
      </c>
      <c r="E6" s="21">
        <v>1</v>
      </c>
    </row>
    <row r="7" spans="1:5" ht="18.75" x14ac:dyDescent="0.3">
      <c r="A7" s="20" t="s">
        <v>4</v>
      </c>
      <c r="B7" s="21">
        <v>1</v>
      </c>
      <c r="C7" s="22"/>
      <c r="D7" s="20" t="s">
        <v>38</v>
      </c>
      <c r="E7" s="21">
        <v>2</v>
      </c>
    </row>
    <row r="8" spans="1:5" ht="18.75" x14ac:dyDescent="0.3">
      <c r="A8" s="20" t="s">
        <v>15</v>
      </c>
      <c r="B8" s="21">
        <v>2</v>
      </c>
      <c r="C8" s="22"/>
      <c r="D8" s="20" t="s">
        <v>8</v>
      </c>
      <c r="E8" s="21">
        <v>12</v>
      </c>
    </row>
    <row r="9" spans="1:5" ht="18.75" x14ac:dyDescent="0.3">
      <c r="A9" s="20" t="s">
        <v>16</v>
      </c>
      <c r="B9" s="21">
        <v>2</v>
      </c>
      <c r="C9" s="22"/>
      <c r="D9" s="20" t="s">
        <v>14</v>
      </c>
      <c r="E9" s="21">
        <v>1</v>
      </c>
    </row>
    <row r="10" spans="1:5" ht="18.75" x14ac:dyDescent="0.3">
      <c r="A10" s="23" t="s">
        <v>30</v>
      </c>
      <c r="B10" s="21">
        <v>2</v>
      </c>
      <c r="C10" s="22"/>
      <c r="D10" s="20" t="s">
        <v>9</v>
      </c>
      <c r="E10" s="21">
        <v>6</v>
      </c>
    </row>
    <row r="11" spans="1:5" ht="18.75" x14ac:dyDescent="0.3">
      <c r="A11" s="20" t="s">
        <v>25</v>
      </c>
      <c r="B11" s="21">
        <v>1</v>
      </c>
      <c r="C11" s="22"/>
      <c r="D11" s="20" t="s">
        <v>39</v>
      </c>
      <c r="E11" s="21">
        <v>10</v>
      </c>
    </row>
    <row r="12" spans="1:5" ht="18.75" x14ac:dyDescent="0.3">
      <c r="A12" s="20" t="s">
        <v>5</v>
      </c>
      <c r="B12" s="21">
        <v>4</v>
      </c>
      <c r="C12" s="22"/>
      <c r="D12" s="20" t="s">
        <v>10</v>
      </c>
      <c r="E12" s="21">
        <v>2</v>
      </c>
    </row>
    <row r="13" spans="1:5" ht="18.75" x14ac:dyDescent="0.3">
      <c r="A13" s="20" t="s">
        <v>17</v>
      </c>
      <c r="B13" s="21">
        <v>1</v>
      </c>
      <c r="C13" s="22"/>
      <c r="D13" s="20" t="s">
        <v>40</v>
      </c>
      <c r="E13" s="21">
        <v>1</v>
      </c>
    </row>
    <row r="14" spans="1:5" ht="18.75" x14ac:dyDescent="0.3">
      <c r="A14" s="20" t="s">
        <v>26</v>
      </c>
      <c r="B14" s="21">
        <v>1</v>
      </c>
      <c r="C14" s="22"/>
      <c r="D14" s="20" t="s">
        <v>19</v>
      </c>
      <c r="E14" s="21">
        <v>2</v>
      </c>
    </row>
    <row r="15" spans="1:5" ht="18.75" x14ac:dyDescent="0.3">
      <c r="A15" s="20" t="s">
        <v>31</v>
      </c>
      <c r="B15" s="21">
        <v>3</v>
      </c>
      <c r="C15" s="22"/>
      <c r="D15" s="20" t="s">
        <v>29</v>
      </c>
      <c r="E15" s="21">
        <v>4</v>
      </c>
    </row>
    <row r="16" spans="1:5" ht="18.75" x14ac:dyDescent="0.3">
      <c r="A16" s="20" t="s">
        <v>32</v>
      </c>
      <c r="B16" s="21">
        <v>1</v>
      </c>
      <c r="C16" s="22"/>
      <c r="D16" s="20" t="s">
        <v>11</v>
      </c>
      <c r="E16" s="21">
        <v>4</v>
      </c>
    </row>
    <row r="17" spans="1:5" ht="18.75" x14ac:dyDescent="0.3">
      <c r="A17" s="20" t="s">
        <v>33</v>
      </c>
      <c r="B17" s="21">
        <v>1</v>
      </c>
      <c r="C17" s="22"/>
      <c r="D17" s="20" t="s">
        <v>12</v>
      </c>
      <c r="E17" s="21">
        <v>4</v>
      </c>
    </row>
    <row r="18" spans="1:5" ht="18.75" x14ac:dyDescent="0.3">
      <c r="A18" s="20" t="s">
        <v>35</v>
      </c>
      <c r="B18" s="21">
        <v>2</v>
      </c>
      <c r="C18" s="22"/>
      <c r="D18" s="20" t="s">
        <v>7</v>
      </c>
      <c r="E18" s="21">
        <v>2</v>
      </c>
    </row>
    <row r="19" spans="1:5" ht="18.75" x14ac:dyDescent="0.3">
      <c r="A19" s="20" t="s">
        <v>34</v>
      </c>
      <c r="B19" s="21">
        <v>4</v>
      </c>
      <c r="C19" s="22"/>
      <c r="D19" s="20" t="s">
        <v>20</v>
      </c>
      <c r="E19" s="21">
        <v>8</v>
      </c>
    </row>
    <row r="20" spans="1:5" ht="18.75" x14ac:dyDescent="0.3">
      <c r="A20" s="20" t="s">
        <v>36</v>
      </c>
      <c r="B20" s="21">
        <v>1</v>
      </c>
      <c r="C20" s="22"/>
      <c r="D20" s="20" t="s">
        <v>63</v>
      </c>
      <c r="E20" s="21">
        <v>2</v>
      </c>
    </row>
    <row r="21" spans="1:5" ht="18.75" x14ac:dyDescent="0.3">
      <c r="A21" s="20" t="s">
        <v>41</v>
      </c>
      <c r="B21" s="21">
        <v>1</v>
      </c>
      <c r="C21" s="22"/>
      <c r="D21" s="20" t="s">
        <v>21</v>
      </c>
      <c r="E21" s="21">
        <v>2</v>
      </c>
    </row>
    <row r="22" spans="1:5" ht="18.75" x14ac:dyDescent="0.3">
      <c r="A22" s="20" t="s">
        <v>28</v>
      </c>
      <c r="B22" s="21">
        <v>2</v>
      </c>
      <c r="C22" s="22"/>
      <c r="D22" s="20" t="s">
        <v>22</v>
      </c>
      <c r="E22" s="21">
        <v>2</v>
      </c>
    </row>
    <row r="23" spans="1:5" ht="18.75" x14ac:dyDescent="0.3">
      <c r="A23" s="20" t="s">
        <v>6</v>
      </c>
      <c r="B23" s="21">
        <v>1</v>
      </c>
      <c r="C23" s="22"/>
      <c r="D23" s="20" t="s">
        <v>23</v>
      </c>
      <c r="E23" s="21">
        <v>2</v>
      </c>
    </row>
    <row r="24" spans="1:5" ht="18.75" x14ac:dyDescent="0.3">
      <c r="A24" s="20" t="s">
        <v>18</v>
      </c>
      <c r="B24" s="21">
        <v>4</v>
      </c>
      <c r="C24" s="22"/>
      <c r="D24" s="20" t="s">
        <v>13</v>
      </c>
      <c r="E24" s="21">
        <v>4</v>
      </c>
    </row>
    <row r="25" spans="1:5" ht="15.75" x14ac:dyDescent="0.25">
      <c r="A25" s="12"/>
      <c r="B25" s="12">
        <f>SUM(B5:B24)</f>
        <v>36</v>
      </c>
      <c r="C25" s="12"/>
      <c r="D25" s="12"/>
      <c r="E25" s="12">
        <f>SUM(E5:E24)</f>
        <v>73</v>
      </c>
    </row>
    <row r="26" spans="1:5" ht="15.75" x14ac:dyDescent="0.25">
      <c r="A26" s="27" t="s">
        <v>84</v>
      </c>
      <c r="B26" s="27"/>
      <c r="C26" s="27"/>
      <c r="D26" s="27"/>
      <c r="E26" s="27"/>
    </row>
    <row r="45" spans="1:2" x14ac:dyDescent="0.25">
      <c r="A45" s="1"/>
      <c r="B45" s="1"/>
    </row>
    <row r="46" spans="1:2" x14ac:dyDescent="0.25">
      <c r="A46" s="1" t="s">
        <v>24</v>
      </c>
      <c r="B46" s="2">
        <v>106</v>
      </c>
    </row>
  </sheetData>
  <mergeCells count="4">
    <mergeCell ref="A26:E26"/>
    <mergeCell ref="A1:E1"/>
    <mergeCell ref="A2:E2"/>
    <mergeCell ref="A3:E3"/>
  </mergeCells>
  <pageMargins left="0.511811024" right="0.511811024" top="0.78740157499999996" bottom="0.78740157499999996" header="0.31496062000000002" footer="0.31496062000000002"/>
  <pageSetup paperSize="9" orientation="landscape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F48"/>
  <sheetViews>
    <sheetView view="pageLayout" zoomScaleNormal="100" workbookViewId="0">
      <selection activeCell="B5" sqref="B5:F26"/>
    </sheetView>
  </sheetViews>
  <sheetFormatPr defaultRowHeight="15" x14ac:dyDescent="0.25"/>
  <cols>
    <col min="1" max="1" width="6.5703125" customWidth="1"/>
    <col min="2" max="2" width="55.5703125" customWidth="1"/>
    <col min="3" max="3" width="11.5703125" customWidth="1"/>
    <col min="5" max="5" width="40" customWidth="1"/>
    <col min="6" max="6" width="8.7109375" customWidth="1"/>
  </cols>
  <sheetData>
    <row r="1" spans="2:6" ht="15.75" x14ac:dyDescent="0.25">
      <c r="B1" s="27" t="s">
        <v>66</v>
      </c>
      <c r="C1" s="27"/>
      <c r="D1" s="27"/>
      <c r="E1" s="27"/>
      <c r="F1" s="27"/>
    </row>
    <row r="2" spans="2:6" ht="15.75" x14ac:dyDescent="0.25">
      <c r="B2" s="27" t="s">
        <v>67</v>
      </c>
      <c r="C2" s="27"/>
      <c r="D2" s="27"/>
      <c r="E2" s="27"/>
      <c r="F2" s="27"/>
    </row>
    <row r="3" spans="2:6" ht="15.75" x14ac:dyDescent="0.25">
      <c r="B3" s="26"/>
      <c r="C3" s="26"/>
      <c r="D3" s="12"/>
      <c r="E3" s="12"/>
      <c r="F3" s="12"/>
    </row>
    <row r="4" spans="2:6" ht="15.75" x14ac:dyDescent="0.25">
      <c r="B4" s="13" t="s">
        <v>43</v>
      </c>
      <c r="C4" s="9" t="s">
        <v>0</v>
      </c>
      <c r="D4" s="12"/>
      <c r="E4" s="13" t="s">
        <v>43</v>
      </c>
      <c r="F4" s="9" t="s">
        <v>0</v>
      </c>
    </row>
    <row r="5" spans="2:6" ht="18.75" x14ac:dyDescent="0.3">
      <c r="B5" s="20" t="s">
        <v>2</v>
      </c>
      <c r="C5" s="21">
        <v>1</v>
      </c>
      <c r="D5" s="22"/>
      <c r="E5" s="20" t="s">
        <v>27</v>
      </c>
      <c r="F5" s="21">
        <v>1</v>
      </c>
    </row>
    <row r="6" spans="2:6" ht="18.75" x14ac:dyDescent="0.3">
      <c r="B6" s="20" t="s">
        <v>3</v>
      </c>
      <c r="C6" s="21">
        <v>1</v>
      </c>
      <c r="D6" s="22"/>
      <c r="E6" s="20" t="s">
        <v>38</v>
      </c>
      <c r="F6" s="21">
        <v>2</v>
      </c>
    </row>
    <row r="7" spans="2:6" ht="18.75" x14ac:dyDescent="0.3">
      <c r="B7" s="20" t="s">
        <v>4</v>
      </c>
      <c r="C7" s="21">
        <v>1</v>
      </c>
      <c r="D7" s="22"/>
      <c r="E7" s="20" t="s">
        <v>8</v>
      </c>
      <c r="F7" s="21">
        <v>12</v>
      </c>
    </row>
    <row r="8" spans="2:6" ht="18.75" x14ac:dyDescent="0.3">
      <c r="B8" s="20" t="s">
        <v>15</v>
      </c>
      <c r="C8" s="21">
        <v>2</v>
      </c>
      <c r="D8" s="22"/>
      <c r="E8" s="20" t="s">
        <v>14</v>
      </c>
      <c r="F8" s="21">
        <v>1</v>
      </c>
    </row>
    <row r="9" spans="2:6" ht="18.75" x14ac:dyDescent="0.3">
      <c r="B9" s="20" t="s">
        <v>16</v>
      </c>
      <c r="C9" s="21">
        <v>2</v>
      </c>
      <c r="D9" s="22"/>
      <c r="E9" s="20" t="s">
        <v>9</v>
      </c>
      <c r="F9" s="21">
        <v>6</v>
      </c>
    </row>
    <row r="10" spans="2:6" ht="18.75" x14ac:dyDescent="0.3">
      <c r="B10" s="23" t="s">
        <v>30</v>
      </c>
      <c r="C10" s="21">
        <v>2</v>
      </c>
      <c r="D10" s="22"/>
      <c r="E10" s="20" t="s">
        <v>39</v>
      </c>
      <c r="F10" s="21">
        <v>10</v>
      </c>
    </row>
    <row r="11" spans="2:6" ht="18.75" x14ac:dyDescent="0.3">
      <c r="B11" s="20" t="s">
        <v>25</v>
      </c>
      <c r="C11" s="21">
        <v>1</v>
      </c>
      <c r="D11" s="22"/>
      <c r="E11" s="20" t="s">
        <v>10</v>
      </c>
      <c r="F11" s="21">
        <v>2</v>
      </c>
    </row>
    <row r="12" spans="2:6" ht="18.75" x14ac:dyDescent="0.3">
      <c r="B12" s="20" t="s">
        <v>17</v>
      </c>
      <c r="C12" s="21">
        <v>1</v>
      </c>
      <c r="D12" s="22"/>
      <c r="E12" s="20" t="s">
        <v>40</v>
      </c>
      <c r="F12" s="21">
        <v>1</v>
      </c>
    </row>
    <row r="13" spans="2:6" ht="18.75" x14ac:dyDescent="0.3">
      <c r="B13" s="20" t="s">
        <v>26</v>
      </c>
      <c r="C13" s="21">
        <v>1</v>
      </c>
      <c r="D13" s="22"/>
      <c r="E13" s="20" t="s">
        <v>19</v>
      </c>
      <c r="F13" s="21">
        <v>2</v>
      </c>
    </row>
    <row r="14" spans="2:6" ht="18.75" x14ac:dyDescent="0.3">
      <c r="B14" s="20" t="s">
        <v>31</v>
      </c>
      <c r="C14" s="21">
        <v>3</v>
      </c>
      <c r="D14" s="22"/>
      <c r="E14" s="20" t="s">
        <v>29</v>
      </c>
      <c r="F14" s="21">
        <v>4</v>
      </c>
    </row>
    <row r="15" spans="2:6" ht="18.75" x14ac:dyDescent="0.3">
      <c r="B15" s="20" t="s">
        <v>33</v>
      </c>
      <c r="C15" s="21">
        <v>1</v>
      </c>
      <c r="D15" s="22"/>
      <c r="E15" s="20" t="s">
        <v>11</v>
      </c>
      <c r="F15" s="21">
        <v>4</v>
      </c>
    </row>
    <row r="16" spans="2:6" ht="18.75" x14ac:dyDescent="0.3">
      <c r="B16" s="20" t="s">
        <v>34</v>
      </c>
      <c r="C16" s="21">
        <v>4</v>
      </c>
      <c r="D16" s="22"/>
      <c r="E16" s="20" t="s">
        <v>12</v>
      </c>
      <c r="F16" s="21">
        <v>4</v>
      </c>
    </row>
    <row r="17" spans="2:6" ht="18.75" x14ac:dyDescent="0.3">
      <c r="B17" s="20" t="s">
        <v>35</v>
      </c>
      <c r="C17" s="21">
        <v>2</v>
      </c>
      <c r="D17" s="22"/>
      <c r="E17" s="20" t="s">
        <v>7</v>
      </c>
      <c r="F17" s="21">
        <v>2</v>
      </c>
    </row>
    <row r="18" spans="2:6" ht="18.75" x14ac:dyDescent="0.3">
      <c r="B18" s="20" t="s">
        <v>36</v>
      </c>
      <c r="C18" s="21">
        <v>1</v>
      </c>
      <c r="D18" s="22"/>
      <c r="E18" s="20" t="s">
        <v>42</v>
      </c>
      <c r="F18" s="21">
        <v>1</v>
      </c>
    </row>
    <row r="19" spans="2:6" ht="18.75" x14ac:dyDescent="0.3">
      <c r="B19" s="20" t="s">
        <v>41</v>
      </c>
      <c r="C19" s="21">
        <v>1</v>
      </c>
      <c r="D19" s="22"/>
      <c r="E19" s="20" t="s">
        <v>20</v>
      </c>
      <c r="F19" s="21">
        <v>8</v>
      </c>
    </row>
    <row r="20" spans="2:6" ht="18.75" x14ac:dyDescent="0.3">
      <c r="B20" s="20" t="s">
        <v>28</v>
      </c>
      <c r="C20" s="21">
        <v>2</v>
      </c>
      <c r="D20" s="22"/>
      <c r="E20" s="20" t="s">
        <v>68</v>
      </c>
      <c r="F20" s="21">
        <v>2</v>
      </c>
    </row>
    <row r="21" spans="2:6" ht="18.75" x14ac:dyDescent="0.3">
      <c r="B21" s="20" t="s">
        <v>6</v>
      </c>
      <c r="C21" s="21">
        <v>1</v>
      </c>
      <c r="D21" s="22"/>
      <c r="E21" s="20" t="s">
        <v>21</v>
      </c>
      <c r="F21" s="21">
        <v>2</v>
      </c>
    </row>
    <row r="22" spans="2:6" ht="18.75" x14ac:dyDescent="0.3">
      <c r="B22" s="20" t="s">
        <v>18</v>
      </c>
      <c r="C22" s="21">
        <v>4</v>
      </c>
      <c r="D22" s="22"/>
      <c r="E22" s="20" t="s">
        <v>22</v>
      </c>
      <c r="F22" s="21">
        <v>2</v>
      </c>
    </row>
    <row r="23" spans="2:6" ht="18.75" x14ac:dyDescent="0.3">
      <c r="B23" s="20" t="s">
        <v>37</v>
      </c>
      <c r="C23" s="21">
        <v>2</v>
      </c>
      <c r="D23" s="22"/>
      <c r="E23" s="20" t="s">
        <v>69</v>
      </c>
      <c r="F23" s="21">
        <v>2</v>
      </c>
    </row>
    <row r="24" spans="2:6" ht="18.75" x14ac:dyDescent="0.3">
      <c r="B24" s="20" t="s">
        <v>85</v>
      </c>
      <c r="C24" s="21">
        <v>4</v>
      </c>
      <c r="D24" s="22"/>
      <c r="E24" s="20" t="s">
        <v>13</v>
      </c>
      <c r="F24" s="21">
        <v>4</v>
      </c>
    </row>
    <row r="25" spans="2:6" ht="18.75" x14ac:dyDescent="0.3">
      <c r="B25" s="22"/>
      <c r="C25" s="22"/>
      <c r="D25" s="22"/>
      <c r="E25" s="22"/>
      <c r="F25" s="22"/>
    </row>
    <row r="26" spans="2:6" ht="18.75" x14ac:dyDescent="0.3">
      <c r="B26" s="32" t="s">
        <v>86</v>
      </c>
      <c r="C26" s="32"/>
      <c r="D26" s="32"/>
      <c r="E26" s="32"/>
      <c r="F26" s="32"/>
    </row>
    <row r="44" spans="2:3" x14ac:dyDescent="0.25">
      <c r="B44" s="14"/>
      <c r="C44" s="15"/>
    </row>
    <row r="47" spans="2:3" ht="26.25" x14ac:dyDescent="0.4">
      <c r="B47" s="4"/>
    </row>
    <row r="48" spans="2:3" ht="21" x14ac:dyDescent="0.35">
      <c r="B48" s="3"/>
    </row>
  </sheetData>
  <mergeCells count="4">
    <mergeCell ref="B3:C3"/>
    <mergeCell ref="B1:F1"/>
    <mergeCell ref="B2:F2"/>
    <mergeCell ref="B26:F26"/>
  </mergeCells>
  <pageMargins left="0.511811024" right="0.511811024" top="0.78740157499999996" bottom="0.78740157499999996" header="0.31496062000000002" footer="0.31496062000000002"/>
  <pageSetup paperSize="9" orientation="landscape" horizontalDpi="4294967294" verticalDpi="4294967294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view="pageLayout" zoomScaleNormal="100" workbookViewId="0">
      <selection activeCell="D30" sqref="D30"/>
    </sheetView>
  </sheetViews>
  <sheetFormatPr defaultRowHeight="15" x14ac:dyDescent="0.25"/>
  <cols>
    <col min="1" max="1" width="42.28515625" customWidth="1"/>
    <col min="2" max="2" width="11.5703125" customWidth="1"/>
    <col min="3" max="3" width="9.140625" customWidth="1"/>
    <col min="4" max="4" width="40" customWidth="1"/>
    <col min="5" max="5" width="9.140625" customWidth="1"/>
  </cols>
  <sheetData>
    <row r="1" spans="1:5" ht="16.5" thickBot="1" x14ac:dyDescent="0.3">
      <c r="A1" s="24" t="s">
        <v>71</v>
      </c>
      <c r="B1" s="28"/>
      <c r="C1" s="28"/>
      <c r="D1" s="28"/>
      <c r="E1" s="25"/>
    </row>
    <row r="2" spans="1:5" ht="16.5" thickBot="1" x14ac:dyDescent="0.3">
      <c r="A2" s="29" t="s">
        <v>65</v>
      </c>
      <c r="B2" s="30"/>
      <c r="C2" s="30"/>
      <c r="D2" s="30"/>
      <c r="E2" s="31"/>
    </row>
    <row r="3" spans="1:5" ht="15.75" x14ac:dyDescent="0.25">
      <c r="A3" s="26"/>
      <c r="B3" s="26"/>
      <c r="C3" s="26"/>
      <c r="D3" s="26"/>
      <c r="E3" s="26"/>
    </row>
    <row r="4" spans="1:5" ht="15.75" x14ac:dyDescent="0.25">
      <c r="A4" s="13" t="s">
        <v>43</v>
      </c>
      <c r="B4" s="16" t="s">
        <v>0</v>
      </c>
      <c r="C4" s="12"/>
      <c r="D4" s="13" t="s">
        <v>43</v>
      </c>
      <c r="E4" s="16" t="s">
        <v>0</v>
      </c>
    </row>
    <row r="5" spans="1:5" ht="15.75" x14ac:dyDescent="0.25">
      <c r="A5" s="11" t="s">
        <v>61</v>
      </c>
      <c r="B5" s="17">
        <v>1</v>
      </c>
      <c r="C5" s="18"/>
      <c r="D5" s="11" t="s">
        <v>37</v>
      </c>
      <c r="E5" s="17">
        <v>2</v>
      </c>
    </row>
    <row r="6" spans="1:5" ht="15.75" x14ac:dyDescent="0.25">
      <c r="A6" s="11" t="s">
        <v>4</v>
      </c>
      <c r="B6" s="17">
        <v>1</v>
      </c>
      <c r="C6" s="18"/>
      <c r="D6" s="11" t="s">
        <v>27</v>
      </c>
      <c r="E6" s="17">
        <v>1</v>
      </c>
    </row>
    <row r="7" spans="1:5" ht="15.75" x14ac:dyDescent="0.25">
      <c r="A7" s="11" t="s">
        <v>15</v>
      </c>
      <c r="B7" s="17">
        <v>2</v>
      </c>
      <c r="C7" s="18"/>
      <c r="D7" s="11" t="s">
        <v>38</v>
      </c>
      <c r="E7" s="17">
        <v>2</v>
      </c>
    </row>
    <row r="8" spans="1:5" ht="15.75" x14ac:dyDescent="0.25">
      <c r="A8" s="11" t="s">
        <v>16</v>
      </c>
      <c r="B8" s="17">
        <v>2</v>
      </c>
      <c r="C8" s="18"/>
      <c r="D8" s="11" t="s">
        <v>8</v>
      </c>
      <c r="E8" s="17">
        <v>12</v>
      </c>
    </row>
    <row r="9" spans="1:5" ht="15.75" x14ac:dyDescent="0.25">
      <c r="A9" s="19" t="s">
        <v>30</v>
      </c>
      <c r="B9" s="17">
        <v>2</v>
      </c>
      <c r="C9" s="18"/>
      <c r="D9" s="11" t="s">
        <v>14</v>
      </c>
      <c r="E9" s="17">
        <v>1</v>
      </c>
    </row>
    <row r="10" spans="1:5" ht="15.75" x14ac:dyDescent="0.25">
      <c r="A10" s="11" t="s">
        <v>25</v>
      </c>
      <c r="B10" s="17">
        <v>1</v>
      </c>
      <c r="C10" s="18"/>
      <c r="D10" s="11" t="s">
        <v>9</v>
      </c>
      <c r="E10" s="17">
        <v>12</v>
      </c>
    </row>
    <row r="11" spans="1:5" ht="15.75" x14ac:dyDescent="0.25">
      <c r="A11" s="11" t="s">
        <v>5</v>
      </c>
      <c r="B11" s="17">
        <v>4</v>
      </c>
      <c r="C11" s="18"/>
      <c r="D11" s="11" t="s">
        <v>39</v>
      </c>
      <c r="E11" s="17">
        <v>12</v>
      </c>
    </row>
    <row r="12" spans="1:5" ht="15.75" x14ac:dyDescent="0.25">
      <c r="A12" s="11" t="s">
        <v>77</v>
      </c>
      <c r="B12" s="17">
        <v>2</v>
      </c>
      <c r="C12" s="18"/>
      <c r="D12" s="11" t="s">
        <v>10</v>
      </c>
      <c r="E12" s="17">
        <v>2</v>
      </c>
    </row>
    <row r="13" spans="1:5" ht="15.75" x14ac:dyDescent="0.25">
      <c r="A13" s="11" t="s">
        <v>35</v>
      </c>
      <c r="B13" s="17">
        <v>1</v>
      </c>
      <c r="C13" s="18"/>
      <c r="D13" s="11" t="s">
        <v>40</v>
      </c>
      <c r="E13" s="17">
        <v>1</v>
      </c>
    </row>
    <row r="14" spans="1:5" ht="15.75" x14ac:dyDescent="0.25">
      <c r="A14" s="11" t="s">
        <v>79</v>
      </c>
      <c r="B14" s="17">
        <v>3</v>
      </c>
      <c r="C14" s="18"/>
      <c r="D14" s="11" t="s">
        <v>11</v>
      </c>
      <c r="E14" s="17">
        <v>4</v>
      </c>
    </row>
    <row r="15" spans="1:5" ht="15.75" x14ac:dyDescent="0.25">
      <c r="A15" s="11" t="s">
        <v>80</v>
      </c>
      <c r="B15" s="17">
        <v>1</v>
      </c>
      <c r="C15" s="18"/>
      <c r="D15" s="11" t="s">
        <v>12</v>
      </c>
      <c r="E15" s="17">
        <v>4</v>
      </c>
    </row>
    <row r="16" spans="1:5" ht="15.75" x14ac:dyDescent="0.25">
      <c r="A16" s="11" t="s">
        <v>33</v>
      </c>
      <c r="B16" s="17">
        <v>2</v>
      </c>
      <c r="C16" s="18"/>
      <c r="D16" s="11" t="s">
        <v>73</v>
      </c>
      <c r="E16" s="17">
        <v>3</v>
      </c>
    </row>
    <row r="17" spans="1:5" ht="15.75" x14ac:dyDescent="0.25">
      <c r="A17" s="11" t="s">
        <v>78</v>
      </c>
      <c r="B17" s="17">
        <v>1</v>
      </c>
      <c r="C17" s="18"/>
      <c r="D17" s="11" t="s">
        <v>20</v>
      </c>
      <c r="E17" s="17">
        <v>6</v>
      </c>
    </row>
    <row r="18" spans="1:5" ht="15.75" x14ac:dyDescent="0.25">
      <c r="A18" s="11" t="s">
        <v>81</v>
      </c>
      <c r="B18" s="17">
        <v>2</v>
      </c>
      <c r="C18" s="18"/>
      <c r="D18" s="11" t="s">
        <v>74</v>
      </c>
      <c r="E18" s="17">
        <v>3</v>
      </c>
    </row>
    <row r="19" spans="1:5" ht="15.75" x14ac:dyDescent="0.25">
      <c r="A19" s="11" t="s">
        <v>72</v>
      </c>
      <c r="B19" s="17">
        <v>1</v>
      </c>
      <c r="C19" s="18"/>
      <c r="D19" s="11" t="s">
        <v>42</v>
      </c>
      <c r="E19" s="17">
        <v>1</v>
      </c>
    </row>
    <row r="20" spans="1:5" ht="15.75" x14ac:dyDescent="0.25">
      <c r="A20" s="11" t="s">
        <v>18</v>
      </c>
      <c r="B20" s="17">
        <v>4</v>
      </c>
      <c r="C20" s="18"/>
      <c r="D20" s="11" t="s">
        <v>82</v>
      </c>
      <c r="E20" s="17">
        <v>2</v>
      </c>
    </row>
    <row r="21" spans="1:5" ht="15.75" x14ac:dyDescent="0.25">
      <c r="A21" s="11"/>
      <c r="B21" s="17"/>
      <c r="C21" s="18"/>
      <c r="D21" s="11" t="s">
        <v>75</v>
      </c>
      <c r="E21" s="17">
        <v>2</v>
      </c>
    </row>
    <row r="22" spans="1:5" ht="15.75" x14ac:dyDescent="0.25">
      <c r="A22" s="11"/>
      <c r="B22" s="17"/>
      <c r="C22" s="18"/>
      <c r="D22" s="11" t="s">
        <v>76</v>
      </c>
      <c r="E22" s="17">
        <v>1</v>
      </c>
    </row>
    <row r="23" spans="1:5" ht="15.75" x14ac:dyDescent="0.25">
      <c r="A23" s="10"/>
      <c r="B23" s="10"/>
      <c r="C23" s="18"/>
      <c r="D23" s="11" t="s">
        <v>13</v>
      </c>
      <c r="E23" s="17">
        <v>2</v>
      </c>
    </row>
    <row r="24" spans="1:5" ht="15.75" x14ac:dyDescent="0.25">
      <c r="C24" s="12"/>
    </row>
    <row r="25" spans="1:5" ht="15.75" x14ac:dyDescent="0.25">
      <c r="A25" s="12"/>
      <c r="B25" s="12"/>
      <c r="C25" s="12"/>
      <c r="D25" s="12"/>
      <c r="E25" s="12"/>
    </row>
    <row r="26" spans="1:5" ht="15.75" x14ac:dyDescent="0.25">
      <c r="A26" s="27" t="s">
        <v>83</v>
      </c>
      <c r="B26" s="27"/>
      <c r="C26" s="27"/>
      <c r="D26" s="27"/>
      <c r="E26" s="27"/>
    </row>
  </sheetData>
  <mergeCells count="4">
    <mergeCell ref="A1:E1"/>
    <mergeCell ref="A2:E2"/>
    <mergeCell ref="A3:E3"/>
    <mergeCell ref="A26:E26"/>
  </mergeCells>
  <pageMargins left="0.511811024" right="0.511811024" top="0.78740157499999996" bottom="0.78740157499999996" header="0.31496062000000002" footer="0.31496062000000002"/>
  <pageSetup paperSize="9" orientation="landscape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AMPUTAÇÃO 40PÇS</vt:lpstr>
      <vt:lpstr>VASCULAR BRANCA 106PÇS</vt:lpstr>
      <vt:lpstr>VASCULAR PRETA 105PÇS</vt:lpstr>
      <vt:lpstr>VASCULAR VERDE VERDE 103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Elidea Santos Gomes</dc:creator>
  <cp:lastModifiedBy>Mauro Silva</cp:lastModifiedBy>
  <cp:lastPrinted>2024-09-07T19:30:15Z</cp:lastPrinted>
  <dcterms:created xsi:type="dcterms:W3CDTF">2019-04-19T21:18:23Z</dcterms:created>
  <dcterms:modified xsi:type="dcterms:W3CDTF">2025-09-05T12:37:41Z</dcterms:modified>
</cp:coreProperties>
</file>