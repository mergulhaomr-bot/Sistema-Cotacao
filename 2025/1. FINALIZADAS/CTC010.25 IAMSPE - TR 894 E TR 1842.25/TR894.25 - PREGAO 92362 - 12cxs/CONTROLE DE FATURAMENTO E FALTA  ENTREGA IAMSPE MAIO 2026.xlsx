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eu Drive\COTAÇÕES\COTAÇÕES - VENDAS\2025\1. FINALIZADAS\CTC010.25 IAMSPE - TR 894 E TR 1842.25\TR894.25 - PREGAO 92362 - 12cxs\"/>
    </mc:Choice>
  </mc:AlternateContent>
  <bookViews>
    <workbookView xWindow="0" yWindow="0" windowWidth="21600" windowHeight="93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6" i="1"/>
  <c r="J27" i="1" l="1"/>
  <c r="I26" i="1"/>
  <c r="J16" i="1"/>
  <c r="I9" i="1" l="1"/>
  <c r="I7" i="1"/>
  <c r="I6" i="1"/>
  <c r="I4" i="1"/>
  <c r="H26" i="1"/>
</calcChain>
</file>

<file path=xl/sharedStrings.xml><?xml version="1.0" encoding="utf-8"?>
<sst xmlns="http://schemas.openxmlformats.org/spreadsheetml/2006/main" count="40" uniqueCount="30">
  <si>
    <t>ITEM</t>
  </si>
  <si>
    <t>ESPECIFICAÇÃO</t>
  </si>
  <si>
    <t>QUANTIDADE TOTAL</t>
  </si>
  <si>
    <t>VALOR UNITÁRIO</t>
  </si>
  <si>
    <t>VALOR TOTAL</t>
  </si>
  <si>
    <t>TOTAL</t>
  </si>
  <si>
    <t>VALOR NF ENTREGUE</t>
  </si>
  <si>
    <t>NOTA FISCAL</t>
  </si>
  <si>
    <t xml:space="preserve">CAIXA DE LAPAROTOMIA                                                </t>
  </si>
  <si>
    <t xml:space="preserve">CAIXA DE HERNIORRAFIA ADULTO                                           </t>
  </si>
  <si>
    <t xml:space="preserve">CAIXA DE HEMORROIDECTOMIA                              </t>
  </si>
  <si>
    <t xml:space="preserve">CAIXA DE HISTRECTOMIA ABDOMINAL                                          </t>
  </si>
  <si>
    <t xml:space="preserve">CAIXA DE RTU                           </t>
  </si>
  <si>
    <t xml:space="preserve">CAIXA DE CRANIOTOMIA ELETIVA                          </t>
  </si>
  <si>
    <t xml:space="preserve">CAIXA DE OTOPLASTIA                      </t>
  </si>
  <si>
    <t xml:space="preserve">CAIXA DE BLEFAROPLASTIA                             </t>
  </si>
  <si>
    <t xml:space="preserve">CAIXA DE PELE                    </t>
  </si>
  <si>
    <t xml:space="preserve">CAIXA DE SUTURA                            </t>
  </si>
  <si>
    <t xml:space="preserve">CAIXA DE OSTEOSSINTESE                               </t>
  </si>
  <si>
    <t xml:space="preserve">CAIXA DE MÃO                          </t>
  </si>
  <si>
    <t xml:space="preserve">CAIXA BÁSICA CCP                                                   </t>
  </si>
  <si>
    <t xml:space="preserve">CAIXA BULLDOG VASCULAR.                                              </t>
  </si>
  <si>
    <t xml:space="preserve">CAIXA DE DVP NEURO                                     </t>
  </si>
  <si>
    <t xml:space="preserve">CAIXA DE ESOFAGECTOMIA                                                 </t>
  </si>
  <si>
    <t xml:space="preserve">CAIXA DE HISTERECTOMIA VAGINAL                                      </t>
  </si>
  <si>
    <t xml:space="preserve">CAIXA DE MASTECTOMIA                                </t>
  </si>
  <si>
    <t>FALTA FATURAR</t>
  </si>
  <si>
    <t>CONTROLE DE FATURAMENTO E FALTA ENTREGA IAMSPE 2026</t>
  </si>
  <si>
    <t>volume</t>
  </si>
  <si>
    <t>carta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</si>
</sst>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shrinkToFit="1"/>
    </xf>
    <xf numFmtId="0" fontId="2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center" shrinkToFit="1"/>
    </xf>
    <xf numFmtId="164" fontId="2" fillId="0" borderId="5" xfId="0" applyNumberFormat="1" applyFont="1" applyBorder="1" applyAlignment="1">
      <alignment horizontal="center" vertical="center"/>
    </xf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 shrinkToFit="1"/>
    </xf>
    <xf numFmtId="164" fontId="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3" fillId="2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/>
    </xf>
    <xf numFmtId="0" fontId="7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1" fontId="9" fillId="0" borderId="5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 wrapText="1" shrinkToFit="1"/>
    </xf>
    <xf numFmtId="164" fontId="9" fillId="0" borderId="6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7"/>
  <sheetViews>
    <sheetView showGridLines="0" tabSelected="1" zoomScale="80" zoomScaleNormal="80" workbookViewId="0">
      <selection activeCell="J20" sqref="J20"/>
    </sheetView>
  </sheetViews>
  <sheetFormatPr defaultRowHeight="15" x14ac:dyDescent="0.25"/>
  <cols>
    <col min="2" max="2" width="6.5703125" customWidth="1"/>
    <col min="3" max="3" width="45.5703125" customWidth="1"/>
    <col min="4" max="4" width="15.85546875" customWidth="1"/>
    <col min="5" max="6" width="18" style="7" customWidth="1"/>
    <col min="7" max="7" width="18" style="13" customWidth="1"/>
    <col min="8" max="8" width="21" style="18" customWidth="1"/>
    <col min="9" max="9" width="16.7109375" style="34" customWidth="1"/>
    <col min="10" max="10" width="9.140625" style="36"/>
  </cols>
  <sheetData>
    <row r="1" spans="2:14" x14ac:dyDescent="0.25">
      <c r="C1" t="s">
        <v>27</v>
      </c>
    </row>
    <row r="2" spans="2:14" ht="15.75" thickBot="1" x14ac:dyDescent="0.3"/>
    <row r="3" spans="2:14" ht="29.25" thickBot="1" x14ac:dyDescent="0.3">
      <c r="B3" s="1" t="s">
        <v>0</v>
      </c>
      <c r="C3" s="2" t="s">
        <v>1</v>
      </c>
      <c r="D3" s="2" t="s">
        <v>2</v>
      </c>
      <c r="E3" s="8" t="s">
        <v>3</v>
      </c>
      <c r="F3" s="9" t="s">
        <v>4</v>
      </c>
      <c r="G3" s="14" t="s">
        <v>7</v>
      </c>
      <c r="H3" s="19" t="s">
        <v>6</v>
      </c>
      <c r="I3" s="33" t="s">
        <v>26</v>
      </c>
      <c r="J3" s="36" t="s">
        <v>28</v>
      </c>
    </row>
    <row r="4" spans="2:14" ht="24" customHeight="1" thickBot="1" x14ac:dyDescent="0.3">
      <c r="B4" s="3">
        <v>1</v>
      </c>
      <c r="C4" s="27" t="s">
        <v>8</v>
      </c>
      <c r="D4" s="28">
        <v>5</v>
      </c>
      <c r="E4" s="29">
        <v>77000</v>
      </c>
      <c r="F4" s="30">
        <v>385000</v>
      </c>
      <c r="G4" s="31">
        <v>338</v>
      </c>
      <c r="H4" s="32">
        <v>371185.76</v>
      </c>
      <c r="I4" s="16">
        <f>F4-H4</f>
        <v>13814.239999999991</v>
      </c>
      <c r="J4" s="36">
        <v>10</v>
      </c>
    </row>
    <row r="5" spans="2:14" ht="24" customHeight="1" thickBot="1" x14ac:dyDescent="0.3">
      <c r="B5" s="3">
        <v>2</v>
      </c>
      <c r="C5" s="4" t="s">
        <v>9</v>
      </c>
      <c r="D5" s="5">
        <v>8</v>
      </c>
      <c r="E5" s="6">
        <v>21000</v>
      </c>
      <c r="F5" s="11">
        <v>168000</v>
      </c>
      <c r="G5" s="15">
        <v>341</v>
      </c>
      <c r="H5" s="17">
        <v>168000</v>
      </c>
      <c r="I5" s="33"/>
      <c r="J5" s="36">
        <v>8</v>
      </c>
      <c r="N5" s="12"/>
    </row>
    <row r="6" spans="2:14" ht="24" customHeight="1" thickBot="1" x14ac:dyDescent="0.3">
      <c r="B6" s="3">
        <v>3</v>
      </c>
      <c r="C6" s="27" t="s">
        <v>10</v>
      </c>
      <c r="D6" s="28">
        <v>6</v>
      </c>
      <c r="E6" s="29">
        <v>18000</v>
      </c>
      <c r="F6" s="30">
        <v>108000</v>
      </c>
      <c r="G6" s="31">
        <v>342</v>
      </c>
      <c r="H6" s="32">
        <v>105421.51</v>
      </c>
      <c r="I6" s="16">
        <f>F6-H6</f>
        <v>2578.4900000000052</v>
      </c>
      <c r="J6" s="36">
        <v>6</v>
      </c>
    </row>
    <row r="7" spans="2:14" ht="24" customHeight="1" thickBot="1" x14ac:dyDescent="0.3">
      <c r="B7" s="3">
        <v>4</v>
      </c>
      <c r="C7" s="27" t="s">
        <v>11</v>
      </c>
      <c r="D7" s="28">
        <v>4</v>
      </c>
      <c r="E7" s="29">
        <v>34990</v>
      </c>
      <c r="F7" s="30">
        <v>139960</v>
      </c>
      <c r="G7" s="31">
        <v>354</v>
      </c>
      <c r="H7" s="32">
        <v>107978.43</v>
      </c>
      <c r="I7" s="16">
        <f>F7-H7</f>
        <v>31981.570000000007</v>
      </c>
      <c r="J7" s="36">
        <v>4</v>
      </c>
    </row>
    <row r="8" spans="2:14" ht="24" customHeight="1" thickBot="1" x14ac:dyDescent="0.3">
      <c r="B8" s="3">
        <v>5</v>
      </c>
      <c r="C8" s="4" t="s">
        <v>12</v>
      </c>
      <c r="D8" s="5">
        <v>8</v>
      </c>
      <c r="E8" s="10">
        <v>14400</v>
      </c>
      <c r="F8" s="11">
        <v>115200</v>
      </c>
      <c r="G8" s="15">
        <v>344</v>
      </c>
      <c r="H8" s="17">
        <v>115200</v>
      </c>
      <c r="I8" s="33"/>
      <c r="J8" s="36">
        <v>8</v>
      </c>
      <c r="K8" t="s">
        <v>29</v>
      </c>
    </row>
    <row r="9" spans="2:14" ht="24" customHeight="1" thickBot="1" x14ac:dyDescent="0.3">
      <c r="B9" s="3">
        <v>6</v>
      </c>
      <c r="C9" s="27" t="s">
        <v>13</v>
      </c>
      <c r="D9" s="28">
        <v>2</v>
      </c>
      <c r="E9" s="29">
        <v>72600</v>
      </c>
      <c r="F9" s="30">
        <v>145200</v>
      </c>
      <c r="G9" s="31">
        <v>353</v>
      </c>
      <c r="H9" s="32">
        <v>144172.96</v>
      </c>
      <c r="I9" s="16">
        <f>F9-H9</f>
        <v>1027.0400000000081</v>
      </c>
      <c r="J9" s="36">
        <v>4</v>
      </c>
    </row>
    <row r="10" spans="2:14" ht="24" customHeight="1" thickBot="1" x14ac:dyDescent="0.3">
      <c r="B10" s="3">
        <v>7</v>
      </c>
      <c r="C10" s="4" t="s">
        <v>14</v>
      </c>
      <c r="D10" s="5">
        <v>2</v>
      </c>
      <c r="E10" s="10">
        <v>16000</v>
      </c>
      <c r="F10" s="11">
        <v>32000</v>
      </c>
      <c r="G10" s="15">
        <v>345</v>
      </c>
      <c r="H10" s="17">
        <v>32000</v>
      </c>
      <c r="I10" s="33"/>
      <c r="J10" s="36">
        <v>2</v>
      </c>
    </row>
    <row r="11" spans="2:14" ht="24" customHeight="1" thickBot="1" x14ac:dyDescent="0.3">
      <c r="B11" s="3">
        <v>8</v>
      </c>
      <c r="C11" s="4" t="s">
        <v>15</v>
      </c>
      <c r="D11" s="5">
        <v>2</v>
      </c>
      <c r="E11" s="10">
        <v>14500</v>
      </c>
      <c r="F11" s="11">
        <v>29000</v>
      </c>
      <c r="G11" s="15">
        <v>346</v>
      </c>
      <c r="H11" s="17">
        <v>29000</v>
      </c>
      <c r="I11" s="33"/>
      <c r="J11" s="36">
        <v>2</v>
      </c>
    </row>
    <row r="12" spans="2:14" ht="24" customHeight="1" thickBot="1" x14ac:dyDescent="0.3">
      <c r="B12" s="3">
        <v>9</v>
      </c>
      <c r="C12" s="4" t="s">
        <v>16</v>
      </c>
      <c r="D12" s="5">
        <v>2</v>
      </c>
      <c r="E12" s="10">
        <v>317</v>
      </c>
      <c r="F12" s="11">
        <v>634</v>
      </c>
      <c r="G12" s="15">
        <v>347</v>
      </c>
      <c r="H12" s="17">
        <v>634</v>
      </c>
      <c r="I12" s="33"/>
      <c r="J12" s="36">
        <v>1</v>
      </c>
    </row>
    <row r="13" spans="2:14" ht="24" customHeight="1" thickBot="1" x14ac:dyDescent="0.3">
      <c r="B13" s="3">
        <v>10</v>
      </c>
      <c r="C13" s="4" t="s">
        <v>17</v>
      </c>
      <c r="D13" s="5">
        <v>10</v>
      </c>
      <c r="E13" s="10">
        <v>680</v>
      </c>
      <c r="F13" s="11">
        <v>6800</v>
      </c>
      <c r="G13" s="15">
        <v>348</v>
      </c>
      <c r="H13" s="17">
        <v>6800</v>
      </c>
      <c r="I13" s="33"/>
      <c r="J13" s="36">
        <v>1</v>
      </c>
    </row>
    <row r="14" spans="2:14" ht="24" customHeight="1" thickBot="1" x14ac:dyDescent="0.3">
      <c r="B14" s="3">
        <v>11</v>
      </c>
      <c r="C14" s="4" t="s">
        <v>18</v>
      </c>
      <c r="D14" s="5">
        <v>7</v>
      </c>
      <c r="E14" s="10">
        <v>48000</v>
      </c>
      <c r="F14" s="11">
        <v>336000</v>
      </c>
      <c r="G14" s="15">
        <v>351</v>
      </c>
      <c r="H14" s="17">
        <v>336000</v>
      </c>
      <c r="I14" s="33"/>
      <c r="J14" s="36">
        <v>7</v>
      </c>
    </row>
    <row r="15" spans="2:14" ht="24" customHeight="1" thickBot="1" x14ac:dyDescent="0.3">
      <c r="B15" s="3">
        <v>12</v>
      </c>
      <c r="C15" s="4" t="s">
        <v>19</v>
      </c>
      <c r="D15" s="5">
        <v>10</v>
      </c>
      <c r="E15" s="10">
        <v>18000</v>
      </c>
      <c r="F15" s="11">
        <v>180000</v>
      </c>
      <c r="G15" s="15">
        <v>349</v>
      </c>
      <c r="H15" s="17">
        <v>180000</v>
      </c>
      <c r="I15" s="33"/>
      <c r="J15" s="36">
        <v>10</v>
      </c>
    </row>
    <row r="16" spans="2:14" ht="19.5" customHeight="1" x14ac:dyDescent="0.25">
      <c r="E16" s="20" t="s">
        <v>5</v>
      </c>
      <c r="F16" s="21">
        <v>1645794</v>
      </c>
      <c r="G16" s="22"/>
      <c r="H16" s="23">
        <f>SUM(H4:H15)</f>
        <v>1596392.66</v>
      </c>
      <c r="I16" s="35"/>
      <c r="J16" s="36">
        <f>SUM(J4:J15)</f>
        <v>63</v>
      </c>
    </row>
    <row r="17" spans="2:10" ht="19.5" customHeight="1" x14ac:dyDescent="0.25">
      <c r="E17" s="24"/>
      <c r="F17" s="24"/>
      <c r="G17" s="25" t="s">
        <v>26</v>
      </c>
      <c r="H17" s="26"/>
      <c r="I17" s="26">
        <f>F16-H16</f>
        <v>49401.340000000084</v>
      </c>
    </row>
    <row r="18" spans="2:10" ht="15.75" thickBot="1" x14ac:dyDescent="0.3"/>
    <row r="19" spans="2:10" ht="29.25" thickBot="1" x14ac:dyDescent="0.3">
      <c r="B19" s="1" t="s">
        <v>0</v>
      </c>
      <c r="C19" s="2" t="s">
        <v>1</v>
      </c>
      <c r="D19" s="2" t="s">
        <v>2</v>
      </c>
      <c r="E19" s="8" t="s">
        <v>3</v>
      </c>
      <c r="F19" s="9" t="s">
        <v>4</v>
      </c>
      <c r="G19" s="14" t="s">
        <v>7</v>
      </c>
      <c r="H19" s="19" t="s">
        <v>6</v>
      </c>
      <c r="I19" s="34" t="s">
        <v>28</v>
      </c>
    </row>
    <row r="20" spans="2:10" ht="19.5" customHeight="1" thickBot="1" x14ac:dyDescent="0.3">
      <c r="B20" s="3">
        <v>1</v>
      </c>
      <c r="C20" s="4" t="s">
        <v>20</v>
      </c>
      <c r="D20" s="5">
        <v>2</v>
      </c>
      <c r="E20" s="10">
        <v>61000</v>
      </c>
      <c r="F20" s="11">
        <v>122000</v>
      </c>
      <c r="G20" s="15">
        <v>337</v>
      </c>
      <c r="H20" s="17">
        <v>122000</v>
      </c>
      <c r="I20" s="34">
        <v>4</v>
      </c>
    </row>
    <row r="21" spans="2:10" ht="19.5" customHeight="1" thickBot="1" x14ac:dyDescent="0.3">
      <c r="B21" s="3">
        <v>2</v>
      </c>
      <c r="C21" s="4" t="s">
        <v>21</v>
      </c>
      <c r="D21" s="5">
        <v>2</v>
      </c>
      <c r="E21" s="6">
        <v>15384</v>
      </c>
      <c r="F21" s="11">
        <v>30768</v>
      </c>
      <c r="G21" s="15">
        <v>355</v>
      </c>
      <c r="H21" s="17">
        <v>30768</v>
      </c>
      <c r="I21" s="34">
        <v>2</v>
      </c>
    </row>
    <row r="22" spans="2:10" ht="19.5" customHeight="1" thickBot="1" x14ac:dyDescent="0.3">
      <c r="B22" s="3">
        <v>3</v>
      </c>
      <c r="C22" s="4" t="s">
        <v>22</v>
      </c>
      <c r="D22" s="5">
        <v>2</v>
      </c>
      <c r="E22" s="10">
        <v>33844</v>
      </c>
      <c r="F22" s="11">
        <v>67688</v>
      </c>
      <c r="G22" s="15">
        <v>340</v>
      </c>
      <c r="H22" s="17">
        <v>67688</v>
      </c>
      <c r="I22" s="34">
        <v>2</v>
      </c>
    </row>
    <row r="23" spans="2:10" ht="19.5" customHeight="1" thickBot="1" x14ac:dyDescent="0.3">
      <c r="B23" s="3">
        <v>4</v>
      </c>
      <c r="C23" s="4" t="s">
        <v>23</v>
      </c>
      <c r="D23" s="5">
        <v>2</v>
      </c>
      <c r="E23" s="10">
        <v>102000</v>
      </c>
      <c r="F23" s="11">
        <v>204000</v>
      </c>
      <c r="G23" s="15">
        <v>352</v>
      </c>
      <c r="H23" s="17">
        <v>204000</v>
      </c>
      <c r="I23" s="34">
        <v>4</v>
      </c>
    </row>
    <row r="24" spans="2:10" ht="19.5" customHeight="1" thickBot="1" x14ac:dyDescent="0.3">
      <c r="B24" s="3">
        <v>5</v>
      </c>
      <c r="C24" s="4" t="s">
        <v>24</v>
      </c>
      <c r="D24" s="5">
        <v>3</v>
      </c>
      <c r="E24" s="10">
        <v>31000</v>
      </c>
      <c r="F24" s="11">
        <v>93000</v>
      </c>
      <c r="G24" s="15">
        <v>343</v>
      </c>
      <c r="H24" s="17">
        <v>93000</v>
      </c>
      <c r="I24" s="34">
        <v>3</v>
      </c>
    </row>
    <row r="25" spans="2:10" ht="19.5" customHeight="1" thickBot="1" x14ac:dyDescent="0.3">
      <c r="B25" s="3">
        <v>6</v>
      </c>
      <c r="C25" s="4" t="s">
        <v>25</v>
      </c>
      <c r="D25" s="5">
        <v>3</v>
      </c>
      <c r="E25" s="10">
        <v>30000</v>
      </c>
      <c r="F25" s="11">
        <v>90000</v>
      </c>
      <c r="G25" s="15">
        <v>350</v>
      </c>
      <c r="H25" s="17">
        <v>90000</v>
      </c>
      <c r="I25" s="34">
        <v>3</v>
      </c>
    </row>
    <row r="26" spans="2:10" ht="23.25" customHeight="1" x14ac:dyDescent="0.25">
      <c r="E26" s="21" t="s">
        <v>5</v>
      </c>
      <c r="F26" s="21">
        <v>607456</v>
      </c>
      <c r="G26" s="22"/>
      <c r="H26" s="23">
        <f>SUM(H20:H25)</f>
        <v>607456</v>
      </c>
      <c r="I26" s="34">
        <f>SUM(I20:I25)</f>
        <v>18</v>
      </c>
    </row>
    <row r="27" spans="2:10" x14ac:dyDescent="0.25">
      <c r="J27" s="36">
        <f>I26+J16</f>
        <v>81</v>
      </c>
    </row>
  </sheetData>
  <pageMargins left="0.511811024" right="0.511811024" top="0.78740157499999996" bottom="0.78740157499999996" header="0.31496062000000002" footer="0.31496062000000002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Estoque</cp:lastModifiedBy>
  <cp:lastPrinted>2026-06-15T14:28:38Z</cp:lastPrinted>
  <dcterms:created xsi:type="dcterms:W3CDTF">2026-05-07T13:07:22Z</dcterms:created>
  <dcterms:modified xsi:type="dcterms:W3CDTF">2026-06-15T14:34:09Z</dcterms:modified>
</cp:coreProperties>
</file>