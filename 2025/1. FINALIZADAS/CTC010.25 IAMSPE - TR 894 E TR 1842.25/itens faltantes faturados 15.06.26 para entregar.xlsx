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eu Drive\COTAÇÕES\COTAÇÕES - VENDAS\2025\1. FINALIZADAS\CTC010.25 IAMSPE - TR 894 E TR 1842.25\"/>
    </mc:Choice>
  </mc:AlternateContent>
  <bookViews>
    <workbookView xWindow="-105" yWindow="-105" windowWidth="21795" windowHeight="12975" activeTab="2"/>
  </bookViews>
  <sheets>
    <sheet name="Table 1" sheetId="1" r:id="rId1"/>
    <sheet name="Plan1" sheetId="2" r:id="rId2"/>
    <sheet name="nf iamspe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3" i="3"/>
  <c r="C20" i="2" l="1"/>
  <c r="B19" i="1" l="1"/>
</calcChain>
</file>

<file path=xl/sharedStrings.xml><?xml version="1.0" encoding="utf-8"?>
<sst xmlns="http://schemas.openxmlformats.org/spreadsheetml/2006/main" count="189" uniqueCount="69">
  <si>
    <t>290922MN·01/MS-23</t>
  </si>
  <si>
    <t>270118OS·03/BT-03</t>
  </si>
  <si>
    <t>20122JJ·30/MH-01</t>
  </si>
  <si>
    <t>031122FA·10/LP·01</t>
  </si>
  <si>
    <t>050315HL·06/DO-01B</t>
  </si>
  <si>
    <t>061114NJ·14 /MN-01G</t>
  </si>
  <si>
    <t>260126KM·07/DS-01</t>
  </si>
  <si>
    <t>050315HL·01 /DO-04 B</t>
  </si>
  <si>
    <t>161225HL·12/AF-01</t>
  </si>
  <si>
    <t>261225MS-02 /AB-01</t>
  </si>
  <si>
    <t>250724MN-19 /MH-01</t>
  </si>
  <si>
    <t>140322MN-01/MH-07</t>
  </si>
  <si>
    <t>231225AH-03 /HO-01</t>
  </si>
  <si>
    <t>150424MS-05/BR-02</t>
  </si>
  <si>
    <t>221124AH-14 /HO-01</t>
  </si>
  <si>
    <r>
      <rPr>
        <sz val="11"/>
        <color rgb="FF565656"/>
        <rFont val="Calibri"/>
        <family val="2"/>
        <scheme val="minor"/>
      </rPr>
      <t>07</t>
    </r>
    <r>
      <rPr>
        <sz val="11"/>
        <color rgb="FF343434"/>
        <rFont val="Calibri"/>
        <family val="2"/>
        <scheme val="minor"/>
      </rPr>
      <t>-</t>
    </r>
    <r>
      <rPr>
        <sz val="11"/>
        <color rgb="FF565656"/>
        <rFont val="Calibri"/>
        <family val="2"/>
        <scheme val="minor"/>
      </rPr>
      <t>681-11</t>
    </r>
  </si>
  <si>
    <r>
      <rPr>
        <sz val="11"/>
        <color rgb="FF565656"/>
        <rFont val="Calibri"/>
        <family val="2"/>
        <scheme val="minor"/>
      </rPr>
      <t>0</t>
    </r>
    <r>
      <rPr>
        <sz val="11"/>
        <color rgb="FF343434"/>
        <rFont val="Calibri"/>
        <family val="2"/>
        <scheme val="minor"/>
      </rPr>
      <t>5</t>
    </r>
    <r>
      <rPr>
        <sz val="11"/>
        <color rgb="FF565656"/>
        <rFont val="Calibri"/>
        <family val="2"/>
        <scheme val="minor"/>
      </rPr>
      <t>-</t>
    </r>
    <r>
      <rPr>
        <sz val="11"/>
        <color rgb="FF343434"/>
        <rFont val="Calibri"/>
        <family val="2"/>
        <scheme val="minor"/>
      </rPr>
      <t>1</t>
    </r>
    <r>
      <rPr>
        <sz val="11"/>
        <color rgb="FF565656"/>
        <rFont val="Calibri"/>
        <family val="2"/>
        <scheme val="minor"/>
      </rPr>
      <t>7</t>
    </r>
    <r>
      <rPr>
        <sz val="11"/>
        <color rgb="FF343434"/>
        <rFont val="Calibri"/>
        <family val="2"/>
        <scheme val="minor"/>
      </rPr>
      <t>0-</t>
    </r>
    <r>
      <rPr>
        <sz val="11"/>
        <color rgb="FF565656"/>
        <rFont val="Calibri"/>
        <family val="2"/>
        <scheme val="minor"/>
      </rPr>
      <t>17</t>
    </r>
  </si>
  <si>
    <r>
      <rPr>
        <sz val="11"/>
        <color rgb="FF343434"/>
        <rFont val="Calibri"/>
        <family val="2"/>
        <scheme val="minor"/>
      </rPr>
      <t>05-2</t>
    </r>
    <r>
      <rPr>
        <sz val="11"/>
        <color rgb="FF565656"/>
        <rFont val="Calibri"/>
        <family val="2"/>
        <scheme val="minor"/>
      </rPr>
      <t>3</t>
    </r>
    <r>
      <rPr>
        <sz val="11"/>
        <color rgb="FF343434"/>
        <rFont val="Calibri"/>
        <family val="2"/>
        <scheme val="minor"/>
      </rPr>
      <t>1-</t>
    </r>
    <r>
      <rPr>
        <sz val="11"/>
        <color rgb="FF565656"/>
        <rFont val="Calibri"/>
        <family val="2"/>
        <scheme val="minor"/>
      </rPr>
      <t>20</t>
    </r>
  </si>
  <si>
    <r>
      <rPr>
        <sz val="11"/>
        <color rgb="FF444444"/>
        <rFont val="Calibri"/>
        <family val="2"/>
        <scheme val="minor"/>
      </rPr>
      <t>20-252-03</t>
    </r>
  </si>
  <si>
    <r>
      <rPr>
        <sz val="11"/>
        <color rgb="FF444444"/>
        <rFont val="Calibri"/>
        <family val="2"/>
        <scheme val="minor"/>
      </rPr>
      <t>20</t>
    </r>
    <r>
      <rPr>
        <sz val="11"/>
        <color rgb="FF161616"/>
        <rFont val="Calibri"/>
        <family val="2"/>
        <scheme val="minor"/>
      </rPr>
      <t>-</t>
    </r>
    <r>
      <rPr>
        <sz val="11"/>
        <color rgb="FF343434"/>
        <rFont val="Calibri"/>
        <family val="2"/>
        <scheme val="minor"/>
      </rPr>
      <t>2</t>
    </r>
    <r>
      <rPr>
        <sz val="11"/>
        <color rgb="FF565656"/>
        <rFont val="Calibri"/>
        <family val="2"/>
        <scheme val="minor"/>
      </rPr>
      <t>51-03</t>
    </r>
  </si>
  <si>
    <r>
      <rPr>
        <sz val="11"/>
        <color rgb="FF343434"/>
        <rFont val="Calibri"/>
        <family val="2"/>
        <scheme val="minor"/>
      </rPr>
      <t>2</t>
    </r>
    <r>
      <rPr>
        <sz val="11"/>
        <color rgb="FF565656"/>
        <rFont val="Calibri"/>
        <family val="2"/>
        <scheme val="minor"/>
      </rPr>
      <t>0</t>
    </r>
    <r>
      <rPr>
        <sz val="11"/>
        <color rgb="FF7E7E7C"/>
        <rFont val="Calibri"/>
        <family val="2"/>
        <scheme val="minor"/>
      </rPr>
      <t>-</t>
    </r>
    <r>
      <rPr>
        <sz val="11"/>
        <color rgb="FF565656"/>
        <rFont val="Calibri"/>
        <family val="2"/>
        <scheme val="minor"/>
      </rPr>
      <t>25</t>
    </r>
    <r>
      <rPr>
        <sz val="11"/>
        <color rgb="FF343434"/>
        <rFont val="Calibri"/>
        <family val="2"/>
        <scheme val="minor"/>
      </rPr>
      <t>1-</t>
    </r>
    <r>
      <rPr>
        <sz val="11"/>
        <color rgb="FF565656"/>
        <rFont val="Calibri"/>
        <family val="2"/>
        <scheme val="minor"/>
      </rPr>
      <t>01</t>
    </r>
  </si>
  <si>
    <r>
      <rPr>
        <sz val="11"/>
        <color rgb="FF444444"/>
        <rFont val="Calibri"/>
        <family val="2"/>
        <scheme val="minor"/>
      </rPr>
      <t>09</t>
    </r>
    <r>
      <rPr>
        <sz val="11"/>
        <color rgb="FF161616"/>
        <rFont val="Calibri"/>
        <family val="2"/>
        <scheme val="minor"/>
      </rPr>
      <t>-</t>
    </r>
    <r>
      <rPr>
        <sz val="11"/>
        <color rgb="FF444444"/>
        <rFont val="Calibri"/>
        <family val="2"/>
        <scheme val="minor"/>
      </rPr>
      <t>576-00</t>
    </r>
  </si>
  <si>
    <r>
      <rPr>
        <sz val="11"/>
        <color rgb="FF565656"/>
        <rFont val="Calibri"/>
        <family val="2"/>
        <scheme val="minor"/>
      </rPr>
      <t>11-31</t>
    </r>
    <r>
      <rPr>
        <sz val="11"/>
        <color rgb="FF343434"/>
        <rFont val="Calibri"/>
        <family val="2"/>
        <scheme val="minor"/>
      </rPr>
      <t>4-</t>
    </r>
    <r>
      <rPr>
        <sz val="11"/>
        <color rgb="FF6E6E6B"/>
        <rFont val="Calibri"/>
        <family val="2"/>
        <scheme val="minor"/>
      </rPr>
      <t>18</t>
    </r>
  </si>
  <si>
    <r>
      <rPr>
        <sz val="11"/>
        <color rgb="FF444444"/>
        <rFont val="Calibri"/>
        <family val="2"/>
        <scheme val="minor"/>
      </rPr>
      <t>11-314-18</t>
    </r>
  </si>
  <si>
    <r>
      <rPr>
        <sz val="11"/>
        <color rgb="FF565656"/>
        <rFont val="Calibri"/>
        <family val="2"/>
        <scheme val="minor"/>
      </rPr>
      <t>250724</t>
    </r>
    <r>
      <rPr>
        <sz val="11"/>
        <color rgb="FF343434"/>
        <rFont val="Calibri"/>
        <family val="2"/>
        <scheme val="minor"/>
      </rPr>
      <t>MN</t>
    </r>
    <r>
      <rPr>
        <sz val="11"/>
        <color rgb="FF7E7E7C"/>
        <rFont val="Calibri"/>
        <family val="2"/>
        <scheme val="minor"/>
      </rPr>
      <t>·1</t>
    </r>
    <r>
      <rPr>
        <sz val="11"/>
        <color rgb="FF444444"/>
        <rFont val="Calibri"/>
        <family val="2"/>
        <scheme val="minor"/>
      </rPr>
      <t>9</t>
    </r>
    <r>
      <rPr>
        <sz val="11"/>
        <color rgb="FF6E6E6B"/>
        <rFont val="Calibri"/>
        <family val="2"/>
        <scheme val="minor"/>
      </rPr>
      <t>/</t>
    </r>
    <r>
      <rPr>
        <sz val="11"/>
        <color rgb="FF444444"/>
        <rFont val="Calibri"/>
        <family val="2"/>
        <scheme val="minor"/>
      </rPr>
      <t>MH-06</t>
    </r>
  </si>
  <si>
    <r>
      <rPr>
        <sz val="11"/>
        <color rgb="FF565656"/>
        <rFont val="Calibri"/>
        <family val="2"/>
        <scheme val="minor"/>
      </rPr>
      <t>10</t>
    </r>
    <r>
      <rPr>
        <sz val="11"/>
        <color rgb="FF343434"/>
        <rFont val="Calibri"/>
        <family val="2"/>
        <scheme val="minor"/>
      </rPr>
      <t>-2</t>
    </r>
    <r>
      <rPr>
        <sz val="11"/>
        <color rgb="FF565656"/>
        <rFont val="Calibri"/>
        <family val="2"/>
        <scheme val="minor"/>
      </rPr>
      <t>00-16</t>
    </r>
  </si>
  <si>
    <r>
      <rPr>
        <sz val="11"/>
        <color rgb="FF565656"/>
        <rFont val="Calibri"/>
        <family val="2"/>
        <scheme val="minor"/>
      </rPr>
      <t>07-320</t>
    </r>
    <r>
      <rPr>
        <sz val="11"/>
        <color rgb="FF161616"/>
        <rFont val="Calibri"/>
        <family val="2"/>
        <scheme val="minor"/>
      </rPr>
      <t>-</t>
    </r>
    <r>
      <rPr>
        <sz val="11"/>
        <color rgb="FF343434"/>
        <rFont val="Calibri"/>
        <family val="2"/>
        <scheme val="minor"/>
      </rPr>
      <t>1</t>
    </r>
    <r>
      <rPr>
        <sz val="11"/>
        <color rgb="FF6E6E6B"/>
        <rFont val="Calibri"/>
        <family val="2"/>
        <scheme val="minor"/>
      </rPr>
      <t>4</t>
    </r>
  </si>
  <si>
    <r>
      <rPr>
        <sz val="11"/>
        <color rgb="FF6E6E6B"/>
        <rFont val="Calibri"/>
        <family val="2"/>
        <scheme val="minor"/>
      </rPr>
      <t>161222M</t>
    </r>
    <r>
      <rPr>
        <sz val="11"/>
        <color rgb="FF444444"/>
        <rFont val="Calibri"/>
        <family val="2"/>
        <scheme val="minor"/>
      </rPr>
      <t xml:space="preserve">N·02 </t>
    </r>
    <r>
      <rPr>
        <sz val="11"/>
        <color rgb="FF6E6E6B"/>
        <rFont val="Calibri"/>
        <family val="2"/>
        <scheme val="minor"/>
      </rPr>
      <t>/</t>
    </r>
    <r>
      <rPr>
        <sz val="11"/>
        <color rgb="FF565656"/>
        <rFont val="Calibri"/>
        <family val="2"/>
        <scheme val="minor"/>
      </rPr>
      <t>KF-02</t>
    </r>
  </si>
  <si>
    <r>
      <rPr>
        <sz val="11"/>
        <color rgb="FF343434"/>
        <rFont val="Calibri"/>
        <family val="2"/>
        <scheme val="minor"/>
      </rPr>
      <t>1</t>
    </r>
    <r>
      <rPr>
        <sz val="11"/>
        <color rgb="FF565656"/>
        <rFont val="Calibri"/>
        <family val="2"/>
        <scheme val="minor"/>
      </rPr>
      <t>0-150-13</t>
    </r>
  </si>
  <si>
    <r>
      <rPr>
        <sz val="11"/>
        <color rgb="FF565656"/>
        <rFont val="Calibri"/>
        <family val="2"/>
        <scheme val="minor"/>
      </rPr>
      <t>22032SH</t>
    </r>
    <r>
      <rPr>
        <sz val="11"/>
        <color rgb="FF343434"/>
        <rFont val="Calibri"/>
        <family val="2"/>
        <scheme val="minor"/>
      </rPr>
      <t>L</t>
    </r>
    <r>
      <rPr>
        <sz val="11"/>
        <color rgb="FF91908E"/>
        <rFont val="Calibri"/>
        <family val="2"/>
        <scheme val="minor"/>
      </rPr>
      <t>·</t>
    </r>
    <r>
      <rPr>
        <sz val="11"/>
        <color rgb="FF444444"/>
        <rFont val="Calibri"/>
        <family val="2"/>
        <scheme val="minor"/>
      </rPr>
      <t xml:space="preserve">03 </t>
    </r>
    <r>
      <rPr>
        <sz val="11"/>
        <color rgb="FF6E6E6B"/>
        <rFont val="Calibri"/>
        <family val="2"/>
        <scheme val="minor"/>
      </rPr>
      <t>/</t>
    </r>
    <r>
      <rPr>
        <sz val="11"/>
        <color rgb="FF565656"/>
        <rFont val="Calibri"/>
        <family val="2"/>
        <scheme val="minor"/>
      </rPr>
      <t>OR-01</t>
    </r>
  </si>
  <si>
    <r>
      <rPr>
        <sz val="11"/>
        <color rgb="FF343434"/>
        <rFont val="Calibri"/>
        <family val="2"/>
        <scheme val="minor"/>
      </rPr>
      <t>0</t>
    </r>
    <r>
      <rPr>
        <sz val="11"/>
        <color rgb="FF565656"/>
        <rFont val="Calibri"/>
        <family val="2"/>
        <scheme val="minor"/>
      </rPr>
      <t>9-</t>
    </r>
    <r>
      <rPr>
        <sz val="11"/>
        <color rgb="FF343434"/>
        <rFont val="Calibri"/>
        <family val="2"/>
        <scheme val="minor"/>
      </rPr>
      <t>8</t>
    </r>
    <r>
      <rPr>
        <sz val="11"/>
        <color rgb="FF565656"/>
        <rFont val="Calibri"/>
        <family val="2"/>
        <scheme val="minor"/>
      </rPr>
      <t>28</t>
    </r>
    <r>
      <rPr>
        <sz val="11"/>
        <color rgb="FF343434"/>
        <rFont val="Calibri"/>
        <family val="2"/>
        <scheme val="minor"/>
      </rPr>
      <t>-00</t>
    </r>
  </si>
  <si>
    <r>
      <rPr>
        <sz val="11"/>
        <color rgb="FF444444"/>
        <rFont val="Calibri"/>
        <family val="2"/>
        <scheme val="minor"/>
      </rPr>
      <t>11-552-</t>
    </r>
    <r>
      <rPr>
        <sz val="11"/>
        <color rgb="FF161616"/>
        <rFont val="Calibri"/>
        <family val="2"/>
        <scheme val="minor"/>
      </rPr>
      <t>1</t>
    </r>
    <r>
      <rPr>
        <sz val="11"/>
        <color rgb="FF444444"/>
        <rFont val="Calibri"/>
        <family val="2"/>
        <scheme val="minor"/>
      </rPr>
      <t>8</t>
    </r>
  </si>
  <si>
    <r>
      <rPr>
        <sz val="11"/>
        <color rgb="FF383838"/>
        <rFont val="Calibri"/>
        <family val="2"/>
        <scheme val="minor"/>
      </rPr>
      <t>11-552-</t>
    </r>
    <r>
      <rPr>
        <sz val="11"/>
        <color rgb="FF4F4F4D"/>
        <rFont val="Calibri"/>
        <family val="2"/>
        <scheme val="minor"/>
      </rPr>
      <t>18</t>
    </r>
  </si>
  <si>
    <r>
      <rPr>
        <sz val="11"/>
        <color rgb="FF4F4F4D"/>
        <rFont val="Calibri"/>
        <family val="2"/>
        <scheme val="minor"/>
      </rPr>
      <t>09-82</t>
    </r>
    <r>
      <rPr>
        <sz val="11"/>
        <color rgb="FF696966"/>
        <rFont val="Calibri"/>
        <family val="2"/>
        <scheme val="minor"/>
      </rPr>
      <t>2-0</t>
    </r>
    <r>
      <rPr>
        <sz val="11"/>
        <color rgb="FF4F4F4D"/>
        <rFont val="Calibri"/>
        <family val="2"/>
        <scheme val="minor"/>
      </rPr>
      <t>0</t>
    </r>
  </si>
  <si>
    <r>
      <rPr>
        <sz val="11"/>
        <color rgb="FF383838"/>
        <rFont val="Calibri"/>
        <family val="2"/>
        <scheme val="minor"/>
      </rPr>
      <t>13</t>
    </r>
    <r>
      <rPr>
        <sz val="11"/>
        <color rgb="FF696966"/>
        <rFont val="Calibri"/>
        <family val="2"/>
        <scheme val="minor"/>
      </rPr>
      <t>-</t>
    </r>
    <r>
      <rPr>
        <sz val="11"/>
        <color rgb="FF383838"/>
        <rFont val="Calibri"/>
        <family val="2"/>
        <scheme val="minor"/>
      </rPr>
      <t>335</t>
    </r>
    <r>
      <rPr>
        <sz val="11"/>
        <color rgb="FF7E7E7B"/>
        <rFont val="Calibri"/>
        <family val="2"/>
        <scheme val="minor"/>
      </rPr>
      <t>-</t>
    </r>
    <r>
      <rPr>
        <sz val="11"/>
        <color rgb="FF4F4F4D"/>
        <rFont val="Calibri"/>
        <family val="2"/>
        <scheme val="minor"/>
      </rPr>
      <t>13</t>
    </r>
  </si>
  <si>
    <r>
      <rPr>
        <sz val="11"/>
        <color rgb="FF4F4F4D"/>
        <rFont val="Calibri"/>
        <family val="2"/>
        <scheme val="minor"/>
      </rPr>
      <t>13-334-19</t>
    </r>
  </si>
  <si>
    <t>sepaco</t>
  </si>
  <si>
    <t>iamspe</t>
  </si>
  <si>
    <t>Pinça de toalha de padrão delicado Backhaus 11cm</t>
  </si>
  <si>
    <t>Tesoura de Dissecação Mayo Reta 17cm</t>
  </si>
  <si>
    <t>Tesoura de Dissecação Metzenbaum Curva 20cm</t>
  </si>
  <si>
    <t>Especulo Vaginal Doyen Ligeiramente Côncavo 115,0x60mm Fig 3</t>
  </si>
  <si>
    <t>Especulo Vaginal Doyen Ligeiramente Côncavo 115,0x45mm Fig 3</t>
  </si>
  <si>
    <t>Especulo Vaginal Doyen Ligeiramente Côncavo 55,0x45mm Fig 1</t>
  </si>
  <si>
    <t>Afastador Farabeuf Conjunto Completo, 17x20cm</t>
  </si>
  <si>
    <t>Porta-agulhas Mayo-Hegar 18cm</t>
  </si>
  <si>
    <t>Sondas Lockhart-Mummery, reta, 16.5cm</t>
  </si>
  <si>
    <t>Pinça Arterial Kocher (Ochsner) 1/2th Reta 14cm</t>
  </si>
  <si>
    <t>Tentacanula 13cm</t>
  </si>
  <si>
    <t>Afastador Balfour 100,0x35,0x250mm Lâmina 70,0x85mm</t>
  </si>
  <si>
    <t>Porta-agulhas Mayo-Hegar com perfil normal T/C 18cm</t>
  </si>
  <si>
    <t>Afastador Balfour 70,0x35,0x180mm Lâmina 45x80mm</t>
  </si>
  <si>
    <t>Hibbs Osteótomo Curvo 24cm 13mm</t>
  </si>
  <si>
    <t>Hibbs Osteótomo Reto24cm 19mm</t>
  </si>
  <si>
    <t>DESCRITIVO</t>
  </si>
  <si>
    <t>CODIGO</t>
  </si>
  <si>
    <t>QTD</t>
  </si>
  <si>
    <t>LOTE</t>
  </si>
  <si>
    <t>REGISTRO ANVISA</t>
  </si>
  <si>
    <t>CLIENTE</t>
  </si>
  <si>
    <t>já faturada na NF 342</t>
  </si>
  <si>
    <t>unitario</t>
  </si>
  <si>
    <t>total</t>
  </si>
  <si>
    <t>NOTA DE EMPENHO - 2025NE18593</t>
  </si>
  <si>
    <t xml:space="preserve">constar na OBS: </t>
  </si>
  <si>
    <t>valor total NF</t>
  </si>
  <si>
    <t>30 dias para pagamento</t>
  </si>
  <si>
    <t>colocar os dados do banco</t>
  </si>
  <si>
    <t>FATURAMENTO IAMSPE ITENS PENDENTES DO 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</si>
</sst>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21" x14ac:knownFonts="1">
    <font>
      <sz val="10"/>
      <color rgb="FF000000"/>
      <name val="Times New Roman"/>
      <charset val="204"/>
    </font>
    <font>
      <sz val="11"/>
      <name val="Calibri"/>
      <family val="2"/>
      <scheme val="minor"/>
    </font>
    <font>
      <sz val="11"/>
      <color rgb="FF565656"/>
      <name val="Calibri"/>
      <family val="2"/>
      <scheme val="minor"/>
    </font>
    <font>
      <sz val="11"/>
      <color rgb="FF343434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61616"/>
      <name val="Calibri"/>
      <family val="2"/>
      <scheme val="minor"/>
    </font>
    <font>
      <sz val="11"/>
      <color rgb="FF7E7E7C"/>
      <name val="Calibri"/>
      <family val="2"/>
      <scheme val="minor"/>
    </font>
    <font>
      <sz val="11"/>
      <color rgb="FF6E6E6B"/>
      <name val="Calibri"/>
      <family val="2"/>
      <scheme val="minor"/>
    </font>
    <font>
      <sz val="11"/>
      <color rgb="FF91908E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4F4F4D"/>
      <name val="Calibri"/>
      <family val="2"/>
      <scheme val="minor"/>
    </font>
    <font>
      <sz val="11"/>
      <color rgb="FF696966"/>
      <name val="Calibri"/>
      <family val="2"/>
      <scheme val="minor"/>
    </font>
    <font>
      <sz val="11"/>
      <color rgb="FF7E7E7B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Arial"/>
      <family val="2"/>
    </font>
    <font>
      <b/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45"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1" fontId="4" fillId="0" borderId="0" xfId="0" applyNumberFormat="1" applyFont="1" applyAlignment="1">
      <alignment vertical="top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1" fontId="2" fillId="0" borderId="0" xfId="0" applyNumberFormat="1" applyFont="1" applyAlignment="1">
      <alignment vertical="top" shrinkToFit="1"/>
    </xf>
    <xf numFmtId="1" fontId="3" fillId="0" borderId="0" xfId="0" applyNumberFormat="1" applyFont="1" applyAlignment="1">
      <alignment vertical="top" shrinkToFit="1"/>
    </xf>
    <xf numFmtId="0" fontId="5" fillId="0" borderId="0" xfId="0" applyFont="1" applyAlignment="1"/>
    <xf numFmtId="1" fontId="11" fillId="0" borderId="0" xfId="0" applyNumberFormat="1" applyFont="1" applyAlignment="1">
      <alignment vertical="top" shrinkToFit="1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vertical="center"/>
    </xf>
    <xf numFmtId="0" fontId="1" fillId="3" borderId="0" xfId="0" applyFont="1" applyFill="1" applyAlignment="1">
      <alignment vertical="top"/>
    </xf>
    <xf numFmtId="1" fontId="11" fillId="3" borderId="0" xfId="0" applyNumberFormat="1" applyFont="1" applyFill="1" applyAlignment="1">
      <alignment vertical="top" shrinkToFit="1"/>
    </xf>
    <xf numFmtId="1" fontId="4" fillId="3" borderId="0" xfId="0" applyNumberFormat="1" applyFont="1" applyFill="1" applyAlignment="1">
      <alignment vertical="top" shrinkToFit="1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/>
    </xf>
    <xf numFmtId="1" fontId="11" fillId="0" borderId="1" xfId="0" applyNumberFormat="1" applyFont="1" applyBorder="1" applyAlignment="1">
      <alignment horizontal="left" vertical="top" shrinkToFit="1"/>
    </xf>
    <xf numFmtId="0" fontId="1" fillId="2" borderId="1" xfId="0" applyFont="1" applyFill="1" applyBorder="1" applyAlignment="1">
      <alignment horizontal="left" vertical="top"/>
    </xf>
    <xf numFmtId="1" fontId="11" fillId="2" borderId="1" xfId="0" applyNumberFormat="1" applyFont="1" applyFill="1" applyBorder="1" applyAlignment="1">
      <alignment horizontal="left" vertical="top" shrinkToFit="1"/>
    </xf>
    <xf numFmtId="1" fontId="4" fillId="2" borderId="1" xfId="0" applyNumberFormat="1" applyFont="1" applyFill="1" applyBorder="1" applyAlignment="1">
      <alignment horizontal="left" vertical="top" shrinkToFit="1"/>
    </xf>
    <xf numFmtId="164" fontId="15" fillId="0" borderId="1" xfId="1" applyNumberFormat="1" applyFont="1" applyBorder="1" applyAlignment="1" applyProtection="1">
      <alignment horizontal="center" vertical="center" wrapText="1"/>
      <protection hidden="1"/>
    </xf>
    <xf numFmtId="164" fontId="15" fillId="3" borderId="1" xfId="1" applyNumberFormat="1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" fontId="3" fillId="4" borderId="1" xfId="0" applyNumberFormat="1" applyFont="1" applyFill="1" applyBorder="1" applyAlignment="1">
      <alignment horizontal="left" vertical="top" shrinkToFit="1"/>
    </xf>
    <xf numFmtId="1" fontId="4" fillId="4" borderId="1" xfId="0" applyNumberFormat="1" applyFont="1" applyFill="1" applyBorder="1" applyAlignment="1">
      <alignment horizontal="left" vertical="top" shrinkToFit="1"/>
    </xf>
    <xf numFmtId="0" fontId="5" fillId="4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164" fontId="17" fillId="0" borderId="0" xfId="0" applyNumberFormat="1" applyFont="1" applyAlignment="1">
      <alignment horizontal="left" vertical="top"/>
    </xf>
    <xf numFmtId="165" fontId="18" fillId="5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39890" cy="0"/>
    <xdr:sp macro="" textlink="">
      <xdr:nvSpPr>
        <xdr:cNvPr id="8" name="Shape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739890" cy="0"/>
        </a:xfrm>
        <a:custGeom>
          <a:avLst/>
          <a:gdLst/>
          <a:ahLst/>
          <a:cxnLst/>
          <a:rect l="0" t="0" r="0" b="0"/>
          <a:pathLst>
            <a:path w="6739890">
              <a:moveTo>
                <a:pt x="0" y="0"/>
              </a:moveTo>
              <a:lnTo>
                <a:pt x="6739355" y="0"/>
              </a:lnTo>
            </a:path>
          </a:pathLst>
        </a:custGeom>
        <a:ln w="1221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6745605" cy="0"/>
    <xdr:sp macro="" textlink="">
      <xdr:nvSpPr>
        <xdr:cNvPr id="9" name="Shape 9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5605" cy="0"/>
        </a:xfrm>
        <a:custGeom>
          <a:avLst/>
          <a:gdLst/>
          <a:ahLst/>
          <a:cxnLst/>
          <a:rect l="0" t="0" r="0" b="0"/>
          <a:pathLst>
            <a:path w="6745605">
              <a:moveTo>
                <a:pt x="0" y="0"/>
              </a:moveTo>
              <a:lnTo>
                <a:pt x="6745471" y="0"/>
              </a:lnTo>
            </a:path>
          </a:pathLst>
        </a:custGeom>
        <a:ln w="1221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150" zoomScaleNormal="150" workbookViewId="0">
      <selection activeCell="G14" sqref="G14"/>
    </sheetView>
  </sheetViews>
  <sheetFormatPr defaultColWidth="9.1640625" defaultRowHeight="15" x14ac:dyDescent="0.2"/>
  <cols>
    <col min="1" max="1" width="22.33203125" style="5" customWidth="1"/>
    <col min="2" max="2" width="9.1640625" style="5" customWidth="1"/>
    <col min="3" max="3" width="20.5" style="5" bestFit="1" customWidth="1"/>
    <col min="4" max="4" width="2.5" style="5" customWidth="1"/>
    <col min="5" max="16384" width="9.1640625" style="5"/>
  </cols>
  <sheetData>
    <row r="1" spans="1:8" ht="15" customHeight="1" x14ac:dyDescent="0.2">
      <c r="A1" s="1" t="s">
        <v>15</v>
      </c>
      <c r="B1" s="2">
        <v>3</v>
      </c>
      <c r="C1" s="2" t="s">
        <v>1</v>
      </c>
      <c r="D1" s="3"/>
      <c r="E1" s="4"/>
      <c r="F1" s="4"/>
      <c r="G1" s="4"/>
      <c r="H1" s="4"/>
    </row>
    <row r="2" spans="1:8" ht="14.1" customHeight="1" x14ac:dyDescent="0.2">
      <c r="A2" s="1" t="s">
        <v>16</v>
      </c>
      <c r="B2" s="6">
        <v>6</v>
      </c>
      <c r="C2" s="2" t="s">
        <v>0</v>
      </c>
      <c r="D2" s="3"/>
      <c r="E2" s="4"/>
      <c r="F2" s="4"/>
      <c r="G2" s="4"/>
      <c r="H2" s="4"/>
    </row>
    <row r="3" spans="1:8" ht="14.1" customHeight="1" x14ac:dyDescent="0.2">
      <c r="A3" s="1" t="s">
        <v>17</v>
      </c>
      <c r="B3" s="2">
        <v>6</v>
      </c>
      <c r="C3" s="2" t="s">
        <v>5</v>
      </c>
      <c r="D3" s="3"/>
    </row>
    <row r="4" spans="1:8" ht="17.100000000000001" customHeight="1" x14ac:dyDescent="0.2">
      <c r="A4" s="1" t="s">
        <v>18</v>
      </c>
      <c r="B4" s="2">
        <v>12</v>
      </c>
      <c r="C4" s="2" t="s">
        <v>4</v>
      </c>
      <c r="D4" s="3"/>
    </row>
    <row r="5" spans="1:8" ht="18" customHeight="1" x14ac:dyDescent="0.2">
      <c r="A5" s="1" t="s">
        <v>19</v>
      </c>
      <c r="B5" s="6">
        <v>12</v>
      </c>
      <c r="C5" s="2" t="s">
        <v>6</v>
      </c>
      <c r="D5" s="3"/>
    </row>
    <row r="6" spans="1:8" ht="17.100000000000001" customHeight="1" x14ac:dyDescent="0.2">
      <c r="A6" s="1" t="s">
        <v>20</v>
      </c>
      <c r="B6" s="7">
        <v>12</v>
      </c>
      <c r="C6" s="2" t="s">
        <v>7</v>
      </c>
      <c r="D6" s="3"/>
    </row>
    <row r="7" spans="1:8" ht="15" customHeight="1" x14ac:dyDescent="0.2">
      <c r="A7" s="1" t="s">
        <v>21</v>
      </c>
      <c r="B7" s="6">
        <v>4</v>
      </c>
      <c r="C7" s="2" t="s">
        <v>8</v>
      </c>
      <c r="D7" s="3"/>
    </row>
    <row r="8" spans="1:8" ht="14.1" customHeight="1" x14ac:dyDescent="0.2">
      <c r="A8" s="1" t="s">
        <v>22</v>
      </c>
      <c r="B8" s="6">
        <v>5</v>
      </c>
      <c r="C8" s="2" t="s">
        <v>2</v>
      </c>
      <c r="D8" s="3"/>
    </row>
    <row r="9" spans="1:8" ht="14.1" customHeight="1" x14ac:dyDescent="0.2">
      <c r="A9" s="1" t="s">
        <v>23</v>
      </c>
      <c r="B9" s="7">
        <v>1</v>
      </c>
      <c r="C9" s="2" t="s">
        <v>24</v>
      </c>
      <c r="D9" s="3"/>
    </row>
    <row r="10" spans="1:8" ht="14.1" customHeight="1" x14ac:dyDescent="0.2">
      <c r="A10" s="1" t="s">
        <v>25</v>
      </c>
      <c r="B10" s="7">
        <v>6</v>
      </c>
      <c r="C10" s="2" t="s">
        <v>3</v>
      </c>
      <c r="D10" s="3"/>
    </row>
    <row r="11" spans="1:8" ht="14.1" customHeight="1" x14ac:dyDescent="0.2">
      <c r="A11" s="1" t="s">
        <v>26</v>
      </c>
      <c r="B11" s="6">
        <v>8</v>
      </c>
      <c r="C11" s="2" t="s">
        <v>27</v>
      </c>
      <c r="D11" s="3"/>
    </row>
    <row r="12" spans="1:8" ht="15" customHeight="1" x14ac:dyDescent="0.2">
      <c r="A12" s="1" t="s">
        <v>28</v>
      </c>
      <c r="B12" s="7">
        <v>6</v>
      </c>
      <c r="C12" s="2" t="s">
        <v>29</v>
      </c>
      <c r="D12" s="3"/>
    </row>
    <row r="13" spans="1:8" ht="15.75" customHeight="1" x14ac:dyDescent="0.25">
      <c r="A13" s="1" t="s">
        <v>30</v>
      </c>
      <c r="B13" s="7">
        <v>4</v>
      </c>
      <c r="C13" s="2" t="s">
        <v>9</v>
      </c>
      <c r="D13" s="8"/>
    </row>
    <row r="14" spans="1:8" ht="17.100000000000001" customHeight="1" x14ac:dyDescent="0.2">
      <c r="A14" s="1" t="s">
        <v>31</v>
      </c>
      <c r="B14" s="7">
        <v>5</v>
      </c>
      <c r="C14" s="2" t="s">
        <v>10</v>
      </c>
      <c r="D14" s="3"/>
    </row>
    <row r="15" spans="1:8" ht="15" customHeight="1" x14ac:dyDescent="0.25">
      <c r="A15" s="1" t="s">
        <v>32</v>
      </c>
      <c r="B15" s="9">
        <v>1</v>
      </c>
      <c r="C15" s="2" t="s">
        <v>11</v>
      </c>
      <c r="D15" s="10"/>
    </row>
    <row r="16" spans="1:8" x14ac:dyDescent="0.2">
      <c r="A16" s="1" t="s">
        <v>33</v>
      </c>
      <c r="B16" s="3">
        <v>4</v>
      </c>
      <c r="C16" s="2" t="s">
        <v>13</v>
      </c>
      <c r="D16" s="3"/>
      <c r="E16" s="4"/>
      <c r="F16" s="4"/>
      <c r="G16" s="4"/>
      <c r="H16" s="4"/>
    </row>
    <row r="17" spans="1:8" ht="14.1" customHeight="1" x14ac:dyDescent="0.25">
      <c r="A17" s="12" t="s">
        <v>34</v>
      </c>
      <c r="B17" s="13">
        <v>6</v>
      </c>
      <c r="C17" s="14" t="s">
        <v>12</v>
      </c>
      <c r="D17" s="8"/>
      <c r="E17" s="4"/>
      <c r="F17" s="4"/>
      <c r="G17" s="4"/>
      <c r="H17" s="4"/>
    </row>
    <row r="18" spans="1:8" ht="14.1" customHeight="1" x14ac:dyDescent="0.25">
      <c r="A18" s="12" t="s">
        <v>35</v>
      </c>
      <c r="B18" s="13">
        <v>2</v>
      </c>
      <c r="C18" s="14" t="s">
        <v>14</v>
      </c>
      <c r="D18" s="8"/>
      <c r="E18" s="4"/>
      <c r="F18" s="4"/>
      <c r="G18" s="4"/>
    </row>
    <row r="19" spans="1:8" ht="17.649999999999999" customHeight="1" x14ac:dyDescent="0.2">
      <c r="A19" s="3"/>
      <c r="B19" s="11">
        <f>SUM(B1:B18)</f>
        <v>103</v>
      </c>
      <c r="C19" s="3"/>
      <c r="D19" s="3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x14ac:dyDescent="0.2">
      <c r="A21" s="4"/>
      <c r="B21" s="4"/>
      <c r="C21" s="4"/>
      <c r="D21" s="4"/>
      <c r="E21" s="4"/>
      <c r="F21" s="4"/>
      <c r="G21" s="4"/>
      <c r="H21" s="4"/>
    </row>
    <row r="22" spans="1:8" x14ac:dyDescent="0.2">
      <c r="A22" s="4"/>
      <c r="B22" s="4"/>
      <c r="C22" s="4"/>
      <c r="D22" s="4"/>
      <c r="E22" s="4"/>
      <c r="F22" s="4"/>
      <c r="G22" s="4"/>
      <c r="H22" s="4"/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x14ac:dyDescent="0.2">
      <c r="A24" s="4"/>
      <c r="B24" s="4"/>
      <c r="C24" s="4"/>
      <c r="D24" s="4"/>
      <c r="E24" s="4"/>
      <c r="F24" s="4"/>
      <c r="G24" s="4"/>
      <c r="H24" s="4"/>
    </row>
    <row r="25" spans="1:8" x14ac:dyDescent="0.2">
      <c r="A25" s="4"/>
      <c r="B25" s="4"/>
      <c r="C25" s="4"/>
      <c r="D25" s="4"/>
      <c r="E25" s="4"/>
      <c r="F25" s="4"/>
      <c r="G25" s="4"/>
      <c r="H25" s="4"/>
    </row>
    <row r="26" spans="1:8" x14ac:dyDescent="0.2">
      <c r="A26" s="4"/>
      <c r="B26" s="4"/>
      <c r="C26" s="4"/>
      <c r="D26" s="4"/>
      <c r="E26" s="4"/>
      <c r="F26" s="4"/>
      <c r="G26" s="4"/>
      <c r="H26" s="4"/>
    </row>
    <row r="27" spans="1:8" x14ac:dyDescent="0.2">
      <c r="A27" s="4"/>
      <c r="B27" s="4"/>
      <c r="C27" s="4"/>
      <c r="D27" s="4"/>
      <c r="E27" s="4"/>
      <c r="F27" s="4"/>
      <c r="G27" s="4"/>
      <c r="H27" s="4"/>
    </row>
    <row r="28" spans="1:8" x14ac:dyDescent="0.2">
      <c r="A28" s="4"/>
      <c r="B28" s="4"/>
      <c r="C28" s="4"/>
      <c r="D28" s="4"/>
      <c r="E28" s="4"/>
      <c r="F28" s="4"/>
      <c r="G28" s="4"/>
      <c r="H2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sqref="A1:G17"/>
    </sheetView>
  </sheetViews>
  <sheetFormatPr defaultColWidth="9.1640625" defaultRowHeight="15" x14ac:dyDescent="0.2"/>
  <cols>
    <col min="1" max="1" width="57.6640625" style="5" customWidth="1"/>
    <col min="2" max="2" width="22.33203125" style="5" customWidth="1"/>
    <col min="3" max="3" width="9.1640625" style="5" customWidth="1"/>
    <col min="4" max="4" width="27.6640625" style="5" customWidth="1"/>
    <col min="5" max="5" width="24.5" style="5" customWidth="1"/>
    <col min="6" max="6" width="19" style="5" customWidth="1"/>
    <col min="7" max="7" width="14.83203125" style="5" customWidth="1"/>
    <col min="8" max="16384" width="9.1640625" style="5"/>
  </cols>
  <sheetData>
    <row r="1" spans="1:10" x14ac:dyDescent="0.2">
      <c r="A1" s="17" t="s">
        <v>54</v>
      </c>
      <c r="B1" s="17" t="s">
        <v>55</v>
      </c>
      <c r="C1" s="17" t="s">
        <v>56</v>
      </c>
      <c r="D1" s="17" t="s">
        <v>57</v>
      </c>
      <c r="E1" s="17" t="s">
        <v>58</v>
      </c>
      <c r="F1" s="17" t="s">
        <v>59</v>
      </c>
    </row>
    <row r="2" spans="1:10" ht="15" customHeight="1" x14ac:dyDescent="0.2">
      <c r="A2" s="17" t="s">
        <v>38</v>
      </c>
      <c r="B2" s="18" t="s">
        <v>15</v>
      </c>
      <c r="C2" s="19">
        <v>3</v>
      </c>
      <c r="D2" s="19" t="s">
        <v>1</v>
      </c>
      <c r="E2" s="20">
        <v>81897710001</v>
      </c>
      <c r="F2" s="20" t="s">
        <v>37</v>
      </c>
      <c r="G2" s="28">
        <v>160.37354347826087</v>
      </c>
      <c r="H2" s="4"/>
      <c r="I2" s="4"/>
      <c r="J2" s="4"/>
    </row>
    <row r="3" spans="1:10" ht="14.1" customHeight="1" x14ac:dyDescent="0.2">
      <c r="A3" s="17" t="s">
        <v>39</v>
      </c>
      <c r="B3" s="18" t="s">
        <v>16</v>
      </c>
      <c r="C3" s="21">
        <v>6</v>
      </c>
      <c r="D3" s="19" t="s">
        <v>0</v>
      </c>
      <c r="E3" s="20">
        <v>81897710017</v>
      </c>
      <c r="F3" s="20" t="s">
        <v>37</v>
      </c>
      <c r="G3" s="28">
        <v>131.81728695652174</v>
      </c>
      <c r="H3" s="4"/>
      <c r="I3" s="4"/>
      <c r="J3" s="4"/>
    </row>
    <row r="4" spans="1:10" ht="14.1" customHeight="1" x14ac:dyDescent="0.2">
      <c r="A4" s="17" t="s">
        <v>40</v>
      </c>
      <c r="B4" s="18" t="s">
        <v>17</v>
      </c>
      <c r="C4" s="19">
        <v>6</v>
      </c>
      <c r="D4" s="19" t="s">
        <v>5</v>
      </c>
      <c r="E4" s="20">
        <v>81897710017</v>
      </c>
      <c r="F4" s="20" t="s">
        <v>37</v>
      </c>
      <c r="G4" s="28">
        <v>178.27747826086957</v>
      </c>
    </row>
    <row r="5" spans="1:10" ht="17.100000000000001" customHeight="1" x14ac:dyDescent="0.2">
      <c r="A5" s="17" t="s">
        <v>41</v>
      </c>
      <c r="B5" s="18" t="s">
        <v>18</v>
      </c>
      <c r="C5" s="19">
        <v>12</v>
      </c>
      <c r="D5" s="19" t="s">
        <v>4</v>
      </c>
      <c r="E5" s="20">
        <v>81897710023</v>
      </c>
      <c r="F5" s="20" t="s">
        <v>37</v>
      </c>
      <c r="G5" s="29">
        <v>629.30426086956504</v>
      </c>
    </row>
    <row r="6" spans="1:10" ht="18" customHeight="1" x14ac:dyDescent="0.2">
      <c r="A6" s="17" t="s">
        <v>42</v>
      </c>
      <c r="B6" s="18" t="s">
        <v>19</v>
      </c>
      <c r="C6" s="21">
        <v>12</v>
      </c>
      <c r="D6" s="19" t="s">
        <v>6</v>
      </c>
      <c r="E6" s="20">
        <v>81897710023</v>
      </c>
      <c r="F6" s="20" t="s">
        <v>37</v>
      </c>
      <c r="G6" s="29">
        <v>547.40328260869558</v>
      </c>
    </row>
    <row r="7" spans="1:10" ht="17.100000000000001" customHeight="1" x14ac:dyDescent="0.2">
      <c r="A7" s="17" t="s">
        <v>43</v>
      </c>
      <c r="B7" s="18" t="s">
        <v>20</v>
      </c>
      <c r="C7" s="22">
        <v>12</v>
      </c>
      <c r="D7" s="19" t="s">
        <v>7</v>
      </c>
      <c r="E7" s="20">
        <v>81897710023</v>
      </c>
      <c r="F7" s="20" t="s">
        <v>37</v>
      </c>
      <c r="G7" s="29">
        <v>496.73895652173906</v>
      </c>
    </row>
    <row r="8" spans="1:10" ht="15" customHeight="1" x14ac:dyDescent="0.2">
      <c r="A8" s="17" t="s">
        <v>44</v>
      </c>
      <c r="B8" s="18" t="s">
        <v>21</v>
      </c>
      <c r="C8" s="21">
        <v>4</v>
      </c>
      <c r="D8" s="19" t="s">
        <v>8</v>
      </c>
      <c r="E8" s="20">
        <v>81897710021</v>
      </c>
      <c r="F8" s="20" t="s">
        <v>37</v>
      </c>
      <c r="G8" s="29">
        <v>297.51006521739123</v>
      </c>
    </row>
    <row r="9" spans="1:10" ht="14.1" customHeight="1" x14ac:dyDescent="0.2">
      <c r="A9" s="17" t="s">
        <v>45</v>
      </c>
      <c r="B9" s="18" t="s">
        <v>22</v>
      </c>
      <c r="C9" s="21">
        <v>5</v>
      </c>
      <c r="D9" s="19" t="s">
        <v>2</v>
      </c>
      <c r="E9" s="20">
        <v>81897710001</v>
      </c>
      <c r="F9" s="20" t="s">
        <v>37</v>
      </c>
      <c r="G9" s="29">
        <v>181.7058913043478</v>
      </c>
    </row>
    <row r="10" spans="1:10" ht="14.1" customHeight="1" x14ac:dyDescent="0.2">
      <c r="A10" s="17" t="s">
        <v>45</v>
      </c>
      <c r="B10" s="18" t="s">
        <v>23</v>
      </c>
      <c r="C10" s="22">
        <v>1</v>
      </c>
      <c r="D10" s="19" t="s">
        <v>24</v>
      </c>
      <c r="E10" s="20">
        <v>81897710001</v>
      </c>
      <c r="F10" s="20" t="s">
        <v>37</v>
      </c>
      <c r="G10" s="29">
        <v>181.7058913043478</v>
      </c>
    </row>
    <row r="11" spans="1:10" ht="14.1" customHeight="1" x14ac:dyDescent="0.2">
      <c r="A11" s="17" t="s">
        <v>46</v>
      </c>
      <c r="B11" s="18" t="s">
        <v>25</v>
      </c>
      <c r="C11" s="22">
        <v>6</v>
      </c>
      <c r="D11" s="19" t="s">
        <v>3</v>
      </c>
      <c r="E11" s="20">
        <v>81897710023</v>
      </c>
      <c r="F11" s="20" t="s">
        <v>37</v>
      </c>
      <c r="G11" s="29">
        <v>203.03823913043476</v>
      </c>
    </row>
    <row r="12" spans="1:10" ht="14.1" customHeight="1" x14ac:dyDescent="0.2">
      <c r="A12" s="17" t="s">
        <v>47</v>
      </c>
      <c r="B12" s="18" t="s">
        <v>26</v>
      </c>
      <c r="C12" s="21">
        <v>8</v>
      </c>
      <c r="D12" s="19" t="s">
        <v>27</v>
      </c>
      <c r="E12" s="20">
        <v>81897710001</v>
      </c>
      <c r="F12" s="20" t="s">
        <v>37</v>
      </c>
      <c r="G12" s="29">
        <v>128.3750217391304</v>
      </c>
    </row>
    <row r="13" spans="1:10" ht="15" customHeight="1" x14ac:dyDescent="0.2">
      <c r="A13" s="30" t="s">
        <v>48</v>
      </c>
      <c r="B13" s="31" t="s">
        <v>28</v>
      </c>
      <c r="C13" s="32">
        <v>6</v>
      </c>
      <c r="D13" s="33" t="s">
        <v>29</v>
      </c>
      <c r="E13" s="34">
        <v>81897710023</v>
      </c>
      <c r="F13" s="34" t="s">
        <v>37</v>
      </c>
      <c r="G13" s="35"/>
      <c r="H13" s="5" t="s">
        <v>60</v>
      </c>
    </row>
    <row r="14" spans="1:10" ht="15.75" customHeight="1" x14ac:dyDescent="0.25">
      <c r="A14" s="17" t="s">
        <v>49</v>
      </c>
      <c r="B14" s="18" t="s">
        <v>30</v>
      </c>
      <c r="C14" s="22">
        <v>4</v>
      </c>
      <c r="D14" s="19" t="s">
        <v>9</v>
      </c>
      <c r="E14" s="23">
        <v>81897710001</v>
      </c>
      <c r="F14" s="20" t="s">
        <v>37</v>
      </c>
      <c r="G14" s="29">
        <v>1984.4624347826086</v>
      </c>
    </row>
    <row r="15" spans="1:10" ht="17.100000000000001" customHeight="1" x14ac:dyDescent="0.2">
      <c r="A15" s="17" t="s">
        <v>50</v>
      </c>
      <c r="B15" s="18" t="s">
        <v>31</v>
      </c>
      <c r="C15" s="22">
        <v>5</v>
      </c>
      <c r="D15" s="19" t="s">
        <v>10</v>
      </c>
      <c r="E15" s="20">
        <v>81897710001</v>
      </c>
      <c r="F15" s="20" t="s">
        <v>37</v>
      </c>
      <c r="G15" s="29">
        <v>839.1646956521738</v>
      </c>
    </row>
    <row r="16" spans="1:10" ht="15" customHeight="1" x14ac:dyDescent="0.25">
      <c r="A16" s="17" t="s">
        <v>50</v>
      </c>
      <c r="B16" s="18" t="s">
        <v>32</v>
      </c>
      <c r="C16" s="24">
        <v>1</v>
      </c>
      <c r="D16" s="19" t="s">
        <v>11</v>
      </c>
      <c r="E16" s="23">
        <v>81897710001</v>
      </c>
      <c r="F16" s="20" t="s">
        <v>37</v>
      </c>
      <c r="G16" s="29">
        <v>839.1646956521738</v>
      </c>
    </row>
    <row r="17" spans="1:10" x14ac:dyDescent="0.2">
      <c r="A17" s="17" t="s">
        <v>51</v>
      </c>
      <c r="B17" s="18" t="s">
        <v>33</v>
      </c>
      <c r="C17" s="20">
        <v>4</v>
      </c>
      <c r="D17" s="19" t="s">
        <v>13</v>
      </c>
      <c r="E17" s="20">
        <v>81897710001</v>
      </c>
      <c r="F17" s="20" t="s">
        <v>37</v>
      </c>
      <c r="G17" s="29">
        <v>2010.5737826086959</v>
      </c>
      <c r="H17" s="4"/>
      <c r="I17" s="4"/>
      <c r="J17" s="4"/>
    </row>
    <row r="18" spans="1:10" ht="14.1" customHeight="1" x14ac:dyDescent="0.25">
      <c r="A18" s="17" t="s">
        <v>52</v>
      </c>
      <c r="B18" s="25" t="s">
        <v>34</v>
      </c>
      <c r="C18" s="26">
        <v>6</v>
      </c>
      <c r="D18" s="27" t="s">
        <v>12</v>
      </c>
      <c r="E18" s="23">
        <v>81897710018</v>
      </c>
      <c r="F18" s="23" t="s">
        <v>36</v>
      </c>
      <c r="G18" s="4"/>
      <c r="H18" s="4"/>
      <c r="I18" s="4"/>
      <c r="J18" s="4"/>
    </row>
    <row r="19" spans="1:10" ht="14.1" customHeight="1" x14ac:dyDescent="0.25">
      <c r="A19" s="17" t="s">
        <v>53</v>
      </c>
      <c r="B19" s="25" t="s">
        <v>35</v>
      </c>
      <c r="C19" s="26">
        <v>2</v>
      </c>
      <c r="D19" s="27" t="s">
        <v>14</v>
      </c>
      <c r="E19" s="23">
        <v>81897710018</v>
      </c>
      <c r="F19" s="23" t="s">
        <v>36</v>
      </c>
      <c r="G19" s="4"/>
      <c r="H19" s="4"/>
      <c r="I19" s="4"/>
    </row>
    <row r="20" spans="1:10" ht="17.649999999999999" customHeight="1" x14ac:dyDescent="0.2">
      <c r="B20" s="15"/>
      <c r="C20" s="16">
        <f>SUM(C2:C19)</f>
        <v>103</v>
      </c>
      <c r="D20" s="15"/>
      <c r="E20" s="15"/>
      <c r="F20" s="15"/>
      <c r="G20" s="4"/>
      <c r="H20" s="4"/>
      <c r="I20" s="4"/>
      <c r="J20" s="4"/>
    </row>
    <row r="21" spans="1:10" x14ac:dyDescent="0.2">
      <c r="G21" s="4"/>
      <c r="H21" s="4"/>
      <c r="I21" s="4"/>
      <c r="J21" s="4"/>
    </row>
    <row r="22" spans="1:10" x14ac:dyDescent="0.2">
      <c r="G22" s="4"/>
      <c r="H22" s="4"/>
      <c r="I22" s="4"/>
      <c r="J22" s="4"/>
    </row>
    <row r="23" spans="1:10" x14ac:dyDescent="0.2">
      <c r="G23" s="4"/>
      <c r="H23" s="4"/>
      <c r="I23" s="4"/>
      <c r="J23" s="4"/>
    </row>
    <row r="24" spans="1:10" x14ac:dyDescent="0.2">
      <c r="G24" s="4"/>
      <c r="H24" s="4"/>
      <c r="I24" s="4"/>
      <c r="J24" s="4"/>
    </row>
    <row r="25" spans="1:10" x14ac:dyDescent="0.2">
      <c r="G25" s="4"/>
      <c r="H25" s="4"/>
      <c r="I25" s="4"/>
      <c r="J25" s="4"/>
    </row>
    <row r="26" spans="1:10" x14ac:dyDescent="0.2">
      <c r="G26" s="4"/>
      <c r="H26" s="4"/>
      <c r="I26" s="4"/>
      <c r="J26" s="4"/>
    </row>
    <row r="27" spans="1:10" x14ac:dyDescent="0.2">
      <c r="G27" s="4"/>
      <c r="H27" s="4"/>
      <c r="I27" s="4"/>
      <c r="J27" s="4"/>
    </row>
    <row r="28" spans="1:10" x14ac:dyDescent="0.2">
      <c r="G28" s="4"/>
      <c r="H28" s="4"/>
      <c r="I28" s="4"/>
      <c r="J28" s="4"/>
    </row>
    <row r="29" spans="1:10" x14ac:dyDescent="0.2">
      <c r="G29" s="4"/>
      <c r="H29" s="4"/>
      <c r="I29" s="4"/>
      <c r="J29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tabSelected="1" workbookViewId="0">
      <selection activeCell="J23" sqref="J23"/>
    </sheetView>
  </sheetViews>
  <sheetFormatPr defaultRowHeight="12.75" x14ac:dyDescent="0.2"/>
  <cols>
    <col min="1" max="1" width="51" customWidth="1"/>
    <col min="2" max="2" width="17.6640625" customWidth="1"/>
    <col min="4" max="4" width="20.83203125" customWidth="1"/>
    <col min="5" max="5" width="18" customWidth="1"/>
    <col min="6" max="6" width="16" customWidth="1"/>
    <col min="7" max="7" width="19.5" customWidth="1"/>
    <col min="8" max="8" width="21.6640625" customWidth="1"/>
  </cols>
  <sheetData>
    <row r="1" spans="1:8" x14ac:dyDescent="0.2">
      <c r="A1" s="42" t="s">
        <v>68</v>
      </c>
    </row>
    <row r="2" spans="1:8" ht="15" x14ac:dyDescent="0.2">
      <c r="A2" s="43" t="s">
        <v>54</v>
      </c>
      <c r="B2" s="43" t="s">
        <v>55</v>
      </c>
      <c r="C2" s="43" t="s">
        <v>56</v>
      </c>
      <c r="D2" s="43" t="s">
        <v>57</v>
      </c>
      <c r="E2" s="43" t="s">
        <v>58</v>
      </c>
      <c r="F2" s="43" t="s">
        <v>59</v>
      </c>
      <c r="G2" s="44" t="s">
        <v>61</v>
      </c>
    </row>
    <row r="3" spans="1:8" ht="15" x14ac:dyDescent="0.2">
      <c r="A3" s="17" t="s">
        <v>38</v>
      </c>
      <c r="B3" s="18" t="s">
        <v>15</v>
      </c>
      <c r="C3" s="19">
        <v>3</v>
      </c>
      <c r="D3" s="19" t="s">
        <v>1</v>
      </c>
      <c r="E3" s="20">
        <v>81897710001</v>
      </c>
      <c r="F3" s="20" t="s">
        <v>37</v>
      </c>
      <c r="G3" s="28">
        <v>160.37354347826087</v>
      </c>
      <c r="H3" s="36">
        <f>G3*C3</f>
        <v>481.12063043478258</v>
      </c>
    </row>
    <row r="4" spans="1:8" ht="15" x14ac:dyDescent="0.2">
      <c r="A4" s="17" t="s">
        <v>39</v>
      </c>
      <c r="B4" s="18" t="s">
        <v>16</v>
      </c>
      <c r="C4" s="21">
        <v>6</v>
      </c>
      <c r="D4" s="19" t="s">
        <v>0</v>
      </c>
      <c r="E4" s="20">
        <v>81897710017</v>
      </c>
      <c r="F4" s="20" t="s">
        <v>37</v>
      </c>
      <c r="G4" s="28">
        <v>131.81728695652174</v>
      </c>
      <c r="H4" s="36">
        <f t="shared" ref="H4:H17" si="0">G4*C4</f>
        <v>790.90372173913045</v>
      </c>
    </row>
    <row r="5" spans="1:8" ht="15" x14ac:dyDescent="0.2">
      <c r="A5" s="17" t="s">
        <v>40</v>
      </c>
      <c r="B5" s="18" t="s">
        <v>17</v>
      </c>
      <c r="C5" s="19">
        <v>6</v>
      </c>
      <c r="D5" s="19" t="s">
        <v>5</v>
      </c>
      <c r="E5" s="20">
        <v>81897710017</v>
      </c>
      <c r="F5" s="20" t="s">
        <v>37</v>
      </c>
      <c r="G5" s="28">
        <v>178.27747826086957</v>
      </c>
      <c r="H5" s="36">
        <f t="shared" si="0"/>
        <v>1069.6648695652175</v>
      </c>
    </row>
    <row r="6" spans="1:8" ht="15" x14ac:dyDescent="0.2">
      <c r="A6" s="17" t="s">
        <v>41</v>
      </c>
      <c r="B6" s="18" t="s">
        <v>18</v>
      </c>
      <c r="C6" s="19">
        <v>12</v>
      </c>
      <c r="D6" s="19" t="s">
        <v>4</v>
      </c>
      <c r="E6" s="20">
        <v>81897710023</v>
      </c>
      <c r="F6" s="20" t="s">
        <v>37</v>
      </c>
      <c r="G6" s="29">
        <v>629.30426086956504</v>
      </c>
      <c r="H6" s="36">
        <f t="shared" si="0"/>
        <v>7551.6511304347805</v>
      </c>
    </row>
    <row r="7" spans="1:8" ht="15" x14ac:dyDescent="0.2">
      <c r="A7" s="17" t="s">
        <v>42</v>
      </c>
      <c r="B7" s="18" t="s">
        <v>19</v>
      </c>
      <c r="C7" s="21">
        <v>12</v>
      </c>
      <c r="D7" s="19" t="s">
        <v>6</v>
      </c>
      <c r="E7" s="20">
        <v>81897710023</v>
      </c>
      <c r="F7" s="20" t="s">
        <v>37</v>
      </c>
      <c r="G7" s="29">
        <v>547.40328260869558</v>
      </c>
      <c r="H7" s="36">
        <f t="shared" si="0"/>
        <v>6568.8393913043474</v>
      </c>
    </row>
    <row r="8" spans="1:8" ht="15" x14ac:dyDescent="0.2">
      <c r="A8" s="17" t="s">
        <v>43</v>
      </c>
      <c r="B8" s="18" t="s">
        <v>20</v>
      </c>
      <c r="C8" s="22">
        <v>12</v>
      </c>
      <c r="D8" s="19" t="s">
        <v>7</v>
      </c>
      <c r="E8" s="20">
        <v>81897710023</v>
      </c>
      <c r="F8" s="20" t="s">
        <v>37</v>
      </c>
      <c r="G8" s="29">
        <v>616.54</v>
      </c>
      <c r="H8" s="36">
        <f t="shared" si="0"/>
        <v>7398.48</v>
      </c>
    </row>
    <row r="9" spans="1:8" ht="15" x14ac:dyDescent="0.2">
      <c r="A9" s="17" t="s">
        <v>44</v>
      </c>
      <c r="B9" s="18" t="s">
        <v>21</v>
      </c>
      <c r="C9" s="21">
        <v>4</v>
      </c>
      <c r="D9" s="19" t="s">
        <v>8</v>
      </c>
      <c r="E9" s="20">
        <v>81897710021</v>
      </c>
      <c r="F9" s="20" t="s">
        <v>37</v>
      </c>
      <c r="G9" s="29">
        <v>297.51006521739123</v>
      </c>
      <c r="H9" s="36">
        <f t="shared" si="0"/>
        <v>1190.0402608695649</v>
      </c>
    </row>
    <row r="10" spans="1:8" ht="15" x14ac:dyDescent="0.2">
      <c r="A10" s="17" t="s">
        <v>45</v>
      </c>
      <c r="B10" s="18" t="s">
        <v>22</v>
      </c>
      <c r="C10" s="21">
        <v>5</v>
      </c>
      <c r="D10" s="19" t="s">
        <v>2</v>
      </c>
      <c r="E10" s="20">
        <v>81897710001</v>
      </c>
      <c r="F10" s="20" t="s">
        <v>37</v>
      </c>
      <c r="G10" s="29">
        <v>181.7058913043478</v>
      </c>
      <c r="H10" s="36">
        <f t="shared" si="0"/>
        <v>908.52945652173901</v>
      </c>
    </row>
    <row r="11" spans="1:8" ht="15" x14ac:dyDescent="0.2">
      <c r="A11" s="17" t="s">
        <v>45</v>
      </c>
      <c r="B11" s="18" t="s">
        <v>23</v>
      </c>
      <c r="C11" s="22">
        <v>1</v>
      </c>
      <c r="D11" s="19" t="s">
        <v>24</v>
      </c>
      <c r="E11" s="20">
        <v>81897710001</v>
      </c>
      <c r="F11" s="20" t="s">
        <v>37</v>
      </c>
      <c r="G11" s="29">
        <v>181.7058913043478</v>
      </c>
      <c r="H11" s="36">
        <f t="shared" si="0"/>
        <v>181.7058913043478</v>
      </c>
    </row>
    <row r="12" spans="1:8" ht="15" x14ac:dyDescent="0.2">
      <c r="A12" s="17" t="s">
        <v>46</v>
      </c>
      <c r="B12" s="18" t="s">
        <v>25</v>
      </c>
      <c r="C12" s="22">
        <v>6</v>
      </c>
      <c r="D12" s="19" t="s">
        <v>3</v>
      </c>
      <c r="E12" s="20">
        <v>81897710023</v>
      </c>
      <c r="F12" s="20" t="s">
        <v>37</v>
      </c>
      <c r="G12" s="29">
        <v>203.03823913043476</v>
      </c>
      <c r="H12" s="36">
        <f t="shared" si="0"/>
        <v>1218.2294347826087</v>
      </c>
    </row>
    <row r="13" spans="1:8" ht="15" x14ac:dyDescent="0.2">
      <c r="A13" s="17" t="s">
        <v>47</v>
      </c>
      <c r="B13" s="18" t="s">
        <v>26</v>
      </c>
      <c r="C13" s="21">
        <v>8</v>
      </c>
      <c r="D13" s="19" t="s">
        <v>27</v>
      </c>
      <c r="E13" s="20">
        <v>81897710001</v>
      </c>
      <c r="F13" s="20" t="s">
        <v>37</v>
      </c>
      <c r="G13" s="29">
        <v>128.3750217391304</v>
      </c>
      <c r="H13" s="36">
        <f t="shared" si="0"/>
        <v>1027.0001739130432</v>
      </c>
    </row>
    <row r="14" spans="1:8" ht="15" x14ac:dyDescent="0.25">
      <c r="A14" s="17" t="s">
        <v>49</v>
      </c>
      <c r="B14" s="18" t="s">
        <v>30</v>
      </c>
      <c r="C14" s="22">
        <v>4</v>
      </c>
      <c r="D14" s="19" t="s">
        <v>9</v>
      </c>
      <c r="E14" s="23">
        <v>81897710001</v>
      </c>
      <c r="F14" s="20" t="s">
        <v>37</v>
      </c>
      <c r="G14" s="29">
        <v>1984.4624347826086</v>
      </c>
      <c r="H14" s="36">
        <f t="shared" si="0"/>
        <v>7937.8497391304345</v>
      </c>
    </row>
    <row r="15" spans="1:8" ht="15" x14ac:dyDescent="0.2">
      <c r="A15" s="17" t="s">
        <v>50</v>
      </c>
      <c r="B15" s="18" t="s">
        <v>31</v>
      </c>
      <c r="C15" s="22">
        <v>5</v>
      </c>
      <c r="D15" s="19" t="s">
        <v>10</v>
      </c>
      <c r="E15" s="20">
        <v>81897710001</v>
      </c>
      <c r="F15" s="20" t="s">
        <v>37</v>
      </c>
      <c r="G15" s="29">
        <v>839.1646956521738</v>
      </c>
      <c r="H15" s="36">
        <f t="shared" si="0"/>
        <v>4195.8234782608688</v>
      </c>
    </row>
    <row r="16" spans="1:8" ht="15" x14ac:dyDescent="0.25">
      <c r="A16" s="17" t="s">
        <v>50</v>
      </c>
      <c r="B16" s="18" t="s">
        <v>32</v>
      </c>
      <c r="C16" s="24">
        <v>1</v>
      </c>
      <c r="D16" s="19" t="s">
        <v>11</v>
      </c>
      <c r="E16" s="23">
        <v>81897710001</v>
      </c>
      <c r="F16" s="20" t="s">
        <v>37</v>
      </c>
      <c r="G16" s="29">
        <v>839.21</v>
      </c>
      <c r="H16" s="36">
        <f t="shared" si="0"/>
        <v>839.21</v>
      </c>
    </row>
    <row r="17" spans="1:8" ht="15" x14ac:dyDescent="0.2">
      <c r="A17" s="17" t="s">
        <v>51</v>
      </c>
      <c r="B17" s="18" t="s">
        <v>33</v>
      </c>
      <c r="C17" s="20">
        <v>4</v>
      </c>
      <c r="D17" s="19" t="s">
        <v>13</v>
      </c>
      <c r="E17" s="20">
        <v>81897710001</v>
      </c>
      <c r="F17" s="20" t="s">
        <v>37</v>
      </c>
      <c r="G17" s="29">
        <v>2010.5737826088</v>
      </c>
      <c r="H17" s="36">
        <f t="shared" si="0"/>
        <v>8042.2951304352</v>
      </c>
    </row>
    <row r="18" spans="1:8" ht="24" customHeight="1" x14ac:dyDescent="0.2">
      <c r="G18" s="38" t="s">
        <v>62</v>
      </c>
      <c r="H18" s="39">
        <f>SUM(H3:H17)</f>
        <v>49401.343308696065</v>
      </c>
    </row>
    <row r="20" spans="1:8" ht="15" x14ac:dyDescent="0.2">
      <c r="G20" s="37" t="s">
        <v>65</v>
      </c>
      <c r="H20" s="40">
        <v>49401.340000000084</v>
      </c>
    </row>
    <row r="21" spans="1:8" x14ac:dyDescent="0.2">
      <c r="F21" s="37" t="s">
        <v>64</v>
      </c>
      <c r="G21" s="37" t="s">
        <v>63</v>
      </c>
    </row>
    <row r="23" spans="1:8" x14ac:dyDescent="0.2">
      <c r="G23" t="s">
        <v>66</v>
      </c>
    </row>
    <row r="24" spans="1:8" x14ac:dyDescent="0.2">
      <c r="G24" t="s">
        <v>67</v>
      </c>
      <c r="H24" s="41"/>
    </row>
  </sheetData>
  <pageMargins left="0.511811024" right="0.511811024" top="0.78740157499999996" bottom="0.78740157499999996" header="0.31496062000000002" footer="0.31496062000000002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 1</vt:lpstr>
      <vt:lpstr>Plan1</vt:lpstr>
      <vt:lpstr>nf iamspe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Estoque</cp:lastModifiedBy>
  <cp:lastPrinted>2026-06-15T15:08:05Z</cp:lastPrinted>
  <dcterms:created xsi:type="dcterms:W3CDTF">2026-06-08T17:09:08Z</dcterms:created>
  <dcterms:modified xsi:type="dcterms:W3CDTF">2026-06-15T15:28:08Z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2026-06-04T00:00:00Z</vt:filetime>
  </property>
  <property fmtid="{D5CDD505-2E9C-101B-9397-08002B2CF9AE}" pid="3" name="Creator">
    <vt:lpwstr>HP Scan</vt:lpwstr>
  </property>
  <property fmtid="{D5CDD505-2E9C-101B-9397-08002B2CF9AE}" pid="4" name="LastSaved">
    <vt:filetime>2026-06-08T00:00:00Z</vt:filetime>
  </property>
  <property fmtid="{D5CDD505-2E9C-101B-9397-08002B2CF9AE}" pid="5" name="Producer">
    <vt:lpwstr>HP Scan Extended Application</vt:lpwstr>
  </property>
</Properties>
</file>