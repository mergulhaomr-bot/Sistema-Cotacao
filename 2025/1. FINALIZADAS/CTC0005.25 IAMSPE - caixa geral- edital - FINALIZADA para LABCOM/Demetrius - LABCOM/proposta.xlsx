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 clientes\2025\1. FINALIZADAS\CTC0005.25 IAMSPE - caixa geral- edital - FINALIZADA para LABCOM\Demetrius - LABCOM\"/>
    </mc:Choice>
  </mc:AlternateContent>
  <xr:revisionPtr revIDLastSave="0" documentId="13_ncr:1_{A79FE53B-7621-4935-8344-BF027A510F57}" xr6:coauthVersionLast="47" xr6:coauthVersionMax="47" xr10:uidLastSave="{00000000-0000-0000-0000-000000000000}"/>
  <bookViews>
    <workbookView xWindow="-120" yWindow="-120" windowWidth="20640" windowHeight="11040" activeTab="1" xr2:uid="{9C3252A1-42B0-4DBE-9CCF-123CC2114581}"/>
  </bookViews>
  <sheets>
    <sheet name="Planilha1" sheetId="1" r:id="rId1"/>
    <sheet name="Planilha4" sheetId="4" r:id="rId2"/>
    <sheet name="Planilha3" sheetId="3" r:id="rId3"/>
    <sheet name="Planilha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1" i="2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<sst xmlns="http://schemas.openxmlformats.org/spreadsheetml/2006/main" count="1135" uniqueCount="295">
  <si>
    <t>ITEM</t>
  </si>
  <si>
    <t>Qtd</t>
  </si>
  <si>
    <t>Codigo</t>
  </si>
  <si>
    <t>Produto</t>
  </si>
  <si>
    <t xml:space="preserve"> ANVISA</t>
  </si>
  <si>
    <t xml:space="preserve">Valor Unit
</t>
  </si>
  <si>
    <t>Valor Total</t>
  </si>
  <si>
    <t>Marca</t>
  </si>
  <si>
    <t>FX.18.541</t>
  </si>
  <si>
    <t xml:space="preserve">Pinça Collin 16cm </t>
  </si>
  <si>
    <t>Fentex</t>
  </si>
  <si>
    <t>HB2670-26</t>
  </si>
  <si>
    <t>Tubo de sucção Frazier angulado 45°, 130mm, 6CH (2mm)</t>
  </si>
  <si>
    <t>HB2670-29</t>
  </si>
  <si>
    <t>Tubo de sucção Frazier  angulado 45°, 130mm, 9CH (3mm)</t>
  </si>
  <si>
    <t>FX.13.104</t>
  </si>
  <si>
    <t xml:space="preserve">Fomon Raspador Nasal, ponta dupla, 6.5x7.5mm, 21.5cm </t>
  </si>
  <si>
    <t>FX.18.427</t>
  </si>
  <si>
    <t xml:space="preserve">Backhaus Clamp, 15cm </t>
  </si>
  <si>
    <t>FX.11.145</t>
  </si>
  <si>
    <t xml:space="preserve">Ribbon Afastador, maleavel, 17x200mm </t>
  </si>
  <si>
    <t>FX.15.424</t>
  </si>
  <si>
    <t xml:space="preserve">Aufricht Nasal Afastador, 16cm </t>
  </si>
  <si>
    <t>FX.15.423</t>
  </si>
  <si>
    <t xml:space="preserve">Converse Alar Afastador, afiada, ponta dupla, 12cm </t>
  </si>
  <si>
    <t>FX.10.889</t>
  </si>
  <si>
    <t xml:space="preserve">Afastador Volkmann, multi-uso, gancho com 6 dentes rombos,  21.5cm </t>
  </si>
  <si>
    <t>FX.09.025</t>
  </si>
  <si>
    <t xml:space="preserve">Canula de aspiração Yankauer, tubular, canula curva com ponta rosqueável modelo chuveiro, manopla com apoio digital e oliva, 27cm </t>
  </si>
  <si>
    <t>81897710034</t>
  </si>
  <si>
    <t>FX.12.879</t>
  </si>
  <si>
    <t xml:space="preserve">Lambotte Mini Osteotomo Ósseo, reto, 4mm, 12.5cm </t>
  </si>
  <si>
    <t>FX.09.474</t>
  </si>
  <si>
    <t xml:space="preserve">Tesoura Metzenbaum, lâminas retas, com pontas rombas, 18cm </t>
  </si>
  <si>
    <t>FX.09.475</t>
  </si>
  <si>
    <t xml:space="preserve">Tesoura Metzenbaum, lâminas retas, com pontas rombas, 20cm </t>
  </si>
  <si>
    <t>FX.09.481</t>
  </si>
  <si>
    <t xml:space="preserve">Tesoura Metzenbaum, lâminas curvas, com pontas rombas, 20cm </t>
  </si>
  <si>
    <t>FX.09.482</t>
  </si>
  <si>
    <t xml:space="preserve">Tesoura Metzenbaum, lâminas curvas, com pontas rombas, 23cm </t>
  </si>
  <si>
    <t>FX.18.200</t>
  </si>
  <si>
    <t xml:space="preserve">Mayo Tesoura, reta, 18cm </t>
  </si>
  <si>
    <t>FX.18.201</t>
  </si>
  <si>
    <t xml:space="preserve">Mayo Tesoura, reta, 19cm </t>
  </si>
  <si>
    <t>FX.18.204</t>
  </si>
  <si>
    <t xml:space="preserve">Mayo Tesoura, curva, 18cm </t>
  </si>
  <si>
    <t>FX.18.205</t>
  </si>
  <si>
    <t xml:space="preserve">Mayo Tesoura, curva, 19cm </t>
  </si>
  <si>
    <t>FX.09.413</t>
  </si>
  <si>
    <t xml:space="preserve">Tesoura Íris, lâminas retas , finas, com pontas agudas, 11.5cm </t>
  </si>
  <si>
    <t>FX.09.414</t>
  </si>
  <si>
    <t xml:space="preserve">Tesoura Íris, lâminas curvas , finas, com pontas agudas, 11.5cm </t>
  </si>
  <si>
    <t>FX.11.024</t>
  </si>
  <si>
    <t xml:space="preserve">Richardson Afastador, 52x22mm, 24cm </t>
  </si>
  <si>
    <t>FX.16.480</t>
  </si>
  <si>
    <t xml:space="preserve">Lockhart Mummery Guia para Fistula, No.1, 16.5cm </t>
  </si>
  <si>
    <t xml:space="preserve">FX.41.877 </t>
  </si>
  <si>
    <t>FX.10.804</t>
  </si>
  <si>
    <t xml:space="preserve">Afastador Guthrie, gancho, com abertura pequena, ponta com 4mm e 02 dentes pequenos e agudos, 16cm </t>
  </si>
  <si>
    <t>FX.10.851</t>
  </si>
  <si>
    <t xml:space="preserve">Afastador Joseph, gancho com abertura pequena, 5mm de largura e 02 dentes agudos e finos, 16cm </t>
  </si>
  <si>
    <t>FX.10.115</t>
  </si>
  <si>
    <t>Pinça Anatômica Adson, pontas retas, finas com 1x2 dentes, 12cm</t>
  </si>
  <si>
    <t>13-480-02</t>
  </si>
  <si>
    <t>Martelo 22cm, 30mm, 500g</t>
  </si>
  <si>
    <t>FX.10.257</t>
  </si>
  <si>
    <t>Pinça Halsted-Mosquito, pontas retas, finas e serrilhadas, 12.5cm</t>
  </si>
  <si>
    <t>FX.10.119</t>
  </si>
  <si>
    <t xml:space="preserve">Pinça Anatômica Adson-Brown, pontas retas, finas com 7 x 7 dentes, 12cm </t>
  </si>
  <si>
    <t>FX.14.878</t>
  </si>
  <si>
    <t>Hartmann Jacaré Pinça, 8.5cm ponta 3mm</t>
  </si>
  <si>
    <t>FX.14.913</t>
  </si>
  <si>
    <t xml:space="preserve">Pinça Anatômica Lucae, baioneta, pontas retas e serrilhadas, 14cm </t>
  </si>
  <si>
    <t>FX.10.282</t>
  </si>
  <si>
    <t xml:space="preserve">Pinça Kelly, pontas curvas, finas e serrilhadas, 14cm </t>
  </si>
  <si>
    <t>FX.10.288</t>
  </si>
  <si>
    <t xml:space="preserve">Pinça Kelly-Rankin, pontas curvas, finas e serrilhadas, 16cm </t>
  </si>
  <si>
    <t>FX.10.469</t>
  </si>
  <si>
    <t xml:space="preserve">Kelly Pinça Hemostatica, curva acentuada, 19cm </t>
  </si>
  <si>
    <t>FX.10.281</t>
  </si>
  <si>
    <t xml:space="preserve">Pinça Kelly, pontas retas, finas e serrilhadas, 14cm </t>
  </si>
  <si>
    <t>FX.10.287</t>
  </si>
  <si>
    <t xml:space="preserve">Pinça Kelly-Rankin, pontas retas, finas e serrilhadas, 16cm </t>
  </si>
  <si>
    <t>07-373-18</t>
  </si>
  <si>
    <t xml:space="preserve">Pinça Kelly, reta, 18cm </t>
  </si>
  <si>
    <t>FX.10.512</t>
  </si>
  <si>
    <t>Clamp Guyon, com curvatura em formato de colher e serrilhada, 22cm</t>
  </si>
  <si>
    <t>FX.10.402</t>
  </si>
  <si>
    <t xml:space="preserve">Pinça Kocher, pontas curvas com 1x2 dentes, finas e serrilhadas, 16cm </t>
  </si>
  <si>
    <t>FX.10.386</t>
  </si>
  <si>
    <t>Pinça Kocher-Ochsnner, pontas curvas, serrilhadas com 1x2 dentes, 18cm</t>
  </si>
  <si>
    <t>FX.10.377</t>
  </si>
  <si>
    <t>Pinça Kocher-Ochsnner, pontas retas, serrilhadas com 1x2 dentes, 16cm</t>
  </si>
  <si>
    <t>FX.10.378</t>
  </si>
  <si>
    <t xml:space="preserve">Pinça Kocher, pontas retas com 1x2 dentes, finas e serrilhadas, 18cm </t>
  </si>
  <si>
    <t>FX.09.951</t>
  </si>
  <si>
    <t xml:space="preserve">Pinça Anatômica Standard, pontas retas, largas e serrilhadas, 18cm </t>
  </si>
  <si>
    <t>FX.09.155</t>
  </si>
  <si>
    <t xml:space="preserve">Cabo de bisturi nº 3L, angulado, longo, 21cm </t>
  </si>
  <si>
    <t>FX.18.091</t>
  </si>
  <si>
    <t>Cabo de Bisturi, nº 3, 12cm</t>
  </si>
  <si>
    <t>FX.09.156</t>
  </si>
  <si>
    <t xml:space="preserve">Cabo de bisturi nº 4, 12cm </t>
  </si>
  <si>
    <t>FX.09.159</t>
  </si>
  <si>
    <t xml:space="preserve">Cabo de Bisturi  nº 7 12.5cm </t>
  </si>
  <si>
    <t>FX.10.557</t>
  </si>
  <si>
    <t xml:space="preserve">Pinça Moynihan, pontas curvas e serrilhadas, 23cm </t>
  </si>
  <si>
    <t>FX.10.510</t>
  </si>
  <si>
    <t xml:space="preserve">Pinça Mixter, pontas curvas com serrilhas paralelas longitudinais, 28cm </t>
  </si>
  <si>
    <t>FX.10.688</t>
  </si>
  <si>
    <t>Pinça Cheron, pontas retas e serrilhadas, formato baioneta, 25cm</t>
  </si>
  <si>
    <t>FX.10.343</t>
  </si>
  <si>
    <t xml:space="preserve">Pinça Pean, reta, 14cm </t>
  </si>
  <si>
    <t>FX.10.362</t>
  </si>
  <si>
    <t xml:space="preserve">Pinça Rochester-Pean, pontas retas e serrilhadas, 18cm </t>
  </si>
  <si>
    <t>FX.16.321</t>
  </si>
  <si>
    <t xml:space="preserve">Babcock Pinça para Tecido, serrilhada, 20cm </t>
  </si>
  <si>
    <t>FX.41.548</t>
  </si>
  <si>
    <t xml:space="preserve">Pinça Moynihan, pontas curvas e serrilhadas, 18cm </t>
  </si>
  <si>
    <t>FX.10.027</t>
  </si>
  <si>
    <t xml:space="preserve">Pinça Anatômica Standard, pontas retas, largas com 1x2 dentes, 16cm </t>
  </si>
  <si>
    <t>FX.10.028</t>
  </si>
  <si>
    <t xml:space="preserve">Pinça Anatômica Standard, pontas retas, largas com 1x2 dentes, 18cm </t>
  </si>
  <si>
    <t>FX.10.029</t>
  </si>
  <si>
    <t xml:space="preserve">Pinça Anatômica Standard, pontas retas, largas com 1x2 dentes, 20cm </t>
  </si>
  <si>
    <t>FX.15.331</t>
  </si>
  <si>
    <t xml:space="preserve">Freer Alavanca de Septo, afiada, 19cm </t>
  </si>
  <si>
    <t>FX.13.956</t>
  </si>
  <si>
    <t xml:space="preserve">DeBakey Bulldog Clamp, Atraumatica, curva, 11.5cm </t>
  </si>
  <si>
    <t>FX.13.952</t>
  </si>
  <si>
    <t xml:space="preserve">DeBakey Bulldog Clamp, Atraumatica, reta, 12cm </t>
  </si>
  <si>
    <t>FX.11.218</t>
  </si>
  <si>
    <t xml:space="preserve">Afastador Mollison, garras com 4 x 4 dentes agudos, hastes comcurva acentuada, movimento por cremalheira, 15cm </t>
  </si>
  <si>
    <t>FX.11.217</t>
  </si>
  <si>
    <t xml:space="preserve">Mollison Mastoid Afastador, afiado, 4x4 dentes, 16.5cm </t>
  </si>
  <si>
    <t>FX.11.190</t>
  </si>
  <si>
    <t xml:space="preserve">Afastador Weitlaner, garras  com3 x 4 dentes agudos, movimento por cremalheira,16cm </t>
  </si>
  <si>
    <t>FX.11.198</t>
  </si>
  <si>
    <t xml:space="preserve">Afastador Weitlaner, garras com 3 x 4 dentes agudos, movimento por cremalheira, 20cm </t>
  </si>
  <si>
    <t>FX.17.086</t>
  </si>
  <si>
    <t xml:space="preserve">Hegar Ditalator Uterino, ponta unica, 1.0mm, 19cm </t>
  </si>
  <si>
    <t>FX.17.087</t>
  </si>
  <si>
    <t xml:space="preserve">Hegar Ditalator Uterino, ponta unica, 2.0mm, 19cm </t>
  </si>
  <si>
    <t>FX.17.088</t>
  </si>
  <si>
    <t xml:space="preserve">Hegar Ditalator Uterino, ponta unica, 3.0mm, 19cm </t>
  </si>
  <si>
    <t>FX.17.089</t>
  </si>
  <si>
    <t xml:space="preserve">Hegar Ditalator Uterino, ponta unica, 4.0mm, 19cm </t>
  </si>
  <si>
    <t>FX.17.090</t>
  </si>
  <si>
    <t xml:space="preserve">Hegar Ditalator Uterino, ponta unica, 5.0mm, 19cm </t>
  </si>
  <si>
    <t>FX.17.091</t>
  </si>
  <si>
    <t xml:space="preserve">Hegar Ditalator Uterino, ponta unica, 6.0mm, 19cm </t>
  </si>
  <si>
    <t>FX.17.092</t>
  </si>
  <si>
    <t xml:space="preserve">Hegar Ditalator Uterino, ponta unica, 7.0mm, 19cm </t>
  </si>
  <si>
    <t>FX.17.093</t>
  </si>
  <si>
    <t xml:space="preserve">Hegar Ditalator Uterino, ponta unica, 8.0mm, 19cm </t>
  </si>
  <si>
    <t>FX.17.094</t>
  </si>
  <si>
    <t xml:space="preserve">Hegar Ditalator Uterino, ponta unica, 9.0mm, 19cm </t>
  </si>
  <si>
    <t>FX.17.095</t>
  </si>
  <si>
    <t xml:space="preserve">Hegar Ditalator Uterino, ponta unica, 10.0mm, 19cm </t>
  </si>
  <si>
    <t>FX.17.116</t>
  </si>
  <si>
    <t xml:space="preserve">Hegar Ditalator Uterino, ponta unica, 1.5mm, 19cm </t>
  </si>
  <si>
    <t>FX.17.117</t>
  </si>
  <si>
    <t xml:space="preserve">Hegar Ditalator Uterino, ponta unica, 2.5mm, 19cm </t>
  </si>
  <si>
    <t>FX.17.118</t>
  </si>
  <si>
    <t xml:space="preserve">Hegar Ditalator Uterino, ponta unica, 3.5mm, 19cm </t>
  </si>
  <si>
    <t>FX.17.119</t>
  </si>
  <si>
    <t xml:space="preserve">Hegar Ditalator Uterino, ponta unica, 4.5mm, 19cm </t>
  </si>
  <si>
    <t>FX.17.120</t>
  </si>
  <si>
    <t xml:space="preserve">Hegar Ditalator Uterino, ponta unica, 5.5mm, 19cm </t>
  </si>
  <si>
    <t>FX.17.121</t>
  </si>
  <si>
    <t xml:space="preserve">Hegar Ditalator Uterino, ponta unica, 6.5mm, 19cm </t>
  </si>
  <si>
    <t>FX.17.122</t>
  </si>
  <si>
    <t xml:space="preserve">Hegar Ditalator Uterino, ponta unica, 7.5mm, 19cm </t>
  </si>
  <si>
    <t>FX.17.123</t>
  </si>
  <si>
    <t xml:space="preserve">Hegar Ditalator Uterino, ponta unica, 8.5mm, 19cm </t>
  </si>
  <si>
    <t>FX.17.124</t>
  </si>
  <si>
    <t xml:space="preserve">Hegar Ditalator Uterino, ponta unica, 9.5mm, 19cm </t>
  </si>
  <si>
    <t>FX.17.125</t>
  </si>
  <si>
    <t xml:space="preserve">Hegar Ditalator Uterino, ponta unica, 10.5mm, 19cm </t>
  </si>
  <si>
    <t>FX.16.289</t>
  </si>
  <si>
    <t xml:space="preserve">Pinça Allis, pontas retas com 5 x 6 dentes, 15cm </t>
  </si>
  <si>
    <t>FX.17.239</t>
  </si>
  <si>
    <t>Histerometro Valleix 25cm</t>
  </si>
  <si>
    <t>HB5649</t>
  </si>
  <si>
    <t>Gancho Ostium Seeker para narinas posteriores, 20cm</t>
  </si>
  <si>
    <t>07-349-24</t>
  </si>
  <si>
    <t>Pinça Arterial Crafoord, Pinça de Dissecção e Ligadura 24cm</t>
  </si>
  <si>
    <t>FX.11.901</t>
  </si>
  <si>
    <t>Porta Agulha Mayo-Hegar, pontas com wídea TC, retas, 18cm</t>
  </si>
  <si>
    <t>81897719003</t>
  </si>
  <si>
    <t>FX.11.902</t>
  </si>
  <si>
    <t>Porta Agulha Mayo-Hegar, pontas com wídea TC, retas, 20cm</t>
  </si>
  <si>
    <t>FX.11.903</t>
  </si>
  <si>
    <t>Porta Agulha Mayo-Hegar, pontas com wídea TC, retas, 24cm</t>
  </si>
  <si>
    <t>FX.12.158</t>
  </si>
  <si>
    <t xml:space="preserve">Porta  agulha Mayo-Hegar, pontas retas, largas com serrilha cruzada e encaixe p/ agulha de sutura, 18cm </t>
  </si>
  <si>
    <t>FX.12.159</t>
  </si>
  <si>
    <t xml:space="preserve">Porta Agulha Mayo-Hegar, pontas retas, largas com serrilha cruzada e encaixe p/ agulha de sutura, 20cm </t>
  </si>
  <si>
    <t>FX.12.160</t>
  </si>
  <si>
    <t xml:space="preserve">Porta Agulha Mayo-Hegar, pontas retas, largas com serrilha cruzada e encaixe p/ agulha de sutura, 24cm </t>
  </si>
  <si>
    <t>FX.09.324</t>
  </si>
  <si>
    <t xml:space="preserve">Tesoura Standard, lâminas retas, largas com pontas rombas, 18.5cm </t>
  </si>
  <si>
    <t>FX.41.876</t>
  </si>
  <si>
    <t>FX.41.516</t>
  </si>
  <si>
    <t>Caixa Cirurgica em aço inox, 400*160*80mm</t>
  </si>
  <si>
    <t>Isento</t>
  </si>
  <si>
    <t>FX.41.507</t>
  </si>
  <si>
    <t>Caixa Cirurgica em aço inox, 260*120*60mm</t>
  </si>
  <si>
    <t>Garantia de 10 anos contra defeito de fabricação</t>
  </si>
  <si>
    <t>Declaramos que estamos de acordo com todos os termos do edital</t>
  </si>
  <si>
    <t>FX.41.877</t>
  </si>
  <si>
    <t>Collin Pinça segura lingua, 16cm</t>
  </si>
  <si>
    <t>Fomon Raspador Nasal, ponta dupla, 6.5x7.5mm, 21.5cm</t>
  </si>
  <si>
    <t>Backhaus Clamp Toalha, 15cm</t>
  </si>
  <si>
    <t>Ribbon Afastador, maleavel, 17x200mm</t>
  </si>
  <si>
    <t>Aufricht Nasal Afastador, 16cm</t>
  </si>
  <si>
    <t>Converse Alar Afastador, afiada, ponta para cima, 12cm</t>
  </si>
  <si>
    <t>Afastador Volkmann, multi-uso, gancho com 6 dentes rombos, 21.5cm</t>
  </si>
  <si>
    <t>Canula de aspiração Yankauer, tubular, canula curva com ponta rosqueável modelo chuveiro, manopla com apoio digital e oliva,</t>
  </si>
  <si>
    <t>Lambotte Mini Osteotomo Ósseo, reto, 4mm, 12.5cm</t>
  </si>
  <si>
    <t>Tesoura Metzenbaum-Nelson, lâminas retas, finas com pontas rombas, 18cm</t>
  </si>
  <si>
    <t>Tesoura Metzenbaum-Nelson, lâminas retas, finas com pontas rombas, 20cm</t>
  </si>
  <si>
    <t>Tesoura Metzenbaum-Nelson, lâminas curvas, finas com pontas rombas, 20cm</t>
  </si>
  <si>
    <t>Tesoura Metzenbaum-Nelson, lâminas curvas, finas com pontas rombas, 23cm</t>
  </si>
  <si>
    <t>Mayo Tesoura, reta, 18cm</t>
  </si>
  <si>
    <t>Mayo Tesoura, reta, 19cm</t>
  </si>
  <si>
    <t>Mayo Tesoura, curva, 18cm</t>
  </si>
  <si>
    <t>Mayo Tesoura, curva, 19cm</t>
  </si>
  <si>
    <t>Tesoura Íris, lâminas retas , finas, chanfradas com pontas agudas, 11.5cm</t>
  </si>
  <si>
    <t>Tesoura Íris, lâminas curvas , finas, chanfradas com pontas agudas, 11.5cm</t>
  </si>
  <si>
    <t>Richardson Afastador, 52x22mm, 24cm</t>
  </si>
  <si>
    <t>Lockhart Mummery Guia para Fistula, No.1, 16.5cm</t>
  </si>
  <si>
    <t>Gillies Gancho para Pele, delicado, 3mm, 16cm</t>
  </si>
  <si>
    <t>Afastador Guthrie, gancho, com abertura pequena, ponta com 4mm e 02 dentes pequenos e agudos, 16cm</t>
  </si>
  <si>
    <t>Afastador Joseph, gancho com abertura pequena, 5mm de largura e 02 dentes agudos e finos, 16cm</t>
  </si>
  <si>
    <t>Pinça Anatômica Adson-Brown, pontas retas, finas com 7 x 7 dentes, 12cm</t>
  </si>
  <si>
    <t>Hartmann Jacaré Pinça, 8.5cm</t>
  </si>
  <si>
    <t>Pinça Anatômica Lucae, baioneta, pontas retas e serrilhadas, 14cm</t>
  </si>
  <si>
    <t>Pinça Kelly, pontas curvas, finas e serrilhadas, 14cm</t>
  </si>
  <si>
    <t>Pinça Kelly-Rankin, pontas curvas, finas e serrilhadas, 16cm</t>
  </si>
  <si>
    <t>Kelly Pinça Hemostatica, curva acentuada, 19cm</t>
  </si>
  <si>
    <t>Pinça Kelly, pontas retas, finas e serrilhadas, 14cm</t>
  </si>
  <si>
    <t>Pinça Kelly-Rankin, pontas retas, finas e serrilhadas, 16cm</t>
  </si>
  <si>
    <t>Pinça Kocher, pontas curvas com 1x2 dentes, finas e serrilhadas, 16cm</t>
  </si>
  <si>
    <t>Pinça Kocher, pontas retas com 1x2 dentes, finas e serrilhadas, 18cm</t>
  </si>
  <si>
    <t>Pinça Anatômica Standard, pontas retas, largas e serrilhadas, 18cm</t>
  </si>
  <si>
    <t>Cabo de bisturi nº 3L, angulado, longo, 21cm</t>
  </si>
  <si>
    <t>Cabo de Bisturi, #3</t>
  </si>
  <si>
    <t>Cabo de bisturi nº 4, standard, 12cm</t>
  </si>
  <si>
    <t>Cabo de Bisturi #7K 12.5cm</t>
  </si>
  <si>
    <t>Pinça Moynihan, pontas curvas e serrilhadas, 23cm</t>
  </si>
  <si>
    <t>Pinça Mixter, pontas curvas com serrilhas paralelas longitudinais, 28cm</t>
  </si>
  <si>
    <t>Pinça Pean, reta, 14cm</t>
  </si>
  <si>
    <t>Pinça Rochester-Pean, pontas retas e serrilhadas, 18cm</t>
  </si>
  <si>
    <t>Babcock Pinça para Tecido, serrilhada, 20cm</t>
  </si>
  <si>
    <t>Pinça Moynihan, pontas curvas e serrilhadas, 18cm</t>
  </si>
  <si>
    <t>Pinça Anatômica Standard, pontas retas, largas com 1x2 dentes, 16cm</t>
  </si>
  <si>
    <t>Pinça Anatômica Standard, pontas retas, largas com 1x2 dentes, 18cm</t>
  </si>
  <si>
    <t>Pinça Anatômica Standard, pontas retas, largas com 1x2 dentes, 20cm</t>
  </si>
  <si>
    <t>Freer Alavanca de Septo, afiada, 19cm</t>
  </si>
  <si>
    <t>DeBakey Bulldog Clamp, Atraumatica, curva, 11.5cm</t>
  </si>
  <si>
    <t>DeBakey Bulldog Clamp, Atraumatica, reta, 12cm</t>
  </si>
  <si>
    <t>Afastador Mollison, garras com 4 x 4 dentes agudos, hastes comcurva acentuada, movimento por cremalheira, 15cm</t>
  </si>
  <si>
    <t>Mollison Mastoid Afastador, afiado, 4x4 dentes, 16.5cm</t>
  </si>
  <si>
    <t>Afastador Weitlaner, garras com3 x 4 dentes agudos, movimento por cremalheira,16cm</t>
  </si>
  <si>
    <t>Afastador Weitlaner, garras com 3 x 4 dentes agudos, movimento por cremalheira, 20cm</t>
  </si>
  <si>
    <t>Hegar Ditalator Uterino, ponta unica, 1.0mm, 19cm</t>
  </si>
  <si>
    <t>Hegar Ditalator Uterino, ponta unica, 2.0mm, 19cm</t>
  </si>
  <si>
    <t>Hegar Ditalator Uterino, ponta unica, 3.0mm, 19cm</t>
  </si>
  <si>
    <t>Hegar Ditalator Uterino, ponta unica, 4.0mm, 19cm</t>
  </si>
  <si>
    <t>Hegar Ditalator Uterino, ponta unica, 5.0mm, 19cm</t>
  </si>
  <si>
    <t>Hegar Ditalator Uterino, ponta unica, 6.0mm, 19cm</t>
  </si>
  <si>
    <t>Hegar Ditalator Uterino, ponta unica, 7.0mm, 19cm</t>
  </si>
  <si>
    <t>Hegar Ditalator Uterino, ponta unica, 8.0mm, 19cm</t>
  </si>
  <si>
    <t>Hegar Ditalator Uterino, ponta unica, 9.0mm, 19cm</t>
  </si>
  <si>
    <t>Hegar Ditalator Uterino, ponta unica, 10.0mm, 19cm</t>
  </si>
  <si>
    <t>Hegar Ditalator Uterino, ponta unica, 1.5mm, 19cm</t>
  </si>
  <si>
    <t>Hegar Ditalator Uterino, ponta unica, 2.5mm, 19cm</t>
  </si>
  <si>
    <t>Hegar Ditalator Uterino, ponta unica, 3.5mm, 19cm</t>
  </si>
  <si>
    <t>Hegar Ditalator Uterino, ponta unica, 4.5mm, 19cm</t>
  </si>
  <si>
    <t>Hegar Ditalator Uterino, ponta unica, 5.5mm, 19cm</t>
  </si>
  <si>
    <t>Hegar Ditalator Uterino, ponta unica, 6.5mm, 19cm</t>
  </si>
  <si>
    <t>Hegar Ditalator Uterino, ponta unica, 7.5mm, 19cm</t>
  </si>
  <si>
    <t>Hegar Ditalator Uterino, ponta unica, 8.5mm, 19cm</t>
  </si>
  <si>
    <t>Hegar Ditalator Uterino, ponta unica, 9.5mm, 19cm</t>
  </si>
  <si>
    <t>Hegar Ditalator Uterino, ponta unica, 10.5mm, 19cm</t>
  </si>
  <si>
    <t>Pinça Allis, pontas retas com 5 x 6 dentes, 15cm</t>
  </si>
  <si>
    <t>Valleix Som Uterino, com protetor, 25cm, banhado a prata</t>
  </si>
  <si>
    <t>Porta agulha Mayo-Hegar, pontas retas, largas com serrilha cruzada e encaixe p/ agulha de sutura, 18cm</t>
  </si>
  <si>
    <t>Porta Agulha Mayo-Hegar, pontas retas, largas com serrilha cruzada e encaixe p/ agulha de sutura, 20cm</t>
  </si>
  <si>
    <t>Porta Agulha Mayo-Hegar, pontas retas, largas com serrilha cruzada e encaixe p/ agulha de sutura, 24cm</t>
  </si>
  <si>
    <t>Tesoura Standard, lâminas retas, largas com pontas rombas, 18.5cm</t>
  </si>
  <si>
    <t>Wolff Cureta Lúpus, 14cm, 7x9.5mm</t>
  </si>
  <si>
    <t xml:space="preserve">Gillies Gancho para Pele, delicado, 2mm, 16cm </t>
  </si>
  <si>
    <t>Wolff Cureta Lúpus, 16cm, 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</si>
</sst>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1" fontId="3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left" vertical="center" wrapText="1"/>
      <protection hidden="1"/>
    </xf>
    <xf numFmtId="0" fontId="3" fillId="0" borderId="3" xfId="1" applyNumberFormat="1" applyFont="1" applyBorder="1" applyAlignment="1" applyProtection="1">
      <alignment horizontal="center" vertical="center" wrapText="1"/>
      <protection hidden="1"/>
    </xf>
    <xf numFmtId="164" fontId="3" fillId="0" borderId="3" xfId="1" applyNumberFormat="1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wrapText="1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5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6" fillId="0" borderId="2" xfId="0" applyNumberFormat="1" applyFont="1" applyBorder="1" applyAlignment="1" applyProtection="1">
      <alignment horizontal="center" vertical="center"/>
      <protection locked="0" hidden="1"/>
    </xf>
    <xf numFmtId="49" fontId="6" fillId="0" borderId="1" xfId="0" applyNumberFormat="1" applyFont="1" applyBorder="1" applyAlignment="1" applyProtection="1">
      <alignment horizontal="center" vertical="center"/>
      <protection locked="0" hidden="1"/>
    </xf>
    <xf numFmtId="0" fontId="6" fillId="0" borderId="3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4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DC03D7FB-0406-43C4-ABC6-AC591E375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AF4C0EE0-8BB7-4ED7-98DF-9F36E88F4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CF4C04F9-EC4F-4E1C-8A00-2E04CD9B2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69CF6475-7FAC-448E-93F1-4B94B443F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20C63A5E-676E-4B13-97AD-DC6EC1389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C0B3F31C-001A-46FB-817F-7F0CCC31E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DA49A5C8-601C-49C8-BE5B-69E443315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90B86D86-50F3-4DFF-9A7C-C1170A1F6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0</xdr:rowOff>
    </xdr:to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66F28C97-C95A-4ABA-8D84-F091B6A3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0</xdr:colOff>
      <xdr:row>78</xdr:row>
      <xdr:rowOff>0</xdr:rowOff>
    </xdr:to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2F971C76-90E7-485F-A132-5D2F79729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45173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5C57A6A6-CA0E-414D-B40E-43D127F9D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86FACA81-7A96-4D13-8CFD-4C7D1BAD6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3355D9E7-0B60-4AD7-9D1F-EBA9ED6F6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99A057F0-DD1D-4D07-9818-B9B1B9788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B583E9AB-EB2D-47C6-ABD3-B2950C1CE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6D236E20-658B-4241-97A6-23626CECD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C65F9579-F770-4937-BBE6-9D9EB9936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3256C82F-05B2-4582-9E43-7855BE3A3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2CA533B2-3EA9-4F83-A887-9AAF50133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AABA8B86-02AA-4356-B701-50D6A884D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2DB23261-A1F0-45A4-9E7B-5FE22E58A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3A3D0971-4352-4283-BBF5-E44CA3952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E6B98678-9FC1-4A8D-A398-0FF93E67E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DDE88B50-BFF6-45FF-B677-56FD91046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B84E0672-9956-4FE7-8B50-B988675D6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FCBEB06E-E284-4818-9B77-37A658796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74C26CC0-AA19-41D3-93D5-78BD46132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9D32FCCF-B016-499C-BF62-9319F66BE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16F8501D-A9CE-4E3B-A57A-93CFDDE3E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99446299-3E0F-418B-AA5C-90040E27A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8072228F-2DD2-4739-8A80-21FB2BB3E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5A61ACAE-C620-42B7-A0B9-5962CC1A6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B72DB0B5-64AA-42CB-B3A0-FBD81A616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8ED90713-24AA-41D0-A27F-33BC2C239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0D553223-550E-4989-A19A-1F7F3662A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1D936953-6D16-469B-B269-7FECC726D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8225AD15-960B-4D36-8D84-082624D11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62419AEE-2631-4FFC-BC8D-52FE785E2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1B7BA4DF-38F5-45AC-96BF-D8CED1456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4B7C318E-7043-49A3-A3AE-F048E261E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574854A5-B582-48D4-8191-79066891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097E4FBC-ECA8-4B5A-8695-5F7987B6F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ADB88B4E-76AE-4501-9FF9-EC60D0767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6308C5AD-16A1-429B-BE57-988ACA7F7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9C92F6E2-244E-4F7C-92BF-DF5780315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C6085886-41C0-4EC9-89C3-CFB80CB65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5252BA8D-94AA-4B30-B134-3E89F1727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2784B571-0BB8-48F5-93EE-0249BA6EE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E79F349A-E19A-40CB-9661-72C36E050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436C6DE7-97EE-4455-B4FE-7F3996D6E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97C2C3DF-49CC-49C0-A3BC-6D1F04A07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719A81B3-4C6B-4B0D-9987-BF7AA1348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428110AD-8EFB-47AA-8C73-83D01EF06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72D37019-6A38-4919-BD21-ACF3B0B69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353B4994-4D68-4B74-BFB3-C3B851973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9D9D6127-9F49-45A7-BBF9-FE1322E92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296878F0-5C07-46B9-8259-DB47D563E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A4929253-3C16-4481-A269-6255416C9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14F0A2BD-8537-43D1-A752-3BD63BE00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7AB26E9B-653C-439A-8512-5EA246545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2F9BFCFC-4AF6-4D70-AF47-5B8EFAD81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7E62BDC0-5976-420E-A74B-F641FBDD5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5A448498-7791-44D4-9481-22E674A65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162260C0-8958-4041-B208-1FC97161F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D6AF0F6D-151C-4E1E-B7B0-FB4785C1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04280E90-B1E8-47E4-957F-FAF4BE010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5FF0CC8D-E238-4345-BE9A-B7FE246A3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9D85359D-BBB6-4F07-AE3A-40ABA792E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4B276C20-7B89-439D-8D4E-874F96488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DD2FD988-7539-4295-BAAE-9C333BAB4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259C1C4E-3C6D-4383-ACB1-0B0321F49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36A58858-2A26-4944-A8C5-8561978C7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AB81422A-6FB0-445C-8EE6-9AFB70C75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3E39174A-DE9C-4E42-AF0F-F30F6E2A3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5D49FCF7-6DCD-4584-AF00-91A8AE082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F59907E4-4A46-4E17-898E-F735D1C50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FAC4C287-3F09-4272-A403-AB2F0950A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CD75BAA6-3206-4A3D-BF08-25AF63C1D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0DC34385-DDA3-49DD-86EA-305B467AF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C0772DC9-1190-40B8-B23A-AEB00FB7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90A5216F-565B-47CD-BD5E-09C877A3E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117C5D79-A864-4AC8-AAF4-E81DE4201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3C400719-853F-497B-AA55-465CC52B9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94589FEC-4D8C-4428-8A5F-A2186B795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ADDE140A-267A-4C3F-9D61-E3BB406E5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5F0AC48D-83F0-478E-9E84-1A7CA2409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A57081E5-7C4E-429C-8A6E-55EEDCF67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0FD6AC3A-E3CB-493B-A691-20EC670B0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5276A23B-2AD0-4039-BD6A-E2161211C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CDF9E7E1-5AD9-4295-9C74-EEFB6A92A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B25400C6-C3D9-410B-9972-7D9DE133E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B120B12D-6CEF-4A67-A263-E6A384021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F1A302F9-C365-48A5-958A-1DDAAC214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F79B2037-B7E7-40BA-A963-67E0BFE56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8BF80B21-F1EF-421F-88CC-7966EFF1B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254F617A-CC24-4CB9-8C31-8E8EB06F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8D9793CA-384A-42C0-8362-34C59572E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616A082A-4DB8-4097-9D3B-D38176F64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B430FB5A-AB7A-4DFB-BCA2-DB158B380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A306672B-61DC-4F5B-AF3F-6911793AA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A79318B1-D72F-4879-BADA-AA5960442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E3868925-88AC-4EB0-8AA9-73FF0FB17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58C6D9A8-9934-4FDC-8B02-ACA692168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C024498E-B933-4ED0-A1C7-1B3786DDA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FFFA529C-D30A-46ED-AC8D-4878659B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D745E2C7-6F82-48C9-AC0D-A32315170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F351E18C-FE70-4696-B6F1-F0A0F5D0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9FD29E4B-6828-4575-9C95-16A0CF825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83E5CFC8-0FC4-41DA-8289-489FC8BEF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99CC1C75-5C3E-41E6-AA44-B3F75EEEF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9BF61085-B6E0-43D8-8847-E5F60E729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D1059E93-4160-49E9-A553-B18DCBFDB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6D42F44F-4B1B-4D28-9BA6-19784526E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42D03BD2-E319-4BCF-9610-187FCBD9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CF491718-B6C1-4888-8DF7-1F1CFAB3D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DB629B85-9034-43A9-9B87-DC2A10B33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F8DF4D28-C986-4A30-9290-8ABD8CE08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C8E19D0E-AE22-4528-B0D9-629B820F7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EA5901CE-F838-44BF-814D-D04555041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D342F8C4-4F2F-49E6-97CE-D77D2812B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0AF8D17E-C8FA-4657-AFD2-8F44CC16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D3E2D81E-9398-452E-9F8D-08A5B4D64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4225B869-559F-4771-83E5-8D3D643E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751F29C5-F63C-4C5B-9D4D-9CDE47852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4D391E6C-841D-45D1-9415-3FF263861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AC6C5012-6D20-494E-96E4-4A8B8617F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6D715FC5-9602-444E-8B9F-2D11D3AAE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CBCEB563-DA8E-40CD-BD22-63009C19A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FF04CA34-7FDC-449F-BCDE-8684CE3A7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64E45953-E8AB-4B37-A16B-1C552C331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67F5BCB9-6869-4008-A408-3C72C0E5E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318902C3-7A22-4288-8490-32EBBE0E4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B88002EA-F8E2-4BCA-8B27-2682291BD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3DA68621-98DD-4EEF-836B-C4980831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F8959F20-B7E9-478A-BE50-CD78E6483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78C7BC0B-9645-4171-A413-31C33595B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8E2AA511-F185-4475-A750-CC4785E40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2BB583CF-752C-4A3B-A369-06D484954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7A53E7FD-BB3C-4D6B-9FE1-14862F7D9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D6A978FA-91FD-462A-9097-6E54478E5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AB9B2E79-7185-4226-95A0-CDF68BCE7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61234218-4995-482D-B69F-2A7CC3FE1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898F9304-DC1E-448D-8402-F73BA9161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98833599-C4AE-40AC-8F8C-D15E7D4E8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49EF5527-6B92-42E8-A653-30EEB7973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C6CA3845-4A6B-4D25-8E12-46BB13D71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A593DFD2-5485-413D-AF73-4408B5B71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26FFE008-5E81-4532-BF84-41F5FFBA2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427A7F3C-3FED-48CD-8206-516567AD8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E2AD3D03-7C92-47B7-9208-43DA0F888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C93CEDF3-BEAD-4BCC-BEC8-C523CB3E4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44AB303F-B053-4CD3-85B0-41C3DC689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13BC2C81-20A4-4B91-91E0-3EEA6EF49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83D6BB06-60F1-4FC0-9EA1-3CB2BD53E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321A9D1C-4B18-4900-A80C-9D1BB9750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A3483C5E-EB4D-4851-AFCE-01CF183A7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F5F180C3-6E40-448F-98D4-107B7C182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C58F6B2B-B678-405F-B995-C5B56C8C5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06B195B4-8B25-4BF6-85D3-66415E815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747C301D-57E7-43E7-AA0C-2F11743B0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7E90162C-2EC1-4143-AB13-DD4BF5D23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FD756727-27A3-46F3-BC8E-125A66D25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BCB7A0D3-D4BC-4199-9308-A686588AD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4A2B6B7C-C46A-4B00-BD23-BE68E7951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F0771C6B-63FD-455D-90BF-4A633793D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C2E0CD2C-B617-44A1-8AAD-A1A2D3F23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0F2F8B81-8C71-49F9-9E51-A0F053166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1C064ADE-6238-4195-A50E-E15683EB5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7B302D8F-D61E-4EE0-94E6-5B752CC7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151FA139-C2D5-45E4-B3C6-29E40211F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F68E0592-1F36-458E-9619-B19CF33FF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52B97145-D6FB-410F-9273-5064C556F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10E0D40C-B7A3-45AB-94C0-CA24B9EC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357B0134-5924-482E-9E9E-448BED42A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7CD9E7E7-5389-45EC-9D06-BA87803A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96268700-548B-4AC9-A0A9-2DB039326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131A22A5-3771-4590-B854-555C80678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A0D4C9F8-CFDC-4175-97EB-6465477A9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F47C8240-B68C-410E-9646-93B842FEF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BA396BF6-0B69-4E3B-9C41-F00E73CEE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54D05D26-5F97-453D-BC0A-455D99D8A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31B526A0-3884-4A68-9D18-2D5484A3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29246E30-2846-40AD-8858-200993C08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A69600EB-A6C2-4EF3-9D41-75B7F5CE4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7414019A-BAA8-4054-9F8E-2DE05533C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4F3CA65F-EA13-48A6-86A3-13961AD77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70DAE560-96A8-48DE-A6EA-6BD097175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40AB3107-4ABE-4AE3-A5B2-75AA17346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8EB9E88A-DC1B-4411-BCFE-5C81891DC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94A9790E-E6E1-407B-A4AE-A74D9C823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1E3463A1-EE9D-4EAE-AEF6-4CCC2F67B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4CCC1DC2-5BAA-49D3-AE21-86A6CE08F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516516B7-AFFD-45CE-AF03-CA267A40A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17B74CB3-50AC-4EDC-82B4-F1389444D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E9C9D902-EAA1-4D17-8CC0-A474F8227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8B80384A-FA49-4329-9B04-EF4C086BD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F90E855E-4958-4626-8A9D-4D7565F5E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3333009D-E6D9-44A8-A169-D80F13F88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62CDF928-5488-4E38-986F-6D12C7F2F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1D602070-E7B5-4679-B2D2-C7E1EBDB4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FE9274C8-D26F-4D2F-993D-B53A6F0B5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CEACBF69-FB2D-47F6-8E1B-524B0A502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334BAE02-9520-4E95-A4C8-5EBF276C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52DEC1EF-C332-4903-B280-EE2C6442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6677C3F7-8F2D-489E-833A-C0D4BF99A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3540DA2F-DC4E-449D-89BC-912017021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DA37BF35-76DD-4B64-9268-9D4842DC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F858C3C6-5F42-410A-8A79-5A56BF7C4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E427583B-06D3-489B-9C01-14C2C7ACC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A6790661-7A9D-4672-A228-324DB2B2F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87BBBA61-2F04-4EFB-BA3E-EFC3015FD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5CA5938D-ABC7-4652-8ED9-0BB6056F3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61C402F2-E600-43A0-8D59-A5FA1A8D0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C9ED8AB1-7983-4913-BFF2-4A653201D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0A347D48-9497-4A27-8439-9247C6832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F5E05CA3-C7F4-4726-AB19-5A063D3F8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2380CEF3-6458-4294-9270-53B541362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EB1E2833-CBD0-404E-9467-7349EF151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25C57D65-6EBA-46DD-848F-227573860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BE95B8CA-38B8-4714-AEA4-AE44D5E3B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5E83AB3B-2428-494F-9E1A-638278C39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754AA451-E31D-4F93-8A9B-44F99458D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2C09B793-F42E-4A4F-BC1F-5BD621832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EEB82373-0ABA-4771-96A7-28783CA14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6BFB9BF9-1AA9-47CF-9F97-298B4DEC7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C6DAC029-A753-4567-976D-83041F00D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EEE9E069-27CC-4A7F-A3B2-A22B87C3A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6AA55CE2-B56C-4858-A175-6B12F0AA4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FEAB6CB2-ED5B-446C-913C-F8A46F1E3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C8AA6664-6B0D-42DB-9675-70A9FDF49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00091034-F264-4183-A0CA-6A6A6A915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C866043F-378E-48B5-9017-05A9A6AA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80F31861-74F9-447F-BD44-E7D38FF3D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11C1853F-C313-4BD9-8342-4E7B5001D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325E4719-C827-4682-AC2C-20F1F966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8780A406-ED6F-47EE-93A4-09B90EC3E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9C2FAD45-84EA-4E53-AB82-4B24C44F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F418C092-7859-4FBE-96A6-FCFE1FC4D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8FE76A27-1E90-408A-9D2F-924E9D1E0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1F72CC9D-A700-473E-B756-D6DD44F7C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F2949340-F4B3-4AD8-A6C1-C82F2354F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F45787C9-D6BE-4D4C-B8C7-3E7F10D8A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30820369-E87B-4115-BB23-ADBE57436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D9F31005-F432-4CA8-81F6-F357E381E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43A328F0-C56A-40F8-B598-2B31246D2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BE548C7B-71C7-4C4A-80AF-DE60A21CC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62B7FA3C-FC02-4014-9231-FC4E57E66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EF24EE18-0F6D-4914-9BDD-EE57E98CC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6CDC812D-21E9-4273-8F1B-B25505189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FFF9BF2A-8C16-4CE9-9D22-4F72DA3FB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8A0EC13E-F07D-40A2-8544-FD0808C6A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B0C3804F-BB40-4BFF-89FB-6D9DD5DEC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6E068757-769E-4949-92EC-BA4B9A713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1B113E1A-6086-49AE-B20A-3DC61F03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9C95E091-99C0-4B42-A764-EE79E4ACA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723974E2-787C-4B04-937A-4C57D5FAA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5C83D6F3-EF22-4B60-AB87-214E6D574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BD5C8626-FDB5-4871-BA30-51EE0586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5BAD6CCA-CD11-49C7-B732-6AF1AB10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FA4043EF-7B07-4C59-B4EE-25D44AA54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984CB6BF-41E7-4CC5-9D27-0557CB072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820C7BC6-A90A-4885-BCB3-B727E17DD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3F1456A6-69EB-4EB2-B303-3E2607642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85B37DD7-5D69-4F0D-8927-F68E0232C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A2DCD08D-66D0-4A44-ACC8-351D4665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D7277A7B-F796-4DBE-819E-96E13A844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2CEDC8DE-6090-4E2E-ABB0-EA16101F0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8272418E-5540-420D-80AA-4364C9485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A9F42F2E-F844-42A1-8BF4-49D139540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422D27E5-6095-4A30-9BAA-EDED3D344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7F0206D8-8497-486B-90BF-658B0D21D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13EB13B1-27D9-4F2C-8CD4-B5A768C8E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501D45FF-5F53-4A29-B991-E1F5CD571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0FD75DA8-DA4C-4E62-8BBC-3D2F1A21F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8EFEFDFC-B02F-45FC-A2FB-E0174BE1F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9454C520-A5A4-4E69-A5FB-B3EBC9F8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7E735C6D-CEDD-4FAC-8E66-DF0F93489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D5BBB84E-6C59-45D3-96DD-25FE17618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9C03B529-11B5-4938-914A-FAA8A59C9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329CD5E6-6100-4CF8-BE55-1F6164D5F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98ECA7A6-DBAF-477C-A9B7-3A11F5E9C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38CBFED7-F874-49C9-85DE-1E04BF25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AA1082D0-A3ED-4CBE-B86F-E05ECF3E0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AE60B2A9-EB03-4292-BCA0-3FC965B5E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00B9A6A4-7518-479A-8EE7-CF6A63887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67DB67A4-2429-44C6-92C9-AD1483BC5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4AF18A86-4B7F-4237-B1FA-7E6F0D731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DD85F509-EC25-4FB0-B06F-C2D45E7C1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3D88C033-1569-4718-9811-83259F139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8412CC25-1006-47AF-AA44-389C42643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71F50FEA-D34E-48CD-906D-3A3206969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E81D04EF-9DDB-44D3-A83A-21984E645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03A14077-5EEB-4962-94CA-F0DCC94B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B3747F40-87B6-4557-8B05-E6EE68A4E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1223920B-B0C9-4EB4-85E1-01C720C9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67AB943C-15A7-4337-804F-328229D70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88167109-67B9-41AC-8BED-C9E25FC7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EF34D789-AB72-4254-A79D-B549FE383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05A8DD24-87AA-44F3-9FDC-406FEF488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AC9D8FC3-DAB9-4DB5-8ADB-0ABAB827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1AC19BD0-AF7E-46E6-982A-638E78A6D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6E4F1AA6-F88B-446A-A864-99FCC0737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AE4FC13D-CB65-486E-8191-218A79C0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9E5670FF-E4C8-4550-B160-3B2265A62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D2C9DAEF-88C5-45AA-9574-41A3B7023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21EDE5F5-E87C-4233-BAF6-9F9A2B4A4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FE87051A-1CA0-43A7-99C4-6C06EC39C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9E05F792-B852-4CED-BE6B-CD8A24BD9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DBB6D0E4-2BF8-4209-9D1B-B738C8CA2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FC26BBD6-4A74-4396-8E00-D382B14DF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FDAA13C5-8E0B-4BB2-94BA-9E8845E2C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C4B7737C-6497-4EA9-9014-3A1C86F8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A58C6A1D-7B80-4643-8D8F-F84D2FF22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FEB0A566-927A-4FF2-B447-4BDDC3FBD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C6423534-5FA2-42EF-815B-673CD5C41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2DBD02A6-93FB-4156-B182-D441DA5AA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DBAC252B-CC20-4D93-AEDA-041D9C150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AAFADE86-38D7-4E71-9F84-E497A77D1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5862102A-3EBF-4B7A-BF23-D831CCB66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8830CF25-FCFA-46BE-A7F4-65AA3BE9A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5B23C494-1A2E-40D1-92A6-80A1023EC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31C43161-C73D-4E38-A464-08480BA28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A92C9CA7-D614-42B2-8B85-7DF0AF8DB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6A9BEA73-1C05-4F18-A434-F431E87D6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FE3A8ED3-D11C-4FEA-A247-5E7EAB4D9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0A95B2FC-8E49-432F-A0DD-F5FB0C1B1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9DDCD5FE-50CE-400B-BD85-B53F31BA4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D9021531-523B-49F4-B73B-B9088166E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813352E6-3667-4F90-A107-62DCB963F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58847171-A74C-4375-BA89-91A5CFDF0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85002CC5-042C-47ED-8748-9CC12FE5B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09221D6F-C6E6-4AD7-B92C-D64299B52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DD75666E-189E-4D86-8195-76757B04E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A0589C02-D6D6-4CC8-AB93-CEBA768F0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2F39A59C-C6A0-4D59-AC9E-1C18F7A7E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89E597F1-FA70-4C9D-A6B2-BB7E2B3E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3AF42A6B-D3CF-4978-B654-813260CBC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E67F4B08-638F-4C41-8B0E-5614A2C9B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30070C76-D56D-4DED-AA72-43E9B8D7B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56E83D23-FCFE-4928-844A-A0D835812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C6FF3E63-08EA-4B46-8ADD-1450FFF52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94B06EDD-88CB-4E48-BA3E-F3EFDA92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F7136381-6A19-4C53-B461-AB020AA67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C4146E7D-041F-4050-A4E6-1DE1870AF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11899E61-AB80-47EB-936F-59F0507A6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E3192598-ED16-44D3-80E0-4DE87C0FC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B18A7E3A-0CC6-426A-A4E9-8E889C814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701D18DB-01CC-42FB-B43D-1CA326FE3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C19A5A72-EAB8-4292-B435-979E99339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373AA7C7-1171-452A-9F7B-48B085D73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7C829417-FC5A-4CE6-9980-4273BC08A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232F2B5F-5F9D-48A7-A174-5405B91D2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C6750724-EAAC-480E-AAC3-5C2BFBF0C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E4E1D762-1436-4A7A-ADF5-A00BC2A63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656F4107-3164-46A8-B0DC-2CDD3A824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3AADFC53-771A-4119-9C32-EC5C4350B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6DB8A646-36D8-4DC4-8B0C-7C1E53EDD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A5878F7E-0F02-483B-A041-D51F5A68A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68858445-C710-4BF5-A463-0CD8182FF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FF45A474-B79E-443C-9754-A80B54CC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F70ABC69-3D1B-44FB-BEAE-0A5A748D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E98B549D-99C5-4267-984B-1613A4256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DFDF3723-81FF-490C-B39C-0C87FFC11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E5723624-2892-42A2-ABF9-BB249FC86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A921027E-D073-4CCB-8156-70F5C28FA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5EC857AD-D164-46BE-BC25-AAB8C6C47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1FDB5B73-625D-4529-94D4-83FD120A0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78D67F54-C244-482D-937F-C6B0C14B9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C7AB8BD6-76A7-419B-8A89-B85480B0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F0EC2E95-C22D-40E7-AB23-0852F0A01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865729ED-55AC-43ED-BA91-165427FC7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D6C00D8C-673B-4131-8F8F-7C4BF5AB5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82357D94-FF83-43E8-AAD2-DAFA33035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D7EE252A-B58B-47C3-8F7E-3DEB29441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0BF29634-5175-4DC6-86C2-E535B58AE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56A6B72E-246E-4CC3-B356-0CBC28893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6A3014F6-062B-425D-B95E-5C6C216A6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E7696C59-D3E1-48F4-8AB0-3FE0FD96A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FE35E4D8-E90C-4E75-81CA-62948EDC4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7079B919-6BD3-4FB8-A629-5D1EBC124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EB4ACAA7-AC73-48D7-A892-53160F62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BE92EDE5-CD35-46A0-B00A-A5D029376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AA080C13-7391-4253-AA6F-C701BA78B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22B9E48C-8B17-40B2-BFAD-F70F2DED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B7266521-DF59-4C3F-9B33-3D6E56BFE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5205DAD1-24D3-4507-86C0-2DF5F7BC4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A3EDF405-3439-4AE0-B02C-81AC5900B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CF82AF15-9F9B-4FDC-9C6E-55FCC6A4D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63C1DD8F-071E-4D62-AD07-11C4DCEB2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04B89593-7DBC-43B4-9F79-C05B5F26A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E9B13821-C1AA-43C6-95A1-397D946FB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412F29AE-34A9-4987-8560-0C566124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81F66B36-2A09-48A5-B2B0-955FD467E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7281C0A6-4249-46A5-884D-1D59C6A5F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08AE67A8-5749-424B-8F44-4B68D6D58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561087C4-9CBB-40E4-B81D-397DE7409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D7EC8812-C354-46B4-95CF-5D4BB7EBF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40A4337C-9303-491A-89DE-A50B8FC75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67298BFC-8DCB-4D45-AAB3-7652A7771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6D1F1981-BFF7-4480-9AE8-00FE8E09D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95100ABA-98C5-455C-9952-B05B2B439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7E8209DB-4395-4348-95FD-973F00ED7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DCAFA666-8A2D-494E-8EA3-CCD3DDE27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924C2ED5-EC39-4552-8FC6-CF2542941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0799D01C-6BCF-4BB0-9927-EE1CE935D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41A1E0BF-0650-4892-B4CE-291F5648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7A004623-2660-42D8-996C-8C28E676A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D53A3FA6-3E4D-483C-A1B5-F872B8395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7CE21038-05E8-4830-A246-6002AB991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300B753F-E8D5-40F1-B53B-37C1B1B30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190F81B3-1FD0-4E2E-A90D-D316D07CA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BC7BD1EE-E8E8-43BA-87FB-E242C4DBD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E6270510-F2EC-489D-9279-35A468511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B9666F7F-619B-42B0-963F-1E820FCAF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7D53FF91-4FD8-4772-90D9-1A1CA6858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07F5C5FC-72F0-4F98-BAE4-19EF818FD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0BC824B5-9CFF-41B8-B0D7-F991619AA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AE2F85F4-D693-4425-95B0-571B7CCB7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DAB76BCF-2701-4E43-8D87-156B8EB7F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7BD695D4-E726-4D90-9A83-16C52A271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DCADD07F-3ECC-4431-9AD8-17EC0BCB0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8A5DA196-E5DA-42AF-BA15-58DABFE64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3175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A9084CE4-8D30-465A-86A1-D4508BBC9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C03D8B42-ED1A-4939-8F82-3401B8B46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34F3FAB1-7869-4284-9DC8-87B8FA997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3149E401-40C1-49B7-9D6E-772A6A24F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5CA0FFC7-F86F-416C-847F-E2FB3DE61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8BC57696-23C1-437B-B171-A8B90B6AA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A5B614DD-28F5-403A-9387-768E5AFE8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05A71DA7-DCFD-4201-87C5-5D90473A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DDDBF7D0-191F-4740-81D7-912A55451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02224B6F-995E-4059-B517-9D44E77E2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A02F0363-91A9-4007-9A92-F1C34A4EE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39F1F077-1055-4B07-9AF5-C39D9032E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00D90BE8-44CF-4760-ABB4-B75C6E09D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E1048568-9520-4CE3-8A35-893C565CB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828A1816-3C08-4DC5-8947-A8A28B51C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47E62A34-0B54-4AC1-9E03-33B7F40A0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A413499C-658A-40FD-A935-1904A555A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B62370B3-9944-4625-99DA-17DBC44ED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76A44868-D4E9-4571-8B3E-A9461CD30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19DB364E-EEC3-417F-A8F5-8D0624240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C7529344-8574-4E30-935C-8E92A53EC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E4321BC5-1EFC-49FC-A37B-3E8BF11D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9525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179CB34E-F6B4-457A-950B-314DBDF85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219F71F1-790D-43BE-A043-1AA2844A2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5B10DEA0-84F7-4E28-AA55-4ED0FC524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1108ACBA-B673-4500-9F1D-9C13793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EB6CC25C-D22B-4A4C-920E-1FF1084E2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32AABFCC-1EA0-49EA-BC26-902D34434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5B47ABE5-9423-487E-9AEA-4557FCDB9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9AAB35BA-A99D-46A9-934D-2FD616301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5B6C3AD3-F6A2-451A-A17A-C29A79093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5A669AE4-E7BD-430A-ADAC-1BC4C9D52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100</xdr:row>
      <xdr:rowOff>0</xdr:rowOff>
    </xdr:from>
    <xdr:ext cx="0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DF85D61C-94FE-43BC-9DEC-FD1BE602B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4325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AE6095D2-9113-4083-92AF-FBD46A7EB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87DE92BA-4122-4945-8B73-E62469C39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570FA62F-180A-4AD8-995B-5CEC779B7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69801F37-C27E-4461-B33A-278DDFD50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73C3EBFB-1C80-4D5C-A2C6-B373797F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18D23083-02E5-4D57-8FBE-BCFC4661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10AA6D74-597C-4751-8DAE-E71065196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8D86F554-8BAA-4413-B590-4B9AF7B46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0909C901-3A6F-49EE-A152-82710C23C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C4B86B6E-5FE5-4B9E-90EC-BEB6A8292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228795EF-4786-4249-B03F-580E47E4D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E3E90412-14C3-4E70-81C0-625934E0C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6CAF93A3-2CE1-4DF4-9066-FD453FCEA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013B102A-7765-4AA3-9C61-37A1322E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E0A5A26F-DF65-48A2-80CB-5B2A2E05B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63D0EBCB-A0CB-4457-B2B9-4D9C88E5B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CBFACBC1-BC64-4869-9490-383466C92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91D74308-BE5D-4E4E-8DF1-9E1793AB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BD3383EE-73FE-4E59-B2BD-21A6A6B9C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100</xdr:row>
      <xdr:rowOff>0</xdr:rowOff>
    </xdr:from>
    <xdr:ext cx="0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AA0FCCC3-9EFF-4CD7-9D63-8F3A26FC5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4325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714ACCC7-0FCE-4399-BB5E-1FF1A860E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48E2BCF4-BE15-4F6C-8894-F35F7C37E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AC3829ED-6731-447C-9CFE-ACCDD2165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E77B79FD-B1EA-4EBD-A98D-3E122496D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CC214253-B759-401A-8828-F872A5A77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7704E980-8387-4CAA-AC6E-DBD089631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7E91E915-8A14-4C38-8FD9-D70ED5E11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24B15E67-7C1E-4566-97E4-46BF9D757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21C2225F-1674-455F-A16B-9FAA80F8C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1B77BC19-2B24-4E4A-AC38-FE7706769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11892213-33BA-40A3-A17A-42E2A8B00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EC671C84-466F-416B-B531-E867145BD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52E2A1DE-4149-438B-8851-5D98A261F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383CC25C-A0E6-4A6E-8D0D-8FAA9F297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100</xdr:row>
      <xdr:rowOff>0</xdr:rowOff>
    </xdr:from>
    <xdr:ext cx="0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17D2044D-E1D2-4B5F-9C61-B2203C221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4325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C46BCB89-BD42-4AD5-BCD2-B2BA1B08F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F7704EFF-340D-42A8-9132-D1CE80A2F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C29428BB-BE73-4C5C-958A-01EFFB0CB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FBF6EF29-3069-4A16-9382-1EE4B26A1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C7E13813-B809-4468-9B5E-33665FA13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482256ED-9CFF-4261-875D-C899A3AB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CCC2FFAF-0906-4596-89FB-2AF0F992E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B47F0F47-7A89-4A89-84C0-BF47E987C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17445BCF-6BDA-4430-B159-B6C9D2635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AA570016-BCE6-492F-9D12-1AC27D538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0DC5E67A-2C89-4F21-9C1E-B6338EDDB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91EDD875-DE47-474D-8E83-C15416C67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F8357380-B4F4-474E-BC45-D22DD785E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9363F98E-D57E-4F32-9192-C819B7B1F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9FE49F89-C3B3-4BC0-9822-6C45F3665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3EA36011-CA89-4220-B737-A0F723503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656CB274-53C1-44E7-A7C4-B0EFAB0B8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CA8377B3-6FF2-4E27-89E3-72AEDF32B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672F5AFD-492A-4260-9C3C-537BC6944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625C36C9-DFCD-4E89-A8C7-F403FB8F2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BA5A1EF6-0D59-4A3D-B4A2-D87B9A505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84</xdr:row>
      <xdr:rowOff>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8156230E-98C9-465F-8017-3B8EC4A09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84</xdr:row>
      <xdr:rowOff>0</xdr:rowOff>
    </xdr:from>
    <xdr:ext cx="0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59432BE2-77A5-4C0D-8E49-7A97539F1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64033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210C2AF3-E168-4200-8F3D-38B8E974A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E4ADA8A9-6C11-4906-86D1-719CE95F1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B78FECDD-4257-4BCB-B95C-1BA648CF7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3DF2FADE-CEA7-4444-9047-85F54D90B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CC855F1E-8F46-4921-A4D2-1518CF79C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EE5931B1-4556-439C-9C01-85F35BA07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3486C700-7052-496E-A2C8-7C50032A6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3AA991B7-2965-4425-A9CC-6566B07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FC2BADAA-A04A-4733-854B-B982D680E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83</xdr:row>
      <xdr:rowOff>0</xdr:rowOff>
    </xdr:from>
    <xdr:ext cx="0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6FC9D94C-5C67-4D96-B1FC-896955A8D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608897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7A086F40-810B-4E72-BC97-D689A93EE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160FE7C2-AA13-46AD-A584-287B59114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25400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08C4757E-5A4B-498A-AAFC-AB20552DD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84</xdr:row>
      <xdr:rowOff>25400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42D968DF-30A3-4B3E-82A2-F7F489F85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42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84</xdr:row>
      <xdr:rowOff>25400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D247E564-E298-41F8-8BC5-A0A1EBEA3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42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87</xdr:row>
      <xdr:rowOff>25400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E05D35C8-E1FE-4282-BEDC-268CF6995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87</xdr:row>
      <xdr:rowOff>25400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642297DD-A0AD-44C2-98DE-6E267B748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87</xdr:row>
      <xdr:rowOff>25400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A492CBD6-43A4-4DE6-A15A-BF7ECEB4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EC6082F8-0071-4CD7-9EBA-FD9F9E738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E069B3F0-0537-4733-B943-1EF2215A5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A53790EB-01FE-4ED0-B29F-A2B8ED137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7FEA5B45-82E3-4EDC-A1E6-08192D176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034BB63E-BE8D-40DB-A834-3FA10396D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35ED2A36-3887-45CD-AF8C-5B5C522ED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FA68039F-6C7E-469A-BCA4-67A178A5D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36C62E83-B286-4507-A447-45DBCBC11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100</xdr:row>
      <xdr:rowOff>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250C4761-CD70-4C2B-ACAC-167725152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100</xdr:row>
      <xdr:rowOff>0</xdr:rowOff>
    </xdr:from>
    <xdr:ext cx="0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26FB8A07-1CFE-4FA9-BABA-00097AC80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4325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0B3A799B-9217-4556-A9A4-1568E0874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6B06322F-39B5-42CC-ADE5-78810D31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B4333EB8-BBA1-4305-8349-451C0DE1D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0F8B7720-1A03-425C-B46F-05FFD7934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891BAC43-E5C4-4101-94D0-7A9631896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565C8E8F-C9D3-4516-9B7E-DCAA23875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3F5493BD-3A1A-4B3B-85B3-C6CB61A6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B573BB85-6011-46C7-9EF6-C2A6A833F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92B7A224-B255-48A6-908E-BD419113C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27AD2049-F561-4235-9E41-F31B89CB6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53348578-CF04-4E99-8D99-599F4B52F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9410B9DB-3911-487B-A2AF-69DF336B8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760B496F-B632-43A0-B1A3-BA70225BE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1ED23308-F28F-4D55-ABDA-9423A3F4D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A84A02EA-24A3-462B-903C-71EC86700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6B49F488-4DC8-4F94-A17D-38A1A696F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A4EFF234-4FB1-4C0D-B8D3-F1F677A60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23A260CD-4EC2-4540-8FAC-11BEC39F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39188759-76C2-4A5E-84D6-C1320872C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6B0FC022-8DA7-47A8-ABC9-78A5B0AAD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E7606418-7F0D-4250-BDB9-768FAB7A9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44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CF15CB1C-6876-4737-8C3D-B63A3F4C9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44</xdr:row>
      <xdr:rowOff>0</xdr:rowOff>
    </xdr:from>
    <xdr:ext cx="0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AFCD5D98-5A16-42B0-8DAA-80E1FF4D1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8303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2DA66C77-446D-48CC-A375-91E457517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74212AD3-F57D-47E7-BF41-1EA75987D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0660D093-D0D8-450E-9007-7BB3EBD9F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FE13297C-304B-42D8-BC46-60EC5DF65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DAC77208-54F1-495F-BE6F-EEC6252E1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2CEAAB82-C636-48A0-A0E3-959DBB419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4E6350DE-3F8E-4C52-A692-2E5CA14D8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313AD1AF-D441-40E6-999C-1AE1D6A5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566529EC-D8C2-4E50-BFF1-0B10CB6F7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CDE88A3C-107F-4793-B9B9-0EBFA22F8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9AC710ED-D1A4-41DB-AE51-A1C58463B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DD763384-1871-430A-AC66-D260440F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FEE3A139-32ED-4446-971E-18EF50F92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8A081EF1-BECA-4806-943D-00C601D90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DFDB1086-3481-48EC-B7CC-A82FC67D9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F75233EE-97C2-4FFC-A1BA-63CCC2DC1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B2D67CBF-698D-4D4A-B35B-C1F94DBF9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BE026F19-9CEE-4C9C-955E-30BB87BD2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6A05D1D1-35F7-4812-820E-7601B2AFE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34</xdr:row>
      <xdr:rowOff>0</xdr:rowOff>
    </xdr:from>
    <xdr:ext cx="0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5FEA402B-F501-4EB9-BAF9-C8EB6146D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06870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1E630222-C76E-4A9A-96A6-EB51CCE4C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51FEC483-117B-44FD-9E78-981646A1B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8B7945E8-5109-4326-8869-21629582E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8C0469F3-3933-43AC-AC9C-730906FFC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F93493CE-478F-42A1-ACDF-D4754FAFC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457A8550-5B93-4451-B643-3B2058600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A7B20F0E-746F-4EDE-866F-2AC2BA2DD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6C5DBA1D-8EDC-4C9D-940F-757C5EDCA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293382AB-7BF1-4104-9ACC-DF15EDA6A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B7B9D6D2-38A1-4DC9-8ED9-297F92DFE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23D1F117-B606-43FC-B319-E91FC68AE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D9701AB2-1349-4E70-B9A2-F3158838B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42033518-7EA2-48F9-B31D-2CC5F4FA0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EA47DAA5-3D12-462C-AC55-391F6A4E6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33</xdr:row>
      <xdr:rowOff>0</xdr:rowOff>
    </xdr:from>
    <xdr:ext cx="0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35DCBDE6-BD36-437A-80F4-6A2AFAE85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037272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25400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7E1E2E5A-DDE4-4010-8888-FF82850A7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25400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B09CBD57-B7C8-4219-8AB8-29BFA6580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25400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EF1635E4-2B4B-4419-A7E6-C5DD790C6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25400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DA4552AF-784C-4DC3-BA34-FF37A9745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12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25400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54C4E398-9A12-4060-B14D-897E82CFD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12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B108C150-D8FB-44D1-B5F2-34514BAE9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EA98DA13-0953-4452-B1A9-573958E46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9E961049-80CC-44FB-AC78-9BD900419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7F327FBE-C271-409D-A7C6-615073612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A28BA8D9-2D95-450F-A3C8-3353E1B7C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25400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66CA9F2E-3826-44C4-BF81-094F55C53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25400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16A3ACFF-3E6F-41B1-B624-C1C738A36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25400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5F606110-957E-4F28-9F00-7F1B5B04C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FD2AFE11-40B5-4A53-A27F-2CE8D0263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7881BEAE-C076-4374-9418-BBB4CB293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282368CF-5630-4B70-B5AD-DC0877491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EE24A271-D159-4A64-AFE5-253DD903E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B913B658-C819-454A-BDD7-7CFC20455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33D169E9-B39F-4F32-BB28-DD63A0C8C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62B2C652-39CF-4D80-8A7B-B5DC107A8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93922391-2567-465B-A84A-1240CB9D4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B06769E9-1F73-472A-916A-76A7C729B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0</xdr:rowOff>
    </xdr:from>
    <xdr:ext cx="0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AE358FB2-2E73-4706-BAD1-97FA9CD87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20027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C342B2D9-D97C-4822-B64A-CBCF346BE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F8423A5F-E960-4A89-B94D-141946EF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FA129141-1AB8-456D-9965-D5B7B23A0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0C239ABD-C436-47C2-A8A8-581D0576D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24A4F674-B810-41E0-AEA3-F926C9D54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AB13616B-ECB4-413F-B7AB-DDE289280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35662651-FA5A-45D6-8B06-58388C8E3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89A1C786-A945-4848-BDEF-2500C6BF1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E6C8B71B-37F3-47CF-8B27-12859844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6</xdr:row>
      <xdr:rowOff>0</xdr:rowOff>
    </xdr:from>
    <xdr:ext cx="0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656C865D-37F7-4AC0-B5C8-A67267262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859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8AA6FA4A-CB2E-4B45-B766-4C3A895CB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24DBBA6B-78DB-4FDF-A4BD-0EF133AA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92C7435E-03F5-42F8-87C5-4CB37FD89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1CDF4720-A0E8-4569-B319-68029BEF4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1EBC54A0-E325-4019-8EA2-EA47DB020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DD5F53D2-61EB-46F0-A50C-8C6895C47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812E6246-7559-4DDC-B540-33458A320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69C5A33F-E1C9-4E45-845B-05D0BDCFB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736FCB30-7A99-463B-9B4A-59998ECE6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77108F28-B74F-4CF9-8154-C21867744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5B93BF48-0B13-4CD7-80F6-F8D4B83D6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5CD7A511-9B9C-45EA-B52E-273ED256F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B392466C-1C67-4E9A-9D39-7E2B08348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C5794489-02AD-49DE-A5D7-5FB271D00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9BE9CEE2-E0C2-4F17-94DC-A2FAACF5B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45B0B9F5-C160-4628-BA14-C23DA38AD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DC063486-5428-4B08-97EC-247EE49D0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23</xdr:row>
      <xdr:rowOff>0</xdr:rowOff>
    </xdr:from>
    <xdr:ext cx="0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5E4B3CFC-2313-4702-9B7A-795B615CC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22947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:a16="http://schemas.microsoft.com/office/drawing/2014/main" id="{F8843A0D-B345-4CCB-A1BF-88B13860D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:a16="http://schemas.microsoft.com/office/drawing/2014/main" id="{0A012F82-DD50-4510-B7CD-E41AD6846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25400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:a16="http://schemas.microsoft.com/office/drawing/2014/main" id="{6FF718DE-4C35-466C-8D3A-1FF662472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:a16="http://schemas.microsoft.com/office/drawing/2014/main" id="{C8B9D7C7-4006-461D-AF93-CE295F675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54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25400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:a16="http://schemas.microsoft.com/office/drawing/2014/main" id="{99F9F419-A591-4BF5-9534-A154D234B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54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25400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:a16="http://schemas.microsoft.com/office/drawing/2014/main" id="{C8EE2F0A-E9B7-4F36-9303-3E027E691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25400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:a16="http://schemas.microsoft.com/office/drawing/2014/main" id="{D5A80297-3647-437D-8E3E-7A1DEC164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25400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:a16="http://schemas.microsoft.com/office/drawing/2014/main" id="{F76BCD5E-B0B5-44F9-B54F-56D071974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:a16="http://schemas.microsoft.com/office/drawing/2014/main" id="{E05C5C66-D4AB-40BF-88AB-EC77E6163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:a16="http://schemas.microsoft.com/office/drawing/2014/main" id="{3205D67D-29B5-4B6E-B127-BD23195E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:a16="http://schemas.microsoft.com/office/drawing/2014/main" id="{BFFBD02C-637C-481C-B4A7-2A6ADAB29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:a16="http://schemas.microsoft.com/office/drawing/2014/main" id="{27DDBFC3-B92B-4F33-A4CF-FF2455DB9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:a16="http://schemas.microsoft.com/office/drawing/2014/main" id="{B7B9FF88-088A-4EC8-B752-6E8CA44DD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:a16="http://schemas.microsoft.com/office/drawing/2014/main" id="{41C0F073-1DB0-4909-ACEF-BDD729366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:a16="http://schemas.microsoft.com/office/drawing/2014/main" id="{4F7970BA-8BC1-45C5-9A77-B1A4B0FCC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:a16="http://schemas.microsoft.com/office/drawing/2014/main" id="{BFAEB67D-B246-4388-B9D9-AC78154A2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:a16="http://schemas.microsoft.com/office/drawing/2014/main" id="{A1688A9C-EF4F-48DE-8786-B1AE6D541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:a16="http://schemas.microsoft.com/office/drawing/2014/main" id="{F188E3D5-7DE7-4F8D-823A-4F3C522CD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:a16="http://schemas.microsoft.com/office/drawing/2014/main" id="{924C7286-CE66-425D-9CE0-1B9C33A34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:a16="http://schemas.microsoft.com/office/drawing/2014/main" id="{A7BB1137-887B-47D0-B3E9-D5D4ABEB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:a16="http://schemas.microsoft.com/office/drawing/2014/main" id="{7CC9AC74-3B00-41B0-A47B-DAD65A80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:a16="http://schemas.microsoft.com/office/drawing/2014/main" id="{890BEB87-A231-4C50-82BC-D6B6D6612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:a16="http://schemas.microsoft.com/office/drawing/2014/main" id="{1EAE4FF2-FE07-416A-820A-64FF5449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:a16="http://schemas.microsoft.com/office/drawing/2014/main" id="{987C6793-ECB6-4FA1-AC1E-DEC2D7995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:a16="http://schemas.microsoft.com/office/drawing/2014/main" id="{946D5945-BAB9-4623-A620-C99966C75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:a16="http://schemas.microsoft.com/office/drawing/2014/main" id="{5C0840D7-2683-470B-BA01-71FC7A833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:a16="http://schemas.microsoft.com/office/drawing/2014/main" id="{B495B7D0-56DE-4A2F-9760-DEC22F2AD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:a16="http://schemas.microsoft.com/office/drawing/2014/main" id="{166E4701-F164-4B78-873B-2224A6EBA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:a16="http://schemas.microsoft.com/office/drawing/2014/main" id="{2E6E297D-98C5-42C1-B680-62BA8EB1C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:a16="http://schemas.microsoft.com/office/drawing/2014/main" id="{633530C5-B119-4752-8AEE-4144A343F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:a16="http://schemas.microsoft.com/office/drawing/2014/main" id="{65E43BCE-1042-4F50-821D-BAE9C638D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:a16="http://schemas.microsoft.com/office/drawing/2014/main" id="{2084EB5A-F481-42AB-9542-13D66F681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:a16="http://schemas.microsoft.com/office/drawing/2014/main" id="{1C2E64DB-6CD1-490A-B589-D6FDB925D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:a16="http://schemas.microsoft.com/office/drawing/2014/main" id="{2A237FB2-C834-4465-9ED8-D0D7C1F69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:a16="http://schemas.microsoft.com/office/drawing/2014/main" id="{B31C6EFD-415F-469E-B792-4EF36ED7B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:a16="http://schemas.microsoft.com/office/drawing/2014/main" id="{AEE8324F-0B34-476E-A05F-D402EECFC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:a16="http://schemas.microsoft.com/office/drawing/2014/main" id="{118DBDFA-1DE6-4C94-9C28-9203F63B9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:a16="http://schemas.microsoft.com/office/drawing/2014/main" id="{A8B9B44C-E29B-4251-9C9C-DD3A69594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:a16="http://schemas.microsoft.com/office/drawing/2014/main" id="{217D778C-6C60-4346-BC37-F8866C59F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:a16="http://schemas.microsoft.com/office/drawing/2014/main" id="{2C741C83-2590-4D69-8978-3BB6F7407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:a16="http://schemas.microsoft.com/office/drawing/2014/main" id="{6AEFEC20-34E4-41EF-B440-A18E598A0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:a16="http://schemas.microsoft.com/office/drawing/2014/main" id="{7615F3B0-B6D9-4FA6-9753-9742B236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:a16="http://schemas.microsoft.com/office/drawing/2014/main" id="{645202FD-E063-4E49-A769-214678143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:a16="http://schemas.microsoft.com/office/drawing/2014/main" id="{9B3D33DE-695F-4614-B8A3-A7EBD2EAF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25400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:a16="http://schemas.microsoft.com/office/drawing/2014/main" id="{7295CE03-6077-47A7-8E81-ECEDEC7E1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25400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:a16="http://schemas.microsoft.com/office/drawing/2014/main" id="{D5E4373F-BDDD-4229-9B2A-BA436C978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:a16="http://schemas.microsoft.com/office/drawing/2014/main" id="{274CE3C6-4AB6-414A-A7BB-F17AA749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699" name="Imagem 698" descr="http://sistemaswebhom.einstein.br/CME/Imagens/nada.gif">
          <a:extLst>
            <a:ext uri="{FF2B5EF4-FFF2-40B4-BE49-F238E27FC236}">
              <a16:creationId xmlns:a16="http://schemas.microsoft.com/office/drawing/2014/main" id="{09FA0A06-F48F-4489-A7EC-283DACA2D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00" name="Imagem 699" descr="http://sistemaswebhom.einstein.br/CME/Imagens/nada.gif">
          <a:extLst>
            <a:ext uri="{FF2B5EF4-FFF2-40B4-BE49-F238E27FC236}">
              <a16:creationId xmlns:a16="http://schemas.microsoft.com/office/drawing/2014/main" id="{41243B47-78FD-4F64-B968-D3581A70F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1" name="Imagem 700" descr="http://sistemaswebhom.einstein.br/CME/Imagens/nada.gif">
          <a:extLst>
            <a:ext uri="{FF2B5EF4-FFF2-40B4-BE49-F238E27FC236}">
              <a16:creationId xmlns:a16="http://schemas.microsoft.com/office/drawing/2014/main" id="{22B97AB8-AE2A-403B-AE47-771D726E4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2" name="Imagem 701" descr="http://sistemaswebhom.einstein.br/CME/Imagens/nada.gif">
          <a:extLst>
            <a:ext uri="{FF2B5EF4-FFF2-40B4-BE49-F238E27FC236}">
              <a16:creationId xmlns:a16="http://schemas.microsoft.com/office/drawing/2014/main" id="{EDA14CAA-8ECC-41A4-8B9F-734C2C422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3" name="Imagem 702" descr="http://sistemaswebhom.einstein.br/CME/Imagens/nada.gif">
          <a:extLst>
            <a:ext uri="{FF2B5EF4-FFF2-40B4-BE49-F238E27FC236}">
              <a16:creationId xmlns:a16="http://schemas.microsoft.com/office/drawing/2014/main" id="{B33D9A2D-9232-42CF-98A6-6A089869B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4" name="Imagem 703" descr="http://sistemaswebhom.einstein.br/CME/Imagens/nada.gif">
          <a:extLst>
            <a:ext uri="{FF2B5EF4-FFF2-40B4-BE49-F238E27FC236}">
              <a16:creationId xmlns:a16="http://schemas.microsoft.com/office/drawing/2014/main" id="{05749909-F644-41F4-A77A-3F709BA6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05" name="Imagem 704" descr="http://sistemaswebhom.einstein.br/CME/Imagens/nada.gif">
          <a:extLst>
            <a:ext uri="{FF2B5EF4-FFF2-40B4-BE49-F238E27FC236}">
              <a16:creationId xmlns:a16="http://schemas.microsoft.com/office/drawing/2014/main" id="{013AFFFA-ED94-46C5-ADFE-71ED531F3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25400</xdr:rowOff>
    </xdr:from>
    <xdr:ext cx="9525" cy="0"/>
    <xdr:pic>
      <xdr:nvPicPr>
        <xdr:cNvPr id="706" name="Imagem 705" descr="http://sistemaswebhom.einstein.br/CME/Imagens/nada.gif">
          <a:extLst>
            <a:ext uri="{FF2B5EF4-FFF2-40B4-BE49-F238E27FC236}">
              <a16:creationId xmlns:a16="http://schemas.microsoft.com/office/drawing/2014/main" id="{D573FD0C-EA4F-4970-9378-D9BAA7CD2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25400</xdr:rowOff>
    </xdr:from>
    <xdr:ext cx="9525" cy="0"/>
    <xdr:pic>
      <xdr:nvPicPr>
        <xdr:cNvPr id="707" name="Imagem 706" descr="http://sistemaswebhom.einstein.br/CME/Imagens/nada.gif">
          <a:extLst>
            <a:ext uri="{FF2B5EF4-FFF2-40B4-BE49-F238E27FC236}">
              <a16:creationId xmlns:a16="http://schemas.microsoft.com/office/drawing/2014/main" id="{C94D9036-24C3-43FF-B823-16BC72A71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08" name="Imagem 707" descr="http://sistemaswebhom.einstein.br/CME/Imagens/nada.gif">
          <a:extLst>
            <a:ext uri="{FF2B5EF4-FFF2-40B4-BE49-F238E27FC236}">
              <a16:creationId xmlns:a16="http://schemas.microsoft.com/office/drawing/2014/main" id="{6A8CBF2D-E37B-4A4D-92E6-840DB608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09" name="Imagem 708" descr="http://sistemaswebhom.einstein.br/CME/Imagens/nada.gif">
          <a:extLst>
            <a:ext uri="{FF2B5EF4-FFF2-40B4-BE49-F238E27FC236}">
              <a16:creationId xmlns:a16="http://schemas.microsoft.com/office/drawing/2014/main" id="{F567456A-0245-44F1-8D88-DE3B47969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10" name="Imagem 709" descr="http://sistemaswebhom.einstein.br/CME/Imagens/nada.gif">
          <a:extLst>
            <a:ext uri="{FF2B5EF4-FFF2-40B4-BE49-F238E27FC236}">
              <a16:creationId xmlns:a16="http://schemas.microsoft.com/office/drawing/2014/main" id="{D4237BCE-0AE9-4860-9FA4-9B2670EDC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11" name="Imagem 710" descr="http://sistemaswebhom.einstein.br/CME/Imagens/nada.gif">
          <a:extLst>
            <a:ext uri="{FF2B5EF4-FFF2-40B4-BE49-F238E27FC236}">
              <a16:creationId xmlns:a16="http://schemas.microsoft.com/office/drawing/2014/main" id="{B0CDC8BA-2674-4144-80B7-02F7DC838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12" name="Imagem 711" descr="http://sistemaswebhom.einstein.br/CME/Imagens/nada.gif">
          <a:extLst>
            <a:ext uri="{FF2B5EF4-FFF2-40B4-BE49-F238E27FC236}">
              <a16:creationId xmlns:a16="http://schemas.microsoft.com/office/drawing/2014/main" id="{81D41C4F-6BCD-4D26-9123-9C7CA75C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13" name="Imagem 712" descr="http://sistemaswebhom.einstein.br/CME/Imagens/nada.gif">
          <a:extLst>
            <a:ext uri="{FF2B5EF4-FFF2-40B4-BE49-F238E27FC236}">
              <a16:creationId xmlns:a16="http://schemas.microsoft.com/office/drawing/2014/main" id="{F3705662-2A7C-4AC2-B525-D2ED634C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14" name="Imagem 713" descr="http://sistemaswebhom.einstein.br/CME/Imagens/nada.gif">
          <a:extLst>
            <a:ext uri="{FF2B5EF4-FFF2-40B4-BE49-F238E27FC236}">
              <a16:creationId xmlns:a16="http://schemas.microsoft.com/office/drawing/2014/main" id="{A5ED2B52-9ED0-4A8C-957F-3A88EC0A0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15" name="Imagem 714" descr="http://sistemaswebhom.einstein.br/CME/Imagens/nada.gif">
          <a:extLst>
            <a:ext uri="{FF2B5EF4-FFF2-40B4-BE49-F238E27FC236}">
              <a16:creationId xmlns:a16="http://schemas.microsoft.com/office/drawing/2014/main" id="{03D486BE-9C45-45ED-8C84-81126D2EF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16" name="Imagem 715" descr="http://sistemaswebhom.einstein.br/CME/Imagens/nada.gif">
          <a:extLst>
            <a:ext uri="{FF2B5EF4-FFF2-40B4-BE49-F238E27FC236}">
              <a16:creationId xmlns:a16="http://schemas.microsoft.com/office/drawing/2014/main" id="{D4C7FB16-6BB3-4F24-B4C4-4EAC82E14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17" name="Imagem 716" descr="http://sistemaswebhom.einstein.br/CME/Imagens/nada.gif">
          <a:extLst>
            <a:ext uri="{FF2B5EF4-FFF2-40B4-BE49-F238E27FC236}">
              <a16:creationId xmlns:a16="http://schemas.microsoft.com/office/drawing/2014/main" id="{9B256AEF-01DA-45BA-9049-BFE79B55E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18" name="Imagem 717" descr="http://sistemaswebhom.einstein.br/CME/Imagens/nada.gif">
          <a:extLst>
            <a:ext uri="{FF2B5EF4-FFF2-40B4-BE49-F238E27FC236}">
              <a16:creationId xmlns:a16="http://schemas.microsoft.com/office/drawing/2014/main" id="{03AAE9AD-D095-4898-93BD-582E366B6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19" name="Imagem 718" descr="http://sistemaswebhom.einstein.br/CME/Imagens/nada.gif">
          <a:extLst>
            <a:ext uri="{FF2B5EF4-FFF2-40B4-BE49-F238E27FC236}">
              <a16:creationId xmlns:a16="http://schemas.microsoft.com/office/drawing/2014/main" id="{8E435303-A46F-4EEC-A21D-1A95A9682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20" name="Imagem 719" descr="http://sistemaswebhom.einstein.br/CME/Imagens/nada.gif">
          <a:extLst>
            <a:ext uri="{FF2B5EF4-FFF2-40B4-BE49-F238E27FC236}">
              <a16:creationId xmlns:a16="http://schemas.microsoft.com/office/drawing/2014/main" id="{737FB9FE-9B99-4AE0-8F06-7652CBF9F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21" name="Imagem 720" descr="http://sistemaswebhom.einstein.br/CME/Imagens/nada.gif">
          <a:extLst>
            <a:ext uri="{FF2B5EF4-FFF2-40B4-BE49-F238E27FC236}">
              <a16:creationId xmlns:a16="http://schemas.microsoft.com/office/drawing/2014/main" id="{423E8F4B-244B-41E6-A664-BACE30FF0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22" name="Imagem 721" descr="http://sistemaswebhom.einstein.br/CME/Imagens/nada.gif">
          <a:extLst>
            <a:ext uri="{FF2B5EF4-FFF2-40B4-BE49-F238E27FC236}">
              <a16:creationId xmlns:a16="http://schemas.microsoft.com/office/drawing/2014/main" id="{A08C70B2-77C1-4EA6-8CB1-D12B3B50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23" name="Imagem 722" descr="http://sistemaswebhom.einstein.br/CME/Imagens/nada.gif">
          <a:extLst>
            <a:ext uri="{FF2B5EF4-FFF2-40B4-BE49-F238E27FC236}">
              <a16:creationId xmlns:a16="http://schemas.microsoft.com/office/drawing/2014/main" id="{0A48C4DB-7C39-421B-8E9A-4BBEECD1B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24" name="Imagem 723" descr="http://sistemaswebhom.einstein.br/CME/Imagens/nada.gif">
          <a:extLst>
            <a:ext uri="{FF2B5EF4-FFF2-40B4-BE49-F238E27FC236}">
              <a16:creationId xmlns:a16="http://schemas.microsoft.com/office/drawing/2014/main" id="{4B5272FB-36B5-4A35-894E-8C292B2E3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25" name="Imagem 724" descr="http://sistemaswebhom.einstein.br/CME/Imagens/nada.gif">
          <a:extLst>
            <a:ext uri="{FF2B5EF4-FFF2-40B4-BE49-F238E27FC236}">
              <a16:creationId xmlns:a16="http://schemas.microsoft.com/office/drawing/2014/main" id="{25BD68FF-1540-42E1-B4D8-9A1341836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26" name="Imagem 725" descr="http://sistemaswebhom.einstein.br/CME/Imagens/nada.gif">
          <a:extLst>
            <a:ext uri="{FF2B5EF4-FFF2-40B4-BE49-F238E27FC236}">
              <a16:creationId xmlns:a16="http://schemas.microsoft.com/office/drawing/2014/main" id="{C75EEB8E-053D-4BBE-8F4D-4413ADAC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27" name="Imagem 726" descr="http://sistemaswebhom.einstein.br/CME/Imagens/nada.gif">
          <a:extLst>
            <a:ext uri="{FF2B5EF4-FFF2-40B4-BE49-F238E27FC236}">
              <a16:creationId xmlns:a16="http://schemas.microsoft.com/office/drawing/2014/main" id="{0C38B979-100A-4181-8907-BC74011CD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28" name="Imagem 727" descr="http://sistemaswebhom.einstein.br/CME/Imagens/nada.gif">
          <a:extLst>
            <a:ext uri="{FF2B5EF4-FFF2-40B4-BE49-F238E27FC236}">
              <a16:creationId xmlns:a16="http://schemas.microsoft.com/office/drawing/2014/main" id="{D34AC09C-20B4-46B2-9B34-EABDAB840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29" name="Imagem 728" descr="http://sistemaswebhom.einstein.br/CME/Imagens/nada.gif">
          <a:extLst>
            <a:ext uri="{FF2B5EF4-FFF2-40B4-BE49-F238E27FC236}">
              <a16:creationId xmlns:a16="http://schemas.microsoft.com/office/drawing/2014/main" id="{8B15C012-ED55-4E3F-9E12-C299BECF8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30" name="Imagem 729" descr="http://sistemaswebhom.einstein.br/CME/Imagens/nada.gif">
          <a:extLst>
            <a:ext uri="{FF2B5EF4-FFF2-40B4-BE49-F238E27FC236}">
              <a16:creationId xmlns:a16="http://schemas.microsoft.com/office/drawing/2014/main" id="{602D0562-51AE-4D54-82EC-D2FE478EC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31" name="Imagem 730" descr="http://sistemaswebhom.einstein.br/CME/Imagens/nada.gif">
          <a:extLst>
            <a:ext uri="{FF2B5EF4-FFF2-40B4-BE49-F238E27FC236}">
              <a16:creationId xmlns:a16="http://schemas.microsoft.com/office/drawing/2014/main" id="{04ABB380-BA2C-4AE3-B952-55057D92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32" name="Imagem 731" descr="http://sistemaswebhom.einstein.br/CME/Imagens/nada.gif">
          <a:extLst>
            <a:ext uri="{FF2B5EF4-FFF2-40B4-BE49-F238E27FC236}">
              <a16:creationId xmlns:a16="http://schemas.microsoft.com/office/drawing/2014/main" id="{DDA40ADA-4641-4342-A113-A957F97D2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33" name="Imagem 732" descr="http://sistemaswebhom.einstein.br/CME/Imagens/nada.gif">
          <a:extLst>
            <a:ext uri="{FF2B5EF4-FFF2-40B4-BE49-F238E27FC236}">
              <a16:creationId xmlns:a16="http://schemas.microsoft.com/office/drawing/2014/main" id="{72F2C2CD-3DD4-42A3-9F6F-6D4116EB9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34" name="Imagem 733" descr="http://sistemaswebhom.einstein.br/CME/Imagens/nada.gif">
          <a:extLst>
            <a:ext uri="{FF2B5EF4-FFF2-40B4-BE49-F238E27FC236}">
              <a16:creationId xmlns:a16="http://schemas.microsoft.com/office/drawing/2014/main" id="{5C8F529E-8465-48A4-AE4A-FC3C1B837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35" name="Imagem 734" descr="http://sistemaswebhom.einstein.br/CME/Imagens/nada.gif">
          <a:extLst>
            <a:ext uri="{FF2B5EF4-FFF2-40B4-BE49-F238E27FC236}">
              <a16:creationId xmlns:a16="http://schemas.microsoft.com/office/drawing/2014/main" id="{7109D4BB-633E-476B-BE61-C325027C4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36" name="Imagem 735" descr="http://sistemaswebhom.einstein.br/CME/Imagens/nada.gif">
          <a:extLst>
            <a:ext uri="{FF2B5EF4-FFF2-40B4-BE49-F238E27FC236}">
              <a16:creationId xmlns:a16="http://schemas.microsoft.com/office/drawing/2014/main" id="{BEAD41E9-7F9D-4E34-9316-08B476AE2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37" name="Imagem 736" descr="http://sistemaswebhom.einstein.br/CME/Imagens/nada.gif">
          <a:extLst>
            <a:ext uri="{FF2B5EF4-FFF2-40B4-BE49-F238E27FC236}">
              <a16:creationId xmlns:a16="http://schemas.microsoft.com/office/drawing/2014/main" id="{4DC4F413-F431-45F8-8132-DF9CF78EF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38" name="Imagem 737" descr="http://sistemaswebhom.einstein.br/CME/Imagens/nada.gif">
          <a:extLst>
            <a:ext uri="{FF2B5EF4-FFF2-40B4-BE49-F238E27FC236}">
              <a16:creationId xmlns:a16="http://schemas.microsoft.com/office/drawing/2014/main" id="{13297CD0-00BD-4017-AC5B-989E19684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39" name="Imagem 738" descr="http://sistemaswebhom.einstein.br/CME/Imagens/nada.gif">
          <a:extLst>
            <a:ext uri="{FF2B5EF4-FFF2-40B4-BE49-F238E27FC236}">
              <a16:creationId xmlns:a16="http://schemas.microsoft.com/office/drawing/2014/main" id="{09647646-547E-4AF5-B346-75CF617F3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0" name="Imagem 739" descr="http://sistemaswebhom.einstein.br/CME/Imagens/nada.gif">
          <a:extLst>
            <a:ext uri="{FF2B5EF4-FFF2-40B4-BE49-F238E27FC236}">
              <a16:creationId xmlns:a16="http://schemas.microsoft.com/office/drawing/2014/main" id="{8ED478D1-1200-48D7-B23A-ACF70DB46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1" name="Imagem 740" descr="http://sistemaswebhom.einstein.br/CME/Imagens/nada.gif">
          <a:extLst>
            <a:ext uri="{FF2B5EF4-FFF2-40B4-BE49-F238E27FC236}">
              <a16:creationId xmlns:a16="http://schemas.microsoft.com/office/drawing/2014/main" id="{C4246073-E5A3-4AEC-8E93-0D900772F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42" name="Imagem 741" descr="http://sistemaswebhom.einstein.br/CME/Imagens/nada.gif">
          <a:extLst>
            <a:ext uri="{FF2B5EF4-FFF2-40B4-BE49-F238E27FC236}">
              <a16:creationId xmlns:a16="http://schemas.microsoft.com/office/drawing/2014/main" id="{72CB3008-0B19-45A7-BAFD-F260273FA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43" name="Imagem 742" descr="http://sistemaswebhom.einstein.br/CME/Imagens/nada.gif">
          <a:extLst>
            <a:ext uri="{FF2B5EF4-FFF2-40B4-BE49-F238E27FC236}">
              <a16:creationId xmlns:a16="http://schemas.microsoft.com/office/drawing/2014/main" id="{E20B9052-81C9-4342-9C4D-7C78357EC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44" name="Imagem 743" descr="http://sistemaswebhom.einstein.br/CME/Imagens/nada.gif">
          <a:extLst>
            <a:ext uri="{FF2B5EF4-FFF2-40B4-BE49-F238E27FC236}">
              <a16:creationId xmlns:a16="http://schemas.microsoft.com/office/drawing/2014/main" id="{023618F4-8EB5-4000-B490-13837779E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5" name="Imagem 744" descr="http://sistemaswebhom.einstein.br/CME/Imagens/nada.gif">
          <a:extLst>
            <a:ext uri="{FF2B5EF4-FFF2-40B4-BE49-F238E27FC236}">
              <a16:creationId xmlns:a16="http://schemas.microsoft.com/office/drawing/2014/main" id="{971E931E-2E7C-45D0-8F59-76AD46A9B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6" name="Imagem 745" descr="http://sistemaswebhom.einstein.br/CME/Imagens/nada.gif">
          <a:extLst>
            <a:ext uri="{FF2B5EF4-FFF2-40B4-BE49-F238E27FC236}">
              <a16:creationId xmlns:a16="http://schemas.microsoft.com/office/drawing/2014/main" id="{177A9CCB-D8B9-4140-B908-E99B3B1EA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7" name="Imagem 746" descr="http://sistemaswebhom.einstein.br/CME/Imagens/nada.gif">
          <a:extLst>
            <a:ext uri="{FF2B5EF4-FFF2-40B4-BE49-F238E27FC236}">
              <a16:creationId xmlns:a16="http://schemas.microsoft.com/office/drawing/2014/main" id="{77CAA151-3DF7-49A2-B00A-63CDD7AD4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48" name="Imagem 747" descr="http://sistemaswebhom.einstein.br/CME/Imagens/nada.gif">
          <a:extLst>
            <a:ext uri="{FF2B5EF4-FFF2-40B4-BE49-F238E27FC236}">
              <a16:creationId xmlns:a16="http://schemas.microsoft.com/office/drawing/2014/main" id="{93AAA86A-74EF-48BB-A093-546EE355B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49" name="Imagem 748" descr="http://sistemaswebhom.einstein.br/CME/Imagens/nada.gif">
          <a:extLst>
            <a:ext uri="{FF2B5EF4-FFF2-40B4-BE49-F238E27FC236}">
              <a16:creationId xmlns:a16="http://schemas.microsoft.com/office/drawing/2014/main" id="{F50C989B-B17D-4A0E-85BE-68AFBE128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50" name="Imagem 749" descr="http://sistemaswebhom.einstein.br/CME/Imagens/nada.gif">
          <a:extLst>
            <a:ext uri="{FF2B5EF4-FFF2-40B4-BE49-F238E27FC236}">
              <a16:creationId xmlns:a16="http://schemas.microsoft.com/office/drawing/2014/main" id="{63FE6057-DAEE-42C9-9C18-0AFCF6835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51" name="Imagem 750" descr="http://sistemaswebhom.einstein.br/CME/Imagens/nada.gif">
          <a:extLst>
            <a:ext uri="{FF2B5EF4-FFF2-40B4-BE49-F238E27FC236}">
              <a16:creationId xmlns:a16="http://schemas.microsoft.com/office/drawing/2014/main" id="{B2D2C3ED-58E9-41AB-BBB4-FB77346E1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52" name="Imagem 751" descr="http://sistemaswebhom.einstein.br/CME/Imagens/nada.gif">
          <a:extLst>
            <a:ext uri="{FF2B5EF4-FFF2-40B4-BE49-F238E27FC236}">
              <a16:creationId xmlns:a16="http://schemas.microsoft.com/office/drawing/2014/main" id="{0444D809-A96E-4514-A123-21F4451C2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53" name="Imagem 752" descr="http://sistemaswebhom.einstein.br/CME/Imagens/nada.gif">
          <a:extLst>
            <a:ext uri="{FF2B5EF4-FFF2-40B4-BE49-F238E27FC236}">
              <a16:creationId xmlns:a16="http://schemas.microsoft.com/office/drawing/2014/main" id="{4A5A8E88-8A14-4B04-8780-810950B3F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54" name="Imagem 753" descr="http://sistemaswebhom.einstein.br/CME/Imagens/nada.gif">
          <a:extLst>
            <a:ext uri="{FF2B5EF4-FFF2-40B4-BE49-F238E27FC236}">
              <a16:creationId xmlns:a16="http://schemas.microsoft.com/office/drawing/2014/main" id="{DAB39419-63BD-4BF7-8208-C421A8140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25400</xdr:rowOff>
    </xdr:from>
    <xdr:ext cx="9525" cy="0"/>
    <xdr:pic>
      <xdr:nvPicPr>
        <xdr:cNvPr id="755" name="Imagem 754" descr="http://sistemaswebhom.einstein.br/CME/Imagens/nada.gif">
          <a:extLst>
            <a:ext uri="{FF2B5EF4-FFF2-40B4-BE49-F238E27FC236}">
              <a16:creationId xmlns:a16="http://schemas.microsoft.com/office/drawing/2014/main" id="{2618D1A4-D877-4AE0-A639-361C39AA3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56" name="Imagem 755" descr="http://sistemaswebhom.einstein.br/CME/Imagens/nada.gif">
          <a:extLst>
            <a:ext uri="{FF2B5EF4-FFF2-40B4-BE49-F238E27FC236}">
              <a16:creationId xmlns:a16="http://schemas.microsoft.com/office/drawing/2014/main" id="{CA78C9F2-E3F3-48DC-B425-439D1D9F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57" name="Imagem 756" descr="http://sistemaswebhom.einstein.br/CME/Imagens/nada.gif">
          <a:extLst>
            <a:ext uri="{FF2B5EF4-FFF2-40B4-BE49-F238E27FC236}">
              <a16:creationId xmlns:a16="http://schemas.microsoft.com/office/drawing/2014/main" id="{26A98BC0-DAA5-44D6-82D1-E7E7A3B9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58" name="Imagem 757" descr="http://sistemaswebhom.einstein.br/CME/Imagens/nada.gif">
          <a:extLst>
            <a:ext uri="{FF2B5EF4-FFF2-40B4-BE49-F238E27FC236}">
              <a16:creationId xmlns:a16="http://schemas.microsoft.com/office/drawing/2014/main" id="{D521638A-A192-4C94-9B41-2EB1BE3BB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759" name="Imagem 758" descr="http://sistemaswebhom.einstein.br/CME/Imagens/nada.gif">
          <a:extLst>
            <a:ext uri="{FF2B5EF4-FFF2-40B4-BE49-F238E27FC236}">
              <a16:creationId xmlns:a16="http://schemas.microsoft.com/office/drawing/2014/main" id="{EA457EE6-AAB6-40F8-B645-8C68FB81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760" name="Imagem 759" descr="http://sistemaswebhom.einstein.br/CME/Imagens/nada.gif">
          <a:extLst>
            <a:ext uri="{FF2B5EF4-FFF2-40B4-BE49-F238E27FC236}">
              <a16:creationId xmlns:a16="http://schemas.microsoft.com/office/drawing/2014/main" id="{0A4E1F2B-FA92-44AE-B746-B3D7B2039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61" name="Imagem 760" descr="http://sistemaswebhom.einstein.br/CME/Imagens/nada.gif">
          <a:extLst>
            <a:ext uri="{FF2B5EF4-FFF2-40B4-BE49-F238E27FC236}">
              <a16:creationId xmlns:a16="http://schemas.microsoft.com/office/drawing/2014/main" id="{FE65DA6F-777D-4404-B127-7DA95F874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62" name="Imagem 761" descr="http://sistemaswebhom.einstein.br/CME/Imagens/nada.gif">
          <a:extLst>
            <a:ext uri="{FF2B5EF4-FFF2-40B4-BE49-F238E27FC236}">
              <a16:creationId xmlns:a16="http://schemas.microsoft.com/office/drawing/2014/main" id="{F6D2F1BF-BF86-41B1-B8D5-2A204137B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63" name="Imagem 762" descr="http://sistemaswebhom.einstein.br/CME/Imagens/nada.gif">
          <a:extLst>
            <a:ext uri="{FF2B5EF4-FFF2-40B4-BE49-F238E27FC236}">
              <a16:creationId xmlns:a16="http://schemas.microsoft.com/office/drawing/2014/main" id="{E5DD3843-6634-4B22-8C79-49B74B0AE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4" name="Imagem 763" descr="http://sistemaswebhom.einstein.br/CME/Imagens/nada.gif">
          <a:extLst>
            <a:ext uri="{FF2B5EF4-FFF2-40B4-BE49-F238E27FC236}">
              <a16:creationId xmlns:a16="http://schemas.microsoft.com/office/drawing/2014/main" id="{1275BB36-FBF1-4986-80ED-04954D970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5" name="Imagem 764" descr="http://sistemaswebhom.einstein.br/CME/Imagens/nada.gif">
          <a:extLst>
            <a:ext uri="{FF2B5EF4-FFF2-40B4-BE49-F238E27FC236}">
              <a16:creationId xmlns:a16="http://schemas.microsoft.com/office/drawing/2014/main" id="{21787D39-6909-4A48-B200-29E6DBD39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6" name="Imagem 765" descr="http://sistemaswebhom.einstein.br/CME/Imagens/nada.gif">
          <a:extLst>
            <a:ext uri="{FF2B5EF4-FFF2-40B4-BE49-F238E27FC236}">
              <a16:creationId xmlns:a16="http://schemas.microsoft.com/office/drawing/2014/main" id="{45F9DBB9-16EE-4449-8D00-D7A67358D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7" name="Imagem 766" descr="http://sistemaswebhom.einstein.br/CME/Imagens/nada.gif">
          <a:extLst>
            <a:ext uri="{FF2B5EF4-FFF2-40B4-BE49-F238E27FC236}">
              <a16:creationId xmlns:a16="http://schemas.microsoft.com/office/drawing/2014/main" id="{946B749F-366D-4788-85CC-5205ADD5B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68" name="Imagem 767" descr="http://sistemaswebhom.einstein.br/CME/Imagens/nada.gif">
          <a:extLst>
            <a:ext uri="{FF2B5EF4-FFF2-40B4-BE49-F238E27FC236}">
              <a16:creationId xmlns:a16="http://schemas.microsoft.com/office/drawing/2014/main" id="{C8BF811F-8EE3-4467-BF84-F917D271C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769" name="Imagem 768" descr="http://sistemaswebhom.einstein.br/CME/Imagens/nada.gif">
          <a:extLst>
            <a:ext uri="{FF2B5EF4-FFF2-40B4-BE49-F238E27FC236}">
              <a16:creationId xmlns:a16="http://schemas.microsoft.com/office/drawing/2014/main" id="{E74CA3E0-B46F-4764-804D-A8724EC46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25400</xdr:rowOff>
    </xdr:from>
    <xdr:ext cx="9525" cy="0"/>
    <xdr:pic>
      <xdr:nvPicPr>
        <xdr:cNvPr id="770" name="Imagem 769" descr="http://sistemaswebhom.einstein.br/CME/Imagens/nada.gif">
          <a:extLst>
            <a:ext uri="{FF2B5EF4-FFF2-40B4-BE49-F238E27FC236}">
              <a16:creationId xmlns:a16="http://schemas.microsoft.com/office/drawing/2014/main" id="{51223386-7DFE-4F55-A7BA-7190E5A36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71" name="Imagem 770" descr="http://sistemaswebhom.einstein.br/CME/Imagens/nada.gif">
          <a:extLst>
            <a:ext uri="{FF2B5EF4-FFF2-40B4-BE49-F238E27FC236}">
              <a16:creationId xmlns:a16="http://schemas.microsoft.com/office/drawing/2014/main" id="{C20440FA-8834-4209-85BA-64581353C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72" name="Imagem 771" descr="http://sistemaswebhom.einstein.br/CME/Imagens/nada.gif">
          <a:extLst>
            <a:ext uri="{FF2B5EF4-FFF2-40B4-BE49-F238E27FC236}">
              <a16:creationId xmlns:a16="http://schemas.microsoft.com/office/drawing/2014/main" id="{D685C0DC-667B-4DF8-ADDC-D7F14808D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25400</xdr:rowOff>
    </xdr:from>
    <xdr:ext cx="9525" cy="0"/>
    <xdr:pic>
      <xdr:nvPicPr>
        <xdr:cNvPr id="773" name="Imagem 772" descr="http://sistemaswebhom.einstein.br/CME/Imagens/nada.gif">
          <a:extLst>
            <a:ext uri="{FF2B5EF4-FFF2-40B4-BE49-F238E27FC236}">
              <a16:creationId xmlns:a16="http://schemas.microsoft.com/office/drawing/2014/main" id="{230E4F26-BFD2-4194-AC5D-2FFBA8554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74" name="Imagem 773" descr="http://sistemaswebhom.einstein.br/CME/Imagens/nada.gif">
          <a:extLst>
            <a:ext uri="{FF2B5EF4-FFF2-40B4-BE49-F238E27FC236}">
              <a16:creationId xmlns:a16="http://schemas.microsoft.com/office/drawing/2014/main" id="{78A06284-2979-4DBF-810A-6F0185D8C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75" name="Imagem 774" descr="http://sistemaswebhom.einstein.br/CME/Imagens/nada.gif">
          <a:extLst>
            <a:ext uri="{FF2B5EF4-FFF2-40B4-BE49-F238E27FC236}">
              <a16:creationId xmlns:a16="http://schemas.microsoft.com/office/drawing/2014/main" id="{32A4C97A-B5EC-4B4F-9BB7-E7391ABB7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76" name="Imagem 775" descr="http://sistemaswebhom.einstein.br/CME/Imagens/nada.gif">
          <a:extLst>
            <a:ext uri="{FF2B5EF4-FFF2-40B4-BE49-F238E27FC236}">
              <a16:creationId xmlns:a16="http://schemas.microsoft.com/office/drawing/2014/main" id="{213C78D2-0169-4742-BA19-4719B5A8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77" name="Imagem 776" descr="http://sistemaswebhom.einstein.br/CME/Imagens/nada.gif">
          <a:extLst>
            <a:ext uri="{FF2B5EF4-FFF2-40B4-BE49-F238E27FC236}">
              <a16:creationId xmlns:a16="http://schemas.microsoft.com/office/drawing/2014/main" id="{BE1D42B2-8F97-47D4-8222-C98C6B690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78" name="Imagem 777" descr="http://sistemaswebhom.einstein.br/CME/Imagens/nada.gif">
          <a:extLst>
            <a:ext uri="{FF2B5EF4-FFF2-40B4-BE49-F238E27FC236}">
              <a16:creationId xmlns:a16="http://schemas.microsoft.com/office/drawing/2014/main" id="{83E76A2B-2CB6-4A35-9D1C-5CB36435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79" name="Imagem 778" descr="http://sistemaswebhom.einstein.br/CME/Imagens/nada.gif">
          <a:extLst>
            <a:ext uri="{FF2B5EF4-FFF2-40B4-BE49-F238E27FC236}">
              <a16:creationId xmlns:a16="http://schemas.microsoft.com/office/drawing/2014/main" id="{4EEE01DD-43D3-426E-8BDD-110D7E1BC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25400</xdr:rowOff>
    </xdr:from>
    <xdr:ext cx="9525" cy="0"/>
    <xdr:pic>
      <xdr:nvPicPr>
        <xdr:cNvPr id="780" name="Imagem 779" descr="http://sistemaswebhom.einstein.br/CME/Imagens/nada.gif">
          <a:extLst>
            <a:ext uri="{FF2B5EF4-FFF2-40B4-BE49-F238E27FC236}">
              <a16:creationId xmlns:a16="http://schemas.microsoft.com/office/drawing/2014/main" id="{21B53CA8-DD6F-4ED4-B9A7-8CA580A39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81" name="Imagem 780" descr="http://sistemaswebhom.einstein.br/CME/Imagens/nada.gif">
          <a:extLst>
            <a:ext uri="{FF2B5EF4-FFF2-40B4-BE49-F238E27FC236}">
              <a16:creationId xmlns:a16="http://schemas.microsoft.com/office/drawing/2014/main" id="{2EA8BDE8-2C4B-4185-BBDC-40AFEC9A5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82" name="Imagem 781" descr="http://sistemaswebhom.einstein.br/CME/Imagens/nada.gif">
          <a:extLst>
            <a:ext uri="{FF2B5EF4-FFF2-40B4-BE49-F238E27FC236}">
              <a16:creationId xmlns:a16="http://schemas.microsoft.com/office/drawing/2014/main" id="{31306C48-2EFD-42D1-BBC6-DE297992C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25400</xdr:rowOff>
    </xdr:from>
    <xdr:ext cx="9525" cy="0"/>
    <xdr:pic>
      <xdr:nvPicPr>
        <xdr:cNvPr id="783" name="Imagem 782" descr="http://sistemaswebhom.einstein.br/CME/Imagens/nada.gif">
          <a:extLst>
            <a:ext uri="{FF2B5EF4-FFF2-40B4-BE49-F238E27FC236}">
              <a16:creationId xmlns:a16="http://schemas.microsoft.com/office/drawing/2014/main" id="{3C6C0D96-B39D-4362-BD24-F0F4AF1D4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84" name="Imagem 783" descr="http://sistemaswebhom.einstein.br/CME/Imagens/nada.gif">
          <a:extLst>
            <a:ext uri="{FF2B5EF4-FFF2-40B4-BE49-F238E27FC236}">
              <a16:creationId xmlns:a16="http://schemas.microsoft.com/office/drawing/2014/main" id="{E0D989EB-6159-4D6E-9216-904424C8D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25400</xdr:rowOff>
    </xdr:from>
    <xdr:ext cx="9525" cy="0"/>
    <xdr:pic>
      <xdr:nvPicPr>
        <xdr:cNvPr id="785" name="Imagem 784" descr="http://sistemaswebhom.einstein.br/CME/Imagens/nada.gif">
          <a:extLst>
            <a:ext uri="{FF2B5EF4-FFF2-40B4-BE49-F238E27FC236}">
              <a16:creationId xmlns:a16="http://schemas.microsoft.com/office/drawing/2014/main" id="{564B92C5-F8BB-4277-A7A5-BACF56D38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47</xdr:row>
      <xdr:rowOff>4379023</xdr:rowOff>
    </xdr:from>
    <xdr:ext cx="9525" cy="96520"/>
    <xdr:sp macro="" textlink="">
      <xdr:nvSpPr>
        <xdr:cNvPr id="786" name="Shape 18">
          <a:extLst>
            <a:ext uri="{FF2B5EF4-FFF2-40B4-BE49-F238E27FC236}">
              <a16:creationId xmlns:a16="http://schemas.microsoft.com/office/drawing/2014/main" id="{27925DFB-3302-4044-8082-DEC2D53988A6}"/>
            </a:ext>
          </a:extLst>
        </xdr:cNvPr>
        <xdr:cNvSpPr/>
      </xdr:nvSpPr>
      <xdr:spPr>
        <a:xfrm>
          <a:off x="1381125" y="1508512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47</xdr:row>
      <xdr:rowOff>4379023</xdr:rowOff>
    </xdr:from>
    <xdr:ext cx="9525" cy="96520"/>
    <xdr:sp macro="" textlink="">
      <xdr:nvSpPr>
        <xdr:cNvPr id="787" name="Shape 18">
          <a:extLst>
            <a:ext uri="{FF2B5EF4-FFF2-40B4-BE49-F238E27FC236}">
              <a16:creationId xmlns:a16="http://schemas.microsoft.com/office/drawing/2014/main" id="{43A0A051-F8F3-485B-89C9-9B4F93B7F0C3}"/>
            </a:ext>
          </a:extLst>
        </xdr:cNvPr>
        <xdr:cNvSpPr/>
      </xdr:nvSpPr>
      <xdr:spPr>
        <a:xfrm>
          <a:off x="1381125" y="1508512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47</xdr:row>
      <xdr:rowOff>4379023</xdr:rowOff>
    </xdr:from>
    <xdr:ext cx="9525" cy="96520"/>
    <xdr:sp macro="" textlink="">
      <xdr:nvSpPr>
        <xdr:cNvPr id="788" name="Shape 18">
          <a:extLst>
            <a:ext uri="{FF2B5EF4-FFF2-40B4-BE49-F238E27FC236}">
              <a16:creationId xmlns:a16="http://schemas.microsoft.com/office/drawing/2014/main" id="{282ACFA1-587D-44B6-81DB-E611D0864852}"/>
            </a:ext>
          </a:extLst>
        </xdr:cNvPr>
        <xdr:cNvSpPr/>
      </xdr:nvSpPr>
      <xdr:spPr>
        <a:xfrm>
          <a:off x="1381125" y="1508512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89" name="Imagem 788" descr="http://sistemaswebhom.einstein.br/CME/Imagens/nada.gif">
          <a:extLst>
            <a:ext uri="{FF2B5EF4-FFF2-40B4-BE49-F238E27FC236}">
              <a16:creationId xmlns:a16="http://schemas.microsoft.com/office/drawing/2014/main" id="{8991CB74-7BAF-4AFB-A14D-C5B4F704F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0" name="Imagem 789" descr="http://sistemaswebhom.einstein.br/CME/Imagens/nada.gif">
          <a:extLst>
            <a:ext uri="{FF2B5EF4-FFF2-40B4-BE49-F238E27FC236}">
              <a16:creationId xmlns:a16="http://schemas.microsoft.com/office/drawing/2014/main" id="{DC188BC5-372E-42B3-88B0-87A64901B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1" name="Imagem 790" descr="http://sistemaswebhom.einstein.br/CME/Imagens/nada.gif">
          <a:extLst>
            <a:ext uri="{FF2B5EF4-FFF2-40B4-BE49-F238E27FC236}">
              <a16:creationId xmlns:a16="http://schemas.microsoft.com/office/drawing/2014/main" id="{18C90179-449A-4326-A202-D3F0FEFB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2" name="Imagem 791" descr="http://sistemaswebhom.einstein.br/CME/Imagens/nada.gif">
          <a:extLst>
            <a:ext uri="{FF2B5EF4-FFF2-40B4-BE49-F238E27FC236}">
              <a16:creationId xmlns:a16="http://schemas.microsoft.com/office/drawing/2014/main" id="{CF0FB3B5-1FD4-4620-A6AB-9D47DDDCE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3" name="Imagem 792" descr="http://sistemaswebhom.einstein.br/CME/Imagens/nada.gif">
          <a:extLst>
            <a:ext uri="{FF2B5EF4-FFF2-40B4-BE49-F238E27FC236}">
              <a16:creationId xmlns:a16="http://schemas.microsoft.com/office/drawing/2014/main" id="{0967C7EA-0A69-4786-BC30-5F1743CAA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4" name="Imagem 793" descr="http://sistemaswebhom.einstein.br/CME/Imagens/nada.gif">
          <a:extLst>
            <a:ext uri="{FF2B5EF4-FFF2-40B4-BE49-F238E27FC236}">
              <a16:creationId xmlns:a16="http://schemas.microsoft.com/office/drawing/2014/main" id="{FEC111C1-E527-43E9-91D2-111A87C99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5" name="Imagem 794" descr="http://sistemaswebhom.einstein.br/CME/Imagens/nada.gif">
          <a:extLst>
            <a:ext uri="{FF2B5EF4-FFF2-40B4-BE49-F238E27FC236}">
              <a16:creationId xmlns:a16="http://schemas.microsoft.com/office/drawing/2014/main" id="{02D4E0E3-8AF5-46F0-AFC6-7E87C414E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6" name="Imagem 795" descr="http://sistemaswebhom.einstein.br/CME/Imagens/nada.gif">
          <a:extLst>
            <a:ext uri="{FF2B5EF4-FFF2-40B4-BE49-F238E27FC236}">
              <a16:creationId xmlns:a16="http://schemas.microsoft.com/office/drawing/2014/main" id="{5C72BE5C-1197-4C89-ADCA-D533386A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7" name="Imagem 796" descr="http://sistemaswebhom.einstein.br/CME/Imagens/nada.gif">
          <a:extLst>
            <a:ext uri="{FF2B5EF4-FFF2-40B4-BE49-F238E27FC236}">
              <a16:creationId xmlns:a16="http://schemas.microsoft.com/office/drawing/2014/main" id="{667F7419-96B7-4536-B9C6-AFB46EE24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8" name="Imagem 797" descr="http://sistemaswebhom.einstein.br/CME/Imagens/nada.gif">
          <a:extLst>
            <a:ext uri="{FF2B5EF4-FFF2-40B4-BE49-F238E27FC236}">
              <a16:creationId xmlns:a16="http://schemas.microsoft.com/office/drawing/2014/main" id="{71D12920-181E-4EFD-AE58-037DF2968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799" name="Imagem 798" descr="http://sistemaswebhom.einstein.br/CME/Imagens/nada.gif">
          <a:extLst>
            <a:ext uri="{FF2B5EF4-FFF2-40B4-BE49-F238E27FC236}">
              <a16:creationId xmlns:a16="http://schemas.microsoft.com/office/drawing/2014/main" id="{B9BAA3DC-C328-43C7-A224-22D846221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0" name="Imagem 799" descr="http://sistemaswebhom.einstein.br/CME/Imagens/nada.gif">
          <a:extLst>
            <a:ext uri="{FF2B5EF4-FFF2-40B4-BE49-F238E27FC236}">
              <a16:creationId xmlns:a16="http://schemas.microsoft.com/office/drawing/2014/main" id="{925291D1-51FC-40FB-95B2-C760370F5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1" name="Imagem 800" descr="http://sistemaswebhom.einstein.br/CME/Imagens/nada.gif">
          <a:extLst>
            <a:ext uri="{FF2B5EF4-FFF2-40B4-BE49-F238E27FC236}">
              <a16:creationId xmlns:a16="http://schemas.microsoft.com/office/drawing/2014/main" id="{3741016F-329F-4682-8F4B-AA9D34CAD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2" name="Imagem 801" descr="http://sistemaswebhom.einstein.br/CME/Imagens/nada.gif">
          <a:extLst>
            <a:ext uri="{FF2B5EF4-FFF2-40B4-BE49-F238E27FC236}">
              <a16:creationId xmlns:a16="http://schemas.microsoft.com/office/drawing/2014/main" id="{BF4E9EEF-24E8-45E7-B530-BB72F09BA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3" name="Imagem 802" descr="http://sistemaswebhom.einstein.br/CME/Imagens/nada.gif">
          <a:extLst>
            <a:ext uri="{FF2B5EF4-FFF2-40B4-BE49-F238E27FC236}">
              <a16:creationId xmlns:a16="http://schemas.microsoft.com/office/drawing/2014/main" id="{9F30FE25-4B4A-4FB1-B6F8-92C73A5D8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4" name="Imagem 803" descr="http://sistemaswebhom.einstein.br/CME/Imagens/nada.gif">
          <a:extLst>
            <a:ext uri="{FF2B5EF4-FFF2-40B4-BE49-F238E27FC236}">
              <a16:creationId xmlns:a16="http://schemas.microsoft.com/office/drawing/2014/main" id="{70484220-0536-4EFD-A08C-3889C3EDF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5" name="Imagem 804" descr="http://sistemaswebhom.einstein.br/CME/Imagens/nada.gif">
          <a:extLst>
            <a:ext uri="{FF2B5EF4-FFF2-40B4-BE49-F238E27FC236}">
              <a16:creationId xmlns:a16="http://schemas.microsoft.com/office/drawing/2014/main" id="{14E38134-F886-4EB0-8666-BB49A3D4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6" name="Imagem 805" descr="http://sistemaswebhom.einstein.br/CME/Imagens/nada.gif">
          <a:extLst>
            <a:ext uri="{FF2B5EF4-FFF2-40B4-BE49-F238E27FC236}">
              <a16:creationId xmlns:a16="http://schemas.microsoft.com/office/drawing/2014/main" id="{40D84B2C-A717-47CB-9FFB-CFC3E3784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7" name="Imagem 806" descr="http://sistemaswebhom.einstein.br/CME/Imagens/nada.gif">
          <a:extLst>
            <a:ext uri="{FF2B5EF4-FFF2-40B4-BE49-F238E27FC236}">
              <a16:creationId xmlns:a16="http://schemas.microsoft.com/office/drawing/2014/main" id="{A1F7E685-E478-4006-8AB1-5D8290CC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8" name="Imagem 807" descr="http://sistemaswebhom.einstein.br/CME/Imagens/nada.gif">
          <a:extLst>
            <a:ext uri="{FF2B5EF4-FFF2-40B4-BE49-F238E27FC236}">
              <a16:creationId xmlns:a16="http://schemas.microsoft.com/office/drawing/2014/main" id="{08F992CB-CD46-4775-B406-B8857AA57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09" name="Imagem 808" descr="http://sistemaswebhom.einstein.br/CME/Imagens/nada.gif">
          <a:extLst>
            <a:ext uri="{FF2B5EF4-FFF2-40B4-BE49-F238E27FC236}">
              <a16:creationId xmlns:a16="http://schemas.microsoft.com/office/drawing/2014/main" id="{3BC268ED-BECE-410A-8197-FC7DFABDC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0" name="Imagem 809" descr="http://sistemaswebhom.einstein.br/CME/Imagens/nada.gif">
          <a:extLst>
            <a:ext uri="{FF2B5EF4-FFF2-40B4-BE49-F238E27FC236}">
              <a16:creationId xmlns:a16="http://schemas.microsoft.com/office/drawing/2014/main" id="{99E85E64-8D17-4794-8272-13E629B28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1" name="Imagem 810" descr="http://sistemaswebhom.einstein.br/CME/Imagens/nada.gif">
          <a:extLst>
            <a:ext uri="{FF2B5EF4-FFF2-40B4-BE49-F238E27FC236}">
              <a16:creationId xmlns:a16="http://schemas.microsoft.com/office/drawing/2014/main" id="{1FFA77C4-0F20-47B6-AA4B-E2FE826F1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2" name="Imagem 811" descr="http://sistemaswebhom.einstein.br/CME/Imagens/nada.gif">
          <a:extLst>
            <a:ext uri="{FF2B5EF4-FFF2-40B4-BE49-F238E27FC236}">
              <a16:creationId xmlns:a16="http://schemas.microsoft.com/office/drawing/2014/main" id="{E66C46E5-E244-4966-9282-D902D3916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3" name="Imagem 812" descr="http://sistemaswebhom.einstein.br/CME/Imagens/nada.gif">
          <a:extLst>
            <a:ext uri="{FF2B5EF4-FFF2-40B4-BE49-F238E27FC236}">
              <a16:creationId xmlns:a16="http://schemas.microsoft.com/office/drawing/2014/main" id="{05562B7F-E975-46FA-8414-63739C135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4" name="Imagem 813" descr="http://sistemaswebhom.einstein.br/CME/Imagens/nada.gif">
          <a:extLst>
            <a:ext uri="{FF2B5EF4-FFF2-40B4-BE49-F238E27FC236}">
              <a16:creationId xmlns:a16="http://schemas.microsoft.com/office/drawing/2014/main" id="{5BEA811C-F5EA-453B-A1CB-9EAB28BFB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5" name="Imagem 814" descr="http://sistemaswebhom.einstein.br/CME/Imagens/nada.gif">
          <a:extLst>
            <a:ext uri="{FF2B5EF4-FFF2-40B4-BE49-F238E27FC236}">
              <a16:creationId xmlns:a16="http://schemas.microsoft.com/office/drawing/2014/main" id="{A572F1AD-4C17-491E-BEBC-E984A21F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6" name="Imagem 815" descr="http://sistemaswebhom.einstein.br/CME/Imagens/nada.gif">
          <a:extLst>
            <a:ext uri="{FF2B5EF4-FFF2-40B4-BE49-F238E27FC236}">
              <a16:creationId xmlns:a16="http://schemas.microsoft.com/office/drawing/2014/main" id="{4AFB6218-9EEC-4110-9908-CE3894D6A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7" name="Imagem 816" descr="http://sistemaswebhom.einstein.br/CME/Imagens/nada.gif">
          <a:extLst>
            <a:ext uri="{FF2B5EF4-FFF2-40B4-BE49-F238E27FC236}">
              <a16:creationId xmlns:a16="http://schemas.microsoft.com/office/drawing/2014/main" id="{DD4552F7-3E99-475C-A70E-32DBADB20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8" name="Imagem 817" descr="http://sistemaswebhom.einstein.br/CME/Imagens/nada.gif">
          <a:extLst>
            <a:ext uri="{FF2B5EF4-FFF2-40B4-BE49-F238E27FC236}">
              <a16:creationId xmlns:a16="http://schemas.microsoft.com/office/drawing/2014/main" id="{80CF9902-1E8E-4E7F-BAA3-081B64C8F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19" name="Imagem 818" descr="http://sistemaswebhom.einstein.br/CME/Imagens/nada.gif">
          <a:extLst>
            <a:ext uri="{FF2B5EF4-FFF2-40B4-BE49-F238E27FC236}">
              <a16:creationId xmlns:a16="http://schemas.microsoft.com/office/drawing/2014/main" id="{D886F6B6-FDCD-4BFE-B8AF-A81281A0B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0" name="Imagem 819" descr="http://sistemaswebhom.einstein.br/CME/Imagens/nada.gif">
          <a:extLst>
            <a:ext uri="{FF2B5EF4-FFF2-40B4-BE49-F238E27FC236}">
              <a16:creationId xmlns:a16="http://schemas.microsoft.com/office/drawing/2014/main" id="{8237BF0F-ECA5-4BDB-9F5A-0933E06F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1" name="Imagem 820" descr="http://sistemaswebhom.einstein.br/CME/Imagens/nada.gif">
          <a:extLst>
            <a:ext uri="{FF2B5EF4-FFF2-40B4-BE49-F238E27FC236}">
              <a16:creationId xmlns:a16="http://schemas.microsoft.com/office/drawing/2014/main" id="{29CAA244-BC0D-43CA-93FC-8AA4CA325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2" name="Imagem 821" descr="http://sistemaswebhom.einstein.br/CME/Imagens/nada.gif">
          <a:extLst>
            <a:ext uri="{FF2B5EF4-FFF2-40B4-BE49-F238E27FC236}">
              <a16:creationId xmlns:a16="http://schemas.microsoft.com/office/drawing/2014/main" id="{0FE27A90-3F9F-450D-99E8-1D5BAB6BE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3" name="Imagem 822" descr="http://sistemaswebhom.einstein.br/CME/Imagens/nada.gif">
          <a:extLst>
            <a:ext uri="{FF2B5EF4-FFF2-40B4-BE49-F238E27FC236}">
              <a16:creationId xmlns:a16="http://schemas.microsoft.com/office/drawing/2014/main" id="{7F4DBFD1-ABC4-47B2-BB9D-BF732DA4A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4" name="Imagem 823" descr="http://sistemaswebhom.einstein.br/CME/Imagens/nada.gif">
          <a:extLst>
            <a:ext uri="{FF2B5EF4-FFF2-40B4-BE49-F238E27FC236}">
              <a16:creationId xmlns:a16="http://schemas.microsoft.com/office/drawing/2014/main" id="{34D258AD-76CB-4767-AB37-0D20A9555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5" name="Imagem 824" descr="http://sistemaswebhom.einstein.br/CME/Imagens/nada.gif">
          <a:extLst>
            <a:ext uri="{FF2B5EF4-FFF2-40B4-BE49-F238E27FC236}">
              <a16:creationId xmlns:a16="http://schemas.microsoft.com/office/drawing/2014/main" id="{4C9EAF3A-4119-47C3-9079-C7D18C7FB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6" name="Imagem 825" descr="http://sistemaswebhom.einstein.br/CME/Imagens/nada.gif">
          <a:extLst>
            <a:ext uri="{FF2B5EF4-FFF2-40B4-BE49-F238E27FC236}">
              <a16:creationId xmlns:a16="http://schemas.microsoft.com/office/drawing/2014/main" id="{08506938-B4E0-411D-808B-1BD343845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7" name="Imagem 826" descr="http://sistemaswebhom.einstein.br/CME/Imagens/nada.gif">
          <a:extLst>
            <a:ext uri="{FF2B5EF4-FFF2-40B4-BE49-F238E27FC236}">
              <a16:creationId xmlns:a16="http://schemas.microsoft.com/office/drawing/2014/main" id="{E3726060-1839-49A9-BED2-4AB7F3D47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8" name="Imagem 827" descr="http://sistemaswebhom.einstein.br/CME/Imagens/nada.gif">
          <a:extLst>
            <a:ext uri="{FF2B5EF4-FFF2-40B4-BE49-F238E27FC236}">
              <a16:creationId xmlns:a16="http://schemas.microsoft.com/office/drawing/2014/main" id="{E9AB89C1-BBD1-48F7-954E-2DC8F279C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29" name="Imagem 828" descr="http://sistemaswebhom.einstein.br/CME/Imagens/nada.gif">
          <a:extLst>
            <a:ext uri="{FF2B5EF4-FFF2-40B4-BE49-F238E27FC236}">
              <a16:creationId xmlns:a16="http://schemas.microsoft.com/office/drawing/2014/main" id="{A22AD8A1-7949-443E-B6F3-84452FAB3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0" name="Imagem 829" descr="http://sistemaswebhom.einstein.br/CME/Imagens/nada.gif">
          <a:extLst>
            <a:ext uri="{FF2B5EF4-FFF2-40B4-BE49-F238E27FC236}">
              <a16:creationId xmlns:a16="http://schemas.microsoft.com/office/drawing/2014/main" id="{CF0F5326-EE34-4C7D-9EB2-B4ABE943A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1" name="Imagem 830" descr="http://sistemaswebhom.einstein.br/CME/Imagens/nada.gif">
          <a:extLst>
            <a:ext uri="{FF2B5EF4-FFF2-40B4-BE49-F238E27FC236}">
              <a16:creationId xmlns:a16="http://schemas.microsoft.com/office/drawing/2014/main" id="{539B50DA-2F11-42F0-A055-C58F060EA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2" name="Imagem 831" descr="http://sistemaswebhom.einstein.br/CME/Imagens/nada.gif">
          <a:extLst>
            <a:ext uri="{FF2B5EF4-FFF2-40B4-BE49-F238E27FC236}">
              <a16:creationId xmlns:a16="http://schemas.microsoft.com/office/drawing/2014/main" id="{EC81C5CD-24BC-4917-A824-27E265D71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3" name="Imagem 832" descr="http://sistemaswebhom.einstein.br/CME/Imagens/nada.gif">
          <a:extLst>
            <a:ext uri="{FF2B5EF4-FFF2-40B4-BE49-F238E27FC236}">
              <a16:creationId xmlns:a16="http://schemas.microsoft.com/office/drawing/2014/main" id="{3751EEF8-3DCD-4354-AF21-D32E8B42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4" name="Imagem 833" descr="http://sistemaswebhom.einstein.br/CME/Imagens/nada.gif">
          <a:extLst>
            <a:ext uri="{FF2B5EF4-FFF2-40B4-BE49-F238E27FC236}">
              <a16:creationId xmlns:a16="http://schemas.microsoft.com/office/drawing/2014/main" id="{B87ACA8B-5598-4D52-BB6D-99B93BBCB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5" name="Imagem 834" descr="http://sistemaswebhom.einstein.br/CME/Imagens/nada.gif">
          <a:extLst>
            <a:ext uri="{FF2B5EF4-FFF2-40B4-BE49-F238E27FC236}">
              <a16:creationId xmlns:a16="http://schemas.microsoft.com/office/drawing/2014/main" id="{3166F525-10AD-4E78-8D47-D514DA13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6" name="Imagem 835" descr="http://sistemaswebhom.einstein.br/CME/Imagens/nada.gif">
          <a:extLst>
            <a:ext uri="{FF2B5EF4-FFF2-40B4-BE49-F238E27FC236}">
              <a16:creationId xmlns:a16="http://schemas.microsoft.com/office/drawing/2014/main" id="{8412456B-AD71-4E86-B34A-D4D9C7DA8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7" name="Imagem 836" descr="http://sistemaswebhom.einstein.br/CME/Imagens/nada.gif">
          <a:extLst>
            <a:ext uri="{FF2B5EF4-FFF2-40B4-BE49-F238E27FC236}">
              <a16:creationId xmlns:a16="http://schemas.microsoft.com/office/drawing/2014/main" id="{CF06552D-2E65-4A22-858B-033DA2B40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8" name="Imagem 837" descr="http://sistemaswebhom.einstein.br/CME/Imagens/nada.gif">
          <a:extLst>
            <a:ext uri="{FF2B5EF4-FFF2-40B4-BE49-F238E27FC236}">
              <a16:creationId xmlns:a16="http://schemas.microsoft.com/office/drawing/2014/main" id="{BB381464-C56E-43FE-BE4D-766B06C81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39" name="Imagem 838" descr="http://sistemaswebhom.einstein.br/CME/Imagens/nada.gif">
          <a:extLst>
            <a:ext uri="{FF2B5EF4-FFF2-40B4-BE49-F238E27FC236}">
              <a16:creationId xmlns:a16="http://schemas.microsoft.com/office/drawing/2014/main" id="{07157AD7-0A51-4815-9900-87DE449E2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0" name="Imagem 839" descr="http://sistemaswebhom.einstein.br/CME/Imagens/nada.gif">
          <a:extLst>
            <a:ext uri="{FF2B5EF4-FFF2-40B4-BE49-F238E27FC236}">
              <a16:creationId xmlns:a16="http://schemas.microsoft.com/office/drawing/2014/main" id="{6A46230B-E707-49DB-A651-7C0DBB41B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1" name="Imagem 840" descr="http://sistemaswebhom.einstein.br/CME/Imagens/nada.gif">
          <a:extLst>
            <a:ext uri="{FF2B5EF4-FFF2-40B4-BE49-F238E27FC236}">
              <a16:creationId xmlns:a16="http://schemas.microsoft.com/office/drawing/2014/main" id="{AE8D09A8-935B-4A03-AF68-0579ECF43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2" name="Imagem 841" descr="http://sistemaswebhom.einstein.br/CME/Imagens/nada.gif">
          <a:extLst>
            <a:ext uri="{FF2B5EF4-FFF2-40B4-BE49-F238E27FC236}">
              <a16:creationId xmlns:a16="http://schemas.microsoft.com/office/drawing/2014/main" id="{99FF213C-FBA6-467E-BD6C-D6B34D577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3" name="Imagem 842" descr="http://sistemaswebhom.einstein.br/CME/Imagens/nada.gif">
          <a:extLst>
            <a:ext uri="{FF2B5EF4-FFF2-40B4-BE49-F238E27FC236}">
              <a16:creationId xmlns:a16="http://schemas.microsoft.com/office/drawing/2014/main" id="{C8763BDF-EA8A-4400-A594-48A11B986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4" name="Imagem 843" descr="http://sistemaswebhom.einstein.br/CME/Imagens/nada.gif">
          <a:extLst>
            <a:ext uri="{FF2B5EF4-FFF2-40B4-BE49-F238E27FC236}">
              <a16:creationId xmlns:a16="http://schemas.microsoft.com/office/drawing/2014/main" id="{0D96D00C-F032-433A-95E8-920566FB0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5" name="Imagem 844" descr="http://sistemaswebhom.einstein.br/CME/Imagens/nada.gif">
          <a:extLst>
            <a:ext uri="{FF2B5EF4-FFF2-40B4-BE49-F238E27FC236}">
              <a16:creationId xmlns:a16="http://schemas.microsoft.com/office/drawing/2014/main" id="{32F09B48-AFFD-4559-BA54-3A07C5B4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6" name="Imagem 845" descr="http://sistemaswebhom.einstein.br/CME/Imagens/nada.gif">
          <a:extLst>
            <a:ext uri="{FF2B5EF4-FFF2-40B4-BE49-F238E27FC236}">
              <a16:creationId xmlns:a16="http://schemas.microsoft.com/office/drawing/2014/main" id="{D3F51D05-2F6C-441A-A47D-658AF75E6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7" name="Imagem 846" descr="http://sistemaswebhom.einstein.br/CME/Imagens/nada.gif">
          <a:extLst>
            <a:ext uri="{FF2B5EF4-FFF2-40B4-BE49-F238E27FC236}">
              <a16:creationId xmlns:a16="http://schemas.microsoft.com/office/drawing/2014/main" id="{EE17CBA5-9426-45C0-B16A-221CEAAB2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8" name="Imagem 847" descr="http://sistemaswebhom.einstein.br/CME/Imagens/nada.gif">
          <a:extLst>
            <a:ext uri="{FF2B5EF4-FFF2-40B4-BE49-F238E27FC236}">
              <a16:creationId xmlns:a16="http://schemas.microsoft.com/office/drawing/2014/main" id="{0E786995-21BE-42AA-BAF2-0F2701D8F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49" name="Imagem 848" descr="http://sistemaswebhom.einstein.br/CME/Imagens/nada.gif">
          <a:extLst>
            <a:ext uri="{FF2B5EF4-FFF2-40B4-BE49-F238E27FC236}">
              <a16:creationId xmlns:a16="http://schemas.microsoft.com/office/drawing/2014/main" id="{42EEE6E0-930C-4581-AFA9-70CC2B9ED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0" name="Imagem 849" descr="http://sistemaswebhom.einstein.br/CME/Imagens/nada.gif">
          <a:extLst>
            <a:ext uri="{FF2B5EF4-FFF2-40B4-BE49-F238E27FC236}">
              <a16:creationId xmlns:a16="http://schemas.microsoft.com/office/drawing/2014/main" id="{0AAA45B9-D089-41E9-9D63-C378C5261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1" name="Imagem 850" descr="http://sistemaswebhom.einstein.br/CME/Imagens/nada.gif">
          <a:extLst>
            <a:ext uri="{FF2B5EF4-FFF2-40B4-BE49-F238E27FC236}">
              <a16:creationId xmlns:a16="http://schemas.microsoft.com/office/drawing/2014/main" id="{71E3B467-F705-4D16-B195-BD777EB46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2" name="Imagem 851" descr="http://sistemaswebhom.einstein.br/CME/Imagens/nada.gif">
          <a:extLst>
            <a:ext uri="{FF2B5EF4-FFF2-40B4-BE49-F238E27FC236}">
              <a16:creationId xmlns:a16="http://schemas.microsoft.com/office/drawing/2014/main" id="{095E2178-414A-48D0-98A7-6C1A1E47D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3" name="Imagem 852" descr="http://sistemaswebhom.einstein.br/CME/Imagens/nada.gif">
          <a:extLst>
            <a:ext uri="{FF2B5EF4-FFF2-40B4-BE49-F238E27FC236}">
              <a16:creationId xmlns:a16="http://schemas.microsoft.com/office/drawing/2014/main" id="{9342FC35-2E94-4E2F-B53B-A240BC6E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4" name="Imagem 853" descr="http://sistemaswebhom.einstein.br/CME/Imagens/nada.gif">
          <a:extLst>
            <a:ext uri="{FF2B5EF4-FFF2-40B4-BE49-F238E27FC236}">
              <a16:creationId xmlns:a16="http://schemas.microsoft.com/office/drawing/2014/main" id="{B2FA3546-7CD0-457C-AEDD-604B063E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5" name="Imagem 854" descr="http://sistemaswebhom.einstein.br/CME/Imagens/nada.gif">
          <a:extLst>
            <a:ext uri="{FF2B5EF4-FFF2-40B4-BE49-F238E27FC236}">
              <a16:creationId xmlns:a16="http://schemas.microsoft.com/office/drawing/2014/main" id="{2C08FBA9-A69C-4B18-8399-37EFB3F3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6" name="Imagem 855" descr="http://sistemaswebhom.einstein.br/CME/Imagens/nada.gif">
          <a:extLst>
            <a:ext uri="{FF2B5EF4-FFF2-40B4-BE49-F238E27FC236}">
              <a16:creationId xmlns:a16="http://schemas.microsoft.com/office/drawing/2014/main" id="{C6815268-6330-41A6-9910-970CBBA7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7" name="Imagem 856" descr="http://sistemaswebhom.einstein.br/CME/Imagens/nada.gif">
          <a:extLst>
            <a:ext uri="{FF2B5EF4-FFF2-40B4-BE49-F238E27FC236}">
              <a16:creationId xmlns:a16="http://schemas.microsoft.com/office/drawing/2014/main" id="{C46E742E-711E-4EC8-8DE3-B14A25A8E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8" name="Imagem 857" descr="http://sistemaswebhom.einstein.br/CME/Imagens/nada.gif">
          <a:extLst>
            <a:ext uri="{FF2B5EF4-FFF2-40B4-BE49-F238E27FC236}">
              <a16:creationId xmlns:a16="http://schemas.microsoft.com/office/drawing/2014/main" id="{DF3061DF-9E96-4854-A64C-672EE9A8D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59" name="Imagem 858" descr="http://sistemaswebhom.einstein.br/CME/Imagens/nada.gif">
          <a:extLst>
            <a:ext uri="{FF2B5EF4-FFF2-40B4-BE49-F238E27FC236}">
              <a16:creationId xmlns:a16="http://schemas.microsoft.com/office/drawing/2014/main" id="{68978076-5581-4E4D-ADBA-7926DA4A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0" name="Imagem 859" descr="http://sistemaswebhom.einstein.br/CME/Imagens/nada.gif">
          <a:extLst>
            <a:ext uri="{FF2B5EF4-FFF2-40B4-BE49-F238E27FC236}">
              <a16:creationId xmlns:a16="http://schemas.microsoft.com/office/drawing/2014/main" id="{82EECA63-F304-41E4-BC0B-3DC1FC556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1" name="Imagem 860" descr="http://sistemaswebhom.einstein.br/CME/Imagens/nada.gif">
          <a:extLst>
            <a:ext uri="{FF2B5EF4-FFF2-40B4-BE49-F238E27FC236}">
              <a16:creationId xmlns:a16="http://schemas.microsoft.com/office/drawing/2014/main" id="{2B273DDB-B5F5-4F44-AC31-907A53B08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2" name="Imagem 861" descr="http://sistemaswebhom.einstein.br/CME/Imagens/nada.gif">
          <a:extLst>
            <a:ext uri="{FF2B5EF4-FFF2-40B4-BE49-F238E27FC236}">
              <a16:creationId xmlns:a16="http://schemas.microsoft.com/office/drawing/2014/main" id="{653F1809-60A4-44E5-88EE-2CAA573DF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3" name="Imagem 862" descr="http://sistemaswebhom.einstein.br/CME/Imagens/nada.gif">
          <a:extLst>
            <a:ext uri="{FF2B5EF4-FFF2-40B4-BE49-F238E27FC236}">
              <a16:creationId xmlns:a16="http://schemas.microsoft.com/office/drawing/2014/main" id="{C45C116C-699D-4B14-A443-C360E150E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4" name="Imagem 863" descr="http://sistemaswebhom.einstein.br/CME/Imagens/nada.gif">
          <a:extLst>
            <a:ext uri="{FF2B5EF4-FFF2-40B4-BE49-F238E27FC236}">
              <a16:creationId xmlns:a16="http://schemas.microsoft.com/office/drawing/2014/main" id="{372701E4-98ED-4FB8-AEF3-3D508A0A4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5" name="Imagem 864" descr="http://sistemaswebhom.einstein.br/CME/Imagens/nada.gif">
          <a:extLst>
            <a:ext uri="{FF2B5EF4-FFF2-40B4-BE49-F238E27FC236}">
              <a16:creationId xmlns:a16="http://schemas.microsoft.com/office/drawing/2014/main" id="{EFE93F4E-31BC-4089-B177-9EAB46A9C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6" name="Imagem 865" descr="http://sistemaswebhom.einstein.br/CME/Imagens/nada.gif">
          <a:extLst>
            <a:ext uri="{FF2B5EF4-FFF2-40B4-BE49-F238E27FC236}">
              <a16:creationId xmlns:a16="http://schemas.microsoft.com/office/drawing/2014/main" id="{3D0A5378-7474-4194-9928-583441469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7" name="Imagem 866" descr="http://sistemaswebhom.einstein.br/CME/Imagens/nada.gif">
          <a:extLst>
            <a:ext uri="{FF2B5EF4-FFF2-40B4-BE49-F238E27FC236}">
              <a16:creationId xmlns:a16="http://schemas.microsoft.com/office/drawing/2014/main" id="{0BAB57B8-716A-4D64-A3D9-F0D684616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8" name="Imagem 867" descr="http://sistemaswebhom.einstein.br/CME/Imagens/nada.gif">
          <a:extLst>
            <a:ext uri="{FF2B5EF4-FFF2-40B4-BE49-F238E27FC236}">
              <a16:creationId xmlns:a16="http://schemas.microsoft.com/office/drawing/2014/main" id="{AF3B9EE2-6E6E-4D35-8AB7-F97067AE0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69" name="Imagem 868" descr="http://sistemaswebhom.einstein.br/CME/Imagens/nada.gif">
          <a:extLst>
            <a:ext uri="{FF2B5EF4-FFF2-40B4-BE49-F238E27FC236}">
              <a16:creationId xmlns:a16="http://schemas.microsoft.com/office/drawing/2014/main" id="{0C6B1FC9-6025-4140-90DC-6A67CB9B3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0" name="Imagem 869" descr="http://sistemaswebhom.einstein.br/CME/Imagens/nada.gif">
          <a:extLst>
            <a:ext uri="{FF2B5EF4-FFF2-40B4-BE49-F238E27FC236}">
              <a16:creationId xmlns:a16="http://schemas.microsoft.com/office/drawing/2014/main" id="{1693A517-8536-453D-87FE-98DE437AD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1" name="Imagem 870" descr="http://sistemaswebhom.einstein.br/CME/Imagens/nada.gif">
          <a:extLst>
            <a:ext uri="{FF2B5EF4-FFF2-40B4-BE49-F238E27FC236}">
              <a16:creationId xmlns:a16="http://schemas.microsoft.com/office/drawing/2014/main" id="{2E95A831-1E9D-4774-A5ED-1B5E4E4A8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2" name="Imagem 871" descr="http://sistemaswebhom.einstein.br/CME/Imagens/nada.gif">
          <a:extLst>
            <a:ext uri="{FF2B5EF4-FFF2-40B4-BE49-F238E27FC236}">
              <a16:creationId xmlns:a16="http://schemas.microsoft.com/office/drawing/2014/main" id="{9DC109DB-C28A-49DC-BB43-73D0076E5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3" name="Imagem 872" descr="http://sistemaswebhom.einstein.br/CME/Imagens/nada.gif">
          <a:extLst>
            <a:ext uri="{FF2B5EF4-FFF2-40B4-BE49-F238E27FC236}">
              <a16:creationId xmlns:a16="http://schemas.microsoft.com/office/drawing/2014/main" id="{647667EF-4A88-4398-96E7-0A682A556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4" name="Imagem 873" descr="http://sistemaswebhom.einstein.br/CME/Imagens/nada.gif">
          <a:extLst>
            <a:ext uri="{FF2B5EF4-FFF2-40B4-BE49-F238E27FC236}">
              <a16:creationId xmlns:a16="http://schemas.microsoft.com/office/drawing/2014/main" id="{5942E5A0-9AC2-4179-985A-B6D579740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5" name="Imagem 874" descr="http://sistemaswebhom.einstein.br/CME/Imagens/nada.gif">
          <a:extLst>
            <a:ext uri="{FF2B5EF4-FFF2-40B4-BE49-F238E27FC236}">
              <a16:creationId xmlns:a16="http://schemas.microsoft.com/office/drawing/2014/main" id="{0028E866-9628-4672-828C-05FC90B59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6" name="Imagem 875" descr="http://sistemaswebhom.einstein.br/CME/Imagens/nada.gif">
          <a:extLst>
            <a:ext uri="{FF2B5EF4-FFF2-40B4-BE49-F238E27FC236}">
              <a16:creationId xmlns:a16="http://schemas.microsoft.com/office/drawing/2014/main" id="{FA811EA9-BC22-43A5-8369-5D949B0A7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7" name="Imagem 876" descr="http://sistemaswebhom.einstein.br/CME/Imagens/nada.gif">
          <a:extLst>
            <a:ext uri="{FF2B5EF4-FFF2-40B4-BE49-F238E27FC236}">
              <a16:creationId xmlns:a16="http://schemas.microsoft.com/office/drawing/2014/main" id="{57C9D819-0C89-4613-94AD-4673C4A4E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8" name="Imagem 877" descr="http://sistemaswebhom.einstein.br/CME/Imagens/nada.gif">
          <a:extLst>
            <a:ext uri="{FF2B5EF4-FFF2-40B4-BE49-F238E27FC236}">
              <a16:creationId xmlns:a16="http://schemas.microsoft.com/office/drawing/2014/main" id="{AE6FC750-CABB-47CA-A82E-2B06FCA92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79" name="Imagem 878" descr="http://sistemaswebhom.einstein.br/CME/Imagens/nada.gif">
          <a:extLst>
            <a:ext uri="{FF2B5EF4-FFF2-40B4-BE49-F238E27FC236}">
              <a16:creationId xmlns:a16="http://schemas.microsoft.com/office/drawing/2014/main" id="{EE3D4F99-715B-4747-A1ED-65F21FA5C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0" name="Imagem 879" descr="http://sistemaswebhom.einstein.br/CME/Imagens/nada.gif">
          <a:extLst>
            <a:ext uri="{FF2B5EF4-FFF2-40B4-BE49-F238E27FC236}">
              <a16:creationId xmlns:a16="http://schemas.microsoft.com/office/drawing/2014/main" id="{1BD3CC78-0EF1-4E5D-9FBD-F35F8EB9B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1" name="Imagem 880" descr="http://sistemaswebhom.einstein.br/CME/Imagens/nada.gif">
          <a:extLst>
            <a:ext uri="{FF2B5EF4-FFF2-40B4-BE49-F238E27FC236}">
              <a16:creationId xmlns:a16="http://schemas.microsoft.com/office/drawing/2014/main" id="{B0DBA339-34A2-473E-8100-A3A970ECD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2" name="Imagem 881" descr="http://sistemaswebhom.einstein.br/CME/Imagens/nada.gif">
          <a:extLst>
            <a:ext uri="{FF2B5EF4-FFF2-40B4-BE49-F238E27FC236}">
              <a16:creationId xmlns:a16="http://schemas.microsoft.com/office/drawing/2014/main" id="{9947AF78-F9B4-4FD2-98C8-3D9B99ABD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3" name="Imagem 882" descr="http://sistemaswebhom.einstein.br/CME/Imagens/nada.gif">
          <a:extLst>
            <a:ext uri="{FF2B5EF4-FFF2-40B4-BE49-F238E27FC236}">
              <a16:creationId xmlns:a16="http://schemas.microsoft.com/office/drawing/2014/main" id="{A39E331C-EBD8-4F24-B6FF-C878101CF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4" name="Imagem 883" descr="http://sistemaswebhom.einstein.br/CME/Imagens/nada.gif">
          <a:extLst>
            <a:ext uri="{FF2B5EF4-FFF2-40B4-BE49-F238E27FC236}">
              <a16:creationId xmlns:a16="http://schemas.microsoft.com/office/drawing/2014/main" id="{943E1EE0-1C43-4624-9C68-530B7851B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5" name="Imagem 884" descr="http://sistemaswebhom.einstein.br/CME/Imagens/nada.gif">
          <a:extLst>
            <a:ext uri="{FF2B5EF4-FFF2-40B4-BE49-F238E27FC236}">
              <a16:creationId xmlns:a16="http://schemas.microsoft.com/office/drawing/2014/main" id="{C8BE3502-1AF1-4066-84D1-185552936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86" name="Imagem 885" descr="http://sistemaswebhom.einstein.br/CME/Imagens/nada.gif">
          <a:extLst>
            <a:ext uri="{FF2B5EF4-FFF2-40B4-BE49-F238E27FC236}">
              <a16:creationId xmlns:a16="http://schemas.microsoft.com/office/drawing/2014/main" id="{D17472C7-0900-4A95-A224-212802070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7" name="Imagem 886" descr="http://sistemaswebhom.einstein.br/CME/Imagens/nada.gif">
          <a:extLst>
            <a:ext uri="{FF2B5EF4-FFF2-40B4-BE49-F238E27FC236}">
              <a16:creationId xmlns:a16="http://schemas.microsoft.com/office/drawing/2014/main" id="{B2C58CD2-5E21-4D68-839D-8DB73A669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8" name="Imagem 887" descr="http://sistemaswebhom.einstein.br/CME/Imagens/nada.gif">
          <a:extLst>
            <a:ext uri="{FF2B5EF4-FFF2-40B4-BE49-F238E27FC236}">
              <a16:creationId xmlns:a16="http://schemas.microsoft.com/office/drawing/2014/main" id="{9E5D5DB7-CC45-4FA2-9D7A-7FA7497D7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889" name="Imagem 888" descr="http://sistemaswebhom.einstein.br/CME/Imagens/nada.gif">
          <a:extLst>
            <a:ext uri="{FF2B5EF4-FFF2-40B4-BE49-F238E27FC236}">
              <a16:creationId xmlns:a16="http://schemas.microsoft.com/office/drawing/2014/main" id="{F2477704-70EE-4B05-998E-EEBA4931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0" name="Imagem 889" descr="http://sistemaswebhom.einstein.br/CME/Imagens/nada.gif">
          <a:extLst>
            <a:ext uri="{FF2B5EF4-FFF2-40B4-BE49-F238E27FC236}">
              <a16:creationId xmlns:a16="http://schemas.microsoft.com/office/drawing/2014/main" id="{7119F3E5-FC8D-4D54-B60F-821B66070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1" name="Imagem 890" descr="http://sistemaswebhom.einstein.br/CME/Imagens/nada.gif">
          <a:extLst>
            <a:ext uri="{FF2B5EF4-FFF2-40B4-BE49-F238E27FC236}">
              <a16:creationId xmlns:a16="http://schemas.microsoft.com/office/drawing/2014/main" id="{1166A8F1-867D-4F0B-8715-75914054C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2" name="Imagem 891" descr="http://sistemaswebhom.einstein.br/CME/Imagens/nada.gif">
          <a:extLst>
            <a:ext uri="{FF2B5EF4-FFF2-40B4-BE49-F238E27FC236}">
              <a16:creationId xmlns:a16="http://schemas.microsoft.com/office/drawing/2014/main" id="{B45E65D3-B1AA-4824-B1BB-D58615DD6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3" name="Imagem 892" descr="http://sistemaswebhom.einstein.br/CME/Imagens/nada.gif">
          <a:extLst>
            <a:ext uri="{FF2B5EF4-FFF2-40B4-BE49-F238E27FC236}">
              <a16:creationId xmlns:a16="http://schemas.microsoft.com/office/drawing/2014/main" id="{FD8DC236-78E5-48EF-BE88-401F38858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4" name="Imagem 893" descr="http://sistemaswebhom.einstein.br/CME/Imagens/nada.gif">
          <a:extLst>
            <a:ext uri="{FF2B5EF4-FFF2-40B4-BE49-F238E27FC236}">
              <a16:creationId xmlns:a16="http://schemas.microsoft.com/office/drawing/2014/main" id="{BF5E640F-5356-4DE9-8544-E502B70DD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5" name="Imagem 894" descr="http://sistemaswebhom.einstein.br/CME/Imagens/nada.gif">
          <a:extLst>
            <a:ext uri="{FF2B5EF4-FFF2-40B4-BE49-F238E27FC236}">
              <a16:creationId xmlns:a16="http://schemas.microsoft.com/office/drawing/2014/main" id="{E2CBEE62-A2EB-4F01-AE80-E750760E2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6" name="Imagem 895" descr="http://sistemaswebhom.einstein.br/CME/Imagens/nada.gif">
          <a:extLst>
            <a:ext uri="{FF2B5EF4-FFF2-40B4-BE49-F238E27FC236}">
              <a16:creationId xmlns:a16="http://schemas.microsoft.com/office/drawing/2014/main" id="{25059A69-76ED-47AF-8D9B-8F06B314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7" name="Imagem 896" descr="http://sistemaswebhom.einstein.br/CME/Imagens/nada.gif">
          <a:extLst>
            <a:ext uri="{FF2B5EF4-FFF2-40B4-BE49-F238E27FC236}">
              <a16:creationId xmlns:a16="http://schemas.microsoft.com/office/drawing/2014/main" id="{0A0A4644-A41D-457D-91DA-BC0C55649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8" name="Imagem 897" descr="http://sistemaswebhom.einstein.br/CME/Imagens/nada.gif">
          <a:extLst>
            <a:ext uri="{FF2B5EF4-FFF2-40B4-BE49-F238E27FC236}">
              <a16:creationId xmlns:a16="http://schemas.microsoft.com/office/drawing/2014/main" id="{2D97F73E-E428-4C99-88F9-034A4030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899" name="Imagem 898" descr="http://sistemaswebhom.einstein.br/CME/Imagens/nada.gif">
          <a:extLst>
            <a:ext uri="{FF2B5EF4-FFF2-40B4-BE49-F238E27FC236}">
              <a16:creationId xmlns:a16="http://schemas.microsoft.com/office/drawing/2014/main" id="{95962B3C-4F9F-49BF-9360-515818932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0" name="Imagem 899" descr="http://sistemaswebhom.einstein.br/CME/Imagens/nada.gif">
          <a:extLst>
            <a:ext uri="{FF2B5EF4-FFF2-40B4-BE49-F238E27FC236}">
              <a16:creationId xmlns:a16="http://schemas.microsoft.com/office/drawing/2014/main" id="{4EF9899B-3B46-449D-B554-8388A25CD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1" name="Imagem 900" descr="http://sistemaswebhom.einstein.br/CME/Imagens/nada.gif">
          <a:extLst>
            <a:ext uri="{FF2B5EF4-FFF2-40B4-BE49-F238E27FC236}">
              <a16:creationId xmlns:a16="http://schemas.microsoft.com/office/drawing/2014/main" id="{6780DD76-7C3F-40D8-83A1-1277D87D5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2" name="Imagem 901" descr="http://sistemaswebhom.einstein.br/CME/Imagens/nada.gif">
          <a:extLst>
            <a:ext uri="{FF2B5EF4-FFF2-40B4-BE49-F238E27FC236}">
              <a16:creationId xmlns:a16="http://schemas.microsoft.com/office/drawing/2014/main" id="{6FAA6A53-2963-4EF9-B2E0-6E9C5C35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3" name="Imagem 902" descr="http://sistemaswebhom.einstein.br/CME/Imagens/nada.gif">
          <a:extLst>
            <a:ext uri="{FF2B5EF4-FFF2-40B4-BE49-F238E27FC236}">
              <a16:creationId xmlns:a16="http://schemas.microsoft.com/office/drawing/2014/main" id="{2DA6A92E-7726-455B-9290-C06F5AA1D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4" name="Imagem 903" descr="http://sistemaswebhom.einstein.br/CME/Imagens/nada.gif">
          <a:extLst>
            <a:ext uri="{FF2B5EF4-FFF2-40B4-BE49-F238E27FC236}">
              <a16:creationId xmlns:a16="http://schemas.microsoft.com/office/drawing/2014/main" id="{0F92BA3C-CEA1-45C9-B69B-802BB1208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5" name="Imagem 904" descr="http://sistemaswebhom.einstein.br/CME/Imagens/nada.gif">
          <a:extLst>
            <a:ext uri="{FF2B5EF4-FFF2-40B4-BE49-F238E27FC236}">
              <a16:creationId xmlns:a16="http://schemas.microsoft.com/office/drawing/2014/main" id="{21B4D358-85C7-42EA-97D0-288AE6A1D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6" name="Imagem 905" descr="http://sistemaswebhom.einstein.br/CME/Imagens/nada.gif">
          <a:extLst>
            <a:ext uri="{FF2B5EF4-FFF2-40B4-BE49-F238E27FC236}">
              <a16:creationId xmlns:a16="http://schemas.microsoft.com/office/drawing/2014/main" id="{592E496D-1FBE-449A-823F-B7ED8B227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7" name="Imagem 906" descr="http://sistemaswebhom.einstein.br/CME/Imagens/nada.gif">
          <a:extLst>
            <a:ext uri="{FF2B5EF4-FFF2-40B4-BE49-F238E27FC236}">
              <a16:creationId xmlns:a16="http://schemas.microsoft.com/office/drawing/2014/main" id="{61D6E441-8985-4ACE-B4C9-BF2D06055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8" name="Imagem 907" descr="http://sistemaswebhom.einstein.br/CME/Imagens/nada.gif">
          <a:extLst>
            <a:ext uri="{FF2B5EF4-FFF2-40B4-BE49-F238E27FC236}">
              <a16:creationId xmlns:a16="http://schemas.microsoft.com/office/drawing/2014/main" id="{85374F89-6025-4A4A-B55B-8B932B38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09" name="Imagem 908" descr="http://sistemaswebhom.einstein.br/CME/Imagens/nada.gif">
          <a:extLst>
            <a:ext uri="{FF2B5EF4-FFF2-40B4-BE49-F238E27FC236}">
              <a16:creationId xmlns:a16="http://schemas.microsoft.com/office/drawing/2014/main" id="{105CDE0D-6FC9-4F79-87FB-426BA446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0" name="Imagem 909" descr="http://sistemaswebhom.einstein.br/CME/Imagens/nada.gif">
          <a:extLst>
            <a:ext uri="{FF2B5EF4-FFF2-40B4-BE49-F238E27FC236}">
              <a16:creationId xmlns:a16="http://schemas.microsoft.com/office/drawing/2014/main" id="{5C8AFFBD-71FD-4A7C-AEB8-1402ED714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1" name="Imagem 910" descr="http://sistemaswebhom.einstein.br/CME/Imagens/nada.gif">
          <a:extLst>
            <a:ext uri="{FF2B5EF4-FFF2-40B4-BE49-F238E27FC236}">
              <a16:creationId xmlns:a16="http://schemas.microsoft.com/office/drawing/2014/main" id="{99B93586-59E1-4EAE-961B-795F1956E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2" name="Imagem 911" descr="http://sistemaswebhom.einstein.br/CME/Imagens/nada.gif">
          <a:extLst>
            <a:ext uri="{FF2B5EF4-FFF2-40B4-BE49-F238E27FC236}">
              <a16:creationId xmlns:a16="http://schemas.microsoft.com/office/drawing/2014/main" id="{4E449760-D9A7-4068-9C11-5196B8D0A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913" name="Imagem 912" descr="http://sistemaswebhom.einstein.br/CME/Imagens/nada.gif">
          <a:extLst>
            <a:ext uri="{FF2B5EF4-FFF2-40B4-BE49-F238E27FC236}">
              <a16:creationId xmlns:a16="http://schemas.microsoft.com/office/drawing/2014/main" id="{82FFEC99-F4EC-40B3-9D06-B1F72FD46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4" name="Imagem 913" descr="http://sistemaswebhom.einstein.br/CME/Imagens/nada.gif">
          <a:extLst>
            <a:ext uri="{FF2B5EF4-FFF2-40B4-BE49-F238E27FC236}">
              <a16:creationId xmlns:a16="http://schemas.microsoft.com/office/drawing/2014/main" id="{FC903D53-58B4-4EB0-9FE6-9670CE302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5" name="Imagem 914" descr="http://sistemaswebhom.einstein.br/CME/Imagens/nada.gif">
          <a:extLst>
            <a:ext uri="{FF2B5EF4-FFF2-40B4-BE49-F238E27FC236}">
              <a16:creationId xmlns:a16="http://schemas.microsoft.com/office/drawing/2014/main" id="{F9945F5F-3FC2-480F-B578-80FB51F5F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6" name="Imagem 915" descr="http://sistemaswebhom.einstein.br/CME/Imagens/nada.gif">
          <a:extLst>
            <a:ext uri="{FF2B5EF4-FFF2-40B4-BE49-F238E27FC236}">
              <a16:creationId xmlns:a16="http://schemas.microsoft.com/office/drawing/2014/main" id="{A55BA30D-95D2-421B-96E9-1EBDE65E0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7" name="Imagem 916" descr="http://sistemaswebhom.einstein.br/CME/Imagens/nada.gif">
          <a:extLst>
            <a:ext uri="{FF2B5EF4-FFF2-40B4-BE49-F238E27FC236}">
              <a16:creationId xmlns:a16="http://schemas.microsoft.com/office/drawing/2014/main" id="{7B0F014F-6437-4388-9EC1-FD3AB0242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8" name="Imagem 917" descr="http://sistemaswebhom.einstein.br/CME/Imagens/nada.gif">
          <a:extLst>
            <a:ext uri="{FF2B5EF4-FFF2-40B4-BE49-F238E27FC236}">
              <a16:creationId xmlns:a16="http://schemas.microsoft.com/office/drawing/2014/main" id="{E2B50B0F-84D6-4D12-80F9-CAD32A115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19" name="Imagem 918" descr="http://sistemaswebhom.einstein.br/CME/Imagens/nada.gif">
          <a:extLst>
            <a:ext uri="{FF2B5EF4-FFF2-40B4-BE49-F238E27FC236}">
              <a16:creationId xmlns:a16="http://schemas.microsoft.com/office/drawing/2014/main" id="{1F8A84AB-2257-4653-B6DF-BE39CF75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0" name="Imagem 919" descr="http://sistemaswebhom.einstein.br/CME/Imagens/nada.gif">
          <a:extLst>
            <a:ext uri="{FF2B5EF4-FFF2-40B4-BE49-F238E27FC236}">
              <a16:creationId xmlns:a16="http://schemas.microsoft.com/office/drawing/2014/main" id="{CF808024-D852-49A4-A881-06EF4E089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1" name="Imagem 920" descr="http://sistemaswebhom.einstein.br/CME/Imagens/nada.gif">
          <a:extLst>
            <a:ext uri="{FF2B5EF4-FFF2-40B4-BE49-F238E27FC236}">
              <a16:creationId xmlns:a16="http://schemas.microsoft.com/office/drawing/2014/main" id="{610C5202-87EF-496E-A763-39245CDE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2" name="Imagem 921" descr="http://sistemaswebhom.einstein.br/CME/Imagens/nada.gif">
          <a:extLst>
            <a:ext uri="{FF2B5EF4-FFF2-40B4-BE49-F238E27FC236}">
              <a16:creationId xmlns:a16="http://schemas.microsoft.com/office/drawing/2014/main" id="{40571143-DA65-4C4F-887F-AEFD6B370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3" name="Imagem 922" descr="http://sistemaswebhom.einstein.br/CME/Imagens/nada.gif">
          <a:extLst>
            <a:ext uri="{FF2B5EF4-FFF2-40B4-BE49-F238E27FC236}">
              <a16:creationId xmlns:a16="http://schemas.microsoft.com/office/drawing/2014/main" id="{33043279-F89A-4C52-AB47-7F9B701B3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4" name="Imagem 923" descr="http://sistemaswebhom.einstein.br/CME/Imagens/nada.gif">
          <a:extLst>
            <a:ext uri="{FF2B5EF4-FFF2-40B4-BE49-F238E27FC236}">
              <a16:creationId xmlns:a16="http://schemas.microsoft.com/office/drawing/2014/main" id="{41EA6450-30FD-4741-92FB-F7A8B0B05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5" name="Imagem 924" descr="http://sistemaswebhom.einstein.br/CME/Imagens/nada.gif">
          <a:extLst>
            <a:ext uri="{FF2B5EF4-FFF2-40B4-BE49-F238E27FC236}">
              <a16:creationId xmlns:a16="http://schemas.microsoft.com/office/drawing/2014/main" id="{54FE562C-F42C-4639-B2E0-D6AF0E7F4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6" name="Imagem 925" descr="http://sistemaswebhom.einstein.br/CME/Imagens/nada.gif">
          <a:extLst>
            <a:ext uri="{FF2B5EF4-FFF2-40B4-BE49-F238E27FC236}">
              <a16:creationId xmlns:a16="http://schemas.microsoft.com/office/drawing/2014/main" id="{E1928D24-71AD-4F0D-8CF5-2CD791B53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7" name="Imagem 926" descr="http://sistemaswebhom.einstein.br/CME/Imagens/nada.gif">
          <a:extLst>
            <a:ext uri="{FF2B5EF4-FFF2-40B4-BE49-F238E27FC236}">
              <a16:creationId xmlns:a16="http://schemas.microsoft.com/office/drawing/2014/main" id="{9AE907F3-32FA-40E1-A8F6-D13B65F2E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8" name="Imagem 927" descr="http://sistemaswebhom.einstein.br/CME/Imagens/nada.gif">
          <a:extLst>
            <a:ext uri="{FF2B5EF4-FFF2-40B4-BE49-F238E27FC236}">
              <a16:creationId xmlns:a16="http://schemas.microsoft.com/office/drawing/2014/main" id="{2D555184-A057-4CB8-BC79-C87CA0E2C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29" name="Imagem 928" descr="http://sistemaswebhom.einstein.br/CME/Imagens/nada.gif">
          <a:extLst>
            <a:ext uri="{FF2B5EF4-FFF2-40B4-BE49-F238E27FC236}">
              <a16:creationId xmlns:a16="http://schemas.microsoft.com/office/drawing/2014/main" id="{EA2AF3C3-B25A-49F3-8B09-BE7D9A387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0" name="Imagem 929" descr="http://sistemaswebhom.einstein.br/CME/Imagens/nada.gif">
          <a:extLst>
            <a:ext uri="{FF2B5EF4-FFF2-40B4-BE49-F238E27FC236}">
              <a16:creationId xmlns:a16="http://schemas.microsoft.com/office/drawing/2014/main" id="{371228C1-2D21-47EA-AAD2-4D6573BD8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1" name="Imagem 930" descr="http://sistemaswebhom.einstein.br/CME/Imagens/nada.gif">
          <a:extLst>
            <a:ext uri="{FF2B5EF4-FFF2-40B4-BE49-F238E27FC236}">
              <a16:creationId xmlns:a16="http://schemas.microsoft.com/office/drawing/2014/main" id="{CEA6B101-A3E3-46BA-8B6A-67C7D98B4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2" name="Imagem 931" descr="http://sistemaswebhom.einstein.br/CME/Imagens/nada.gif">
          <a:extLst>
            <a:ext uri="{FF2B5EF4-FFF2-40B4-BE49-F238E27FC236}">
              <a16:creationId xmlns:a16="http://schemas.microsoft.com/office/drawing/2014/main" id="{59A59575-87B5-4302-A255-4765C7C01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3" name="Imagem 932" descr="http://sistemaswebhom.einstein.br/CME/Imagens/nada.gif">
          <a:extLst>
            <a:ext uri="{FF2B5EF4-FFF2-40B4-BE49-F238E27FC236}">
              <a16:creationId xmlns:a16="http://schemas.microsoft.com/office/drawing/2014/main" id="{F23817D3-4F16-44BD-A820-4CA531BAA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4" name="Imagem 933" descr="http://sistemaswebhom.einstein.br/CME/Imagens/nada.gif">
          <a:extLst>
            <a:ext uri="{FF2B5EF4-FFF2-40B4-BE49-F238E27FC236}">
              <a16:creationId xmlns:a16="http://schemas.microsoft.com/office/drawing/2014/main" id="{936626DC-8ADA-4F9D-9FB7-B88DFD429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935" name="Imagem 934" descr="http://sistemaswebhom.einstein.br/CME/Imagens/nada.gif">
          <a:extLst>
            <a:ext uri="{FF2B5EF4-FFF2-40B4-BE49-F238E27FC236}">
              <a16:creationId xmlns:a16="http://schemas.microsoft.com/office/drawing/2014/main" id="{9AA2E427-537C-44CB-B173-E170AC0E8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6" name="Imagem 935" descr="http://sistemaswebhom.einstein.br/CME/Imagens/nada.gif">
          <a:extLst>
            <a:ext uri="{FF2B5EF4-FFF2-40B4-BE49-F238E27FC236}">
              <a16:creationId xmlns:a16="http://schemas.microsoft.com/office/drawing/2014/main" id="{795A36F3-8ED7-4D0C-8F81-B8EFBCF70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7" name="Imagem 936" descr="http://sistemaswebhom.einstein.br/CME/Imagens/nada.gif">
          <a:extLst>
            <a:ext uri="{FF2B5EF4-FFF2-40B4-BE49-F238E27FC236}">
              <a16:creationId xmlns:a16="http://schemas.microsoft.com/office/drawing/2014/main" id="{EED36026-C4A7-4855-8270-B61EDCAF4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8" name="Imagem 937" descr="http://sistemaswebhom.einstein.br/CME/Imagens/nada.gif">
          <a:extLst>
            <a:ext uri="{FF2B5EF4-FFF2-40B4-BE49-F238E27FC236}">
              <a16:creationId xmlns:a16="http://schemas.microsoft.com/office/drawing/2014/main" id="{A902FA65-C4D9-495D-9150-1AE24FEA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39" name="Imagem 938" descr="http://sistemaswebhom.einstein.br/CME/Imagens/nada.gif">
          <a:extLst>
            <a:ext uri="{FF2B5EF4-FFF2-40B4-BE49-F238E27FC236}">
              <a16:creationId xmlns:a16="http://schemas.microsoft.com/office/drawing/2014/main" id="{DC9F00BB-9D8C-40B5-AC39-C816F76E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0" name="Imagem 939" descr="http://sistemaswebhom.einstein.br/CME/Imagens/nada.gif">
          <a:extLst>
            <a:ext uri="{FF2B5EF4-FFF2-40B4-BE49-F238E27FC236}">
              <a16:creationId xmlns:a16="http://schemas.microsoft.com/office/drawing/2014/main" id="{385B1DB2-8C31-4549-8FC7-A592E6C07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1" name="Imagem 940" descr="http://sistemaswebhom.einstein.br/CME/Imagens/nada.gif">
          <a:extLst>
            <a:ext uri="{FF2B5EF4-FFF2-40B4-BE49-F238E27FC236}">
              <a16:creationId xmlns:a16="http://schemas.microsoft.com/office/drawing/2014/main" id="{FE27BF8F-07EE-42E9-BE39-51C90C8B6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2" name="Imagem 941" descr="http://sistemaswebhom.einstein.br/CME/Imagens/nada.gif">
          <a:extLst>
            <a:ext uri="{FF2B5EF4-FFF2-40B4-BE49-F238E27FC236}">
              <a16:creationId xmlns:a16="http://schemas.microsoft.com/office/drawing/2014/main" id="{6792397B-8279-4379-8C7B-1997E02D0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3" name="Imagem 942" descr="http://sistemaswebhom.einstein.br/CME/Imagens/nada.gif">
          <a:extLst>
            <a:ext uri="{FF2B5EF4-FFF2-40B4-BE49-F238E27FC236}">
              <a16:creationId xmlns:a16="http://schemas.microsoft.com/office/drawing/2014/main" id="{74797CD0-CA57-44C9-89A6-3B411ABC9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4" name="Imagem 943" descr="http://sistemaswebhom.einstein.br/CME/Imagens/nada.gif">
          <a:extLst>
            <a:ext uri="{FF2B5EF4-FFF2-40B4-BE49-F238E27FC236}">
              <a16:creationId xmlns:a16="http://schemas.microsoft.com/office/drawing/2014/main" id="{7893E3B0-5D66-44ED-9E04-0E0E61CF9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5" name="Imagem 944" descr="http://sistemaswebhom.einstein.br/CME/Imagens/nada.gif">
          <a:extLst>
            <a:ext uri="{FF2B5EF4-FFF2-40B4-BE49-F238E27FC236}">
              <a16:creationId xmlns:a16="http://schemas.microsoft.com/office/drawing/2014/main" id="{87CEBC3C-757D-44FC-834E-1CF083DF4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6" name="Imagem 945" descr="http://sistemaswebhom.einstein.br/CME/Imagens/nada.gif">
          <a:extLst>
            <a:ext uri="{FF2B5EF4-FFF2-40B4-BE49-F238E27FC236}">
              <a16:creationId xmlns:a16="http://schemas.microsoft.com/office/drawing/2014/main" id="{5FB14C3F-ECD3-43E5-AECB-ACE3E32D7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7" name="Imagem 946" descr="http://sistemaswebhom.einstein.br/CME/Imagens/nada.gif">
          <a:extLst>
            <a:ext uri="{FF2B5EF4-FFF2-40B4-BE49-F238E27FC236}">
              <a16:creationId xmlns:a16="http://schemas.microsoft.com/office/drawing/2014/main" id="{BCBD3E00-4066-4159-9ADE-DDDFDF5B2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8" name="Imagem 947" descr="http://sistemaswebhom.einstein.br/CME/Imagens/nada.gif">
          <a:extLst>
            <a:ext uri="{FF2B5EF4-FFF2-40B4-BE49-F238E27FC236}">
              <a16:creationId xmlns:a16="http://schemas.microsoft.com/office/drawing/2014/main" id="{25129D99-5D84-41A6-82B7-E270B51DD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49" name="Imagem 948" descr="http://sistemaswebhom.einstein.br/CME/Imagens/nada.gif">
          <a:extLst>
            <a:ext uri="{FF2B5EF4-FFF2-40B4-BE49-F238E27FC236}">
              <a16:creationId xmlns:a16="http://schemas.microsoft.com/office/drawing/2014/main" id="{9734C5F4-161E-48F9-B8D9-65157135C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0" name="Imagem 949" descr="http://sistemaswebhom.einstein.br/CME/Imagens/nada.gif">
          <a:extLst>
            <a:ext uri="{FF2B5EF4-FFF2-40B4-BE49-F238E27FC236}">
              <a16:creationId xmlns:a16="http://schemas.microsoft.com/office/drawing/2014/main" id="{F81731BD-EE5C-4AD0-AE81-804A6BE0E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1" name="Imagem 950" descr="http://sistemaswebhom.einstein.br/CME/Imagens/nada.gif">
          <a:extLst>
            <a:ext uri="{FF2B5EF4-FFF2-40B4-BE49-F238E27FC236}">
              <a16:creationId xmlns:a16="http://schemas.microsoft.com/office/drawing/2014/main" id="{97256E2B-6D91-4E31-8775-BDF57FECA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2" name="Imagem 951" descr="http://sistemaswebhom.einstein.br/CME/Imagens/nada.gif">
          <a:extLst>
            <a:ext uri="{FF2B5EF4-FFF2-40B4-BE49-F238E27FC236}">
              <a16:creationId xmlns:a16="http://schemas.microsoft.com/office/drawing/2014/main" id="{CC70D0E6-4A6D-4D35-9B28-D99C4753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3" name="Imagem 952" descr="http://sistemaswebhom.einstein.br/CME/Imagens/nada.gif">
          <a:extLst>
            <a:ext uri="{FF2B5EF4-FFF2-40B4-BE49-F238E27FC236}">
              <a16:creationId xmlns:a16="http://schemas.microsoft.com/office/drawing/2014/main" id="{1D50996B-F4EF-4365-9507-4B5C84AD9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4" name="Imagem 953" descr="http://sistemaswebhom.einstein.br/CME/Imagens/nada.gif">
          <a:extLst>
            <a:ext uri="{FF2B5EF4-FFF2-40B4-BE49-F238E27FC236}">
              <a16:creationId xmlns:a16="http://schemas.microsoft.com/office/drawing/2014/main" id="{D24B690B-E5AA-4A05-BD59-F2E218298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5" name="Imagem 954" descr="http://sistemaswebhom.einstein.br/CME/Imagens/nada.gif">
          <a:extLst>
            <a:ext uri="{FF2B5EF4-FFF2-40B4-BE49-F238E27FC236}">
              <a16:creationId xmlns:a16="http://schemas.microsoft.com/office/drawing/2014/main" id="{2CD90668-CB32-4395-A794-50A9B0AAF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6" name="Imagem 955" descr="http://sistemaswebhom.einstein.br/CME/Imagens/nada.gif">
          <a:extLst>
            <a:ext uri="{FF2B5EF4-FFF2-40B4-BE49-F238E27FC236}">
              <a16:creationId xmlns:a16="http://schemas.microsoft.com/office/drawing/2014/main" id="{59610504-7779-4A7D-8EB5-0DCCBDD91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957" name="Imagem 956" descr="http://sistemaswebhom.einstein.br/CME/Imagens/nada.gif">
          <a:extLst>
            <a:ext uri="{FF2B5EF4-FFF2-40B4-BE49-F238E27FC236}">
              <a16:creationId xmlns:a16="http://schemas.microsoft.com/office/drawing/2014/main" id="{4FDD6055-B08E-4DD4-B1E1-41E63B86F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8" name="Imagem 957" descr="http://sistemaswebhom.einstein.br/CME/Imagens/nada.gif">
          <a:extLst>
            <a:ext uri="{FF2B5EF4-FFF2-40B4-BE49-F238E27FC236}">
              <a16:creationId xmlns:a16="http://schemas.microsoft.com/office/drawing/2014/main" id="{B7C23B6A-67A1-4AD9-8C22-1A63C9921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59" name="Imagem 958" descr="http://sistemaswebhom.einstein.br/CME/Imagens/nada.gif">
          <a:extLst>
            <a:ext uri="{FF2B5EF4-FFF2-40B4-BE49-F238E27FC236}">
              <a16:creationId xmlns:a16="http://schemas.microsoft.com/office/drawing/2014/main" id="{352CE48F-99A2-4916-A2CE-4CAA36E6F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0" name="Imagem 959" descr="http://sistemaswebhom.einstein.br/CME/Imagens/nada.gif">
          <a:extLst>
            <a:ext uri="{FF2B5EF4-FFF2-40B4-BE49-F238E27FC236}">
              <a16:creationId xmlns:a16="http://schemas.microsoft.com/office/drawing/2014/main" id="{1C7C0C0A-1D68-4E0F-8309-7B20D82A3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1" name="Imagem 960" descr="http://sistemaswebhom.einstein.br/CME/Imagens/nada.gif">
          <a:extLst>
            <a:ext uri="{FF2B5EF4-FFF2-40B4-BE49-F238E27FC236}">
              <a16:creationId xmlns:a16="http://schemas.microsoft.com/office/drawing/2014/main" id="{614A6550-6E9E-4C78-A808-03612798E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2" name="Imagem 961" descr="http://sistemaswebhom.einstein.br/CME/Imagens/nada.gif">
          <a:extLst>
            <a:ext uri="{FF2B5EF4-FFF2-40B4-BE49-F238E27FC236}">
              <a16:creationId xmlns:a16="http://schemas.microsoft.com/office/drawing/2014/main" id="{59241341-2A9B-4668-95E4-144F6D9C9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3" name="Imagem 962" descr="http://sistemaswebhom.einstein.br/CME/Imagens/nada.gif">
          <a:extLst>
            <a:ext uri="{FF2B5EF4-FFF2-40B4-BE49-F238E27FC236}">
              <a16:creationId xmlns:a16="http://schemas.microsoft.com/office/drawing/2014/main" id="{6F4F7F91-15AD-4F0C-B5C3-4FE70928A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4" name="Imagem 963" descr="http://sistemaswebhom.einstein.br/CME/Imagens/nada.gif">
          <a:extLst>
            <a:ext uri="{FF2B5EF4-FFF2-40B4-BE49-F238E27FC236}">
              <a16:creationId xmlns:a16="http://schemas.microsoft.com/office/drawing/2014/main" id="{283F1399-4CBD-4DEE-89E7-E585B0706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5" name="Imagem 964" descr="http://sistemaswebhom.einstein.br/CME/Imagens/nada.gif">
          <a:extLst>
            <a:ext uri="{FF2B5EF4-FFF2-40B4-BE49-F238E27FC236}">
              <a16:creationId xmlns:a16="http://schemas.microsoft.com/office/drawing/2014/main" id="{89E49C98-F688-4862-94D4-637DCA234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6" name="Imagem 965" descr="http://sistemaswebhom.einstein.br/CME/Imagens/nada.gif">
          <a:extLst>
            <a:ext uri="{FF2B5EF4-FFF2-40B4-BE49-F238E27FC236}">
              <a16:creationId xmlns:a16="http://schemas.microsoft.com/office/drawing/2014/main" id="{40ECD72B-9CE8-453A-AE92-EEBC6992A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7" name="Imagem 966" descr="http://sistemaswebhom.einstein.br/CME/Imagens/nada.gif">
          <a:extLst>
            <a:ext uri="{FF2B5EF4-FFF2-40B4-BE49-F238E27FC236}">
              <a16:creationId xmlns:a16="http://schemas.microsoft.com/office/drawing/2014/main" id="{3119FC22-EA6E-4F98-A0D9-345E1FBD9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8" name="Imagem 967" descr="http://sistemaswebhom.einstein.br/CME/Imagens/nada.gif">
          <a:extLst>
            <a:ext uri="{FF2B5EF4-FFF2-40B4-BE49-F238E27FC236}">
              <a16:creationId xmlns:a16="http://schemas.microsoft.com/office/drawing/2014/main" id="{CC7D10CC-0987-4C0E-848B-14F47C246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69" name="Imagem 968" descr="http://sistemaswebhom.einstein.br/CME/Imagens/nada.gif">
          <a:extLst>
            <a:ext uri="{FF2B5EF4-FFF2-40B4-BE49-F238E27FC236}">
              <a16:creationId xmlns:a16="http://schemas.microsoft.com/office/drawing/2014/main" id="{B67098C2-4B05-4CDF-B891-5DB84AEF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0" name="Imagem 969" descr="http://sistemaswebhom.einstein.br/CME/Imagens/nada.gif">
          <a:extLst>
            <a:ext uri="{FF2B5EF4-FFF2-40B4-BE49-F238E27FC236}">
              <a16:creationId xmlns:a16="http://schemas.microsoft.com/office/drawing/2014/main" id="{A740EEF4-EFD0-4AC5-B60D-D7CAE3B1D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1" name="Imagem 970" descr="http://sistemaswebhom.einstein.br/CME/Imagens/nada.gif">
          <a:extLst>
            <a:ext uri="{FF2B5EF4-FFF2-40B4-BE49-F238E27FC236}">
              <a16:creationId xmlns:a16="http://schemas.microsoft.com/office/drawing/2014/main" id="{776B45CD-13C9-46F2-8124-6F9EF2B3D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2" name="Imagem 971" descr="http://sistemaswebhom.einstein.br/CME/Imagens/nada.gif">
          <a:extLst>
            <a:ext uri="{FF2B5EF4-FFF2-40B4-BE49-F238E27FC236}">
              <a16:creationId xmlns:a16="http://schemas.microsoft.com/office/drawing/2014/main" id="{C8F8F7A8-126B-49A7-8059-D50A3E71D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3" name="Imagem 972" descr="http://sistemaswebhom.einstein.br/CME/Imagens/nada.gif">
          <a:extLst>
            <a:ext uri="{FF2B5EF4-FFF2-40B4-BE49-F238E27FC236}">
              <a16:creationId xmlns:a16="http://schemas.microsoft.com/office/drawing/2014/main" id="{FC99B2E9-0C64-4ABD-997B-FDB117308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4" name="Imagem 973" descr="http://sistemaswebhom.einstein.br/CME/Imagens/nada.gif">
          <a:extLst>
            <a:ext uri="{FF2B5EF4-FFF2-40B4-BE49-F238E27FC236}">
              <a16:creationId xmlns:a16="http://schemas.microsoft.com/office/drawing/2014/main" id="{30B8B6D7-2E4A-4734-A38D-1C9E048A8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5" name="Imagem 974" descr="http://sistemaswebhom.einstein.br/CME/Imagens/nada.gif">
          <a:extLst>
            <a:ext uri="{FF2B5EF4-FFF2-40B4-BE49-F238E27FC236}">
              <a16:creationId xmlns:a16="http://schemas.microsoft.com/office/drawing/2014/main" id="{8657C353-B371-4668-A3DA-BF6788B6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6" name="Imagem 975" descr="http://sistemaswebhom.einstein.br/CME/Imagens/nada.gif">
          <a:extLst>
            <a:ext uri="{FF2B5EF4-FFF2-40B4-BE49-F238E27FC236}">
              <a16:creationId xmlns:a16="http://schemas.microsoft.com/office/drawing/2014/main" id="{2D6C9F1A-AA3F-4742-999A-3EF481969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7" name="Imagem 976" descr="http://sistemaswebhom.einstein.br/CME/Imagens/nada.gif">
          <a:extLst>
            <a:ext uri="{FF2B5EF4-FFF2-40B4-BE49-F238E27FC236}">
              <a16:creationId xmlns:a16="http://schemas.microsoft.com/office/drawing/2014/main" id="{54354011-1F04-40D9-9DE2-3E160F93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8" name="Imagem 977" descr="http://sistemaswebhom.einstein.br/CME/Imagens/nada.gif">
          <a:extLst>
            <a:ext uri="{FF2B5EF4-FFF2-40B4-BE49-F238E27FC236}">
              <a16:creationId xmlns:a16="http://schemas.microsoft.com/office/drawing/2014/main" id="{541FF2EB-D5E1-47B0-BA69-21036B651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79" name="Imagem 978" descr="http://sistemaswebhom.einstein.br/CME/Imagens/nada.gif">
          <a:extLst>
            <a:ext uri="{FF2B5EF4-FFF2-40B4-BE49-F238E27FC236}">
              <a16:creationId xmlns:a16="http://schemas.microsoft.com/office/drawing/2014/main" id="{5E5BF3BD-F246-4BBA-A3D4-7FC1AAD2D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0" name="Imagem 979" descr="http://sistemaswebhom.einstein.br/CME/Imagens/nada.gif">
          <a:extLst>
            <a:ext uri="{FF2B5EF4-FFF2-40B4-BE49-F238E27FC236}">
              <a16:creationId xmlns:a16="http://schemas.microsoft.com/office/drawing/2014/main" id="{B6886889-6720-419C-B3AD-CFB812DFF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1" name="Imagem 980" descr="http://sistemaswebhom.einstein.br/CME/Imagens/nada.gif">
          <a:extLst>
            <a:ext uri="{FF2B5EF4-FFF2-40B4-BE49-F238E27FC236}">
              <a16:creationId xmlns:a16="http://schemas.microsoft.com/office/drawing/2014/main" id="{77413E1E-678B-4C4A-99CB-521F4C889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982" name="Imagem 981" descr="http://sistemaswebhom.einstein.br/CME/Imagens/nada.gif">
          <a:extLst>
            <a:ext uri="{FF2B5EF4-FFF2-40B4-BE49-F238E27FC236}">
              <a16:creationId xmlns:a16="http://schemas.microsoft.com/office/drawing/2014/main" id="{44E45AA7-5E76-4459-AADA-DB6EFA63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3" name="Imagem 982" descr="http://sistemaswebhom.einstein.br/CME/Imagens/nada.gif">
          <a:extLst>
            <a:ext uri="{FF2B5EF4-FFF2-40B4-BE49-F238E27FC236}">
              <a16:creationId xmlns:a16="http://schemas.microsoft.com/office/drawing/2014/main" id="{43647057-B3C0-487C-BD55-6FBBC22C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4" name="Imagem 983" descr="http://sistemaswebhom.einstein.br/CME/Imagens/nada.gif">
          <a:extLst>
            <a:ext uri="{FF2B5EF4-FFF2-40B4-BE49-F238E27FC236}">
              <a16:creationId xmlns:a16="http://schemas.microsoft.com/office/drawing/2014/main" id="{C14846A0-5060-47E5-8275-423EAA896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5" name="Imagem 984" descr="http://sistemaswebhom.einstein.br/CME/Imagens/nada.gif">
          <a:extLst>
            <a:ext uri="{FF2B5EF4-FFF2-40B4-BE49-F238E27FC236}">
              <a16:creationId xmlns:a16="http://schemas.microsoft.com/office/drawing/2014/main" id="{9D689300-78E9-4F93-9F30-BE777058B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6" name="Imagem 985" descr="http://sistemaswebhom.einstein.br/CME/Imagens/nada.gif">
          <a:extLst>
            <a:ext uri="{FF2B5EF4-FFF2-40B4-BE49-F238E27FC236}">
              <a16:creationId xmlns:a16="http://schemas.microsoft.com/office/drawing/2014/main" id="{C4FE0CF2-E346-43E2-80FE-D8909A38A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7" name="Imagem 986" descr="http://sistemaswebhom.einstein.br/CME/Imagens/nada.gif">
          <a:extLst>
            <a:ext uri="{FF2B5EF4-FFF2-40B4-BE49-F238E27FC236}">
              <a16:creationId xmlns:a16="http://schemas.microsoft.com/office/drawing/2014/main" id="{AABA7AEF-D8AD-4D58-9562-278BDA568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8" name="Imagem 987" descr="http://sistemaswebhom.einstein.br/CME/Imagens/nada.gif">
          <a:extLst>
            <a:ext uri="{FF2B5EF4-FFF2-40B4-BE49-F238E27FC236}">
              <a16:creationId xmlns:a16="http://schemas.microsoft.com/office/drawing/2014/main" id="{6974CFA5-7D6F-4E37-AE92-3AEEBC650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89" name="Imagem 988" descr="http://sistemaswebhom.einstein.br/CME/Imagens/nada.gif">
          <a:extLst>
            <a:ext uri="{FF2B5EF4-FFF2-40B4-BE49-F238E27FC236}">
              <a16:creationId xmlns:a16="http://schemas.microsoft.com/office/drawing/2014/main" id="{9DD8A9B3-7779-4525-9C36-6668EAA5A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0" name="Imagem 989" descr="http://sistemaswebhom.einstein.br/CME/Imagens/nada.gif">
          <a:extLst>
            <a:ext uri="{FF2B5EF4-FFF2-40B4-BE49-F238E27FC236}">
              <a16:creationId xmlns:a16="http://schemas.microsoft.com/office/drawing/2014/main" id="{77E45E20-06DE-4546-89D2-7B720DFA4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1" name="Imagem 990" descr="http://sistemaswebhom.einstein.br/CME/Imagens/nada.gif">
          <a:extLst>
            <a:ext uri="{FF2B5EF4-FFF2-40B4-BE49-F238E27FC236}">
              <a16:creationId xmlns:a16="http://schemas.microsoft.com/office/drawing/2014/main" id="{75D5CCBE-5AC0-4196-9A8E-81F901CCD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2" name="Imagem 991" descr="http://sistemaswebhom.einstein.br/CME/Imagens/nada.gif">
          <a:extLst>
            <a:ext uri="{FF2B5EF4-FFF2-40B4-BE49-F238E27FC236}">
              <a16:creationId xmlns:a16="http://schemas.microsoft.com/office/drawing/2014/main" id="{D6C28F5B-311B-4501-80E4-E1BDFA282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3" name="Imagem 992" descr="http://sistemaswebhom.einstein.br/CME/Imagens/nada.gif">
          <a:extLst>
            <a:ext uri="{FF2B5EF4-FFF2-40B4-BE49-F238E27FC236}">
              <a16:creationId xmlns:a16="http://schemas.microsoft.com/office/drawing/2014/main" id="{F937419D-0FBA-49AB-9F1E-0488E693B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4" name="Imagem 993" descr="http://sistemaswebhom.einstein.br/CME/Imagens/nada.gif">
          <a:extLst>
            <a:ext uri="{FF2B5EF4-FFF2-40B4-BE49-F238E27FC236}">
              <a16:creationId xmlns:a16="http://schemas.microsoft.com/office/drawing/2014/main" id="{EC24F39C-4281-4827-82F3-B4B938A35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5" name="Imagem 994" descr="http://sistemaswebhom.einstein.br/CME/Imagens/nada.gif">
          <a:extLst>
            <a:ext uri="{FF2B5EF4-FFF2-40B4-BE49-F238E27FC236}">
              <a16:creationId xmlns:a16="http://schemas.microsoft.com/office/drawing/2014/main" id="{79D077B9-F50F-4327-BE9B-2220FC87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6" name="Imagem 995" descr="http://sistemaswebhom.einstein.br/CME/Imagens/nada.gif">
          <a:extLst>
            <a:ext uri="{FF2B5EF4-FFF2-40B4-BE49-F238E27FC236}">
              <a16:creationId xmlns:a16="http://schemas.microsoft.com/office/drawing/2014/main" id="{F5394900-1D3E-4CF6-AC26-F4041D5E7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7" name="Imagem 996" descr="http://sistemaswebhom.einstein.br/CME/Imagens/nada.gif">
          <a:extLst>
            <a:ext uri="{FF2B5EF4-FFF2-40B4-BE49-F238E27FC236}">
              <a16:creationId xmlns:a16="http://schemas.microsoft.com/office/drawing/2014/main" id="{4AA7F880-84B0-4426-8A4D-1E9AEF05A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8" name="Imagem 997" descr="http://sistemaswebhom.einstein.br/CME/Imagens/nada.gif">
          <a:extLst>
            <a:ext uri="{FF2B5EF4-FFF2-40B4-BE49-F238E27FC236}">
              <a16:creationId xmlns:a16="http://schemas.microsoft.com/office/drawing/2014/main" id="{73F9CFD3-8FA9-4BDB-B6E0-CDE9FEB2C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999" name="Imagem 998" descr="http://sistemaswebhom.einstein.br/CME/Imagens/nada.gif">
          <a:extLst>
            <a:ext uri="{FF2B5EF4-FFF2-40B4-BE49-F238E27FC236}">
              <a16:creationId xmlns:a16="http://schemas.microsoft.com/office/drawing/2014/main" id="{75AB34EB-B195-4B65-915F-79117B960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0" name="Imagem 999" descr="http://sistemaswebhom.einstein.br/CME/Imagens/nada.gif">
          <a:extLst>
            <a:ext uri="{FF2B5EF4-FFF2-40B4-BE49-F238E27FC236}">
              <a16:creationId xmlns:a16="http://schemas.microsoft.com/office/drawing/2014/main" id="{15956E52-503C-4C42-83CF-5381FC399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1" name="Imagem 1000" descr="http://sistemaswebhom.einstein.br/CME/Imagens/nada.gif">
          <a:extLst>
            <a:ext uri="{FF2B5EF4-FFF2-40B4-BE49-F238E27FC236}">
              <a16:creationId xmlns:a16="http://schemas.microsoft.com/office/drawing/2014/main" id="{156BB83B-11EC-475B-88D5-ADF92CCB9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2" name="Imagem 1001" descr="http://sistemaswebhom.einstein.br/CME/Imagens/nada.gif">
          <a:extLst>
            <a:ext uri="{FF2B5EF4-FFF2-40B4-BE49-F238E27FC236}">
              <a16:creationId xmlns:a16="http://schemas.microsoft.com/office/drawing/2014/main" id="{112BEFE7-1A6B-4588-8B4B-A0DA30A63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3" name="Imagem 1002" descr="http://sistemaswebhom.einstein.br/CME/Imagens/nada.gif">
          <a:extLst>
            <a:ext uri="{FF2B5EF4-FFF2-40B4-BE49-F238E27FC236}">
              <a16:creationId xmlns:a16="http://schemas.microsoft.com/office/drawing/2014/main" id="{98D516A8-A993-4688-813F-67DF5B6E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04" name="Imagem 1003" descr="http://sistemaswebhom.einstein.br/CME/Imagens/nada.gif">
          <a:extLst>
            <a:ext uri="{FF2B5EF4-FFF2-40B4-BE49-F238E27FC236}">
              <a16:creationId xmlns:a16="http://schemas.microsoft.com/office/drawing/2014/main" id="{74661C7B-2A34-42D1-A825-AA60B943C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5" name="Imagem 1004" descr="http://sistemaswebhom.einstein.br/CME/Imagens/nada.gif">
          <a:extLst>
            <a:ext uri="{FF2B5EF4-FFF2-40B4-BE49-F238E27FC236}">
              <a16:creationId xmlns:a16="http://schemas.microsoft.com/office/drawing/2014/main" id="{D4722B5B-9371-40DC-85D9-E93A25126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6" name="Imagem 1005" descr="http://sistemaswebhom.einstein.br/CME/Imagens/nada.gif">
          <a:extLst>
            <a:ext uri="{FF2B5EF4-FFF2-40B4-BE49-F238E27FC236}">
              <a16:creationId xmlns:a16="http://schemas.microsoft.com/office/drawing/2014/main" id="{10D3BC5D-138C-43CF-9FC2-F620D8E5C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7" name="Imagem 1006" descr="http://sistemaswebhom.einstein.br/CME/Imagens/nada.gif">
          <a:extLst>
            <a:ext uri="{FF2B5EF4-FFF2-40B4-BE49-F238E27FC236}">
              <a16:creationId xmlns:a16="http://schemas.microsoft.com/office/drawing/2014/main" id="{B8C27663-D68D-4395-B77B-8EBE74944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8" name="Imagem 1007" descr="http://sistemaswebhom.einstein.br/CME/Imagens/nada.gif">
          <a:extLst>
            <a:ext uri="{FF2B5EF4-FFF2-40B4-BE49-F238E27FC236}">
              <a16:creationId xmlns:a16="http://schemas.microsoft.com/office/drawing/2014/main" id="{B4726424-4C04-4704-BA3D-BDFAAF086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09" name="Imagem 1008" descr="http://sistemaswebhom.einstein.br/CME/Imagens/nada.gif">
          <a:extLst>
            <a:ext uri="{FF2B5EF4-FFF2-40B4-BE49-F238E27FC236}">
              <a16:creationId xmlns:a16="http://schemas.microsoft.com/office/drawing/2014/main" id="{0ABBFB37-13B8-47DF-807E-797DD2BDF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0" name="Imagem 1009" descr="http://sistemaswebhom.einstein.br/CME/Imagens/nada.gif">
          <a:extLst>
            <a:ext uri="{FF2B5EF4-FFF2-40B4-BE49-F238E27FC236}">
              <a16:creationId xmlns:a16="http://schemas.microsoft.com/office/drawing/2014/main" id="{D8F5025D-EE76-4813-95BF-216458F2A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1" name="Imagem 1010" descr="http://sistemaswebhom.einstein.br/CME/Imagens/nada.gif">
          <a:extLst>
            <a:ext uri="{FF2B5EF4-FFF2-40B4-BE49-F238E27FC236}">
              <a16:creationId xmlns:a16="http://schemas.microsoft.com/office/drawing/2014/main" id="{582C57A0-3277-4DA4-8506-E91079B0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2" name="Imagem 1011" descr="http://sistemaswebhom.einstein.br/CME/Imagens/nada.gif">
          <a:extLst>
            <a:ext uri="{FF2B5EF4-FFF2-40B4-BE49-F238E27FC236}">
              <a16:creationId xmlns:a16="http://schemas.microsoft.com/office/drawing/2014/main" id="{FC4C3997-DD6D-4BCD-A5AA-B9365D284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3" name="Imagem 1012" descr="http://sistemaswebhom.einstein.br/CME/Imagens/nada.gif">
          <a:extLst>
            <a:ext uri="{FF2B5EF4-FFF2-40B4-BE49-F238E27FC236}">
              <a16:creationId xmlns:a16="http://schemas.microsoft.com/office/drawing/2014/main" id="{E9D1A7CF-061B-4648-827F-A24DDA9E7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4" name="Imagem 1013" descr="http://sistemaswebhom.einstein.br/CME/Imagens/nada.gif">
          <a:extLst>
            <a:ext uri="{FF2B5EF4-FFF2-40B4-BE49-F238E27FC236}">
              <a16:creationId xmlns:a16="http://schemas.microsoft.com/office/drawing/2014/main" id="{1D179110-9DBE-4FF1-8132-40059DDE7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5" name="Imagem 1014" descr="http://sistemaswebhom.einstein.br/CME/Imagens/nada.gif">
          <a:extLst>
            <a:ext uri="{FF2B5EF4-FFF2-40B4-BE49-F238E27FC236}">
              <a16:creationId xmlns:a16="http://schemas.microsoft.com/office/drawing/2014/main" id="{67396C0B-5BC5-401B-85BB-8E2FABE27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6" name="Imagem 1015" descr="http://sistemaswebhom.einstein.br/CME/Imagens/nada.gif">
          <a:extLst>
            <a:ext uri="{FF2B5EF4-FFF2-40B4-BE49-F238E27FC236}">
              <a16:creationId xmlns:a16="http://schemas.microsoft.com/office/drawing/2014/main" id="{681E8000-071D-4149-8D65-ED10D6376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7" name="Imagem 1016" descr="http://sistemaswebhom.einstein.br/CME/Imagens/nada.gif">
          <a:extLst>
            <a:ext uri="{FF2B5EF4-FFF2-40B4-BE49-F238E27FC236}">
              <a16:creationId xmlns:a16="http://schemas.microsoft.com/office/drawing/2014/main" id="{4B4424E8-BE3C-4DB7-9A2C-F563DDB39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8" name="Imagem 1017" descr="http://sistemaswebhom.einstein.br/CME/Imagens/nada.gif">
          <a:extLst>
            <a:ext uri="{FF2B5EF4-FFF2-40B4-BE49-F238E27FC236}">
              <a16:creationId xmlns:a16="http://schemas.microsoft.com/office/drawing/2014/main" id="{6EB4E7BF-F9E7-4403-B3AA-B9CC6597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19" name="Imagem 1018" descr="http://sistemaswebhom.einstein.br/CME/Imagens/nada.gif">
          <a:extLst>
            <a:ext uri="{FF2B5EF4-FFF2-40B4-BE49-F238E27FC236}">
              <a16:creationId xmlns:a16="http://schemas.microsoft.com/office/drawing/2014/main" id="{FCA92A1A-DD57-4240-BA3B-174588EC5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0" name="Imagem 1019" descr="http://sistemaswebhom.einstein.br/CME/Imagens/nada.gif">
          <a:extLst>
            <a:ext uri="{FF2B5EF4-FFF2-40B4-BE49-F238E27FC236}">
              <a16:creationId xmlns:a16="http://schemas.microsoft.com/office/drawing/2014/main" id="{1F7A220C-5722-475E-88AE-393F01343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1" name="Imagem 1020" descr="http://sistemaswebhom.einstein.br/CME/Imagens/nada.gif">
          <a:extLst>
            <a:ext uri="{FF2B5EF4-FFF2-40B4-BE49-F238E27FC236}">
              <a16:creationId xmlns:a16="http://schemas.microsoft.com/office/drawing/2014/main" id="{7B1E20A9-FB6F-48D9-BD59-24A628DCC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2" name="Imagem 1021" descr="http://sistemaswebhom.einstein.br/CME/Imagens/nada.gif">
          <a:extLst>
            <a:ext uri="{FF2B5EF4-FFF2-40B4-BE49-F238E27FC236}">
              <a16:creationId xmlns:a16="http://schemas.microsoft.com/office/drawing/2014/main" id="{15BBC6C0-7FD5-41B7-A111-91927726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3" name="Imagem 1022" descr="http://sistemaswebhom.einstein.br/CME/Imagens/nada.gif">
          <a:extLst>
            <a:ext uri="{FF2B5EF4-FFF2-40B4-BE49-F238E27FC236}">
              <a16:creationId xmlns:a16="http://schemas.microsoft.com/office/drawing/2014/main" id="{64C43783-917E-4307-80FC-6856D6C20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4" name="Imagem 1023" descr="http://sistemaswebhom.einstein.br/CME/Imagens/nada.gif">
          <a:extLst>
            <a:ext uri="{FF2B5EF4-FFF2-40B4-BE49-F238E27FC236}">
              <a16:creationId xmlns:a16="http://schemas.microsoft.com/office/drawing/2014/main" id="{AC4D4B11-F909-436D-A9D3-43457E60B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5" name="Imagem 1024" descr="http://sistemaswebhom.einstein.br/CME/Imagens/nada.gif">
          <a:extLst>
            <a:ext uri="{FF2B5EF4-FFF2-40B4-BE49-F238E27FC236}">
              <a16:creationId xmlns:a16="http://schemas.microsoft.com/office/drawing/2014/main" id="{8EF8CAF3-60C4-4F2B-97C5-4D358CE8A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26" name="Imagem 1025" descr="http://sistemaswebhom.einstein.br/CME/Imagens/nada.gif">
          <a:extLst>
            <a:ext uri="{FF2B5EF4-FFF2-40B4-BE49-F238E27FC236}">
              <a16:creationId xmlns:a16="http://schemas.microsoft.com/office/drawing/2014/main" id="{7AF5A1D5-5332-469F-BF92-BEA789E56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7" name="Imagem 1026" descr="http://sistemaswebhom.einstein.br/CME/Imagens/nada.gif">
          <a:extLst>
            <a:ext uri="{FF2B5EF4-FFF2-40B4-BE49-F238E27FC236}">
              <a16:creationId xmlns:a16="http://schemas.microsoft.com/office/drawing/2014/main" id="{14F9CF67-B1D4-4F8E-BC26-D1EE73C79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8" name="Imagem 1027" descr="http://sistemaswebhom.einstein.br/CME/Imagens/nada.gif">
          <a:extLst>
            <a:ext uri="{FF2B5EF4-FFF2-40B4-BE49-F238E27FC236}">
              <a16:creationId xmlns:a16="http://schemas.microsoft.com/office/drawing/2014/main" id="{5627E314-0E68-4ECF-9C77-AC4A79816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29" name="Imagem 1028" descr="http://sistemaswebhom.einstein.br/CME/Imagens/nada.gif">
          <a:extLst>
            <a:ext uri="{FF2B5EF4-FFF2-40B4-BE49-F238E27FC236}">
              <a16:creationId xmlns:a16="http://schemas.microsoft.com/office/drawing/2014/main" id="{62698C5A-A096-44D7-B686-4E96DD296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0" name="Imagem 1029" descr="http://sistemaswebhom.einstein.br/CME/Imagens/nada.gif">
          <a:extLst>
            <a:ext uri="{FF2B5EF4-FFF2-40B4-BE49-F238E27FC236}">
              <a16:creationId xmlns:a16="http://schemas.microsoft.com/office/drawing/2014/main" id="{C93BEE91-3A0B-4A18-BE21-50C3B109B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1" name="Imagem 1030" descr="http://sistemaswebhom.einstein.br/CME/Imagens/nada.gif">
          <a:extLst>
            <a:ext uri="{FF2B5EF4-FFF2-40B4-BE49-F238E27FC236}">
              <a16:creationId xmlns:a16="http://schemas.microsoft.com/office/drawing/2014/main" id="{AB495284-2AC0-47EE-B7A2-1D7C93114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2" name="Imagem 1031" descr="http://sistemaswebhom.einstein.br/CME/Imagens/nada.gif">
          <a:extLst>
            <a:ext uri="{FF2B5EF4-FFF2-40B4-BE49-F238E27FC236}">
              <a16:creationId xmlns:a16="http://schemas.microsoft.com/office/drawing/2014/main" id="{22432C91-9B33-4FE8-BE4E-7219027E4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3" name="Imagem 1032" descr="http://sistemaswebhom.einstein.br/CME/Imagens/nada.gif">
          <a:extLst>
            <a:ext uri="{FF2B5EF4-FFF2-40B4-BE49-F238E27FC236}">
              <a16:creationId xmlns:a16="http://schemas.microsoft.com/office/drawing/2014/main" id="{600FEF6B-6ECE-41EF-91E1-D861B1599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4" name="Imagem 1033" descr="http://sistemaswebhom.einstein.br/CME/Imagens/nada.gif">
          <a:extLst>
            <a:ext uri="{FF2B5EF4-FFF2-40B4-BE49-F238E27FC236}">
              <a16:creationId xmlns:a16="http://schemas.microsoft.com/office/drawing/2014/main" id="{650DB065-4A91-4E07-AD2F-FC1B552FE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5" name="Imagem 1034" descr="http://sistemaswebhom.einstein.br/CME/Imagens/nada.gif">
          <a:extLst>
            <a:ext uri="{FF2B5EF4-FFF2-40B4-BE49-F238E27FC236}">
              <a16:creationId xmlns:a16="http://schemas.microsoft.com/office/drawing/2014/main" id="{2CFA4B47-69CB-42C1-99EB-6F722C40F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6" name="Imagem 1035" descr="http://sistemaswebhom.einstein.br/CME/Imagens/nada.gif">
          <a:extLst>
            <a:ext uri="{FF2B5EF4-FFF2-40B4-BE49-F238E27FC236}">
              <a16:creationId xmlns:a16="http://schemas.microsoft.com/office/drawing/2014/main" id="{ADC7B84D-1E74-409C-A125-DBDF0B0EC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7" name="Imagem 1036" descr="http://sistemaswebhom.einstein.br/CME/Imagens/nada.gif">
          <a:extLst>
            <a:ext uri="{FF2B5EF4-FFF2-40B4-BE49-F238E27FC236}">
              <a16:creationId xmlns:a16="http://schemas.microsoft.com/office/drawing/2014/main" id="{57B8E90F-782B-4126-8B76-34FEEF122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8" name="Imagem 1037" descr="http://sistemaswebhom.einstein.br/CME/Imagens/nada.gif">
          <a:extLst>
            <a:ext uri="{FF2B5EF4-FFF2-40B4-BE49-F238E27FC236}">
              <a16:creationId xmlns:a16="http://schemas.microsoft.com/office/drawing/2014/main" id="{DE6055F9-61EA-4A04-86E1-430B1EE4A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39" name="Imagem 1038" descr="http://sistemaswebhom.einstein.br/CME/Imagens/nada.gif">
          <a:extLst>
            <a:ext uri="{FF2B5EF4-FFF2-40B4-BE49-F238E27FC236}">
              <a16:creationId xmlns:a16="http://schemas.microsoft.com/office/drawing/2014/main" id="{A0F56741-1C76-44F2-9AA9-D1434C56E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0" name="Imagem 1039" descr="http://sistemaswebhom.einstein.br/CME/Imagens/nada.gif">
          <a:extLst>
            <a:ext uri="{FF2B5EF4-FFF2-40B4-BE49-F238E27FC236}">
              <a16:creationId xmlns:a16="http://schemas.microsoft.com/office/drawing/2014/main" id="{6F2E1D9F-ECBC-443A-926F-F9410E479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1" name="Imagem 1040" descr="http://sistemaswebhom.einstein.br/CME/Imagens/nada.gif">
          <a:extLst>
            <a:ext uri="{FF2B5EF4-FFF2-40B4-BE49-F238E27FC236}">
              <a16:creationId xmlns:a16="http://schemas.microsoft.com/office/drawing/2014/main" id="{E0EED10E-03EC-4B53-A76E-5988220DE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2" name="Imagem 1041" descr="http://sistemaswebhom.einstein.br/CME/Imagens/nada.gif">
          <a:extLst>
            <a:ext uri="{FF2B5EF4-FFF2-40B4-BE49-F238E27FC236}">
              <a16:creationId xmlns:a16="http://schemas.microsoft.com/office/drawing/2014/main" id="{5EAE9DC1-A380-4386-B4C6-82756EC3E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3" name="Imagem 1042" descr="http://sistemaswebhom.einstein.br/CME/Imagens/nada.gif">
          <a:extLst>
            <a:ext uri="{FF2B5EF4-FFF2-40B4-BE49-F238E27FC236}">
              <a16:creationId xmlns:a16="http://schemas.microsoft.com/office/drawing/2014/main" id="{77A87BDD-39FC-4351-AD9B-EA632FA1F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4" name="Imagem 1043" descr="http://sistemaswebhom.einstein.br/CME/Imagens/nada.gif">
          <a:extLst>
            <a:ext uri="{FF2B5EF4-FFF2-40B4-BE49-F238E27FC236}">
              <a16:creationId xmlns:a16="http://schemas.microsoft.com/office/drawing/2014/main" id="{0FA3487E-0B94-462F-ADCB-886489CD4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5" name="Imagem 1044" descr="http://sistemaswebhom.einstein.br/CME/Imagens/nada.gif">
          <a:extLst>
            <a:ext uri="{FF2B5EF4-FFF2-40B4-BE49-F238E27FC236}">
              <a16:creationId xmlns:a16="http://schemas.microsoft.com/office/drawing/2014/main" id="{FBBED76D-8A95-4BD8-BF70-836041F7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6" name="Imagem 1045" descr="http://sistemaswebhom.einstein.br/CME/Imagens/nada.gif">
          <a:extLst>
            <a:ext uri="{FF2B5EF4-FFF2-40B4-BE49-F238E27FC236}">
              <a16:creationId xmlns:a16="http://schemas.microsoft.com/office/drawing/2014/main" id="{6E7525A8-0F2E-4B40-90A2-3D5BE4A7A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7" name="Imagem 1046" descr="http://sistemaswebhom.einstein.br/CME/Imagens/nada.gif">
          <a:extLst>
            <a:ext uri="{FF2B5EF4-FFF2-40B4-BE49-F238E27FC236}">
              <a16:creationId xmlns:a16="http://schemas.microsoft.com/office/drawing/2014/main" id="{D3035435-ABEC-45D3-A7F9-ADA787BAC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48" name="Imagem 1047" descr="http://sistemaswebhom.einstein.br/CME/Imagens/nada.gif">
          <a:extLst>
            <a:ext uri="{FF2B5EF4-FFF2-40B4-BE49-F238E27FC236}">
              <a16:creationId xmlns:a16="http://schemas.microsoft.com/office/drawing/2014/main" id="{10505A12-6DEE-4976-AB7B-8AC6621E8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49" name="Imagem 1048" descr="http://sistemaswebhom.einstein.br/CME/Imagens/nada.gif">
          <a:extLst>
            <a:ext uri="{FF2B5EF4-FFF2-40B4-BE49-F238E27FC236}">
              <a16:creationId xmlns:a16="http://schemas.microsoft.com/office/drawing/2014/main" id="{1798BCE6-2AC0-41E3-9AE5-9DBEF721A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0" name="Imagem 1049" descr="http://sistemaswebhom.einstein.br/CME/Imagens/nada.gif">
          <a:extLst>
            <a:ext uri="{FF2B5EF4-FFF2-40B4-BE49-F238E27FC236}">
              <a16:creationId xmlns:a16="http://schemas.microsoft.com/office/drawing/2014/main" id="{C630744E-4830-407E-B60F-8E02254BE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1" name="Imagem 1050" descr="http://sistemaswebhom.einstein.br/CME/Imagens/nada.gif">
          <a:extLst>
            <a:ext uri="{FF2B5EF4-FFF2-40B4-BE49-F238E27FC236}">
              <a16:creationId xmlns:a16="http://schemas.microsoft.com/office/drawing/2014/main" id="{F6BB13C4-8038-4066-8768-8AE6045BB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2" name="Imagem 1051" descr="http://sistemaswebhom.einstein.br/CME/Imagens/nada.gif">
          <a:extLst>
            <a:ext uri="{FF2B5EF4-FFF2-40B4-BE49-F238E27FC236}">
              <a16:creationId xmlns:a16="http://schemas.microsoft.com/office/drawing/2014/main" id="{35460BD6-0D54-41BB-95B3-360028796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3" name="Imagem 1052" descr="http://sistemaswebhom.einstein.br/CME/Imagens/nada.gif">
          <a:extLst>
            <a:ext uri="{FF2B5EF4-FFF2-40B4-BE49-F238E27FC236}">
              <a16:creationId xmlns:a16="http://schemas.microsoft.com/office/drawing/2014/main" id="{F8F97F2A-88E3-4CA0-95CA-2E2CF602E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4" name="Imagem 1053" descr="http://sistemaswebhom.einstein.br/CME/Imagens/nada.gif">
          <a:extLst>
            <a:ext uri="{FF2B5EF4-FFF2-40B4-BE49-F238E27FC236}">
              <a16:creationId xmlns:a16="http://schemas.microsoft.com/office/drawing/2014/main" id="{5B712D1C-5DBE-4175-86D0-533C52E1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5" name="Imagem 1054" descr="http://sistemaswebhom.einstein.br/CME/Imagens/nada.gif">
          <a:extLst>
            <a:ext uri="{FF2B5EF4-FFF2-40B4-BE49-F238E27FC236}">
              <a16:creationId xmlns:a16="http://schemas.microsoft.com/office/drawing/2014/main" id="{4C3AA379-5E26-4BFA-AFAF-E26FCEE6B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6" name="Imagem 1055" descr="http://sistemaswebhom.einstein.br/CME/Imagens/nada.gif">
          <a:extLst>
            <a:ext uri="{FF2B5EF4-FFF2-40B4-BE49-F238E27FC236}">
              <a16:creationId xmlns:a16="http://schemas.microsoft.com/office/drawing/2014/main" id="{634F0CD0-B3F0-4884-A381-37E15F786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7" name="Imagem 1056" descr="http://sistemaswebhom.einstein.br/CME/Imagens/nada.gif">
          <a:extLst>
            <a:ext uri="{FF2B5EF4-FFF2-40B4-BE49-F238E27FC236}">
              <a16:creationId xmlns:a16="http://schemas.microsoft.com/office/drawing/2014/main" id="{7461E039-B4E6-4CFB-88AB-E6FAC92AD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8" name="Imagem 1057" descr="http://sistemaswebhom.einstein.br/CME/Imagens/nada.gif">
          <a:extLst>
            <a:ext uri="{FF2B5EF4-FFF2-40B4-BE49-F238E27FC236}">
              <a16:creationId xmlns:a16="http://schemas.microsoft.com/office/drawing/2014/main" id="{8ACC7E87-ED1F-41F0-A88E-AA0AE89C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59" name="Imagem 1058" descr="http://sistemaswebhom.einstein.br/CME/Imagens/nada.gif">
          <a:extLst>
            <a:ext uri="{FF2B5EF4-FFF2-40B4-BE49-F238E27FC236}">
              <a16:creationId xmlns:a16="http://schemas.microsoft.com/office/drawing/2014/main" id="{0498F36D-FE30-4DC4-93E4-CE6601E0C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0" name="Imagem 1059" descr="http://sistemaswebhom.einstein.br/CME/Imagens/nada.gif">
          <a:extLst>
            <a:ext uri="{FF2B5EF4-FFF2-40B4-BE49-F238E27FC236}">
              <a16:creationId xmlns:a16="http://schemas.microsoft.com/office/drawing/2014/main" id="{56649BED-B608-411D-AD92-558A538F3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1" name="Imagem 1060" descr="http://sistemaswebhom.einstein.br/CME/Imagens/nada.gif">
          <a:extLst>
            <a:ext uri="{FF2B5EF4-FFF2-40B4-BE49-F238E27FC236}">
              <a16:creationId xmlns:a16="http://schemas.microsoft.com/office/drawing/2014/main" id="{82F5525E-33FD-431B-8629-2E2C4D519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2" name="Imagem 1061" descr="http://sistemaswebhom.einstein.br/CME/Imagens/nada.gif">
          <a:extLst>
            <a:ext uri="{FF2B5EF4-FFF2-40B4-BE49-F238E27FC236}">
              <a16:creationId xmlns:a16="http://schemas.microsoft.com/office/drawing/2014/main" id="{7465A75A-DD02-4F42-A7A9-6D86F926F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3" name="Imagem 1062" descr="http://sistemaswebhom.einstein.br/CME/Imagens/nada.gif">
          <a:extLst>
            <a:ext uri="{FF2B5EF4-FFF2-40B4-BE49-F238E27FC236}">
              <a16:creationId xmlns:a16="http://schemas.microsoft.com/office/drawing/2014/main" id="{48344BB2-0177-49F9-A62A-23F0116B1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4" name="Imagem 1063" descr="http://sistemaswebhom.einstein.br/CME/Imagens/nada.gif">
          <a:extLst>
            <a:ext uri="{FF2B5EF4-FFF2-40B4-BE49-F238E27FC236}">
              <a16:creationId xmlns:a16="http://schemas.microsoft.com/office/drawing/2014/main" id="{3CFDB787-4437-4B10-A7C4-6F6A4553F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5" name="Imagem 1064" descr="http://sistemaswebhom.einstein.br/CME/Imagens/nada.gif">
          <a:extLst>
            <a:ext uri="{FF2B5EF4-FFF2-40B4-BE49-F238E27FC236}">
              <a16:creationId xmlns:a16="http://schemas.microsoft.com/office/drawing/2014/main" id="{39BBEF2A-CFA9-4DAF-BC48-1D2116196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6" name="Imagem 1065" descr="http://sistemaswebhom.einstein.br/CME/Imagens/nada.gif">
          <a:extLst>
            <a:ext uri="{FF2B5EF4-FFF2-40B4-BE49-F238E27FC236}">
              <a16:creationId xmlns:a16="http://schemas.microsoft.com/office/drawing/2014/main" id="{522D8956-8401-49CE-936E-DD71D651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7" name="Imagem 1066" descr="http://sistemaswebhom.einstein.br/CME/Imagens/nada.gif">
          <a:extLst>
            <a:ext uri="{FF2B5EF4-FFF2-40B4-BE49-F238E27FC236}">
              <a16:creationId xmlns:a16="http://schemas.microsoft.com/office/drawing/2014/main" id="{BD28BE1B-BAF2-4B7D-A67F-731CED356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8" name="Imagem 1067" descr="http://sistemaswebhom.einstein.br/CME/Imagens/nada.gif">
          <a:extLst>
            <a:ext uri="{FF2B5EF4-FFF2-40B4-BE49-F238E27FC236}">
              <a16:creationId xmlns:a16="http://schemas.microsoft.com/office/drawing/2014/main" id="{D168C277-47C0-4D78-ABFC-56C158CC0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69" name="Imagem 1068" descr="http://sistemaswebhom.einstein.br/CME/Imagens/nada.gif">
          <a:extLst>
            <a:ext uri="{FF2B5EF4-FFF2-40B4-BE49-F238E27FC236}">
              <a16:creationId xmlns:a16="http://schemas.microsoft.com/office/drawing/2014/main" id="{3BB2A447-EAD7-469C-96AA-B25ADD13F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0" name="Imagem 1069" descr="http://sistemaswebhom.einstein.br/CME/Imagens/nada.gif">
          <a:extLst>
            <a:ext uri="{FF2B5EF4-FFF2-40B4-BE49-F238E27FC236}">
              <a16:creationId xmlns:a16="http://schemas.microsoft.com/office/drawing/2014/main" id="{351917F4-2945-4B0B-895B-C7D85A12E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1" name="Imagem 1070" descr="http://sistemaswebhom.einstein.br/CME/Imagens/nada.gif">
          <a:extLst>
            <a:ext uri="{FF2B5EF4-FFF2-40B4-BE49-F238E27FC236}">
              <a16:creationId xmlns:a16="http://schemas.microsoft.com/office/drawing/2014/main" id="{6049B283-462C-4303-8B6E-4D2B18C73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2" name="Imagem 1071" descr="http://sistemaswebhom.einstein.br/CME/Imagens/nada.gif">
          <a:extLst>
            <a:ext uri="{FF2B5EF4-FFF2-40B4-BE49-F238E27FC236}">
              <a16:creationId xmlns:a16="http://schemas.microsoft.com/office/drawing/2014/main" id="{8D42DF8D-9447-4F72-B9F9-073953423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73" name="Imagem 1072" descr="http://sistemaswebhom.einstein.br/CME/Imagens/nada.gif">
          <a:extLst>
            <a:ext uri="{FF2B5EF4-FFF2-40B4-BE49-F238E27FC236}">
              <a16:creationId xmlns:a16="http://schemas.microsoft.com/office/drawing/2014/main" id="{BE83E9B9-78EB-4C92-8D40-A5BAAD086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4" name="Imagem 1073" descr="http://sistemaswebhom.einstein.br/CME/Imagens/nada.gif">
          <a:extLst>
            <a:ext uri="{FF2B5EF4-FFF2-40B4-BE49-F238E27FC236}">
              <a16:creationId xmlns:a16="http://schemas.microsoft.com/office/drawing/2014/main" id="{3C04318E-ECE6-47B0-BCF7-2EA5BDED5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5" name="Imagem 1074" descr="http://sistemaswebhom.einstein.br/CME/Imagens/nada.gif">
          <a:extLst>
            <a:ext uri="{FF2B5EF4-FFF2-40B4-BE49-F238E27FC236}">
              <a16:creationId xmlns:a16="http://schemas.microsoft.com/office/drawing/2014/main" id="{8FD43E2F-4019-4EDF-8C66-2E36A4C1A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6" name="Imagem 1075" descr="http://sistemaswebhom.einstein.br/CME/Imagens/nada.gif">
          <a:extLst>
            <a:ext uri="{FF2B5EF4-FFF2-40B4-BE49-F238E27FC236}">
              <a16:creationId xmlns:a16="http://schemas.microsoft.com/office/drawing/2014/main" id="{D43074A1-AF8C-4EEA-8199-68B8FEB95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7" name="Imagem 1076" descr="http://sistemaswebhom.einstein.br/CME/Imagens/nada.gif">
          <a:extLst>
            <a:ext uri="{FF2B5EF4-FFF2-40B4-BE49-F238E27FC236}">
              <a16:creationId xmlns:a16="http://schemas.microsoft.com/office/drawing/2014/main" id="{33CBE541-B034-4B19-AAD1-955B0CC60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8" name="Imagem 1077" descr="http://sistemaswebhom.einstein.br/CME/Imagens/nada.gif">
          <a:extLst>
            <a:ext uri="{FF2B5EF4-FFF2-40B4-BE49-F238E27FC236}">
              <a16:creationId xmlns:a16="http://schemas.microsoft.com/office/drawing/2014/main" id="{C1ACD1B9-BAC9-418D-B8C2-3786C4E8B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79" name="Imagem 1078" descr="http://sistemaswebhom.einstein.br/CME/Imagens/nada.gif">
          <a:extLst>
            <a:ext uri="{FF2B5EF4-FFF2-40B4-BE49-F238E27FC236}">
              <a16:creationId xmlns:a16="http://schemas.microsoft.com/office/drawing/2014/main" id="{2F22016F-1443-420C-87E8-83069C653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0" name="Imagem 1079" descr="http://sistemaswebhom.einstein.br/CME/Imagens/nada.gif">
          <a:extLst>
            <a:ext uri="{FF2B5EF4-FFF2-40B4-BE49-F238E27FC236}">
              <a16:creationId xmlns:a16="http://schemas.microsoft.com/office/drawing/2014/main" id="{1B011DA8-6483-41D9-9ACD-1AF6280E6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1" name="Imagem 1080" descr="http://sistemaswebhom.einstein.br/CME/Imagens/nada.gif">
          <a:extLst>
            <a:ext uri="{FF2B5EF4-FFF2-40B4-BE49-F238E27FC236}">
              <a16:creationId xmlns:a16="http://schemas.microsoft.com/office/drawing/2014/main" id="{1B09CFF7-7D80-47F4-A7A5-3261C9801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2" name="Imagem 1081" descr="http://sistemaswebhom.einstein.br/CME/Imagens/nada.gif">
          <a:extLst>
            <a:ext uri="{FF2B5EF4-FFF2-40B4-BE49-F238E27FC236}">
              <a16:creationId xmlns:a16="http://schemas.microsoft.com/office/drawing/2014/main" id="{1FFA84C8-4CC0-47E6-BEDB-7EEAE21AC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3" name="Imagem 1082" descr="http://sistemaswebhom.einstein.br/CME/Imagens/nada.gif">
          <a:extLst>
            <a:ext uri="{FF2B5EF4-FFF2-40B4-BE49-F238E27FC236}">
              <a16:creationId xmlns:a16="http://schemas.microsoft.com/office/drawing/2014/main" id="{3AAE1131-FDF2-424C-AC76-D8679CED6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4" name="Imagem 1083" descr="http://sistemaswebhom.einstein.br/CME/Imagens/nada.gif">
          <a:extLst>
            <a:ext uri="{FF2B5EF4-FFF2-40B4-BE49-F238E27FC236}">
              <a16:creationId xmlns:a16="http://schemas.microsoft.com/office/drawing/2014/main" id="{DB839999-1F0E-4846-BB78-D4D6604F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5" name="Imagem 1084" descr="http://sistemaswebhom.einstein.br/CME/Imagens/nada.gif">
          <a:extLst>
            <a:ext uri="{FF2B5EF4-FFF2-40B4-BE49-F238E27FC236}">
              <a16:creationId xmlns:a16="http://schemas.microsoft.com/office/drawing/2014/main" id="{E35550D4-25B3-4878-964A-D42917734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6" name="Imagem 1085" descr="http://sistemaswebhom.einstein.br/CME/Imagens/nada.gif">
          <a:extLst>
            <a:ext uri="{FF2B5EF4-FFF2-40B4-BE49-F238E27FC236}">
              <a16:creationId xmlns:a16="http://schemas.microsoft.com/office/drawing/2014/main" id="{70054627-708C-4D5F-8900-3161AD04D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7" name="Imagem 1086" descr="http://sistemaswebhom.einstein.br/CME/Imagens/nada.gif">
          <a:extLst>
            <a:ext uri="{FF2B5EF4-FFF2-40B4-BE49-F238E27FC236}">
              <a16:creationId xmlns:a16="http://schemas.microsoft.com/office/drawing/2014/main" id="{852DF60C-1101-4A2F-AEBD-39EEF25DA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8" name="Imagem 1087" descr="http://sistemaswebhom.einstein.br/CME/Imagens/nada.gif">
          <a:extLst>
            <a:ext uri="{FF2B5EF4-FFF2-40B4-BE49-F238E27FC236}">
              <a16:creationId xmlns:a16="http://schemas.microsoft.com/office/drawing/2014/main" id="{1B75822F-A298-4C55-BB67-97EBBE8C4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89" name="Imagem 1088" descr="http://sistemaswebhom.einstein.br/CME/Imagens/nada.gif">
          <a:extLst>
            <a:ext uri="{FF2B5EF4-FFF2-40B4-BE49-F238E27FC236}">
              <a16:creationId xmlns:a16="http://schemas.microsoft.com/office/drawing/2014/main" id="{EC2BF2E1-1D30-4318-9A77-AD7BDCC3D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0" name="Imagem 1089" descr="http://sistemaswebhom.einstein.br/CME/Imagens/nada.gif">
          <a:extLst>
            <a:ext uri="{FF2B5EF4-FFF2-40B4-BE49-F238E27FC236}">
              <a16:creationId xmlns:a16="http://schemas.microsoft.com/office/drawing/2014/main" id="{2C0B5261-6E79-4BDB-B020-78F46765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1" name="Imagem 1090" descr="http://sistemaswebhom.einstein.br/CME/Imagens/nada.gif">
          <a:extLst>
            <a:ext uri="{FF2B5EF4-FFF2-40B4-BE49-F238E27FC236}">
              <a16:creationId xmlns:a16="http://schemas.microsoft.com/office/drawing/2014/main" id="{C1C4CF75-EAE5-4E86-967F-655EB1BE0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2" name="Imagem 1091" descr="http://sistemaswebhom.einstein.br/CME/Imagens/nada.gif">
          <a:extLst>
            <a:ext uri="{FF2B5EF4-FFF2-40B4-BE49-F238E27FC236}">
              <a16:creationId xmlns:a16="http://schemas.microsoft.com/office/drawing/2014/main" id="{42E64BB3-A578-4BF4-9C28-CD332EFAA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3" name="Imagem 1092" descr="http://sistemaswebhom.einstein.br/CME/Imagens/nada.gif">
          <a:extLst>
            <a:ext uri="{FF2B5EF4-FFF2-40B4-BE49-F238E27FC236}">
              <a16:creationId xmlns:a16="http://schemas.microsoft.com/office/drawing/2014/main" id="{3B5815F0-9AD2-40DF-9953-F537F54DA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4" name="Imagem 1093" descr="http://sistemaswebhom.einstein.br/CME/Imagens/nada.gif">
          <a:extLst>
            <a:ext uri="{FF2B5EF4-FFF2-40B4-BE49-F238E27FC236}">
              <a16:creationId xmlns:a16="http://schemas.microsoft.com/office/drawing/2014/main" id="{0AC0D1C7-D15D-4C6E-BB78-0C1E7A204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095" name="Imagem 1094" descr="http://sistemaswebhom.einstein.br/CME/Imagens/nada.gif">
          <a:extLst>
            <a:ext uri="{FF2B5EF4-FFF2-40B4-BE49-F238E27FC236}">
              <a16:creationId xmlns:a16="http://schemas.microsoft.com/office/drawing/2014/main" id="{7A3CA58B-0C8D-4F65-BF24-F35C182A4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6" name="Imagem 1095" descr="http://sistemaswebhom.einstein.br/CME/Imagens/nada.gif">
          <a:extLst>
            <a:ext uri="{FF2B5EF4-FFF2-40B4-BE49-F238E27FC236}">
              <a16:creationId xmlns:a16="http://schemas.microsoft.com/office/drawing/2014/main" id="{EE7D0B57-2C2D-44AA-9A60-E6E45D900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7" name="Imagem 1096" descr="http://sistemaswebhom.einstein.br/CME/Imagens/nada.gif">
          <a:extLst>
            <a:ext uri="{FF2B5EF4-FFF2-40B4-BE49-F238E27FC236}">
              <a16:creationId xmlns:a16="http://schemas.microsoft.com/office/drawing/2014/main" id="{06CDDBA8-2D02-47F4-8B53-A35796D16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8" name="Imagem 1097" descr="http://sistemaswebhom.einstein.br/CME/Imagens/nada.gif">
          <a:extLst>
            <a:ext uri="{FF2B5EF4-FFF2-40B4-BE49-F238E27FC236}">
              <a16:creationId xmlns:a16="http://schemas.microsoft.com/office/drawing/2014/main" id="{A6194321-F529-46AC-BB3A-D4D706611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099" name="Imagem 1098" descr="http://sistemaswebhom.einstein.br/CME/Imagens/nada.gif">
          <a:extLst>
            <a:ext uri="{FF2B5EF4-FFF2-40B4-BE49-F238E27FC236}">
              <a16:creationId xmlns:a16="http://schemas.microsoft.com/office/drawing/2014/main" id="{95C05CAE-8E2F-4CDD-8FAE-821901390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0" name="Imagem 1099" descr="http://sistemaswebhom.einstein.br/CME/Imagens/nada.gif">
          <a:extLst>
            <a:ext uri="{FF2B5EF4-FFF2-40B4-BE49-F238E27FC236}">
              <a16:creationId xmlns:a16="http://schemas.microsoft.com/office/drawing/2014/main" id="{9E7D958E-0E3E-4C14-9E68-1989C7ED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1" name="Imagem 1100" descr="http://sistemaswebhom.einstein.br/CME/Imagens/nada.gif">
          <a:extLst>
            <a:ext uri="{FF2B5EF4-FFF2-40B4-BE49-F238E27FC236}">
              <a16:creationId xmlns:a16="http://schemas.microsoft.com/office/drawing/2014/main" id="{D8C14E8D-7A10-4F4A-8E78-1261FBDB6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2" name="Imagem 1101" descr="http://sistemaswebhom.einstein.br/CME/Imagens/nada.gif">
          <a:extLst>
            <a:ext uri="{FF2B5EF4-FFF2-40B4-BE49-F238E27FC236}">
              <a16:creationId xmlns:a16="http://schemas.microsoft.com/office/drawing/2014/main" id="{33B55D47-1636-4A16-AAB7-39FE1F2DE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03" name="Imagem 1102" descr="http://sistemaswebhom.einstein.br/CME/Imagens/nada.gif">
          <a:extLst>
            <a:ext uri="{FF2B5EF4-FFF2-40B4-BE49-F238E27FC236}">
              <a16:creationId xmlns:a16="http://schemas.microsoft.com/office/drawing/2014/main" id="{D2D15064-45F7-49C6-8A04-B398C7883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4" name="Imagem 1103" descr="http://sistemaswebhom.einstein.br/CME/Imagens/nada.gif">
          <a:extLst>
            <a:ext uri="{FF2B5EF4-FFF2-40B4-BE49-F238E27FC236}">
              <a16:creationId xmlns:a16="http://schemas.microsoft.com/office/drawing/2014/main" id="{CD33EE36-B304-44CC-82C3-1B1D486D5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5" name="Imagem 1104" descr="http://sistemaswebhom.einstein.br/CME/Imagens/nada.gif">
          <a:extLst>
            <a:ext uri="{FF2B5EF4-FFF2-40B4-BE49-F238E27FC236}">
              <a16:creationId xmlns:a16="http://schemas.microsoft.com/office/drawing/2014/main" id="{865782E2-B912-458B-A342-F26F4BB43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6" name="Imagem 1105" descr="http://sistemaswebhom.einstein.br/CME/Imagens/nada.gif">
          <a:extLst>
            <a:ext uri="{FF2B5EF4-FFF2-40B4-BE49-F238E27FC236}">
              <a16:creationId xmlns:a16="http://schemas.microsoft.com/office/drawing/2014/main" id="{AA9DE152-CE52-46AE-8FA6-77FC1F965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7" name="Imagem 1106" descr="http://sistemaswebhom.einstein.br/CME/Imagens/nada.gif">
          <a:extLst>
            <a:ext uri="{FF2B5EF4-FFF2-40B4-BE49-F238E27FC236}">
              <a16:creationId xmlns:a16="http://schemas.microsoft.com/office/drawing/2014/main" id="{E94206EE-200C-4649-B7E1-1CE2C30AA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8" name="Imagem 1107" descr="http://sistemaswebhom.einstein.br/CME/Imagens/nada.gif">
          <a:extLst>
            <a:ext uri="{FF2B5EF4-FFF2-40B4-BE49-F238E27FC236}">
              <a16:creationId xmlns:a16="http://schemas.microsoft.com/office/drawing/2014/main" id="{F8945E10-62CE-481F-858E-100809825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09" name="Imagem 1108" descr="http://sistemaswebhom.einstein.br/CME/Imagens/nada.gif">
          <a:extLst>
            <a:ext uri="{FF2B5EF4-FFF2-40B4-BE49-F238E27FC236}">
              <a16:creationId xmlns:a16="http://schemas.microsoft.com/office/drawing/2014/main" id="{05ECA242-35C5-497C-BFF5-3C00DE8C7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0" name="Imagem 1109" descr="http://sistemaswebhom.einstein.br/CME/Imagens/nada.gif">
          <a:extLst>
            <a:ext uri="{FF2B5EF4-FFF2-40B4-BE49-F238E27FC236}">
              <a16:creationId xmlns:a16="http://schemas.microsoft.com/office/drawing/2014/main" id="{35673528-8471-4CA6-B044-25F58C3F9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1" name="Imagem 1110" descr="http://sistemaswebhom.einstein.br/CME/Imagens/nada.gif">
          <a:extLst>
            <a:ext uri="{FF2B5EF4-FFF2-40B4-BE49-F238E27FC236}">
              <a16:creationId xmlns:a16="http://schemas.microsoft.com/office/drawing/2014/main" id="{365359E7-E29E-44F3-92A5-5E64B77F2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2" name="Imagem 1111" descr="http://sistemaswebhom.einstein.br/CME/Imagens/nada.gif">
          <a:extLst>
            <a:ext uri="{FF2B5EF4-FFF2-40B4-BE49-F238E27FC236}">
              <a16:creationId xmlns:a16="http://schemas.microsoft.com/office/drawing/2014/main" id="{E1819806-8076-4AF9-8CE1-5DFCC9C37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3" name="Imagem 1112" descr="http://sistemaswebhom.einstein.br/CME/Imagens/nada.gif">
          <a:extLst>
            <a:ext uri="{FF2B5EF4-FFF2-40B4-BE49-F238E27FC236}">
              <a16:creationId xmlns:a16="http://schemas.microsoft.com/office/drawing/2014/main" id="{C8DCDB36-EEED-46DB-97F5-47C406381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4" name="Imagem 1113" descr="http://sistemaswebhom.einstein.br/CME/Imagens/nada.gif">
          <a:extLst>
            <a:ext uri="{FF2B5EF4-FFF2-40B4-BE49-F238E27FC236}">
              <a16:creationId xmlns:a16="http://schemas.microsoft.com/office/drawing/2014/main" id="{B2AE1E42-F843-4692-B01C-471075585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5" name="Imagem 1114" descr="http://sistemaswebhom.einstein.br/CME/Imagens/nada.gif">
          <a:extLst>
            <a:ext uri="{FF2B5EF4-FFF2-40B4-BE49-F238E27FC236}">
              <a16:creationId xmlns:a16="http://schemas.microsoft.com/office/drawing/2014/main" id="{391D4C57-7396-43AF-8698-B092C621F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6" name="Imagem 1115" descr="http://sistemaswebhom.einstein.br/CME/Imagens/nada.gif">
          <a:extLst>
            <a:ext uri="{FF2B5EF4-FFF2-40B4-BE49-F238E27FC236}">
              <a16:creationId xmlns:a16="http://schemas.microsoft.com/office/drawing/2014/main" id="{CB674303-BF00-4879-BE72-0585B1150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7" name="Imagem 1116" descr="http://sistemaswebhom.einstein.br/CME/Imagens/nada.gif">
          <a:extLst>
            <a:ext uri="{FF2B5EF4-FFF2-40B4-BE49-F238E27FC236}">
              <a16:creationId xmlns:a16="http://schemas.microsoft.com/office/drawing/2014/main" id="{BC730E3A-FD30-4656-88F1-2262E930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8" name="Imagem 1117" descr="http://sistemaswebhom.einstein.br/CME/Imagens/nada.gif">
          <a:extLst>
            <a:ext uri="{FF2B5EF4-FFF2-40B4-BE49-F238E27FC236}">
              <a16:creationId xmlns:a16="http://schemas.microsoft.com/office/drawing/2014/main" id="{5852354A-D7A9-4028-957C-4DDD2AD9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19" name="Imagem 1118" descr="http://sistemaswebhom.einstein.br/CME/Imagens/nada.gif">
          <a:extLst>
            <a:ext uri="{FF2B5EF4-FFF2-40B4-BE49-F238E27FC236}">
              <a16:creationId xmlns:a16="http://schemas.microsoft.com/office/drawing/2014/main" id="{9D4552BA-54DE-49D3-8347-A6FD9EBF3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0" name="Imagem 1119" descr="http://sistemaswebhom.einstein.br/CME/Imagens/nada.gif">
          <a:extLst>
            <a:ext uri="{FF2B5EF4-FFF2-40B4-BE49-F238E27FC236}">
              <a16:creationId xmlns:a16="http://schemas.microsoft.com/office/drawing/2014/main" id="{E6BC2B20-3DD2-4B97-AFE8-58EE41C8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1" name="Imagem 1120" descr="http://sistemaswebhom.einstein.br/CME/Imagens/nada.gif">
          <a:extLst>
            <a:ext uri="{FF2B5EF4-FFF2-40B4-BE49-F238E27FC236}">
              <a16:creationId xmlns:a16="http://schemas.microsoft.com/office/drawing/2014/main" id="{0923A7C6-68C6-408E-91CE-E5DF84DF2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2" name="Imagem 1121" descr="http://sistemaswebhom.einstein.br/CME/Imagens/nada.gif">
          <a:extLst>
            <a:ext uri="{FF2B5EF4-FFF2-40B4-BE49-F238E27FC236}">
              <a16:creationId xmlns:a16="http://schemas.microsoft.com/office/drawing/2014/main" id="{9C57EE5E-8EBA-4247-8F4A-6F8C384F3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3" name="Imagem 1122" descr="http://sistemaswebhom.einstein.br/CME/Imagens/nada.gif">
          <a:extLst>
            <a:ext uri="{FF2B5EF4-FFF2-40B4-BE49-F238E27FC236}">
              <a16:creationId xmlns:a16="http://schemas.microsoft.com/office/drawing/2014/main" id="{CB4B3CBC-2365-4334-9AE7-161D1506A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4" name="Imagem 1123" descr="http://sistemaswebhom.einstein.br/CME/Imagens/nada.gif">
          <a:extLst>
            <a:ext uri="{FF2B5EF4-FFF2-40B4-BE49-F238E27FC236}">
              <a16:creationId xmlns:a16="http://schemas.microsoft.com/office/drawing/2014/main" id="{6F2A44A7-5D9E-4FD0-9D9E-00E1207F8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25" name="Imagem 1124" descr="http://sistemaswebhom.einstein.br/CME/Imagens/nada.gif">
          <a:extLst>
            <a:ext uri="{FF2B5EF4-FFF2-40B4-BE49-F238E27FC236}">
              <a16:creationId xmlns:a16="http://schemas.microsoft.com/office/drawing/2014/main" id="{C055AB7F-87A8-4180-9310-94770C908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6" name="Imagem 1125" descr="http://sistemaswebhom.einstein.br/CME/Imagens/nada.gif">
          <a:extLst>
            <a:ext uri="{FF2B5EF4-FFF2-40B4-BE49-F238E27FC236}">
              <a16:creationId xmlns:a16="http://schemas.microsoft.com/office/drawing/2014/main" id="{3DEA6DDF-0E4B-4860-8286-4EC0857D5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7" name="Imagem 1126" descr="http://sistemaswebhom.einstein.br/CME/Imagens/nada.gif">
          <a:extLst>
            <a:ext uri="{FF2B5EF4-FFF2-40B4-BE49-F238E27FC236}">
              <a16:creationId xmlns:a16="http://schemas.microsoft.com/office/drawing/2014/main" id="{CB195BCC-71FF-441A-BAD8-B044D95C5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8" name="Imagem 1127" descr="http://sistemaswebhom.einstein.br/CME/Imagens/nada.gif">
          <a:extLst>
            <a:ext uri="{FF2B5EF4-FFF2-40B4-BE49-F238E27FC236}">
              <a16:creationId xmlns:a16="http://schemas.microsoft.com/office/drawing/2014/main" id="{15D3F343-8596-476C-BB08-C956FD8A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29" name="Imagem 1128" descr="http://sistemaswebhom.einstein.br/CME/Imagens/nada.gif">
          <a:extLst>
            <a:ext uri="{FF2B5EF4-FFF2-40B4-BE49-F238E27FC236}">
              <a16:creationId xmlns:a16="http://schemas.microsoft.com/office/drawing/2014/main" id="{4405BBF6-9655-4934-A818-71E02FC5B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0" name="Imagem 1129" descr="http://sistemaswebhom.einstein.br/CME/Imagens/nada.gif">
          <a:extLst>
            <a:ext uri="{FF2B5EF4-FFF2-40B4-BE49-F238E27FC236}">
              <a16:creationId xmlns:a16="http://schemas.microsoft.com/office/drawing/2014/main" id="{3FF7A578-3496-4769-8FFD-3206C968B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1" name="Imagem 1130" descr="http://sistemaswebhom.einstein.br/CME/Imagens/nada.gif">
          <a:extLst>
            <a:ext uri="{FF2B5EF4-FFF2-40B4-BE49-F238E27FC236}">
              <a16:creationId xmlns:a16="http://schemas.microsoft.com/office/drawing/2014/main" id="{45670BF9-C66D-42DF-9244-C6F545813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2" name="Imagem 1131" descr="http://sistemaswebhom.einstein.br/CME/Imagens/nada.gif">
          <a:extLst>
            <a:ext uri="{FF2B5EF4-FFF2-40B4-BE49-F238E27FC236}">
              <a16:creationId xmlns:a16="http://schemas.microsoft.com/office/drawing/2014/main" id="{79D6FB1C-B286-4E78-B231-CF5968E95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3" name="Imagem 1132" descr="http://sistemaswebhom.einstein.br/CME/Imagens/nada.gif">
          <a:extLst>
            <a:ext uri="{FF2B5EF4-FFF2-40B4-BE49-F238E27FC236}">
              <a16:creationId xmlns:a16="http://schemas.microsoft.com/office/drawing/2014/main" id="{912B9A4B-8D7E-4921-9F6F-E640E6108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4" name="Imagem 1133" descr="http://sistemaswebhom.einstein.br/CME/Imagens/nada.gif">
          <a:extLst>
            <a:ext uri="{FF2B5EF4-FFF2-40B4-BE49-F238E27FC236}">
              <a16:creationId xmlns:a16="http://schemas.microsoft.com/office/drawing/2014/main" id="{CDEC1F66-E9DB-4378-864B-66B4C2965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5" name="Imagem 1134" descr="http://sistemaswebhom.einstein.br/CME/Imagens/nada.gif">
          <a:extLst>
            <a:ext uri="{FF2B5EF4-FFF2-40B4-BE49-F238E27FC236}">
              <a16:creationId xmlns:a16="http://schemas.microsoft.com/office/drawing/2014/main" id="{87891356-CE7D-4974-98D2-31F93A6A7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6" name="Imagem 1135" descr="http://sistemaswebhom.einstein.br/CME/Imagens/nada.gif">
          <a:extLst>
            <a:ext uri="{FF2B5EF4-FFF2-40B4-BE49-F238E27FC236}">
              <a16:creationId xmlns:a16="http://schemas.microsoft.com/office/drawing/2014/main" id="{2FA4F451-8955-4341-B3A7-1B38ED2C4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7" name="Imagem 1136" descr="http://sistemaswebhom.einstein.br/CME/Imagens/nada.gif">
          <a:extLst>
            <a:ext uri="{FF2B5EF4-FFF2-40B4-BE49-F238E27FC236}">
              <a16:creationId xmlns:a16="http://schemas.microsoft.com/office/drawing/2014/main" id="{82E8B0E6-C78F-4D00-8175-143A26851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8" name="Imagem 1137" descr="http://sistemaswebhom.einstein.br/CME/Imagens/nada.gif">
          <a:extLst>
            <a:ext uri="{FF2B5EF4-FFF2-40B4-BE49-F238E27FC236}">
              <a16:creationId xmlns:a16="http://schemas.microsoft.com/office/drawing/2014/main" id="{98A72486-2779-4D0C-A848-405CDFD44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39" name="Imagem 1138" descr="http://sistemaswebhom.einstein.br/CME/Imagens/nada.gif">
          <a:extLst>
            <a:ext uri="{FF2B5EF4-FFF2-40B4-BE49-F238E27FC236}">
              <a16:creationId xmlns:a16="http://schemas.microsoft.com/office/drawing/2014/main" id="{DB6DDC59-26AD-4074-B6BA-7E00C6EB0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0" name="Imagem 1139" descr="http://sistemaswebhom.einstein.br/CME/Imagens/nada.gif">
          <a:extLst>
            <a:ext uri="{FF2B5EF4-FFF2-40B4-BE49-F238E27FC236}">
              <a16:creationId xmlns:a16="http://schemas.microsoft.com/office/drawing/2014/main" id="{6FD9839D-717A-4C90-BD9C-60D5EBA12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1" name="Imagem 1140" descr="http://sistemaswebhom.einstein.br/CME/Imagens/nada.gif">
          <a:extLst>
            <a:ext uri="{FF2B5EF4-FFF2-40B4-BE49-F238E27FC236}">
              <a16:creationId xmlns:a16="http://schemas.microsoft.com/office/drawing/2014/main" id="{A9747225-8F86-47B6-A952-89EBBEB5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2" name="Imagem 1141" descr="http://sistemaswebhom.einstein.br/CME/Imagens/nada.gif">
          <a:extLst>
            <a:ext uri="{FF2B5EF4-FFF2-40B4-BE49-F238E27FC236}">
              <a16:creationId xmlns:a16="http://schemas.microsoft.com/office/drawing/2014/main" id="{607DF48C-02D8-4776-8427-D4DA2249C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3" name="Imagem 1142" descr="http://sistemaswebhom.einstein.br/CME/Imagens/nada.gif">
          <a:extLst>
            <a:ext uri="{FF2B5EF4-FFF2-40B4-BE49-F238E27FC236}">
              <a16:creationId xmlns:a16="http://schemas.microsoft.com/office/drawing/2014/main" id="{6658A2CB-4951-466D-936B-4DF2146D4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4" name="Imagem 1143" descr="http://sistemaswebhom.einstein.br/CME/Imagens/nada.gif">
          <a:extLst>
            <a:ext uri="{FF2B5EF4-FFF2-40B4-BE49-F238E27FC236}">
              <a16:creationId xmlns:a16="http://schemas.microsoft.com/office/drawing/2014/main" id="{6E4DAE37-A034-4CFA-B878-BEA6AF4B6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5" name="Imagem 1144" descr="http://sistemaswebhom.einstein.br/CME/Imagens/nada.gif">
          <a:extLst>
            <a:ext uri="{FF2B5EF4-FFF2-40B4-BE49-F238E27FC236}">
              <a16:creationId xmlns:a16="http://schemas.microsoft.com/office/drawing/2014/main" id="{5D20B4CD-7F1D-4AB4-ACF1-78D295C4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6" name="Imagem 1145" descr="http://sistemaswebhom.einstein.br/CME/Imagens/nada.gif">
          <a:extLst>
            <a:ext uri="{FF2B5EF4-FFF2-40B4-BE49-F238E27FC236}">
              <a16:creationId xmlns:a16="http://schemas.microsoft.com/office/drawing/2014/main" id="{0AE505EA-83E7-485F-9822-5FAAB1BC6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47" name="Imagem 1146" descr="http://sistemaswebhom.einstein.br/CME/Imagens/nada.gif">
          <a:extLst>
            <a:ext uri="{FF2B5EF4-FFF2-40B4-BE49-F238E27FC236}">
              <a16:creationId xmlns:a16="http://schemas.microsoft.com/office/drawing/2014/main" id="{6B2AF929-FE77-4FB0-A912-C3EDFF579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8" name="Imagem 1147" descr="http://sistemaswebhom.einstein.br/CME/Imagens/nada.gif">
          <a:extLst>
            <a:ext uri="{FF2B5EF4-FFF2-40B4-BE49-F238E27FC236}">
              <a16:creationId xmlns:a16="http://schemas.microsoft.com/office/drawing/2014/main" id="{8215EDA0-30F1-4FD5-939A-1E6BBDFD8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49" name="Imagem 1148" descr="http://sistemaswebhom.einstein.br/CME/Imagens/nada.gif">
          <a:extLst>
            <a:ext uri="{FF2B5EF4-FFF2-40B4-BE49-F238E27FC236}">
              <a16:creationId xmlns:a16="http://schemas.microsoft.com/office/drawing/2014/main" id="{A6AC2E08-99AA-479D-B1CE-74AD493E9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0" name="Imagem 1149" descr="http://sistemaswebhom.einstein.br/CME/Imagens/nada.gif">
          <a:extLst>
            <a:ext uri="{FF2B5EF4-FFF2-40B4-BE49-F238E27FC236}">
              <a16:creationId xmlns:a16="http://schemas.microsoft.com/office/drawing/2014/main" id="{DAEEFF8A-8B99-469A-B3F3-73A3ED653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1" name="Imagem 1150" descr="http://sistemaswebhom.einstein.br/CME/Imagens/nada.gif">
          <a:extLst>
            <a:ext uri="{FF2B5EF4-FFF2-40B4-BE49-F238E27FC236}">
              <a16:creationId xmlns:a16="http://schemas.microsoft.com/office/drawing/2014/main" id="{B2AC86A5-ADF2-4F54-B77E-EFCF75AA6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2" name="Imagem 1151" descr="http://sistemaswebhom.einstein.br/CME/Imagens/nada.gif">
          <a:extLst>
            <a:ext uri="{FF2B5EF4-FFF2-40B4-BE49-F238E27FC236}">
              <a16:creationId xmlns:a16="http://schemas.microsoft.com/office/drawing/2014/main" id="{CCFA7F61-A4B3-4E30-BA6D-C612C16A7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3" name="Imagem 1152" descr="http://sistemaswebhom.einstein.br/CME/Imagens/nada.gif">
          <a:extLst>
            <a:ext uri="{FF2B5EF4-FFF2-40B4-BE49-F238E27FC236}">
              <a16:creationId xmlns:a16="http://schemas.microsoft.com/office/drawing/2014/main" id="{173C04F5-C265-451C-8F18-4B723276F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4" name="Imagem 1153" descr="http://sistemaswebhom.einstein.br/CME/Imagens/nada.gif">
          <a:extLst>
            <a:ext uri="{FF2B5EF4-FFF2-40B4-BE49-F238E27FC236}">
              <a16:creationId xmlns:a16="http://schemas.microsoft.com/office/drawing/2014/main" id="{0FEE3FDE-9DAF-4E3A-B5B5-E877488A7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5" name="Imagem 1154" descr="http://sistemaswebhom.einstein.br/CME/Imagens/nada.gif">
          <a:extLst>
            <a:ext uri="{FF2B5EF4-FFF2-40B4-BE49-F238E27FC236}">
              <a16:creationId xmlns:a16="http://schemas.microsoft.com/office/drawing/2014/main" id="{15894F73-4065-4A22-BABC-5C7517228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6" name="Imagem 1155" descr="http://sistemaswebhom.einstein.br/CME/Imagens/nada.gif">
          <a:extLst>
            <a:ext uri="{FF2B5EF4-FFF2-40B4-BE49-F238E27FC236}">
              <a16:creationId xmlns:a16="http://schemas.microsoft.com/office/drawing/2014/main" id="{DE1F27BF-C143-4D63-B172-796C66AE0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57" name="Imagem 1156" descr="http://sistemaswebhom.einstein.br/CME/Imagens/nada.gif">
          <a:extLst>
            <a:ext uri="{FF2B5EF4-FFF2-40B4-BE49-F238E27FC236}">
              <a16:creationId xmlns:a16="http://schemas.microsoft.com/office/drawing/2014/main" id="{1C55F452-0D67-4606-B50A-5B438F77B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8" name="Imagem 1157" descr="http://sistemaswebhom.einstein.br/CME/Imagens/nada.gif">
          <a:extLst>
            <a:ext uri="{FF2B5EF4-FFF2-40B4-BE49-F238E27FC236}">
              <a16:creationId xmlns:a16="http://schemas.microsoft.com/office/drawing/2014/main" id="{3CEB3E4D-70E8-430C-96DE-C00ACE19A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59" name="Imagem 1158" descr="http://sistemaswebhom.einstein.br/CME/Imagens/nada.gif">
          <a:extLst>
            <a:ext uri="{FF2B5EF4-FFF2-40B4-BE49-F238E27FC236}">
              <a16:creationId xmlns:a16="http://schemas.microsoft.com/office/drawing/2014/main" id="{AE1E51EE-D11B-4EBA-80DB-0CB4DC8BD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0" name="Imagem 1159" descr="http://sistemaswebhom.einstein.br/CME/Imagens/nada.gif">
          <a:extLst>
            <a:ext uri="{FF2B5EF4-FFF2-40B4-BE49-F238E27FC236}">
              <a16:creationId xmlns:a16="http://schemas.microsoft.com/office/drawing/2014/main" id="{869B4ABC-8D14-4327-91D1-5EFC62884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1" name="Imagem 1160" descr="http://sistemaswebhom.einstein.br/CME/Imagens/nada.gif">
          <a:extLst>
            <a:ext uri="{FF2B5EF4-FFF2-40B4-BE49-F238E27FC236}">
              <a16:creationId xmlns:a16="http://schemas.microsoft.com/office/drawing/2014/main" id="{18247D1E-3F95-4A88-B734-58CFFE8B3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2" name="Imagem 1161" descr="http://sistemaswebhom.einstein.br/CME/Imagens/nada.gif">
          <a:extLst>
            <a:ext uri="{FF2B5EF4-FFF2-40B4-BE49-F238E27FC236}">
              <a16:creationId xmlns:a16="http://schemas.microsoft.com/office/drawing/2014/main" id="{B41FC368-50B3-41D0-B371-B6708069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3" name="Imagem 1162" descr="http://sistemaswebhom.einstein.br/CME/Imagens/nada.gif">
          <a:extLst>
            <a:ext uri="{FF2B5EF4-FFF2-40B4-BE49-F238E27FC236}">
              <a16:creationId xmlns:a16="http://schemas.microsoft.com/office/drawing/2014/main" id="{5605F096-BE0E-42C7-A353-2D3CBB014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4" name="Imagem 1163" descr="http://sistemaswebhom.einstein.br/CME/Imagens/nada.gif">
          <a:extLst>
            <a:ext uri="{FF2B5EF4-FFF2-40B4-BE49-F238E27FC236}">
              <a16:creationId xmlns:a16="http://schemas.microsoft.com/office/drawing/2014/main" id="{4EBFA09E-59C3-4EC0-98FB-8538234F8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5" name="Imagem 1164" descr="http://sistemaswebhom.einstein.br/CME/Imagens/nada.gif">
          <a:extLst>
            <a:ext uri="{FF2B5EF4-FFF2-40B4-BE49-F238E27FC236}">
              <a16:creationId xmlns:a16="http://schemas.microsoft.com/office/drawing/2014/main" id="{74307A42-C637-4A4C-BF3F-9C89907CA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6" name="Imagem 1165" descr="http://sistemaswebhom.einstein.br/CME/Imagens/nada.gif">
          <a:extLst>
            <a:ext uri="{FF2B5EF4-FFF2-40B4-BE49-F238E27FC236}">
              <a16:creationId xmlns:a16="http://schemas.microsoft.com/office/drawing/2014/main" id="{93BFD06C-414F-4338-BA1A-AE89ACC41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7" name="Imagem 1166" descr="http://sistemaswebhom.einstein.br/CME/Imagens/nada.gif">
          <a:extLst>
            <a:ext uri="{FF2B5EF4-FFF2-40B4-BE49-F238E27FC236}">
              <a16:creationId xmlns:a16="http://schemas.microsoft.com/office/drawing/2014/main" id="{E503A98F-FBF3-405E-9988-2898EC7D3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8" name="Imagem 1167" descr="http://sistemaswebhom.einstein.br/CME/Imagens/nada.gif">
          <a:extLst>
            <a:ext uri="{FF2B5EF4-FFF2-40B4-BE49-F238E27FC236}">
              <a16:creationId xmlns:a16="http://schemas.microsoft.com/office/drawing/2014/main" id="{ADEA1CBA-5001-4B35-A436-3362301FD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69" name="Imagem 1168" descr="http://sistemaswebhom.einstein.br/CME/Imagens/nada.gif">
          <a:extLst>
            <a:ext uri="{FF2B5EF4-FFF2-40B4-BE49-F238E27FC236}">
              <a16:creationId xmlns:a16="http://schemas.microsoft.com/office/drawing/2014/main" id="{95B5AFC9-2333-47F6-AAE9-55E12F6A6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0" name="Imagem 1169" descr="http://sistemaswebhom.einstein.br/CME/Imagens/nada.gif">
          <a:extLst>
            <a:ext uri="{FF2B5EF4-FFF2-40B4-BE49-F238E27FC236}">
              <a16:creationId xmlns:a16="http://schemas.microsoft.com/office/drawing/2014/main" id="{9F8A06A9-2758-4624-9D64-1EC3983BA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1" name="Imagem 1170" descr="http://sistemaswebhom.einstein.br/CME/Imagens/nada.gif">
          <a:extLst>
            <a:ext uri="{FF2B5EF4-FFF2-40B4-BE49-F238E27FC236}">
              <a16:creationId xmlns:a16="http://schemas.microsoft.com/office/drawing/2014/main" id="{BF447AF1-7553-4D62-B8A9-DD3FA0868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2" name="Imagem 1171" descr="http://sistemaswebhom.einstein.br/CME/Imagens/nada.gif">
          <a:extLst>
            <a:ext uri="{FF2B5EF4-FFF2-40B4-BE49-F238E27FC236}">
              <a16:creationId xmlns:a16="http://schemas.microsoft.com/office/drawing/2014/main" id="{477D8017-440D-48F6-A0B2-F267467F4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3" name="Imagem 1172" descr="http://sistemaswebhom.einstein.br/CME/Imagens/nada.gif">
          <a:extLst>
            <a:ext uri="{FF2B5EF4-FFF2-40B4-BE49-F238E27FC236}">
              <a16:creationId xmlns:a16="http://schemas.microsoft.com/office/drawing/2014/main" id="{F54D3414-912C-4989-8315-CB75C1667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4" name="Imagem 1173" descr="http://sistemaswebhom.einstein.br/CME/Imagens/nada.gif">
          <a:extLst>
            <a:ext uri="{FF2B5EF4-FFF2-40B4-BE49-F238E27FC236}">
              <a16:creationId xmlns:a16="http://schemas.microsoft.com/office/drawing/2014/main" id="{2AA6EDEF-24EA-4935-9F4C-FCE0EF3B3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5" name="Imagem 1174" descr="http://sistemaswebhom.einstein.br/CME/Imagens/nada.gif">
          <a:extLst>
            <a:ext uri="{FF2B5EF4-FFF2-40B4-BE49-F238E27FC236}">
              <a16:creationId xmlns:a16="http://schemas.microsoft.com/office/drawing/2014/main" id="{7B8E8272-EB3C-485E-A748-7C604D01F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6" name="Imagem 1175" descr="http://sistemaswebhom.einstein.br/CME/Imagens/nada.gif">
          <a:extLst>
            <a:ext uri="{FF2B5EF4-FFF2-40B4-BE49-F238E27FC236}">
              <a16:creationId xmlns:a16="http://schemas.microsoft.com/office/drawing/2014/main" id="{2176BBB2-08AB-4A52-AFC0-158B5EE1D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7" name="Imagem 1176" descr="http://sistemaswebhom.einstein.br/CME/Imagens/nada.gif">
          <a:extLst>
            <a:ext uri="{FF2B5EF4-FFF2-40B4-BE49-F238E27FC236}">
              <a16:creationId xmlns:a16="http://schemas.microsoft.com/office/drawing/2014/main" id="{92AAB985-0F8E-4E2F-BB76-59BAF8F00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78" name="Imagem 1177" descr="http://sistemaswebhom.einstein.br/CME/Imagens/nada.gif">
          <a:extLst>
            <a:ext uri="{FF2B5EF4-FFF2-40B4-BE49-F238E27FC236}">
              <a16:creationId xmlns:a16="http://schemas.microsoft.com/office/drawing/2014/main" id="{E47A53EA-E000-477F-A211-5BE9B8B6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79" name="Imagem 1178" descr="http://sistemaswebhom.einstein.br/CME/Imagens/nada.gif">
          <a:extLst>
            <a:ext uri="{FF2B5EF4-FFF2-40B4-BE49-F238E27FC236}">
              <a16:creationId xmlns:a16="http://schemas.microsoft.com/office/drawing/2014/main" id="{AF71F71F-3D8A-4E3E-9E08-1AD973C10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0" name="Imagem 1179" descr="http://sistemaswebhom.einstein.br/CME/Imagens/nada.gif">
          <a:extLst>
            <a:ext uri="{FF2B5EF4-FFF2-40B4-BE49-F238E27FC236}">
              <a16:creationId xmlns:a16="http://schemas.microsoft.com/office/drawing/2014/main" id="{76640A1A-9F0E-4AB8-9429-F80F3EF15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1" name="Imagem 1180" descr="http://sistemaswebhom.einstein.br/CME/Imagens/nada.gif">
          <a:extLst>
            <a:ext uri="{FF2B5EF4-FFF2-40B4-BE49-F238E27FC236}">
              <a16:creationId xmlns:a16="http://schemas.microsoft.com/office/drawing/2014/main" id="{A3474D19-D86F-46AC-B805-8F25D49C8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2" name="Imagem 1181" descr="http://sistemaswebhom.einstein.br/CME/Imagens/nada.gif">
          <a:extLst>
            <a:ext uri="{FF2B5EF4-FFF2-40B4-BE49-F238E27FC236}">
              <a16:creationId xmlns:a16="http://schemas.microsoft.com/office/drawing/2014/main" id="{A4B61906-5A83-4F5F-AFF4-877EE1221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3" name="Imagem 1182" descr="http://sistemaswebhom.einstein.br/CME/Imagens/nada.gif">
          <a:extLst>
            <a:ext uri="{FF2B5EF4-FFF2-40B4-BE49-F238E27FC236}">
              <a16:creationId xmlns:a16="http://schemas.microsoft.com/office/drawing/2014/main" id="{2F8307CB-8B5A-448B-B97A-396F82D09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4" name="Imagem 1183" descr="http://sistemaswebhom.einstein.br/CME/Imagens/nada.gif">
          <a:extLst>
            <a:ext uri="{FF2B5EF4-FFF2-40B4-BE49-F238E27FC236}">
              <a16:creationId xmlns:a16="http://schemas.microsoft.com/office/drawing/2014/main" id="{1AC9C352-5C2F-4A46-AA19-2CD412079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5" name="Imagem 1184" descr="http://sistemaswebhom.einstein.br/CME/Imagens/nada.gif">
          <a:extLst>
            <a:ext uri="{FF2B5EF4-FFF2-40B4-BE49-F238E27FC236}">
              <a16:creationId xmlns:a16="http://schemas.microsoft.com/office/drawing/2014/main" id="{5804DE9E-6B21-4226-A89A-F3B592E4F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186" name="Imagem 1185" descr="http://sistemaswebhom.einstein.br/CME/Imagens/nada.gif">
          <a:extLst>
            <a:ext uri="{FF2B5EF4-FFF2-40B4-BE49-F238E27FC236}">
              <a16:creationId xmlns:a16="http://schemas.microsoft.com/office/drawing/2014/main" id="{B41D9DF1-9CDF-4250-B3F7-637DD9D31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87" name="Imagem 1186" descr="http://sistemaswebhom.einstein.br/CME/Imagens/nada.gif">
          <a:extLst>
            <a:ext uri="{FF2B5EF4-FFF2-40B4-BE49-F238E27FC236}">
              <a16:creationId xmlns:a16="http://schemas.microsoft.com/office/drawing/2014/main" id="{A00135C2-C458-465C-8101-FD5B244CC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88" name="Imagem 1187" descr="http://sistemaswebhom.einstein.br/CME/Imagens/nada.gif">
          <a:extLst>
            <a:ext uri="{FF2B5EF4-FFF2-40B4-BE49-F238E27FC236}">
              <a16:creationId xmlns:a16="http://schemas.microsoft.com/office/drawing/2014/main" id="{CC469546-39C7-495B-B67D-6152F123C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89" name="Imagem 1188" descr="http://sistemaswebhom.einstein.br/CME/Imagens/nada.gif">
          <a:extLst>
            <a:ext uri="{FF2B5EF4-FFF2-40B4-BE49-F238E27FC236}">
              <a16:creationId xmlns:a16="http://schemas.microsoft.com/office/drawing/2014/main" id="{6C002008-F2DA-4575-96AC-B25193E4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0" name="Imagem 1189" descr="http://sistemaswebhom.einstein.br/CME/Imagens/nada.gif">
          <a:extLst>
            <a:ext uri="{FF2B5EF4-FFF2-40B4-BE49-F238E27FC236}">
              <a16:creationId xmlns:a16="http://schemas.microsoft.com/office/drawing/2014/main" id="{0EB70C36-1281-4351-94C3-F6812ACF3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1" name="Imagem 1190" descr="http://sistemaswebhom.einstein.br/CME/Imagens/nada.gif">
          <a:extLst>
            <a:ext uri="{FF2B5EF4-FFF2-40B4-BE49-F238E27FC236}">
              <a16:creationId xmlns:a16="http://schemas.microsoft.com/office/drawing/2014/main" id="{A1A169A8-7A7A-43DA-B16F-8E64F591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2" name="Imagem 1191" descr="http://sistemaswebhom.einstein.br/CME/Imagens/nada.gif">
          <a:extLst>
            <a:ext uri="{FF2B5EF4-FFF2-40B4-BE49-F238E27FC236}">
              <a16:creationId xmlns:a16="http://schemas.microsoft.com/office/drawing/2014/main" id="{99DC6891-CB8E-4CB1-8E66-584761045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3" name="Imagem 1192" descr="http://sistemaswebhom.einstein.br/CME/Imagens/nada.gif">
          <a:extLst>
            <a:ext uri="{FF2B5EF4-FFF2-40B4-BE49-F238E27FC236}">
              <a16:creationId xmlns:a16="http://schemas.microsoft.com/office/drawing/2014/main" id="{A7F19A1C-4CFE-42D8-A715-A1454B928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4" name="Imagem 1193" descr="http://sistemaswebhom.einstein.br/CME/Imagens/nada.gif">
          <a:extLst>
            <a:ext uri="{FF2B5EF4-FFF2-40B4-BE49-F238E27FC236}">
              <a16:creationId xmlns:a16="http://schemas.microsoft.com/office/drawing/2014/main" id="{DB5AAD81-6DC9-45C1-BD8A-5D8A69A14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5" name="Imagem 1194" descr="http://sistemaswebhom.einstein.br/CME/Imagens/nada.gif">
          <a:extLst>
            <a:ext uri="{FF2B5EF4-FFF2-40B4-BE49-F238E27FC236}">
              <a16:creationId xmlns:a16="http://schemas.microsoft.com/office/drawing/2014/main" id="{747A6C3D-C4A3-476D-9436-91F0B30F3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6" name="Imagem 1195" descr="http://sistemaswebhom.einstein.br/CME/Imagens/nada.gif">
          <a:extLst>
            <a:ext uri="{FF2B5EF4-FFF2-40B4-BE49-F238E27FC236}">
              <a16:creationId xmlns:a16="http://schemas.microsoft.com/office/drawing/2014/main" id="{EC6DD078-8729-4CD0-8388-CCA041B47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7" name="Imagem 1196" descr="http://sistemaswebhom.einstein.br/CME/Imagens/nada.gif">
          <a:extLst>
            <a:ext uri="{FF2B5EF4-FFF2-40B4-BE49-F238E27FC236}">
              <a16:creationId xmlns:a16="http://schemas.microsoft.com/office/drawing/2014/main" id="{3B084E8F-A5A1-49F8-BB70-0B617C067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8" name="Imagem 1197" descr="http://sistemaswebhom.einstein.br/CME/Imagens/nada.gif">
          <a:extLst>
            <a:ext uri="{FF2B5EF4-FFF2-40B4-BE49-F238E27FC236}">
              <a16:creationId xmlns:a16="http://schemas.microsoft.com/office/drawing/2014/main" id="{52156922-8A69-4297-874A-CFA42707F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199" name="Imagem 1198" descr="http://sistemaswebhom.einstein.br/CME/Imagens/nada.gif">
          <a:extLst>
            <a:ext uri="{FF2B5EF4-FFF2-40B4-BE49-F238E27FC236}">
              <a16:creationId xmlns:a16="http://schemas.microsoft.com/office/drawing/2014/main" id="{595E44C0-3C01-4F3B-9614-82DD64893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200" name="Imagem 1199" descr="http://sistemaswebhom.einstein.br/CME/Imagens/nada.gif">
          <a:extLst>
            <a:ext uri="{FF2B5EF4-FFF2-40B4-BE49-F238E27FC236}">
              <a16:creationId xmlns:a16="http://schemas.microsoft.com/office/drawing/2014/main" id="{B7D252ED-C04D-498E-AB8F-033676629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3175"/>
    <xdr:pic>
      <xdr:nvPicPr>
        <xdr:cNvPr id="1201" name="Imagem 1200" descr="http://sistemaswebhom.einstein.br/CME/Imagens/nada.gif">
          <a:extLst>
            <a:ext uri="{FF2B5EF4-FFF2-40B4-BE49-F238E27FC236}">
              <a16:creationId xmlns:a16="http://schemas.microsoft.com/office/drawing/2014/main" id="{B572609F-6956-4C9B-BDA7-707D90779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2" name="Imagem 1201" descr="http://sistemaswebhom.einstein.br/CME/Imagens/nada.gif">
          <a:extLst>
            <a:ext uri="{FF2B5EF4-FFF2-40B4-BE49-F238E27FC236}">
              <a16:creationId xmlns:a16="http://schemas.microsoft.com/office/drawing/2014/main" id="{D293A7DC-1C03-4883-9919-28B65A14D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3" name="Imagem 1202" descr="http://sistemaswebhom.einstein.br/CME/Imagens/nada.gif">
          <a:extLst>
            <a:ext uri="{FF2B5EF4-FFF2-40B4-BE49-F238E27FC236}">
              <a16:creationId xmlns:a16="http://schemas.microsoft.com/office/drawing/2014/main" id="{2A243934-B444-49C2-A147-FE8B3530F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4" name="Imagem 1203" descr="http://sistemaswebhom.einstein.br/CME/Imagens/nada.gif">
          <a:extLst>
            <a:ext uri="{FF2B5EF4-FFF2-40B4-BE49-F238E27FC236}">
              <a16:creationId xmlns:a16="http://schemas.microsoft.com/office/drawing/2014/main" id="{FF5EF669-A552-4139-832E-AD1487A4D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5" name="Imagem 1204" descr="http://sistemaswebhom.einstein.br/CME/Imagens/nada.gif">
          <a:extLst>
            <a:ext uri="{FF2B5EF4-FFF2-40B4-BE49-F238E27FC236}">
              <a16:creationId xmlns:a16="http://schemas.microsoft.com/office/drawing/2014/main" id="{A75B1697-C5B3-4E69-B305-04B1628D0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6" name="Imagem 1205" descr="http://sistemaswebhom.einstein.br/CME/Imagens/nada.gif">
          <a:extLst>
            <a:ext uri="{FF2B5EF4-FFF2-40B4-BE49-F238E27FC236}">
              <a16:creationId xmlns:a16="http://schemas.microsoft.com/office/drawing/2014/main" id="{7A7DD9F5-52AD-441D-BD48-79EFE87E0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7" name="Imagem 1206" descr="http://sistemaswebhom.einstein.br/CME/Imagens/nada.gif">
          <a:extLst>
            <a:ext uri="{FF2B5EF4-FFF2-40B4-BE49-F238E27FC236}">
              <a16:creationId xmlns:a16="http://schemas.microsoft.com/office/drawing/2014/main" id="{40784D06-41EC-4CE6-9152-8FDEAC383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8" name="Imagem 1207" descr="http://sistemaswebhom.einstein.br/CME/Imagens/nada.gif">
          <a:extLst>
            <a:ext uri="{FF2B5EF4-FFF2-40B4-BE49-F238E27FC236}">
              <a16:creationId xmlns:a16="http://schemas.microsoft.com/office/drawing/2014/main" id="{9A80D7AD-B364-4C7F-8716-E714467FE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09" name="Imagem 1208" descr="http://sistemaswebhom.einstein.br/CME/Imagens/nada.gif">
          <a:extLst>
            <a:ext uri="{FF2B5EF4-FFF2-40B4-BE49-F238E27FC236}">
              <a16:creationId xmlns:a16="http://schemas.microsoft.com/office/drawing/2014/main" id="{93831558-3D97-446B-833C-A77BC6439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0" name="Imagem 1209" descr="http://sistemaswebhom.einstein.br/CME/Imagens/nada.gif">
          <a:extLst>
            <a:ext uri="{FF2B5EF4-FFF2-40B4-BE49-F238E27FC236}">
              <a16:creationId xmlns:a16="http://schemas.microsoft.com/office/drawing/2014/main" id="{8ECFD845-DF59-4275-BD08-22A7484D8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1" name="Imagem 1210" descr="http://sistemaswebhom.einstein.br/CME/Imagens/nada.gif">
          <a:extLst>
            <a:ext uri="{FF2B5EF4-FFF2-40B4-BE49-F238E27FC236}">
              <a16:creationId xmlns:a16="http://schemas.microsoft.com/office/drawing/2014/main" id="{55F4956F-ADD3-4C1B-AE73-EC0F406D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2" name="Imagem 1211" descr="http://sistemaswebhom.einstein.br/CME/Imagens/nada.gif">
          <a:extLst>
            <a:ext uri="{FF2B5EF4-FFF2-40B4-BE49-F238E27FC236}">
              <a16:creationId xmlns:a16="http://schemas.microsoft.com/office/drawing/2014/main" id="{C9B4D90B-1A4E-40E8-BD47-F89D4035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3" name="Imagem 1212" descr="http://sistemaswebhom.einstein.br/CME/Imagens/nada.gif">
          <a:extLst>
            <a:ext uri="{FF2B5EF4-FFF2-40B4-BE49-F238E27FC236}">
              <a16:creationId xmlns:a16="http://schemas.microsoft.com/office/drawing/2014/main" id="{AE4D4A4D-241C-4FC3-AA32-58EFA67E0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4" name="Imagem 1213" descr="http://sistemaswebhom.einstein.br/CME/Imagens/nada.gif">
          <a:extLst>
            <a:ext uri="{FF2B5EF4-FFF2-40B4-BE49-F238E27FC236}">
              <a16:creationId xmlns:a16="http://schemas.microsoft.com/office/drawing/2014/main" id="{8ED2156B-8301-48E1-9FB1-61E3FD419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5" name="Imagem 1214" descr="http://sistemaswebhom.einstein.br/CME/Imagens/nada.gif">
          <a:extLst>
            <a:ext uri="{FF2B5EF4-FFF2-40B4-BE49-F238E27FC236}">
              <a16:creationId xmlns:a16="http://schemas.microsoft.com/office/drawing/2014/main" id="{FC15D6DD-17E4-42CD-B3A3-65CA379E6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6" name="Imagem 1215" descr="http://sistemaswebhom.einstein.br/CME/Imagens/nada.gif">
          <a:extLst>
            <a:ext uri="{FF2B5EF4-FFF2-40B4-BE49-F238E27FC236}">
              <a16:creationId xmlns:a16="http://schemas.microsoft.com/office/drawing/2014/main" id="{4092EF13-3226-4E47-AA83-9102475D2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7" name="Imagem 1216" descr="http://sistemaswebhom.einstein.br/CME/Imagens/nada.gif">
          <a:extLst>
            <a:ext uri="{FF2B5EF4-FFF2-40B4-BE49-F238E27FC236}">
              <a16:creationId xmlns:a16="http://schemas.microsoft.com/office/drawing/2014/main" id="{B5D7E033-D813-43B4-BC85-39BC39516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8" name="Imagem 1217" descr="http://sistemaswebhom.einstein.br/CME/Imagens/nada.gif">
          <a:extLst>
            <a:ext uri="{FF2B5EF4-FFF2-40B4-BE49-F238E27FC236}">
              <a16:creationId xmlns:a16="http://schemas.microsoft.com/office/drawing/2014/main" id="{416B6E39-38FC-4501-963E-4DA21DFB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19" name="Imagem 1218" descr="http://sistemaswebhom.einstein.br/CME/Imagens/nada.gif">
          <a:extLst>
            <a:ext uri="{FF2B5EF4-FFF2-40B4-BE49-F238E27FC236}">
              <a16:creationId xmlns:a16="http://schemas.microsoft.com/office/drawing/2014/main" id="{58E14B6C-2F68-4B96-A4FA-825F8315A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20" name="Imagem 1219" descr="http://sistemaswebhom.einstein.br/CME/Imagens/nada.gif">
          <a:extLst>
            <a:ext uri="{FF2B5EF4-FFF2-40B4-BE49-F238E27FC236}">
              <a16:creationId xmlns:a16="http://schemas.microsoft.com/office/drawing/2014/main" id="{463EB4E6-85B3-4BC8-BD49-A3CCA72F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21" name="Imagem 1220" descr="http://sistemaswebhom.einstein.br/CME/Imagens/nada.gif">
          <a:extLst>
            <a:ext uri="{FF2B5EF4-FFF2-40B4-BE49-F238E27FC236}">
              <a16:creationId xmlns:a16="http://schemas.microsoft.com/office/drawing/2014/main" id="{E67EF07B-52FD-4F9C-A910-5DD50B96E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22" name="Imagem 1221" descr="http://sistemaswebhom.einstein.br/CME/Imagens/nada.gif">
          <a:extLst>
            <a:ext uri="{FF2B5EF4-FFF2-40B4-BE49-F238E27FC236}">
              <a16:creationId xmlns:a16="http://schemas.microsoft.com/office/drawing/2014/main" id="{67EDCC97-515E-45B7-B014-C9E76FF82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9525"/>
    <xdr:pic>
      <xdr:nvPicPr>
        <xdr:cNvPr id="1223" name="Imagem 1222" descr="http://sistemaswebhom.einstein.br/CME/Imagens/nada.gif">
          <a:extLst>
            <a:ext uri="{FF2B5EF4-FFF2-40B4-BE49-F238E27FC236}">
              <a16:creationId xmlns:a16="http://schemas.microsoft.com/office/drawing/2014/main" id="{8053F955-21F4-4266-82F0-B8BBFBFD9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4" name="Imagem 1223" descr="http://sistemaswebhom.einstein.br/CME/Imagens/nada.gif">
          <a:extLst>
            <a:ext uri="{FF2B5EF4-FFF2-40B4-BE49-F238E27FC236}">
              <a16:creationId xmlns:a16="http://schemas.microsoft.com/office/drawing/2014/main" id="{BD762631-F6F7-469B-A3F9-A00A12145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5" name="Imagem 1224" descr="http://sistemaswebhom.einstein.br/CME/Imagens/nada.gif">
          <a:extLst>
            <a:ext uri="{FF2B5EF4-FFF2-40B4-BE49-F238E27FC236}">
              <a16:creationId xmlns:a16="http://schemas.microsoft.com/office/drawing/2014/main" id="{CC4A0EE5-7B29-4548-BCE6-8A129C603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6" name="Imagem 1225" descr="http://sistemaswebhom.einstein.br/CME/Imagens/nada.gif">
          <a:extLst>
            <a:ext uri="{FF2B5EF4-FFF2-40B4-BE49-F238E27FC236}">
              <a16:creationId xmlns:a16="http://schemas.microsoft.com/office/drawing/2014/main" id="{5A3A5AD6-5CFF-4165-9C06-050A3EA61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7" name="Imagem 1226" descr="http://sistemaswebhom.einstein.br/CME/Imagens/nada.gif">
          <a:extLst>
            <a:ext uri="{FF2B5EF4-FFF2-40B4-BE49-F238E27FC236}">
              <a16:creationId xmlns:a16="http://schemas.microsoft.com/office/drawing/2014/main" id="{154ABFB8-5EA3-49A3-BF31-3CAB8F5BC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8" name="Imagem 1227" descr="http://sistemaswebhom.einstein.br/CME/Imagens/nada.gif">
          <a:extLst>
            <a:ext uri="{FF2B5EF4-FFF2-40B4-BE49-F238E27FC236}">
              <a16:creationId xmlns:a16="http://schemas.microsoft.com/office/drawing/2014/main" id="{75DC9939-1475-47A0-8F28-105D78A63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29" name="Imagem 1228" descr="http://sistemaswebhom.einstein.br/CME/Imagens/nada.gif">
          <a:extLst>
            <a:ext uri="{FF2B5EF4-FFF2-40B4-BE49-F238E27FC236}">
              <a16:creationId xmlns:a16="http://schemas.microsoft.com/office/drawing/2014/main" id="{F0282246-2E00-403A-B85F-070466EE5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0" name="Imagem 1229" descr="http://sistemaswebhom.einstein.br/CME/Imagens/nada.gif">
          <a:extLst>
            <a:ext uri="{FF2B5EF4-FFF2-40B4-BE49-F238E27FC236}">
              <a16:creationId xmlns:a16="http://schemas.microsoft.com/office/drawing/2014/main" id="{1626DA35-38C7-4261-A803-DE843273D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1" name="Imagem 1230" descr="http://sistemaswebhom.einstein.br/CME/Imagens/nada.gif">
          <a:extLst>
            <a:ext uri="{FF2B5EF4-FFF2-40B4-BE49-F238E27FC236}">
              <a16:creationId xmlns:a16="http://schemas.microsoft.com/office/drawing/2014/main" id="{E5F106F2-5764-49E1-82FE-131693B4F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2" name="Imagem 1231" descr="http://sistemaswebhom.einstein.br/CME/Imagens/nada.gif">
          <a:extLst>
            <a:ext uri="{FF2B5EF4-FFF2-40B4-BE49-F238E27FC236}">
              <a16:creationId xmlns:a16="http://schemas.microsoft.com/office/drawing/2014/main" id="{95A7D1BC-609C-4ABA-8390-330BABF9A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3" name="Imagem 1232" descr="http://sistemaswebhom.einstein.br/CME/Imagens/nada.gif">
          <a:extLst>
            <a:ext uri="{FF2B5EF4-FFF2-40B4-BE49-F238E27FC236}">
              <a16:creationId xmlns:a16="http://schemas.microsoft.com/office/drawing/2014/main" id="{B6DF139E-911B-43F7-856D-034C0D5CF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4" name="Imagem 1233" descr="http://sistemaswebhom.einstein.br/CME/Imagens/nada.gif">
          <a:extLst>
            <a:ext uri="{FF2B5EF4-FFF2-40B4-BE49-F238E27FC236}">
              <a16:creationId xmlns:a16="http://schemas.microsoft.com/office/drawing/2014/main" id="{68D3F847-F841-4B93-955F-094C6F184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5" name="Imagem 1234" descr="http://sistemaswebhom.einstein.br/CME/Imagens/nada.gif">
          <a:extLst>
            <a:ext uri="{FF2B5EF4-FFF2-40B4-BE49-F238E27FC236}">
              <a16:creationId xmlns:a16="http://schemas.microsoft.com/office/drawing/2014/main" id="{53DAC1EC-F5B4-411C-9C1A-79C30E2E4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6" name="Imagem 1235" descr="http://sistemaswebhom.einstein.br/CME/Imagens/nada.gif">
          <a:extLst>
            <a:ext uri="{FF2B5EF4-FFF2-40B4-BE49-F238E27FC236}">
              <a16:creationId xmlns:a16="http://schemas.microsoft.com/office/drawing/2014/main" id="{357005EE-F9BB-4572-BB64-366F4B29D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7" name="Imagem 1236" descr="http://sistemaswebhom.einstein.br/CME/Imagens/nada.gif">
          <a:extLst>
            <a:ext uri="{FF2B5EF4-FFF2-40B4-BE49-F238E27FC236}">
              <a16:creationId xmlns:a16="http://schemas.microsoft.com/office/drawing/2014/main" id="{18B44021-D93A-4734-8194-CB657B9F4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8" name="Imagem 1237" descr="http://sistemaswebhom.einstein.br/CME/Imagens/nada.gif">
          <a:extLst>
            <a:ext uri="{FF2B5EF4-FFF2-40B4-BE49-F238E27FC236}">
              <a16:creationId xmlns:a16="http://schemas.microsoft.com/office/drawing/2014/main" id="{631E8C71-5C4A-4156-982F-9A4E0597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39" name="Imagem 1238" descr="http://sistemaswebhom.einstein.br/CME/Imagens/nada.gif">
          <a:extLst>
            <a:ext uri="{FF2B5EF4-FFF2-40B4-BE49-F238E27FC236}">
              <a16:creationId xmlns:a16="http://schemas.microsoft.com/office/drawing/2014/main" id="{7179385F-CCBB-4479-A292-DB6097ED7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0" name="Imagem 1239" descr="http://sistemaswebhom.einstein.br/CME/Imagens/nada.gif">
          <a:extLst>
            <a:ext uri="{FF2B5EF4-FFF2-40B4-BE49-F238E27FC236}">
              <a16:creationId xmlns:a16="http://schemas.microsoft.com/office/drawing/2014/main" id="{EF513AEC-7C6E-4309-A3C4-5048975FF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1" name="Imagem 1240" descr="http://sistemaswebhom.einstein.br/CME/Imagens/nada.gif">
          <a:extLst>
            <a:ext uri="{FF2B5EF4-FFF2-40B4-BE49-F238E27FC236}">
              <a16:creationId xmlns:a16="http://schemas.microsoft.com/office/drawing/2014/main" id="{D64B57A1-879E-4545-ADDD-D299790FA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2" name="Imagem 1241" descr="http://sistemaswebhom.einstein.br/CME/Imagens/nada.gif">
          <a:extLst>
            <a:ext uri="{FF2B5EF4-FFF2-40B4-BE49-F238E27FC236}">
              <a16:creationId xmlns:a16="http://schemas.microsoft.com/office/drawing/2014/main" id="{8671B317-B5E8-48AA-8081-D99E7099D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3" name="Imagem 1242" descr="http://sistemaswebhom.einstein.br/CME/Imagens/nada.gif">
          <a:extLst>
            <a:ext uri="{FF2B5EF4-FFF2-40B4-BE49-F238E27FC236}">
              <a16:creationId xmlns:a16="http://schemas.microsoft.com/office/drawing/2014/main" id="{B7843302-1193-4147-96B0-B2E0C3B03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4" name="Imagem 1243" descr="http://sistemaswebhom.einstein.br/CME/Imagens/nada.gif">
          <a:extLst>
            <a:ext uri="{FF2B5EF4-FFF2-40B4-BE49-F238E27FC236}">
              <a16:creationId xmlns:a16="http://schemas.microsoft.com/office/drawing/2014/main" id="{AFF62932-5B69-4755-9FA5-F8C212C2D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5" name="Imagem 1244" descr="http://sistemaswebhom.einstein.br/CME/Imagens/nada.gif">
          <a:extLst>
            <a:ext uri="{FF2B5EF4-FFF2-40B4-BE49-F238E27FC236}">
              <a16:creationId xmlns:a16="http://schemas.microsoft.com/office/drawing/2014/main" id="{9F00A4EB-0A73-40A6-86BC-6B1DA9FB0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6" name="Imagem 1245" descr="http://sistemaswebhom.einstein.br/CME/Imagens/nada.gif">
          <a:extLst>
            <a:ext uri="{FF2B5EF4-FFF2-40B4-BE49-F238E27FC236}">
              <a16:creationId xmlns:a16="http://schemas.microsoft.com/office/drawing/2014/main" id="{0B2C3BB9-6272-4DA6-95AB-404552AC5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7" name="Imagem 1246" descr="http://sistemaswebhom.einstein.br/CME/Imagens/nada.gif">
          <a:extLst>
            <a:ext uri="{FF2B5EF4-FFF2-40B4-BE49-F238E27FC236}">
              <a16:creationId xmlns:a16="http://schemas.microsoft.com/office/drawing/2014/main" id="{88C20CF2-13BA-48F8-8EBC-009D03F16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8" name="Imagem 1247" descr="http://sistemaswebhom.einstein.br/CME/Imagens/nada.gif">
          <a:extLst>
            <a:ext uri="{FF2B5EF4-FFF2-40B4-BE49-F238E27FC236}">
              <a16:creationId xmlns:a16="http://schemas.microsoft.com/office/drawing/2014/main" id="{21886739-65C1-4EA1-9EB4-8E617DC1D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49" name="Imagem 1248" descr="http://sistemaswebhom.einstein.br/CME/Imagens/nada.gif">
          <a:extLst>
            <a:ext uri="{FF2B5EF4-FFF2-40B4-BE49-F238E27FC236}">
              <a16:creationId xmlns:a16="http://schemas.microsoft.com/office/drawing/2014/main" id="{D893920B-5AB0-4993-9AC5-3E1D22DE8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50" name="Imagem 1249" descr="http://sistemaswebhom.einstein.br/CME/Imagens/nada.gif">
          <a:extLst>
            <a:ext uri="{FF2B5EF4-FFF2-40B4-BE49-F238E27FC236}">
              <a16:creationId xmlns:a16="http://schemas.microsoft.com/office/drawing/2014/main" id="{01FE6717-06F3-47E1-BB59-EABDF232F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51" name="Imagem 1250" descr="http://sistemaswebhom.einstein.br/CME/Imagens/nada.gif">
          <a:extLst>
            <a:ext uri="{FF2B5EF4-FFF2-40B4-BE49-F238E27FC236}">
              <a16:creationId xmlns:a16="http://schemas.microsoft.com/office/drawing/2014/main" id="{E9163E16-E108-4F0D-A08D-2A9BCDF8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1252" name="Imagem 1251" descr="http://sistemaswebhom.einstein.br/CME/Imagens/nada.gif">
          <a:extLst>
            <a:ext uri="{FF2B5EF4-FFF2-40B4-BE49-F238E27FC236}">
              <a16:creationId xmlns:a16="http://schemas.microsoft.com/office/drawing/2014/main" id="{598E3411-F9B2-48CC-BE1E-E089CA460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1253" name="Imagem 1252" descr="http://sistemaswebhom.einstein.br/CME/Imagens/nada.gif">
          <a:extLst>
            <a:ext uri="{FF2B5EF4-FFF2-40B4-BE49-F238E27FC236}">
              <a16:creationId xmlns:a16="http://schemas.microsoft.com/office/drawing/2014/main" id="{1902855A-CFE8-42A5-8C50-4B10FC411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25400</xdr:rowOff>
    </xdr:from>
    <xdr:ext cx="9525" cy="0"/>
    <xdr:pic>
      <xdr:nvPicPr>
        <xdr:cNvPr id="1254" name="Imagem 1253" descr="http://sistemaswebhom.einstein.br/CME/Imagens/nada.gif">
          <a:extLst>
            <a:ext uri="{FF2B5EF4-FFF2-40B4-BE49-F238E27FC236}">
              <a16:creationId xmlns:a16="http://schemas.microsoft.com/office/drawing/2014/main" id="{65D177A8-2302-4C6F-AB1D-9D7CA214C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1255" name="Imagem 1254" descr="http://sistemaswebhom.einstein.br/CME/Imagens/nada.gif">
          <a:extLst>
            <a:ext uri="{FF2B5EF4-FFF2-40B4-BE49-F238E27FC236}">
              <a16:creationId xmlns:a16="http://schemas.microsoft.com/office/drawing/2014/main" id="{FAB27CF0-6E86-40EB-B604-0B22C7B72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2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25400</xdr:rowOff>
    </xdr:from>
    <xdr:ext cx="9525" cy="0"/>
    <xdr:pic>
      <xdr:nvPicPr>
        <xdr:cNvPr id="1256" name="Imagem 1255" descr="http://sistemaswebhom.einstein.br/CME/Imagens/nada.gif">
          <a:extLst>
            <a:ext uri="{FF2B5EF4-FFF2-40B4-BE49-F238E27FC236}">
              <a16:creationId xmlns:a16="http://schemas.microsoft.com/office/drawing/2014/main" id="{62C54B03-C880-4BFF-B220-271951492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2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1257" name="Imagem 1256" descr="http://sistemaswebhom.einstein.br/CME/Imagens/nada.gif">
          <a:extLst>
            <a:ext uri="{FF2B5EF4-FFF2-40B4-BE49-F238E27FC236}">
              <a16:creationId xmlns:a16="http://schemas.microsoft.com/office/drawing/2014/main" id="{F83060B5-FC9E-49E1-9230-B6422E53C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1258" name="Imagem 1257" descr="http://sistemaswebhom.einstein.br/CME/Imagens/nada.gif">
          <a:extLst>
            <a:ext uri="{FF2B5EF4-FFF2-40B4-BE49-F238E27FC236}">
              <a16:creationId xmlns:a16="http://schemas.microsoft.com/office/drawing/2014/main" id="{874C0976-17AE-40B1-A648-A2C79A8B8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25400</xdr:rowOff>
    </xdr:from>
    <xdr:ext cx="9525" cy="0"/>
    <xdr:pic>
      <xdr:nvPicPr>
        <xdr:cNvPr id="1259" name="Imagem 1258" descr="http://sistemaswebhom.einstein.br/CME/Imagens/nada.gif">
          <a:extLst>
            <a:ext uri="{FF2B5EF4-FFF2-40B4-BE49-F238E27FC236}">
              <a16:creationId xmlns:a16="http://schemas.microsoft.com/office/drawing/2014/main" id="{E62728D2-C2F9-4B8C-A57F-DAFB6DD22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0" name="Imagem 1259" descr="http://sistemaswebhom.einstein.br/CME/Imagens/nada.gif">
          <a:extLst>
            <a:ext uri="{FF2B5EF4-FFF2-40B4-BE49-F238E27FC236}">
              <a16:creationId xmlns:a16="http://schemas.microsoft.com/office/drawing/2014/main" id="{801260A9-7E8A-4A1C-9F8C-A0C73361D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1" name="Imagem 1260" descr="http://sistemaswebhom.einstein.br/CME/Imagens/nada.gif">
          <a:extLst>
            <a:ext uri="{FF2B5EF4-FFF2-40B4-BE49-F238E27FC236}">
              <a16:creationId xmlns:a16="http://schemas.microsoft.com/office/drawing/2014/main" id="{DD0BE0F7-0ACD-4E1E-9D76-02EA5A72E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2" name="Imagem 1261" descr="http://sistemaswebhom.einstein.br/CME/Imagens/nada.gif">
          <a:extLst>
            <a:ext uri="{FF2B5EF4-FFF2-40B4-BE49-F238E27FC236}">
              <a16:creationId xmlns:a16="http://schemas.microsoft.com/office/drawing/2014/main" id="{317D1EFE-12CB-40D3-8179-468814C37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3" name="Imagem 1262" descr="http://sistemaswebhom.einstein.br/CME/Imagens/nada.gif">
          <a:extLst>
            <a:ext uri="{FF2B5EF4-FFF2-40B4-BE49-F238E27FC236}">
              <a16:creationId xmlns:a16="http://schemas.microsoft.com/office/drawing/2014/main" id="{8AAB5463-A021-4A6F-B2E4-C748FECD9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4" name="Imagem 1263" descr="http://sistemaswebhom.einstein.br/CME/Imagens/nada.gif">
          <a:extLst>
            <a:ext uri="{FF2B5EF4-FFF2-40B4-BE49-F238E27FC236}">
              <a16:creationId xmlns:a16="http://schemas.microsoft.com/office/drawing/2014/main" id="{0B55B617-BD15-4DA8-8F82-2DD605B2F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5" name="Imagem 1264" descr="http://sistemaswebhom.einstein.br/CME/Imagens/nada.gif">
          <a:extLst>
            <a:ext uri="{FF2B5EF4-FFF2-40B4-BE49-F238E27FC236}">
              <a16:creationId xmlns:a16="http://schemas.microsoft.com/office/drawing/2014/main" id="{6378E4FA-36B2-457F-B501-672C765BD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6" name="Imagem 1265" descr="http://sistemaswebhom.einstein.br/CME/Imagens/nada.gif">
          <a:extLst>
            <a:ext uri="{FF2B5EF4-FFF2-40B4-BE49-F238E27FC236}">
              <a16:creationId xmlns:a16="http://schemas.microsoft.com/office/drawing/2014/main" id="{E4CDA49F-2F4F-47B0-88D0-F78EC3AFB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9525" cy="0"/>
    <xdr:pic>
      <xdr:nvPicPr>
        <xdr:cNvPr id="1267" name="Imagem 1266" descr="http://sistemaswebhom.einstein.br/CME/Imagens/nada.gif">
          <a:extLst>
            <a:ext uri="{FF2B5EF4-FFF2-40B4-BE49-F238E27FC236}">
              <a16:creationId xmlns:a16="http://schemas.microsoft.com/office/drawing/2014/main" id="{844AFA29-E7AA-4A98-8C53-6ED12F980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68" name="Imagem 1267" descr="http://sistemaswebhom.einstein.br/CME/Imagens/nada.gif">
          <a:extLst>
            <a:ext uri="{FF2B5EF4-FFF2-40B4-BE49-F238E27FC236}">
              <a16:creationId xmlns:a16="http://schemas.microsoft.com/office/drawing/2014/main" id="{B228B49B-5D74-43BF-8701-8851909DD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69" name="Imagem 1268" descr="http://sistemaswebhom.einstein.br/CME/Imagens/nada.gif">
          <a:extLst>
            <a:ext uri="{FF2B5EF4-FFF2-40B4-BE49-F238E27FC236}">
              <a16:creationId xmlns:a16="http://schemas.microsoft.com/office/drawing/2014/main" id="{ABC3CF0D-0506-462D-9563-E16DF30F0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0" name="Imagem 1269" descr="http://sistemaswebhom.einstein.br/CME/Imagens/nada.gif">
          <a:extLst>
            <a:ext uri="{FF2B5EF4-FFF2-40B4-BE49-F238E27FC236}">
              <a16:creationId xmlns:a16="http://schemas.microsoft.com/office/drawing/2014/main" id="{0C564EBE-47B1-468E-A915-82B3ECD8F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1" name="Imagem 1270" descr="http://sistemaswebhom.einstein.br/CME/Imagens/nada.gif">
          <a:extLst>
            <a:ext uri="{FF2B5EF4-FFF2-40B4-BE49-F238E27FC236}">
              <a16:creationId xmlns:a16="http://schemas.microsoft.com/office/drawing/2014/main" id="{1815C608-6A17-42AF-9915-22E6166E0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2" name="Imagem 1271" descr="http://sistemaswebhom.einstein.br/CME/Imagens/nada.gif">
          <a:extLst>
            <a:ext uri="{FF2B5EF4-FFF2-40B4-BE49-F238E27FC236}">
              <a16:creationId xmlns:a16="http://schemas.microsoft.com/office/drawing/2014/main" id="{FCB668D7-13F3-456C-9C71-BD09AE42C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3" name="Imagem 1272" descr="http://sistemaswebhom.einstein.br/CME/Imagens/nada.gif">
          <a:extLst>
            <a:ext uri="{FF2B5EF4-FFF2-40B4-BE49-F238E27FC236}">
              <a16:creationId xmlns:a16="http://schemas.microsoft.com/office/drawing/2014/main" id="{9DC9CD74-C565-4526-BAE7-4706F1D85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4" name="Imagem 1273" descr="http://sistemaswebhom.einstein.br/CME/Imagens/nada.gif">
          <a:extLst>
            <a:ext uri="{FF2B5EF4-FFF2-40B4-BE49-F238E27FC236}">
              <a16:creationId xmlns:a16="http://schemas.microsoft.com/office/drawing/2014/main" id="{EE1078BD-8874-47BD-B87F-91414DB39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5" name="Imagem 1274" descr="http://sistemaswebhom.einstein.br/CME/Imagens/nada.gif">
          <a:extLst>
            <a:ext uri="{FF2B5EF4-FFF2-40B4-BE49-F238E27FC236}">
              <a16:creationId xmlns:a16="http://schemas.microsoft.com/office/drawing/2014/main" id="{6AC9886A-0D56-445C-9530-816FD6D33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6" name="Imagem 1275" descr="http://sistemaswebhom.einstein.br/CME/Imagens/nada.gif">
          <a:extLst>
            <a:ext uri="{FF2B5EF4-FFF2-40B4-BE49-F238E27FC236}">
              <a16:creationId xmlns:a16="http://schemas.microsoft.com/office/drawing/2014/main" id="{ABD44618-5D00-45F5-A372-3F8372C71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7" name="Imagem 1276" descr="http://sistemaswebhom.einstein.br/CME/Imagens/nada.gif">
          <a:extLst>
            <a:ext uri="{FF2B5EF4-FFF2-40B4-BE49-F238E27FC236}">
              <a16:creationId xmlns:a16="http://schemas.microsoft.com/office/drawing/2014/main" id="{507C08A6-85CC-4342-B87E-6490F94E4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8" name="Imagem 1277" descr="http://sistemaswebhom.einstein.br/CME/Imagens/nada.gif">
          <a:extLst>
            <a:ext uri="{FF2B5EF4-FFF2-40B4-BE49-F238E27FC236}">
              <a16:creationId xmlns:a16="http://schemas.microsoft.com/office/drawing/2014/main" id="{678EC123-1798-4EE2-9B47-AD52075A5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79" name="Imagem 1278" descr="http://sistemaswebhom.einstein.br/CME/Imagens/nada.gif">
          <a:extLst>
            <a:ext uri="{FF2B5EF4-FFF2-40B4-BE49-F238E27FC236}">
              <a16:creationId xmlns:a16="http://schemas.microsoft.com/office/drawing/2014/main" id="{EDD1E8B8-C60C-435A-A7B3-EE7A2A1ED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0" name="Imagem 1279" descr="http://sistemaswebhom.einstein.br/CME/Imagens/nada.gif">
          <a:extLst>
            <a:ext uri="{FF2B5EF4-FFF2-40B4-BE49-F238E27FC236}">
              <a16:creationId xmlns:a16="http://schemas.microsoft.com/office/drawing/2014/main" id="{98CBAC56-5A94-48C7-9428-9661E445A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1" name="Imagem 1280" descr="http://sistemaswebhom.einstein.br/CME/Imagens/nada.gif">
          <a:extLst>
            <a:ext uri="{FF2B5EF4-FFF2-40B4-BE49-F238E27FC236}">
              <a16:creationId xmlns:a16="http://schemas.microsoft.com/office/drawing/2014/main" id="{600FCE6C-82C6-4E96-8779-CA25D5673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2" name="Imagem 1281" descr="http://sistemaswebhom.einstein.br/CME/Imagens/nada.gif">
          <a:extLst>
            <a:ext uri="{FF2B5EF4-FFF2-40B4-BE49-F238E27FC236}">
              <a16:creationId xmlns:a16="http://schemas.microsoft.com/office/drawing/2014/main" id="{C0CB4356-B97A-4018-B58E-144434288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3" name="Imagem 1282" descr="http://sistemaswebhom.einstein.br/CME/Imagens/nada.gif">
          <a:extLst>
            <a:ext uri="{FF2B5EF4-FFF2-40B4-BE49-F238E27FC236}">
              <a16:creationId xmlns:a16="http://schemas.microsoft.com/office/drawing/2014/main" id="{BD5FADDE-99B3-468A-99E8-C9E8BDE5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4" name="Imagem 1283" descr="http://sistemaswebhom.einstein.br/CME/Imagens/nada.gif">
          <a:extLst>
            <a:ext uri="{FF2B5EF4-FFF2-40B4-BE49-F238E27FC236}">
              <a16:creationId xmlns:a16="http://schemas.microsoft.com/office/drawing/2014/main" id="{1D6227B9-B407-4A1B-9CF2-E95080EAB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5" name="Imagem 1284" descr="http://sistemaswebhom.einstein.br/CME/Imagens/nada.gif">
          <a:extLst>
            <a:ext uri="{FF2B5EF4-FFF2-40B4-BE49-F238E27FC236}">
              <a16:creationId xmlns:a16="http://schemas.microsoft.com/office/drawing/2014/main" id="{3376427D-4598-4367-9294-9D228EA5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6" name="Imagem 1285" descr="http://sistemaswebhom.einstein.br/CME/Imagens/nada.gif">
          <a:extLst>
            <a:ext uri="{FF2B5EF4-FFF2-40B4-BE49-F238E27FC236}">
              <a16:creationId xmlns:a16="http://schemas.microsoft.com/office/drawing/2014/main" id="{58B45E59-07B5-49A2-9D74-64163A4F7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87" name="Imagem 1286" descr="http://sistemaswebhom.einstein.br/CME/Imagens/nada.gif">
          <a:extLst>
            <a:ext uri="{FF2B5EF4-FFF2-40B4-BE49-F238E27FC236}">
              <a16:creationId xmlns:a16="http://schemas.microsoft.com/office/drawing/2014/main" id="{E5477D35-D678-4A54-A975-CC1C32776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288" name="Imagem 1287" descr="http://sistemaswebhom.einstein.br/CME/Imagens/nada.gif">
          <a:extLst>
            <a:ext uri="{FF2B5EF4-FFF2-40B4-BE49-F238E27FC236}">
              <a16:creationId xmlns:a16="http://schemas.microsoft.com/office/drawing/2014/main" id="{A520F8EA-4317-41BD-BEB6-6004C05BF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289" name="Imagem 1288" descr="http://sistemaswebhom.einstein.br/CME/Imagens/nada.gif">
          <a:extLst>
            <a:ext uri="{FF2B5EF4-FFF2-40B4-BE49-F238E27FC236}">
              <a16:creationId xmlns:a16="http://schemas.microsoft.com/office/drawing/2014/main" id="{54FC5806-B227-4419-ACFC-8480DBC20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25400</xdr:rowOff>
    </xdr:from>
    <xdr:ext cx="9525" cy="0"/>
    <xdr:pic>
      <xdr:nvPicPr>
        <xdr:cNvPr id="1290" name="Imagem 1289" descr="http://sistemaswebhom.einstein.br/CME/Imagens/nada.gif">
          <a:extLst>
            <a:ext uri="{FF2B5EF4-FFF2-40B4-BE49-F238E27FC236}">
              <a16:creationId xmlns:a16="http://schemas.microsoft.com/office/drawing/2014/main" id="{D54CEF8F-2947-4153-8A57-14D527DC8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291" name="Imagem 1290" descr="http://sistemaswebhom.einstein.br/CME/Imagens/nada.gif">
          <a:extLst>
            <a:ext uri="{FF2B5EF4-FFF2-40B4-BE49-F238E27FC236}">
              <a16:creationId xmlns:a16="http://schemas.microsoft.com/office/drawing/2014/main" id="{4665908D-5D6E-4716-AA31-460F57531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12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25400</xdr:rowOff>
    </xdr:from>
    <xdr:ext cx="9525" cy="0"/>
    <xdr:pic>
      <xdr:nvPicPr>
        <xdr:cNvPr id="1292" name="Imagem 1291" descr="http://sistemaswebhom.einstein.br/CME/Imagens/nada.gif">
          <a:extLst>
            <a:ext uri="{FF2B5EF4-FFF2-40B4-BE49-F238E27FC236}">
              <a16:creationId xmlns:a16="http://schemas.microsoft.com/office/drawing/2014/main" id="{05081EB0-2DFF-4552-B19D-A4BEB6D87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12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3" name="Imagem 1292" descr="http://sistemaswebhom.einstein.br/CME/Imagens/nada.gif">
          <a:extLst>
            <a:ext uri="{FF2B5EF4-FFF2-40B4-BE49-F238E27FC236}">
              <a16:creationId xmlns:a16="http://schemas.microsoft.com/office/drawing/2014/main" id="{3E26085D-BA6A-4B91-806A-A93ABC8F8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4" name="Imagem 1293" descr="http://sistemaswebhom.einstein.br/CME/Imagens/nada.gif">
          <a:extLst>
            <a:ext uri="{FF2B5EF4-FFF2-40B4-BE49-F238E27FC236}">
              <a16:creationId xmlns:a16="http://schemas.microsoft.com/office/drawing/2014/main" id="{DF2715F9-28EE-4283-9B1E-4F2953852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5" name="Imagem 1294" descr="http://sistemaswebhom.einstein.br/CME/Imagens/nada.gif">
          <a:extLst>
            <a:ext uri="{FF2B5EF4-FFF2-40B4-BE49-F238E27FC236}">
              <a16:creationId xmlns:a16="http://schemas.microsoft.com/office/drawing/2014/main" id="{C251D09C-6A4C-471E-A9F9-7CE449DBB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6" name="Imagem 1295" descr="http://sistemaswebhom.einstein.br/CME/Imagens/nada.gif">
          <a:extLst>
            <a:ext uri="{FF2B5EF4-FFF2-40B4-BE49-F238E27FC236}">
              <a16:creationId xmlns:a16="http://schemas.microsoft.com/office/drawing/2014/main" id="{51E91F34-C9BB-4C4C-BA60-06E55BF9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9525" cy="0"/>
    <xdr:pic>
      <xdr:nvPicPr>
        <xdr:cNvPr id="1297" name="Imagem 1296" descr="http://sistemaswebhom.einstein.br/CME/Imagens/nada.gif">
          <a:extLst>
            <a:ext uri="{FF2B5EF4-FFF2-40B4-BE49-F238E27FC236}">
              <a16:creationId xmlns:a16="http://schemas.microsoft.com/office/drawing/2014/main" id="{3CD30EF9-F005-4BE5-9D83-402FE15E2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298" name="Imagem 1297" descr="http://sistemaswebhom.einstein.br/CME/Imagens/nada.gif">
          <a:extLst>
            <a:ext uri="{FF2B5EF4-FFF2-40B4-BE49-F238E27FC236}">
              <a16:creationId xmlns:a16="http://schemas.microsoft.com/office/drawing/2014/main" id="{C6621929-1001-4344-82A0-CC44DC399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299" name="Imagem 1298" descr="http://sistemaswebhom.einstein.br/CME/Imagens/nada.gif">
          <a:extLst>
            <a:ext uri="{FF2B5EF4-FFF2-40B4-BE49-F238E27FC236}">
              <a16:creationId xmlns:a16="http://schemas.microsoft.com/office/drawing/2014/main" id="{10967D69-BA55-4842-8C92-18B214496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25400</xdr:rowOff>
    </xdr:from>
    <xdr:ext cx="9525" cy="0"/>
    <xdr:pic>
      <xdr:nvPicPr>
        <xdr:cNvPr id="1300" name="Imagem 1299" descr="http://sistemaswebhom.einstein.br/CME/Imagens/nada.gif">
          <a:extLst>
            <a:ext uri="{FF2B5EF4-FFF2-40B4-BE49-F238E27FC236}">
              <a16:creationId xmlns:a16="http://schemas.microsoft.com/office/drawing/2014/main" id="{6F8E154F-8113-49C9-8CF2-E1C831F4F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01" name="Imagem 1300" descr="http://sistemaswebhom.einstein.br/CME/Imagens/nada.gif">
          <a:extLst>
            <a:ext uri="{FF2B5EF4-FFF2-40B4-BE49-F238E27FC236}">
              <a16:creationId xmlns:a16="http://schemas.microsoft.com/office/drawing/2014/main" id="{080E2DC6-A0C2-4750-AA58-FF85921FC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02" name="Imagem 1301" descr="http://sistemaswebhom.einstein.br/CME/Imagens/nada.gif">
          <a:extLst>
            <a:ext uri="{FF2B5EF4-FFF2-40B4-BE49-F238E27FC236}">
              <a16:creationId xmlns:a16="http://schemas.microsoft.com/office/drawing/2014/main" id="{33C178D7-119A-411A-A327-640CFB1C2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03" name="Imagem 1302" descr="http://sistemaswebhom.einstein.br/CME/Imagens/nada.gif">
          <a:extLst>
            <a:ext uri="{FF2B5EF4-FFF2-40B4-BE49-F238E27FC236}">
              <a16:creationId xmlns:a16="http://schemas.microsoft.com/office/drawing/2014/main" id="{023C94AC-9AFA-492A-A97F-F367EC1C8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04" name="Imagem 1303" descr="http://sistemaswebhom.einstein.br/CME/Imagens/nada.gif">
          <a:extLst>
            <a:ext uri="{FF2B5EF4-FFF2-40B4-BE49-F238E27FC236}">
              <a16:creationId xmlns:a16="http://schemas.microsoft.com/office/drawing/2014/main" id="{AF39AD9E-17A0-479B-9617-60AF418C5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05" name="Imagem 1304" descr="http://sistemaswebhom.einstein.br/CME/Imagens/nada.gif">
          <a:extLst>
            <a:ext uri="{FF2B5EF4-FFF2-40B4-BE49-F238E27FC236}">
              <a16:creationId xmlns:a16="http://schemas.microsoft.com/office/drawing/2014/main" id="{76DF24D5-5EC6-490B-9E4D-0BC3C3FD5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06" name="Imagem 1305" descr="http://sistemaswebhom.einstein.br/CME/Imagens/nada.gif">
          <a:extLst>
            <a:ext uri="{FF2B5EF4-FFF2-40B4-BE49-F238E27FC236}">
              <a16:creationId xmlns:a16="http://schemas.microsoft.com/office/drawing/2014/main" id="{4CCA1E8A-C07C-402A-880A-2123832C5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07" name="Imagem 1306" descr="http://sistemaswebhom.einstein.br/CME/Imagens/nada.gif">
          <a:extLst>
            <a:ext uri="{FF2B5EF4-FFF2-40B4-BE49-F238E27FC236}">
              <a16:creationId xmlns:a16="http://schemas.microsoft.com/office/drawing/2014/main" id="{D381D3B3-0C96-417E-B859-E30BAB787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08" name="Imagem 1307" descr="http://sistemaswebhom.einstein.br/CME/Imagens/nada.gif">
          <a:extLst>
            <a:ext uri="{FF2B5EF4-FFF2-40B4-BE49-F238E27FC236}">
              <a16:creationId xmlns:a16="http://schemas.microsoft.com/office/drawing/2014/main" id="{E758446D-C4F0-4E27-ADDF-7EDB1FCFF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309" name="Imagem 1308" descr="http://sistemaswebhom.einstein.br/CME/Imagens/nada.gif">
          <a:extLst>
            <a:ext uri="{FF2B5EF4-FFF2-40B4-BE49-F238E27FC236}">
              <a16:creationId xmlns:a16="http://schemas.microsoft.com/office/drawing/2014/main" id="{785D70FE-4EAD-4892-8E4A-2F7EBE71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310" name="Imagem 1309" descr="http://sistemaswebhom.einstein.br/CME/Imagens/nada.gif">
          <a:extLst>
            <a:ext uri="{FF2B5EF4-FFF2-40B4-BE49-F238E27FC236}">
              <a16:creationId xmlns:a16="http://schemas.microsoft.com/office/drawing/2014/main" id="{FF8CCC83-1C77-4924-8C1C-6C11945AF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1311" name="Imagem 1310" descr="http://sistemaswebhom.einstein.br/CME/Imagens/nada.gif">
          <a:extLst>
            <a:ext uri="{FF2B5EF4-FFF2-40B4-BE49-F238E27FC236}">
              <a16:creationId xmlns:a16="http://schemas.microsoft.com/office/drawing/2014/main" id="{48ACC12D-3D5C-4D1F-A000-1E714421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1312" name="Imagem 1311" descr="http://sistemaswebhom.einstein.br/CME/Imagens/nada.gif">
          <a:extLst>
            <a:ext uri="{FF2B5EF4-FFF2-40B4-BE49-F238E27FC236}">
              <a16:creationId xmlns:a16="http://schemas.microsoft.com/office/drawing/2014/main" id="{FAA4440E-5884-4866-8E55-FA0509A76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4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1313" name="Imagem 1312" descr="http://sistemaswebhom.einstein.br/CME/Imagens/nada.gif">
          <a:extLst>
            <a:ext uri="{FF2B5EF4-FFF2-40B4-BE49-F238E27FC236}">
              <a16:creationId xmlns:a16="http://schemas.microsoft.com/office/drawing/2014/main" id="{7C05A322-4AAC-408E-85B2-70BDEF2B7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4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314" name="Imagem 1313" descr="http://sistemaswebhom.einstein.br/CME/Imagens/nada.gif">
          <a:extLst>
            <a:ext uri="{FF2B5EF4-FFF2-40B4-BE49-F238E27FC236}">
              <a16:creationId xmlns:a16="http://schemas.microsoft.com/office/drawing/2014/main" id="{CAEF1AA6-5CE2-4327-9387-DE6B18494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315" name="Imagem 1314" descr="http://sistemaswebhom.einstein.br/CME/Imagens/nada.gif">
          <a:extLst>
            <a:ext uri="{FF2B5EF4-FFF2-40B4-BE49-F238E27FC236}">
              <a16:creationId xmlns:a16="http://schemas.microsoft.com/office/drawing/2014/main" id="{5645BE88-D068-446C-9A27-912C164AE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1316" name="Imagem 1315" descr="http://sistemaswebhom.einstein.br/CME/Imagens/nada.gif">
          <a:extLst>
            <a:ext uri="{FF2B5EF4-FFF2-40B4-BE49-F238E27FC236}">
              <a16:creationId xmlns:a16="http://schemas.microsoft.com/office/drawing/2014/main" id="{B6304F51-0EDE-4636-B24F-1B01B630F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17" name="Imagem 1316" descr="http://sistemaswebhom.einstein.br/CME/Imagens/nada.gif">
          <a:extLst>
            <a:ext uri="{FF2B5EF4-FFF2-40B4-BE49-F238E27FC236}">
              <a16:creationId xmlns:a16="http://schemas.microsoft.com/office/drawing/2014/main" id="{E541D471-42F8-4922-AC22-D0EC3B9EA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18" name="Imagem 1317" descr="http://sistemaswebhom.einstein.br/CME/Imagens/nada.gif">
          <a:extLst>
            <a:ext uri="{FF2B5EF4-FFF2-40B4-BE49-F238E27FC236}">
              <a16:creationId xmlns:a16="http://schemas.microsoft.com/office/drawing/2014/main" id="{EE69BF90-3E33-44F2-A80D-8E3E0FD65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19" name="Imagem 1318" descr="http://sistemaswebhom.einstein.br/CME/Imagens/nada.gif">
          <a:extLst>
            <a:ext uri="{FF2B5EF4-FFF2-40B4-BE49-F238E27FC236}">
              <a16:creationId xmlns:a16="http://schemas.microsoft.com/office/drawing/2014/main" id="{AE071E12-1C3E-43EB-A23E-E74A86D49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20" name="Imagem 1319" descr="http://sistemaswebhom.einstein.br/CME/Imagens/nada.gif">
          <a:extLst>
            <a:ext uri="{FF2B5EF4-FFF2-40B4-BE49-F238E27FC236}">
              <a16:creationId xmlns:a16="http://schemas.microsoft.com/office/drawing/2014/main" id="{807F8E65-7B42-4657-AE36-E8A6C3842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21" name="Imagem 1320" descr="http://sistemaswebhom.einstein.br/CME/Imagens/nada.gif">
          <a:extLst>
            <a:ext uri="{FF2B5EF4-FFF2-40B4-BE49-F238E27FC236}">
              <a16:creationId xmlns:a16="http://schemas.microsoft.com/office/drawing/2014/main" id="{3723ED69-8A36-4566-92BD-46AB9CEE6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22" name="Imagem 1321" descr="http://sistemaswebhom.einstein.br/CME/Imagens/nada.gif">
          <a:extLst>
            <a:ext uri="{FF2B5EF4-FFF2-40B4-BE49-F238E27FC236}">
              <a16:creationId xmlns:a16="http://schemas.microsoft.com/office/drawing/2014/main" id="{EB9B3F62-8728-42FE-B915-D8B333FC4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23" name="Imagem 1322" descr="http://sistemaswebhom.einstein.br/CME/Imagens/nada.gif">
          <a:extLst>
            <a:ext uri="{FF2B5EF4-FFF2-40B4-BE49-F238E27FC236}">
              <a16:creationId xmlns:a16="http://schemas.microsoft.com/office/drawing/2014/main" id="{5EB30E80-BAFD-433D-98DD-28B439CC8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24" name="Imagem 1323" descr="http://sistemaswebhom.einstein.br/CME/Imagens/nada.gif">
          <a:extLst>
            <a:ext uri="{FF2B5EF4-FFF2-40B4-BE49-F238E27FC236}">
              <a16:creationId xmlns:a16="http://schemas.microsoft.com/office/drawing/2014/main" id="{568B4F44-94BC-45FF-93AD-A5D2C515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25" name="Imagem 1324" descr="http://sistemaswebhom.einstein.br/CME/Imagens/nada.gif">
          <a:extLst>
            <a:ext uri="{FF2B5EF4-FFF2-40B4-BE49-F238E27FC236}">
              <a16:creationId xmlns:a16="http://schemas.microsoft.com/office/drawing/2014/main" id="{F0813086-433B-45CF-AE18-FC6C6F301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26" name="Imagem 1325" descr="http://sistemaswebhom.einstein.br/CME/Imagens/nada.gif">
          <a:extLst>
            <a:ext uri="{FF2B5EF4-FFF2-40B4-BE49-F238E27FC236}">
              <a16:creationId xmlns:a16="http://schemas.microsoft.com/office/drawing/2014/main" id="{4F088825-9F07-42AD-BA28-5F41383F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27" name="Imagem 1326" descr="http://sistemaswebhom.einstein.br/CME/Imagens/nada.gif">
          <a:extLst>
            <a:ext uri="{FF2B5EF4-FFF2-40B4-BE49-F238E27FC236}">
              <a16:creationId xmlns:a16="http://schemas.microsoft.com/office/drawing/2014/main" id="{C6F34883-8D7D-4D33-9B08-48D98FCCC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28" name="Imagem 1327" descr="http://sistemaswebhom.einstein.br/CME/Imagens/nada.gif">
          <a:extLst>
            <a:ext uri="{FF2B5EF4-FFF2-40B4-BE49-F238E27FC236}">
              <a16:creationId xmlns:a16="http://schemas.microsoft.com/office/drawing/2014/main" id="{2DD5C7A9-C930-474F-8DCD-88C46D518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29" name="Imagem 1328" descr="http://sistemaswebhom.einstein.br/CME/Imagens/nada.gif">
          <a:extLst>
            <a:ext uri="{FF2B5EF4-FFF2-40B4-BE49-F238E27FC236}">
              <a16:creationId xmlns:a16="http://schemas.microsoft.com/office/drawing/2014/main" id="{FCB87D92-5C51-4721-AB9A-1CFA806A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0" name="Imagem 1329" descr="http://sistemaswebhom.einstein.br/CME/Imagens/nada.gif">
          <a:extLst>
            <a:ext uri="{FF2B5EF4-FFF2-40B4-BE49-F238E27FC236}">
              <a16:creationId xmlns:a16="http://schemas.microsoft.com/office/drawing/2014/main" id="{C4241CFC-615C-4632-B6B8-4D1A15F4B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1" name="Imagem 1330" descr="http://sistemaswebhom.einstein.br/CME/Imagens/nada.gif">
          <a:extLst>
            <a:ext uri="{FF2B5EF4-FFF2-40B4-BE49-F238E27FC236}">
              <a16:creationId xmlns:a16="http://schemas.microsoft.com/office/drawing/2014/main" id="{A5A05034-3F72-4BB6-8B8E-21F26181C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2" name="Imagem 1331" descr="http://sistemaswebhom.einstein.br/CME/Imagens/nada.gif">
          <a:extLst>
            <a:ext uri="{FF2B5EF4-FFF2-40B4-BE49-F238E27FC236}">
              <a16:creationId xmlns:a16="http://schemas.microsoft.com/office/drawing/2014/main" id="{DCBF60F0-8F89-45C3-9A4B-B0F1A2C1C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3" name="Imagem 1332" descr="http://sistemaswebhom.einstein.br/CME/Imagens/nada.gif">
          <a:extLst>
            <a:ext uri="{FF2B5EF4-FFF2-40B4-BE49-F238E27FC236}">
              <a16:creationId xmlns:a16="http://schemas.microsoft.com/office/drawing/2014/main" id="{8513D756-B2BE-44A0-BACE-658A00CA9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4" name="Imagem 1333" descr="http://sistemaswebhom.einstein.br/CME/Imagens/nada.gif">
          <a:extLst>
            <a:ext uri="{FF2B5EF4-FFF2-40B4-BE49-F238E27FC236}">
              <a16:creationId xmlns:a16="http://schemas.microsoft.com/office/drawing/2014/main" id="{9659A3D2-D1DB-4D7D-87A2-06337F0A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5" name="Imagem 1334" descr="http://sistemaswebhom.einstein.br/CME/Imagens/nada.gif">
          <a:extLst>
            <a:ext uri="{FF2B5EF4-FFF2-40B4-BE49-F238E27FC236}">
              <a16:creationId xmlns:a16="http://schemas.microsoft.com/office/drawing/2014/main" id="{19C1E4E2-333F-4F0D-B952-95A933914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6" name="Imagem 1335" descr="http://sistemaswebhom.einstein.br/CME/Imagens/nada.gif">
          <a:extLst>
            <a:ext uri="{FF2B5EF4-FFF2-40B4-BE49-F238E27FC236}">
              <a16:creationId xmlns:a16="http://schemas.microsoft.com/office/drawing/2014/main" id="{852131C0-671C-4B30-BC0E-F6EBF4C52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7" name="Imagem 1336" descr="http://sistemaswebhom.einstein.br/CME/Imagens/nada.gif">
          <a:extLst>
            <a:ext uri="{FF2B5EF4-FFF2-40B4-BE49-F238E27FC236}">
              <a16:creationId xmlns:a16="http://schemas.microsoft.com/office/drawing/2014/main" id="{70825858-8E93-4246-AF50-2A0A782E4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38" name="Imagem 1337" descr="http://sistemaswebhom.einstein.br/CME/Imagens/nada.gif">
          <a:extLst>
            <a:ext uri="{FF2B5EF4-FFF2-40B4-BE49-F238E27FC236}">
              <a16:creationId xmlns:a16="http://schemas.microsoft.com/office/drawing/2014/main" id="{66A376EC-5431-4DC2-BE62-F6F28B6B5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39" name="Imagem 1338" descr="http://sistemaswebhom.einstein.br/CME/Imagens/nada.gif">
          <a:extLst>
            <a:ext uri="{FF2B5EF4-FFF2-40B4-BE49-F238E27FC236}">
              <a16:creationId xmlns:a16="http://schemas.microsoft.com/office/drawing/2014/main" id="{40F53E9A-E666-4684-ABA7-4C1D21AAF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0" name="Imagem 1339" descr="http://sistemaswebhom.einstein.br/CME/Imagens/nada.gif">
          <a:extLst>
            <a:ext uri="{FF2B5EF4-FFF2-40B4-BE49-F238E27FC236}">
              <a16:creationId xmlns:a16="http://schemas.microsoft.com/office/drawing/2014/main" id="{CA80081B-5A66-420D-8617-C1E382276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1" name="Imagem 1340" descr="http://sistemaswebhom.einstein.br/CME/Imagens/nada.gif">
          <a:extLst>
            <a:ext uri="{FF2B5EF4-FFF2-40B4-BE49-F238E27FC236}">
              <a16:creationId xmlns:a16="http://schemas.microsoft.com/office/drawing/2014/main" id="{6AFC3AB8-5597-482F-A116-9E25874D7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2" name="Imagem 1341" descr="http://sistemaswebhom.einstein.br/CME/Imagens/nada.gif">
          <a:extLst>
            <a:ext uri="{FF2B5EF4-FFF2-40B4-BE49-F238E27FC236}">
              <a16:creationId xmlns:a16="http://schemas.microsoft.com/office/drawing/2014/main" id="{48CDF387-8DD6-4031-B4AB-0BD5ECBC7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43" name="Imagem 1342" descr="http://sistemaswebhom.einstein.br/CME/Imagens/nada.gif">
          <a:extLst>
            <a:ext uri="{FF2B5EF4-FFF2-40B4-BE49-F238E27FC236}">
              <a16:creationId xmlns:a16="http://schemas.microsoft.com/office/drawing/2014/main" id="{FD0AC021-49A2-476B-B47F-B3A899AE5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44" name="Imagem 1343" descr="http://sistemaswebhom.einstein.br/CME/Imagens/nada.gif">
          <a:extLst>
            <a:ext uri="{FF2B5EF4-FFF2-40B4-BE49-F238E27FC236}">
              <a16:creationId xmlns:a16="http://schemas.microsoft.com/office/drawing/2014/main" id="{60DCC89B-B7CE-4D55-BCD5-096D828E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45" name="Imagem 1344" descr="http://sistemaswebhom.einstein.br/CME/Imagens/nada.gif">
          <a:extLst>
            <a:ext uri="{FF2B5EF4-FFF2-40B4-BE49-F238E27FC236}">
              <a16:creationId xmlns:a16="http://schemas.microsoft.com/office/drawing/2014/main" id="{CC4C71F6-C1CA-4342-8997-5A7170708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6" name="Imagem 1345" descr="http://sistemaswebhom.einstein.br/CME/Imagens/nada.gif">
          <a:extLst>
            <a:ext uri="{FF2B5EF4-FFF2-40B4-BE49-F238E27FC236}">
              <a16:creationId xmlns:a16="http://schemas.microsoft.com/office/drawing/2014/main" id="{F467ED4E-5227-45F1-A5E1-70AE2BC78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7" name="Imagem 1346" descr="http://sistemaswebhom.einstein.br/CME/Imagens/nada.gif">
          <a:extLst>
            <a:ext uri="{FF2B5EF4-FFF2-40B4-BE49-F238E27FC236}">
              <a16:creationId xmlns:a16="http://schemas.microsoft.com/office/drawing/2014/main" id="{CEAA936B-C9B5-4968-88E5-1DFC42357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8" name="Imagem 1347" descr="http://sistemaswebhom.einstein.br/CME/Imagens/nada.gif">
          <a:extLst>
            <a:ext uri="{FF2B5EF4-FFF2-40B4-BE49-F238E27FC236}">
              <a16:creationId xmlns:a16="http://schemas.microsoft.com/office/drawing/2014/main" id="{D02C7BD4-0AF2-4B16-AECF-AF99FD94E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49" name="Imagem 1348" descr="http://sistemaswebhom.einstein.br/CME/Imagens/nada.gif">
          <a:extLst>
            <a:ext uri="{FF2B5EF4-FFF2-40B4-BE49-F238E27FC236}">
              <a16:creationId xmlns:a16="http://schemas.microsoft.com/office/drawing/2014/main" id="{7C53522B-5793-4C84-AECB-A8733E16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0" name="Imagem 1349" descr="http://sistemaswebhom.einstein.br/CME/Imagens/nada.gif">
          <a:extLst>
            <a:ext uri="{FF2B5EF4-FFF2-40B4-BE49-F238E27FC236}">
              <a16:creationId xmlns:a16="http://schemas.microsoft.com/office/drawing/2014/main" id="{6447A8B3-9F4C-458E-8788-A79503A7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1" name="Imagem 1350" descr="http://sistemaswebhom.einstein.br/CME/Imagens/nada.gif">
          <a:extLst>
            <a:ext uri="{FF2B5EF4-FFF2-40B4-BE49-F238E27FC236}">
              <a16:creationId xmlns:a16="http://schemas.microsoft.com/office/drawing/2014/main" id="{DE7EC7F9-4FED-48FE-8311-B6DD5DBB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2" name="Imagem 1351" descr="http://sistemaswebhom.einstein.br/CME/Imagens/nada.gif">
          <a:extLst>
            <a:ext uri="{FF2B5EF4-FFF2-40B4-BE49-F238E27FC236}">
              <a16:creationId xmlns:a16="http://schemas.microsoft.com/office/drawing/2014/main" id="{2C7A7FB1-8627-4452-96E8-3082BACC1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53" name="Imagem 1352" descr="http://sistemaswebhom.einstein.br/CME/Imagens/nada.gif">
          <a:extLst>
            <a:ext uri="{FF2B5EF4-FFF2-40B4-BE49-F238E27FC236}">
              <a16:creationId xmlns:a16="http://schemas.microsoft.com/office/drawing/2014/main" id="{55101929-8400-46F8-A4C4-C17E4BA14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54" name="Imagem 1353" descr="http://sistemaswebhom.einstein.br/CME/Imagens/nada.gif">
          <a:extLst>
            <a:ext uri="{FF2B5EF4-FFF2-40B4-BE49-F238E27FC236}">
              <a16:creationId xmlns:a16="http://schemas.microsoft.com/office/drawing/2014/main" id="{F3EA5E35-67A0-457F-9346-269E84F47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55" name="Imagem 1354" descr="http://sistemaswebhom.einstein.br/CME/Imagens/nada.gif">
          <a:extLst>
            <a:ext uri="{FF2B5EF4-FFF2-40B4-BE49-F238E27FC236}">
              <a16:creationId xmlns:a16="http://schemas.microsoft.com/office/drawing/2014/main" id="{E1A8CEA8-3ABF-464C-B91F-3098FB992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56" name="Imagem 1355" descr="http://sistemaswebhom.einstein.br/CME/Imagens/nada.gif">
          <a:extLst>
            <a:ext uri="{FF2B5EF4-FFF2-40B4-BE49-F238E27FC236}">
              <a16:creationId xmlns:a16="http://schemas.microsoft.com/office/drawing/2014/main" id="{9BDE8E05-A383-4D43-8519-BA7867FE5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57" name="Imagem 1356" descr="http://sistemaswebhom.einstein.br/CME/Imagens/nada.gif">
          <a:extLst>
            <a:ext uri="{FF2B5EF4-FFF2-40B4-BE49-F238E27FC236}">
              <a16:creationId xmlns:a16="http://schemas.microsoft.com/office/drawing/2014/main" id="{29A79DCA-3D48-4CB4-A78B-EB6B4D50B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8" name="Imagem 1357" descr="http://sistemaswebhom.einstein.br/CME/Imagens/nada.gif">
          <a:extLst>
            <a:ext uri="{FF2B5EF4-FFF2-40B4-BE49-F238E27FC236}">
              <a16:creationId xmlns:a16="http://schemas.microsoft.com/office/drawing/2014/main" id="{82ABFE48-5F76-4230-82E5-3633910D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59" name="Imagem 1358" descr="http://sistemaswebhom.einstein.br/CME/Imagens/nada.gif">
          <a:extLst>
            <a:ext uri="{FF2B5EF4-FFF2-40B4-BE49-F238E27FC236}">
              <a16:creationId xmlns:a16="http://schemas.microsoft.com/office/drawing/2014/main" id="{2BBDCE11-6F68-4239-86D4-EABB3D539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0" name="Imagem 1359" descr="http://sistemaswebhom.einstein.br/CME/Imagens/nada.gif">
          <a:extLst>
            <a:ext uri="{FF2B5EF4-FFF2-40B4-BE49-F238E27FC236}">
              <a16:creationId xmlns:a16="http://schemas.microsoft.com/office/drawing/2014/main" id="{E6722EA9-46EE-4FE2-8779-EC239D36E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1" name="Imagem 1360" descr="http://sistemaswebhom.einstein.br/CME/Imagens/nada.gif">
          <a:extLst>
            <a:ext uri="{FF2B5EF4-FFF2-40B4-BE49-F238E27FC236}">
              <a16:creationId xmlns:a16="http://schemas.microsoft.com/office/drawing/2014/main" id="{EB6871BA-3E2C-46A3-8C30-159AEC6BE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2" name="Imagem 1361" descr="http://sistemaswebhom.einstein.br/CME/Imagens/nada.gif">
          <a:extLst>
            <a:ext uri="{FF2B5EF4-FFF2-40B4-BE49-F238E27FC236}">
              <a16:creationId xmlns:a16="http://schemas.microsoft.com/office/drawing/2014/main" id="{E3F5DFFF-80DF-4CB8-8C2D-48D931465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63" name="Imagem 1362" descr="http://sistemaswebhom.einstein.br/CME/Imagens/nada.gif">
          <a:extLst>
            <a:ext uri="{FF2B5EF4-FFF2-40B4-BE49-F238E27FC236}">
              <a16:creationId xmlns:a16="http://schemas.microsoft.com/office/drawing/2014/main" id="{67138C92-6C0B-4BD9-8B76-0740251C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64" name="Imagem 1363" descr="http://sistemaswebhom.einstein.br/CME/Imagens/nada.gif">
          <a:extLst>
            <a:ext uri="{FF2B5EF4-FFF2-40B4-BE49-F238E27FC236}">
              <a16:creationId xmlns:a16="http://schemas.microsoft.com/office/drawing/2014/main" id="{A05A1983-A3A8-4795-A150-C85B3C6DA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65" name="Imagem 1364" descr="http://sistemaswebhom.einstein.br/CME/Imagens/nada.gif">
          <a:extLst>
            <a:ext uri="{FF2B5EF4-FFF2-40B4-BE49-F238E27FC236}">
              <a16:creationId xmlns:a16="http://schemas.microsoft.com/office/drawing/2014/main" id="{08F3949D-64E4-4CA5-9919-8F113140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66" name="Imagem 1365" descr="http://sistemaswebhom.einstein.br/CME/Imagens/nada.gif">
          <a:extLst>
            <a:ext uri="{FF2B5EF4-FFF2-40B4-BE49-F238E27FC236}">
              <a16:creationId xmlns:a16="http://schemas.microsoft.com/office/drawing/2014/main" id="{DF1C4F96-B85D-4104-A254-E6D68291D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67" name="Imagem 1366" descr="http://sistemaswebhom.einstein.br/CME/Imagens/nada.gif">
          <a:extLst>
            <a:ext uri="{FF2B5EF4-FFF2-40B4-BE49-F238E27FC236}">
              <a16:creationId xmlns:a16="http://schemas.microsoft.com/office/drawing/2014/main" id="{C31CE7F7-3C26-4570-9AF4-127179672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8" name="Imagem 1367" descr="http://sistemaswebhom.einstein.br/CME/Imagens/nada.gif">
          <a:extLst>
            <a:ext uri="{FF2B5EF4-FFF2-40B4-BE49-F238E27FC236}">
              <a16:creationId xmlns:a16="http://schemas.microsoft.com/office/drawing/2014/main" id="{C3C76853-BAA3-4E6F-AFC2-EE61D47CE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69" name="Imagem 1368" descr="http://sistemaswebhom.einstein.br/CME/Imagens/nada.gif">
          <a:extLst>
            <a:ext uri="{FF2B5EF4-FFF2-40B4-BE49-F238E27FC236}">
              <a16:creationId xmlns:a16="http://schemas.microsoft.com/office/drawing/2014/main" id="{EB00EE43-D5EF-405D-8D6E-D21E951B3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0" name="Imagem 1369" descr="http://sistemaswebhom.einstein.br/CME/Imagens/nada.gif">
          <a:extLst>
            <a:ext uri="{FF2B5EF4-FFF2-40B4-BE49-F238E27FC236}">
              <a16:creationId xmlns:a16="http://schemas.microsoft.com/office/drawing/2014/main" id="{EB5BB95A-B54C-4076-8565-4E03B15C8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1" name="Imagem 1370" descr="http://sistemaswebhom.einstein.br/CME/Imagens/nada.gif">
          <a:extLst>
            <a:ext uri="{FF2B5EF4-FFF2-40B4-BE49-F238E27FC236}">
              <a16:creationId xmlns:a16="http://schemas.microsoft.com/office/drawing/2014/main" id="{C91FAD77-AFFF-4BBC-B611-47D8F35CA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2" name="Imagem 1371" descr="http://sistemaswebhom.einstein.br/CME/Imagens/nada.gif">
          <a:extLst>
            <a:ext uri="{FF2B5EF4-FFF2-40B4-BE49-F238E27FC236}">
              <a16:creationId xmlns:a16="http://schemas.microsoft.com/office/drawing/2014/main" id="{73BDF14F-1D66-47E1-9339-0BB7F983C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73" name="Imagem 1372" descr="http://sistemaswebhom.einstein.br/CME/Imagens/nada.gif">
          <a:extLst>
            <a:ext uri="{FF2B5EF4-FFF2-40B4-BE49-F238E27FC236}">
              <a16:creationId xmlns:a16="http://schemas.microsoft.com/office/drawing/2014/main" id="{3EEDB303-B0E4-4A57-A110-3F2B335FF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74" name="Imagem 1373" descr="http://sistemaswebhom.einstein.br/CME/Imagens/nada.gif">
          <a:extLst>
            <a:ext uri="{FF2B5EF4-FFF2-40B4-BE49-F238E27FC236}">
              <a16:creationId xmlns:a16="http://schemas.microsoft.com/office/drawing/2014/main" id="{3A102EA6-3D87-4936-9692-B08040455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75" name="Imagem 1374" descr="http://sistemaswebhom.einstein.br/CME/Imagens/nada.gif">
          <a:extLst>
            <a:ext uri="{FF2B5EF4-FFF2-40B4-BE49-F238E27FC236}">
              <a16:creationId xmlns:a16="http://schemas.microsoft.com/office/drawing/2014/main" id="{0211BFFE-5CCC-4A42-AEBF-34D40C7BE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76" name="Imagem 1375" descr="http://sistemaswebhom.einstein.br/CME/Imagens/nada.gif">
          <a:extLst>
            <a:ext uri="{FF2B5EF4-FFF2-40B4-BE49-F238E27FC236}">
              <a16:creationId xmlns:a16="http://schemas.microsoft.com/office/drawing/2014/main" id="{73EF5CCA-77C8-4D6B-B5EE-306943B8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77" name="Imagem 1376" descr="http://sistemaswebhom.einstein.br/CME/Imagens/nada.gif">
          <a:extLst>
            <a:ext uri="{FF2B5EF4-FFF2-40B4-BE49-F238E27FC236}">
              <a16:creationId xmlns:a16="http://schemas.microsoft.com/office/drawing/2014/main" id="{00C5CF9C-F060-4F51-BAAF-31BC8FB90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8" name="Imagem 1377" descr="http://sistemaswebhom.einstein.br/CME/Imagens/nada.gif">
          <a:extLst>
            <a:ext uri="{FF2B5EF4-FFF2-40B4-BE49-F238E27FC236}">
              <a16:creationId xmlns:a16="http://schemas.microsoft.com/office/drawing/2014/main" id="{CD771110-2E28-42DC-8FEA-689A4A665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79" name="Imagem 1378" descr="http://sistemaswebhom.einstein.br/CME/Imagens/nada.gif">
          <a:extLst>
            <a:ext uri="{FF2B5EF4-FFF2-40B4-BE49-F238E27FC236}">
              <a16:creationId xmlns:a16="http://schemas.microsoft.com/office/drawing/2014/main" id="{119F5A26-49EC-473C-9491-1B452FFFC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0" name="Imagem 1379" descr="http://sistemaswebhom.einstein.br/CME/Imagens/nada.gif">
          <a:extLst>
            <a:ext uri="{FF2B5EF4-FFF2-40B4-BE49-F238E27FC236}">
              <a16:creationId xmlns:a16="http://schemas.microsoft.com/office/drawing/2014/main" id="{607B897C-3297-4B36-ACFE-6A1F25FD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1" name="Imagem 1380" descr="http://sistemaswebhom.einstein.br/CME/Imagens/nada.gif">
          <a:extLst>
            <a:ext uri="{FF2B5EF4-FFF2-40B4-BE49-F238E27FC236}">
              <a16:creationId xmlns:a16="http://schemas.microsoft.com/office/drawing/2014/main" id="{0471A53C-0A62-4C07-AC64-7A75E2BDC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2" name="Imagem 1381" descr="http://sistemaswebhom.einstein.br/CME/Imagens/nada.gif">
          <a:extLst>
            <a:ext uri="{FF2B5EF4-FFF2-40B4-BE49-F238E27FC236}">
              <a16:creationId xmlns:a16="http://schemas.microsoft.com/office/drawing/2014/main" id="{E172136A-C346-46C0-AA83-DCEA326D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83" name="Imagem 1382" descr="http://sistemaswebhom.einstein.br/CME/Imagens/nada.gif">
          <a:extLst>
            <a:ext uri="{FF2B5EF4-FFF2-40B4-BE49-F238E27FC236}">
              <a16:creationId xmlns:a16="http://schemas.microsoft.com/office/drawing/2014/main" id="{62AD43C2-008B-492C-9BCA-FF1518A6D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84" name="Imagem 1383" descr="http://sistemaswebhom.einstein.br/CME/Imagens/nada.gif">
          <a:extLst>
            <a:ext uri="{FF2B5EF4-FFF2-40B4-BE49-F238E27FC236}">
              <a16:creationId xmlns:a16="http://schemas.microsoft.com/office/drawing/2014/main" id="{DE047AC0-A229-4CB2-842C-0B6F3EAF3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85" name="Imagem 1384" descr="http://sistemaswebhom.einstein.br/CME/Imagens/nada.gif">
          <a:extLst>
            <a:ext uri="{FF2B5EF4-FFF2-40B4-BE49-F238E27FC236}">
              <a16:creationId xmlns:a16="http://schemas.microsoft.com/office/drawing/2014/main" id="{4D7D4428-5528-42AE-9586-936E85A2B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86" name="Imagem 1385" descr="http://sistemaswebhom.einstein.br/CME/Imagens/nada.gif">
          <a:extLst>
            <a:ext uri="{FF2B5EF4-FFF2-40B4-BE49-F238E27FC236}">
              <a16:creationId xmlns:a16="http://schemas.microsoft.com/office/drawing/2014/main" id="{60CA5FE5-F5D1-4BBF-84BF-E04091AB3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387" name="Imagem 1386" descr="http://sistemaswebhom.einstein.br/CME/Imagens/nada.gif">
          <a:extLst>
            <a:ext uri="{FF2B5EF4-FFF2-40B4-BE49-F238E27FC236}">
              <a16:creationId xmlns:a16="http://schemas.microsoft.com/office/drawing/2014/main" id="{AA86406C-0E83-41B1-A6A5-94FB372F4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8" name="Imagem 1387" descr="http://sistemaswebhom.einstein.br/CME/Imagens/nada.gif">
          <a:extLst>
            <a:ext uri="{FF2B5EF4-FFF2-40B4-BE49-F238E27FC236}">
              <a16:creationId xmlns:a16="http://schemas.microsoft.com/office/drawing/2014/main" id="{2D9C440C-14DD-4353-975A-E5FAD84F6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389" name="Imagem 1388" descr="http://sistemaswebhom.einstein.br/CME/Imagens/nada.gif">
          <a:extLst>
            <a:ext uri="{FF2B5EF4-FFF2-40B4-BE49-F238E27FC236}">
              <a16:creationId xmlns:a16="http://schemas.microsoft.com/office/drawing/2014/main" id="{983A3FAB-9502-4A80-BAD9-39E1CFF4A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90" name="Imagem 1389" descr="http://sistemaswebhom.einstein.br/CME/Imagens/nada.gif">
          <a:extLst>
            <a:ext uri="{FF2B5EF4-FFF2-40B4-BE49-F238E27FC236}">
              <a16:creationId xmlns:a16="http://schemas.microsoft.com/office/drawing/2014/main" id="{0736178F-4EC7-439E-8592-A5238A05A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91" name="Imagem 1390" descr="http://sistemaswebhom.einstein.br/CME/Imagens/nada.gif">
          <a:extLst>
            <a:ext uri="{FF2B5EF4-FFF2-40B4-BE49-F238E27FC236}">
              <a16:creationId xmlns:a16="http://schemas.microsoft.com/office/drawing/2014/main" id="{1F5F1948-A009-4E8D-821A-92DB113C7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92" name="Imagem 1391" descr="http://sistemaswebhom.einstein.br/CME/Imagens/nada.gif">
          <a:extLst>
            <a:ext uri="{FF2B5EF4-FFF2-40B4-BE49-F238E27FC236}">
              <a16:creationId xmlns:a16="http://schemas.microsoft.com/office/drawing/2014/main" id="{15802235-800B-4234-8C39-D70025870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93" name="Imagem 1392" descr="http://sistemaswebhom.einstein.br/CME/Imagens/nada.gif">
          <a:extLst>
            <a:ext uri="{FF2B5EF4-FFF2-40B4-BE49-F238E27FC236}">
              <a16:creationId xmlns:a16="http://schemas.microsoft.com/office/drawing/2014/main" id="{B45DAE1D-6597-4A4B-8F36-A67AC5F31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94" name="Imagem 1393" descr="http://sistemaswebhom.einstein.br/CME/Imagens/nada.gif">
          <a:extLst>
            <a:ext uri="{FF2B5EF4-FFF2-40B4-BE49-F238E27FC236}">
              <a16:creationId xmlns:a16="http://schemas.microsoft.com/office/drawing/2014/main" id="{57A5D5B5-486C-4D5F-86C5-3EAADC257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95" name="Imagem 1394" descr="http://sistemaswebhom.einstein.br/CME/Imagens/nada.gif">
          <a:extLst>
            <a:ext uri="{FF2B5EF4-FFF2-40B4-BE49-F238E27FC236}">
              <a16:creationId xmlns:a16="http://schemas.microsoft.com/office/drawing/2014/main" id="{4D44AE82-1E8B-4EB3-8084-A0080F1D7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96" name="Imagem 1395" descr="http://sistemaswebhom.einstein.br/CME/Imagens/nada.gif">
          <a:extLst>
            <a:ext uri="{FF2B5EF4-FFF2-40B4-BE49-F238E27FC236}">
              <a16:creationId xmlns:a16="http://schemas.microsoft.com/office/drawing/2014/main" id="{046F50E9-B6E0-4837-9DDF-1136257D7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97" name="Imagem 1396" descr="http://sistemaswebhom.einstein.br/CME/Imagens/nada.gif">
          <a:extLst>
            <a:ext uri="{FF2B5EF4-FFF2-40B4-BE49-F238E27FC236}">
              <a16:creationId xmlns:a16="http://schemas.microsoft.com/office/drawing/2014/main" id="{05E62757-32D7-45F2-9BDD-F653F4770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98" name="Imagem 1397" descr="http://sistemaswebhom.einstein.br/CME/Imagens/nada.gif">
          <a:extLst>
            <a:ext uri="{FF2B5EF4-FFF2-40B4-BE49-F238E27FC236}">
              <a16:creationId xmlns:a16="http://schemas.microsoft.com/office/drawing/2014/main" id="{1883E697-6F09-414B-A4F6-ED07E9CEA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399" name="Imagem 1398" descr="http://sistemaswebhom.einstein.br/CME/Imagens/nada.gif">
          <a:extLst>
            <a:ext uri="{FF2B5EF4-FFF2-40B4-BE49-F238E27FC236}">
              <a16:creationId xmlns:a16="http://schemas.microsoft.com/office/drawing/2014/main" id="{1C6CC51C-73ED-4004-A9F2-40E0D6B9D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0" name="Imagem 1399" descr="http://sistemaswebhom.einstein.br/CME/Imagens/nada.gif">
          <a:extLst>
            <a:ext uri="{FF2B5EF4-FFF2-40B4-BE49-F238E27FC236}">
              <a16:creationId xmlns:a16="http://schemas.microsoft.com/office/drawing/2014/main" id="{B635A1C2-03B8-4260-8E20-43630C3A9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1" name="Imagem 1400" descr="http://sistemaswebhom.einstein.br/CME/Imagens/nada.gif">
          <a:extLst>
            <a:ext uri="{FF2B5EF4-FFF2-40B4-BE49-F238E27FC236}">
              <a16:creationId xmlns:a16="http://schemas.microsoft.com/office/drawing/2014/main" id="{11E84682-3920-4434-AF2B-6E30EA24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2" name="Imagem 1401" descr="http://sistemaswebhom.einstein.br/CME/Imagens/nada.gif">
          <a:extLst>
            <a:ext uri="{FF2B5EF4-FFF2-40B4-BE49-F238E27FC236}">
              <a16:creationId xmlns:a16="http://schemas.microsoft.com/office/drawing/2014/main" id="{6EF1FEFA-BC7E-4459-94FD-BF6169E6E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3" name="Imagem 1402" descr="http://sistemaswebhom.einstein.br/CME/Imagens/nada.gif">
          <a:extLst>
            <a:ext uri="{FF2B5EF4-FFF2-40B4-BE49-F238E27FC236}">
              <a16:creationId xmlns:a16="http://schemas.microsoft.com/office/drawing/2014/main" id="{CCB5C068-7847-40E8-BC63-E5B176339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4" name="Imagem 1403" descr="http://sistemaswebhom.einstein.br/CME/Imagens/nada.gif">
          <a:extLst>
            <a:ext uri="{FF2B5EF4-FFF2-40B4-BE49-F238E27FC236}">
              <a16:creationId xmlns:a16="http://schemas.microsoft.com/office/drawing/2014/main" id="{02BB0D68-17CA-4E2D-9B0C-D5EA1154C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5" name="Imagem 1404" descr="http://sistemaswebhom.einstein.br/CME/Imagens/nada.gif">
          <a:extLst>
            <a:ext uri="{FF2B5EF4-FFF2-40B4-BE49-F238E27FC236}">
              <a16:creationId xmlns:a16="http://schemas.microsoft.com/office/drawing/2014/main" id="{4582A414-EF50-44B5-85DD-E7B51EB9D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6" name="Imagem 1405" descr="http://sistemaswebhom.einstein.br/CME/Imagens/nada.gif">
          <a:extLst>
            <a:ext uri="{FF2B5EF4-FFF2-40B4-BE49-F238E27FC236}">
              <a16:creationId xmlns:a16="http://schemas.microsoft.com/office/drawing/2014/main" id="{A5905A69-7C72-4961-B591-6966511F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7" name="Imagem 1406" descr="http://sistemaswebhom.einstein.br/CME/Imagens/nada.gif">
          <a:extLst>
            <a:ext uri="{FF2B5EF4-FFF2-40B4-BE49-F238E27FC236}">
              <a16:creationId xmlns:a16="http://schemas.microsoft.com/office/drawing/2014/main" id="{430A9A64-BB6B-4947-AC0A-3BC9751D4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08" name="Imagem 1407" descr="http://sistemaswebhom.einstein.br/CME/Imagens/nada.gif">
          <a:extLst>
            <a:ext uri="{FF2B5EF4-FFF2-40B4-BE49-F238E27FC236}">
              <a16:creationId xmlns:a16="http://schemas.microsoft.com/office/drawing/2014/main" id="{C54115A4-953A-4AC7-B939-047E287B9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09" name="Imagem 1408" descr="http://sistemaswebhom.einstein.br/CME/Imagens/nada.gif">
          <a:extLst>
            <a:ext uri="{FF2B5EF4-FFF2-40B4-BE49-F238E27FC236}">
              <a16:creationId xmlns:a16="http://schemas.microsoft.com/office/drawing/2014/main" id="{04BDA3EC-CC70-419B-9CE3-2276B44FB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10" name="Imagem 1409" descr="http://sistemaswebhom.einstein.br/CME/Imagens/nada.gif">
          <a:extLst>
            <a:ext uri="{FF2B5EF4-FFF2-40B4-BE49-F238E27FC236}">
              <a16:creationId xmlns:a16="http://schemas.microsoft.com/office/drawing/2014/main" id="{6F521B57-A1E3-47CB-80B4-CBC8C39D6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11" name="Imagem 1410" descr="http://sistemaswebhom.einstein.br/CME/Imagens/nada.gif">
          <a:extLst>
            <a:ext uri="{FF2B5EF4-FFF2-40B4-BE49-F238E27FC236}">
              <a16:creationId xmlns:a16="http://schemas.microsoft.com/office/drawing/2014/main" id="{C385F3EB-0B46-488D-AD8C-6FF5B7AF7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412" name="Imagem 1411" descr="http://sistemaswebhom.einstein.br/CME/Imagens/nada.gif">
          <a:extLst>
            <a:ext uri="{FF2B5EF4-FFF2-40B4-BE49-F238E27FC236}">
              <a16:creationId xmlns:a16="http://schemas.microsoft.com/office/drawing/2014/main" id="{D51663E1-93BC-44A1-BAC1-8E3914F22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13" name="Imagem 1412" descr="http://sistemaswebhom.einstein.br/CME/Imagens/nada.gif">
          <a:extLst>
            <a:ext uri="{FF2B5EF4-FFF2-40B4-BE49-F238E27FC236}">
              <a16:creationId xmlns:a16="http://schemas.microsoft.com/office/drawing/2014/main" id="{6296C89D-0DC1-40ED-B57A-7B24ED49E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14" name="Imagem 1413" descr="http://sistemaswebhom.einstein.br/CME/Imagens/nada.gif">
          <a:extLst>
            <a:ext uri="{FF2B5EF4-FFF2-40B4-BE49-F238E27FC236}">
              <a16:creationId xmlns:a16="http://schemas.microsoft.com/office/drawing/2014/main" id="{89CBB85C-D3CF-4C6E-9E89-6ABE52B9A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15" name="Imagem 1414" descr="http://sistemaswebhom.einstein.br/CME/Imagens/nada.gif">
          <a:extLst>
            <a:ext uri="{FF2B5EF4-FFF2-40B4-BE49-F238E27FC236}">
              <a16:creationId xmlns:a16="http://schemas.microsoft.com/office/drawing/2014/main" id="{FFE4B930-FAAD-432D-B037-DC59FA933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16" name="Imagem 1415" descr="http://sistemaswebhom.einstein.br/CME/Imagens/nada.gif">
          <a:extLst>
            <a:ext uri="{FF2B5EF4-FFF2-40B4-BE49-F238E27FC236}">
              <a16:creationId xmlns:a16="http://schemas.microsoft.com/office/drawing/2014/main" id="{2FD60AA6-102A-4944-8060-6D71C87B4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17" name="Imagem 1416" descr="http://sistemaswebhom.einstein.br/CME/Imagens/nada.gif">
          <a:extLst>
            <a:ext uri="{FF2B5EF4-FFF2-40B4-BE49-F238E27FC236}">
              <a16:creationId xmlns:a16="http://schemas.microsoft.com/office/drawing/2014/main" id="{8AEAD67E-D05F-439C-B436-024AB175F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18" name="Imagem 1417" descr="http://sistemaswebhom.einstein.br/CME/Imagens/nada.gif">
          <a:extLst>
            <a:ext uri="{FF2B5EF4-FFF2-40B4-BE49-F238E27FC236}">
              <a16:creationId xmlns:a16="http://schemas.microsoft.com/office/drawing/2014/main" id="{767B5754-63BC-4AE4-B646-CA9667EE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19" name="Imagem 1418" descr="http://sistemaswebhom.einstein.br/CME/Imagens/nada.gif">
          <a:extLst>
            <a:ext uri="{FF2B5EF4-FFF2-40B4-BE49-F238E27FC236}">
              <a16:creationId xmlns:a16="http://schemas.microsoft.com/office/drawing/2014/main" id="{2BF62A7D-B732-48EA-AAE8-63E5ADD4C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20" name="Imagem 1419" descr="http://sistemaswebhom.einstein.br/CME/Imagens/nada.gif">
          <a:extLst>
            <a:ext uri="{FF2B5EF4-FFF2-40B4-BE49-F238E27FC236}">
              <a16:creationId xmlns:a16="http://schemas.microsoft.com/office/drawing/2014/main" id="{19670823-978C-49BA-BC93-C20DCD04A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1" name="Imagem 1420" descr="http://sistemaswebhom.einstein.br/CME/Imagens/nada.gif">
          <a:extLst>
            <a:ext uri="{FF2B5EF4-FFF2-40B4-BE49-F238E27FC236}">
              <a16:creationId xmlns:a16="http://schemas.microsoft.com/office/drawing/2014/main" id="{C743465F-081B-4FFB-A972-DF02EE5B2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2" name="Imagem 1421" descr="http://sistemaswebhom.einstein.br/CME/Imagens/nada.gif">
          <a:extLst>
            <a:ext uri="{FF2B5EF4-FFF2-40B4-BE49-F238E27FC236}">
              <a16:creationId xmlns:a16="http://schemas.microsoft.com/office/drawing/2014/main" id="{31264FCD-42B8-4479-AD76-63D28FC8E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3" name="Imagem 1422" descr="http://sistemaswebhom.einstein.br/CME/Imagens/nada.gif">
          <a:extLst>
            <a:ext uri="{FF2B5EF4-FFF2-40B4-BE49-F238E27FC236}">
              <a16:creationId xmlns:a16="http://schemas.microsoft.com/office/drawing/2014/main" id="{D021467B-8C30-4A13-905A-863BEAA3C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4" name="Imagem 1423" descr="http://sistemaswebhom.einstein.br/CME/Imagens/nada.gif">
          <a:extLst>
            <a:ext uri="{FF2B5EF4-FFF2-40B4-BE49-F238E27FC236}">
              <a16:creationId xmlns:a16="http://schemas.microsoft.com/office/drawing/2014/main" id="{01736C38-CF03-42F2-A76C-609983F68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25" name="Imagem 1424" descr="http://sistemaswebhom.einstein.br/CME/Imagens/nada.gif">
          <a:extLst>
            <a:ext uri="{FF2B5EF4-FFF2-40B4-BE49-F238E27FC236}">
              <a16:creationId xmlns:a16="http://schemas.microsoft.com/office/drawing/2014/main" id="{52A2F98B-51F4-4F9D-A484-E01D87B72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26" name="Imagem 1425" descr="http://sistemaswebhom.einstein.br/CME/Imagens/nada.gif">
          <a:extLst>
            <a:ext uri="{FF2B5EF4-FFF2-40B4-BE49-F238E27FC236}">
              <a16:creationId xmlns:a16="http://schemas.microsoft.com/office/drawing/2014/main" id="{67516A7E-DAEB-4DB7-8EAB-938347286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27" name="Imagem 1426" descr="http://sistemaswebhom.einstein.br/CME/Imagens/nada.gif">
          <a:extLst>
            <a:ext uri="{FF2B5EF4-FFF2-40B4-BE49-F238E27FC236}">
              <a16:creationId xmlns:a16="http://schemas.microsoft.com/office/drawing/2014/main" id="{A59FEDD3-3239-46AC-90A6-918ECD949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28" name="Imagem 1427" descr="http://sistemaswebhom.einstein.br/CME/Imagens/nada.gif">
          <a:extLst>
            <a:ext uri="{FF2B5EF4-FFF2-40B4-BE49-F238E27FC236}">
              <a16:creationId xmlns:a16="http://schemas.microsoft.com/office/drawing/2014/main" id="{9873CE3D-26F2-4BB8-9AC8-169FE1189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29" name="Imagem 1428" descr="http://sistemaswebhom.einstein.br/CME/Imagens/nada.gif">
          <a:extLst>
            <a:ext uri="{FF2B5EF4-FFF2-40B4-BE49-F238E27FC236}">
              <a16:creationId xmlns:a16="http://schemas.microsoft.com/office/drawing/2014/main" id="{204AC49F-6476-413A-9405-86AA62CD8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25400</xdr:rowOff>
    </xdr:from>
    <xdr:ext cx="9525" cy="0"/>
    <xdr:pic>
      <xdr:nvPicPr>
        <xdr:cNvPr id="1430" name="Imagem 1429" descr="http://sistemaswebhom.einstein.br/CME/Imagens/nada.gif">
          <a:extLst>
            <a:ext uri="{FF2B5EF4-FFF2-40B4-BE49-F238E27FC236}">
              <a16:creationId xmlns:a16="http://schemas.microsoft.com/office/drawing/2014/main" id="{B1CFE3F2-0F65-4ACB-92F3-7C9C0D66E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31" name="Imagem 1430" descr="http://sistemaswebhom.einstein.br/CME/Imagens/nada.gif">
          <a:extLst>
            <a:ext uri="{FF2B5EF4-FFF2-40B4-BE49-F238E27FC236}">
              <a16:creationId xmlns:a16="http://schemas.microsoft.com/office/drawing/2014/main" id="{7C5E2529-3575-4C6A-A037-128A31783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32" name="Imagem 1431" descr="http://sistemaswebhom.einstein.br/CME/Imagens/nada.gif">
          <a:extLst>
            <a:ext uri="{FF2B5EF4-FFF2-40B4-BE49-F238E27FC236}">
              <a16:creationId xmlns:a16="http://schemas.microsoft.com/office/drawing/2014/main" id="{C9ED3515-8270-42F3-96BF-33E89BD84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33" name="Imagem 1432" descr="http://sistemaswebhom.einstein.br/CME/Imagens/nada.gif">
          <a:extLst>
            <a:ext uri="{FF2B5EF4-FFF2-40B4-BE49-F238E27FC236}">
              <a16:creationId xmlns:a16="http://schemas.microsoft.com/office/drawing/2014/main" id="{85C9AF60-D7BD-40F3-9390-E2634AB9B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34" name="Imagem 1433" descr="http://sistemaswebhom.einstein.br/CME/Imagens/nada.gif">
          <a:extLst>
            <a:ext uri="{FF2B5EF4-FFF2-40B4-BE49-F238E27FC236}">
              <a16:creationId xmlns:a16="http://schemas.microsoft.com/office/drawing/2014/main" id="{F2A9D238-D1BD-4F42-AB62-A24A3AC16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35" name="Imagem 1434" descr="http://sistemaswebhom.einstein.br/CME/Imagens/nada.gif">
          <a:extLst>
            <a:ext uri="{FF2B5EF4-FFF2-40B4-BE49-F238E27FC236}">
              <a16:creationId xmlns:a16="http://schemas.microsoft.com/office/drawing/2014/main" id="{9C25DFD3-5A94-418B-98D4-FBB00D50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36" name="Imagem 1435" descr="http://sistemaswebhom.einstein.br/CME/Imagens/nada.gif">
          <a:extLst>
            <a:ext uri="{FF2B5EF4-FFF2-40B4-BE49-F238E27FC236}">
              <a16:creationId xmlns:a16="http://schemas.microsoft.com/office/drawing/2014/main" id="{809F3846-C672-4346-8285-3C0F9F926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437" name="Imagem 1436" descr="http://sistemaswebhom.einstein.br/CME/Imagens/nada.gif">
          <a:extLst>
            <a:ext uri="{FF2B5EF4-FFF2-40B4-BE49-F238E27FC236}">
              <a16:creationId xmlns:a16="http://schemas.microsoft.com/office/drawing/2014/main" id="{F826B4AE-3311-45E2-AA6D-DD38CD2CE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438" name="Imagem 1437" descr="http://sistemaswebhom.einstein.br/CME/Imagens/nada.gif">
          <a:extLst>
            <a:ext uri="{FF2B5EF4-FFF2-40B4-BE49-F238E27FC236}">
              <a16:creationId xmlns:a16="http://schemas.microsoft.com/office/drawing/2014/main" id="{5E112DCC-A191-456F-84B0-6FBF13A32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439" name="Imagem 1438" descr="http://sistemaswebhom.einstein.br/CME/Imagens/nada.gif">
          <a:extLst>
            <a:ext uri="{FF2B5EF4-FFF2-40B4-BE49-F238E27FC236}">
              <a16:creationId xmlns:a16="http://schemas.microsoft.com/office/drawing/2014/main" id="{8FD805F3-C8B3-4C0A-A4A2-175028F8D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25400</xdr:rowOff>
    </xdr:from>
    <xdr:ext cx="9525" cy="0"/>
    <xdr:pic>
      <xdr:nvPicPr>
        <xdr:cNvPr id="1440" name="Imagem 1439" descr="http://sistemaswebhom.einstein.br/CME/Imagens/nada.gif">
          <a:extLst>
            <a:ext uri="{FF2B5EF4-FFF2-40B4-BE49-F238E27FC236}">
              <a16:creationId xmlns:a16="http://schemas.microsoft.com/office/drawing/2014/main" id="{4E45A379-0412-4F33-9001-1D36B96E8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41" name="Imagem 1440" descr="http://sistemaswebhom.einstein.br/CME/Imagens/nada.gif">
          <a:extLst>
            <a:ext uri="{FF2B5EF4-FFF2-40B4-BE49-F238E27FC236}">
              <a16:creationId xmlns:a16="http://schemas.microsoft.com/office/drawing/2014/main" id="{1C041372-CF08-44E5-9A1C-05357E7FC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25400</xdr:rowOff>
    </xdr:from>
    <xdr:ext cx="9525" cy="0"/>
    <xdr:pic>
      <xdr:nvPicPr>
        <xdr:cNvPr id="1442" name="Imagem 1441" descr="http://sistemaswebhom.einstein.br/CME/Imagens/nada.gif">
          <a:extLst>
            <a:ext uri="{FF2B5EF4-FFF2-40B4-BE49-F238E27FC236}">
              <a16:creationId xmlns:a16="http://schemas.microsoft.com/office/drawing/2014/main" id="{393EB0E8-89A2-44A0-B07E-62BF5A8F9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0AC80C35-B65A-418E-AC43-C0709BAE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E72A9C77-145B-41A5-A932-40C37F0EB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5230F1F7-AE53-4106-A8D0-07B28B44E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9A52142B-D07C-41F9-B3A9-FDDC32AB4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42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4C55126B-8072-412B-BCDD-33601C7D8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42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82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A21AA4BF-D2C3-45BF-A4F2-CBD63024E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82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9FEE8F45-DACC-4FA9-A5E2-4B0CB119D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82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4152BC48-1C29-4DF6-8C42-92D340527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B43381C7-8E4F-461A-8D62-EB425F6EF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FF32349E-E7D3-4C2D-8044-1E4424A17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F1D0CCD5-F02A-4154-A4B5-85AC0CBA8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00D6FFB0-12D8-4AD8-A600-615982A6E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0BE2836C-CA7A-496B-A734-F83EA82F0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C9217A1B-1AFD-4422-B008-22DCFB5AC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5E0299A0-486F-4065-8D11-B82915C81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E5737DC6-BE80-4145-AF66-11C3ABDD9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7F472C79-8BF2-41EC-BBE7-A0CF4B696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2D5AEC1F-CAC4-410C-9F41-C8842FC10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63E1A5EC-720E-4A08-BE61-A0B65AD91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067D4E9D-2EDE-45D7-975F-F03EA27BB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6D1A0412-4C73-4BCB-AB0F-D6D418546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359E5D5B-6312-4FF9-84DE-9C4BA7EA7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C3D1A85A-0D2D-4ACE-9E99-24651DC6D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F3F05109-C2B9-40B5-B240-56A1C20A7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61963B89-44D1-4E23-A84E-424B81642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6E188432-D10D-400A-B22D-62BC1D968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7788D00B-F601-4069-B6C1-0CA3436C3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A16D7856-E9DC-4564-B0F3-B351B5251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9B922232-2D84-4826-9BB7-AB9CA3AC3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D6A23B7F-E230-43C9-92CE-153B1D83E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466EF8C7-0C80-44C8-A5ED-C168F6E3A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AD1B77A5-8975-41F7-B8E0-09C9BC73C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12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F39D7587-8F69-475F-A285-AB473187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12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0273CBD1-5E9B-4C02-B4EA-4E1E397B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9E7E55B2-9A9E-4A99-BAFF-3E6A79903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91A59FDE-0F08-44B5-A357-91AC726FF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DCD40A03-250C-4F18-8CED-88AF88DFF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58F917D1-2EE4-4FD7-A745-079C050AB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58434525-F11B-4EAA-A528-52A46AA41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4344A07A-2D63-42C6-8485-95126D613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628E9F83-2C7B-4FA8-A9CB-24454668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CB731008-5116-44A3-88A2-64DB67BC8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2A16F608-85AA-4F9E-8E8C-F27E24DCA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70009762-B6A9-4EC7-A1A2-3ED84D1D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2B8CD5FE-2ECD-4F06-9469-9521AC8F5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7EDD1CC2-F20B-458B-9142-77FF7329F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C5AE35D0-7123-4310-8E11-47B5C88E2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26965632-EFA5-469D-B100-334F8EDD3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6AAABF35-AB77-4305-B2F7-B7161E552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E02B8CC4-A991-45A6-9EE9-BCCA6D658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382DD4E0-0FAE-4CF2-9DE5-ABC8F6BCD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27BA7C32-4791-488B-8128-B66ED37F9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2A8042D4-0E58-4A0E-9F82-3F5492BB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54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B5A5D05D-8E0B-47A7-9CA3-F7F6EEBA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54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AD8A81C8-4631-4A50-AAB5-1939AE7A9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2AAB3778-7A4A-4ADE-BE54-A93E812D6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910858C5-5173-4845-A92F-A0F18B022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94358A53-D356-4DDE-B368-B9FFCA318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76F6A205-76F9-41D8-8B7E-AB1806A9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DB5958A4-38F6-49F3-BA8F-B690E76DD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994638A5-915D-4C57-BA85-8F1C029DA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F1526EF9-C6E5-4634-A1CA-D5ADB06CE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BBD521E2-2151-4BBB-AAF1-B201071B7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CED907FA-D286-4295-9774-D1E429236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630D6653-B1A7-4F34-84C5-3476E087F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E7207B76-A258-4DA6-B9C1-D8F5B5ADA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ADFC7E89-1742-4910-9A8C-CF083A05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52B531ED-23EF-41AE-9562-47A84358A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B1FCD00C-3F8A-4358-B26D-B3F6EB425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80762793-7ABA-418C-8F8C-832DD01F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8271CB9D-9A9A-4F6C-A530-24C7759A2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665C9117-1C69-43FE-9286-0CF735159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3F15BA11-4608-4BFC-8744-1CE0B26D7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52140727-C845-4D9E-8314-9B9FD7745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08E50935-920A-4EE0-ACE0-9BAB56495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E490B1C9-B558-43F8-83FF-45E0CA60F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FDC10FED-D1ED-4B4B-A1F9-E1638A2F9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D32FC5DF-E4A7-4F12-BA72-2EB1FE0CD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1C4832E1-983E-4246-B545-825E332CD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9D333FE6-F78A-4BEC-B877-B74943DD9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58532D23-3ADC-451D-AD53-E10473FEB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019B854C-D4C4-4F4F-BB42-C995C12AC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115BB469-E9F5-4DD0-A387-9D779E004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F2EE847D-3BE6-4406-B8A0-1CDE8B116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EE907A0E-69AE-454B-A07B-FFF232424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5AF07F66-6A53-428F-8718-4B09B4154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59C4A535-88DE-4351-AEC5-29AA727C7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107A545D-C254-4388-905E-A0C9486B5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A068276C-3AD4-42EB-AB76-E58C42EF9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CEBCC06A-B952-480D-BBCC-9CB8B143D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D5D0AF38-C85D-49C2-84A1-CF51B8285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2FB0A999-EC0F-4678-A0A2-AD2815332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1BF47030-3A66-412E-9112-44BD58AFA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66147F74-2BE6-41E1-8FE6-5BC400595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EB2BAF5A-BB15-4EB5-ABE0-C831C6363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C0E3934B-F656-4D85-8D9F-963A116B9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2DFB2B58-50D4-4BAC-ACA1-8CA1EBB56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F8FA6EE3-266A-4F7A-84E0-A06A6E6E8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742B8082-CB70-45A8-9886-680F1687B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18B0066A-60D9-483C-9D2E-F3AB39E6B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AC052030-11FE-4D0C-BFDF-7A53B1126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124BFD78-A81F-4F6B-AD72-D15E9872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DBD74F6E-5A99-4FCE-B6FB-158F4F3E5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C11F6436-CF08-4FE7-9503-B7BA12C89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4DA06656-E334-48C8-B6E1-3E17EA644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DBDED493-6B80-48AC-889F-C29E1FAC2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8BD86B3A-19A5-4B9C-87D0-85E964E73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AD4B2AAC-B77F-4A8F-B15B-B1841DB92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78E7E787-9D9E-4644-8DEB-A45E77271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3A15CB51-7FD4-4C76-B5BA-639B411F9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832EBF32-71FE-49A4-9BA9-928C2E614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7A519EF7-0C88-44D2-9A1C-6CDFD7ECF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A51E2684-2427-40DF-85BD-410067CB1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10013912-121B-46CD-B9C8-6A8C1F99E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E14E57FF-CB5C-4FC5-941A-055C094A1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A8C20922-2561-4722-B1F3-7778DDF49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20E45DF4-6CDF-4291-805A-7714B2AE9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E0208EE0-6162-4636-8E71-6D1FD279F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8043CCB7-3784-456D-BD27-9C2390E53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089819FD-02DD-4029-88F3-E1C5A4D20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DB11812A-B430-4192-B6DE-C68CEE854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DFB046C1-8D8D-4984-8AD4-EDCDC0F53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18669E0D-01F0-4DCC-B44D-89A80088F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53235FF9-B935-4199-A0BC-B0AA4C5EA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B5793376-BD1B-41A7-8855-F46C220E7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B50C7739-1431-43ED-AE93-FDC59A233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D2B97A10-76AE-4477-9121-3427847BB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98F5BEFC-A658-4ACA-9FAE-99733959B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A1CCE5BF-7613-403E-9C89-925E579F2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468974DD-0FCF-41C5-9968-756D063E7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A23B1D06-82AC-49A9-9441-9ED97664C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84120DE3-7404-49D7-8699-8E6C13A91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B598FD8A-8776-4F38-8C56-AAD282F6B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3E78E7E0-8AB6-45B3-8FC9-E56FDD9B1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BB853404-A5F8-4571-A90B-9BB9691E9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EE307E3B-511C-4D34-B7F9-883A2B3B1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AF0082A4-699F-4969-9138-7C3B7084C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45CE3976-BE20-4156-B132-1E94EA413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5222AC04-6319-47F4-80F8-72DE2A0D2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21B52B95-525A-4356-8479-AB7D1FB19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D57EA83A-C578-4AF7-B84F-111285A79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5061CFED-B3DC-47D2-BD6C-6D4AF7A6F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F1E20B42-89FD-4386-A1DE-C2AB68563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1D78CF13-E38A-42E8-9FBA-220434D84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3B8C2EC8-8746-442D-B79A-69A2B1397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40D1BED7-CECB-463A-B642-BF8AB2A6D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92B03C65-1E87-4000-B15E-D6CEDED6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2FC3CE1B-718F-4BA0-8DF5-34116C0D0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74F5D1DC-279D-42AB-AA55-5A1E94C01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25802BC8-D253-465E-A654-D01EAE8D0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C1DACB45-FBE6-4405-A3DB-84540E7FF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605E6529-D265-428B-BC13-C96EAA386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25400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2B5A5C54-DC3F-4578-B79C-B9B09F67F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4058583A-D786-4F0C-A3D9-AAB6639C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9B06823A-5194-4B13-A4CD-2AA52338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A37C38F0-AF09-4ACB-9084-4BD45D754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7CDE23E3-8B3E-426B-94AD-F79922A2A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C2E091A1-BB29-4733-9F16-17118E6FF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043B18F6-A124-4918-9983-ED5385A8C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2F02252C-DA5B-4F24-B8E7-A1EC6ED3A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91E4FE15-EB03-48F0-8739-1DFC05D22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00E0A277-2202-49D0-A7A3-B3BC9BB5E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077CEECC-41B6-4351-934F-5DE735EC0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8F11666B-D34F-4D7B-827F-4FF589D71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04605DDD-1E1A-4933-AA96-F71A65579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9B4BF476-1F5A-44CD-BDF5-20D25E5B3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E835FBEB-AA43-42C7-BCB0-61D363265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F5E6C9E9-6634-4A0F-825B-2A19221D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F4A8F4C0-8F33-4C5F-8165-33AF3FACE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1A4598D4-5ED6-4051-A947-E967C78F1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331D9B82-04A8-458A-931F-F8CF0A200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8B8DD243-8288-4E7A-805E-A8D63B12E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A42EAFE1-6578-4F0A-8946-008CBFA93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7A7B376A-AA7A-4A48-B634-F09743F1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28987AAF-8B49-4C40-8E5B-B7ED335F8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0C6C2075-0645-4252-9A1B-2E4002A20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D9BF9BFF-D9F7-49DB-A075-95E73542C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38BC1860-E19D-4B2F-9FD8-4D7F02B4C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A2F8D88F-6E00-4C32-A80D-2A9BF8783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164A2D0B-763E-4EF4-B7A7-EBA42CBA4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B99B439F-0948-4546-81DF-5E872242D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7FE67DC4-36A2-42F8-843C-F6840A28A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BEF5668C-22B4-499A-813A-F055251E5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42</xdr:row>
      <xdr:rowOff>4379023</xdr:rowOff>
    </xdr:from>
    <xdr:ext cx="9525" cy="96520"/>
    <xdr:sp macro="" textlink="">
      <xdr:nvSpPr>
        <xdr:cNvPr id="188" name="Shape 18">
          <a:extLst>
            <a:ext uri="{FF2B5EF4-FFF2-40B4-BE49-F238E27FC236}">
              <a16:creationId xmlns:a16="http://schemas.microsoft.com/office/drawing/2014/main" id="{A3F6A981-F9D3-463E-A8CB-66260EE36377}"/>
            </a:ext>
          </a:extLst>
        </xdr:cNvPr>
        <xdr:cNvSpPr/>
      </xdr:nvSpPr>
      <xdr:spPr>
        <a:xfrm>
          <a:off x="1381125" y="1508512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42</xdr:row>
      <xdr:rowOff>4379023</xdr:rowOff>
    </xdr:from>
    <xdr:ext cx="9525" cy="96520"/>
    <xdr:sp macro="" textlink="">
      <xdr:nvSpPr>
        <xdr:cNvPr id="189" name="Shape 18">
          <a:extLst>
            <a:ext uri="{FF2B5EF4-FFF2-40B4-BE49-F238E27FC236}">
              <a16:creationId xmlns:a16="http://schemas.microsoft.com/office/drawing/2014/main" id="{C3DF53E5-7757-4D3F-9945-BE80EDA247C4}"/>
            </a:ext>
          </a:extLst>
        </xdr:cNvPr>
        <xdr:cNvSpPr/>
      </xdr:nvSpPr>
      <xdr:spPr>
        <a:xfrm>
          <a:off x="1381125" y="1508512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42</xdr:row>
      <xdr:rowOff>4379023</xdr:rowOff>
    </xdr:from>
    <xdr:ext cx="9525" cy="96520"/>
    <xdr:sp macro="" textlink="">
      <xdr:nvSpPr>
        <xdr:cNvPr id="190" name="Shape 18">
          <a:extLst>
            <a:ext uri="{FF2B5EF4-FFF2-40B4-BE49-F238E27FC236}">
              <a16:creationId xmlns:a16="http://schemas.microsoft.com/office/drawing/2014/main" id="{447B50FA-75E4-49AC-B7C2-50017670B1BE}"/>
            </a:ext>
          </a:extLst>
        </xdr:cNvPr>
        <xdr:cNvSpPr/>
      </xdr:nvSpPr>
      <xdr:spPr>
        <a:xfrm>
          <a:off x="1381125" y="1508512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0</xdr:rowOff>
    </xdr:from>
    <xdr:to>
      <xdr:col>0</xdr:col>
      <xdr:colOff>9525</xdr:colOff>
      <xdr:row>74</xdr:row>
      <xdr:rowOff>0</xdr:rowOff>
    </xdr:to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EFDE3ACB-B888-4C56-AA50-6551C386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9525</xdr:colOff>
      <xdr:row>74</xdr:row>
      <xdr:rowOff>0</xdr:rowOff>
    </xdr:to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F82D591C-D494-4E0A-9748-F1931E0C8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9525</xdr:colOff>
      <xdr:row>74</xdr:row>
      <xdr:rowOff>0</xdr:rowOff>
    </xdr:to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A98AA058-AC1A-4FFA-8025-1E45A40B4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9525</xdr:colOff>
      <xdr:row>74</xdr:row>
      <xdr:rowOff>0</xdr:rowOff>
    </xdr:to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3AA12B74-E9CD-43E7-8DC0-E9FB6726D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9525</xdr:colOff>
      <xdr:row>74</xdr:row>
      <xdr:rowOff>0</xdr:rowOff>
    </xdr:to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BF99A28B-6B02-4962-9A0B-F0D35D768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9525</xdr:colOff>
      <xdr:row>74</xdr:row>
      <xdr:rowOff>0</xdr:rowOff>
    </xdr:to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2D524C53-BA0A-408B-A188-5994C784C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9525</xdr:colOff>
      <xdr:row>74</xdr:row>
      <xdr:rowOff>0</xdr:rowOff>
    </xdr:to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CAEF784F-99AF-466D-B8D8-07E9BB771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9525</xdr:colOff>
      <xdr:row>74</xdr:row>
      <xdr:rowOff>0</xdr:rowOff>
    </xdr:to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180FA99B-EE47-454F-B82D-1D56E19CE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9525</xdr:colOff>
      <xdr:row>74</xdr:row>
      <xdr:rowOff>0</xdr:rowOff>
    </xdr:to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1AAC4672-A363-46E6-9EAB-E943E6B32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451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92</xdr:row>
      <xdr:rowOff>0</xdr:rowOff>
    </xdr:from>
    <xdr:ext cx="9525" cy="9525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A41EF156-648E-44AA-8CE6-398B02D69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90A45A83-B2EB-4A23-99AD-13B6DFF84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E14B274D-957E-4DC8-9551-76147814F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53FFECF0-5592-471E-BE6E-825FFC1E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E12D9207-4095-4206-AD03-92E04BC8D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10834A3B-2ED9-4199-91CD-BAA2ADA6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7BF51F16-9218-4A74-A5C4-38DF5970F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F23FBACD-F60F-4AD9-9465-F910F400C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06F13736-A44C-4D56-8C33-1E49194BE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7F62BA27-D873-4AD6-A525-9B12F12CE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4F46DBF5-9ED2-44EA-9E49-FA8AF04CD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9D13E984-C02E-487D-A7B1-F4F2AA4F3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BEE014FD-2127-47CE-A350-8901849B2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8488D0B0-1B5B-4E7E-982C-79E490D23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C9256A71-B0A1-426C-8ABD-89606A222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1C4CB8AA-4DE7-49DE-9FEC-9E1F9DDF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E7415A94-7AB8-4185-9011-87574C9E3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379247DA-B3B0-476B-8FFC-5E724F206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FB243E17-6ED5-486F-9030-10D0F9D37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5E5B83FA-00E7-4944-98EA-82934F5D3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0F435B69-5679-4AFA-BF71-F5F8C1306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B191E730-8963-4F62-9E2A-252D5BDBE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AD2F0A9D-AEFC-4BB2-9279-9C8583CC9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C62916DA-444F-44A7-B31F-928000793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45632BB5-4B94-4BCC-94D3-53CBDB886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AAE762CD-857C-4F13-BCC3-F8F544959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DC4A332D-B717-4B98-ACD7-1DEEAB472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A03671CC-84A0-4121-8A44-B6CE3F937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D0694ADF-23AE-4E00-880B-F5BE323AD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FAA52D47-A7FB-483D-ABA1-0E4073B4D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8233A9C8-39CA-4B96-9D97-7899E3B9C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74DE98D8-B4B8-4433-B66B-747986E31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AB39B2E7-657B-459F-8130-5EBED3678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E742872B-F03A-4DE8-B9AB-485F82F81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E0CA6FB2-737F-4EDA-BF77-6D7BAFB21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960E0764-D9C9-42DB-B93A-B71872623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57FB3463-C467-40EE-AC93-3CBEC2DF2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5EC5EF13-F372-4486-BBA1-3EA9F82EB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36D49C28-241A-4BF4-AC8E-4DE6A132B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DD09D927-4E0D-435F-ABB7-236D90035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FA2754D4-D82B-487A-842C-A77848A11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FB266EBB-CCAA-4386-83F3-B8E9CC01F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2B2690E6-BEF8-46E4-829C-3A2B39FBC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312DD50C-AE02-42CE-8C0F-0CA5E556D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08D54D23-0F5D-4E2A-B9BA-F73E3156C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6E8584C6-3A64-4188-B8FC-32C2C90A7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8BDDB241-C78D-49A7-BAB8-4116C6C9C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B8FFEBB1-3BEA-4752-A1D4-4997A926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D682CC5E-CC99-4B53-B44B-7CF7A06A7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1C9651C1-654D-4393-AFA7-C9CDB7E7F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F7AE64FB-B841-4AAE-AF26-028F5F9E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E22AF43D-3241-4A58-9DF1-11F688EE4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4F934643-ED9F-434E-99D1-451D9060F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4A3EA389-8EF5-4B04-BF1A-DABD70219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C164F98D-A79B-4D31-89AE-0EB21FDB1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77176168-A55D-4692-9C5E-02971B077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B1C25133-0D11-4714-9BE2-BB2493FBE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8CD4EEF6-4693-46FA-8ECC-E4A3932BB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2DAB12CF-1B98-4EB7-8516-863178E8F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9C0B3F86-A9CC-4BB1-8EC6-113A00B6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FB93E69B-18DC-4CB5-B2A2-945BAEDE0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0170F6FF-9BFD-416C-ACAD-A900AFEA4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02891CBE-7286-4042-8BF4-2E87F06FE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FDE2E3CD-C2B2-4805-AD00-D0EB27458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3E31C1B0-7C4C-4E6F-9402-573C41A06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911B2ABE-CF22-4A01-8099-3E579DD29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B1071BEB-BB1C-4544-8428-03360A0AA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118602A6-F64F-4AFB-BF08-B41D2C62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0E1EE973-7A88-490E-AEEE-E3EE3163F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3F1CAA15-8489-4C6C-89C5-2EFC27F5C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9988AB0D-106D-40B1-B563-C491BD4AF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C3A589F2-3BC8-4858-AE97-A68173F79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519691E6-549B-4ECD-B763-4C5BD814A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8A12D77F-885D-41EB-B0EE-EAE35776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369D24A3-6BB4-4029-B7FE-A12046790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D666D50D-3217-4CEE-854F-4599A5F51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E8381174-7CDC-42A6-AC64-C25B6EF9E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A5CA0B41-5197-4195-9773-23C978548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A4DE4CC4-D8A6-4A43-8346-7057B8131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C303848B-61FF-402C-B877-FD2E53FBF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6D54C942-7FAC-42E1-BBBB-87FE7FD13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711C52C7-B246-484C-AA75-5A6B6EFC6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78A53A2F-6D76-48FE-82D3-B75B470B5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C814D6DF-53B1-42AF-98E7-AC3BACB70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A8E3943B-9B24-429A-8E18-3BC214A85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D1495478-623E-4765-BA8D-FEACAFAEB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D2426F30-3A76-4978-B5D9-A4EE76665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9E439BE3-D223-4988-9679-0247562ED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92602A06-6884-4E97-93CC-596894C67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235B6F29-FE7B-4440-87AD-DD5A1E9F4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775F8395-A8A8-443E-83EC-C74DE233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6D79E08C-26FB-4700-BC0A-8A84037BA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D3D72FFF-0277-409B-8A2C-AF6298A6B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9671A3F1-F08D-4A9A-BEA8-7C9BD839A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1D5F71C4-76BC-4F33-AC49-30E2C83F2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C9644025-E8B6-4035-9E13-A9F1211A7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46B3647D-640F-4BD8-A4E8-00202C8BF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84D1A697-C01D-4BF5-9C76-ABA32BD02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1D3CC72B-4A93-43C4-A6E8-62B498D93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EDF7C9E7-509A-487C-BCE1-CA1B55FC0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F1E683E1-FE9D-47C2-A85E-BF6A66980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D8717338-9B24-4C68-B1B9-7AFD0FC03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5C34AA56-062E-4928-84AD-4EB0181F1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36B40D8E-ACE0-4D39-8D23-F572191B8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B4C647F1-946A-4786-809D-85A0A06BF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F62D7077-A03C-4908-9D16-72AC05094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0385A929-5909-4335-8533-703EF93D6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0D1592A5-657D-4AB6-84F3-9FF0F24CD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73A96FD6-D938-45E7-8116-374E4D637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61F93EE7-EFAF-4FD2-ADDE-04C099F10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2003D779-D49C-4B05-833B-A36BB40A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3B8E06BF-A1EE-4A0E-A2AF-9C40BB0F8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5F833C5D-03DD-45CE-9A84-0C28AE423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D105C03A-93E0-4096-8C92-207502D92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EA53040B-E6DE-4706-8B0C-02F75F3D5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606D1946-F1B7-4425-BFDD-D2959B4A1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E6C7ED93-32DA-4B42-9CAA-C8AFCC0BA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D1A4DCD2-B410-47C5-85C1-389732DEF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3266CE81-628F-4F84-912C-71E985F27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2BCF3296-2090-45EC-8048-8B9607549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69AC84DA-9A35-44DA-81C4-AB0F998D4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FB93F11D-4656-460D-B502-85687E2F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CD0E6735-02BB-4BBE-8338-2F865758C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CF4C0651-1E51-43D6-AAB1-22DFFA349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8B7B0E85-0D44-4B59-9ADB-0C9DF403E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A2DCD6FC-9B13-428D-B7F3-7F3C021FE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B1E258C8-BA1E-4DF9-96BC-285C43730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E6F24890-5009-4AA2-97F0-05B633356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A93A62D7-7E07-45AA-B52D-A52C36AA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9ED43720-A61A-47BF-9643-013926B94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6071BD5A-1021-4F3C-A54D-AF86629CA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B4D3A71B-D9F2-418B-87FD-A37F43943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05BDBC8C-40F2-4461-B236-C1A1C7F57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FF15FFCF-0080-4624-A2C0-85F8C0B4B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53A43AD9-BEAF-4F26-B068-D0D5F59D5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EAAE44E8-D4F0-471A-B273-8826D4C5D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F853034A-E7EC-4B6E-A71D-B57BF04D3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D8FAFB90-2FE3-4D83-B1C5-AB3FAF3EC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EA44BDEC-D016-4416-B405-EEFFA4FF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6871BDF6-A00F-40F1-905A-689B87D5B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E84908F6-CF1D-48BC-8171-0F25DFBB3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BE87D82F-2D66-4C39-BDB8-6D910F497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7728E5A5-B8E8-4A96-A003-C43A62AF8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09DB9FD9-AB24-4601-8483-E8EA5047A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7DBFCBDA-F62E-4326-B5D6-B78B2BE2A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259F2679-179C-4F4B-939B-5193E1CDC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EB9F5185-91B8-4ABC-972A-AF3ED6BD1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5206EA4E-347C-4B6F-8517-D776D608F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4B1A03EA-7815-4B2E-9C9E-965F5725C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E8914C40-ED4C-448F-9A12-FDD138395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F0837965-3CFB-4D1A-80F0-5CBA1F5FA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264623C2-7836-4C41-8955-9E2A8A46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0D10D42A-EC43-4261-A298-9A1452624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743DC8A4-0754-4EC3-A642-E596127FB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97FDD75C-3EB0-4BCD-86A9-98768FD1C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EDF95228-9CF6-49AD-AD41-4013AF4F3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612AA164-2E06-4E1D-82F8-3CCFD0B0A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D33B48F4-09A0-4410-8903-34D67BC32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EC8E3B08-AB77-4414-9ABD-A4226EF2C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D8028040-FC31-433C-8A2C-64832D28F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A16F3EF9-B83B-477C-9DAD-93F7C5EF7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DADAD2FC-2DBD-4C5A-8C58-BED0781EC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405B4E09-1479-494B-922B-08E6A7EA5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6CE57746-2FA0-4D94-B85A-ACF9895AB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0581CCFB-8814-49D9-A0E9-653F0B660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F8A04A89-FF42-4F17-82FA-E2DFB803B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FF39796F-0A8F-436B-9BF0-C368E2B75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B4F5D0F7-DF73-44A0-BCFC-D0287FB3E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8433C9EA-AC83-4890-925B-8F7456FBF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436A2D2F-7884-4373-9CE0-72CA49768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43E1D096-6A8E-4F53-B750-DC2731F1D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385374E4-4253-4B95-B8F1-6443FC4E9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F05B54C6-4EA7-4937-B614-F93257831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90C7292B-9F11-41FB-85FD-90BE1CCAB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C3A47FDF-4F4F-4E3E-8DCA-C9936BE01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AB29F694-FB23-43B3-AF03-F396429A5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4847ECE7-2C95-4A7D-8193-EA50FB6E2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D7F76EF9-BF15-4EF9-8BAF-AC391E077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D86DC22B-5E7D-4672-A753-0AF3CFAE1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764E4C36-2C87-4B08-8411-40C55718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FE56FC56-E9B0-49E9-8F3E-A679EC883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197CDFD2-F8BD-4966-96E5-8E3538B49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34FBA45A-4850-47AA-BCED-786AF07CE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4AFCFCAD-05BC-4567-8DE2-514F5BDB3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D7C431A2-35EB-4A21-8C5C-4DE6FEC79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AAA9A6A4-64F7-4863-AFBF-61A0F4692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08F2C62F-BE5C-419A-A002-333BC5618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516F3916-39AF-4A3E-BCEA-02214611F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32506122-D660-455B-99F7-F6102968C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7F6E2026-D3C6-426D-8202-A40D6B94F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0C2DE6F5-4747-48ED-84CB-C5B02739D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7B5FDAC9-0FAE-4F5E-8AEA-AAFF56BB2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9A381BF0-1149-4061-8486-A1E4AB3A7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F19EA66F-DF21-4223-BA35-33626DA61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978B5A9D-CF87-499F-A52D-8EAD76E10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ACB2DFF8-D8A6-4F31-A212-20E8CDF0C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F2AA9EFC-A79B-4177-90DE-CFACB3729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DFCD5897-021E-4D15-8821-EE38A7802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6096214E-563D-4D39-8E02-82F37831A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8C47C5F2-0699-4263-B1BB-4F60118B5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90A421CC-5726-47E3-B189-C9746F51E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7E34A5A0-2072-4180-8950-E9132DC2F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909C02B8-FC5F-45DA-92D3-F117E3B3F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E97D7776-1462-4B4A-9E12-0CE43BFE6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42352C29-3E57-4A92-9644-D5E9FE8C3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DE8A2A8B-93DD-4535-A243-AA8BE77AF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CAE87F26-B86D-426B-9CAA-513622E0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26406412-43D2-42C6-A590-1BCBFE376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B448A9EF-A725-46F7-A7B6-F14C1C47C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DC716439-DD2A-4C15-AB20-D005FA2DD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3FD319D5-160C-4429-9D53-628B451D1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E050326A-08F2-4E39-BB5D-2C32106E0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725FD90C-8097-467A-8470-F3FE74B6C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CD55772E-F7A2-4F9E-A22D-026A66D4E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E9F8C23C-CA13-486D-BA0E-46587E8EB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D34F4437-55A8-4681-A5C1-568BBD49F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7C03F7CC-CB2F-47F6-A5D4-C54913D87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4268E66F-F9B3-4F11-824B-4DBFE3D4A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43A83D09-E946-4753-B55B-49380841F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79123B6B-4591-46E3-AB3D-5989498B7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5D43B494-734A-4DBA-98F5-2436B52E8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7063F2FB-F687-41F2-9D45-0A40ADEDE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59BB199F-92E0-4D6C-A050-C6A9050B3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7EDCB1EC-D0D3-4728-BC9B-199FA099D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374C2A1A-FE7A-4431-B61D-FCC5A138F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7C18A1B1-9E31-49AE-8A75-2480CF1D8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6560BB2D-303A-426D-BFEA-D03A03A8B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7BB6587C-ABC9-4135-9D8F-CE05F56AD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6B1A0369-A026-44A0-991D-44E64E2AF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03DD0C58-B00A-423C-9F8B-16BC685C6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E267D777-B7B0-4AEA-A9B6-4119407F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4E31B2F9-DFB4-4726-9BC5-4B768996F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B0B808CC-F224-47CE-9643-163ACC8CB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DC84FDC6-23A2-478B-A100-87695F78B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E32F528D-10D9-4677-8F40-91985E114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CC0A3D42-ECFE-4D02-AA10-0E9C1E62F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7E0CC7C3-2144-4BC5-BEC1-24FAB7790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83BDA4A3-49AA-4162-BB5D-AAB0E9058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C7ABDDD2-9BF5-4A63-8D24-27D250667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F532D68C-D607-4873-95D9-31C5190BC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BB030E42-CB86-4F03-B954-212E56E20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088A9FB9-EB4D-427D-A6F0-9FD64A08B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DEED37AE-67C2-4F8A-8DDE-ED2795350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C22BAEB5-B276-4C07-B826-AEE861151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FD7BC363-9ED9-4B17-A65A-6617F9438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8CDDB795-B8F2-41DF-9AB9-90714A15B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F0E1ABED-1D93-4B3F-B96E-0B1CEA196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E8649646-2B2A-45F6-8221-417BA2950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5EF9FFA6-D127-4BC4-82C5-E04899D8E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99315304-DBB1-4AB5-B93A-F3367962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341D2739-8EFA-47A5-8FC1-8D0DE4D13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CE21AD40-03CF-4D26-82A7-F4D8FE4BB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2C7790A6-9E73-4D59-86D2-EEEEAB7FB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2E625044-CF98-4AE8-B6B6-C7E26A3C1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4EA87CBC-FD7E-4EAF-8DEB-ECF984F42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D3BBFF78-A1C6-4F1E-8BC1-04E91667D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75B09C08-ED8F-47C3-8B32-CA6529065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26E7E406-AB18-447F-A7C2-C5436CD29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6E8C071B-74A0-4B90-B454-8707C4095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C0123680-F484-4B8D-B650-2928FBB22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E56596FE-FD21-4955-9133-55D7C53EF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1782F8F9-4341-497C-98F0-6F1E5B32B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307AAA03-968C-42EA-A779-DDC487F0C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937B8DC7-207B-4952-9366-ABE39348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DF6B85EE-F57D-43D6-BADF-F8B313293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8284236E-4D8C-42F6-9280-57F439B61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BFA732D9-44F6-43E7-B81D-8C91E1B3E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F880ECF0-19A5-4548-B6F5-5765CA7C2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44901EC6-7631-4ABB-AD37-DACBB4D6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4EA556BF-DFA0-4B7B-B5F0-90559A3B2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07875A56-E8B0-44DF-9D1E-53A7989D0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73D5F716-6746-4B5C-A3D9-B98935077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92179234-3703-465E-87ED-55F452171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F9F07D7C-0EBA-4CCF-BFD8-0B5F491A9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9CC92D6B-3403-46AA-B734-4B1289A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A8E4B78A-5519-4D06-80EF-EC0867B2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D551C354-B158-475E-B31D-E5B240615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479A3801-9C9B-4B53-8C7C-28927BC94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CEA837E9-5EB6-4112-BB6A-C35E29D24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B5D86B3F-253D-4D39-BD56-FD13C4F93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9028DBAA-8014-4873-9E53-2FCBDEA5A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25BEDB8A-63FA-4E76-B096-38B550A46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D18E4821-E71D-4B67-82AE-AFC4551C1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9607FE39-8769-4CCC-B8A8-AFA66809E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F0528BB2-6820-4661-92AC-903ECBD27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03E74F33-7008-41B4-9A16-BF08E54B3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4159D334-F789-4457-8B5D-28F8AE846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14ADBBDE-5710-491F-876C-EED768755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6D800C1F-DB59-4A17-A66F-02B819990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1284BFEC-881F-428F-BAA4-BEE7A7BE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0CB6B248-4D3C-4F6F-972F-341F9A41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7DF4598E-3060-41B8-AD58-4B31CF1AB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0EB84C28-2FE2-4C2D-AA3F-C23BFECE0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5A9E7D7F-A2C8-4B90-9A18-A19C70833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2DB7AE2E-58D7-4FAB-958A-0542685EA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33DFDA3C-2C45-47B2-96C0-7BC07D8F9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69D9E4C1-0AE8-4CFF-875B-9318D3878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31F484F1-5D47-42EB-82CA-B41A58DDD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C529EF71-7DC8-43AE-8060-B60DA6B9D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9B906F56-78E2-49E9-901C-7B0BB28E9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091A4ACF-2CC2-49FD-958E-AB4B0F1F2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8532FDF1-22E7-47B7-A403-1A490C6BC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5ECBAA4B-5748-46A1-A3B7-A386F233D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BA1859D2-DCDF-4173-BAE1-24D670F23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E1BC9441-D55D-4289-9EA5-3D85287E0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7DC0E57F-D079-476C-90A3-67EA95D09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A6EA9B4A-CFE1-4E8A-9D25-8BE50BFDC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005BFCB1-66DB-4AA9-81C8-2300593D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68DC82BC-C340-4A45-A298-9D762B729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B4A3EED5-B08B-4D55-A4B3-F46873681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753DA88B-33AB-4B3B-9956-6CEEBB5E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8AA23BC6-8312-46A1-88F1-DF283CCB9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B599E8AA-44A4-4805-88FB-EFCBB152B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FC1E0BAD-B9FF-40DD-9B85-4178530B8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67BB3E99-3A63-4F32-A926-FF2747F70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0E38FC9E-14DB-4487-A99F-AB02C68E0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3ADE0B59-6551-4BF7-8087-D588E5106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D95684F7-5A35-4ED5-8141-8C7EA9886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CE42182C-0A94-4931-B801-377AE518E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60555204-C182-4EC2-8AC5-A17645AB4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199741D5-D248-42BC-A64C-FC6C39B40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A32717BA-EE42-4AB5-895C-66CD0F074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A3823133-9DDB-410E-8E4A-150889EED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6E88AA30-6201-4B01-8009-878BF5FF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04B93F57-E9B3-4D1F-A25F-043B4AD6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D095A131-B407-4899-9608-88B292346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6E4BDB10-D195-46F4-83EF-6CD40C415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5F131098-0FD1-4FBB-8A34-9619E5DF3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F8270E18-9B1E-4EAE-95E7-446FD1938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3D63D104-4FB8-45F9-A7CB-74942DE96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A8E601C7-BCDC-4C54-A5DF-280425273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0C66E144-F165-4F81-BD32-BD0D8A26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A610400F-9FD3-4FB3-9AA7-EE91C32FB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0D928A44-0226-4B46-B0F4-0EB751F7A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CB19923B-6FFD-46A4-AC75-6B9151774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9ABDFE04-DA6E-4877-9EAC-E8E94A797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6695B373-BCD1-4788-8AF5-AC5F51614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208D82C7-108E-437B-B593-9FE0B1F6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EE9C715B-3496-4320-B4E5-E8A6F214E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5973DBF8-D914-45B5-B49D-04A81B37D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A915F15F-5E7A-4B6A-B6BD-BB7A8AA92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ABDC4239-6032-467B-94F4-39709969F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907920BC-D171-47A2-AA44-1B0761D7D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3408E8EE-A900-4802-8AD4-E9CB381CC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869E5ED8-764F-4CD1-903E-77BDCB78E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D5BD7479-823E-452E-920A-5B8F481A3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6F334E89-F521-48E4-986F-A12E8F7FB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9B2289FA-B878-49A9-A9DA-A784D2C87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98A64618-69A4-4030-B147-177AC8D2E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8DEB8310-CF4C-49A3-B4D2-53E2B0F6B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F4A5DDC4-2B94-4AF0-9C46-5770149E9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635CA61C-14A3-40F9-9AB3-5961F80C9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D82036DE-003D-4628-9C9D-F7CE2D801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2813268E-A946-4266-9780-F894BB761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E761BB3A-72F1-42ED-A2DC-31B45AEC7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D1A119DE-B0B1-47F6-B18E-691220871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E15AAC6F-C8E8-4BB2-BDE8-1C16CF3AC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5FAC8E5E-2033-49F8-BB5D-ED88847E7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0CC7B68F-0C02-4032-94AD-70BD7A18E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633C7D52-325E-44D7-AC90-2638B181A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F302D169-3FE3-4890-B966-FD185E68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28A4D6AA-860B-4BC8-9D8C-F0227161E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0BE2DCFD-0FC5-4EA5-8AFB-9228C1EA1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A068F3A9-9C16-4938-93DA-25A5EA193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03BC2D98-9BC0-41CB-A35F-268125786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CC06A3E6-25F3-4F2A-BFC2-222BAC4F4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0A1664C6-E7F4-4216-B20A-AEF4FC918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8A9343C1-3473-46BB-AEB4-5E5716B91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04AF0439-E36D-422B-A76D-5B004AE55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0A82A1E7-F763-4164-B96D-0286F1880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A5C25CAC-6AD0-4089-9FB5-9DE8D7BB7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8C99BB85-180E-4183-9A48-02D02254D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55357F8E-B61C-42A7-BC65-3FC3A4747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33B52E96-E609-4991-A821-D755AD96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83017A1A-CE16-470D-9D5A-0D380639D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3291F2F9-BB55-4FFC-86DD-5DEFE0B3F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A45339DC-CDBE-4DDA-8033-EE3E85BC2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726B007C-3B9C-4028-8A89-A517D4997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CC2224E1-1DB0-4045-BC09-B96B06F3C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847FC3D8-CB98-412C-A7F3-B49E9FA8D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056D53DD-B791-4930-9598-A623CC876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7FB2D698-DA6E-416D-BB1B-C11CC1954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B3147E7F-A750-4E83-AC74-B9003B4A0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CFCF95AF-3197-4DDD-A942-227389F37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E287035D-888E-46EF-A60D-E182DEF04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C89EB513-D250-49A1-A265-7643E3C8E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616E4352-D741-43AA-9839-3CF35C309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D4786965-3A26-408A-97BF-98878E73A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FE96642E-CD53-48A0-8866-688A61D37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3C0A436D-F2F7-4BDE-9FD0-A8939898A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F1FC8CF4-51D7-4683-B29C-BDC2748D3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1AB4542F-1E5E-40FD-AE4E-805E81532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3DC4E52A-21C1-4676-9448-B206771D7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AA4C98B1-86E1-47BF-91A1-25D9158D8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D52B5097-D8DE-458B-9F9F-50EF491C0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B3BB3F80-3F46-4394-A6A3-4282CAC52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2CAFD1B3-B36E-4A22-BF90-9FCFFB1A0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E062918E-77B4-4163-ADE5-2F357D0C9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D0AE56ED-A139-492E-829B-6101C37F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FB931915-668F-4472-AD28-DF19A1C9A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CDE69336-7CB7-400A-A2F5-C872E615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C7B1263E-4789-4D67-A64E-B386EED58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2AA8EA91-112D-4A29-B923-6D44B90A6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E7A16CA7-B8AC-484D-A024-55E5ABC06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E377E424-2CE5-415C-A94E-96857E9D4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3D4950FA-D55C-47E8-9D92-BD72E3061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87B177AC-0422-404E-8CA9-39689EF19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3E7DEBDC-6247-425B-8E67-701FE196D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44CA7D6A-0FFB-4420-8FDA-C833E08E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1C5E44C0-9CB9-419C-91A9-B86FB17EB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95CBB119-4C3B-4104-A423-EA57FD084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FC3E4B3B-27FB-4641-8936-156A582BC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3175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D866756A-D227-4520-83DF-B6394EB5A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39BE8677-3442-4B53-9349-C85290D7A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66340068-14F9-4CDD-BCF9-45202F6BD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8F2ABC50-DAE1-4813-8E45-259FD51E0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BABD72B9-7E82-4998-8262-CDB889416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05AD08E3-5547-43AE-9D37-346311196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8B8BC4AF-8E37-4CAB-AD85-BAB241FE5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7904AD27-836E-48A2-99C5-0B5582BDA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8EB515F2-3CD6-46A1-89A9-596400B34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575E356C-103A-4F00-80D7-AE9E4788C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50FFA55A-D4E2-40A7-9F74-D88E7662C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6628C2D9-7143-48A0-A795-385D5BA62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B4A04C20-032C-41FD-8790-E6C34B958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765D4967-571E-4F81-AFC7-2D581A17D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B97CD8D7-F700-4B08-9793-8A01B48CF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8C484DC7-5A39-40C0-A49C-9BFFB4556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B91395A0-2D06-46EA-A25C-CB259B120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B280100B-3C5B-49D1-9D56-9E6F4704E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F476FA86-7397-4135-92B8-20E4238B5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515E6B65-1D33-49D3-9C62-0989014F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5B0BEBD3-312B-4100-8CE3-A8EC4198D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CEBB466F-F8F7-4C8C-B6E9-4197BCA34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9525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99B6D2E2-6550-497A-A10C-4F5077768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5F85664B-CF36-418F-920F-051A583D3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09EBEDB1-DBC9-48F9-BD75-D0E0D69D2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56BE3A3C-D6D6-42D3-BC40-89481789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45B358A1-27AA-4515-B1A2-0EE502C77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EB15C296-15AF-4067-8BF6-0417CB75B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26729A51-F284-489D-ABA7-C337AAC1A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0E400633-3587-44A6-BCCE-83BAB4E4E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4369C6C0-D30C-4BBB-8651-0C6686DA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F94688A5-E741-4A6B-9B98-4455A9528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CAD9C05E-1F7F-40A4-9584-AC59611B4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1A86D9F9-6C63-42DD-973C-EB3F52D44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CB5ECDD9-B7C1-401E-A6DD-B5EFC72C4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CB2C6238-3406-402C-822E-77F4E7A72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BDDB950E-5987-4F8D-9AFC-4BB51D6FD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BDB70927-01FD-44AF-8F9F-19A47CAFB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256F1EA8-76D3-4192-A11E-AE3AA42D5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00C93919-512A-4837-A9BB-F631C10F2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BC324A7F-7576-46B0-8E98-8A3412495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5DEABD8A-C55E-484E-B0F8-035D447FB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1836F8E1-69C5-4215-B323-FC346D3D7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9EC19938-3167-4804-BA8D-64A275F47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A24389C7-176C-48D5-BB89-E1B2BE350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651B5ED6-B023-4566-AD2E-9CC581EBC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C453F546-861F-4A0F-8F68-0E63BF963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221C20AF-9E80-48A7-825F-14AB409A5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7B262151-52C6-4525-A254-5BA6E0D5E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41BAB889-85FC-4AA6-9144-D402751DA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3D0426FF-B50A-4243-B7CC-3588A4FF8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52ABCE86-D0AD-49BE-B6CA-4E789E8C3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97AAA5A1-02DA-4E6D-8419-ED670CFC4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477CEB55-F1B6-4E75-B093-E1687561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60BEC9A7-9D91-4546-9291-1E55FDFFD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30BCA21C-B2AC-4A5D-8EEC-715E91DB7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ED3E9DAD-3F0E-4447-A474-5447A6858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D5A93847-7A40-4066-85FE-E50844130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EF67F16A-FFEF-49F7-9654-2C6F6FCB4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CAE5435C-D6D4-428A-AF61-909964176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849F9B69-C09D-4301-95E3-0B69ADFAE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04EDCB41-835F-45DA-AD05-73EE09715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052294D1-8BA6-4629-9136-2783E4FC3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FAB0A67E-949A-44AA-A955-D5234B0BD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A47D3B00-C9D2-41B8-BA83-59A1408B9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6B35B8BD-F5DB-4E17-BF24-D3BA394D8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1B8E5A00-6242-4875-B04F-A5D5D709B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06A434FF-400D-41BC-99BF-C1267D021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EB7F7620-07DF-4A51-ABB7-51FE76420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19611F7D-B82D-45FB-BF19-256B14A2F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2C63EB2B-850C-425F-8F5B-FCBB4FC18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392780E8-121E-4496-842B-4CB5E6EE5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7D7608FD-DBDF-416B-A64D-25BB23B75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C445740E-2DA6-47F2-9FEB-879751A7F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7F5237CF-E4FF-422C-83B2-2EF77987D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0B958F59-96EB-41F1-972F-7F995380E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4DBFB8D7-F4E7-4186-9149-5C51B875D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D4615214-496E-4BD2-85CA-A99CE355A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72FB9A6B-616E-4612-B2BF-00525B4A2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6E217C9D-64E2-4743-978B-E7B3CA3AD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A7EDC4F5-CA22-4DB8-9F79-1BAB8AE35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2A04B1B1-A4C3-49A6-BF9C-2676F04BE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8FBB6822-2135-409D-87CD-7F6FCD2D0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AB8A3375-A15D-4727-9F59-8203BB300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EA0ADEAB-2AC9-4B02-BA51-51AE831E5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45763BC8-0B37-4E8C-821B-076188864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C7C74A1F-113E-4626-8C62-7E888C54E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403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ABB625FA-C6A4-4CFB-BEC0-AF30B31FF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95E80D60-68BB-4617-A020-1C8B2F7BE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E8F56284-3AFE-4556-961A-9AB8C515B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95130291-D3C4-44A2-B57C-6D1949A0E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5A2D6BE3-3B08-402F-9BA1-FA8D3AF73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C3D1CC46-0C21-48A3-8922-0AD17A577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E5ED59F9-F784-4E0A-9E29-30564786F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C5F806D7-DE95-4E5F-8863-2671AFAB4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9FE20D38-4039-41E5-89AC-30AC88586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6088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82</xdr:row>
      <xdr:rowOff>25400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E932F265-4DD8-48CA-8F7D-FEBD7F56C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82</xdr:row>
      <xdr:rowOff>25400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54BE6627-1A8B-408B-8466-A89D293F8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82</xdr:row>
      <xdr:rowOff>25400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88C06827-8DF6-4E01-8387-ECE6BA188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057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80</xdr:row>
      <xdr:rowOff>25400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569AB7D2-5322-4B77-A16B-273B665A1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42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80</xdr:row>
      <xdr:rowOff>25400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DE400A27-63F7-4D4A-99CB-2F57650A2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428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25400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FCB35C8F-D9C3-4299-9922-90ECF5393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25400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8F762BF4-8BE7-4C47-B445-10EBD1378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83</xdr:row>
      <xdr:rowOff>25400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66FA550C-A0D8-40AC-91B7-8AE484E0A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71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36AE5A30-6685-4DCD-8F94-1A1A424AA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D9360E40-128E-4C86-BAD0-0E2D69BC3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02E63A93-5316-4E44-8DAF-D6124548A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78874E86-8BE7-4F8E-B50E-36BC03390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3BA35C17-4F94-4583-B1C4-F0F715036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15A4EE72-80CE-4857-AA8A-0F28C6E71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D683F2A2-B61E-4954-8458-AFB121B64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76F537DB-FBEC-445A-AF6F-620D3EA00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B99EE35F-B468-4A09-B2B2-6D2FC6BB0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BB9EA981-6F02-49EA-AB73-D5F8104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34CB5F6A-CCFD-45A6-9BF4-115F07E1F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6505F998-224D-4E5B-9284-AA8D19720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A73D06BF-3ACD-4B32-94D0-55AF62697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8777900F-D19E-46EB-8605-BA8E1CBB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A737F6D3-C0B5-49AD-9800-82B812C48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55E717A6-ED11-41DB-A572-52B8894E2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92</xdr:row>
      <xdr:rowOff>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B29456EA-F167-4DB3-BE98-277148F77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3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2B820AD2-01F7-4CE6-8EEF-E653011DE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56D50DB6-2FBF-4F72-89B4-68040F5D7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31A88C0C-9D62-455B-8CC6-47CADA9DE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341B00A2-83B4-4B81-93FB-6A457FEA7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9ADA5A74-8A3C-43AD-88CF-69F9E414C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84F068E4-6889-4D44-A8A0-D980760CA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4290B7EB-EAD9-478A-9E2E-F9E9D9E88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E66BE2F9-1B8A-4396-A5ED-0C55D7D51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D9CD79D7-4FFD-4762-8F92-EB967B5C1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16B87120-45EB-4AB4-A8D0-FEA1EACD7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B0594CD0-FBDE-4C2A-86A4-6F2DB6A64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6400C162-47EC-4A50-A85D-8277E8B33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69E19FC6-6950-40B4-BB9F-B4D546F4F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1C437487-2973-4EFC-9A12-861A4E89B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4E85888D-9A55-43E3-AF2C-D68CF37A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7BBCE1FE-AD99-43FA-A7EC-17C564D1E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556950D8-0C80-4D23-BE46-E759D247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F19110C1-37EA-448C-88F3-7AACFABD8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BBCAF030-FFFE-4FDE-B2E1-00AFCF5F7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35F54B39-A29B-415A-B95A-43BC1AFF3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2C31BCFD-4001-47B3-A4E4-459D8690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15249626-08B0-4CB3-9917-70DF188F5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9BADC6B1-1341-413B-9F69-87CA65CBA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CB107BB3-8DAA-4C4A-BD4D-918CB9E90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F5680AC1-94C4-4E3C-A6C6-C6B85DB6F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89A366DC-8553-4CD4-A23C-238313CCD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EBF3DFB4-E706-42A6-8277-F973650DE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95534423-40A7-4609-B066-B2D18FE7D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980F8950-8F34-4EB5-B88F-B3956136E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6A9B49FC-8383-400F-85D8-C7992B015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3E5AC305-AF98-4D9C-914A-89CFE2560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425B3420-AD32-46BD-8423-9843D48BB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8E444C10-57AC-4F33-985A-41F3B991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6870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356043BD-E0C8-49BD-A75A-E74B696E4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01837BCE-8C0A-4805-A84D-F2D76134C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885EDAF3-85DA-4A4F-A2D2-2379ED47C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475755C2-9A84-4606-BF5D-3BB5A48E8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71FA3F8A-79E7-4EB7-861C-D80A52D6C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DAB71AA4-FC98-488B-85AA-0283EA5C1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04CE5C4A-ADC8-4D30-8FE1-75AF397C7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6D752625-4DCA-46E6-A101-F9DF07FD8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58E0996A-430A-4245-BDDA-A54F08EB3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A0FDA056-1A83-4A0A-B66C-5B6543164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D8DF77D2-63CE-468D-8F72-A57A4632E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10E1E26C-6814-480C-A116-372BA93DA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11099ECF-9292-4ECA-AF65-CEE970E6E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0EE1B7F0-FE4D-43E6-A9BA-2DD969CE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372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25400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AED17B4A-B94E-43CD-9BBD-E34935995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25400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C38051D1-F240-4C22-98BE-CF26F7CA6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33</xdr:row>
      <xdr:rowOff>25400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354458C7-8FF8-4205-9053-F63D22EDC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</xdr:row>
      <xdr:rowOff>25400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225A70FB-840E-4E8C-8D9A-61C0DCC40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12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31</xdr:row>
      <xdr:rowOff>25400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B21127E2-F899-4081-AD6D-18E97CBA5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124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D0181B0C-FC29-4F81-9819-29602C0A2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C4650FE6-AD27-4AFD-B858-E66E27E21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7D66BD0B-F022-437E-B51A-6249DF34F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CE326A2B-32CA-4A13-A35E-5D42BDBF2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40</xdr:row>
      <xdr:rowOff>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0705F5F5-4117-4734-84A1-6DA8A3791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0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25400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C3E2A019-A06C-4701-865F-506926974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25400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6EDFAE32-F3BF-42B8-B85C-931AF193E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34</xdr:row>
      <xdr:rowOff>25400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C0AFF3ED-CD6D-4F33-B623-89AF650FF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554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EA44CA23-BDEA-49B2-9426-A6066AF24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5AB34114-8194-4168-888A-41751E871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1193B6BB-9E4E-4FC2-BB68-D09FF4EF4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BFD70AB2-D063-43D4-B008-09C8ED41C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2001D3A1-030E-4C13-9A37-A40A07435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FE627A35-3B7B-4B3E-983B-560246D7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95D5A683-4F00-4BE4-A9EB-AE406BD12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46999501-29FF-4E1E-8430-94239850A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287ACF6F-26DF-4D85-A0E6-2740966D5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00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73497091-460D-4382-AB55-7AC983DDC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7A0649AF-B97F-45F4-BDE6-1E7C95869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F4B2AC20-59E8-4A00-91AA-81C3A8BAF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8F29F1BC-8742-4AFA-B9B6-8EC3F60EC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F9EE5493-EC20-4DE6-B3B5-AB4D41F58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AFEF5E0B-C462-4866-83D2-BD7C66348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0EE75472-80F4-4DA9-B91A-3370DFB26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978D0C29-0AAF-4FF8-8CFD-2E5FFBEB6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5B5F34B4-91E7-404E-B912-B31439487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8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9D9C83FC-2FC0-4153-81BB-E82E60398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F2561C44-EC0C-407C-9605-F0A721456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6265FE83-24C2-4A64-9F92-F63326EB4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50AB8227-5077-4E94-B02A-0D69F4318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7CF372F2-E0D8-4912-8241-D6AA2C00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25400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6FAB16DA-B182-41DD-9C14-ED759500F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25400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BF48F360-2B81-4442-81DF-6ECDF14A4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25400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EAA62713-DD57-4E1B-9324-D1B5C14E7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4B0DBD4D-8D79-48DD-8717-3B75D0C6B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69880D03-D3A1-4247-BE70-8C4EE3508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088E2062-2387-47F2-AED0-C745123F1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724B4A04-FE3E-42D3-8926-ED300ACC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33CB38DC-B79D-4A89-999C-D268DD1CD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5F1BFF36-D67B-4307-A0DC-4DD4BEC67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A85D5826-3D82-4EC0-9DEB-043532BBE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C5C8B700-15D6-4037-ADF1-A7D4D4343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1BC117C1-D5D6-4456-81DC-33155ABA4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29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63B4104A-1A28-40E0-898F-836F897B6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8ED01181-F676-4438-9229-ABB683B5F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23</xdr:row>
      <xdr:rowOff>25400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EC3F6490-E363-4E5F-A473-3A00D43A7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A82D946E-D6AE-4A30-A6B4-F19E36EB6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54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21</xdr:row>
      <xdr:rowOff>25400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A828CAAB-4A1A-4479-9701-4EDA60B13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54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9CCF8BC4-094F-4647-BF94-080E419F9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227E829D-21C2-45DA-81F9-3FE1DCD8E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24</xdr:row>
      <xdr:rowOff>25400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AFF31B1F-EED8-4E2C-ADD6-497F3E8B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78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465FF7AE-2F4D-4DAD-ABC8-B9B7E27C5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10CF32EF-15B0-43AD-B3A0-F4222B1C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D1A23D77-1F0A-462C-BA05-D137AD0C4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9EA45A3A-A95D-4B54-AE90-77359ED64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72A70496-9A27-49AA-8889-D4473D28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652" name="Imagem 651" descr="http://sistemaswebhom.einstein.br/CME/Imagens/nada.gif">
          <a:extLst>
            <a:ext uri="{FF2B5EF4-FFF2-40B4-BE49-F238E27FC236}">
              <a16:creationId xmlns:a16="http://schemas.microsoft.com/office/drawing/2014/main" id="{A57DA88F-5EB8-4E84-9CA4-81184D7A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653" name="Imagem 652" descr="http://sistemaswebhom.einstein.br/CME/Imagens/nada.gif">
          <a:extLst>
            <a:ext uri="{FF2B5EF4-FFF2-40B4-BE49-F238E27FC236}">
              <a16:creationId xmlns:a16="http://schemas.microsoft.com/office/drawing/2014/main" id="{36434F11-4212-4E8D-832B-941F5A9F6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654" name="Imagem 653" descr="http://sistemaswebhom.einstein.br/CME/Imagens/nada.gif">
          <a:extLst>
            <a:ext uri="{FF2B5EF4-FFF2-40B4-BE49-F238E27FC236}">
              <a16:creationId xmlns:a16="http://schemas.microsoft.com/office/drawing/2014/main" id="{98F2DD4E-59AB-47A1-853B-E01D81E13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655" name="Imagem 654" descr="http://sistemaswebhom.einstein.br/CME/Imagens/nada.gif">
          <a:extLst>
            <a:ext uri="{FF2B5EF4-FFF2-40B4-BE49-F238E27FC236}">
              <a16:creationId xmlns:a16="http://schemas.microsoft.com/office/drawing/2014/main" id="{509B1D09-4251-47A7-89D4-C9F2ABBD8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656" name="Imagem 655" descr="http://sistemaswebhom.einstein.br/CME/Imagens/nada.gif">
          <a:extLst>
            <a:ext uri="{FF2B5EF4-FFF2-40B4-BE49-F238E27FC236}">
              <a16:creationId xmlns:a16="http://schemas.microsoft.com/office/drawing/2014/main" id="{023AD356-EFC6-4841-BDBB-45936EC3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57" name="Imagem 656" descr="http://sistemaswebhom.einstein.br/CME/Imagens/nada.gif">
          <a:extLst>
            <a:ext uri="{FF2B5EF4-FFF2-40B4-BE49-F238E27FC236}">
              <a16:creationId xmlns:a16="http://schemas.microsoft.com/office/drawing/2014/main" id="{800769F5-BBAC-4DF0-9DF3-34B96C0EF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58" name="Imagem 657" descr="http://sistemaswebhom.einstein.br/CME/Imagens/nada.gif">
          <a:extLst>
            <a:ext uri="{FF2B5EF4-FFF2-40B4-BE49-F238E27FC236}">
              <a16:creationId xmlns:a16="http://schemas.microsoft.com/office/drawing/2014/main" id="{C809C80F-14E9-4DC3-BC74-4C274AC04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59" name="Imagem 658" descr="http://sistemaswebhom.einstein.br/CME/Imagens/nada.gif">
          <a:extLst>
            <a:ext uri="{FF2B5EF4-FFF2-40B4-BE49-F238E27FC236}">
              <a16:creationId xmlns:a16="http://schemas.microsoft.com/office/drawing/2014/main" id="{82FC2A8D-F04D-4B8B-8091-D6E5FA388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60" name="Imagem 659" descr="http://sistemaswebhom.einstein.br/CME/Imagens/nada.gif">
          <a:extLst>
            <a:ext uri="{FF2B5EF4-FFF2-40B4-BE49-F238E27FC236}">
              <a16:creationId xmlns:a16="http://schemas.microsoft.com/office/drawing/2014/main" id="{63FE8C99-51D5-4044-A18C-E73522837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61" name="Imagem 660" descr="http://sistemaswebhom.einstein.br/CME/Imagens/nada.gif">
          <a:extLst>
            <a:ext uri="{FF2B5EF4-FFF2-40B4-BE49-F238E27FC236}">
              <a16:creationId xmlns:a16="http://schemas.microsoft.com/office/drawing/2014/main" id="{BC25F4C0-D8E1-4973-9054-72120D4E9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662" name="Imagem 661" descr="http://sistemaswebhom.einstein.br/CME/Imagens/nada.gif">
          <a:extLst>
            <a:ext uri="{FF2B5EF4-FFF2-40B4-BE49-F238E27FC236}">
              <a16:creationId xmlns:a16="http://schemas.microsoft.com/office/drawing/2014/main" id="{D5536B2B-783F-4E1F-A1C2-87248522E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663" name="Imagem 662" descr="http://sistemaswebhom.einstein.br/CME/Imagens/nada.gif">
          <a:extLst>
            <a:ext uri="{FF2B5EF4-FFF2-40B4-BE49-F238E27FC236}">
              <a16:creationId xmlns:a16="http://schemas.microsoft.com/office/drawing/2014/main" id="{F8FF5B0B-0A96-411D-BED6-FF90892B8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664" name="Imagem 663" descr="http://sistemaswebhom.einstein.br/CME/Imagens/nada.gif">
          <a:extLst>
            <a:ext uri="{FF2B5EF4-FFF2-40B4-BE49-F238E27FC236}">
              <a16:creationId xmlns:a16="http://schemas.microsoft.com/office/drawing/2014/main" id="{E30E41E2-5657-4E6D-8154-96EF4D98B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665" name="Imagem 664" descr="http://sistemaswebhom.einstein.br/CME/Imagens/nada.gif">
          <a:extLst>
            <a:ext uri="{FF2B5EF4-FFF2-40B4-BE49-F238E27FC236}">
              <a16:creationId xmlns:a16="http://schemas.microsoft.com/office/drawing/2014/main" id="{B2BBD87F-A3C5-4281-B001-8F8686F03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66" name="Imagem 665" descr="http://sistemaswebhom.einstein.br/CME/Imagens/nada.gif">
          <a:extLst>
            <a:ext uri="{FF2B5EF4-FFF2-40B4-BE49-F238E27FC236}">
              <a16:creationId xmlns:a16="http://schemas.microsoft.com/office/drawing/2014/main" id="{6652E4EE-C815-484B-898C-E84673CE4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67" name="Imagem 666" descr="http://sistemaswebhom.einstein.br/CME/Imagens/nada.gif">
          <a:extLst>
            <a:ext uri="{FF2B5EF4-FFF2-40B4-BE49-F238E27FC236}">
              <a16:creationId xmlns:a16="http://schemas.microsoft.com/office/drawing/2014/main" id="{7D96F9B5-8B36-45B9-9059-9D893F684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68" name="Imagem 667" descr="http://sistemaswebhom.einstein.br/CME/Imagens/nada.gif">
          <a:extLst>
            <a:ext uri="{FF2B5EF4-FFF2-40B4-BE49-F238E27FC236}">
              <a16:creationId xmlns:a16="http://schemas.microsoft.com/office/drawing/2014/main" id="{B1B2ED62-0918-430A-A9B4-59FD1E568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669" name="Imagem 668" descr="http://sistemaswebhom.einstein.br/CME/Imagens/nada.gif">
          <a:extLst>
            <a:ext uri="{FF2B5EF4-FFF2-40B4-BE49-F238E27FC236}">
              <a16:creationId xmlns:a16="http://schemas.microsoft.com/office/drawing/2014/main" id="{7CB2EB80-8219-433A-A80D-30A0E10F9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670" name="Imagem 669" descr="http://sistemaswebhom.einstein.br/CME/Imagens/nada.gif">
          <a:extLst>
            <a:ext uri="{FF2B5EF4-FFF2-40B4-BE49-F238E27FC236}">
              <a16:creationId xmlns:a16="http://schemas.microsoft.com/office/drawing/2014/main" id="{8CDDEA46-5D88-410F-B15B-F6EB3EDD0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671" name="Imagem 670" descr="http://sistemaswebhom.einstein.br/CME/Imagens/nada.gif">
          <a:extLst>
            <a:ext uri="{FF2B5EF4-FFF2-40B4-BE49-F238E27FC236}">
              <a16:creationId xmlns:a16="http://schemas.microsoft.com/office/drawing/2014/main" id="{751EEED3-D7AD-4F58-85B4-E3294F4B4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672" name="Imagem 671" descr="http://sistemaswebhom.einstein.br/CME/Imagens/nada.gif">
          <a:extLst>
            <a:ext uri="{FF2B5EF4-FFF2-40B4-BE49-F238E27FC236}">
              <a16:creationId xmlns:a16="http://schemas.microsoft.com/office/drawing/2014/main" id="{906E86CF-DC0C-4854-842E-B74F0E48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73" name="Imagem 672" descr="http://sistemaswebhom.einstein.br/CME/Imagens/nada.gif">
          <a:extLst>
            <a:ext uri="{FF2B5EF4-FFF2-40B4-BE49-F238E27FC236}">
              <a16:creationId xmlns:a16="http://schemas.microsoft.com/office/drawing/2014/main" id="{3381B896-6C2A-4731-948F-A3FB609B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74" name="Imagem 673" descr="http://sistemaswebhom.einstein.br/CME/Imagens/nada.gif">
          <a:extLst>
            <a:ext uri="{FF2B5EF4-FFF2-40B4-BE49-F238E27FC236}">
              <a16:creationId xmlns:a16="http://schemas.microsoft.com/office/drawing/2014/main" id="{E1209D50-4A56-4ED8-860F-962BB6332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75" name="Imagem 674" descr="http://sistemaswebhom.einstein.br/CME/Imagens/nada.gif">
          <a:extLst>
            <a:ext uri="{FF2B5EF4-FFF2-40B4-BE49-F238E27FC236}">
              <a16:creationId xmlns:a16="http://schemas.microsoft.com/office/drawing/2014/main" id="{FB79A1E3-5BC9-449E-BC84-09DAAF3EC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676" name="Imagem 675" descr="http://sistemaswebhom.einstein.br/CME/Imagens/nada.gif">
          <a:extLst>
            <a:ext uri="{FF2B5EF4-FFF2-40B4-BE49-F238E27FC236}">
              <a16:creationId xmlns:a16="http://schemas.microsoft.com/office/drawing/2014/main" id="{DFF5E503-3557-4E63-AB3C-A8B4272B8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677" name="Imagem 676" descr="http://sistemaswebhom.einstein.br/CME/Imagens/nada.gif">
          <a:extLst>
            <a:ext uri="{FF2B5EF4-FFF2-40B4-BE49-F238E27FC236}">
              <a16:creationId xmlns:a16="http://schemas.microsoft.com/office/drawing/2014/main" id="{4AD0BCD3-BBE4-4E70-A9C3-9CF47A0F3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678" name="Imagem 677" descr="http://sistemaswebhom.einstein.br/CME/Imagens/nada.gif">
          <a:extLst>
            <a:ext uri="{FF2B5EF4-FFF2-40B4-BE49-F238E27FC236}">
              <a16:creationId xmlns:a16="http://schemas.microsoft.com/office/drawing/2014/main" id="{35B97E1D-F58F-455A-9CA1-A1167318D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679" name="Imagem 678" descr="http://sistemaswebhom.einstein.br/CME/Imagens/nada.gif">
          <a:extLst>
            <a:ext uri="{FF2B5EF4-FFF2-40B4-BE49-F238E27FC236}">
              <a16:creationId xmlns:a16="http://schemas.microsoft.com/office/drawing/2014/main" id="{37090153-4F4C-48C2-8CB6-99A98651C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80" name="Imagem 679" descr="http://sistemaswebhom.einstein.br/CME/Imagens/nada.gif">
          <a:extLst>
            <a:ext uri="{FF2B5EF4-FFF2-40B4-BE49-F238E27FC236}">
              <a16:creationId xmlns:a16="http://schemas.microsoft.com/office/drawing/2014/main" id="{DF44B24B-8586-42D7-A96E-072910FF0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81" name="Imagem 680" descr="http://sistemaswebhom.einstein.br/CME/Imagens/nada.gif">
          <a:extLst>
            <a:ext uri="{FF2B5EF4-FFF2-40B4-BE49-F238E27FC236}">
              <a16:creationId xmlns:a16="http://schemas.microsoft.com/office/drawing/2014/main" id="{84AFCBB9-1F46-4FE4-970E-5D27DFA1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82" name="Imagem 681" descr="http://sistemaswebhom.einstein.br/CME/Imagens/nada.gif">
          <a:extLst>
            <a:ext uri="{FF2B5EF4-FFF2-40B4-BE49-F238E27FC236}">
              <a16:creationId xmlns:a16="http://schemas.microsoft.com/office/drawing/2014/main" id="{5D5DF620-FA8B-45BD-A795-AA03CAA0B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</xdr:row>
      <xdr:rowOff>25400</xdr:rowOff>
    </xdr:from>
    <xdr:ext cx="9525" cy="0"/>
    <xdr:pic>
      <xdr:nvPicPr>
        <xdr:cNvPr id="683" name="Imagem 682" descr="http://sistemaswebhom.einstein.br/CME/Imagens/nada.gif">
          <a:extLst>
            <a:ext uri="{FF2B5EF4-FFF2-40B4-BE49-F238E27FC236}">
              <a16:creationId xmlns:a16="http://schemas.microsoft.com/office/drawing/2014/main" id="{A0F4D0C4-D5AC-4C13-9754-DD5D38D95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</xdr:row>
      <xdr:rowOff>25400</xdr:rowOff>
    </xdr:from>
    <xdr:ext cx="9525" cy="0"/>
    <xdr:pic>
      <xdr:nvPicPr>
        <xdr:cNvPr id="684" name="Imagem 683" descr="http://sistemaswebhom.einstein.br/CME/Imagens/nada.gif">
          <a:extLst>
            <a:ext uri="{FF2B5EF4-FFF2-40B4-BE49-F238E27FC236}">
              <a16:creationId xmlns:a16="http://schemas.microsoft.com/office/drawing/2014/main" id="{1A9EB148-2D86-484E-9606-D6CD84125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85" name="Imagem 684" descr="http://sistemaswebhom.einstein.br/CME/Imagens/nada.gif">
          <a:extLst>
            <a:ext uri="{FF2B5EF4-FFF2-40B4-BE49-F238E27FC236}">
              <a16:creationId xmlns:a16="http://schemas.microsoft.com/office/drawing/2014/main" id="{85BAC58D-9D31-4FB2-B97D-F5B4C27FA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86" name="Imagem 685" descr="http://sistemaswebhom.einstein.br/CME/Imagens/nada.gif">
          <a:extLst>
            <a:ext uri="{FF2B5EF4-FFF2-40B4-BE49-F238E27FC236}">
              <a16:creationId xmlns:a16="http://schemas.microsoft.com/office/drawing/2014/main" id="{418F8A88-4172-4186-BD26-011B8A337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87" name="Imagem 686" descr="http://sistemaswebhom.einstein.br/CME/Imagens/nada.gif">
          <a:extLst>
            <a:ext uri="{FF2B5EF4-FFF2-40B4-BE49-F238E27FC236}">
              <a16:creationId xmlns:a16="http://schemas.microsoft.com/office/drawing/2014/main" id="{2AE7A4AE-C98D-44C4-9330-56A7253FB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88" name="Imagem 687" descr="http://sistemaswebhom.einstein.br/CME/Imagens/nada.gif">
          <a:extLst>
            <a:ext uri="{FF2B5EF4-FFF2-40B4-BE49-F238E27FC236}">
              <a16:creationId xmlns:a16="http://schemas.microsoft.com/office/drawing/2014/main" id="{23C01BDC-186C-4C1F-82EF-8E9A63C5E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89" name="Imagem 688" descr="http://sistemaswebhom.einstein.br/CME/Imagens/nada.gif">
          <a:extLst>
            <a:ext uri="{FF2B5EF4-FFF2-40B4-BE49-F238E27FC236}">
              <a16:creationId xmlns:a16="http://schemas.microsoft.com/office/drawing/2014/main" id="{8A0433A9-7C4E-4EC2-8C79-55A65805E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90" name="Imagem 689" descr="http://sistemaswebhom.einstein.br/CME/Imagens/nada.gif">
          <a:extLst>
            <a:ext uri="{FF2B5EF4-FFF2-40B4-BE49-F238E27FC236}">
              <a16:creationId xmlns:a16="http://schemas.microsoft.com/office/drawing/2014/main" id="{D616C26D-63F2-42B1-B82A-02B08CA7E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91" name="Imagem 690" descr="http://sistemaswebhom.einstein.br/CME/Imagens/nada.gif">
          <a:extLst>
            <a:ext uri="{FF2B5EF4-FFF2-40B4-BE49-F238E27FC236}">
              <a16:creationId xmlns:a16="http://schemas.microsoft.com/office/drawing/2014/main" id="{4B29A678-8040-44E3-AA82-9656E623B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92" name="Imagem 691" descr="http://sistemaswebhom.einstein.br/CME/Imagens/nada.gif">
          <a:extLst>
            <a:ext uri="{FF2B5EF4-FFF2-40B4-BE49-F238E27FC236}">
              <a16:creationId xmlns:a16="http://schemas.microsoft.com/office/drawing/2014/main" id="{0FDBE60F-CA82-43EA-B936-0178D4389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</xdr:row>
      <xdr:rowOff>25400</xdr:rowOff>
    </xdr:from>
    <xdr:ext cx="9525" cy="0"/>
    <xdr:pic>
      <xdr:nvPicPr>
        <xdr:cNvPr id="693" name="Imagem 692" descr="http://sistemaswebhom.einstein.br/CME/Imagens/nada.gif">
          <a:extLst>
            <a:ext uri="{FF2B5EF4-FFF2-40B4-BE49-F238E27FC236}">
              <a16:creationId xmlns:a16="http://schemas.microsoft.com/office/drawing/2014/main" id="{1366FCE8-D05B-4768-9162-D120B1DB8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</xdr:row>
      <xdr:rowOff>25400</xdr:rowOff>
    </xdr:from>
    <xdr:ext cx="9525" cy="0"/>
    <xdr:pic>
      <xdr:nvPicPr>
        <xdr:cNvPr id="694" name="Imagem 693" descr="http://sistemaswebhom.einstein.br/CME/Imagens/nada.gif">
          <a:extLst>
            <a:ext uri="{FF2B5EF4-FFF2-40B4-BE49-F238E27FC236}">
              <a16:creationId xmlns:a16="http://schemas.microsoft.com/office/drawing/2014/main" id="{F983FB65-A749-4E77-BBBC-DCF93657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2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95" name="Imagem 694" descr="http://sistemaswebhom.einstein.br/CME/Imagens/nada.gif">
          <a:extLst>
            <a:ext uri="{FF2B5EF4-FFF2-40B4-BE49-F238E27FC236}">
              <a16:creationId xmlns:a16="http://schemas.microsoft.com/office/drawing/2014/main" id="{C3817EA1-D93E-4717-A07D-BC9AA4E7D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96" name="Imagem 695" descr="http://sistemaswebhom.einstein.br/CME/Imagens/nada.gif">
          <a:extLst>
            <a:ext uri="{FF2B5EF4-FFF2-40B4-BE49-F238E27FC236}">
              <a16:creationId xmlns:a16="http://schemas.microsoft.com/office/drawing/2014/main" id="{55F6F3E7-39F5-4AB5-A281-3E8CBFA5C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697" name="Imagem 696" descr="http://sistemaswebhom.einstein.br/CME/Imagens/nada.gif">
          <a:extLst>
            <a:ext uri="{FF2B5EF4-FFF2-40B4-BE49-F238E27FC236}">
              <a16:creationId xmlns:a16="http://schemas.microsoft.com/office/drawing/2014/main" id="{C79BF53E-2409-4BEB-BD92-3FE4423A1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98" name="Imagem 697" descr="http://sistemaswebhom.einstein.br/CME/Imagens/nada.gif">
          <a:extLst>
            <a:ext uri="{FF2B5EF4-FFF2-40B4-BE49-F238E27FC236}">
              <a16:creationId xmlns:a16="http://schemas.microsoft.com/office/drawing/2014/main" id="{EA558E20-46D7-49D4-8493-D19CDEFE8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699" name="Imagem 698" descr="http://sistemaswebhom.einstein.br/CME/Imagens/nada.gif">
          <a:extLst>
            <a:ext uri="{FF2B5EF4-FFF2-40B4-BE49-F238E27FC236}">
              <a16:creationId xmlns:a16="http://schemas.microsoft.com/office/drawing/2014/main" id="{0A7B09F5-5DE0-4917-AAD1-DD9EFF1FF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00" name="Imagem 699" descr="http://sistemaswebhom.einstein.br/CME/Imagens/nada.gif">
          <a:extLst>
            <a:ext uri="{FF2B5EF4-FFF2-40B4-BE49-F238E27FC236}">
              <a16:creationId xmlns:a16="http://schemas.microsoft.com/office/drawing/2014/main" id="{0EE0BE4A-A4C7-4137-A1B9-5AA9F7B3F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01" name="Imagem 700" descr="http://sistemaswebhom.einstein.br/CME/Imagens/nada.gif">
          <a:extLst>
            <a:ext uri="{FF2B5EF4-FFF2-40B4-BE49-F238E27FC236}">
              <a16:creationId xmlns:a16="http://schemas.microsoft.com/office/drawing/2014/main" id="{D5669672-0357-4E5B-B818-3283E8A31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02" name="Imagem 701" descr="http://sistemaswebhom.einstein.br/CME/Imagens/nada.gif">
          <a:extLst>
            <a:ext uri="{FF2B5EF4-FFF2-40B4-BE49-F238E27FC236}">
              <a16:creationId xmlns:a16="http://schemas.microsoft.com/office/drawing/2014/main" id="{BB8F9A46-7BBF-4EC5-8A7B-0B936BB42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03" name="Imagem 702" descr="http://sistemaswebhom.einstein.br/CME/Imagens/nada.gif">
          <a:extLst>
            <a:ext uri="{FF2B5EF4-FFF2-40B4-BE49-F238E27FC236}">
              <a16:creationId xmlns:a16="http://schemas.microsoft.com/office/drawing/2014/main" id="{45823B4F-1EE9-4350-8F87-E5CBF6DAE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04" name="Imagem 703" descr="http://sistemaswebhom.einstein.br/CME/Imagens/nada.gif">
          <a:extLst>
            <a:ext uri="{FF2B5EF4-FFF2-40B4-BE49-F238E27FC236}">
              <a16:creationId xmlns:a16="http://schemas.microsoft.com/office/drawing/2014/main" id="{D53FAA33-9826-41CB-B602-C86E6C0DE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705" name="Imagem 704" descr="http://sistemaswebhom.einstein.br/CME/Imagens/nada.gif">
          <a:extLst>
            <a:ext uri="{FF2B5EF4-FFF2-40B4-BE49-F238E27FC236}">
              <a16:creationId xmlns:a16="http://schemas.microsoft.com/office/drawing/2014/main" id="{D8160779-E2C4-4684-B19F-31BB86E3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706" name="Imagem 705" descr="http://sistemaswebhom.einstein.br/CME/Imagens/nada.gif">
          <a:extLst>
            <a:ext uri="{FF2B5EF4-FFF2-40B4-BE49-F238E27FC236}">
              <a16:creationId xmlns:a16="http://schemas.microsoft.com/office/drawing/2014/main" id="{478F8EA8-5963-43E8-9FF8-D622DBAF9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707" name="Imagem 706" descr="http://sistemaswebhom.einstein.br/CME/Imagens/nada.gif">
          <a:extLst>
            <a:ext uri="{FF2B5EF4-FFF2-40B4-BE49-F238E27FC236}">
              <a16:creationId xmlns:a16="http://schemas.microsoft.com/office/drawing/2014/main" id="{783FAD71-BE9A-4EBA-8101-D99D13111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08" name="Imagem 707" descr="http://sistemaswebhom.einstein.br/CME/Imagens/nada.gif">
          <a:extLst>
            <a:ext uri="{FF2B5EF4-FFF2-40B4-BE49-F238E27FC236}">
              <a16:creationId xmlns:a16="http://schemas.microsoft.com/office/drawing/2014/main" id="{4D48BA38-DF28-4470-B657-08FAEAF65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09" name="Imagem 708" descr="http://sistemaswebhom.einstein.br/CME/Imagens/nada.gif">
          <a:extLst>
            <a:ext uri="{FF2B5EF4-FFF2-40B4-BE49-F238E27FC236}">
              <a16:creationId xmlns:a16="http://schemas.microsoft.com/office/drawing/2014/main" id="{ECCB7521-1F79-4AA2-9599-BD59FEF76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710" name="Imagem 709" descr="http://sistemaswebhom.einstein.br/CME/Imagens/nada.gif">
          <a:extLst>
            <a:ext uri="{FF2B5EF4-FFF2-40B4-BE49-F238E27FC236}">
              <a16:creationId xmlns:a16="http://schemas.microsoft.com/office/drawing/2014/main" id="{C52E28E7-299D-472B-B8E8-86E3FF6BE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711" name="Imagem 710" descr="http://sistemaswebhom.einstein.br/CME/Imagens/nada.gif">
          <a:extLst>
            <a:ext uri="{FF2B5EF4-FFF2-40B4-BE49-F238E27FC236}">
              <a16:creationId xmlns:a16="http://schemas.microsoft.com/office/drawing/2014/main" id="{68540D4A-54E4-498A-9168-E230BA8F0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712" name="Imagem 711" descr="http://sistemaswebhom.einstein.br/CME/Imagens/nada.gif">
          <a:extLst>
            <a:ext uri="{FF2B5EF4-FFF2-40B4-BE49-F238E27FC236}">
              <a16:creationId xmlns:a16="http://schemas.microsoft.com/office/drawing/2014/main" id="{179743EB-8696-4762-8C86-D16E471DE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13" name="Imagem 712" descr="http://sistemaswebhom.einstein.br/CME/Imagens/nada.gif">
          <a:extLst>
            <a:ext uri="{FF2B5EF4-FFF2-40B4-BE49-F238E27FC236}">
              <a16:creationId xmlns:a16="http://schemas.microsoft.com/office/drawing/2014/main" id="{8268F252-3B35-413E-84E1-8544C13C5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14" name="Imagem 713" descr="http://sistemaswebhom.einstein.br/CME/Imagens/nada.gif">
          <a:extLst>
            <a:ext uri="{FF2B5EF4-FFF2-40B4-BE49-F238E27FC236}">
              <a16:creationId xmlns:a16="http://schemas.microsoft.com/office/drawing/2014/main" id="{801811C2-0D5B-4B47-AD49-4CE224C5D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25400</xdr:rowOff>
    </xdr:from>
    <xdr:ext cx="9525" cy="0"/>
    <xdr:pic>
      <xdr:nvPicPr>
        <xdr:cNvPr id="715" name="Imagem 714" descr="http://sistemaswebhom.einstein.br/CME/Imagens/nada.gif">
          <a:extLst>
            <a:ext uri="{FF2B5EF4-FFF2-40B4-BE49-F238E27FC236}">
              <a16:creationId xmlns:a16="http://schemas.microsoft.com/office/drawing/2014/main" id="{74ADD6B2-D974-41E3-A00E-B4CF3A8BD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25400</xdr:rowOff>
    </xdr:from>
    <xdr:ext cx="9525" cy="0"/>
    <xdr:pic>
      <xdr:nvPicPr>
        <xdr:cNvPr id="716" name="Imagem 715" descr="http://sistemaswebhom.einstein.br/CME/Imagens/nada.gif">
          <a:extLst>
            <a:ext uri="{FF2B5EF4-FFF2-40B4-BE49-F238E27FC236}">
              <a16:creationId xmlns:a16="http://schemas.microsoft.com/office/drawing/2014/main" id="{AAC5ABE2-23D7-4F26-BB80-623E10800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25400</xdr:rowOff>
    </xdr:from>
    <xdr:ext cx="9525" cy="0"/>
    <xdr:pic>
      <xdr:nvPicPr>
        <xdr:cNvPr id="717" name="Imagem 716" descr="http://sistemaswebhom.einstein.br/CME/Imagens/nada.gif">
          <a:extLst>
            <a:ext uri="{FF2B5EF4-FFF2-40B4-BE49-F238E27FC236}">
              <a16:creationId xmlns:a16="http://schemas.microsoft.com/office/drawing/2014/main" id="{EBC98971-39A5-45AC-B7B2-56BE67282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718" name="Imagem 717" descr="http://sistemaswebhom.einstein.br/CME/Imagens/nada.gif">
          <a:extLst>
            <a:ext uri="{FF2B5EF4-FFF2-40B4-BE49-F238E27FC236}">
              <a16:creationId xmlns:a16="http://schemas.microsoft.com/office/drawing/2014/main" id="{6E9149A0-2AC2-4595-A955-A65280FE7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719" name="Imagem 718" descr="http://sistemaswebhom.einstein.br/CME/Imagens/nada.gif">
          <a:extLst>
            <a:ext uri="{FF2B5EF4-FFF2-40B4-BE49-F238E27FC236}">
              <a16:creationId xmlns:a16="http://schemas.microsoft.com/office/drawing/2014/main" id="{F677FAAB-BBDD-41BA-A53D-CCDF70202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20" name="Imagem 719" descr="http://sistemaswebhom.einstein.br/CME/Imagens/nada.gif">
          <a:extLst>
            <a:ext uri="{FF2B5EF4-FFF2-40B4-BE49-F238E27FC236}">
              <a16:creationId xmlns:a16="http://schemas.microsoft.com/office/drawing/2014/main" id="{4B6442BB-442A-4973-8A39-22DDE2CF0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21" name="Imagem 720" descr="http://sistemaswebhom.einstein.br/CME/Imagens/nada.gif">
          <a:extLst>
            <a:ext uri="{FF2B5EF4-FFF2-40B4-BE49-F238E27FC236}">
              <a16:creationId xmlns:a16="http://schemas.microsoft.com/office/drawing/2014/main" id="{AA801EC4-B545-4148-90FA-CB5A5CBE6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22" name="Imagem 721" descr="http://sistemaswebhom.einstein.br/CME/Imagens/nada.gif">
          <a:extLst>
            <a:ext uri="{FF2B5EF4-FFF2-40B4-BE49-F238E27FC236}">
              <a16:creationId xmlns:a16="http://schemas.microsoft.com/office/drawing/2014/main" id="{DAE570BA-EB8A-4AA8-A0C2-4580DB772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23" name="Imagem 722" descr="http://sistemaswebhom.einstein.br/CME/Imagens/nada.gif">
          <a:extLst>
            <a:ext uri="{FF2B5EF4-FFF2-40B4-BE49-F238E27FC236}">
              <a16:creationId xmlns:a16="http://schemas.microsoft.com/office/drawing/2014/main" id="{568A594B-7122-463B-A220-F283412CB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24" name="Imagem 723" descr="http://sistemaswebhom.einstein.br/CME/Imagens/nada.gif">
          <a:extLst>
            <a:ext uri="{FF2B5EF4-FFF2-40B4-BE49-F238E27FC236}">
              <a16:creationId xmlns:a16="http://schemas.microsoft.com/office/drawing/2014/main" id="{8998B608-96F5-4B0C-8D56-800A81641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25" name="Imagem 724" descr="http://sistemaswebhom.einstein.br/CME/Imagens/nada.gif">
          <a:extLst>
            <a:ext uri="{FF2B5EF4-FFF2-40B4-BE49-F238E27FC236}">
              <a16:creationId xmlns:a16="http://schemas.microsoft.com/office/drawing/2014/main" id="{C08DB0E0-1498-4FED-8A2A-1A6370D1D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26" name="Imagem 725" descr="http://sistemaswebhom.einstein.br/CME/Imagens/nada.gif">
          <a:extLst>
            <a:ext uri="{FF2B5EF4-FFF2-40B4-BE49-F238E27FC236}">
              <a16:creationId xmlns:a16="http://schemas.microsoft.com/office/drawing/2014/main" id="{1F54BE72-B210-4062-B4C5-50EDA633F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27" name="Imagem 726" descr="http://sistemaswebhom.einstein.br/CME/Imagens/nada.gif">
          <a:extLst>
            <a:ext uri="{FF2B5EF4-FFF2-40B4-BE49-F238E27FC236}">
              <a16:creationId xmlns:a16="http://schemas.microsoft.com/office/drawing/2014/main" id="{988995A6-52FB-4D2B-8024-FEEE88B16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28" name="Imagem 727" descr="http://sistemaswebhom.einstein.br/CME/Imagens/nada.gif">
          <a:extLst>
            <a:ext uri="{FF2B5EF4-FFF2-40B4-BE49-F238E27FC236}">
              <a16:creationId xmlns:a16="http://schemas.microsoft.com/office/drawing/2014/main" id="{0724DB17-9545-49F6-A667-A5ED1EA97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29" name="Imagem 728" descr="http://sistemaswebhom.einstein.br/CME/Imagens/nada.gif">
          <a:extLst>
            <a:ext uri="{FF2B5EF4-FFF2-40B4-BE49-F238E27FC236}">
              <a16:creationId xmlns:a16="http://schemas.microsoft.com/office/drawing/2014/main" id="{15A3C159-4E5F-45C1-BB36-DA12D4DDA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30" name="Imagem 729" descr="http://sistemaswebhom.einstein.br/CME/Imagens/nada.gif">
          <a:extLst>
            <a:ext uri="{FF2B5EF4-FFF2-40B4-BE49-F238E27FC236}">
              <a16:creationId xmlns:a16="http://schemas.microsoft.com/office/drawing/2014/main" id="{CBB9C7D8-26FF-43E5-A3ED-F3EEBE336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31" name="Imagem 730" descr="http://sistemaswebhom.einstein.br/CME/Imagens/nada.gif">
          <a:extLst>
            <a:ext uri="{FF2B5EF4-FFF2-40B4-BE49-F238E27FC236}">
              <a16:creationId xmlns:a16="http://schemas.microsoft.com/office/drawing/2014/main" id="{C18CD2FA-E6F4-4690-8AB7-A27359B6F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32" name="Imagem 731" descr="http://sistemaswebhom.einstein.br/CME/Imagens/nada.gif">
          <a:extLst>
            <a:ext uri="{FF2B5EF4-FFF2-40B4-BE49-F238E27FC236}">
              <a16:creationId xmlns:a16="http://schemas.microsoft.com/office/drawing/2014/main" id="{E178A63A-0DE1-451C-BDC5-C863AE0B6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33" name="Imagem 732" descr="http://sistemaswebhom.einstein.br/CME/Imagens/nada.gif">
          <a:extLst>
            <a:ext uri="{FF2B5EF4-FFF2-40B4-BE49-F238E27FC236}">
              <a16:creationId xmlns:a16="http://schemas.microsoft.com/office/drawing/2014/main" id="{AD7A6C76-8EC4-44A8-A903-EDE82C985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34" name="Imagem 733" descr="http://sistemaswebhom.einstein.br/CME/Imagens/nada.gif">
          <a:extLst>
            <a:ext uri="{FF2B5EF4-FFF2-40B4-BE49-F238E27FC236}">
              <a16:creationId xmlns:a16="http://schemas.microsoft.com/office/drawing/2014/main" id="{9BBABA48-CC1B-4E22-86ED-216E7F258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35" name="Imagem 734" descr="http://sistemaswebhom.einstein.br/CME/Imagens/nada.gif">
          <a:extLst>
            <a:ext uri="{FF2B5EF4-FFF2-40B4-BE49-F238E27FC236}">
              <a16:creationId xmlns:a16="http://schemas.microsoft.com/office/drawing/2014/main" id="{18D4C653-7B6C-4075-8AA8-E37B333BC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36" name="Imagem 735" descr="http://sistemaswebhom.einstein.br/CME/Imagens/nada.gif">
          <a:extLst>
            <a:ext uri="{FF2B5EF4-FFF2-40B4-BE49-F238E27FC236}">
              <a16:creationId xmlns:a16="http://schemas.microsoft.com/office/drawing/2014/main" id="{F97CFFEE-CF07-4124-AE63-F140327B7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37" name="Imagem 736" descr="http://sistemaswebhom.einstein.br/CME/Imagens/nada.gif">
          <a:extLst>
            <a:ext uri="{FF2B5EF4-FFF2-40B4-BE49-F238E27FC236}">
              <a16:creationId xmlns:a16="http://schemas.microsoft.com/office/drawing/2014/main" id="{7F52FFBB-7954-447A-80F2-281932297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38" name="Imagem 737" descr="http://sistemaswebhom.einstein.br/CME/Imagens/nada.gif">
          <a:extLst>
            <a:ext uri="{FF2B5EF4-FFF2-40B4-BE49-F238E27FC236}">
              <a16:creationId xmlns:a16="http://schemas.microsoft.com/office/drawing/2014/main" id="{3C368A4A-1011-4C97-B2A0-E75273531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39" name="Imagem 738" descr="http://sistemaswebhom.einstein.br/CME/Imagens/nada.gif">
          <a:extLst>
            <a:ext uri="{FF2B5EF4-FFF2-40B4-BE49-F238E27FC236}">
              <a16:creationId xmlns:a16="http://schemas.microsoft.com/office/drawing/2014/main" id="{5B2B9489-5789-4F20-BD13-E2BDA28F6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40" name="Imagem 739" descr="http://sistemaswebhom.einstein.br/CME/Imagens/nada.gif">
          <a:extLst>
            <a:ext uri="{FF2B5EF4-FFF2-40B4-BE49-F238E27FC236}">
              <a16:creationId xmlns:a16="http://schemas.microsoft.com/office/drawing/2014/main" id="{D898C757-80EC-44F7-A52A-F602166B0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41" name="Imagem 740" descr="http://sistemaswebhom.einstein.br/CME/Imagens/nada.gif">
          <a:extLst>
            <a:ext uri="{FF2B5EF4-FFF2-40B4-BE49-F238E27FC236}">
              <a16:creationId xmlns:a16="http://schemas.microsoft.com/office/drawing/2014/main" id="{A07902DB-8FB2-4DC3-8D8B-FA74A8B4A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25400</xdr:rowOff>
    </xdr:from>
    <xdr:ext cx="9525" cy="0"/>
    <xdr:pic>
      <xdr:nvPicPr>
        <xdr:cNvPr id="742" name="Imagem 741" descr="http://sistemaswebhom.einstein.br/CME/Imagens/nada.gif">
          <a:extLst>
            <a:ext uri="{FF2B5EF4-FFF2-40B4-BE49-F238E27FC236}">
              <a16:creationId xmlns:a16="http://schemas.microsoft.com/office/drawing/2014/main" id="{6E139EA6-3242-4EFC-A8C8-178F7D6F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3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43" name="Imagem 742" descr="http://sistemaswebhom.einstein.br/CME/Imagens/nada.gif">
          <a:extLst>
            <a:ext uri="{FF2B5EF4-FFF2-40B4-BE49-F238E27FC236}">
              <a16:creationId xmlns:a16="http://schemas.microsoft.com/office/drawing/2014/main" id="{DE2BD7A6-ADEE-4A4B-B5A5-C5889DA5E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44" name="Imagem 743" descr="http://sistemaswebhom.einstein.br/CME/Imagens/nada.gif">
          <a:extLst>
            <a:ext uri="{FF2B5EF4-FFF2-40B4-BE49-F238E27FC236}">
              <a16:creationId xmlns:a16="http://schemas.microsoft.com/office/drawing/2014/main" id="{E7C5FAAA-F55D-42AB-9C96-A7BA0076E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45" name="Imagem 744" descr="http://sistemaswebhom.einstein.br/CME/Imagens/nada.gif">
          <a:extLst>
            <a:ext uri="{FF2B5EF4-FFF2-40B4-BE49-F238E27FC236}">
              <a16:creationId xmlns:a16="http://schemas.microsoft.com/office/drawing/2014/main" id="{F6AA73A8-9385-492E-9057-DE859CB83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746" name="Imagem 745" descr="http://sistemaswebhom.einstein.br/CME/Imagens/nada.gif">
          <a:extLst>
            <a:ext uri="{FF2B5EF4-FFF2-40B4-BE49-F238E27FC236}">
              <a16:creationId xmlns:a16="http://schemas.microsoft.com/office/drawing/2014/main" id="{6D800388-D26B-4735-8F70-CBEFF6277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747" name="Imagem 746" descr="http://sistemaswebhom.einstein.br/CME/Imagens/nada.gif">
          <a:extLst>
            <a:ext uri="{FF2B5EF4-FFF2-40B4-BE49-F238E27FC236}">
              <a16:creationId xmlns:a16="http://schemas.microsoft.com/office/drawing/2014/main" id="{59A8FB0B-7170-44B2-B97F-0387555BA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48" name="Imagem 747" descr="http://sistemaswebhom.einstein.br/CME/Imagens/nada.gif">
          <a:extLst>
            <a:ext uri="{FF2B5EF4-FFF2-40B4-BE49-F238E27FC236}">
              <a16:creationId xmlns:a16="http://schemas.microsoft.com/office/drawing/2014/main" id="{72D876DD-EAD7-492E-97E6-CC611A7D9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49" name="Imagem 748" descr="http://sistemaswebhom.einstein.br/CME/Imagens/nada.gif">
          <a:extLst>
            <a:ext uri="{FF2B5EF4-FFF2-40B4-BE49-F238E27FC236}">
              <a16:creationId xmlns:a16="http://schemas.microsoft.com/office/drawing/2014/main" id="{B6DE0B42-216B-471A-BB94-7C8E6711B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50" name="Imagem 749" descr="http://sistemaswebhom.einstein.br/CME/Imagens/nada.gif">
          <a:extLst>
            <a:ext uri="{FF2B5EF4-FFF2-40B4-BE49-F238E27FC236}">
              <a16:creationId xmlns:a16="http://schemas.microsoft.com/office/drawing/2014/main" id="{2FF0F200-87B9-4BDC-AA1F-C3B8EA1E4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51" name="Imagem 750" descr="http://sistemaswebhom.einstein.br/CME/Imagens/nada.gif">
          <a:extLst>
            <a:ext uri="{FF2B5EF4-FFF2-40B4-BE49-F238E27FC236}">
              <a16:creationId xmlns:a16="http://schemas.microsoft.com/office/drawing/2014/main" id="{8D4A4D4F-8AB8-4874-87E2-CFA6AF9A1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52" name="Imagem 751" descr="http://sistemaswebhom.einstein.br/CME/Imagens/nada.gif">
          <a:extLst>
            <a:ext uri="{FF2B5EF4-FFF2-40B4-BE49-F238E27FC236}">
              <a16:creationId xmlns:a16="http://schemas.microsoft.com/office/drawing/2014/main" id="{7F5B8E32-A693-4F8D-9181-6E93FBA4D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53" name="Imagem 752" descr="http://sistemaswebhom.einstein.br/CME/Imagens/nada.gif">
          <a:extLst>
            <a:ext uri="{FF2B5EF4-FFF2-40B4-BE49-F238E27FC236}">
              <a16:creationId xmlns:a16="http://schemas.microsoft.com/office/drawing/2014/main" id="{F828DC1B-04AC-4649-AA9E-F08FBD18A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54" name="Imagem 753" descr="http://sistemaswebhom.einstein.br/CME/Imagens/nada.gif">
          <a:extLst>
            <a:ext uri="{FF2B5EF4-FFF2-40B4-BE49-F238E27FC236}">
              <a16:creationId xmlns:a16="http://schemas.microsoft.com/office/drawing/2014/main" id="{63C1B7D9-446E-4447-8CBD-816725E8E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55" name="Imagem 754" descr="http://sistemaswebhom.einstein.br/CME/Imagens/nada.gif">
          <a:extLst>
            <a:ext uri="{FF2B5EF4-FFF2-40B4-BE49-F238E27FC236}">
              <a16:creationId xmlns:a16="http://schemas.microsoft.com/office/drawing/2014/main" id="{6C857E35-0E23-4C8F-9DE7-53495795E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756" name="Imagem 755" descr="http://sistemaswebhom.einstein.br/CME/Imagens/nada.gif">
          <a:extLst>
            <a:ext uri="{FF2B5EF4-FFF2-40B4-BE49-F238E27FC236}">
              <a16:creationId xmlns:a16="http://schemas.microsoft.com/office/drawing/2014/main" id="{83ED921F-ECCC-4845-8DC4-8942E1F34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25400</xdr:rowOff>
    </xdr:from>
    <xdr:ext cx="9525" cy="0"/>
    <xdr:pic>
      <xdr:nvPicPr>
        <xdr:cNvPr id="757" name="Imagem 756" descr="http://sistemaswebhom.einstein.br/CME/Imagens/nada.gif">
          <a:extLst>
            <a:ext uri="{FF2B5EF4-FFF2-40B4-BE49-F238E27FC236}">
              <a16:creationId xmlns:a16="http://schemas.microsoft.com/office/drawing/2014/main" id="{84383D12-3915-4342-9691-57AA34ED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0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58" name="Imagem 757" descr="http://sistemaswebhom.einstein.br/CME/Imagens/nada.gif">
          <a:extLst>
            <a:ext uri="{FF2B5EF4-FFF2-40B4-BE49-F238E27FC236}">
              <a16:creationId xmlns:a16="http://schemas.microsoft.com/office/drawing/2014/main" id="{7F4ED32C-4C9F-4D7F-985B-083A67975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59" name="Imagem 758" descr="http://sistemaswebhom.einstein.br/CME/Imagens/nada.gif">
          <a:extLst>
            <a:ext uri="{FF2B5EF4-FFF2-40B4-BE49-F238E27FC236}">
              <a16:creationId xmlns:a16="http://schemas.microsoft.com/office/drawing/2014/main" id="{D01F079E-6DDD-42DE-8A9F-737EFFBF4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25400</xdr:rowOff>
    </xdr:from>
    <xdr:ext cx="9525" cy="0"/>
    <xdr:pic>
      <xdr:nvPicPr>
        <xdr:cNvPr id="760" name="Imagem 759" descr="http://sistemaswebhom.einstein.br/CME/Imagens/nada.gif">
          <a:extLst>
            <a:ext uri="{FF2B5EF4-FFF2-40B4-BE49-F238E27FC236}">
              <a16:creationId xmlns:a16="http://schemas.microsoft.com/office/drawing/2014/main" id="{1CB90A00-6526-4C0F-A064-C16A67576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0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61" name="Imagem 760" descr="http://sistemaswebhom.einstein.br/CME/Imagens/nada.gif">
          <a:extLst>
            <a:ext uri="{FF2B5EF4-FFF2-40B4-BE49-F238E27FC236}">
              <a16:creationId xmlns:a16="http://schemas.microsoft.com/office/drawing/2014/main" id="{B52C40D4-A4CB-4F01-B3C5-BD205B4F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62" name="Imagem 761" descr="http://sistemaswebhom.einstein.br/CME/Imagens/nada.gif">
          <a:extLst>
            <a:ext uri="{FF2B5EF4-FFF2-40B4-BE49-F238E27FC236}">
              <a16:creationId xmlns:a16="http://schemas.microsoft.com/office/drawing/2014/main" id="{D670765B-93A9-41E9-AF8A-649F4F6CE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763" name="Imagem 762" descr="http://sistemaswebhom.einstein.br/CME/Imagens/nada.gif">
          <a:extLst>
            <a:ext uri="{FF2B5EF4-FFF2-40B4-BE49-F238E27FC236}">
              <a16:creationId xmlns:a16="http://schemas.microsoft.com/office/drawing/2014/main" id="{00AFAEA9-4B30-4855-9CBB-FAD996CF1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764" name="Imagem 763" descr="http://sistemaswebhom.einstein.br/CME/Imagens/nada.gif">
          <a:extLst>
            <a:ext uri="{FF2B5EF4-FFF2-40B4-BE49-F238E27FC236}">
              <a16:creationId xmlns:a16="http://schemas.microsoft.com/office/drawing/2014/main" id="{020EF181-17FD-4DE7-9E35-4B2929C05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765" name="Imagem 764" descr="http://sistemaswebhom.einstein.br/CME/Imagens/nada.gif">
          <a:extLst>
            <a:ext uri="{FF2B5EF4-FFF2-40B4-BE49-F238E27FC236}">
              <a16:creationId xmlns:a16="http://schemas.microsoft.com/office/drawing/2014/main" id="{46446429-3FBE-4A09-99E0-F1BA56A3A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66" name="Imagem 765" descr="http://sistemaswebhom.einstein.br/CME/Imagens/nada.gif">
          <a:extLst>
            <a:ext uri="{FF2B5EF4-FFF2-40B4-BE49-F238E27FC236}">
              <a16:creationId xmlns:a16="http://schemas.microsoft.com/office/drawing/2014/main" id="{4D0AB91D-17CF-4063-BE6E-465C9A48F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25400</xdr:rowOff>
    </xdr:from>
    <xdr:ext cx="9525" cy="0"/>
    <xdr:pic>
      <xdr:nvPicPr>
        <xdr:cNvPr id="767" name="Imagem 766" descr="http://sistemaswebhom.einstein.br/CME/Imagens/nada.gif">
          <a:extLst>
            <a:ext uri="{FF2B5EF4-FFF2-40B4-BE49-F238E27FC236}">
              <a16:creationId xmlns:a16="http://schemas.microsoft.com/office/drawing/2014/main" id="{49702FCA-F720-4D62-882B-9B9A0A49F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5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25400</xdr:rowOff>
    </xdr:from>
    <xdr:ext cx="9525" cy="0"/>
    <xdr:pic>
      <xdr:nvPicPr>
        <xdr:cNvPr id="768" name="Imagem 767" descr="http://sistemaswebhom.einstein.br/CME/Imagens/nada.gif">
          <a:extLst>
            <a:ext uri="{FF2B5EF4-FFF2-40B4-BE49-F238E27FC236}">
              <a16:creationId xmlns:a16="http://schemas.microsoft.com/office/drawing/2014/main" id="{F493292C-ABC6-4FA2-8D87-DAE38217D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25400</xdr:rowOff>
    </xdr:from>
    <xdr:ext cx="9525" cy="0"/>
    <xdr:pic>
      <xdr:nvPicPr>
        <xdr:cNvPr id="769" name="Imagem 768" descr="http://sistemaswebhom.einstein.br/CME/Imagens/nada.gif">
          <a:extLst>
            <a:ext uri="{FF2B5EF4-FFF2-40B4-BE49-F238E27FC236}">
              <a16:creationId xmlns:a16="http://schemas.microsoft.com/office/drawing/2014/main" id="{7D3D92F3-415F-44B7-B709-98C6C8BB5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25400</xdr:rowOff>
    </xdr:from>
    <xdr:ext cx="9525" cy="0"/>
    <xdr:pic>
      <xdr:nvPicPr>
        <xdr:cNvPr id="770" name="Imagem 769" descr="http://sistemaswebhom.einstein.br/CME/Imagens/nada.gif">
          <a:extLst>
            <a:ext uri="{FF2B5EF4-FFF2-40B4-BE49-F238E27FC236}">
              <a16:creationId xmlns:a16="http://schemas.microsoft.com/office/drawing/2014/main" id="{B196E548-2D78-4023-A73C-0FD8085EF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86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771" name="Imagem 770" descr="http://sistemaswebhom.einstein.br/CME/Imagens/nada.gif">
          <a:extLst>
            <a:ext uri="{FF2B5EF4-FFF2-40B4-BE49-F238E27FC236}">
              <a16:creationId xmlns:a16="http://schemas.microsoft.com/office/drawing/2014/main" id="{096B742A-9F80-4CD1-9426-074B5267E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</xdr:row>
      <xdr:rowOff>25400</xdr:rowOff>
    </xdr:from>
    <xdr:ext cx="9525" cy="0"/>
    <xdr:pic>
      <xdr:nvPicPr>
        <xdr:cNvPr id="772" name="Imagem 771" descr="http://sistemaswebhom.einstein.br/CME/Imagens/nada.gif">
          <a:extLst>
            <a:ext uri="{FF2B5EF4-FFF2-40B4-BE49-F238E27FC236}">
              <a16:creationId xmlns:a16="http://schemas.microsoft.com/office/drawing/2014/main" id="{3179CA1F-FCC0-447F-B9B1-BE33C419E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43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87B0-6BAE-447A-B77F-F0CB8EBD223F}">
  <dimension ref="A1:R108"/>
  <sheetViews>
    <sheetView topLeftCell="A89" zoomScale="80" zoomScaleNormal="80" workbookViewId="0">
      <selection activeCell="I99" sqref="I99"/>
    </sheetView>
  </sheetViews>
  <sheetFormatPr defaultColWidth="9.85546875" defaultRowHeight="21.95" customHeight="1" x14ac:dyDescent="0.2"/>
  <cols>
    <col min="1" max="1" width="5" style="9" bestFit="1" customWidth="1"/>
    <col min="2" max="2" width="4.140625" style="11" bestFit="1" customWidth="1"/>
    <col min="3" max="3" width="11.5703125" style="12" customWidth="1"/>
    <col min="4" max="4" width="53.7109375" style="13" customWidth="1"/>
    <col min="5" max="5" width="13" style="11" customWidth="1"/>
    <col min="6" max="6" width="12.5703125" style="14" customWidth="1"/>
    <col min="7" max="7" width="15.28515625" style="11" customWidth="1"/>
    <col min="8" max="8" width="8.140625" style="16" customWidth="1"/>
    <col min="9" max="16384" width="9.85546875" style="16"/>
  </cols>
  <sheetData>
    <row r="1" spans="1:8" s="1" customFormat="1" ht="24.95" customHeight="1" x14ac:dyDescent="0.25">
      <c r="A1" s="20" t="s">
        <v>0</v>
      </c>
      <c r="B1" s="20" t="s">
        <v>1</v>
      </c>
      <c r="C1" s="20" t="s">
        <v>2</v>
      </c>
      <c r="D1" s="21" t="s">
        <v>3</v>
      </c>
      <c r="E1" s="22" t="s">
        <v>4</v>
      </c>
      <c r="F1" s="22" t="s">
        <v>5</v>
      </c>
      <c r="G1" s="22" t="s">
        <v>6</v>
      </c>
      <c r="H1" s="23" t="s">
        <v>7</v>
      </c>
    </row>
    <row r="2" spans="1:8" s="9" customFormat="1" ht="24.95" customHeight="1" x14ac:dyDescent="0.25">
      <c r="A2" s="2">
        <v>1</v>
      </c>
      <c r="B2" s="26">
        <v>30</v>
      </c>
      <c r="C2" s="25" t="s">
        <v>8</v>
      </c>
      <c r="D2" s="5" t="s">
        <v>9</v>
      </c>
      <c r="E2" s="6">
        <v>81897719002</v>
      </c>
      <c r="F2" s="7">
        <v>311</v>
      </c>
      <c r="G2" s="7">
        <f>F2*B2</f>
        <v>9330</v>
      </c>
      <c r="H2" s="8" t="s">
        <v>10</v>
      </c>
    </row>
    <row r="3" spans="1:8" s="9" customFormat="1" ht="24.95" customHeight="1" x14ac:dyDescent="0.25">
      <c r="A3" s="2">
        <v>2</v>
      </c>
      <c r="B3" s="3">
        <v>10</v>
      </c>
      <c r="C3" s="4" t="s">
        <v>11</v>
      </c>
      <c r="D3" s="5" t="s">
        <v>12</v>
      </c>
      <c r="E3" s="6">
        <v>81897710012</v>
      </c>
      <c r="F3" s="7">
        <v>953</v>
      </c>
      <c r="G3" s="7">
        <f t="shared" ref="G3:G66" si="0">F3*B3</f>
        <v>9530</v>
      </c>
      <c r="H3" s="8" t="s">
        <v>10</v>
      </c>
    </row>
    <row r="4" spans="1:8" s="9" customFormat="1" ht="24.95" customHeight="1" x14ac:dyDescent="0.25">
      <c r="A4" s="2">
        <v>3</v>
      </c>
      <c r="B4" s="3">
        <v>10</v>
      </c>
      <c r="C4" s="4" t="s">
        <v>13</v>
      </c>
      <c r="D4" s="5" t="s">
        <v>14</v>
      </c>
      <c r="E4" s="6">
        <v>81897710012</v>
      </c>
      <c r="F4" s="7">
        <v>953</v>
      </c>
      <c r="G4" s="7">
        <f t="shared" si="0"/>
        <v>9530</v>
      </c>
      <c r="H4" s="8" t="s">
        <v>10</v>
      </c>
    </row>
    <row r="5" spans="1:8" s="9" customFormat="1" ht="24.95" customHeight="1" x14ac:dyDescent="0.25">
      <c r="A5" s="2">
        <v>4</v>
      </c>
      <c r="B5" s="26">
        <v>8</v>
      </c>
      <c r="C5" s="25" t="s">
        <v>15</v>
      </c>
      <c r="D5" s="5" t="s">
        <v>16</v>
      </c>
      <c r="E5" s="6">
        <v>81897719002</v>
      </c>
      <c r="F5" s="7">
        <v>748</v>
      </c>
      <c r="G5" s="7">
        <f t="shared" si="0"/>
        <v>5984</v>
      </c>
      <c r="H5" s="8" t="s">
        <v>10</v>
      </c>
    </row>
    <row r="6" spans="1:8" s="9" customFormat="1" ht="24.95" customHeight="1" x14ac:dyDescent="0.25">
      <c r="A6" s="2">
        <v>5</v>
      </c>
      <c r="B6" s="26">
        <v>200</v>
      </c>
      <c r="C6" s="25" t="s">
        <v>17</v>
      </c>
      <c r="D6" s="5" t="s">
        <v>18</v>
      </c>
      <c r="E6" s="6">
        <v>81897719002</v>
      </c>
      <c r="F6" s="7">
        <v>168</v>
      </c>
      <c r="G6" s="7">
        <f t="shared" si="0"/>
        <v>33600</v>
      </c>
      <c r="H6" s="8" t="s">
        <v>10</v>
      </c>
    </row>
    <row r="7" spans="1:8" s="9" customFormat="1" ht="24.95" customHeight="1" x14ac:dyDescent="0.25">
      <c r="A7" s="2">
        <v>6</v>
      </c>
      <c r="B7" s="26">
        <v>5</v>
      </c>
      <c r="C7" s="25" t="s">
        <v>19</v>
      </c>
      <c r="D7" s="5" t="s">
        <v>20</v>
      </c>
      <c r="E7" s="6">
        <v>81897719002</v>
      </c>
      <c r="F7" s="7">
        <v>105</v>
      </c>
      <c r="G7" s="7">
        <f t="shared" si="0"/>
        <v>525</v>
      </c>
      <c r="H7" s="8" t="s">
        <v>10</v>
      </c>
    </row>
    <row r="8" spans="1:8" s="9" customFormat="1" ht="24.95" customHeight="1" x14ac:dyDescent="0.25">
      <c r="A8" s="2">
        <v>7</v>
      </c>
      <c r="B8" s="26">
        <v>5</v>
      </c>
      <c r="C8" s="25" t="s">
        <v>21</v>
      </c>
      <c r="D8" s="5" t="s">
        <v>22</v>
      </c>
      <c r="E8" s="6">
        <v>81897719002</v>
      </c>
      <c r="F8" s="7">
        <v>374</v>
      </c>
      <c r="G8" s="7">
        <f t="shared" si="0"/>
        <v>1870</v>
      </c>
      <c r="H8" s="8" t="s">
        <v>10</v>
      </c>
    </row>
    <row r="9" spans="1:8" s="9" customFormat="1" ht="24.95" customHeight="1" x14ac:dyDescent="0.25">
      <c r="A9" s="2">
        <v>8</v>
      </c>
      <c r="B9" s="26">
        <v>5</v>
      </c>
      <c r="C9" s="25" t="s">
        <v>23</v>
      </c>
      <c r="D9" s="5" t="s">
        <v>24</v>
      </c>
      <c r="E9" s="6">
        <v>81897719002</v>
      </c>
      <c r="F9" s="7">
        <v>205</v>
      </c>
      <c r="G9" s="7">
        <f t="shared" si="0"/>
        <v>1025</v>
      </c>
      <c r="H9" s="8" t="s">
        <v>10</v>
      </c>
    </row>
    <row r="10" spans="1:8" s="9" customFormat="1" ht="24.95" customHeight="1" x14ac:dyDescent="0.25">
      <c r="A10" s="2">
        <v>9</v>
      </c>
      <c r="B10" s="26">
        <v>10</v>
      </c>
      <c r="C10" s="25" t="s">
        <v>25</v>
      </c>
      <c r="D10" s="5" t="s">
        <v>26</v>
      </c>
      <c r="E10" s="6">
        <v>81897719002</v>
      </c>
      <c r="F10" s="7">
        <v>299</v>
      </c>
      <c r="G10" s="7">
        <f t="shared" si="0"/>
        <v>2990</v>
      </c>
      <c r="H10" s="8" t="s">
        <v>10</v>
      </c>
    </row>
    <row r="11" spans="1:8" s="9" customFormat="1" ht="24.95" customHeight="1" x14ac:dyDescent="0.25">
      <c r="A11" s="2">
        <v>10</v>
      </c>
      <c r="B11" s="26">
        <v>5</v>
      </c>
      <c r="C11" s="25" t="s">
        <v>27</v>
      </c>
      <c r="D11" s="5" t="s">
        <v>28</v>
      </c>
      <c r="E11" s="6" t="s">
        <v>29</v>
      </c>
      <c r="F11" s="7">
        <v>374</v>
      </c>
      <c r="G11" s="7">
        <f t="shared" si="0"/>
        <v>1870</v>
      </c>
      <c r="H11" s="8" t="s">
        <v>10</v>
      </c>
    </row>
    <row r="12" spans="1:8" s="9" customFormat="1" ht="24.95" customHeight="1" x14ac:dyDescent="0.25">
      <c r="A12" s="2">
        <v>11</v>
      </c>
      <c r="B12" s="26">
        <v>10</v>
      </c>
      <c r="C12" s="25" t="s">
        <v>30</v>
      </c>
      <c r="D12" s="5" t="s">
        <v>31</v>
      </c>
      <c r="E12" s="6">
        <v>81897719002</v>
      </c>
      <c r="F12" s="7">
        <v>174</v>
      </c>
      <c r="G12" s="7">
        <f t="shared" si="0"/>
        <v>1740</v>
      </c>
      <c r="H12" s="8" t="s">
        <v>10</v>
      </c>
    </row>
    <row r="13" spans="1:8" s="9" customFormat="1" ht="24.95" customHeight="1" x14ac:dyDescent="0.25">
      <c r="A13" s="2">
        <v>12</v>
      </c>
      <c r="B13" s="26">
        <v>20</v>
      </c>
      <c r="C13" s="25" t="s">
        <v>32</v>
      </c>
      <c r="D13" s="5" t="s">
        <v>33</v>
      </c>
      <c r="E13" s="6">
        <v>81897719002</v>
      </c>
      <c r="F13" s="7">
        <v>171</v>
      </c>
      <c r="G13" s="7">
        <f t="shared" si="0"/>
        <v>3420</v>
      </c>
      <c r="H13" s="8" t="s">
        <v>10</v>
      </c>
    </row>
    <row r="14" spans="1:8" s="9" customFormat="1" ht="24.95" customHeight="1" x14ac:dyDescent="0.25">
      <c r="A14" s="2">
        <v>13</v>
      </c>
      <c r="B14" s="26">
        <v>20</v>
      </c>
      <c r="C14" s="25" t="s">
        <v>34</v>
      </c>
      <c r="D14" s="5" t="s">
        <v>35</v>
      </c>
      <c r="E14" s="6">
        <v>81897719002</v>
      </c>
      <c r="F14" s="7">
        <v>194</v>
      </c>
      <c r="G14" s="7">
        <f t="shared" si="0"/>
        <v>3880</v>
      </c>
      <c r="H14" s="8" t="s">
        <v>10</v>
      </c>
    </row>
    <row r="15" spans="1:8" s="9" customFormat="1" ht="24.95" customHeight="1" x14ac:dyDescent="0.25">
      <c r="A15" s="2">
        <v>14</v>
      </c>
      <c r="B15" s="26">
        <v>40</v>
      </c>
      <c r="C15" s="25" t="s">
        <v>36</v>
      </c>
      <c r="D15" s="5" t="s">
        <v>37</v>
      </c>
      <c r="E15" s="6">
        <v>81897719002</v>
      </c>
      <c r="F15" s="7">
        <v>202</v>
      </c>
      <c r="G15" s="7">
        <f t="shared" si="0"/>
        <v>8080</v>
      </c>
      <c r="H15" s="8" t="s">
        <v>10</v>
      </c>
    </row>
    <row r="16" spans="1:8" s="9" customFormat="1" ht="24.95" customHeight="1" x14ac:dyDescent="0.25">
      <c r="A16" s="2">
        <v>15</v>
      </c>
      <c r="B16" s="26">
        <v>40</v>
      </c>
      <c r="C16" s="25" t="s">
        <v>38</v>
      </c>
      <c r="D16" s="5" t="s">
        <v>39</v>
      </c>
      <c r="E16" s="6">
        <v>81897719002</v>
      </c>
      <c r="F16" s="7">
        <v>241</v>
      </c>
      <c r="G16" s="7">
        <f t="shared" si="0"/>
        <v>9640</v>
      </c>
      <c r="H16" s="8" t="s">
        <v>10</v>
      </c>
    </row>
    <row r="17" spans="1:8" s="9" customFormat="1" ht="24.95" customHeight="1" x14ac:dyDescent="0.25">
      <c r="A17" s="2">
        <v>16</v>
      </c>
      <c r="B17" s="26">
        <v>20</v>
      </c>
      <c r="C17" s="25" t="s">
        <v>40</v>
      </c>
      <c r="D17" s="5" t="s">
        <v>41</v>
      </c>
      <c r="E17" s="6">
        <v>81897719002</v>
      </c>
      <c r="F17" s="7">
        <v>241</v>
      </c>
      <c r="G17" s="7">
        <f t="shared" si="0"/>
        <v>4820</v>
      </c>
      <c r="H17" s="8" t="s">
        <v>10</v>
      </c>
    </row>
    <row r="18" spans="1:8" s="9" customFormat="1" ht="24.95" customHeight="1" x14ac:dyDescent="0.25">
      <c r="A18" s="2">
        <v>17</v>
      </c>
      <c r="B18" s="26">
        <v>20</v>
      </c>
      <c r="C18" s="25" t="s">
        <v>42</v>
      </c>
      <c r="D18" s="5" t="s">
        <v>43</v>
      </c>
      <c r="E18" s="6">
        <v>81897719002</v>
      </c>
      <c r="F18" s="7">
        <v>241</v>
      </c>
      <c r="G18" s="7">
        <f t="shared" si="0"/>
        <v>4820</v>
      </c>
      <c r="H18" s="8" t="s">
        <v>10</v>
      </c>
    </row>
    <row r="19" spans="1:8" s="9" customFormat="1" ht="24.95" customHeight="1" x14ac:dyDescent="0.25">
      <c r="A19" s="2">
        <v>18</v>
      </c>
      <c r="B19" s="26">
        <v>20</v>
      </c>
      <c r="C19" s="25" t="s">
        <v>44</v>
      </c>
      <c r="D19" s="5" t="s">
        <v>45</v>
      </c>
      <c r="E19" s="6">
        <v>81897719002</v>
      </c>
      <c r="F19" s="7">
        <v>249</v>
      </c>
      <c r="G19" s="7">
        <f t="shared" si="0"/>
        <v>4980</v>
      </c>
      <c r="H19" s="8" t="s">
        <v>10</v>
      </c>
    </row>
    <row r="20" spans="1:8" s="9" customFormat="1" ht="24.95" customHeight="1" x14ac:dyDescent="0.25">
      <c r="A20" s="2">
        <v>19</v>
      </c>
      <c r="B20" s="26">
        <v>20</v>
      </c>
      <c r="C20" s="25" t="s">
        <v>46</v>
      </c>
      <c r="D20" s="5" t="s">
        <v>47</v>
      </c>
      <c r="E20" s="6">
        <v>81897719002</v>
      </c>
      <c r="F20" s="7">
        <v>249</v>
      </c>
      <c r="G20" s="7">
        <f t="shared" si="0"/>
        <v>4980</v>
      </c>
      <c r="H20" s="8" t="s">
        <v>10</v>
      </c>
    </row>
    <row r="21" spans="1:8" s="9" customFormat="1" ht="24.95" customHeight="1" x14ac:dyDescent="0.25">
      <c r="A21" s="2">
        <v>20</v>
      </c>
      <c r="B21" s="26">
        <v>30</v>
      </c>
      <c r="C21" s="25" t="s">
        <v>48</v>
      </c>
      <c r="D21" s="5" t="s">
        <v>49</v>
      </c>
      <c r="E21" s="6">
        <v>81897719002</v>
      </c>
      <c r="F21" s="7">
        <v>116</v>
      </c>
      <c r="G21" s="7">
        <f t="shared" si="0"/>
        <v>3480</v>
      </c>
      <c r="H21" s="8" t="s">
        <v>10</v>
      </c>
    </row>
    <row r="22" spans="1:8" s="9" customFormat="1" ht="24.95" customHeight="1" x14ac:dyDescent="0.25">
      <c r="A22" s="2">
        <v>21</v>
      </c>
      <c r="B22" s="26">
        <v>30</v>
      </c>
      <c r="C22" s="25" t="s">
        <v>50</v>
      </c>
      <c r="D22" s="5" t="s">
        <v>51</v>
      </c>
      <c r="E22" s="6">
        <v>81897719002</v>
      </c>
      <c r="F22" s="7">
        <v>124</v>
      </c>
      <c r="G22" s="7">
        <f t="shared" si="0"/>
        <v>3720</v>
      </c>
      <c r="H22" s="8" t="s">
        <v>10</v>
      </c>
    </row>
    <row r="23" spans="1:8" s="9" customFormat="1" ht="24.95" customHeight="1" x14ac:dyDescent="0.25">
      <c r="A23" s="2">
        <v>22</v>
      </c>
      <c r="B23" s="26">
        <v>20</v>
      </c>
      <c r="C23" s="25" t="s">
        <v>52</v>
      </c>
      <c r="D23" s="5" t="s">
        <v>53</v>
      </c>
      <c r="E23" s="6">
        <v>81897719002</v>
      </c>
      <c r="F23" s="7">
        <v>374</v>
      </c>
      <c r="G23" s="7">
        <f t="shared" si="0"/>
        <v>7480</v>
      </c>
      <c r="H23" s="8" t="s">
        <v>10</v>
      </c>
    </row>
    <row r="24" spans="1:8" s="9" customFormat="1" ht="24.95" customHeight="1" x14ac:dyDescent="0.25">
      <c r="A24" s="2">
        <v>23</v>
      </c>
      <c r="B24" s="26">
        <v>20</v>
      </c>
      <c r="C24" s="25" t="s">
        <v>54</v>
      </c>
      <c r="D24" s="5" t="s">
        <v>55</v>
      </c>
      <c r="E24" s="6">
        <v>81897719002</v>
      </c>
      <c r="F24" s="7">
        <v>112</v>
      </c>
      <c r="G24" s="7">
        <f t="shared" si="0"/>
        <v>2240</v>
      </c>
      <c r="H24" s="8" t="s">
        <v>10</v>
      </c>
    </row>
    <row r="25" spans="1:8" s="9" customFormat="1" ht="24.95" customHeight="1" x14ac:dyDescent="0.25">
      <c r="A25" s="2">
        <v>24</v>
      </c>
      <c r="B25" s="26">
        <v>20</v>
      </c>
      <c r="C25" s="25" t="s">
        <v>56</v>
      </c>
      <c r="D25" s="5" t="s">
        <v>293</v>
      </c>
      <c r="E25" s="6">
        <v>81897719002</v>
      </c>
      <c r="F25" s="7">
        <v>187</v>
      </c>
      <c r="G25" s="7">
        <f t="shared" si="0"/>
        <v>3740</v>
      </c>
      <c r="H25" s="8" t="s">
        <v>10</v>
      </c>
    </row>
    <row r="26" spans="1:8" s="9" customFormat="1" ht="24.95" customHeight="1" x14ac:dyDescent="0.25">
      <c r="A26" s="2">
        <v>25</v>
      </c>
      <c r="B26" s="26">
        <v>10</v>
      </c>
      <c r="C26" s="25" t="s">
        <v>57</v>
      </c>
      <c r="D26" s="5" t="s">
        <v>58</v>
      </c>
      <c r="E26" s="6">
        <v>81897719002</v>
      </c>
      <c r="F26" s="7">
        <v>224</v>
      </c>
      <c r="G26" s="7">
        <f t="shared" si="0"/>
        <v>2240</v>
      </c>
      <c r="H26" s="8" t="s">
        <v>10</v>
      </c>
    </row>
    <row r="27" spans="1:8" s="9" customFormat="1" ht="24.95" customHeight="1" x14ac:dyDescent="0.25">
      <c r="A27" s="2">
        <v>26</v>
      </c>
      <c r="B27" s="26">
        <v>10</v>
      </c>
      <c r="C27" s="25" t="s">
        <v>59</v>
      </c>
      <c r="D27" s="5" t="s">
        <v>60</v>
      </c>
      <c r="E27" s="6">
        <v>81897719002</v>
      </c>
      <c r="F27" s="7">
        <v>224</v>
      </c>
      <c r="G27" s="7">
        <f t="shared" si="0"/>
        <v>2240</v>
      </c>
      <c r="H27" s="8" t="s">
        <v>10</v>
      </c>
    </row>
    <row r="28" spans="1:8" s="9" customFormat="1" ht="24.95" customHeight="1" x14ac:dyDescent="0.25">
      <c r="A28" s="2">
        <v>27</v>
      </c>
      <c r="B28" s="26">
        <v>100</v>
      </c>
      <c r="C28" s="25" t="s">
        <v>61</v>
      </c>
      <c r="D28" s="5" t="s">
        <v>62</v>
      </c>
      <c r="E28" s="6">
        <v>81897719002</v>
      </c>
      <c r="F28" s="7">
        <v>87</v>
      </c>
      <c r="G28" s="7">
        <f t="shared" si="0"/>
        <v>8700</v>
      </c>
      <c r="H28" s="8" t="s">
        <v>10</v>
      </c>
    </row>
    <row r="29" spans="1:8" s="9" customFormat="1" ht="24.95" customHeight="1" x14ac:dyDescent="0.25">
      <c r="A29" s="2">
        <v>28</v>
      </c>
      <c r="B29" s="3">
        <v>3</v>
      </c>
      <c r="C29" s="4" t="s">
        <v>63</v>
      </c>
      <c r="D29" s="5" t="s">
        <v>64</v>
      </c>
      <c r="E29" s="6">
        <v>81897710023</v>
      </c>
      <c r="F29" s="7">
        <v>1462</v>
      </c>
      <c r="G29" s="7">
        <f t="shared" si="0"/>
        <v>4386</v>
      </c>
      <c r="H29" s="8" t="s">
        <v>10</v>
      </c>
    </row>
    <row r="30" spans="1:8" s="9" customFormat="1" ht="24.95" customHeight="1" x14ac:dyDescent="0.25">
      <c r="A30" s="2">
        <v>29</v>
      </c>
      <c r="B30" s="26">
        <v>100</v>
      </c>
      <c r="C30" s="25" t="s">
        <v>65</v>
      </c>
      <c r="D30" s="10" t="s">
        <v>66</v>
      </c>
      <c r="E30" s="6">
        <v>81897719002</v>
      </c>
      <c r="F30" s="7">
        <v>150</v>
      </c>
      <c r="G30" s="7">
        <f t="shared" si="0"/>
        <v>15000</v>
      </c>
      <c r="H30" s="8" t="s">
        <v>10</v>
      </c>
    </row>
    <row r="31" spans="1:8" s="9" customFormat="1" ht="24.95" customHeight="1" x14ac:dyDescent="0.25">
      <c r="A31" s="2">
        <v>30</v>
      </c>
      <c r="B31" s="26">
        <v>10</v>
      </c>
      <c r="C31" s="25" t="s">
        <v>67</v>
      </c>
      <c r="D31" s="5" t="s">
        <v>68</v>
      </c>
      <c r="E31" s="6">
        <v>81897719002</v>
      </c>
      <c r="F31" s="7">
        <v>112</v>
      </c>
      <c r="G31" s="7">
        <f t="shared" si="0"/>
        <v>1120</v>
      </c>
      <c r="H31" s="8" t="s">
        <v>10</v>
      </c>
    </row>
    <row r="32" spans="1:8" s="9" customFormat="1" ht="24.95" customHeight="1" x14ac:dyDescent="0.25">
      <c r="A32" s="2">
        <v>31</v>
      </c>
      <c r="B32" s="26">
        <v>10</v>
      </c>
      <c r="C32" s="25" t="s">
        <v>69</v>
      </c>
      <c r="D32" s="5" t="s">
        <v>70</v>
      </c>
      <c r="E32" s="6">
        <v>81897719002</v>
      </c>
      <c r="F32" s="7">
        <v>498</v>
      </c>
      <c r="G32" s="7">
        <f t="shared" si="0"/>
        <v>4980</v>
      </c>
      <c r="H32" s="8" t="s">
        <v>10</v>
      </c>
    </row>
    <row r="33" spans="1:8" s="9" customFormat="1" ht="24.95" customHeight="1" x14ac:dyDescent="0.25">
      <c r="A33" s="2">
        <v>32</v>
      </c>
      <c r="B33" s="26">
        <v>15</v>
      </c>
      <c r="C33" s="25" t="s">
        <v>71</v>
      </c>
      <c r="D33" s="5" t="s">
        <v>72</v>
      </c>
      <c r="E33" s="6">
        <v>81897719002</v>
      </c>
      <c r="F33" s="7">
        <v>93</v>
      </c>
      <c r="G33" s="7">
        <f t="shared" si="0"/>
        <v>1395</v>
      </c>
      <c r="H33" s="8" t="s">
        <v>10</v>
      </c>
    </row>
    <row r="34" spans="1:8" s="9" customFormat="1" ht="24.95" customHeight="1" x14ac:dyDescent="0.25">
      <c r="A34" s="2">
        <v>33</v>
      </c>
      <c r="B34" s="26">
        <v>100</v>
      </c>
      <c r="C34" s="25" t="s">
        <v>73</v>
      </c>
      <c r="D34" s="5" t="s">
        <v>74</v>
      </c>
      <c r="E34" s="6">
        <v>81897719002</v>
      </c>
      <c r="F34" s="7">
        <v>155</v>
      </c>
      <c r="G34" s="7">
        <f t="shared" si="0"/>
        <v>15500</v>
      </c>
      <c r="H34" s="8" t="s">
        <v>10</v>
      </c>
    </row>
    <row r="35" spans="1:8" s="9" customFormat="1" ht="24.95" customHeight="1" x14ac:dyDescent="0.25">
      <c r="A35" s="2">
        <v>34</v>
      </c>
      <c r="B35" s="26">
        <v>100</v>
      </c>
      <c r="C35" s="25" t="s">
        <v>75</v>
      </c>
      <c r="D35" s="5" t="s">
        <v>76</v>
      </c>
      <c r="E35" s="6">
        <v>81897719002</v>
      </c>
      <c r="F35" s="7">
        <v>180</v>
      </c>
      <c r="G35" s="7">
        <f t="shared" si="0"/>
        <v>18000</v>
      </c>
      <c r="H35" s="8" t="s">
        <v>10</v>
      </c>
    </row>
    <row r="36" spans="1:8" s="9" customFormat="1" ht="24.95" customHeight="1" x14ac:dyDescent="0.25">
      <c r="A36" s="2">
        <v>35</v>
      </c>
      <c r="B36" s="26">
        <v>100</v>
      </c>
      <c r="C36" s="25" t="s">
        <v>77</v>
      </c>
      <c r="D36" s="5" t="s">
        <v>78</v>
      </c>
      <c r="E36" s="6">
        <v>81897719002</v>
      </c>
      <c r="F36" s="7">
        <v>218</v>
      </c>
      <c r="G36" s="7">
        <f t="shared" si="0"/>
        <v>21800</v>
      </c>
      <c r="H36" s="8" t="s">
        <v>10</v>
      </c>
    </row>
    <row r="37" spans="1:8" s="9" customFormat="1" ht="24.95" customHeight="1" x14ac:dyDescent="0.25">
      <c r="A37" s="2">
        <v>36</v>
      </c>
      <c r="B37" s="26">
        <v>100</v>
      </c>
      <c r="C37" s="25" t="s">
        <v>79</v>
      </c>
      <c r="D37" s="5" t="s">
        <v>80</v>
      </c>
      <c r="E37" s="6">
        <v>81897719002</v>
      </c>
      <c r="F37" s="7">
        <v>149</v>
      </c>
      <c r="G37" s="7">
        <f t="shared" si="0"/>
        <v>14900</v>
      </c>
      <c r="H37" s="8" t="s">
        <v>10</v>
      </c>
    </row>
    <row r="38" spans="1:8" s="9" customFormat="1" ht="24.95" customHeight="1" x14ac:dyDescent="0.25">
      <c r="A38" s="2">
        <v>37</v>
      </c>
      <c r="B38" s="26">
        <v>100</v>
      </c>
      <c r="C38" s="25" t="s">
        <v>81</v>
      </c>
      <c r="D38" s="5" t="s">
        <v>82</v>
      </c>
      <c r="E38" s="6">
        <v>81897719002</v>
      </c>
      <c r="F38" s="7">
        <v>174</v>
      </c>
      <c r="G38" s="7">
        <f t="shared" si="0"/>
        <v>17400</v>
      </c>
      <c r="H38" s="8" t="s">
        <v>10</v>
      </c>
    </row>
    <row r="39" spans="1:8" s="9" customFormat="1" ht="24.95" customHeight="1" x14ac:dyDescent="0.25">
      <c r="A39" s="2">
        <v>38</v>
      </c>
      <c r="B39" s="3">
        <v>100</v>
      </c>
      <c r="C39" s="4" t="s">
        <v>83</v>
      </c>
      <c r="D39" s="5" t="s">
        <v>84</v>
      </c>
      <c r="E39" s="6">
        <v>81897710022</v>
      </c>
      <c r="F39" s="7">
        <v>260</v>
      </c>
      <c r="G39" s="7">
        <f t="shared" si="0"/>
        <v>26000</v>
      </c>
      <c r="H39" s="8" t="s">
        <v>10</v>
      </c>
    </row>
    <row r="40" spans="1:8" s="9" customFormat="1" ht="24.95" customHeight="1" x14ac:dyDescent="0.25">
      <c r="A40" s="2">
        <v>39</v>
      </c>
      <c r="B40" s="26">
        <v>10</v>
      </c>
      <c r="C40" s="25" t="s">
        <v>85</v>
      </c>
      <c r="D40" s="5" t="s">
        <v>86</v>
      </c>
      <c r="E40" s="6">
        <v>81897719002</v>
      </c>
      <c r="F40" s="7">
        <v>467</v>
      </c>
      <c r="G40" s="7">
        <f t="shared" si="0"/>
        <v>4670</v>
      </c>
      <c r="H40" s="8" t="s">
        <v>10</v>
      </c>
    </row>
    <row r="41" spans="1:8" s="9" customFormat="1" ht="24.95" customHeight="1" x14ac:dyDescent="0.25">
      <c r="A41" s="2">
        <v>40</v>
      </c>
      <c r="B41" s="26">
        <v>70</v>
      </c>
      <c r="C41" s="25" t="s">
        <v>87</v>
      </c>
      <c r="D41" s="5" t="s">
        <v>88</v>
      </c>
      <c r="E41" s="6">
        <v>81897719002</v>
      </c>
      <c r="F41" s="7">
        <v>205</v>
      </c>
      <c r="G41" s="7">
        <f t="shared" si="0"/>
        <v>14350</v>
      </c>
      <c r="H41" s="8" t="s">
        <v>10</v>
      </c>
    </row>
    <row r="42" spans="1:8" s="9" customFormat="1" ht="24.95" customHeight="1" x14ac:dyDescent="0.25">
      <c r="A42" s="2">
        <v>41</v>
      </c>
      <c r="B42" s="26">
        <v>30</v>
      </c>
      <c r="C42" s="25" t="s">
        <v>89</v>
      </c>
      <c r="D42" s="5" t="s">
        <v>90</v>
      </c>
      <c r="E42" s="6">
        <v>81897719002</v>
      </c>
      <c r="F42" s="7">
        <v>205</v>
      </c>
      <c r="G42" s="7">
        <f t="shared" si="0"/>
        <v>6150</v>
      </c>
      <c r="H42" s="8" t="s">
        <v>10</v>
      </c>
    </row>
    <row r="43" spans="1:8" s="9" customFormat="1" ht="24.95" customHeight="1" x14ac:dyDescent="0.25">
      <c r="A43" s="2">
        <v>42</v>
      </c>
      <c r="B43" s="26">
        <v>50</v>
      </c>
      <c r="C43" s="25" t="s">
        <v>91</v>
      </c>
      <c r="D43" s="5" t="s">
        <v>92</v>
      </c>
      <c r="E43" s="6">
        <v>81897719002</v>
      </c>
      <c r="F43" s="7">
        <v>187</v>
      </c>
      <c r="G43" s="7">
        <f t="shared" si="0"/>
        <v>9350</v>
      </c>
      <c r="H43" s="8" t="s">
        <v>10</v>
      </c>
    </row>
    <row r="44" spans="1:8" s="9" customFormat="1" ht="24.95" customHeight="1" x14ac:dyDescent="0.25">
      <c r="A44" s="2">
        <v>43</v>
      </c>
      <c r="B44" s="26">
        <v>30</v>
      </c>
      <c r="C44" s="25" t="s">
        <v>93</v>
      </c>
      <c r="D44" s="5" t="s">
        <v>94</v>
      </c>
      <c r="E44" s="6">
        <v>81897719002</v>
      </c>
      <c r="F44" s="7">
        <v>199</v>
      </c>
      <c r="G44" s="7">
        <f t="shared" si="0"/>
        <v>5970</v>
      </c>
      <c r="H44" s="8" t="s">
        <v>10</v>
      </c>
    </row>
    <row r="45" spans="1:8" s="9" customFormat="1" ht="24.95" customHeight="1" x14ac:dyDescent="0.25">
      <c r="A45" s="2">
        <v>44</v>
      </c>
      <c r="B45" s="26">
        <v>30</v>
      </c>
      <c r="C45" s="25" t="s">
        <v>95</v>
      </c>
      <c r="D45" s="5" t="s">
        <v>96</v>
      </c>
      <c r="E45" s="6">
        <v>81897719002</v>
      </c>
      <c r="F45" s="7">
        <v>87</v>
      </c>
      <c r="G45" s="7">
        <f t="shared" si="0"/>
        <v>2610</v>
      </c>
      <c r="H45" s="8" t="s">
        <v>10</v>
      </c>
    </row>
    <row r="46" spans="1:8" s="9" customFormat="1" ht="24.95" customHeight="1" x14ac:dyDescent="0.25">
      <c r="A46" s="2">
        <v>45</v>
      </c>
      <c r="B46" s="26">
        <v>3</v>
      </c>
      <c r="C46" s="25" t="s">
        <v>97</v>
      </c>
      <c r="D46" s="5" t="s">
        <v>98</v>
      </c>
      <c r="E46" s="6">
        <v>81897719002</v>
      </c>
      <c r="F46" s="7">
        <v>112</v>
      </c>
      <c r="G46" s="7">
        <f t="shared" si="0"/>
        <v>336</v>
      </c>
      <c r="H46" s="8" t="s">
        <v>10</v>
      </c>
    </row>
    <row r="47" spans="1:8" s="9" customFormat="1" ht="24.95" customHeight="1" x14ac:dyDescent="0.25">
      <c r="A47" s="2">
        <v>46</v>
      </c>
      <c r="B47" s="26">
        <v>10</v>
      </c>
      <c r="C47" s="25" t="s">
        <v>99</v>
      </c>
      <c r="D47" s="5" t="s">
        <v>100</v>
      </c>
      <c r="E47" s="6">
        <v>81897719002</v>
      </c>
      <c r="F47" s="7">
        <v>62</v>
      </c>
      <c r="G47" s="7">
        <f t="shared" si="0"/>
        <v>620</v>
      </c>
      <c r="H47" s="8" t="s">
        <v>10</v>
      </c>
    </row>
    <row r="48" spans="1:8" s="9" customFormat="1" ht="24.95" customHeight="1" x14ac:dyDescent="0.25">
      <c r="A48" s="2">
        <v>47</v>
      </c>
      <c r="B48" s="26">
        <v>10</v>
      </c>
      <c r="C48" s="25" t="s">
        <v>101</v>
      </c>
      <c r="D48" s="5" t="s">
        <v>102</v>
      </c>
      <c r="E48" s="6">
        <v>81897719002</v>
      </c>
      <c r="F48" s="7">
        <v>62</v>
      </c>
      <c r="G48" s="7">
        <f t="shared" si="0"/>
        <v>620</v>
      </c>
      <c r="H48" s="8" t="s">
        <v>10</v>
      </c>
    </row>
    <row r="49" spans="1:8" s="9" customFormat="1" ht="24.95" customHeight="1" x14ac:dyDescent="0.25">
      <c r="A49" s="2">
        <v>48</v>
      </c>
      <c r="B49" s="26">
        <v>10</v>
      </c>
      <c r="C49" s="25" t="s">
        <v>103</v>
      </c>
      <c r="D49" s="5" t="s">
        <v>104</v>
      </c>
      <c r="E49" s="6">
        <v>81897719002</v>
      </c>
      <c r="F49" s="7">
        <v>62</v>
      </c>
      <c r="G49" s="7">
        <f t="shared" si="0"/>
        <v>620</v>
      </c>
      <c r="H49" s="8" t="s">
        <v>10</v>
      </c>
    </row>
    <row r="50" spans="1:8" s="9" customFormat="1" ht="24.95" customHeight="1" x14ac:dyDescent="0.25">
      <c r="A50" s="2">
        <v>49</v>
      </c>
      <c r="B50" s="26">
        <v>10</v>
      </c>
      <c r="C50" s="25" t="s">
        <v>105</v>
      </c>
      <c r="D50" s="5" t="s">
        <v>106</v>
      </c>
      <c r="E50" s="6">
        <v>81897719002</v>
      </c>
      <c r="F50" s="7">
        <v>311</v>
      </c>
      <c r="G50" s="7">
        <f t="shared" si="0"/>
        <v>3110</v>
      </c>
      <c r="H50" s="8" t="s">
        <v>10</v>
      </c>
    </row>
    <row r="51" spans="1:8" s="9" customFormat="1" ht="24.95" customHeight="1" x14ac:dyDescent="0.25">
      <c r="A51" s="2">
        <v>50</v>
      </c>
      <c r="B51" s="26">
        <v>10</v>
      </c>
      <c r="C51" s="25" t="s">
        <v>107</v>
      </c>
      <c r="D51" s="5" t="s">
        <v>108</v>
      </c>
      <c r="E51" s="6">
        <v>81897719002</v>
      </c>
      <c r="F51" s="7">
        <v>405</v>
      </c>
      <c r="G51" s="7">
        <f t="shared" si="0"/>
        <v>4050</v>
      </c>
      <c r="H51" s="8" t="s">
        <v>10</v>
      </c>
    </row>
    <row r="52" spans="1:8" s="9" customFormat="1" ht="24.95" customHeight="1" x14ac:dyDescent="0.25">
      <c r="A52" s="2">
        <v>51</v>
      </c>
      <c r="B52" s="26">
        <v>100</v>
      </c>
      <c r="C52" s="25" t="s">
        <v>109</v>
      </c>
      <c r="D52" s="5" t="s">
        <v>110</v>
      </c>
      <c r="E52" s="6">
        <v>81897719002</v>
      </c>
      <c r="F52" s="7">
        <v>348</v>
      </c>
      <c r="G52" s="7">
        <f t="shared" si="0"/>
        <v>34800</v>
      </c>
      <c r="H52" s="8" t="s">
        <v>10</v>
      </c>
    </row>
    <row r="53" spans="1:8" s="9" customFormat="1" ht="24.95" customHeight="1" x14ac:dyDescent="0.25">
      <c r="A53" s="2">
        <v>52</v>
      </c>
      <c r="B53" s="26">
        <v>100</v>
      </c>
      <c r="C53" s="25" t="s">
        <v>111</v>
      </c>
      <c r="D53" s="5" t="s">
        <v>112</v>
      </c>
      <c r="E53" s="6">
        <v>81897719002</v>
      </c>
      <c r="F53" s="7">
        <v>155</v>
      </c>
      <c r="G53" s="7">
        <f t="shared" si="0"/>
        <v>15500</v>
      </c>
      <c r="H53" s="8" t="s">
        <v>10</v>
      </c>
    </row>
    <row r="54" spans="1:8" s="9" customFormat="1" ht="24.95" customHeight="1" x14ac:dyDescent="0.25">
      <c r="A54" s="2">
        <v>53</v>
      </c>
      <c r="B54" s="26">
        <v>50</v>
      </c>
      <c r="C54" s="25" t="s">
        <v>113</v>
      </c>
      <c r="D54" s="5" t="s">
        <v>114</v>
      </c>
      <c r="E54" s="6">
        <v>81897719002</v>
      </c>
      <c r="F54" s="7">
        <v>187</v>
      </c>
      <c r="G54" s="7">
        <f t="shared" si="0"/>
        <v>9350</v>
      </c>
      <c r="H54" s="8" t="s">
        <v>10</v>
      </c>
    </row>
    <row r="55" spans="1:8" s="9" customFormat="1" ht="24.95" customHeight="1" x14ac:dyDescent="0.25">
      <c r="A55" s="2">
        <v>54</v>
      </c>
      <c r="B55" s="26">
        <v>30</v>
      </c>
      <c r="C55" s="25" t="s">
        <v>115</v>
      </c>
      <c r="D55" s="5" t="s">
        <v>116</v>
      </c>
      <c r="E55" s="6">
        <v>81897719002</v>
      </c>
      <c r="F55" s="7">
        <v>274</v>
      </c>
      <c r="G55" s="7">
        <f t="shared" si="0"/>
        <v>8220</v>
      </c>
      <c r="H55" s="8" t="s">
        <v>10</v>
      </c>
    </row>
    <row r="56" spans="1:8" s="9" customFormat="1" ht="24.95" customHeight="1" x14ac:dyDescent="0.25">
      <c r="A56" s="2">
        <v>55</v>
      </c>
      <c r="B56" s="26">
        <v>30</v>
      </c>
      <c r="C56" s="25" t="s">
        <v>117</v>
      </c>
      <c r="D56" s="5" t="s">
        <v>118</v>
      </c>
      <c r="E56" s="6">
        <v>81897719002</v>
      </c>
      <c r="F56" s="7">
        <v>311</v>
      </c>
      <c r="G56" s="7">
        <f t="shared" si="0"/>
        <v>9330</v>
      </c>
      <c r="H56" s="8" t="s">
        <v>10</v>
      </c>
    </row>
    <row r="57" spans="1:8" s="9" customFormat="1" ht="24.95" customHeight="1" x14ac:dyDescent="0.25">
      <c r="A57" s="2">
        <v>56</v>
      </c>
      <c r="B57" s="26">
        <v>30</v>
      </c>
      <c r="C57" s="25" t="s">
        <v>119</v>
      </c>
      <c r="D57" s="5" t="s">
        <v>120</v>
      </c>
      <c r="E57" s="6">
        <v>81897719002</v>
      </c>
      <c r="F57" s="7">
        <v>81</v>
      </c>
      <c r="G57" s="7">
        <f t="shared" si="0"/>
        <v>2430</v>
      </c>
      <c r="H57" s="8" t="s">
        <v>10</v>
      </c>
    </row>
    <row r="58" spans="1:8" s="9" customFormat="1" ht="24.95" customHeight="1" x14ac:dyDescent="0.25">
      <c r="A58" s="2">
        <v>57</v>
      </c>
      <c r="B58" s="26">
        <v>30</v>
      </c>
      <c r="C58" s="25" t="s">
        <v>121</v>
      </c>
      <c r="D58" s="5" t="s">
        <v>122</v>
      </c>
      <c r="E58" s="6">
        <v>81897719002</v>
      </c>
      <c r="F58" s="7">
        <v>93</v>
      </c>
      <c r="G58" s="7">
        <f t="shared" si="0"/>
        <v>2790</v>
      </c>
      <c r="H58" s="8" t="s">
        <v>10</v>
      </c>
    </row>
    <row r="59" spans="1:8" s="9" customFormat="1" ht="24.95" customHeight="1" x14ac:dyDescent="0.25">
      <c r="A59" s="2">
        <v>58</v>
      </c>
      <c r="B59" s="26">
        <v>30</v>
      </c>
      <c r="C59" s="25" t="s">
        <v>123</v>
      </c>
      <c r="D59" s="5" t="s">
        <v>124</v>
      </c>
      <c r="E59" s="6">
        <v>81897719002</v>
      </c>
      <c r="F59" s="7">
        <v>118</v>
      </c>
      <c r="G59" s="7">
        <f t="shared" si="0"/>
        <v>3540</v>
      </c>
      <c r="H59" s="8" t="s">
        <v>10</v>
      </c>
    </row>
    <row r="60" spans="1:8" s="9" customFormat="1" ht="24.95" customHeight="1" x14ac:dyDescent="0.25">
      <c r="A60" s="2">
        <v>59</v>
      </c>
      <c r="B60" s="26">
        <v>20</v>
      </c>
      <c r="C60" s="25" t="s">
        <v>125</v>
      </c>
      <c r="D60" s="5" t="s">
        <v>126</v>
      </c>
      <c r="E60" s="6">
        <v>81897719002</v>
      </c>
      <c r="F60" s="7">
        <v>224</v>
      </c>
      <c r="G60" s="7">
        <f t="shared" si="0"/>
        <v>4480</v>
      </c>
      <c r="H60" s="8" t="s">
        <v>10</v>
      </c>
    </row>
    <row r="61" spans="1:8" s="9" customFormat="1" ht="24.95" customHeight="1" x14ac:dyDescent="0.25">
      <c r="A61" s="2">
        <v>60</v>
      </c>
      <c r="B61" s="26">
        <v>10</v>
      </c>
      <c r="C61" s="25" t="s">
        <v>127</v>
      </c>
      <c r="D61" s="5" t="s">
        <v>128</v>
      </c>
      <c r="E61" s="6">
        <v>81897719002</v>
      </c>
      <c r="F61" s="7">
        <v>685</v>
      </c>
      <c r="G61" s="7">
        <f t="shared" si="0"/>
        <v>6850</v>
      </c>
      <c r="H61" s="8" t="s">
        <v>10</v>
      </c>
    </row>
    <row r="62" spans="1:8" s="9" customFormat="1" ht="24.95" customHeight="1" x14ac:dyDescent="0.25">
      <c r="A62" s="2">
        <v>61</v>
      </c>
      <c r="B62" s="26">
        <v>10</v>
      </c>
      <c r="C62" s="25" t="s">
        <v>129</v>
      </c>
      <c r="D62" s="5" t="s">
        <v>130</v>
      </c>
      <c r="E62" s="6">
        <v>81897719002</v>
      </c>
      <c r="F62" s="7">
        <v>623</v>
      </c>
      <c r="G62" s="7">
        <f t="shared" si="0"/>
        <v>6230</v>
      </c>
      <c r="H62" s="8" t="s">
        <v>10</v>
      </c>
    </row>
    <row r="63" spans="1:8" s="9" customFormat="1" ht="24.95" customHeight="1" x14ac:dyDescent="0.25">
      <c r="A63" s="2">
        <v>62</v>
      </c>
      <c r="B63" s="26">
        <v>5</v>
      </c>
      <c r="C63" s="25" t="s">
        <v>131</v>
      </c>
      <c r="D63" s="5" t="s">
        <v>132</v>
      </c>
      <c r="E63" s="6">
        <v>81897719002</v>
      </c>
      <c r="F63" s="7">
        <v>1122</v>
      </c>
      <c r="G63" s="7">
        <f t="shared" si="0"/>
        <v>5610</v>
      </c>
      <c r="H63" s="8" t="s">
        <v>10</v>
      </c>
    </row>
    <row r="64" spans="1:8" s="9" customFormat="1" ht="24.95" customHeight="1" x14ac:dyDescent="0.25">
      <c r="A64" s="2">
        <v>63</v>
      </c>
      <c r="B64" s="26">
        <v>5</v>
      </c>
      <c r="C64" s="25" t="s">
        <v>133</v>
      </c>
      <c r="D64" s="5" t="s">
        <v>134</v>
      </c>
      <c r="E64" s="6">
        <v>81897719002</v>
      </c>
      <c r="F64" s="7">
        <v>1153</v>
      </c>
      <c r="G64" s="7">
        <f t="shared" si="0"/>
        <v>5765</v>
      </c>
      <c r="H64" s="8" t="s">
        <v>10</v>
      </c>
    </row>
    <row r="65" spans="1:8" s="9" customFormat="1" ht="24.95" customHeight="1" x14ac:dyDescent="0.25">
      <c r="A65" s="2">
        <v>64</v>
      </c>
      <c r="B65" s="26">
        <v>5</v>
      </c>
      <c r="C65" s="25" t="s">
        <v>135</v>
      </c>
      <c r="D65" s="5" t="s">
        <v>136</v>
      </c>
      <c r="E65" s="6">
        <v>81897719002</v>
      </c>
      <c r="F65" s="7">
        <v>1122</v>
      </c>
      <c r="G65" s="7">
        <f t="shared" si="0"/>
        <v>5610</v>
      </c>
      <c r="H65" s="8" t="s">
        <v>10</v>
      </c>
    </row>
    <row r="66" spans="1:8" s="9" customFormat="1" ht="24.95" customHeight="1" x14ac:dyDescent="0.25">
      <c r="A66" s="2">
        <v>65</v>
      </c>
      <c r="B66" s="26">
        <v>5</v>
      </c>
      <c r="C66" s="25" t="s">
        <v>137</v>
      </c>
      <c r="D66" s="5" t="s">
        <v>138</v>
      </c>
      <c r="E66" s="6">
        <v>81897719002</v>
      </c>
      <c r="F66" s="7">
        <v>1215</v>
      </c>
      <c r="G66" s="7">
        <f t="shared" si="0"/>
        <v>6075</v>
      </c>
      <c r="H66" s="8" t="s">
        <v>10</v>
      </c>
    </row>
    <row r="67" spans="1:8" s="9" customFormat="1" ht="24.95" customHeight="1" x14ac:dyDescent="0.25">
      <c r="A67" s="2">
        <v>66</v>
      </c>
      <c r="B67" s="26">
        <v>10</v>
      </c>
      <c r="C67" s="25" t="s">
        <v>139</v>
      </c>
      <c r="D67" s="5" t="s">
        <v>140</v>
      </c>
      <c r="E67" s="6">
        <v>81897719002</v>
      </c>
      <c r="F67" s="7">
        <v>124</v>
      </c>
      <c r="G67" s="7">
        <f t="shared" ref="G67:G100" si="1">F67*B67</f>
        <v>1240</v>
      </c>
      <c r="H67" s="8" t="s">
        <v>10</v>
      </c>
    </row>
    <row r="68" spans="1:8" s="9" customFormat="1" ht="24.95" customHeight="1" x14ac:dyDescent="0.25">
      <c r="A68" s="2">
        <v>67</v>
      </c>
      <c r="B68" s="26">
        <v>10</v>
      </c>
      <c r="C68" s="25" t="s">
        <v>141</v>
      </c>
      <c r="D68" s="5" t="s">
        <v>142</v>
      </c>
      <c r="E68" s="6">
        <v>81897719002</v>
      </c>
      <c r="F68" s="7">
        <v>124</v>
      </c>
      <c r="G68" s="7">
        <f t="shared" si="1"/>
        <v>1240</v>
      </c>
      <c r="H68" s="8" t="s">
        <v>10</v>
      </c>
    </row>
    <row r="69" spans="1:8" s="9" customFormat="1" ht="24.95" customHeight="1" x14ac:dyDescent="0.25">
      <c r="A69" s="2">
        <v>68</v>
      </c>
      <c r="B69" s="26">
        <v>10</v>
      </c>
      <c r="C69" s="25" t="s">
        <v>143</v>
      </c>
      <c r="D69" s="5" t="s">
        <v>144</v>
      </c>
      <c r="E69" s="6">
        <v>81897719002</v>
      </c>
      <c r="F69" s="7">
        <v>124</v>
      </c>
      <c r="G69" s="7">
        <f t="shared" si="1"/>
        <v>1240</v>
      </c>
      <c r="H69" s="8" t="s">
        <v>10</v>
      </c>
    </row>
    <row r="70" spans="1:8" s="9" customFormat="1" ht="24.95" customHeight="1" x14ac:dyDescent="0.25">
      <c r="A70" s="2">
        <v>69</v>
      </c>
      <c r="B70" s="26">
        <v>10</v>
      </c>
      <c r="C70" s="25" t="s">
        <v>145</v>
      </c>
      <c r="D70" s="5" t="s">
        <v>146</v>
      </c>
      <c r="E70" s="6">
        <v>81897719002</v>
      </c>
      <c r="F70" s="7">
        <v>124</v>
      </c>
      <c r="G70" s="7">
        <f t="shared" si="1"/>
        <v>1240</v>
      </c>
      <c r="H70" s="8" t="s">
        <v>10</v>
      </c>
    </row>
    <row r="71" spans="1:8" s="9" customFormat="1" ht="24.95" customHeight="1" x14ac:dyDescent="0.25">
      <c r="A71" s="2">
        <v>70</v>
      </c>
      <c r="B71" s="26">
        <v>10</v>
      </c>
      <c r="C71" s="25" t="s">
        <v>147</v>
      </c>
      <c r="D71" s="5" t="s">
        <v>148</v>
      </c>
      <c r="E71" s="6">
        <v>81897719002</v>
      </c>
      <c r="F71" s="7">
        <v>124</v>
      </c>
      <c r="G71" s="7">
        <f t="shared" si="1"/>
        <v>1240</v>
      </c>
      <c r="H71" s="8" t="s">
        <v>10</v>
      </c>
    </row>
    <row r="72" spans="1:8" s="9" customFormat="1" ht="24.95" customHeight="1" x14ac:dyDescent="0.25">
      <c r="A72" s="2">
        <v>71</v>
      </c>
      <c r="B72" s="26">
        <v>10</v>
      </c>
      <c r="C72" s="25" t="s">
        <v>149</v>
      </c>
      <c r="D72" s="5" t="s">
        <v>150</v>
      </c>
      <c r="E72" s="6">
        <v>81897719002</v>
      </c>
      <c r="F72" s="7">
        <v>187</v>
      </c>
      <c r="G72" s="7">
        <f t="shared" si="1"/>
        <v>1870</v>
      </c>
      <c r="H72" s="8" t="s">
        <v>10</v>
      </c>
    </row>
    <row r="73" spans="1:8" s="9" customFormat="1" ht="24.95" customHeight="1" x14ac:dyDescent="0.25">
      <c r="A73" s="2">
        <v>72</v>
      </c>
      <c r="B73" s="26">
        <v>10</v>
      </c>
      <c r="C73" s="25" t="s">
        <v>151</v>
      </c>
      <c r="D73" s="5" t="s">
        <v>152</v>
      </c>
      <c r="E73" s="6">
        <v>81897719002</v>
      </c>
      <c r="F73" s="7">
        <v>187</v>
      </c>
      <c r="G73" s="7">
        <f t="shared" si="1"/>
        <v>1870</v>
      </c>
      <c r="H73" s="8" t="s">
        <v>10</v>
      </c>
    </row>
    <row r="74" spans="1:8" s="9" customFormat="1" ht="24.95" customHeight="1" x14ac:dyDescent="0.25">
      <c r="A74" s="2">
        <v>73</v>
      </c>
      <c r="B74" s="26">
        <v>10</v>
      </c>
      <c r="C74" s="25" t="s">
        <v>153</v>
      </c>
      <c r="D74" s="5" t="s">
        <v>154</v>
      </c>
      <c r="E74" s="6">
        <v>81897719002</v>
      </c>
      <c r="F74" s="7">
        <v>187</v>
      </c>
      <c r="G74" s="7">
        <f t="shared" si="1"/>
        <v>1870</v>
      </c>
      <c r="H74" s="8" t="s">
        <v>10</v>
      </c>
    </row>
    <row r="75" spans="1:8" s="9" customFormat="1" ht="24.95" customHeight="1" x14ac:dyDescent="0.25">
      <c r="A75" s="2">
        <v>74</v>
      </c>
      <c r="B75" s="26">
        <v>10</v>
      </c>
      <c r="C75" s="25" t="s">
        <v>155</v>
      </c>
      <c r="D75" s="5" t="s">
        <v>156</v>
      </c>
      <c r="E75" s="6">
        <v>81897719002</v>
      </c>
      <c r="F75" s="7">
        <v>187</v>
      </c>
      <c r="G75" s="7">
        <f t="shared" si="1"/>
        <v>1870</v>
      </c>
      <c r="H75" s="8" t="s">
        <v>10</v>
      </c>
    </row>
    <row r="76" spans="1:8" s="9" customFormat="1" ht="24.95" customHeight="1" x14ac:dyDescent="0.25">
      <c r="A76" s="2">
        <v>75</v>
      </c>
      <c r="B76" s="26">
        <v>10</v>
      </c>
      <c r="C76" s="25" t="s">
        <v>157</v>
      </c>
      <c r="D76" s="5" t="s">
        <v>158</v>
      </c>
      <c r="E76" s="6">
        <v>81897719002</v>
      </c>
      <c r="F76" s="7">
        <v>187</v>
      </c>
      <c r="G76" s="7">
        <f t="shared" si="1"/>
        <v>1870</v>
      </c>
      <c r="H76" s="8" t="s">
        <v>10</v>
      </c>
    </row>
    <row r="77" spans="1:8" s="9" customFormat="1" ht="24.95" customHeight="1" x14ac:dyDescent="0.25">
      <c r="A77" s="2">
        <v>76</v>
      </c>
      <c r="B77" s="26">
        <v>5</v>
      </c>
      <c r="C77" s="25" t="s">
        <v>159</v>
      </c>
      <c r="D77" s="5" t="s">
        <v>160</v>
      </c>
      <c r="E77" s="6">
        <v>81897719002</v>
      </c>
      <c r="F77" s="7">
        <v>124</v>
      </c>
      <c r="G77" s="7">
        <f t="shared" si="1"/>
        <v>620</v>
      </c>
      <c r="H77" s="8" t="s">
        <v>10</v>
      </c>
    </row>
    <row r="78" spans="1:8" s="9" customFormat="1" ht="24.95" customHeight="1" x14ac:dyDescent="0.25">
      <c r="A78" s="2">
        <v>77</v>
      </c>
      <c r="B78" s="26">
        <v>5</v>
      </c>
      <c r="C78" s="25" t="s">
        <v>161</v>
      </c>
      <c r="D78" s="5" t="s">
        <v>162</v>
      </c>
      <c r="E78" s="6">
        <v>81897719002</v>
      </c>
      <c r="F78" s="7">
        <v>124</v>
      </c>
      <c r="G78" s="7">
        <f t="shared" si="1"/>
        <v>620</v>
      </c>
      <c r="H78" s="8" t="s">
        <v>10</v>
      </c>
    </row>
    <row r="79" spans="1:8" s="9" customFormat="1" ht="24.95" customHeight="1" x14ac:dyDescent="0.25">
      <c r="A79" s="2">
        <v>78</v>
      </c>
      <c r="B79" s="26">
        <v>5</v>
      </c>
      <c r="C79" s="25" t="s">
        <v>163</v>
      </c>
      <c r="D79" s="5" t="s">
        <v>164</v>
      </c>
      <c r="E79" s="6">
        <v>81897719002</v>
      </c>
      <c r="F79" s="7">
        <v>124</v>
      </c>
      <c r="G79" s="7">
        <f t="shared" si="1"/>
        <v>620</v>
      </c>
      <c r="H79" s="8" t="s">
        <v>10</v>
      </c>
    </row>
    <row r="80" spans="1:8" s="9" customFormat="1" ht="24.95" customHeight="1" x14ac:dyDescent="0.25">
      <c r="A80" s="2">
        <v>79</v>
      </c>
      <c r="B80" s="26">
        <v>5</v>
      </c>
      <c r="C80" s="25" t="s">
        <v>165</v>
      </c>
      <c r="D80" s="5" t="s">
        <v>166</v>
      </c>
      <c r="E80" s="6">
        <v>81897719002</v>
      </c>
      <c r="F80" s="7">
        <v>124</v>
      </c>
      <c r="G80" s="7">
        <f t="shared" si="1"/>
        <v>620</v>
      </c>
      <c r="H80" s="8" t="s">
        <v>10</v>
      </c>
    </row>
    <row r="81" spans="1:8" s="9" customFormat="1" ht="24.95" customHeight="1" x14ac:dyDescent="0.25">
      <c r="A81" s="2">
        <v>80</v>
      </c>
      <c r="B81" s="26">
        <v>5</v>
      </c>
      <c r="C81" s="25" t="s">
        <v>167</v>
      </c>
      <c r="D81" s="5" t="s">
        <v>168</v>
      </c>
      <c r="E81" s="6">
        <v>81897719002</v>
      </c>
      <c r="F81" s="7">
        <v>124</v>
      </c>
      <c r="G81" s="7">
        <f t="shared" si="1"/>
        <v>620</v>
      </c>
      <c r="H81" s="8" t="s">
        <v>10</v>
      </c>
    </row>
    <row r="82" spans="1:8" s="9" customFormat="1" ht="24.95" customHeight="1" x14ac:dyDescent="0.25">
      <c r="A82" s="2">
        <v>81</v>
      </c>
      <c r="B82" s="26">
        <v>5</v>
      </c>
      <c r="C82" s="25" t="s">
        <v>169</v>
      </c>
      <c r="D82" s="5" t="s">
        <v>170</v>
      </c>
      <c r="E82" s="6">
        <v>81897719002</v>
      </c>
      <c r="F82" s="7">
        <v>124</v>
      </c>
      <c r="G82" s="7">
        <f t="shared" si="1"/>
        <v>620</v>
      </c>
      <c r="H82" s="8" t="s">
        <v>10</v>
      </c>
    </row>
    <row r="83" spans="1:8" s="9" customFormat="1" ht="24.95" customHeight="1" x14ac:dyDescent="0.25">
      <c r="A83" s="2">
        <v>82</v>
      </c>
      <c r="B83" s="26">
        <v>5</v>
      </c>
      <c r="C83" s="25" t="s">
        <v>171</v>
      </c>
      <c r="D83" s="5" t="s">
        <v>172</v>
      </c>
      <c r="E83" s="6">
        <v>81897719002</v>
      </c>
      <c r="F83" s="7">
        <v>124</v>
      </c>
      <c r="G83" s="7">
        <f t="shared" si="1"/>
        <v>620</v>
      </c>
      <c r="H83" s="8" t="s">
        <v>10</v>
      </c>
    </row>
    <row r="84" spans="1:8" s="9" customFormat="1" ht="24.95" customHeight="1" x14ac:dyDescent="0.25">
      <c r="A84" s="2">
        <v>83</v>
      </c>
      <c r="B84" s="26">
        <v>5</v>
      </c>
      <c r="C84" s="25" t="s">
        <v>173</v>
      </c>
      <c r="D84" s="5" t="s">
        <v>174</v>
      </c>
      <c r="E84" s="6">
        <v>81897719002</v>
      </c>
      <c r="F84" s="7">
        <v>124</v>
      </c>
      <c r="G84" s="7">
        <f t="shared" si="1"/>
        <v>620</v>
      </c>
      <c r="H84" s="8" t="s">
        <v>10</v>
      </c>
    </row>
    <row r="85" spans="1:8" s="9" customFormat="1" ht="24.95" customHeight="1" x14ac:dyDescent="0.25">
      <c r="A85" s="2">
        <v>84</v>
      </c>
      <c r="B85" s="26">
        <v>5</v>
      </c>
      <c r="C85" s="25" t="s">
        <v>175</v>
      </c>
      <c r="D85" s="5" t="s">
        <v>176</v>
      </c>
      <c r="E85" s="6">
        <v>81897719002</v>
      </c>
      <c r="F85" s="7">
        <v>124</v>
      </c>
      <c r="G85" s="7">
        <f t="shared" si="1"/>
        <v>620</v>
      </c>
      <c r="H85" s="8" t="s">
        <v>10</v>
      </c>
    </row>
    <row r="86" spans="1:8" s="9" customFormat="1" ht="24.95" customHeight="1" x14ac:dyDescent="0.25">
      <c r="A86" s="2">
        <v>85</v>
      </c>
      <c r="B86" s="26">
        <v>5</v>
      </c>
      <c r="C86" s="25" t="s">
        <v>177</v>
      </c>
      <c r="D86" s="5" t="s">
        <v>178</v>
      </c>
      <c r="E86" s="6">
        <v>81897719002</v>
      </c>
      <c r="F86" s="7">
        <v>124</v>
      </c>
      <c r="G86" s="7">
        <f t="shared" si="1"/>
        <v>620</v>
      </c>
      <c r="H86" s="8" t="s">
        <v>10</v>
      </c>
    </row>
    <row r="87" spans="1:8" s="9" customFormat="1" ht="24.95" customHeight="1" x14ac:dyDescent="0.25">
      <c r="A87" s="2">
        <v>86</v>
      </c>
      <c r="B87" s="26">
        <v>100</v>
      </c>
      <c r="C87" s="25" t="s">
        <v>179</v>
      </c>
      <c r="D87" s="5" t="s">
        <v>180</v>
      </c>
      <c r="E87" s="6">
        <v>81897719002</v>
      </c>
      <c r="F87" s="7">
        <v>124</v>
      </c>
      <c r="G87" s="7">
        <f t="shared" si="1"/>
        <v>12400</v>
      </c>
      <c r="H87" s="8" t="s">
        <v>10</v>
      </c>
    </row>
    <row r="88" spans="1:8" s="9" customFormat="1" ht="24.95" customHeight="1" x14ac:dyDescent="0.25">
      <c r="A88" s="2">
        <v>87</v>
      </c>
      <c r="B88" s="26">
        <v>20</v>
      </c>
      <c r="C88" s="25" t="s">
        <v>181</v>
      </c>
      <c r="D88" s="5" t="s">
        <v>182</v>
      </c>
      <c r="E88" s="6">
        <v>81897719002</v>
      </c>
      <c r="F88" s="7">
        <v>311</v>
      </c>
      <c r="G88" s="7">
        <f t="shared" si="1"/>
        <v>6220</v>
      </c>
      <c r="H88" s="8" t="s">
        <v>10</v>
      </c>
    </row>
    <row r="89" spans="1:8" s="9" customFormat="1" ht="24.95" customHeight="1" x14ac:dyDescent="0.25">
      <c r="A89" s="2">
        <v>88</v>
      </c>
      <c r="B89" s="3">
        <v>10</v>
      </c>
      <c r="C89" s="4" t="s">
        <v>183</v>
      </c>
      <c r="D89" s="5" t="s">
        <v>184</v>
      </c>
      <c r="E89" s="6">
        <v>81897710012</v>
      </c>
      <c r="F89" s="7">
        <v>1236</v>
      </c>
      <c r="G89" s="7">
        <f t="shared" si="1"/>
        <v>12360</v>
      </c>
      <c r="H89" s="8" t="s">
        <v>10</v>
      </c>
    </row>
    <row r="90" spans="1:8" s="9" customFormat="1" ht="24.95" customHeight="1" x14ac:dyDescent="0.25">
      <c r="A90" s="2">
        <v>89</v>
      </c>
      <c r="B90" s="3">
        <v>10</v>
      </c>
      <c r="C90" s="4" t="s">
        <v>185</v>
      </c>
      <c r="D90" s="5" t="s">
        <v>186</v>
      </c>
      <c r="E90" s="6">
        <v>81897710001</v>
      </c>
      <c r="F90" s="7">
        <v>398</v>
      </c>
      <c r="G90" s="7">
        <f t="shared" si="1"/>
        <v>3980</v>
      </c>
      <c r="H90" s="8" t="s">
        <v>10</v>
      </c>
    </row>
    <row r="91" spans="1:8" s="9" customFormat="1" ht="24.95" customHeight="1" x14ac:dyDescent="0.25">
      <c r="A91" s="2">
        <v>90</v>
      </c>
      <c r="B91" s="26">
        <v>20</v>
      </c>
      <c r="C91" s="25" t="s">
        <v>187</v>
      </c>
      <c r="D91" s="5" t="s">
        <v>188</v>
      </c>
      <c r="E91" s="6" t="s">
        <v>189</v>
      </c>
      <c r="F91" s="7">
        <v>800</v>
      </c>
      <c r="G91" s="7">
        <f t="shared" si="1"/>
        <v>16000</v>
      </c>
      <c r="H91" s="8" t="s">
        <v>10</v>
      </c>
    </row>
    <row r="92" spans="1:8" s="9" customFormat="1" ht="24.95" customHeight="1" x14ac:dyDescent="0.25">
      <c r="A92" s="2">
        <v>91</v>
      </c>
      <c r="B92" s="26">
        <v>20</v>
      </c>
      <c r="C92" s="25" t="s">
        <v>190</v>
      </c>
      <c r="D92" s="5" t="s">
        <v>191</v>
      </c>
      <c r="E92" s="6" t="s">
        <v>189</v>
      </c>
      <c r="F92" s="7">
        <v>900</v>
      </c>
      <c r="G92" s="7">
        <f t="shared" si="1"/>
        <v>18000</v>
      </c>
      <c r="H92" s="8" t="s">
        <v>10</v>
      </c>
    </row>
    <row r="93" spans="1:8" s="9" customFormat="1" ht="24.95" customHeight="1" x14ac:dyDescent="0.25">
      <c r="A93" s="2">
        <v>92</v>
      </c>
      <c r="B93" s="26">
        <v>20</v>
      </c>
      <c r="C93" s="25" t="s">
        <v>192</v>
      </c>
      <c r="D93" s="5" t="s">
        <v>193</v>
      </c>
      <c r="E93" s="6" t="s">
        <v>189</v>
      </c>
      <c r="F93" s="7">
        <v>980</v>
      </c>
      <c r="G93" s="7">
        <f t="shared" si="1"/>
        <v>19600</v>
      </c>
      <c r="H93" s="8" t="s">
        <v>10</v>
      </c>
    </row>
    <row r="94" spans="1:8" s="9" customFormat="1" ht="24.95" customHeight="1" x14ac:dyDescent="0.25">
      <c r="A94" s="2">
        <v>93</v>
      </c>
      <c r="B94" s="26">
        <v>20</v>
      </c>
      <c r="C94" s="25" t="s">
        <v>194</v>
      </c>
      <c r="D94" s="5" t="s">
        <v>195</v>
      </c>
      <c r="E94" s="6">
        <v>81897719002</v>
      </c>
      <c r="F94" s="7">
        <v>280</v>
      </c>
      <c r="G94" s="7">
        <f t="shared" si="1"/>
        <v>5600</v>
      </c>
      <c r="H94" s="8" t="s">
        <v>10</v>
      </c>
    </row>
    <row r="95" spans="1:8" s="9" customFormat="1" ht="24.95" customHeight="1" x14ac:dyDescent="0.25">
      <c r="A95" s="2">
        <v>94</v>
      </c>
      <c r="B95" s="26">
        <v>20</v>
      </c>
      <c r="C95" s="25" t="s">
        <v>196</v>
      </c>
      <c r="D95" s="5" t="s">
        <v>197</v>
      </c>
      <c r="E95" s="6">
        <v>81897719002</v>
      </c>
      <c r="F95" s="7">
        <v>290</v>
      </c>
      <c r="G95" s="7">
        <f t="shared" si="1"/>
        <v>5800</v>
      </c>
      <c r="H95" s="8" t="s">
        <v>10</v>
      </c>
    </row>
    <row r="96" spans="1:8" s="9" customFormat="1" ht="24.95" customHeight="1" x14ac:dyDescent="0.25">
      <c r="A96" s="2">
        <v>95</v>
      </c>
      <c r="B96" s="26">
        <v>20</v>
      </c>
      <c r="C96" s="25" t="s">
        <v>198</v>
      </c>
      <c r="D96" s="5" t="s">
        <v>199</v>
      </c>
      <c r="E96" s="6">
        <v>81897719002</v>
      </c>
      <c r="F96" s="7">
        <v>285</v>
      </c>
      <c r="G96" s="7">
        <f t="shared" si="1"/>
        <v>5700</v>
      </c>
      <c r="H96" s="8" t="s">
        <v>10</v>
      </c>
    </row>
    <row r="97" spans="1:18" s="9" customFormat="1" ht="24.95" customHeight="1" x14ac:dyDescent="0.25">
      <c r="A97" s="2">
        <v>96</v>
      </c>
      <c r="B97" s="26">
        <v>20</v>
      </c>
      <c r="C97" s="25" t="s">
        <v>200</v>
      </c>
      <c r="D97" s="5" t="s">
        <v>201</v>
      </c>
      <c r="E97" s="6">
        <v>81897719002</v>
      </c>
      <c r="F97" s="7">
        <v>250</v>
      </c>
      <c r="G97" s="7">
        <f t="shared" si="1"/>
        <v>5000</v>
      </c>
      <c r="H97" s="8" t="s">
        <v>10</v>
      </c>
    </row>
    <row r="98" spans="1:18" s="9" customFormat="1" ht="24.95" customHeight="1" x14ac:dyDescent="0.25">
      <c r="A98" s="2">
        <v>97</v>
      </c>
      <c r="B98" s="26">
        <v>25</v>
      </c>
      <c r="C98" s="25" t="s">
        <v>202</v>
      </c>
      <c r="D98" s="5" t="s">
        <v>294</v>
      </c>
      <c r="E98" s="6">
        <v>81897719002</v>
      </c>
      <c r="F98" s="7">
        <v>174</v>
      </c>
      <c r="G98" s="7">
        <f t="shared" si="1"/>
        <v>4350</v>
      </c>
      <c r="H98" s="8" t="s">
        <v>10</v>
      </c>
    </row>
    <row r="99" spans="1:18" s="9" customFormat="1" ht="24.95" customHeight="1" x14ac:dyDescent="0.25">
      <c r="A99" s="2">
        <v>98</v>
      </c>
      <c r="B99" s="3">
        <v>6</v>
      </c>
      <c r="C99" s="4" t="s">
        <v>203</v>
      </c>
      <c r="D99" s="5" t="s">
        <v>204</v>
      </c>
      <c r="E99" s="6" t="s">
        <v>205</v>
      </c>
      <c r="F99" s="7">
        <v>1400</v>
      </c>
      <c r="G99" s="7">
        <f t="shared" si="1"/>
        <v>8400</v>
      </c>
      <c r="H99" s="8" t="s">
        <v>10</v>
      </c>
    </row>
    <row r="100" spans="1:18" s="9" customFormat="1" ht="24.95" customHeight="1" x14ac:dyDescent="0.25">
      <c r="A100" s="2">
        <v>99</v>
      </c>
      <c r="B100" s="3">
        <v>5</v>
      </c>
      <c r="C100" s="4" t="s">
        <v>206</v>
      </c>
      <c r="D100" s="5" t="s">
        <v>207</v>
      </c>
      <c r="E100" s="6" t="s">
        <v>205</v>
      </c>
      <c r="F100" s="7">
        <v>850</v>
      </c>
      <c r="G100" s="7">
        <f t="shared" si="1"/>
        <v>4250</v>
      </c>
      <c r="H100" s="8" t="s">
        <v>10</v>
      </c>
    </row>
    <row r="101" spans="1:18" ht="23.25" customHeight="1" x14ac:dyDescent="0.2">
      <c r="G101" s="15">
        <f>SUM(G2:G100)</f>
        <v>625381</v>
      </c>
    </row>
    <row r="102" spans="1:18" ht="19.5" customHeight="1" x14ac:dyDescent="0.2">
      <c r="D102" s="13" t="s">
        <v>208</v>
      </c>
      <c r="H102" s="11"/>
    </row>
    <row r="103" spans="1:18" s="11" customFormat="1" ht="12.75" x14ac:dyDescent="0.2">
      <c r="A103" s="9"/>
      <c r="C103" s="12"/>
      <c r="D103" s="17"/>
      <c r="F103" s="14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</row>
    <row r="104" spans="1:18" s="11" customFormat="1" ht="12.75" x14ac:dyDescent="0.2">
      <c r="A104" s="9"/>
      <c r="C104" s="12"/>
      <c r="D104" s="24" t="s">
        <v>209</v>
      </c>
      <c r="F104" s="14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</row>
    <row r="105" spans="1:18" s="11" customFormat="1" ht="42.75" customHeight="1" x14ac:dyDescent="0.2">
      <c r="A105" s="9"/>
      <c r="C105" s="12"/>
      <c r="D105" s="17"/>
      <c r="F105" s="14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</row>
    <row r="106" spans="1:18" s="11" customFormat="1" ht="19.5" customHeight="1" x14ac:dyDescent="0.2">
      <c r="A106" s="9"/>
      <c r="C106" s="12"/>
      <c r="D106" s="18"/>
      <c r="F106" s="14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</row>
    <row r="107" spans="1:18" s="11" customFormat="1" ht="12.75" x14ac:dyDescent="0.2">
      <c r="A107" s="9"/>
      <c r="C107" s="12"/>
      <c r="D107" s="19"/>
      <c r="F107" s="14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</row>
    <row r="108" spans="1:18" s="11" customFormat="1" ht="12.75" x14ac:dyDescent="0.2">
      <c r="A108" s="9"/>
      <c r="C108" s="12"/>
      <c r="D108" s="17"/>
      <c r="F108" s="14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42BE-AEBA-4704-BCDA-B5DC8FECDD0F}">
  <dimension ref="A1:D91"/>
  <sheetViews>
    <sheetView tabSelected="1" topLeftCell="A21" workbookViewId="0">
      <selection activeCell="F25" sqref="F25"/>
    </sheetView>
  </sheetViews>
  <sheetFormatPr defaultRowHeight="15" x14ac:dyDescent="0.25"/>
  <cols>
    <col min="1" max="1" width="13.28515625" customWidth="1"/>
    <col min="2" max="2" width="43.42578125" customWidth="1"/>
    <col min="3" max="3" width="13.42578125" customWidth="1"/>
    <col min="4" max="4" width="48.7109375" style="31" customWidth="1"/>
    <col min="5" max="6" width="20.28515625" customWidth="1"/>
  </cols>
  <sheetData>
    <row r="1" spans="1:4" x14ac:dyDescent="0.25">
      <c r="A1" s="25" t="s">
        <v>8</v>
      </c>
      <c r="B1" s="5" t="s">
        <v>9</v>
      </c>
      <c r="C1" t="s">
        <v>8</v>
      </c>
      <c r="D1" s="31" t="s">
        <v>211</v>
      </c>
    </row>
    <row r="2" spans="1:4" ht="25.5" x14ac:dyDescent="0.25">
      <c r="A2" s="25" t="s">
        <v>15</v>
      </c>
      <c r="B2" s="5" t="s">
        <v>16</v>
      </c>
      <c r="C2" t="s">
        <v>15</v>
      </c>
      <c r="D2" s="31" t="s">
        <v>212</v>
      </c>
    </row>
    <row r="3" spans="1:4" x14ac:dyDescent="0.25">
      <c r="A3" s="25" t="s">
        <v>17</v>
      </c>
      <c r="B3" s="5" t="s">
        <v>18</v>
      </c>
      <c r="C3" t="s">
        <v>17</v>
      </c>
      <c r="D3" s="31" t="s">
        <v>213</v>
      </c>
    </row>
    <row r="4" spans="1:4" ht="25.5" x14ac:dyDescent="0.25">
      <c r="A4" s="25" t="s">
        <v>19</v>
      </c>
      <c r="B4" s="5" t="s">
        <v>20</v>
      </c>
      <c r="C4" t="s">
        <v>19</v>
      </c>
      <c r="D4" s="31" t="s">
        <v>214</v>
      </c>
    </row>
    <row r="5" spans="1:4" x14ac:dyDescent="0.25">
      <c r="A5" s="25" t="s">
        <v>21</v>
      </c>
      <c r="B5" s="5" t="s">
        <v>22</v>
      </c>
      <c r="C5" t="s">
        <v>21</v>
      </c>
      <c r="D5" s="31" t="s">
        <v>215</v>
      </c>
    </row>
    <row r="6" spans="1:4" ht="25.5" x14ac:dyDescent="0.25">
      <c r="A6" s="25" t="s">
        <v>23</v>
      </c>
      <c r="B6" s="5" t="s">
        <v>24</v>
      </c>
      <c r="C6" t="s">
        <v>23</v>
      </c>
      <c r="D6" s="31" t="s">
        <v>216</v>
      </c>
    </row>
    <row r="7" spans="1:4" ht="38.25" x14ac:dyDescent="0.25">
      <c r="A7" s="25" t="s">
        <v>25</v>
      </c>
      <c r="B7" s="5" t="s">
        <v>26</v>
      </c>
      <c r="C7" t="s">
        <v>25</v>
      </c>
      <c r="D7" s="31" t="s">
        <v>217</v>
      </c>
    </row>
    <row r="8" spans="1:4" ht="63.75" x14ac:dyDescent="0.25">
      <c r="A8" s="25" t="s">
        <v>27</v>
      </c>
      <c r="B8" s="5" t="s">
        <v>28</v>
      </c>
      <c r="C8" t="s">
        <v>27</v>
      </c>
      <c r="D8" s="31" t="s">
        <v>218</v>
      </c>
    </row>
    <row r="9" spans="1:4" ht="25.5" x14ac:dyDescent="0.25">
      <c r="A9" s="25" t="s">
        <v>30</v>
      </c>
      <c r="B9" s="5" t="s">
        <v>31</v>
      </c>
      <c r="C9" t="s">
        <v>30</v>
      </c>
      <c r="D9" s="31" t="s">
        <v>219</v>
      </c>
    </row>
    <row r="10" spans="1:4" ht="25.5" x14ac:dyDescent="0.25">
      <c r="A10" s="25" t="s">
        <v>32</v>
      </c>
      <c r="B10" s="5" t="s">
        <v>33</v>
      </c>
      <c r="C10" t="s">
        <v>32</v>
      </c>
      <c r="D10" s="31" t="s">
        <v>220</v>
      </c>
    </row>
    <row r="11" spans="1:4" ht="25.5" x14ac:dyDescent="0.25">
      <c r="A11" s="25" t="s">
        <v>34</v>
      </c>
      <c r="B11" s="5" t="s">
        <v>35</v>
      </c>
      <c r="C11" t="s">
        <v>34</v>
      </c>
      <c r="D11" s="31" t="s">
        <v>221</v>
      </c>
    </row>
    <row r="12" spans="1:4" ht="25.5" x14ac:dyDescent="0.25">
      <c r="A12" s="25" t="s">
        <v>36</v>
      </c>
      <c r="B12" s="5" t="s">
        <v>37</v>
      </c>
      <c r="C12" t="s">
        <v>36</v>
      </c>
      <c r="D12" s="31" t="s">
        <v>222</v>
      </c>
    </row>
    <row r="13" spans="1:4" ht="25.5" x14ac:dyDescent="0.25">
      <c r="A13" s="25" t="s">
        <v>38</v>
      </c>
      <c r="B13" s="5" t="s">
        <v>39</v>
      </c>
      <c r="C13" t="s">
        <v>38</v>
      </c>
      <c r="D13" s="31" t="s">
        <v>223</v>
      </c>
    </row>
    <row r="14" spans="1:4" x14ac:dyDescent="0.25">
      <c r="A14" s="25" t="s">
        <v>40</v>
      </c>
      <c r="B14" s="5" t="s">
        <v>41</v>
      </c>
      <c r="C14" t="s">
        <v>40</v>
      </c>
      <c r="D14" s="31" t="s">
        <v>224</v>
      </c>
    </row>
    <row r="15" spans="1:4" x14ac:dyDescent="0.25">
      <c r="A15" s="25" t="s">
        <v>42</v>
      </c>
      <c r="B15" s="5" t="s">
        <v>43</v>
      </c>
      <c r="C15" t="s">
        <v>42</v>
      </c>
      <c r="D15" s="31" t="s">
        <v>225</v>
      </c>
    </row>
    <row r="16" spans="1:4" x14ac:dyDescent="0.25">
      <c r="A16" s="25" t="s">
        <v>44</v>
      </c>
      <c r="B16" s="5" t="s">
        <v>45</v>
      </c>
      <c r="C16" t="s">
        <v>44</v>
      </c>
      <c r="D16" s="31" t="s">
        <v>226</v>
      </c>
    </row>
    <row r="17" spans="1:4" x14ac:dyDescent="0.25">
      <c r="A17" s="25" t="s">
        <v>46</v>
      </c>
      <c r="B17" s="5" t="s">
        <v>47</v>
      </c>
      <c r="C17" t="s">
        <v>46</v>
      </c>
      <c r="D17" s="31" t="s">
        <v>227</v>
      </c>
    </row>
    <row r="18" spans="1:4" ht="25.5" x14ac:dyDescent="0.25">
      <c r="A18" s="25" t="s">
        <v>48</v>
      </c>
      <c r="B18" s="5" t="s">
        <v>49</v>
      </c>
      <c r="C18" t="s">
        <v>48</v>
      </c>
      <c r="D18" s="31" t="s">
        <v>228</v>
      </c>
    </row>
    <row r="19" spans="1:4" ht="25.5" x14ac:dyDescent="0.25">
      <c r="A19" s="25" t="s">
        <v>50</v>
      </c>
      <c r="B19" s="5" t="s">
        <v>51</v>
      </c>
      <c r="C19" t="s">
        <v>50</v>
      </c>
      <c r="D19" s="31" t="s">
        <v>229</v>
      </c>
    </row>
    <row r="20" spans="1:4" ht="25.5" x14ac:dyDescent="0.25">
      <c r="A20" s="25" t="s">
        <v>52</v>
      </c>
      <c r="B20" s="5" t="s">
        <v>53</v>
      </c>
      <c r="C20" t="s">
        <v>52</v>
      </c>
      <c r="D20" s="31" t="s">
        <v>230</v>
      </c>
    </row>
    <row r="21" spans="1:4" ht="25.5" x14ac:dyDescent="0.25">
      <c r="A21" s="25" t="s">
        <v>54</v>
      </c>
      <c r="B21" s="5" t="s">
        <v>55</v>
      </c>
      <c r="C21" t="s">
        <v>54</v>
      </c>
      <c r="D21" s="31" t="s">
        <v>231</v>
      </c>
    </row>
    <row r="22" spans="1:4" x14ac:dyDescent="0.25">
      <c r="A22" s="25" t="s">
        <v>56</v>
      </c>
      <c r="B22" s="5" t="s">
        <v>293</v>
      </c>
      <c r="C22" t="s">
        <v>210</v>
      </c>
      <c r="D22" s="32" t="s">
        <v>232</v>
      </c>
    </row>
    <row r="23" spans="1:4" ht="51" x14ac:dyDescent="0.25">
      <c r="A23" s="25" t="s">
        <v>57</v>
      </c>
      <c r="B23" s="5" t="s">
        <v>58</v>
      </c>
      <c r="C23" t="s">
        <v>57</v>
      </c>
      <c r="D23" s="31" t="s">
        <v>233</v>
      </c>
    </row>
    <row r="24" spans="1:4" ht="38.25" x14ac:dyDescent="0.25">
      <c r="A24" s="25" t="s">
        <v>59</v>
      </c>
      <c r="B24" s="5" t="s">
        <v>60</v>
      </c>
      <c r="C24" t="s">
        <v>59</v>
      </c>
      <c r="D24" s="31" t="s">
        <v>234</v>
      </c>
    </row>
    <row r="25" spans="1:4" ht="25.5" x14ac:dyDescent="0.25">
      <c r="A25" s="25" t="s">
        <v>61</v>
      </c>
      <c r="B25" s="5" t="s">
        <v>62</v>
      </c>
      <c r="C25" t="s">
        <v>61</v>
      </c>
      <c r="D25" s="31" t="s">
        <v>62</v>
      </c>
    </row>
    <row r="26" spans="1:4" ht="30" x14ac:dyDescent="0.25">
      <c r="A26" s="25" t="s">
        <v>65</v>
      </c>
      <c r="B26" s="10" t="s">
        <v>66</v>
      </c>
      <c r="C26" t="s">
        <v>65</v>
      </c>
      <c r="D26" s="31" t="s">
        <v>66</v>
      </c>
    </row>
    <row r="27" spans="1:4" ht="38.25" x14ac:dyDescent="0.25">
      <c r="A27" s="25" t="s">
        <v>67</v>
      </c>
      <c r="B27" s="5" t="s">
        <v>68</v>
      </c>
      <c r="C27" t="s">
        <v>67</v>
      </c>
      <c r="D27" s="31" t="s">
        <v>235</v>
      </c>
    </row>
    <row r="28" spans="1:4" ht="25.5" x14ac:dyDescent="0.25">
      <c r="A28" s="25" t="s">
        <v>69</v>
      </c>
      <c r="B28" s="5" t="s">
        <v>70</v>
      </c>
      <c r="C28" t="s">
        <v>69</v>
      </c>
      <c r="D28" s="31" t="s">
        <v>236</v>
      </c>
    </row>
    <row r="29" spans="1:4" ht="25.5" x14ac:dyDescent="0.25">
      <c r="A29" s="25" t="s">
        <v>71</v>
      </c>
      <c r="B29" s="5" t="s">
        <v>72</v>
      </c>
      <c r="C29" t="s">
        <v>71</v>
      </c>
      <c r="D29" s="31" t="s">
        <v>237</v>
      </c>
    </row>
    <row r="30" spans="1:4" ht="25.5" x14ac:dyDescent="0.25">
      <c r="A30" s="25" t="s">
        <v>73</v>
      </c>
      <c r="B30" s="5" t="s">
        <v>74</v>
      </c>
      <c r="C30" t="s">
        <v>73</v>
      </c>
      <c r="D30" s="31" t="s">
        <v>238</v>
      </c>
    </row>
    <row r="31" spans="1:4" ht="25.5" x14ac:dyDescent="0.25">
      <c r="A31" s="25" t="s">
        <v>75</v>
      </c>
      <c r="B31" s="5" t="s">
        <v>76</v>
      </c>
      <c r="C31" t="s">
        <v>75</v>
      </c>
      <c r="D31" s="31" t="s">
        <v>239</v>
      </c>
    </row>
    <row r="32" spans="1:4" ht="25.5" x14ac:dyDescent="0.25">
      <c r="A32" s="25" t="s">
        <v>77</v>
      </c>
      <c r="B32" s="5" t="s">
        <v>78</v>
      </c>
      <c r="C32" t="s">
        <v>77</v>
      </c>
      <c r="D32" s="31" t="s">
        <v>240</v>
      </c>
    </row>
    <row r="33" spans="1:4" ht="25.5" x14ac:dyDescent="0.25">
      <c r="A33" s="25" t="s">
        <v>79</v>
      </c>
      <c r="B33" s="5" t="s">
        <v>80</v>
      </c>
      <c r="C33" t="s">
        <v>79</v>
      </c>
      <c r="D33" s="31" t="s">
        <v>241</v>
      </c>
    </row>
    <row r="34" spans="1:4" ht="25.5" x14ac:dyDescent="0.25">
      <c r="A34" s="25" t="s">
        <v>81</v>
      </c>
      <c r="B34" s="5" t="s">
        <v>82</v>
      </c>
      <c r="C34" t="s">
        <v>81</v>
      </c>
      <c r="D34" s="31" t="s">
        <v>242</v>
      </c>
    </row>
    <row r="35" spans="1:4" ht="38.25" x14ac:dyDescent="0.25">
      <c r="A35" s="25" t="s">
        <v>85</v>
      </c>
      <c r="B35" s="5" t="s">
        <v>86</v>
      </c>
      <c r="C35" t="s">
        <v>85</v>
      </c>
      <c r="D35" s="31" t="s">
        <v>86</v>
      </c>
    </row>
    <row r="36" spans="1:4" ht="38.25" x14ac:dyDescent="0.25">
      <c r="A36" s="25" t="s">
        <v>87</v>
      </c>
      <c r="B36" s="5" t="s">
        <v>88</v>
      </c>
      <c r="C36" t="s">
        <v>87</v>
      </c>
      <c r="D36" s="31" t="s">
        <v>243</v>
      </c>
    </row>
    <row r="37" spans="1:4" ht="38.25" x14ac:dyDescent="0.25">
      <c r="A37" s="25" t="s">
        <v>89</v>
      </c>
      <c r="B37" s="5" t="s">
        <v>90</v>
      </c>
      <c r="C37" t="s">
        <v>89</v>
      </c>
      <c r="D37" s="31" t="s">
        <v>90</v>
      </c>
    </row>
    <row r="38" spans="1:4" ht="38.25" x14ac:dyDescent="0.25">
      <c r="A38" s="25" t="s">
        <v>91</v>
      </c>
      <c r="B38" s="5" t="s">
        <v>92</v>
      </c>
      <c r="C38" t="s">
        <v>91</v>
      </c>
      <c r="D38" s="31" t="s">
        <v>92</v>
      </c>
    </row>
    <row r="39" spans="1:4" ht="38.25" x14ac:dyDescent="0.25">
      <c r="A39" s="25" t="s">
        <v>93</v>
      </c>
      <c r="B39" s="5" t="s">
        <v>94</v>
      </c>
      <c r="C39" t="s">
        <v>93</v>
      </c>
      <c r="D39" s="31" t="s">
        <v>244</v>
      </c>
    </row>
    <row r="40" spans="1:4" ht="25.5" x14ac:dyDescent="0.25">
      <c r="A40" s="25" t="s">
        <v>95</v>
      </c>
      <c r="B40" s="5" t="s">
        <v>96</v>
      </c>
      <c r="C40" t="s">
        <v>95</v>
      </c>
      <c r="D40" s="31" t="s">
        <v>245</v>
      </c>
    </row>
    <row r="41" spans="1:4" ht="25.5" x14ac:dyDescent="0.25">
      <c r="A41" s="25" t="s">
        <v>97</v>
      </c>
      <c r="B41" s="5" t="s">
        <v>98</v>
      </c>
      <c r="C41" t="s">
        <v>97</v>
      </c>
      <c r="D41" s="31" t="s">
        <v>246</v>
      </c>
    </row>
    <row r="42" spans="1:4" x14ac:dyDescent="0.25">
      <c r="A42" s="25" t="s">
        <v>99</v>
      </c>
      <c r="B42" s="5" t="s">
        <v>100</v>
      </c>
      <c r="C42" t="s">
        <v>99</v>
      </c>
      <c r="D42" s="31" t="s">
        <v>247</v>
      </c>
    </row>
    <row r="43" spans="1:4" x14ac:dyDescent="0.25">
      <c r="A43" s="25" t="s">
        <v>101</v>
      </c>
      <c r="B43" s="5" t="s">
        <v>102</v>
      </c>
      <c r="C43" t="s">
        <v>101</v>
      </c>
      <c r="D43" s="31" t="s">
        <v>248</v>
      </c>
    </row>
    <row r="44" spans="1:4" x14ac:dyDescent="0.25">
      <c r="A44" s="25" t="s">
        <v>103</v>
      </c>
      <c r="B44" s="5" t="s">
        <v>104</v>
      </c>
      <c r="C44" t="s">
        <v>103</v>
      </c>
      <c r="D44" s="31" t="s">
        <v>249</v>
      </c>
    </row>
    <row r="45" spans="1:4" ht="25.5" x14ac:dyDescent="0.25">
      <c r="A45" s="25" t="s">
        <v>105</v>
      </c>
      <c r="B45" s="5" t="s">
        <v>106</v>
      </c>
      <c r="C45" t="s">
        <v>105</v>
      </c>
      <c r="D45" s="31" t="s">
        <v>250</v>
      </c>
    </row>
    <row r="46" spans="1:4" ht="38.25" x14ac:dyDescent="0.25">
      <c r="A46" s="25" t="s">
        <v>107</v>
      </c>
      <c r="B46" s="5" t="s">
        <v>108</v>
      </c>
      <c r="C46" t="s">
        <v>107</v>
      </c>
      <c r="D46" s="31" t="s">
        <v>251</v>
      </c>
    </row>
    <row r="47" spans="1:4" ht="38.25" x14ac:dyDescent="0.25">
      <c r="A47" s="25" t="s">
        <v>109</v>
      </c>
      <c r="B47" s="5" t="s">
        <v>110</v>
      </c>
      <c r="C47" t="s">
        <v>109</v>
      </c>
      <c r="D47" s="31" t="s">
        <v>110</v>
      </c>
    </row>
    <row r="48" spans="1:4" x14ac:dyDescent="0.25">
      <c r="A48" s="25" t="s">
        <v>111</v>
      </c>
      <c r="B48" s="5" t="s">
        <v>112</v>
      </c>
      <c r="C48" t="s">
        <v>111</v>
      </c>
      <c r="D48" s="31" t="s">
        <v>252</v>
      </c>
    </row>
    <row r="49" spans="1:4" ht="25.5" x14ac:dyDescent="0.25">
      <c r="A49" s="25" t="s">
        <v>113</v>
      </c>
      <c r="B49" s="5" t="s">
        <v>114</v>
      </c>
      <c r="C49" t="s">
        <v>113</v>
      </c>
      <c r="D49" s="31" t="s">
        <v>253</v>
      </c>
    </row>
    <row r="50" spans="1:4" ht="25.5" x14ac:dyDescent="0.25">
      <c r="A50" s="25" t="s">
        <v>115</v>
      </c>
      <c r="B50" s="5" t="s">
        <v>116</v>
      </c>
      <c r="C50" t="s">
        <v>115</v>
      </c>
      <c r="D50" s="31" t="s">
        <v>254</v>
      </c>
    </row>
    <row r="51" spans="1:4" ht="25.5" x14ac:dyDescent="0.25">
      <c r="A51" s="25" t="s">
        <v>117</v>
      </c>
      <c r="B51" s="5" t="s">
        <v>118</v>
      </c>
      <c r="C51" t="s">
        <v>117</v>
      </c>
      <c r="D51" s="31" t="s">
        <v>255</v>
      </c>
    </row>
    <row r="52" spans="1:4" ht="38.25" x14ac:dyDescent="0.25">
      <c r="A52" s="25" t="s">
        <v>119</v>
      </c>
      <c r="B52" s="5" t="s">
        <v>120</v>
      </c>
      <c r="C52" t="s">
        <v>119</v>
      </c>
      <c r="D52" s="31" t="s">
        <v>256</v>
      </c>
    </row>
    <row r="53" spans="1:4" ht="38.25" x14ac:dyDescent="0.25">
      <c r="A53" s="25" t="s">
        <v>121</v>
      </c>
      <c r="B53" s="5" t="s">
        <v>122</v>
      </c>
      <c r="C53" t="s">
        <v>121</v>
      </c>
      <c r="D53" s="31" t="s">
        <v>257</v>
      </c>
    </row>
    <row r="54" spans="1:4" ht="38.25" x14ac:dyDescent="0.25">
      <c r="A54" s="25" t="s">
        <v>123</v>
      </c>
      <c r="B54" s="5" t="s">
        <v>124</v>
      </c>
      <c r="C54" t="s">
        <v>123</v>
      </c>
      <c r="D54" s="31" t="s">
        <v>258</v>
      </c>
    </row>
    <row r="55" spans="1:4" ht="25.5" x14ac:dyDescent="0.25">
      <c r="A55" s="25" t="s">
        <v>125</v>
      </c>
      <c r="B55" s="5" t="s">
        <v>126</v>
      </c>
      <c r="C55" t="s">
        <v>125</v>
      </c>
      <c r="D55" s="31" t="s">
        <v>259</v>
      </c>
    </row>
    <row r="56" spans="1:4" ht="25.5" x14ac:dyDescent="0.25">
      <c r="A56" s="25" t="s">
        <v>127</v>
      </c>
      <c r="B56" s="5" t="s">
        <v>128</v>
      </c>
      <c r="C56" t="s">
        <v>127</v>
      </c>
      <c r="D56" s="31" t="s">
        <v>260</v>
      </c>
    </row>
    <row r="57" spans="1:4" ht="25.5" x14ac:dyDescent="0.25">
      <c r="A57" s="25" t="s">
        <v>129</v>
      </c>
      <c r="B57" s="5" t="s">
        <v>130</v>
      </c>
      <c r="C57" t="s">
        <v>129</v>
      </c>
      <c r="D57" s="31" t="s">
        <v>261</v>
      </c>
    </row>
    <row r="58" spans="1:4" ht="51" x14ac:dyDescent="0.25">
      <c r="A58" s="25" t="s">
        <v>131</v>
      </c>
      <c r="B58" s="5" t="s">
        <v>132</v>
      </c>
      <c r="C58" t="s">
        <v>131</v>
      </c>
      <c r="D58" s="31" t="s">
        <v>262</v>
      </c>
    </row>
    <row r="59" spans="1:4" ht="25.5" x14ac:dyDescent="0.25">
      <c r="A59" s="25" t="s">
        <v>133</v>
      </c>
      <c r="B59" s="5" t="s">
        <v>134</v>
      </c>
      <c r="C59" t="s">
        <v>133</v>
      </c>
      <c r="D59" s="31" t="s">
        <v>263</v>
      </c>
    </row>
    <row r="60" spans="1:4" ht="38.25" x14ac:dyDescent="0.25">
      <c r="A60" s="25" t="s">
        <v>135</v>
      </c>
      <c r="B60" s="5" t="s">
        <v>136</v>
      </c>
      <c r="C60" t="s">
        <v>135</v>
      </c>
      <c r="D60" s="31" t="s">
        <v>264</v>
      </c>
    </row>
    <row r="61" spans="1:4" ht="38.25" x14ac:dyDescent="0.25">
      <c r="A61" s="25" t="s">
        <v>137</v>
      </c>
      <c r="B61" s="5" t="s">
        <v>138</v>
      </c>
      <c r="C61" t="s">
        <v>137</v>
      </c>
      <c r="D61" s="31" t="s">
        <v>265</v>
      </c>
    </row>
    <row r="62" spans="1:4" ht="25.5" x14ac:dyDescent="0.25">
      <c r="A62" s="25" t="s">
        <v>139</v>
      </c>
      <c r="B62" s="5" t="s">
        <v>140</v>
      </c>
      <c r="C62" t="s">
        <v>139</v>
      </c>
      <c r="D62" s="31" t="s">
        <v>266</v>
      </c>
    </row>
    <row r="63" spans="1:4" ht="25.5" x14ac:dyDescent="0.25">
      <c r="A63" s="25" t="s">
        <v>141</v>
      </c>
      <c r="B63" s="5" t="s">
        <v>142</v>
      </c>
      <c r="C63" t="s">
        <v>141</v>
      </c>
      <c r="D63" s="31" t="s">
        <v>267</v>
      </c>
    </row>
    <row r="64" spans="1:4" ht="25.5" x14ac:dyDescent="0.25">
      <c r="A64" s="25" t="s">
        <v>143</v>
      </c>
      <c r="B64" s="5" t="s">
        <v>144</v>
      </c>
      <c r="C64" t="s">
        <v>143</v>
      </c>
      <c r="D64" s="31" t="s">
        <v>268</v>
      </c>
    </row>
    <row r="65" spans="1:4" ht="25.5" x14ac:dyDescent="0.25">
      <c r="A65" s="25" t="s">
        <v>145</v>
      </c>
      <c r="B65" s="5" t="s">
        <v>146</v>
      </c>
      <c r="C65" t="s">
        <v>145</v>
      </c>
      <c r="D65" s="31" t="s">
        <v>269</v>
      </c>
    </row>
    <row r="66" spans="1:4" ht="25.5" x14ac:dyDescent="0.25">
      <c r="A66" s="25" t="s">
        <v>147</v>
      </c>
      <c r="B66" s="5" t="s">
        <v>148</v>
      </c>
      <c r="C66" t="s">
        <v>147</v>
      </c>
      <c r="D66" s="31" t="s">
        <v>270</v>
      </c>
    </row>
    <row r="67" spans="1:4" ht="25.5" x14ac:dyDescent="0.25">
      <c r="A67" s="25" t="s">
        <v>149</v>
      </c>
      <c r="B67" s="5" t="s">
        <v>150</v>
      </c>
      <c r="C67" t="s">
        <v>149</v>
      </c>
      <c r="D67" s="31" t="s">
        <v>271</v>
      </c>
    </row>
    <row r="68" spans="1:4" ht="25.5" x14ac:dyDescent="0.25">
      <c r="A68" s="25" t="s">
        <v>151</v>
      </c>
      <c r="B68" s="5" t="s">
        <v>152</v>
      </c>
      <c r="C68" t="s">
        <v>151</v>
      </c>
      <c r="D68" s="31" t="s">
        <v>272</v>
      </c>
    </row>
    <row r="69" spans="1:4" ht="25.5" x14ac:dyDescent="0.25">
      <c r="A69" s="25" t="s">
        <v>153</v>
      </c>
      <c r="B69" s="5" t="s">
        <v>154</v>
      </c>
      <c r="C69" t="s">
        <v>153</v>
      </c>
      <c r="D69" s="31" t="s">
        <v>273</v>
      </c>
    </row>
    <row r="70" spans="1:4" ht="25.5" x14ac:dyDescent="0.25">
      <c r="A70" s="25" t="s">
        <v>155</v>
      </c>
      <c r="B70" s="5" t="s">
        <v>156</v>
      </c>
      <c r="C70" t="s">
        <v>155</v>
      </c>
      <c r="D70" s="31" t="s">
        <v>274</v>
      </c>
    </row>
    <row r="71" spans="1:4" ht="25.5" x14ac:dyDescent="0.25">
      <c r="A71" s="25" t="s">
        <v>157</v>
      </c>
      <c r="B71" s="5" t="s">
        <v>158</v>
      </c>
      <c r="C71" t="s">
        <v>157</v>
      </c>
      <c r="D71" s="31" t="s">
        <v>275</v>
      </c>
    </row>
    <row r="72" spans="1:4" ht="25.5" x14ac:dyDescent="0.25">
      <c r="A72" s="25" t="s">
        <v>159</v>
      </c>
      <c r="B72" s="5" t="s">
        <v>160</v>
      </c>
      <c r="C72" t="s">
        <v>159</v>
      </c>
      <c r="D72" s="31" t="s">
        <v>276</v>
      </c>
    </row>
    <row r="73" spans="1:4" ht="25.5" x14ac:dyDescent="0.25">
      <c r="A73" s="25" t="s">
        <v>161</v>
      </c>
      <c r="B73" s="5" t="s">
        <v>162</v>
      </c>
      <c r="C73" t="s">
        <v>161</v>
      </c>
      <c r="D73" s="31" t="s">
        <v>277</v>
      </c>
    </row>
    <row r="74" spans="1:4" ht="25.5" x14ac:dyDescent="0.25">
      <c r="A74" s="25" t="s">
        <v>163</v>
      </c>
      <c r="B74" s="5" t="s">
        <v>164</v>
      </c>
      <c r="C74" t="s">
        <v>163</v>
      </c>
      <c r="D74" s="31" t="s">
        <v>278</v>
      </c>
    </row>
    <row r="75" spans="1:4" ht="25.5" x14ac:dyDescent="0.25">
      <c r="A75" s="25" t="s">
        <v>165</v>
      </c>
      <c r="B75" s="5" t="s">
        <v>166</v>
      </c>
      <c r="C75" t="s">
        <v>165</v>
      </c>
      <c r="D75" s="31" t="s">
        <v>279</v>
      </c>
    </row>
    <row r="76" spans="1:4" ht="25.5" x14ac:dyDescent="0.25">
      <c r="A76" s="25" t="s">
        <v>167</v>
      </c>
      <c r="B76" s="5" t="s">
        <v>168</v>
      </c>
      <c r="C76" t="s">
        <v>167</v>
      </c>
      <c r="D76" s="31" t="s">
        <v>280</v>
      </c>
    </row>
    <row r="77" spans="1:4" ht="25.5" x14ac:dyDescent="0.25">
      <c r="A77" s="25" t="s">
        <v>169</v>
      </c>
      <c r="B77" s="5" t="s">
        <v>170</v>
      </c>
      <c r="C77" t="s">
        <v>169</v>
      </c>
      <c r="D77" s="31" t="s">
        <v>281</v>
      </c>
    </row>
    <row r="78" spans="1:4" ht="25.5" x14ac:dyDescent="0.25">
      <c r="A78" s="25" t="s">
        <v>171</v>
      </c>
      <c r="B78" s="5" t="s">
        <v>172</v>
      </c>
      <c r="C78" t="s">
        <v>171</v>
      </c>
      <c r="D78" s="31" t="s">
        <v>282</v>
      </c>
    </row>
    <row r="79" spans="1:4" ht="25.5" x14ac:dyDescent="0.25">
      <c r="A79" s="25" t="s">
        <v>173</v>
      </c>
      <c r="B79" s="5" t="s">
        <v>174</v>
      </c>
      <c r="C79" t="s">
        <v>173</v>
      </c>
      <c r="D79" s="31" t="s">
        <v>283</v>
      </c>
    </row>
    <row r="80" spans="1:4" ht="25.5" x14ac:dyDescent="0.25">
      <c r="A80" s="25" t="s">
        <v>175</v>
      </c>
      <c r="B80" s="5" t="s">
        <v>176</v>
      </c>
      <c r="C80" t="s">
        <v>175</v>
      </c>
      <c r="D80" s="31" t="s">
        <v>284</v>
      </c>
    </row>
    <row r="81" spans="1:4" ht="25.5" x14ac:dyDescent="0.25">
      <c r="A81" s="25" t="s">
        <v>177</v>
      </c>
      <c r="B81" s="5" t="s">
        <v>178</v>
      </c>
      <c r="C81" t="s">
        <v>177</v>
      </c>
      <c r="D81" s="31" t="s">
        <v>285</v>
      </c>
    </row>
    <row r="82" spans="1:4" ht="25.5" x14ac:dyDescent="0.25">
      <c r="A82" s="25" t="s">
        <v>179</v>
      </c>
      <c r="B82" s="5" t="s">
        <v>180</v>
      </c>
      <c r="C82" t="s">
        <v>179</v>
      </c>
      <c r="D82" s="31" t="s">
        <v>286</v>
      </c>
    </row>
    <row r="83" spans="1:4" x14ac:dyDescent="0.25">
      <c r="A83" s="25" t="s">
        <v>181</v>
      </c>
      <c r="B83" s="5" t="s">
        <v>182</v>
      </c>
      <c r="C83" t="s">
        <v>181</v>
      </c>
      <c r="D83" s="31" t="s">
        <v>287</v>
      </c>
    </row>
    <row r="84" spans="1:4" ht="25.5" x14ac:dyDescent="0.25">
      <c r="A84" s="25" t="s">
        <v>187</v>
      </c>
      <c r="B84" s="5" t="s">
        <v>188</v>
      </c>
      <c r="C84" t="s">
        <v>187</v>
      </c>
      <c r="D84" s="31" t="s">
        <v>188</v>
      </c>
    </row>
    <row r="85" spans="1:4" ht="25.5" x14ac:dyDescent="0.25">
      <c r="A85" s="25" t="s">
        <v>190</v>
      </c>
      <c r="B85" s="5" t="s">
        <v>191</v>
      </c>
      <c r="C85" t="s">
        <v>190</v>
      </c>
      <c r="D85" s="31" t="s">
        <v>191</v>
      </c>
    </row>
    <row r="86" spans="1:4" ht="25.5" x14ac:dyDescent="0.25">
      <c r="A86" s="25" t="s">
        <v>192</v>
      </c>
      <c r="B86" s="5" t="s">
        <v>193</v>
      </c>
      <c r="C86" t="s">
        <v>192</v>
      </c>
      <c r="D86" s="31" t="s">
        <v>193</v>
      </c>
    </row>
    <row r="87" spans="1:4" ht="51" x14ac:dyDescent="0.25">
      <c r="A87" s="25" t="s">
        <v>194</v>
      </c>
      <c r="B87" s="5" t="s">
        <v>195</v>
      </c>
      <c r="C87" t="s">
        <v>194</v>
      </c>
      <c r="D87" s="31" t="s">
        <v>288</v>
      </c>
    </row>
    <row r="88" spans="1:4" ht="51" x14ac:dyDescent="0.25">
      <c r="A88" s="25" t="s">
        <v>196</v>
      </c>
      <c r="B88" s="5" t="s">
        <v>197</v>
      </c>
      <c r="C88" t="s">
        <v>196</v>
      </c>
      <c r="D88" s="31" t="s">
        <v>289</v>
      </c>
    </row>
    <row r="89" spans="1:4" ht="51" x14ac:dyDescent="0.25">
      <c r="A89" s="25" t="s">
        <v>198</v>
      </c>
      <c r="B89" s="5" t="s">
        <v>199</v>
      </c>
      <c r="C89" t="s">
        <v>198</v>
      </c>
      <c r="D89" s="31" t="s">
        <v>290</v>
      </c>
    </row>
    <row r="90" spans="1:4" ht="38.25" x14ac:dyDescent="0.25">
      <c r="A90" s="25" t="s">
        <v>200</v>
      </c>
      <c r="B90" s="5" t="s">
        <v>201</v>
      </c>
      <c r="C90" t="s">
        <v>200</v>
      </c>
      <c r="D90" s="31" t="s">
        <v>291</v>
      </c>
    </row>
    <row r="91" spans="1:4" x14ac:dyDescent="0.25">
      <c r="A91" s="25" t="s">
        <v>202</v>
      </c>
      <c r="B91" s="5" t="s">
        <v>294</v>
      </c>
      <c r="C91" t="s">
        <v>202</v>
      </c>
      <c r="D91" s="31" t="s">
        <v>292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C40D-7ADA-4677-8247-F53DB5FB563A}">
  <dimension ref="A1:B92"/>
  <sheetViews>
    <sheetView topLeftCell="A76" workbookViewId="0">
      <selection activeCell="A2" sqref="A2:A92"/>
    </sheetView>
  </sheetViews>
  <sheetFormatPr defaultRowHeight="15" x14ac:dyDescent="0.25"/>
  <cols>
    <col min="1" max="1" width="4.140625" style="11" bestFit="1" customWidth="1"/>
    <col min="2" max="2" width="11.5703125" style="12" customWidth="1"/>
  </cols>
  <sheetData>
    <row r="1" spans="1:2" x14ac:dyDescent="0.25">
      <c r="A1" s="20" t="s">
        <v>1</v>
      </c>
      <c r="B1" s="20" t="s">
        <v>2</v>
      </c>
    </row>
    <row r="2" spans="1:2" x14ac:dyDescent="0.25">
      <c r="A2" s="26">
        <v>30</v>
      </c>
      <c r="B2" s="25" t="s">
        <v>8</v>
      </c>
    </row>
    <row r="3" spans="1:2" x14ac:dyDescent="0.25">
      <c r="A3" s="26">
        <v>8</v>
      </c>
      <c r="B3" s="25" t="s">
        <v>15</v>
      </c>
    </row>
    <row r="4" spans="1:2" x14ac:dyDescent="0.25">
      <c r="A4" s="26">
        <v>200</v>
      </c>
      <c r="B4" s="25" t="s">
        <v>17</v>
      </c>
    </row>
    <row r="5" spans="1:2" x14ac:dyDescent="0.25">
      <c r="A5" s="26">
        <v>5</v>
      </c>
      <c r="B5" s="25" t="s">
        <v>19</v>
      </c>
    </row>
    <row r="6" spans="1:2" x14ac:dyDescent="0.25">
      <c r="A6" s="26">
        <v>5</v>
      </c>
      <c r="B6" s="25" t="s">
        <v>21</v>
      </c>
    </row>
    <row r="7" spans="1:2" x14ac:dyDescent="0.25">
      <c r="A7" s="26">
        <v>5</v>
      </c>
      <c r="B7" s="25" t="s">
        <v>23</v>
      </c>
    </row>
    <row r="8" spans="1:2" x14ac:dyDescent="0.25">
      <c r="A8" s="26">
        <v>10</v>
      </c>
      <c r="B8" s="25" t="s">
        <v>25</v>
      </c>
    </row>
    <row r="9" spans="1:2" x14ac:dyDescent="0.25">
      <c r="A9" s="26">
        <v>5</v>
      </c>
      <c r="B9" s="25" t="s">
        <v>27</v>
      </c>
    </row>
    <row r="10" spans="1:2" x14ac:dyDescent="0.25">
      <c r="A10" s="26">
        <v>10</v>
      </c>
      <c r="B10" s="25" t="s">
        <v>30</v>
      </c>
    </row>
    <row r="11" spans="1:2" x14ac:dyDescent="0.25">
      <c r="A11" s="26">
        <v>20</v>
      </c>
      <c r="B11" s="25" t="s">
        <v>32</v>
      </c>
    </row>
    <row r="12" spans="1:2" x14ac:dyDescent="0.25">
      <c r="A12" s="26">
        <v>20</v>
      </c>
      <c r="B12" s="25" t="s">
        <v>34</v>
      </c>
    </row>
    <row r="13" spans="1:2" x14ac:dyDescent="0.25">
      <c r="A13" s="26">
        <v>40</v>
      </c>
      <c r="B13" s="25" t="s">
        <v>36</v>
      </c>
    </row>
    <row r="14" spans="1:2" x14ac:dyDescent="0.25">
      <c r="A14" s="26">
        <v>40</v>
      </c>
      <c r="B14" s="25" t="s">
        <v>38</v>
      </c>
    </row>
    <row r="15" spans="1:2" x14ac:dyDescent="0.25">
      <c r="A15" s="26">
        <v>20</v>
      </c>
      <c r="B15" s="25" t="s">
        <v>40</v>
      </c>
    </row>
    <row r="16" spans="1:2" x14ac:dyDescent="0.25">
      <c r="A16" s="26">
        <v>20</v>
      </c>
      <c r="B16" s="25" t="s">
        <v>42</v>
      </c>
    </row>
    <row r="17" spans="1:2" x14ac:dyDescent="0.25">
      <c r="A17" s="26">
        <v>20</v>
      </c>
      <c r="B17" s="25" t="s">
        <v>44</v>
      </c>
    </row>
    <row r="18" spans="1:2" x14ac:dyDescent="0.25">
      <c r="A18" s="26">
        <v>20</v>
      </c>
      <c r="B18" s="25" t="s">
        <v>46</v>
      </c>
    </row>
    <row r="19" spans="1:2" x14ac:dyDescent="0.25">
      <c r="A19" s="26">
        <v>30</v>
      </c>
      <c r="B19" s="25" t="s">
        <v>48</v>
      </c>
    </row>
    <row r="20" spans="1:2" x14ac:dyDescent="0.25">
      <c r="A20" s="26">
        <v>30</v>
      </c>
      <c r="B20" s="25" t="s">
        <v>50</v>
      </c>
    </row>
    <row r="21" spans="1:2" x14ac:dyDescent="0.25">
      <c r="A21" s="26">
        <v>20</v>
      </c>
      <c r="B21" s="25" t="s">
        <v>52</v>
      </c>
    </row>
    <row r="22" spans="1:2" x14ac:dyDescent="0.25">
      <c r="A22" s="26">
        <v>20</v>
      </c>
      <c r="B22" s="25" t="s">
        <v>54</v>
      </c>
    </row>
    <row r="23" spans="1:2" x14ac:dyDescent="0.25">
      <c r="A23" s="26">
        <v>20</v>
      </c>
      <c r="B23" s="25" t="s">
        <v>56</v>
      </c>
    </row>
    <row r="24" spans="1:2" x14ac:dyDescent="0.25">
      <c r="A24" s="26">
        <v>10</v>
      </c>
      <c r="B24" s="25" t="s">
        <v>57</v>
      </c>
    </row>
    <row r="25" spans="1:2" x14ac:dyDescent="0.25">
      <c r="A25" s="26">
        <v>10</v>
      </c>
      <c r="B25" s="25" t="s">
        <v>59</v>
      </c>
    </row>
    <row r="26" spans="1:2" x14ac:dyDescent="0.25">
      <c r="A26" s="26">
        <v>100</v>
      </c>
      <c r="B26" s="25" t="s">
        <v>61</v>
      </c>
    </row>
    <row r="27" spans="1:2" x14ac:dyDescent="0.25">
      <c r="A27" s="26">
        <v>100</v>
      </c>
      <c r="B27" s="25" t="s">
        <v>65</v>
      </c>
    </row>
    <row r="28" spans="1:2" x14ac:dyDescent="0.25">
      <c r="A28" s="26">
        <v>10</v>
      </c>
      <c r="B28" s="25" t="s">
        <v>67</v>
      </c>
    </row>
    <row r="29" spans="1:2" x14ac:dyDescent="0.25">
      <c r="A29" s="26">
        <v>10</v>
      </c>
      <c r="B29" s="25" t="s">
        <v>69</v>
      </c>
    </row>
    <row r="30" spans="1:2" x14ac:dyDescent="0.25">
      <c r="A30" s="26">
        <v>15</v>
      </c>
      <c r="B30" s="25" t="s">
        <v>71</v>
      </c>
    </row>
    <row r="31" spans="1:2" x14ac:dyDescent="0.25">
      <c r="A31" s="26">
        <v>100</v>
      </c>
      <c r="B31" s="25" t="s">
        <v>73</v>
      </c>
    </row>
    <row r="32" spans="1:2" x14ac:dyDescent="0.25">
      <c r="A32" s="26">
        <v>100</v>
      </c>
      <c r="B32" s="25" t="s">
        <v>75</v>
      </c>
    </row>
    <row r="33" spans="1:2" x14ac:dyDescent="0.25">
      <c r="A33" s="26">
        <v>100</v>
      </c>
      <c r="B33" s="25" t="s">
        <v>77</v>
      </c>
    </row>
    <row r="34" spans="1:2" x14ac:dyDescent="0.25">
      <c r="A34" s="26">
        <v>100</v>
      </c>
      <c r="B34" s="25" t="s">
        <v>79</v>
      </c>
    </row>
    <row r="35" spans="1:2" x14ac:dyDescent="0.25">
      <c r="A35" s="26">
        <v>100</v>
      </c>
      <c r="B35" s="25" t="s">
        <v>81</v>
      </c>
    </row>
    <row r="36" spans="1:2" x14ac:dyDescent="0.25">
      <c r="A36" s="26">
        <v>10</v>
      </c>
      <c r="B36" s="25" t="s">
        <v>85</v>
      </c>
    </row>
    <row r="37" spans="1:2" x14ac:dyDescent="0.25">
      <c r="A37" s="26">
        <v>70</v>
      </c>
      <c r="B37" s="25" t="s">
        <v>87</v>
      </c>
    </row>
    <row r="38" spans="1:2" x14ac:dyDescent="0.25">
      <c r="A38" s="26">
        <v>30</v>
      </c>
      <c r="B38" s="25" t="s">
        <v>89</v>
      </c>
    </row>
    <row r="39" spans="1:2" x14ac:dyDescent="0.25">
      <c r="A39" s="26">
        <v>50</v>
      </c>
      <c r="B39" s="25" t="s">
        <v>91</v>
      </c>
    </row>
    <row r="40" spans="1:2" x14ac:dyDescent="0.25">
      <c r="A40" s="26">
        <v>30</v>
      </c>
      <c r="B40" s="25" t="s">
        <v>93</v>
      </c>
    </row>
    <row r="41" spans="1:2" x14ac:dyDescent="0.25">
      <c r="A41" s="26">
        <v>30</v>
      </c>
      <c r="B41" s="25" t="s">
        <v>95</v>
      </c>
    </row>
    <row r="42" spans="1:2" x14ac:dyDescent="0.25">
      <c r="A42" s="26">
        <v>3</v>
      </c>
      <c r="B42" s="25" t="s">
        <v>97</v>
      </c>
    </row>
    <row r="43" spans="1:2" x14ac:dyDescent="0.25">
      <c r="A43" s="26">
        <v>10</v>
      </c>
      <c r="B43" s="25" t="s">
        <v>99</v>
      </c>
    </row>
    <row r="44" spans="1:2" x14ac:dyDescent="0.25">
      <c r="A44" s="26">
        <v>10</v>
      </c>
      <c r="B44" s="25" t="s">
        <v>101</v>
      </c>
    </row>
    <row r="45" spans="1:2" x14ac:dyDescent="0.25">
      <c r="A45" s="26">
        <v>10</v>
      </c>
      <c r="B45" s="25" t="s">
        <v>103</v>
      </c>
    </row>
    <row r="46" spans="1:2" x14ac:dyDescent="0.25">
      <c r="A46" s="26">
        <v>10</v>
      </c>
      <c r="B46" s="25" t="s">
        <v>105</v>
      </c>
    </row>
    <row r="47" spans="1:2" x14ac:dyDescent="0.25">
      <c r="A47" s="26">
        <v>10</v>
      </c>
      <c r="B47" s="25" t="s">
        <v>107</v>
      </c>
    </row>
    <row r="48" spans="1:2" x14ac:dyDescent="0.25">
      <c r="A48" s="26">
        <v>100</v>
      </c>
      <c r="B48" s="25" t="s">
        <v>109</v>
      </c>
    </row>
    <row r="49" spans="1:2" x14ac:dyDescent="0.25">
      <c r="A49" s="26">
        <v>100</v>
      </c>
      <c r="B49" s="25" t="s">
        <v>111</v>
      </c>
    </row>
    <row r="50" spans="1:2" x14ac:dyDescent="0.25">
      <c r="A50" s="26">
        <v>50</v>
      </c>
      <c r="B50" s="25" t="s">
        <v>113</v>
      </c>
    </row>
    <row r="51" spans="1:2" x14ac:dyDescent="0.25">
      <c r="A51" s="26">
        <v>30</v>
      </c>
      <c r="B51" s="25" t="s">
        <v>115</v>
      </c>
    </row>
    <row r="52" spans="1:2" x14ac:dyDescent="0.25">
      <c r="A52" s="26">
        <v>30</v>
      </c>
      <c r="B52" s="25" t="s">
        <v>117</v>
      </c>
    </row>
    <row r="53" spans="1:2" x14ac:dyDescent="0.25">
      <c r="A53" s="26">
        <v>30</v>
      </c>
      <c r="B53" s="25" t="s">
        <v>119</v>
      </c>
    </row>
    <row r="54" spans="1:2" x14ac:dyDescent="0.25">
      <c r="A54" s="26">
        <v>30</v>
      </c>
      <c r="B54" s="25" t="s">
        <v>121</v>
      </c>
    </row>
    <row r="55" spans="1:2" x14ac:dyDescent="0.25">
      <c r="A55" s="26">
        <v>30</v>
      </c>
      <c r="B55" s="25" t="s">
        <v>123</v>
      </c>
    </row>
    <row r="56" spans="1:2" x14ac:dyDescent="0.25">
      <c r="A56" s="26">
        <v>20</v>
      </c>
      <c r="B56" s="25" t="s">
        <v>125</v>
      </c>
    </row>
    <row r="57" spans="1:2" x14ac:dyDescent="0.25">
      <c r="A57" s="26">
        <v>10</v>
      </c>
      <c r="B57" s="25" t="s">
        <v>127</v>
      </c>
    </row>
    <row r="58" spans="1:2" x14ac:dyDescent="0.25">
      <c r="A58" s="26">
        <v>10</v>
      </c>
      <c r="B58" s="25" t="s">
        <v>129</v>
      </c>
    </row>
    <row r="59" spans="1:2" x14ac:dyDescent="0.25">
      <c r="A59" s="26">
        <v>5</v>
      </c>
      <c r="B59" s="25" t="s">
        <v>131</v>
      </c>
    </row>
    <row r="60" spans="1:2" x14ac:dyDescent="0.25">
      <c r="A60" s="26">
        <v>5</v>
      </c>
      <c r="B60" s="25" t="s">
        <v>133</v>
      </c>
    </row>
    <row r="61" spans="1:2" x14ac:dyDescent="0.25">
      <c r="A61" s="26">
        <v>5</v>
      </c>
      <c r="B61" s="25" t="s">
        <v>135</v>
      </c>
    </row>
    <row r="62" spans="1:2" x14ac:dyDescent="0.25">
      <c r="A62" s="26">
        <v>5</v>
      </c>
      <c r="B62" s="25" t="s">
        <v>137</v>
      </c>
    </row>
    <row r="63" spans="1:2" x14ac:dyDescent="0.25">
      <c r="A63" s="26">
        <v>10</v>
      </c>
      <c r="B63" s="25" t="s">
        <v>139</v>
      </c>
    </row>
    <row r="64" spans="1:2" x14ac:dyDescent="0.25">
      <c r="A64" s="26">
        <v>10</v>
      </c>
      <c r="B64" s="25" t="s">
        <v>141</v>
      </c>
    </row>
    <row r="65" spans="1:2" x14ac:dyDescent="0.25">
      <c r="A65" s="26">
        <v>10</v>
      </c>
      <c r="B65" s="25" t="s">
        <v>143</v>
      </c>
    </row>
    <row r="66" spans="1:2" x14ac:dyDescent="0.25">
      <c r="A66" s="26">
        <v>10</v>
      </c>
      <c r="B66" s="25" t="s">
        <v>145</v>
      </c>
    </row>
    <row r="67" spans="1:2" x14ac:dyDescent="0.25">
      <c r="A67" s="26">
        <v>10</v>
      </c>
      <c r="B67" s="25" t="s">
        <v>147</v>
      </c>
    </row>
    <row r="68" spans="1:2" x14ac:dyDescent="0.25">
      <c r="A68" s="26">
        <v>10</v>
      </c>
      <c r="B68" s="25" t="s">
        <v>149</v>
      </c>
    </row>
    <row r="69" spans="1:2" x14ac:dyDescent="0.25">
      <c r="A69" s="26">
        <v>10</v>
      </c>
      <c r="B69" s="25" t="s">
        <v>151</v>
      </c>
    </row>
    <row r="70" spans="1:2" x14ac:dyDescent="0.25">
      <c r="A70" s="26">
        <v>10</v>
      </c>
      <c r="B70" s="25" t="s">
        <v>153</v>
      </c>
    </row>
    <row r="71" spans="1:2" x14ac:dyDescent="0.25">
      <c r="A71" s="26">
        <v>10</v>
      </c>
      <c r="B71" s="25" t="s">
        <v>155</v>
      </c>
    </row>
    <row r="72" spans="1:2" x14ac:dyDescent="0.25">
      <c r="A72" s="26">
        <v>10</v>
      </c>
      <c r="B72" s="25" t="s">
        <v>157</v>
      </c>
    </row>
    <row r="73" spans="1:2" x14ac:dyDescent="0.25">
      <c r="A73" s="26">
        <v>5</v>
      </c>
      <c r="B73" s="25" t="s">
        <v>159</v>
      </c>
    </row>
    <row r="74" spans="1:2" x14ac:dyDescent="0.25">
      <c r="A74" s="26">
        <v>5</v>
      </c>
      <c r="B74" s="25" t="s">
        <v>161</v>
      </c>
    </row>
    <row r="75" spans="1:2" x14ac:dyDescent="0.25">
      <c r="A75" s="26">
        <v>5</v>
      </c>
      <c r="B75" s="25" t="s">
        <v>163</v>
      </c>
    </row>
    <row r="76" spans="1:2" x14ac:dyDescent="0.25">
      <c r="A76" s="26">
        <v>5</v>
      </c>
      <c r="B76" s="25" t="s">
        <v>165</v>
      </c>
    </row>
    <row r="77" spans="1:2" x14ac:dyDescent="0.25">
      <c r="A77" s="26">
        <v>5</v>
      </c>
      <c r="B77" s="25" t="s">
        <v>167</v>
      </c>
    </row>
    <row r="78" spans="1:2" x14ac:dyDescent="0.25">
      <c r="A78" s="26">
        <v>5</v>
      </c>
      <c r="B78" s="25" t="s">
        <v>169</v>
      </c>
    </row>
    <row r="79" spans="1:2" x14ac:dyDescent="0.25">
      <c r="A79" s="26">
        <v>5</v>
      </c>
      <c r="B79" s="25" t="s">
        <v>171</v>
      </c>
    </row>
    <row r="80" spans="1:2" x14ac:dyDescent="0.25">
      <c r="A80" s="26">
        <v>5</v>
      </c>
      <c r="B80" s="25" t="s">
        <v>173</v>
      </c>
    </row>
    <row r="81" spans="1:2" x14ac:dyDescent="0.25">
      <c r="A81" s="26">
        <v>5</v>
      </c>
      <c r="B81" s="25" t="s">
        <v>175</v>
      </c>
    </row>
    <row r="82" spans="1:2" x14ac:dyDescent="0.25">
      <c r="A82" s="26">
        <v>5</v>
      </c>
      <c r="B82" s="25" t="s">
        <v>177</v>
      </c>
    </row>
    <row r="83" spans="1:2" x14ac:dyDescent="0.25">
      <c r="A83" s="26">
        <v>100</v>
      </c>
      <c r="B83" s="25" t="s">
        <v>179</v>
      </c>
    </row>
    <row r="84" spans="1:2" x14ac:dyDescent="0.25">
      <c r="A84" s="26">
        <v>20</v>
      </c>
      <c r="B84" s="25" t="s">
        <v>181</v>
      </c>
    </row>
    <row r="85" spans="1:2" x14ac:dyDescent="0.25">
      <c r="A85" s="26">
        <v>20</v>
      </c>
      <c r="B85" s="25" t="s">
        <v>187</v>
      </c>
    </row>
    <row r="86" spans="1:2" x14ac:dyDescent="0.25">
      <c r="A86" s="26">
        <v>20</v>
      </c>
      <c r="B86" s="25" t="s">
        <v>190</v>
      </c>
    </row>
    <row r="87" spans="1:2" x14ac:dyDescent="0.25">
      <c r="A87" s="26">
        <v>20</v>
      </c>
      <c r="B87" s="25" t="s">
        <v>192</v>
      </c>
    </row>
    <row r="88" spans="1:2" x14ac:dyDescent="0.25">
      <c r="A88" s="26">
        <v>20</v>
      </c>
      <c r="B88" s="25" t="s">
        <v>194</v>
      </c>
    </row>
    <row r="89" spans="1:2" x14ac:dyDescent="0.25">
      <c r="A89" s="26">
        <v>20</v>
      </c>
      <c r="B89" s="25" t="s">
        <v>196</v>
      </c>
    </row>
    <row r="90" spans="1:2" x14ac:dyDescent="0.25">
      <c r="A90" s="26">
        <v>20</v>
      </c>
      <c r="B90" s="25" t="s">
        <v>198</v>
      </c>
    </row>
    <row r="91" spans="1:2" x14ac:dyDescent="0.25">
      <c r="A91" s="26">
        <v>20</v>
      </c>
      <c r="B91" s="25" t="s">
        <v>200</v>
      </c>
    </row>
    <row r="92" spans="1:2" x14ac:dyDescent="0.25">
      <c r="A92" s="26">
        <v>25</v>
      </c>
      <c r="B92" s="25" t="s">
        <v>202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566F-F13C-4C67-A7E8-A12ACF99A48D}">
  <dimension ref="A1:N92"/>
  <sheetViews>
    <sheetView topLeftCell="C77" workbookViewId="0">
      <selection activeCell="K82" sqref="K82"/>
    </sheetView>
  </sheetViews>
  <sheetFormatPr defaultRowHeight="15" x14ac:dyDescent="0.25"/>
  <cols>
    <col min="1" max="1" width="17.28515625" hidden="1" customWidth="1"/>
    <col min="2" max="2" width="0" style="27" hidden="1" customWidth="1"/>
    <col min="3" max="3" width="14.140625" customWidth="1"/>
    <col min="5" max="5" width="22.42578125" hidden="1" customWidth="1"/>
    <col min="6" max="6" width="12.140625" hidden="1" customWidth="1"/>
    <col min="7" max="8" width="0" hidden="1" customWidth="1"/>
    <col min="9" max="10" width="12.140625" hidden="1" customWidth="1"/>
    <col min="11" max="11" width="16.140625" customWidth="1"/>
    <col min="13" max="14" width="12.140625" bestFit="1" customWidth="1"/>
  </cols>
  <sheetData>
    <row r="1" spans="1:14" x14ac:dyDescent="0.25">
      <c r="A1" t="s">
        <v>27</v>
      </c>
      <c r="B1" s="27">
        <v>5</v>
      </c>
      <c r="C1" t="s">
        <v>27</v>
      </c>
      <c r="D1" s="27">
        <v>5</v>
      </c>
      <c r="E1" t="b">
        <f>C1=A1</f>
        <v>1</v>
      </c>
      <c r="F1" t="b">
        <f>D1=B1</f>
        <v>1</v>
      </c>
      <c r="G1" t="s">
        <v>27</v>
      </c>
      <c r="H1">
        <v>5</v>
      </c>
      <c r="I1" t="b">
        <f>G1=C1</f>
        <v>1</v>
      </c>
      <c r="J1" t="b">
        <f>H1=D1</f>
        <v>1</v>
      </c>
      <c r="K1" t="s">
        <v>27</v>
      </c>
      <c r="L1">
        <v>5</v>
      </c>
      <c r="M1" t="b">
        <f>K1=C1</f>
        <v>1</v>
      </c>
      <c r="N1" t="b">
        <f>L1=D1</f>
        <v>1</v>
      </c>
    </row>
    <row r="2" spans="1:14" x14ac:dyDescent="0.25">
      <c r="A2" t="s">
        <v>97</v>
      </c>
      <c r="B2" s="27">
        <v>3</v>
      </c>
      <c r="C2" t="s">
        <v>97</v>
      </c>
      <c r="D2" s="27">
        <v>3</v>
      </c>
      <c r="E2" t="b">
        <f t="shared" ref="E2:E65" si="0">C2=A2</f>
        <v>1</v>
      </c>
      <c r="F2" t="b">
        <f t="shared" ref="F2:F65" si="1">D2=B2</f>
        <v>1</v>
      </c>
      <c r="G2" t="s">
        <v>97</v>
      </c>
      <c r="H2">
        <v>3</v>
      </c>
      <c r="I2" t="b">
        <f t="shared" ref="I2:I65" si="2">G2=C2</f>
        <v>1</v>
      </c>
      <c r="J2" t="b">
        <f t="shared" ref="J2:J65" si="3">H2=D2</f>
        <v>1</v>
      </c>
      <c r="K2" t="s">
        <v>97</v>
      </c>
      <c r="L2">
        <v>3</v>
      </c>
      <c r="M2" t="b">
        <f t="shared" ref="M2:M65" si="4">K2=C2</f>
        <v>1</v>
      </c>
      <c r="N2" t="b">
        <f t="shared" ref="N2:N65" si="5">L2=D2</f>
        <v>1</v>
      </c>
    </row>
    <row r="3" spans="1:14" x14ac:dyDescent="0.25">
      <c r="A3" t="s">
        <v>101</v>
      </c>
      <c r="B3" s="27">
        <v>10</v>
      </c>
      <c r="C3" t="s">
        <v>101</v>
      </c>
      <c r="D3" s="27">
        <v>10</v>
      </c>
      <c r="E3" t="b">
        <f t="shared" si="0"/>
        <v>1</v>
      </c>
      <c r="F3" t="b">
        <f t="shared" si="1"/>
        <v>1</v>
      </c>
      <c r="G3" t="s">
        <v>101</v>
      </c>
      <c r="H3">
        <v>10</v>
      </c>
      <c r="I3" t="b">
        <f t="shared" si="2"/>
        <v>1</v>
      </c>
      <c r="J3" t="b">
        <f t="shared" si="3"/>
        <v>1</v>
      </c>
      <c r="K3" t="s">
        <v>101</v>
      </c>
      <c r="L3">
        <v>10</v>
      </c>
      <c r="M3" t="b">
        <f t="shared" si="4"/>
        <v>1</v>
      </c>
      <c r="N3" t="b">
        <f t="shared" si="5"/>
        <v>1</v>
      </c>
    </row>
    <row r="4" spans="1:14" x14ac:dyDescent="0.25">
      <c r="A4" t="s">
        <v>103</v>
      </c>
      <c r="B4" s="27">
        <v>10</v>
      </c>
      <c r="C4" t="s">
        <v>103</v>
      </c>
      <c r="D4" s="27">
        <v>10</v>
      </c>
      <c r="E4" t="b">
        <f t="shared" si="0"/>
        <v>1</v>
      </c>
      <c r="F4" t="b">
        <f t="shared" si="1"/>
        <v>1</v>
      </c>
      <c r="G4" t="s">
        <v>103</v>
      </c>
      <c r="H4">
        <v>10</v>
      </c>
      <c r="I4" t="b">
        <f t="shared" si="2"/>
        <v>1</v>
      </c>
      <c r="J4" t="b">
        <f t="shared" si="3"/>
        <v>1</v>
      </c>
      <c r="K4" t="s">
        <v>103</v>
      </c>
      <c r="L4">
        <v>10</v>
      </c>
      <c r="M4" t="b">
        <f t="shared" si="4"/>
        <v>1</v>
      </c>
      <c r="N4" t="b">
        <f t="shared" si="5"/>
        <v>1</v>
      </c>
    </row>
    <row r="5" spans="1:14" x14ac:dyDescent="0.25">
      <c r="A5" t="s">
        <v>200</v>
      </c>
      <c r="B5" s="27">
        <v>20</v>
      </c>
      <c r="C5" t="s">
        <v>200</v>
      </c>
      <c r="D5" s="27">
        <v>20</v>
      </c>
      <c r="E5" t="b">
        <f t="shared" si="0"/>
        <v>1</v>
      </c>
      <c r="F5" t="b">
        <f t="shared" si="1"/>
        <v>1</v>
      </c>
      <c r="G5" t="s">
        <v>200</v>
      </c>
      <c r="H5">
        <v>20</v>
      </c>
      <c r="I5" t="b">
        <f t="shared" si="2"/>
        <v>1</v>
      </c>
      <c r="J5" t="b">
        <f t="shared" si="3"/>
        <v>1</v>
      </c>
      <c r="K5" t="s">
        <v>200</v>
      </c>
      <c r="L5">
        <v>20</v>
      </c>
      <c r="M5" t="b">
        <f t="shared" si="4"/>
        <v>1</v>
      </c>
      <c r="N5" t="b">
        <f t="shared" si="5"/>
        <v>1</v>
      </c>
    </row>
    <row r="6" spans="1:14" x14ac:dyDescent="0.25">
      <c r="A6" t="s">
        <v>48</v>
      </c>
      <c r="B6" s="27">
        <v>30</v>
      </c>
      <c r="C6" t="s">
        <v>48</v>
      </c>
      <c r="D6" s="27">
        <v>30</v>
      </c>
      <c r="E6" t="b">
        <f t="shared" si="0"/>
        <v>1</v>
      </c>
      <c r="F6" t="b">
        <f t="shared" si="1"/>
        <v>1</v>
      </c>
      <c r="G6" t="s">
        <v>48</v>
      </c>
      <c r="H6">
        <v>30</v>
      </c>
      <c r="I6" t="b">
        <f t="shared" si="2"/>
        <v>1</v>
      </c>
      <c r="J6" t="b">
        <f t="shared" si="3"/>
        <v>1</v>
      </c>
      <c r="K6" t="s">
        <v>48</v>
      </c>
      <c r="L6">
        <v>30</v>
      </c>
      <c r="M6" t="b">
        <f t="shared" si="4"/>
        <v>1</v>
      </c>
      <c r="N6" t="b">
        <f t="shared" si="5"/>
        <v>1</v>
      </c>
    </row>
    <row r="7" spans="1:14" x14ac:dyDescent="0.25">
      <c r="A7" t="s">
        <v>50</v>
      </c>
      <c r="B7" s="27">
        <v>30</v>
      </c>
      <c r="C7" t="s">
        <v>50</v>
      </c>
      <c r="D7" s="27">
        <v>30</v>
      </c>
      <c r="E7" t="b">
        <f t="shared" si="0"/>
        <v>1</v>
      </c>
      <c r="F7" t="b">
        <f t="shared" si="1"/>
        <v>1</v>
      </c>
      <c r="G7" t="s">
        <v>50</v>
      </c>
      <c r="H7">
        <v>30</v>
      </c>
      <c r="I7" t="b">
        <f t="shared" si="2"/>
        <v>1</v>
      </c>
      <c r="J7" t="b">
        <f t="shared" si="3"/>
        <v>1</v>
      </c>
      <c r="K7" t="s">
        <v>50</v>
      </c>
      <c r="L7">
        <v>30</v>
      </c>
      <c r="M7" t="b">
        <f t="shared" si="4"/>
        <v>1</v>
      </c>
      <c r="N7" t="b">
        <f t="shared" si="5"/>
        <v>1</v>
      </c>
    </row>
    <row r="8" spans="1:14" x14ac:dyDescent="0.25">
      <c r="A8" t="s">
        <v>32</v>
      </c>
      <c r="B8" s="27">
        <v>20</v>
      </c>
      <c r="C8" t="s">
        <v>32</v>
      </c>
      <c r="D8" s="27">
        <v>20</v>
      </c>
      <c r="E8" t="b">
        <f t="shared" si="0"/>
        <v>1</v>
      </c>
      <c r="F8" t="b">
        <f t="shared" si="1"/>
        <v>1</v>
      </c>
      <c r="G8" t="s">
        <v>32</v>
      </c>
      <c r="H8">
        <v>20</v>
      </c>
      <c r="I8" t="b">
        <f t="shared" si="2"/>
        <v>1</v>
      </c>
      <c r="J8" t="b">
        <f t="shared" si="3"/>
        <v>1</v>
      </c>
      <c r="K8" t="s">
        <v>32</v>
      </c>
      <c r="L8">
        <v>20</v>
      </c>
      <c r="M8" t="b">
        <f t="shared" si="4"/>
        <v>1</v>
      </c>
      <c r="N8" t="b">
        <f t="shared" si="5"/>
        <v>1</v>
      </c>
    </row>
    <row r="9" spans="1:14" x14ac:dyDescent="0.25">
      <c r="A9" t="s">
        <v>34</v>
      </c>
      <c r="B9" s="27">
        <v>20</v>
      </c>
      <c r="C9" t="s">
        <v>34</v>
      </c>
      <c r="D9" s="27">
        <v>20</v>
      </c>
      <c r="E9" t="b">
        <f t="shared" si="0"/>
        <v>1</v>
      </c>
      <c r="F9" t="b">
        <f t="shared" si="1"/>
        <v>1</v>
      </c>
      <c r="G9" t="s">
        <v>34</v>
      </c>
      <c r="H9">
        <v>20</v>
      </c>
      <c r="I9" t="b">
        <f t="shared" si="2"/>
        <v>1</v>
      </c>
      <c r="J9" t="b">
        <f t="shared" si="3"/>
        <v>1</v>
      </c>
      <c r="K9" t="s">
        <v>34</v>
      </c>
      <c r="L9">
        <v>20</v>
      </c>
      <c r="M9" t="b">
        <f t="shared" si="4"/>
        <v>1</v>
      </c>
      <c r="N9" t="b">
        <f t="shared" si="5"/>
        <v>1</v>
      </c>
    </row>
    <row r="10" spans="1:14" x14ac:dyDescent="0.25">
      <c r="A10" t="s">
        <v>36</v>
      </c>
      <c r="B10" s="27">
        <v>40</v>
      </c>
      <c r="C10" t="s">
        <v>36</v>
      </c>
      <c r="D10" s="27">
        <v>40</v>
      </c>
      <c r="E10" t="b">
        <f t="shared" si="0"/>
        <v>1</v>
      </c>
      <c r="F10" t="b">
        <f t="shared" si="1"/>
        <v>1</v>
      </c>
      <c r="G10" t="s">
        <v>36</v>
      </c>
      <c r="H10">
        <v>40</v>
      </c>
      <c r="I10" t="b">
        <f t="shared" si="2"/>
        <v>1</v>
      </c>
      <c r="J10" t="b">
        <f t="shared" si="3"/>
        <v>1</v>
      </c>
      <c r="K10" t="s">
        <v>36</v>
      </c>
      <c r="L10">
        <v>40</v>
      </c>
      <c r="M10" t="b">
        <f t="shared" si="4"/>
        <v>1</v>
      </c>
      <c r="N10" t="b">
        <f t="shared" si="5"/>
        <v>1</v>
      </c>
    </row>
    <row r="11" spans="1:14" x14ac:dyDescent="0.25">
      <c r="A11" t="s">
        <v>38</v>
      </c>
      <c r="B11" s="27">
        <v>40</v>
      </c>
      <c r="C11" t="s">
        <v>38</v>
      </c>
      <c r="D11" s="27">
        <v>40</v>
      </c>
      <c r="E11" t="b">
        <f t="shared" si="0"/>
        <v>1</v>
      </c>
      <c r="F11" t="b">
        <f t="shared" si="1"/>
        <v>1</v>
      </c>
      <c r="G11" t="s">
        <v>38</v>
      </c>
      <c r="H11">
        <v>40</v>
      </c>
      <c r="I11" t="b">
        <f t="shared" si="2"/>
        <v>1</v>
      </c>
      <c r="J11" t="b">
        <f t="shared" si="3"/>
        <v>1</v>
      </c>
      <c r="K11" t="s">
        <v>38</v>
      </c>
      <c r="L11">
        <v>40</v>
      </c>
      <c r="M11" t="b">
        <f t="shared" si="4"/>
        <v>1</v>
      </c>
      <c r="N11" t="b">
        <f t="shared" si="5"/>
        <v>1</v>
      </c>
    </row>
    <row r="12" spans="1:14" x14ac:dyDescent="0.25">
      <c r="A12" t="s">
        <v>95</v>
      </c>
      <c r="B12" s="27">
        <v>30</v>
      </c>
      <c r="C12" t="s">
        <v>95</v>
      </c>
      <c r="D12" s="27">
        <v>30</v>
      </c>
      <c r="E12" t="b">
        <f t="shared" si="0"/>
        <v>1</v>
      </c>
      <c r="F12" t="b">
        <f t="shared" si="1"/>
        <v>1</v>
      </c>
      <c r="G12" t="s">
        <v>95</v>
      </c>
      <c r="H12">
        <v>30</v>
      </c>
      <c r="I12" t="b">
        <f t="shared" si="2"/>
        <v>1</v>
      </c>
      <c r="J12" t="b">
        <f t="shared" si="3"/>
        <v>1</v>
      </c>
      <c r="K12" t="s">
        <v>95</v>
      </c>
      <c r="L12">
        <v>30</v>
      </c>
      <c r="M12" t="b">
        <f t="shared" si="4"/>
        <v>1</v>
      </c>
      <c r="N12" t="b">
        <f t="shared" si="5"/>
        <v>1</v>
      </c>
    </row>
    <row r="13" spans="1:14" x14ac:dyDescent="0.25">
      <c r="A13" t="s">
        <v>119</v>
      </c>
      <c r="B13" s="27">
        <v>30</v>
      </c>
      <c r="C13" t="s">
        <v>119</v>
      </c>
      <c r="D13" s="27">
        <v>30</v>
      </c>
      <c r="E13" t="b">
        <f t="shared" si="0"/>
        <v>1</v>
      </c>
      <c r="F13" t="b">
        <f t="shared" si="1"/>
        <v>1</v>
      </c>
      <c r="G13" t="s">
        <v>119</v>
      </c>
      <c r="H13">
        <v>30</v>
      </c>
      <c r="I13" t="b">
        <f t="shared" si="2"/>
        <v>1</v>
      </c>
      <c r="J13" t="b">
        <f t="shared" si="3"/>
        <v>1</v>
      </c>
      <c r="K13" t="s">
        <v>119</v>
      </c>
      <c r="L13">
        <v>30</v>
      </c>
      <c r="M13" t="b">
        <f t="shared" si="4"/>
        <v>1</v>
      </c>
      <c r="N13" t="b">
        <f t="shared" si="5"/>
        <v>1</v>
      </c>
    </row>
    <row r="14" spans="1:14" x14ac:dyDescent="0.25">
      <c r="A14" t="s">
        <v>121</v>
      </c>
      <c r="B14" s="27">
        <v>30</v>
      </c>
      <c r="C14" t="s">
        <v>121</v>
      </c>
      <c r="D14" s="27">
        <v>30</v>
      </c>
      <c r="E14" t="b">
        <f t="shared" si="0"/>
        <v>1</v>
      </c>
      <c r="F14" t="b">
        <f t="shared" si="1"/>
        <v>1</v>
      </c>
      <c r="G14" t="s">
        <v>121</v>
      </c>
      <c r="H14">
        <v>30</v>
      </c>
      <c r="I14" t="b">
        <f t="shared" si="2"/>
        <v>1</v>
      </c>
      <c r="J14" t="b">
        <f t="shared" si="3"/>
        <v>1</v>
      </c>
      <c r="K14" t="s">
        <v>121</v>
      </c>
      <c r="L14">
        <v>30</v>
      </c>
      <c r="M14" t="b">
        <f t="shared" si="4"/>
        <v>1</v>
      </c>
      <c r="N14" t="b">
        <f t="shared" si="5"/>
        <v>1</v>
      </c>
    </row>
    <row r="15" spans="1:14" x14ac:dyDescent="0.25">
      <c r="A15" t="s">
        <v>123</v>
      </c>
      <c r="B15" s="27">
        <v>30</v>
      </c>
      <c r="C15" t="s">
        <v>123</v>
      </c>
      <c r="D15" s="27">
        <v>30</v>
      </c>
      <c r="E15" t="b">
        <f t="shared" si="0"/>
        <v>1</v>
      </c>
      <c r="F15" t="b">
        <f t="shared" si="1"/>
        <v>1</v>
      </c>
      <c r="G15" t="s">
        <v>123</v>
      </c>
      <c r="H15">
        <v>30</v>
      </c>
      <c r="I15" t="b">
        <f t="shared" si="2"/>
        <v>1</v>
      </c>
      <c r="J15" t="b">
        <f t="shared" si="3"/>
        <v>1</v>
      </c>
      <c r="K15" t="s">
        <v>123</v>
      </c>
      <c r="L15">
        <v>30</v>
      </c>
      <c r="M15" t="b">
        <f t="shared" si="4"/>
        <v>1</v>
      </c>
      <c r="N15" t="b">
        <f t="shared" si="5"/>
        <v>1</v>
      </c>
    </row>
    <row r="16" spans="1:14" x14ac:dyDescent="0.25">
      <c r="A16" t="s">
        <v>61</v>
      </c>
      <c r="B16" s="27">
        <v>100</v>
      </c>
      <c r="C16" t="s">
        <v>61</v>
      </c>
      <c r="D16" s="27">
        <v>100</v>
      </c>
      <c r="E16" t="b">
        <f t="shared" si="0"/>
        <v>1</v>
      </c>
      <c r="F16" t="b">
        <f t="shared" si="1"/>
        <v>1</v>
      </c>
      <c r="G16" t="s">
        <v>61</v>
      </c>
      <c r="H16">
        <v>100</v>
      </c>
      <c r="I16" t="b">
        <f t="shared" si="2"/>
        <v>1</v>
      </c>
      <c r="J16" t="b">
        <f t="shared" si="3"/>
        <v>1</v>
      </c>
      <c r="K16" t="s">
        <v>61</v>
      </c>
      <c r="L16">
        <v>100</v>
      </c>
      <c r="M16" t="b">
        <f t="shared" si="4"/>
        <v>1</v>
      </c>
      <c r="N16" t="b">
        <f t="shared" si="5"/>
        <v>1</v>
      </c>
    </row>
    <row r="17" spans="1:14" x14ac:dyDescent="0.25">
      <c r="A17" t="s">
        <v>67</v>
      </c>
      <c r="B17" s="27">
        <v>10</v>
      </c>
      <c r="C17" t="s">
        <v>67</v>
      </c>
      <c r="D17" s="27">
        <v>10</v>
      </c>
      <c r="E17" t="b">
        <f t="shared" si="0"/>
        <v>1</v>
      </c>
      <c r="F17" t="b">
        <f t="shared" si="1"/>
        <v>1</v>
      </c>
      <c r="G17" t="s">
        <v>67</v>
      </c>
      <c r="H17">
        <v>10</v>
      </c>
      <c r="I17" t="b">
        <f t="shared" si="2"/>
        <v>1</v>
      </c>
      <c r="J17" t="b">
        <f t="shared" si="3"/>
        <v>1</v>
      </c>
      <c r="K17" t="s">
        <v>67</v>
      </c>
      <c r="L17">
        <v>10</v>
      </c>
      <c r="M17" t="b">
        <f t="shared" si="4"/>
        <v>1</v>
      </c>
      <c r="N17" t="b">
        <f t="shared" si="5"/>
        <v>1</v>
      </c>
    </row>
    <row r="18" spans="1:14" x14ac:dyDescent="0.25">
      <c r="A18" t="s">
        <v>65</v>
      </c>
      <c r="B18" s="27">
        <v>100</v>
      </c>
      <c r="C18" t="s">
        <v>65</v>
      </c>
      <c r="D18" s="27">
        <v>100</v>
      </c>
      <c r="E18" t="b">
        <f t="shared" si="0"/>
        <v>1</v>
      </c>
      <c r="F18" t="b">
        <f t="shared" si="1"/>
        <v>1</v>
      </c>
      <c r="G18" t="s">
        <v>65</v>
      </c>
      <c r="H18">
        <v>100</v>
      </c>
      <c r="I18" t="b">
        <f t="shared" si="2"/>
        <v>1</v>
      </c>
      <c r="J18" t="b">
        <f t="shared" si="3"/>
        <v>1</v>
      </c>
      <c r="K18" t="s">
        <v>65</v>
      </c>
      <c r="L18">
        <v>100</v>
      </c>
      <c r="M18" t="b">
        <f t="shared" si="4"/>
        <v>1</v>
      </c>
      <c r="N18" t="b">
        <f t="shared" si="5"/>
        <v>1</v>
      </c>
    </row>
    <row r="19" spans="1:14" x14ac:dyDescent="0.25">
      <c r="A19" t="s">
        <v>79</v>
      </c>
      <c r="B19" s="27">
        <v>100</v>
      </c>
      <c r="C19" t="s">
        <v>79</v>
      </c>
      <c r="D19" s="27">
        <v>100</v>
      </c>
      <c r="E19" t="b">
        <f t="shared" si="0"/>
        <v>1</v>
      </c>
      <c r="F19" t="b">
        <f t="shared" si="1"/>
        <v>1</v>
      </c>
      <c r="G19" t="s">
        <v>79</v>
      </c>
      <c r="H19">
        <v>100</v>
      </c>
      <c r="I19" t="b">
        <f t="shared" si="2"/>
        <v>1</v>
      </c>
      <c r="J19" t="b">
        <f t="shared" si="3"/>
        <v>1</v>
      </c>
      <c r="K19" t="s">
        <v>79</v>
      </c>
      <c r="L19">
        <v>100</v>
      </c>
      <c r="M19" t="b">
        <f t="shared" si="4"/>
        <v>1</v>
      </c>
      <c r="N19" t="b">
        <f t="shared" si="5"/>
        <v>1</v>
      </c>
    </row>
    <row r="20" spans="1:14" x14ac:dyDescent="0.25">
      <c r="A20" t="s">
        <v>73</v>
      </c>
      <c r="B20" s="27">
        <v>100</v>
      </c>
      <c r="C20" t="s">
        <v>73</v>
      </c>
      <c r="D20" s="27">
        <v>100</v>
      </c>
      <c r="E20" t="b">
        <f t="shared" si="0"/>
        <v>1</v>
      </c>
      <c r="F20" t="b">
        <f t="shared" si="1"/>
        <v>1</v>
      </c>
      <c r="G20" t="s">
        <v>73</v>
      </c>
      <c r="H20">
        <v>100</v>
      </c>
      <c r="I20" t="b">
        <f t="shared" si="2"/>
        <v>1</v>
      </c>
      <c r="J20" t="b">
        <f t="shared" si="3"/>
        <v>1</v>
      </c>
      <c r="K20" t="s">
        <v>73</v>
      </c>
      <c r="L20">
        <v>100</v>
      </c>
      <c r="M20" t="b">
        <f t="shared" si="4"/>
        <v>1</v>
      </c>
      <c r="N20" t="b">
        <f t="shared" si="5"/>
        <v>1</v>
      </c>
    </row>
    <row r="21" spans="1:14" x14ac:dyDescent="0.25">
      <c r="A21" t="s">
        <v>81</v>
      </c>
      <c r="B21" s="27">
        <v>100</v>
      </c>
      <c r="C21" t="s">
        <v>81</v>
      </c>
      <c r="D21" s="27">
        <v>100</v>
      </c>
      <c r="E21" t="b">
        <f t="shared" si="0"/>
        <v>1</v>
      </c>
      <c r="F21" t="b">
        <f t="shared" si="1"/>
        <v>1</v>
      </c>
      <c r="G21" t="s">
        <v>81</v>
      </c>
      <c r="H21">
        <v>100</v>
      </c>
      <c r="I21" t="b">
        <f t="shared" si="2"/>
        <v>1</v>
      </c>
      <c r="J21" t="b">
        <f t="shared" si="3"/>
        <v>1</v>
      </c>
      <c r="K21" t="s">
        <v>81</v>
      </c>
      <c r="L21">
        <v>100</v>
      </c>
      <c r="M21" t="b">
        <f t="shared" si="4"/>
        <v>1</v>
      </c>
      <c r="N21" t="b">
        <f t="shared" si="5"/>
        <v>1</v>
      </c>
    </row>
    <row r="22" spans="1:14" x14ac:dyDescent="0.25">
      <c r="A22" t="s">
        <v>75</v>
      </c>
      <c r="B22" s="27">
        <v>100</v>
      </c>
      <c r="C22" t="s">
        <v>75</v>
      </c>
      <c r="D22" s="27">
        <v>100</v>
      </c>
      <c r="E22" t="b">
        <f t="shared" si="0"/>
        <v>1</v>
      </c>
      <c r="F22" t="b">
        <f t="shared" si="1"/>
        <v>1</v>
      </c>
      <c r="G22" t="s">
        <v>75</v>
      </c>
      <c r="H22">
        <v>100</v>
      </c>
      <c r="I22" t="b">
        <f t="shared" si="2"/>
        <v>1</v>
      </c>
      <c r="J22" t="b">
        <f t="shared" si="3"/>
        <v>1</v>
      </c>
      <c r="K22" t="s">
        <v>75</v>
      </c>
      <c r="L22">
        <v>100</v>
      </c>
      <c r="M22" t="b">
        <f t="shared" si="4"/>
        <v>1</v>
      </c>
      <c r="N22" t="b">
        <f t="shared" si="5"/>
        <v>1</v>
      </c>
    </row>
    <row r="23" spans="1:14" x14ac:dyDescent="0.25">
      <c r="A23" t="s">
        <v>111</v>
      </c>
      <c r="B23" s="27">
        <v>100</v>
      </c>
      <c r="C23" t="s">
        <v>111</v>
      </c>
      <c r="D23" s="27">
        <v>100</v>
      </c>
      <c r="E23" t="b">
        <f t="shared" si="0"/>
        <v>1</v>
      </c>
      <c r="F23" t="b">
        <f t="shared" si="1"/>
        <v>1</v>
      </c>
      <c r="G23" t="s">
        <v>111</v>
      </c>
      <c r="H23">
        <v>100</v>
      </c>
      <c r="I23" t="b">
        <f t="shared" si="2"/>
        <v>1</v>
      </c>
      <c r="J23" t="b">
        <f t="shared" si="3"/>
        <v>1</v>
      </c>
      <c r="K23" t="s">
        <v>111</v>
      </c>
      <c r="L23">
        <v>100</v>
      </c>
      <c r="M23" t="b">
        <f t="shared" si="4"/>
        <v>1</v>
      </c>
      <c r="N23" t="b">
        <f t="shared" si="5"/>
        <v>1</v>
      </c>
    </row>
    <row r="24" spans="1:14" x14ac:dyDescent="0.25">
      <c r="A24" t="s">
        <v>113</v>
      </c>
      <c r="B24" s="27">
        <v>50</v>
      </c>
      <c r="C24" t="s">
        <v>113</v>
      </c>
      <c r="D24" s="27">
        <v>50</v>
      </c>
      <c r="E24" t="b">
        <f t="shared" si="0"/>
        <v>1</v>
      </c>
      <c r="F24" t="b">
        <f t="shared" si="1"/>
        <v>1</v>
      </c>
      <c r="G24" t="s">
        <v>113</v>
      </c>
      <c r="H24">
        <v>50</v>
      </c>
      <c r="I24" t="b">
        <f t="shared" si="2"/>
        <v>1</v>
      </c>
      <c r="J24" t="b">
        <f t="shared" si="3"/>
        <v>1</v>
      </c>
      <c r="K24" t="s">
        <v>113</v>
      </c>
      <c r="L24">
        <v>50</v>
      </c>
      <c r="M24" t="b">
        <f t="shared" si="4"/>
        <v>1</v>
      </c>
      <c r="N24" t="b">
        <f t="shared" si="5"/>
        <v>1</v>
      </c>
    </row>
    <row r="25" spans="1:14" x14ac:dyDescent="0.25">
      <c r="A25" t="s">
        <v>91</v>
      </c>
      <c r="B25" s="27">
        <v>50</v>
      </c>
      <c r="C25" t="s">
        <v>91</v>
      </c>
      <c r="D25" s="27">
        <v>50</v>
      </c>
      <c r="E25" t="b">
        <f t="shared" si="0"/>
        <v>1</v>
      </c>
      <c r="F25" t="b">
        <f t="shared" si="1"/>
        <v>1</v>
      </c>
      <c r="G25" t="s">
        <v>91</v>
      </c>
      <c r="H25">
        <v>50</v>
      </c>
      <c r="I25" t="b">
        <f t="shared" si="2"/>
        <v>1</v>
      </c>
      <c r="J25" t="b">
        <f t="shared" si="3"/>
        <v>1</v>
      </c>
      <c r="K25" t="s">
        <v>91</v>
      </c>
      <c r="L25">
        <v>50</v>
      </c>
      <c r="M25" t="b">
        <f t="shared" si="4"/>
        <v>1</v>
      </c>
      <c r="N25" t="b">
        <f t="shared" si="5"/>
        <v>1</v>
      </c>
    </row>
    <row r="26" spans="1:14" x14ac:dyDescent="0.25">
      <c r="A26" t="s">
        <v>93</v>
      </c>
      <c r="B26" s="27">
        <v>30</v>
      </c>
      <c r="C26" t="s">
        <v>93</v>
      </c>
      <c r="D26" s="27">
        <v>30</v>
      </c>
      <c r="E26" t="b">
        <f t="shared" si="0"/>
        <v>1</v>
      </c>
      <c r="F26" t="b">
        <f t="shared" si="1"/>
        <v>1</v>
      </c>
      <c r="G26" t="s">
        <v>93</v>
      </c>
      <c r="H26">
        <v>30</v>
      </c>
      <c r="I26" t="b">
        <f t="shared" si="2"/>
        <v>1</v>
      </c>
      <c r="J26" t="b">
        <f t="shared" si="3"/>
        <v>1</v>
      </c>
      <c r="K26" t="s">
        <v>93</v>
      </c>
      <c r="L26">
        <v>30</v>
      </c>
      <c r="M26" t="b">
        <f t="shared" si="4"/>
        <v>1</v>
      </c>
      <c r="N26" t="b">
        <f t="shared" si="5"/>
        <v>1</v>
      </c>
    </row>
    <row r="27" spans="1:14" x14ac:dyDescent="0.25">
      <c r="A27" t="s">
        <v>89</v>
      </c>
      <c r="B27" s="27">
        <v>30</v>
      </c>
      <c r="C27" t="s">
        <v>89</v>
      </c>
      <c r="D27" s="27">
        <v>30</v>
      </c>
      <c r="E27" t="b">
        <f t="shared" si="0"/>
        <v>1</v>
      </c>
      <c r="F27" t="b">
        <f t="shared" si="1"/>
        <v>1</v>
      </c>
      <c r="G27" t="s">
        <v>89</v>
      </c>
      <c r="H27">
        <v>30</v>
      </c>
      <c r="I27" t="b">
        <f t="shared" si="2"/>
        <v>1</v>
      </c>
      <c r="J27" t="b">
        <f t="shared" si="3"/>
        <v>1</v>
      </c>
      <c r="K27" t="s">
        <v>89</v>
      </c>
      <c r="L27">
        <v>30</v>
      </c>
      <c r="M27" t="b">
        <f t="shared" si="4"/>
        <v>1</v>
      </c>
      <c r="N27" t="b">
        <f t="shared" si="5"/>
        <v>1</v>
      </c>
    </row>
    <row r="28" spans="1:14" x14ac:dyDescent="0.25">
      <c r="A28" t="s">
        <v>87</v>
      </c>
      <c r="B28" s="27">
        <v>70</v>
      </c>
      <c r="C28" t="s">
        <v>87</v>
      </c>
      <c r="D28" s="27">
        <v>70</v>
      </c>
      <c r="E28" t="b">
        <f t="shared" si="0"/>
        <v>1</v>
      </c>
      <c r="F28" t="b">
        <f t="shared" si="1"/>
        <v>1</v>
      </c>
      <c r="G28" t="s">
        <v>87</v>
      </c>
      <c r="H28">
        <v>70</v>
      </c>
      <c r="I28" t="b">
        <f t="shared" si="2"/>
        <v>1</v>
      </c>
      <c r="J28" t="b">
        <f t="shared" si="3"/>
        <v>1</v>
      </c>
      <c r="K28" t="s">
        <v>87</v>
      </c>
      <c r="L28">
        <v>70</v>
      </c>
      <c r="M28" t="b">
        <f t="shared" si="4"/>
        <v>1</v>
      </c>
      <c r="N28" t="b">
        <f t="shared" si="5"/>
        <v>1</v>
      </c>
    </row>
    <row r="29" spans="1:14" x14ac:dyDescent="0.25">
      <c r="A29" t="s">
        <v>77</v>
      </c>
      <c r="B29" s="27">
        <v>100</v>
      </c>
      <c r="C29" t="s">
        <v>77</v>
      </c>
      <c r="D29" s="27">
        <v>100</v>
      </c>
      <c r="E29" t="b">
        <f t="shared" si="0"/>
        <v>1</v>
      </c>
      <c r="F29" t="b">
        <f t="shared" si="1"/>
        <v>1</v>
      </c>
      <c r="G29" t="s">
        <v>77</v>
      </c>
      <c r="H29">
        <v>100</v>
      </c>
      <c r="I29" t="b">
        <f t="shared" si="2"/>
        <v>1</v>
      </c>
      <c r="J29" t="b">
        <f t="shared" si="3"/>
        <v>1</v>
      </c>
      <c r="K29" t="s">
        <v>77</v>
      </c>
      <c r="L29">
        <v>100</v>
      </c>
      <c r="M29" t="b">
        <f t="shared" si="4"/>
        <v>1</v>
      </c>
      <c r="N29" t="b">
        <f t="shared" si="5"/>
        <v>1</v>
      </c>
    </row>
    <row r="30" spans="1:14" x14ac:dyDescent="0.25">
      <c r="A30" t="s">
        <v>107</v>
      </c>
      <c r="B30" s="27">
        <v>10</v>
      </c>
      <c r="C30" t="s">
        <v>107</v>
      </c>
      <c r="D30" s="27">
        <v>10</v>
      </c>
      <c r="E30" t="b">
        <f t="shared" si="0"/>
        <v>1</v>
      </c>
      <c r="F30" t="b">
        <f t="shared" si="1"/>
        <v>1</v>
      </c>
      <c r="G30" t="s">
        <v>107</v>
      </c>
      <c r="H30">
        <v>10</v>
      </c>
      <c r="I30" t="b">
        <f t="shared" si="2"/>
        <v>1</v>
      </c>
      <c r="J30" t="b">
        <f t="shared" si="3"/>
        <v>1</v>
      </c>
      <c r="K30" t="s">
        <v>107</v>
      </c>
      <c r="L30">
        <v>10</v>
      </c>
      <c r="M30" t="b">
        <f t="shared" si="4"/>
        <v>1</v>
      </c>
      <c r="N30" t="b">
        <f t="shared" si="5"/>
        <v>1</v>
      </c>
    </row>
    <row r="31" spans="1:14" x14ac:dyDescent="0.25">
      <c r="A31" t="s">
        <v>85</v>
      </c>
      <c r="B31" s="27">
        <v>10</v>
      </c>
      <c r="C31" t="s">
        <v>85</v>
      </c>
      <c r="D31" s="27">
        <v>10</v>
      </c>
      <c r="E31" t="b">
        <f t="shared" si="0"/>
        <v>1</v>
      </c>
      <c r="F31" t="b">
        <f t="shared" si="1"/>
        <v>1</v>
      </c>
      <c r="G31" t="s">
        <v>85</v>
      </c>
      <c r="H31">
        <v>10</v>
      </c>
      <c r="I31" t="b">
        <f t="shared" si="2"/>
        <v>1</v>
      </c>
      <c r="J31" t="b">
        <f t="shared" si="3"/>
        <v>1</v>
      </c>
      <c r="K31" t="s">
        <v>85</v>
      </c>
      <c r="L31">
        <v>10</v>
      </c>
      <c r="M31" t="b">
        <f t="shared" si="4"/>
        <v>1</v>
      </c>
      <c r="N31" t="b">
        <f t="shared" si="5"/>
        <v>1</v>
      </c>
    </row>
    <row r="32" spans="1:14" x14ac:dyDescent="0.25">
      <c r="A32" t="s">
        <v>105</v>
      </c>
      <c r="B32" s="27">
        <v>10</v>
      </c>
      <c r="C32" t="s">
        <v>105</v>
      </c>
      <c r="D32" s="27">
        <v>10</v>
      </c>
      <c r="E32" t="b">
        <f t="shared" si="0"/>
        <v>1</v>
      </c>
      <c r="F32" t="b">
        <f t="shared" si="1"/>
        <v>1</v>
      </c>
      <c r="G32" t="s">
        <v>105</v>
      </c>
      <c r="H32">
        <v>10</v>
      </c>
      <c r="I32" t="b">
        <f t="shared" si="2"/>
        <v>1</v>
      </c>
      <c r="J32" t="b">
        <f t="shared" si="3"/>
        <v>1</v>
      </c>
      <c r="K32" t="s">
        <v>105</v>
      </c>
      <c r="L32">
        <v>10</v>
      </c>
      <c r="M32" t="b">
        <f t="shared" si="4"/>
        <v>1</v>
      </c>
      <c r="N32" t="b">
        <f t="shared" si="5"/>
        <v>1</v>
      </c>
    </row>
    <row r="33" spans="1:14" x14ac:dyDescent="0.25">
      <c r="A33" t="s">
        <v>109</v>
      </c>
      <c r="B33" s="27">
        <v>100</v>
      </c>
      <c r="C33" t="s">
        <v>109</v>
      </c>
      <c r="D33" s="27">
        <v>100</v>
      </c>
      <c r="E33" t="b">
        <f t="shared" si="0"/>
        <v>1</v>
      </c>
      <c r="F33" t="b">
        <f t="shared" si="1"/>
        <v>1</v>
      </c>
      <c r="G33" t="s">
        <v>109</v>
      </c>
      <c r="H33">
        <v>100</v>
      </c>
      <c r="I33" t="b">
        <f t="shared" si="2"/>
        <v>1</v>
      </c>
      <c r="J33" t="b">
        <f t="shared" si="3"/>
        <v>1</v>
      </c>
      <c r="K33" t="s">
        <v>109</v>
      </c>
      <c r="L33">
        <v>100</v>
      </c>
      <c r="M33" t="b">
        <f t="shared" si="4"/>
        <v>1</v>
      </c>
      <c r="N33" t="b">
        <f t="shared" si="5"/>
        <v>1</v>
      </c>
    </row>
    <row r="34" spans="1:14" x14ac:dyDescent="0.25">
      <c r="A34" t="s">
        <v>57</v>
      </c>
      <c r="B34" s="27">
        <v>10</v>
      </c>
      <c r="C34" t="s">
        <v>57</v>
      </c>
      <c r="D34" s="27">
        <v>10</v>
      </c>
      <c r="E34" t="b">
        <f t="shared" si="0"/>
        <v>1</v>
      </c>
      <c r="F34" t="b">
        <f t="shared" si="1"/>
        <v>1</v>
      </c>
      <c r="G34" t="s">
        <v>57</v>
      </c>
      <c r="H34">
        <v>10</v>
      </c>
      <c r="I34" t="b">
        <f t="shared" si="2"/>
        <v>1</v>
      </c>
      <c r="J34" t="b">
        <f t="shared" si="3"/>
        <v>1</v>
      </c>
      <c r="K34" t="s">
        <v>57</v>
      </c>
      <c r="L34">
        <v>10</v>
      </c>
      <c r="M34" t="b">
        <f t="shared" si="4"/>
        <v>1</v>
      </c>
      <c r="N34" t="b">
        <f t="shared" si="5"/>
        <v>1</v>
      </c>
    </row>
    <row r="35" spans="1:14" x14ac:dyDescent="0.25">
      <c r="A35" t="s">
        <v>59</v>
      </c>
      <c r="B35" s="27">
        <v>10</v>
      </c>
      <c r="C35" t="s">
        <v>59</v>
      </c>
      <c r="D35" s="27">
        <v>10</v>
      </c>
      <c r="E35" t="b">
        <f t="shared" si="0"/>
        <v>1</v>
      </c>
      <c r="F35" t="b">
        <f t="shared" si="1"/>
        <v>1</v>
      </c>
      <c r="G35" t="s">
        <v>59</v>
      </c>
      <c r="H35">
        <v>10</v>
      </c>
      <c r="I35" t="b">
        <f t="shared" si="2"/>
        <v>1</v>
      </c>
      <c r="J35" t="b">
        <f t="shared" si="3"/>
        <v>1</v>
      </c>
      <c r="K35" t="s">
        <v>59</v>
      </c>
      <c r="L35">
        <v>10</v>
      </c>
      <c r="M35" t="b">
        <f t="shared" si="4"/>
        <v>1</v>
      </c>
      <c r="N35" t="b">
        <f t="shared" si="5"/>
        <v>1</v>
      </c>
    </row>
    <row r="36" spans="1:14" x14ac:dyDescent="0.25">
      <c r="A36" t="s">
        <v>25</v>
      </c>
      <c r="B36" s="27">
        <v>10</v>
      </c>
      <c r="C36" t="s">
        <v>25</v>
      </c>
      <c r="D36" s="27">
        <v>10</v>
      </c>
      <c r="E36" t="b">
        <f t="shared" si="0"/>
        <v>1</v>
      </c>
      <c r="F36" t="b">
        <f t="shared" si="1"/>
        <v>1</v>
      </c>
      <c r="G36" t="s">
        <v>25</v>
      </c>
      <c r="H36">
        <v>10</v>
      </c>
      <c r="I36" t="b">
        <f t="shared" si="2"/>
        <v>1</v>
      </c>
      <c r="J36" t="b">
        <f t="shared" si="3"/>
        <v>1</v>
      </c>
      <c r="K36" t="s">
        <v>25</v>
      </c>
      <c r="L36">
        <v>10</v>
      </c>
      <c r="M36" t="b">
        <f t="shared" si="4"/>
        <v>1</v>
      </c>
      <c r="N36" t="b">
        <f t="shared" si="5"/>
        <v>1</v>
      </c>
    </row>
    <row r="37" spans="1:14" x14ac:dyDescent="0.25">
      <c r="A37" t="s">
        <v>52</v>
      </c>
      <c r="B37" s="27">
        <v>20</v>
      </c>
      <c r="C37" t="s">
        <v>52</v>
      </c>
      <c r="D37" s="27">
        <v>20</v>
      </c>
      <c r="E37" t="b">
        <f t="shared" si="0"/>
        <v>1</v>
      </c>
      <c r="F37" t="b">
        <f t="shared" si="1"/>
        <v>1</v>
      </c>
      <c r="G37" t="s">
        <v>52</v>
      </c>
      <c r="H37">
        <v>20</v>
      </c>
      <c r="I37" t="b">
        <f t="shared" si="2"/>
        <v>1</v>
      </c>
      <c r="J37" t="b">
        <f t="shared" si="3"/>
        <v>1</v>
      </c>
      <c r="K37" t="s">
        <v>52</v>
      </c>
      <c r="L37">
        <v>20</v>
      </c>
      <c r="M37" t="b">
        <f t="shared" si="4"/>
        <v>1</v>
      </c>
      <c r="N37" t="b">
        <f t="shared" si="5"/>
        <v>1</v>
      </c>
    </row>
    <row r="38" spans="1:14" x14ac:dyDescent="0.25">
      <c r="A38" t="s">
        <v>19</v>
      </c>
      <c r="B38" s="27">
        <v>5</v>
      </c>
      <c r="C38" t="s">
        <v>19</v>
      </c>
      <c r="D38" s="27">
        <v>5</v>
      </c>
      <c r="E38" t="b">
        <f t="shared" si="0"/>
        <v>1</v>
      </c>
      <c r="F38" t="b">
        <f t="shared" si="1"/>
        <v>1</v>
      </c>
      <c r="G38" t="s">
        <v>19</v>
      </c>
      <c r="H38">
        <v>5</v>
      </c>
      <c r="I38" t="b">
        <f t="shared" si="2"/>
        <v>1</v>
      </c>
      <c r="J38" t="b">
        <f t="shared" si="3"/>
        <v>1</v>
      </c>
      <c r="K38" t="s">
        <v>19</v>
      </c>
      <c r="L38">
        <v>5</v>
      </c>
      <c r="M38" t="b">
        <f t="shared" si="4"/>
        <v>1</v>
      </c>
      <c r="N38" t="b">
        <f t="shared" si="5"/>
        <v>1</v>
      </c>
    </row>
    <row r="39" spans="1:14" x14ac:dyDescent="0.25">
      <c r="A39" t="s">
        <v>135</v>
      </c>
      <c r="B39" s="27">
        <v>5</v>
      </c>
      <c r="C39" t="s">
        <v>135</v>
      </c>
      <c r="D39" s="27">
        <v>5</v>
      </c>
      <c r="E39" t="b">
        <f t="shared" si="0"/>
        <v>1</v>
      </c>
      <c r="F39" t="b">
        <f t="shared" si="1"/>
        <v>1</v>
      </c>
      <c r="G39" t="s">
        <v>135</v>
      </c>
      <c r="H39">
        <v>5</v>
      </c>
      <c r="I39" t="b">
        <f t="shared" si="2"/>
        <v>1</v>
      </c>
      <c r="J39" t="b">
        <f t="shared" si="3"/>
        <v>1</v>
      </c>
      <c r="K39" t="s">
        <v>135</v>
      </c>
      <c r="L39">
        <v>5</v>
      </c>
      <c r="M39" t="b">
        <f t="shared" si="4"/>
        <v>1</v>
      </c>
      <c r="N39" t="b">
        <f t="shared" si="5"/>
        <v>1</v>
      </c>
    </row>
    <row r="40" spans="1:14" x14ac:dyDescent="0.25">
      <c r="A40" t="s">
        <v>137</v>
      </c>
      <c r="B40" s="27">
        <v>5</v>
      </c>
      <c r="C40" t="s">
        <v>137</v>
      </c>
      <c r="D40" s="27">
        <v>5</v>
      </c>
      <c r="E40" t="b">
        <f t="shared" si="0"/>
        <v>1</v>
      </c>
      <c r="F40" t="b">
        <f t="shared" si="1"/>
        <v>1</v>
      </c>
      <c r="G40" t="s">
        <v>137</v>
      </c>
      <c r="H40">
        <v>5</v>
      </c>
      <c r="I40" t="b">
        <f t="shared" si="2"/>
        <v>1</v>
      </c>
      <c r="J40" t="b">
        <f t="shared" si="3"/>
        <v>1</v>
      </c>
      <c r="K40" t="s">
        <v>137</v>
      </c>
      <c r="L40">
        <v>5</v>
      </c>
      <c r="M40" t="b">
        <f t="shared" si="4"/>
        <v>1</v>
      </c>
      <c r="N40" t="b">
        <f t="shared" si="5"/>
        <v>1</v>
      </c>
    </row>
    <row r="41" spans="1:14" x14ac:dyDescent="0.25">
      <c r="A41" t="s">
        <v>133</v>
      </c>
      <c r="B41" s="27">
        <v>5</v>
      </c>
      <c r="C41" t="s">
        <v>133</v>
      </c>
      <c r="D41" s="27">
        <v>5</v>
      </c>
      <c r="E41" t="b">
        <f t="shared" si="0"/>
        <v>1</v>
      </c>
      <c r="F41" t="b">
        <f t="shared" si="1"/>
        <v>1</v>
      </c>
      <c r="G41" t="s">
        <v>133</v>
      </c>
      <c r="H41">
        <v>5</v>
      </c>
      <c r="I41" t="b">
        <f t="shared" si="2"/>
        <v>1</v>
      </c>
      <c r="J41" t="b">
        <f t="shared" si="3"/>
        <v>1</v>
      </c>
      <c r="K41" t="s">
        <v>133</v>
      </c>
      <c r="L41">
        <v>5</v>
      </c>
      <c r="M41" t="b">
        <f t="shared" si="4"/>
        <v>1</v>
      </c>
      <c r="N41" t="b">
        <f t="shared" si="5"/>
        <v>1</v>
      </c>
    </row>
    <row r="42" spans="1:14" x14ac:dyDescent="0.25">
      <c r="A42" t="s">
        <v>131</v>
      </c>
      <c r="B42" s="27">
        <v>5</v>
      </c>
      <c r="C42" t="s">
        <v>131</v>
      </c>
      <c r="D42" s="27">
        <v>5</v>
      </c>
      <c r="E42" t="b">
        <f t="shared" si="0"/>
        <v>1</v>
      </c>
      <c r="F42" t="b">
        <f t="shared" si="1"/>
        <v>1</v>
      </c>
      <c r="G42" t="s">
        <v>131</v>
      </c>
      <c r="H42">
        <v>5</v>
      </c>
      <c r="I42" t="b">
        <f t="shared" si="2"/>
        <v>1</v>
      </c>
      <c r="J42" t="b">
        <f t="shared" si="3"/>
        <v>1</v>
      </c>
      <c r="K42" t="s">
        <v>131</v>
      </c>
      <c r="L42">
        <v>5</v>
      </c>
      <c r="M42" t="b">
        <f t="shared" si="4"/>
        <v>1</v>
      </c>
      <c r="N42" t="b">
        <f t="shared" si="5"/>
        <v>1</v>
      </c>
    </row>
    <row r="43" spans="1:14" x14ac:dyDescent="0.25">
      <c r="A43" t="s">
        <v>187</v>
      </c>
      <c r="B43" s="27">
        <v>20</v>
      </c>
      <c r="C43" t="s">
        <v>187</v>
      </c>
      <c r="D43" s="27">
        <v>20</v>
      </c>
      <c r="E43" t="b">
        <f t="shared" si="0"/>
        <v>1</v>
      </c>
      <c r="F43" t="b">
        <f t="shared" si="1"/>
        <v>1</v>
      </c>
      <c r="G43" t="s">
        <v>187</v>
      </c>
      <c r="H43">
        <v>20</v>
      </c>
      <c r="I43" t="b">
        <f t="shared" si="2"/>
        <v>1</v>
      </c>
      <c r="J43" t="b">
        <f t="shared" si="3"/>
        <v>1</v>
      </c>
      <c r="K43" t="s">
        <v>187</v>
      </c>
      <c r="L43">
        <v>20</v>
      </c>
      <c r="M43" t="b">
        <f t="shared" si="4"/>
        <v>1</v>
      </c>
      <c r="N43" t="b">
        <f t="shared" si="5"/>
        <v>1</v>
      </c>
    </row>
    <row r="44" spans="1:14" x14ac:dyDescent="0.25">
      <c r="A44" t="s">
        <v>190</v>
      </c>
      <c r="B44" s="27">
        <v>20</v>
      </c>
      <c r="C44" t="s">
        <v>190</v>
      </c>
      <c r="D44" s="27">
        <v>20</v>
      </c>
      <c r="E44" t="b">
        <f t="shared" si="0"/>
        <v>1</v>
      </c>
      <c r="F44" t="b">
        <f t="shared" si="1"/>
        <v>1</v>
      </c>
      <c r="G44" t="s">
        <v>190</v>
      </c>
      <c r="H44">
        <v>20</v>
      </c>
      <c r="I44" t="b">
        <f t="shared" si="2"/>
        <v>1</v>
      </c>
      <c r="J44" t="b">
        <f t="shared" si="3"/>
        <v>1</v>
      </c>
      <c r="K44" t="s">
        <v>190</v>
      </c>
      <c r="L44">
        <v>20</v>
      </c>
      <c r="M44" t="b">
        <f t="shared" si="4"/>
        <v>1</v>
      </c>
      <c r="N44" t="b">
        <f t="shared" si="5"/>
        <v>1</v>
      </c>
    </row>
    <row r="45" spans="1:14" x14ac:dyDescent="0.25">
      <c r="A45" t="s">
        <v>192</v>
      </c>
      <c r="B45" s="27">
        <v>20</v>
      </c>
      <c r="C45" t="s">
        <v>192</v>
      </c>
      <c r="D45" s="27">
        <v>20</v>
      </c>
      <c r="E45" t="b">
        <f t="shared" si="0"/>
        <v>1</v>
      </c>
      <c r="F45" t="b">
        <f t="shared" si="1"/>
        <v>1</v>
      </c>
      <c r="G45" t="s">
        <v>192</v>
      </c>
      <c r="H45">
        <v>20</v>
      </c>
      <c r="I45" t="b">
        <f t="shared" si="2"/>
        <v>1</v>
      </c>
      <c r="J45" t="b">
        <f t="shared" si="3"/>
        <v>1</v>
      </c>
      <c r="K45" t="s">
        <v>192</v>
      </c>
      <c r="L45">
        <v>20</v>
      </c>
      <c r="M45" t="b">
        <f t="shared" si="4"/>
        <v>1</v>
      </c>
      <c r="N45" t="b">
        <f t="shared" si="5"/>
        <v>1</v>
      </c>
    </row>
    <row r="46" spans="1:14" x14ac:dyDescent="0.25">
      <c r="A46" t="s">
        <v>194</v>
      </c>
      <c r="B46" s="27">
        <v>20</v>
      </c>
      <c r="C46" t="s">
        <v>194</v>
      </c>
      <c r="D46" s="27">
        <v>20</v>
      </c>
      <c r="E46" t="b">
        <f t="shared" si="0"/>
        <v>1</v>
      </c>
      <c r="F46" t="b">
        <f t="shared" si="1"/>
        <v>1</v>
      </c>
      <c r="G46" t="s">
        <v>194</v>
      </c>
      <c r="H46">
        <v>20</v>
      </c>
      <c r="I46" t="b">
        <f t="shared" si="2"/>
        <v>1</v>
      </c>
      <c r="J46" t="b">
        <f t="shared" si="3"/>
        <v>1</v>
      </c>
      <c r="K46" t="s">
        <v>194</v>
      </c>
      <c r="L46">
        <v>20</v>
      </c>
      <c r="M46" t="b">
        <f t="shared" si="4"/>
        <v>1</v>
      </c>
      <c r="N46" t="b">
        <f t="shared" si="5"/>
        <v>1</v>
      </c>
    </row>
    <row r="47" spans="1:14" x14ac:dyDescent="0.25">
      <c r="A47" t="s">
        <v>196</v>
      </c>
      <c r="B47" s="27">
        <v>20</v>
      </c>
      <c r="C47" t="s">
        <v>196</v>
      </c>
      <c r="D47" s="27">
        <v>20</v>
      </c>
      <c r="E47" t="b">
        <f t="shared" si="0"/>
        <v>1</v>
      </c>
      <c r="F47" t="b">
        <f t="shared" si="1"/>
        <v>1</v>
      </c>
      <c r="G47" t="s">
        <v>196</v>
      </c>
      <c r="H47">
        <v>20</v>
      </c>
      <c r="I47" t="b">
        <f t="shared" si="2"/>
        <v>1</v>
      </c>
      <c r="J47" t="b">
        <f t="shared" si="3"/>
        <v>1</v>
      </c>
      <c r="K47" t="s">
        <v>196</v>
      </c>
      <c r="L47">
        <v>20</v>
      </c>
      <c r="M47" t="b">
        <f t="shared" si="4"/>
        <v>1</v>
      </c>
      <c r="N47" t="b">
        <f t="shared" si="5"/>
        <v>1</v>
      </c>
    </row>
    <row r="48" spans="1:14" x14ac:dyDescent="0.25">
      <c r="A48" t="s">
        <v>198</v>
      </c>
      <c r="B48" s="27">
        <v>20</v>
      </c>
      <c r="C48" t="s">
        <v>198</v>
      </c>
      <c r="D48" s="27">
        <v>20</v>
      </c>
      <c r="E48" t="b">
        <f t="shared" si="0"/>
        <v>1</v>
      </c>
      <c r="F48" t="b">
        <f t="shared" si="1"/>
        <v>1</v>
      </c>
      <c r="G48" t="s">
        <v>198</v>
      </c>
      <c r="H48">
        <v>20</v>
      </c>
      <c r="I48" t="b">
        <f t="shared" si="2"/>
        <v>1</v>
      </c>
      <c r="J48" t="b">
        <f t="shared" si="3"/>
        <v>1</v>
      </c>
      <c r="K48" t="s">
        <v>198</v>
      </c>
      <c r="L48">
        <v>20</v>
      </c>
      <c r="M48" t="b">
        <f t="shared" si="4"/>
        <v>1</v>
      </c>
      <c r="N48" t="b">
        <f t="shared" si="5"/>
        <v>1</v>
      </c>
    </row>
    <row r="49" spans="1:14" x14ac:dyDescent="0.25">
      <c r="A49" t="s">
        <v>30</v>
      </c>
      <c r="B49" s="27">
        <v>10</v>
      </c>
      <c r="C49" t="s">
        <v>30</v>
      </c>
      <c r="D49" s="27">
        <v>10</v>
      </c>
      <c r="E49" t="b">
        <f t="shared" si="0"/>
        <v>1</v>
      </c>
      <c r="F49" t="b">
        <f t="shared" si="1"/>
        <v>1</v>
      </c>
      <c r="G49" t="s">
        <v>30</v>
      </c>
      <c r="H49">
        <v>10</v>
      </c>
      <c r="I49" t="b">
        <f t="shared" si="2"/>
        <v>1</v>
      </c>
      <c r="J49" t="b">
        <f t="shared" si="3"/>
        <v>1</v>
      </c>
      <c r="K49" t="s">
        <v>30</v>
      </c>
      <c r="L49">
        <v>10</v>
      </c>
      <c r="M49" t="b">
        <f t="shared" si="4"/>
        <v>1</v>
      </c>
      <c r="N49" t="b">
        <f t="shared" si="5"/>
        <v>1</v>
      </c>
    </row>
    <row r="50" spans="1:14" x14ac:dyDescent="0.25">
      <c r="A50" t="s">
        <v>15</v>
      </c>
      <c r="B50" s="27">
        <v>8</v>
      </c>
      <c r="C50" t="s">
        <v>15</v>
      </c>
      <c r="D50" s="27">
        <v>8</v>
      </c>
      <c r="E50" t="b">
        <f t="shared" si="0"/>
        <v>1</v>
      </c>
      <c r="F50" t="b">
        <f t="shared" si="1"/>
        <v>1</v>
      </c>
      <c r="G50" t="s">
        <v>15</v>
      </c>
      <c r="H50">
        <v>8</v>
      </c>
      <c r="I50" t="b">
        <f t="shared" si="2"/>
        <v>1</v>
      </c>
      <c r="J50" t="b">
        <f t="shared" si="3"/>
        <v>1</v>
      </c>
      <c r="K50" t="s">
        <v>15</v>
      </c>
      <c r="L50">
        <v>8</v>
      </c>
      <c r="M50" t="b">
        <f t="shared" si="4"/>
        <v>1</v>
      </c>
      <c r="N50" t="b">
        <f t="shared" si="5"/>
        <v>1</v>
      </c>
    </row>
    <row r="51" spans="1:14" x14ac:dyDescent="0.25">
      <c r="A51" t="s">
        <v>129</v>
      </c>
      <c r="B51" s="27">
        <v>10</v>
      </c>
      <c r="C51" t="s">
        <v>129</v>
      </c>
      <c r="D51" s="27">
        <v>10</v>
      </c>
      <c r="E51" t="b">
        <f t="shared" si="0"/>
        <v>1</v>
      </c>
      <c r="F51" t="b">
        <f t="shared" si="1"/>
        <v>1</v>
      </c>
      <c r="G51" t="s">
        <v>129</v>
      </c>
      <c r="H51">
        <v>10</v>
      </c>
      <c r="I51" t="b">
        <f t="shared" si="2"/>
        <v>1</v>
      </c>
      <c r="J51" t="b">
        <f t="shared" si="3"/>
        <v>1</v>
      </c>
      <c r="K51" t="s">
        <v>129</v>
      </c>
      <c r="L51">
        <v>10</v>
      </c>
      <c r="M51" t="b">
        <f t="shared" si="4"/>
        <v>1</v>
      </c>
      <c r="N51" t="b">
        <f t="shared" si="5"/>
        <v>1</v>
      </c>
    </row>
    <row r="52" spans="1:14" x14ac:dyDescent="0.25">
      <c r="A52" t="s">
        <v>127</v>
      </c>
      <c r="B52" s="27">
        <v>10</v>
      </c>
      <c r="C52" t="s">
        <v>127</v>
      </c>
      <c r="D52" s="27">
        <v>10</v>
      </c>
      <c r="E52" t="b">
        <f t="shared" si="0"/>
        <v>1</v>
      </c>
      <c r="F52" t="b">
        <f t="shared" si="1"/>
        <v>1</v>
      </c>
      <c r="G52" t="s">
        <v>127</v>
      </c>
      <c r="H52">
        <v>10</v>
      </c>
      <c r="I52" t="b">
        <f t="shared" si="2"/>
        <v>1</v>
      </c>
      <c r="J52" t="b">
        <f t="shared" si="3"/>
        <v>1</v>
      </c>
      <c r="K52" t="s">
        <v>127</v>
      </c>
      <c r="L52">
        <v>10</v>
      </c>
      <c r="M52" t="b">
        <f t="shared" si="4"/>
        <v>1</v>
      </c>
      <c r="N52" t="b">
        <f t="shared" si="5"/>
        <v>1</v>
      </c>
    </row>
    <row r="53" spans="1:14" x14ac:dyDescent="0.25">
      <c r="A53" t="s">
        <v>69</v>
      </c>
      <c r="B53" s="27">
        <v>10</v>
      </c>
      <c r="C53" t="s">
        <v>69</v>
      </c>
      <c r="D53" s="27">
        <v>10</v>
      </c>
      <c r="E53" t="b">
        <f t="shared" si="0"/>
        <v>1</v>
      </c>
      <c r="F53" t="b">
        <f t="shared" si="1"/>
        <v>1</v>
      </c>
      <c r="G53" t="s">
        <v>69</v>
      </c>
      <c r="H53">
        <v>10</v>
      </c>
      <c r="I53" t="b">
        <f t="shared" si="2"/>
        <v>1</v>
      </c>
      <c r="J53" t="b">
        <f t="shared" si="3"/>
        <v>1</v>
      </c>
      <c r="K53" t="s">
        <v>69</v>
      </c>
      <c r="L53">
        <v>10</v>
      </c>
      <c r="M53" t="b">
        <f t="shared" si="4"/>
        <v>1</v>
      </c>
      <c r="N53" t="b">
        <f t="shared" si="5"/>
        <v>1</v>
      </c>
    </row>
    <row r="54" spans="1:14" x14ac:dyDescent="0.25">
      <c r="A54" t="s">
        <v>71</v>
      </c>
      <c r="B54" s="27">
        <v>15</v>
      </c>
      <c r="C54" t="s">
        <v>71</v>
      </c>
      <c r="D54" s="27">
        <v>15</v>
      </c>
      <c r="E54" t="b">
        <f t="shared" si="0"/>
        <v>1</v>
      </c>
      <c r="F54" t="b">
        <f t="shared" si="1"/>
        <v>1</v>
      </c>
      <c r="G54" t="s">
        <v>71</v>
      </c>
      <c r="H54">
        <v>15</v>
      </c>
      <c r="I54" t="b">
        <f t="shared" si="2"/>
        <v>1</v>
      </c>
      <c r="J54" t="b">
        <f t="shared" si="3"/>
        <v>1</v>
      </c>
      <c r="K54" t="s">
        <v>71</v>
      </c>
      <c r="L54">
        <v>15</v>
      </c>
      <c r="M54" t="b">
        <f t="shared" si="4"/>
        <v>1</v>
      </c>
      <c r="N54" t="b">
        <f t="shared" si="5"/>
        <v>1</v>
      </c>
    </row>
    <row r="55" spans="1:14" x14ac:dyDescent="0.25">
      <c r="A55" t="s">
        <v>125</v>
      </c>
      <c r="B55" s="27">
        <v>20</v>
      </c>
      <c r="C55" t="s">
        <v>125</v>
      </c>
      <c r="D55" s="27">
        <v>20</v>
      </c>
      <c r="E55" t="b">
        <f t="shared" si="0"/>
        <v>1</v>
      </c>
      <c r="F55" t="b">
        <f t="shared" si="1"/>
        <v>1</v>
      </c>
      <c r="G55" t="s">
        <v>125</v>
      </c>
      <c r="H55">
        <v>20</v>
      </c>
      <c r="I55" t="b">
        <f t="shared" si="2"/>
        <v>1</v>
      </c>
      <c r="J55" t="b">
        <f t="shared" si="3"/>
        <v>1</v>
      </c>
      <c r="K55" t="s">
        <v>125</v>
      </c>
      <c r="L55">
        <v>20</v>
      </c>
      <c r="M55" t="b">
        <f t="shared" si="4"/>
        <v>1</v>
      </c>
      <c r="N55" t="b">
        <f t="shared" si="5"/>
        <v>1</v>
      </c>
    </row>
    <row r="56" spans="1:14" x14ac:dyDescent="0.25">
      <c r="A56" t="s">
        <v>23</v>
      </c>
      <c r="B56" s="27">
        <v>5</v>
      </c>
      <c r="C56" t="s">
        <v>23</v>
      </c>
      <c r="D56" s="27">
        <v>5</v>
      </c>
      <c r="E56" t="b">
        <f t="shared" si="0"/>
        <v>1</v>
      </c>
      <c r="F56" t="b">
        <f t="shared" si="1"/>
        <v>1</v>
      </c>
      <c r="G56" t="s">
        <v>23</v>
      </c>
      <c r="H56">
        <v>5</v>
      </c>
      <c r="I56" t="b">
        <f t="shared" si="2"/>
        <v>1</v>
      </c>
      <c r="J56" t="b">
        <f t="shared" si="3"/>
        <v>1</v>
      </c>
      <c r="K56" t="s">
        <v>23</v>
      </c>
      <c r="L56">
        <v>5</v>
      </c>
      <c r="M56" t="b">
        <f t="shared" si="4"/>
        <v>1</v>
      </c>
      <c r="N56" t="b">
        <f t="shared" si="5"/>
        <v>1</v>
      </c>
    </row>
    <row r="57" spans="1:14" x14ac:dyDescent="0.25">
      <c r="A57" t="s">
        <v>21</v>
      </c>
      <c r="B57" s="27">
        <v>5</v>
      </c>
      <c r="C57" t="s">
        <v>21</v>
      </c>
      <c r="D57" s="27">
        <v>5</v>
      </c>
      <c r="E57" t="b">
        <f t="shared" si="0"/>
        <v>1</v>
      </c>
      <c r="F57" t="b">
        <f t="shared" si="1"/>
        <v>1</v>
      </c>
      <c r="G57" t="s">
        <v>21</v>
      </c>
      <c r="H57">
        <v>5</v>
      </c>
      <c r="I57" t="b">
        <f t="shared" si="2"/>
        <v>1</v>
      </c>
      <c r="J57" t="b">
        <f t="shared" si="3"/>
        <v>1</v>
      </c>
      <c r="K57" t="s">
        <v>21</v>
      </c>
      <c r="L57">
        <v>5</v>
      </c>
      <c r="M57" t="b">
        <f t="shared" si="4"/>
        <v>1</v>
      </c>
      <c r="N57" t="b">
        <f t="shared" si="5"/>
        <v>1</v>
      </c>
    </row>
    <row r="58" spans="1:14" x14ac:dyDescent="0.25">
      <c r="A58" t="s">
        <v>179</v>
      </c>
      <c r="B58" s="27">
        <v>100</v>
      </c>
      <c r="C58" t="s">
        <v>179</v>
      </c>
      <c r="D58" s="27">
        <v>100</v>
      </c>
      <c r="E58" t="b">
        <f t="shared" si="0"/>
        <v>1</v>
      </c>
      <c r="F58" t="b">
        <f t="shared" si="1"/>
        <v>1</v>
      </c>
      <c r="G58" t="s">
        <v>179</v>
      </c>
      <c r="H58">
        <v>100</v>
      </c>
      <c r="I58" t="b">
        <f t="shared" si="2"/>
        <v>1</v>
      </c>
      <c r="J58" t="b">
        <f t="shared" si="3"/>
        <v>1</v>
      </c>
      <c r="K58" t="s">
        <v>179</v>
      </c>
      <c r="L58">
        <v>100</v>
      </c>
      <c r="M58" t="b">
        <f t="shared" si="4"/>
        <v>1</v>
      </c>
      <c r="N58" t="b">
        <f t="shared" si="5"/>
        <v>1</v>
      </c>
    </row>
    <row r="59" spans="1:14" x14ac:dyDescent="0.25">
      <c r="A59" t="s">
        <v>115</v>
      </c>
      <c r="B59" s="27">
        <v>30</v>
      </c>
      <c r="C59" t="s">
        <v>115</v>
      </c>
      <c r="D59" s="27">
        <v>30</v>
      </c>
      <c r="E59" t="b">
        <f t="shared" si="0"/>
        <v>1</v>
      </c>
      <c r="F59" t="b">
        <f t="shared" si="1"/>
        <v>1</v>
      </c>
      <c r="G59" t="s">
        <v>115</v>
      </c>
      <c r="H59">
        <v>30</v>
      </c>
      <c r="I59" t="b">
        <f t="shared" si="2"/>
        <v>1</v>
      </c>
      <c r="J59" t="b">
        <f t="shared" si="3"/>
        <v>1</v>
      </c>
      <c r="K59" t="s">
        <v>115</v>
      </c>
      <c r="L59">
        <v>30</v>
      </c>
      <c r="M59" t="b">
        <f t="shared" si="4"/>
        <v>1</v>
      </c>
      <c r="N59" t="b">
        <f t="shared" si="5"/>
        <v>1</v>
      </c>
    </row>
    <row r="60" spans="1:14" x14ac:dyDescent="0.25">
      <c r="A60" t="s">
        <v>54</v>
      </c>
      <c r="B60" s="27">
        <v>20</v>
      </c>
      <c r="C60" t="s">
        <v>54</v>
      </c>
      <c r="D60" s="27">
        <v>20</v>
      </c>
      <c r="E60" t="b">
        <f t="shared" si="0"/>
        <v>1</v>
      </c>
      <c r="F60" t="b">
        <f t="shared" si="1"/>
        <v>1</v>
      </c>
      <c r="G60" t="s">
        <v>54</v>
      </c>
      <c r="H60">
        <v>20</v>
      </c>
      <c r="I60" t="b">
        <f t="shared" si="2"/>
        <v>1</v>
      </c>
      <c r="J60" t="b">
        <f t="shared" si="3"/>
        <v>1</v>
      </c>
      <c r="K60" t="s">
        <v>54</v>
      </c>
      <c r="L60">
        <v>20</v>
      </c>
      <c r="M60" t="b">
        <f t="shared" si="4"/>
        <v>1</v>
      </c>
      <c r="N60" t="b">
        <f t="shared" si="5"/>
        <v>1</v>
      </c>
    </row>
    <row r="61" spans="1:14" x14ac:dyDescent="0.25">
      <c r="A61" t="s">
        <v>139</v>
      </c>
      <c r="B61" s="27">
        <v>10</v>
      </c>
      <c r="C61" t="s">
        <v>139</v>
      </c>
      <c r="D61" s="27">
        <v>10</v>
      </c>
      <c r="E61" t="b">
        <f t="shared" si="0"/>
        <v>1</v>
      </c>
      <c r="F61" t="b">
        <f t="shared" si="1"/>
        <v>1</v>
      </c>
      <c r="G61" t="s">
        <v>139</v>
      </c>
      <c r="H61">
        <v>10</v>
      </c>
      <c r="I61" t="b">
        <f t="shared" si="2"/>
        <v>1</v>
      </c>
      <c r="J61" t="b">
        <f t="shared" si="3"/>
        <v>1</v>
      </c>
      <c r="K61" t="s">
        <v>139</v>
      </c>
      <c r="L61">
        <v>10</v>
      </c>
      <c r="M61" t="b">
        <f t="shared" si="4"/>
        <v>1</v>
      </c>
      <c r="N61" t="b">
        <f t="shared" si="5"/>
        <v>1</v>
      </c>
    </row>
    <row r="62" spans="1:14" x14ac:dyDescent="0.25">
      <c r="A62" t="s">
        <v>141</v>
      </c>
      <c r="B62" s="27">
        <v>10</v>
      </c>
      <c r="C62" t="s">
        <v>141</v>
      </c>
      <c r="D62" s="27">
        <v>10</v>
      </c>
      <c r="E62" t="b">
        <f t="shared" si="0"/>
        <v>1</v>
      </c>
      <c r="F62" t="b">
        <f t="shared" si="1"/>
        <v>1</v>
      </c>
      <c r="G62" t="s">
        <v>141</v>
      </c>
      <c r="H62">
        <v>10</v>
      </c>
      <c r="I62" t="b">
        <f t="shared" si="2"/>
        <v>1</v>
      </c>
      <c r="J62" t="b">
        <f t="shared" si="3"/>
        <v>1</v>
      </c>
      <c r="K62" t="s">
        <v>141</v>
      </c>
      <c r="L62">
        <v>10</v>
      </c>
      <c r="M62" t="b">
        <f t="shared" si="4"/>
        <v>1</v>
      </c>
      <c r="N62" t="b">
        <f t="shared" si="5"/>
        <v>1</v>
      </c>
    </row>
    <row r="63" spans="1:14" x14ac:dyDescent="0.25">
      <c r="A63" t="s">
        <v>143</v>
      </c>
      <c r="B63" s="27">
        <v>10</v>
      </c>
      <c r="C63" t="s">
        <v>143</v>
      </c>
      <c r="D63" s="27">
        <v>10</v>
      </c>
      <c r="E63" t="b">
        <f t="shared" si="0"/>
        <v>1</v>
      </c>
      <c r="F63" t="b">
        <f t="shared" si="1"/>
        <v>1</v>
      </c>
      <c r="G63" t="s">
        <v>143</v>
      </c>
      <c r="H63">
        <v>10</v>
      </c>
      <c r="I63" t="b">
        <f t="shared" si="2"/>
        <v>1</v>
      </c>
      <c r="J63" t="b">
        <f t="shared" si="3"/>
        <v>1</v>
      </c>
      <c r="K63" t="s">
        <v>143</v>
      </c>
      <c r="L63">
        <v>10</v>
      </c>
      <c r="M63" t="b">
        <f t="shared" si="4"/>
        <v>1</v>
      </c>
      <c r="N63" t="b">
        <f t="shared" si="5"/>
        <v>1</v>
      </c>
    </row>
    <row r="64" spans="1:14" x14ac:dyDescent="0.25">
      <c r="A64" t="s">
        <v>145</v>
      </c>
      <c r="B64" s="27">
        <v>10</v>
      </c>
      <c r="C64" t="s">
        <v>145</v>
      </c>
      <c r="D64" s="27">
        <v>10</v>
      </c>
      <c r="E64" t="b">
        <f t="shared" si="0"/>
        <v>1</v>
      </c>
      <c r="F64" t="b">
        <f t="shared" si="1"/>
        <v>1</v>
      </c>
      <c r="G64" t="s">
        <v>145</v>
      </c>
      <c r="H64">
        <v>10</v>
      </c>
      <c r="I64" t="b">
        <f t="shared" si="2"/>
        <v>1</v>
      </c>
      <c r="J64" t="b">
        <f t="shared" si="3"/>
        <v>1</v>
      </c>
      <c r="K64" t="s">
        <v>145</v>
      </c>
      <c r="L64">
        <v>10</v>
      </c>
      <c r="M64" t="b">
        <f t="shared" si="4"/>
        <v>1</v>
      </c>
      <c r="N64" t="b">
        <f t="shared" si="5"/>
        <v>1</v>
      </c>
    </row>
    <row r="65" spans="1:14" x14ac:dyDescent="0.25">
      <c r="A65" t="s">
        <v>147</v>
      </c>
      <c r="B65" s="27">
        <v>10</v>
      </c>
      <c r="C65" t="s">
        <v>147</v>
      </c>
      <c r="D65" s="27">
        <v>10</v>
      </c>
      <c r="E65" t="b">
        <f t="shared" si="0"/>
        <v>1</v>
      </c>
      <c r="F65" t="b">
        <f t="shared" si="1"/>
        <v>1</v>
      </c>
      <c r="G65" t="s">
        <v>147</v>
      </c>
      <c r="H65">
        <v>10</v>
      </c>
      <c r="I65" t="b">
        <f t="shared" si="2"/>
        <v>1</v>
      </c>
      <c r="J65" t="b">
        <f t="shared" si="3"/>
        <v>1</v>
      </c>
      <c r="K65" t="s">
        <v>147</v>
      </c>
      <c r="L65">
        <v>10</v>
      </c>
      <c r="M65" t="b">
        <f t="shared" si="4"/>
        <v>1</v>
      </c>
      <c r="N65" t="b">
        <f t="shared" si="5"/>
        <v>1</v>
      </c>
    </row>
    <row r="66" spans="1:14" x14ac:dyDescent="0.25">
      <c r="A66" t="s">
        <v>149</v>
      </c>
      <c r="B66" s="27">
        <v>10</v>
      </c>
      <c r="C66" t="s">
        <v>149</v>
      </c>
      <c r="D66" s="27">
        <v>10</v>
      </c>
      <c r="E66" t="b">
        <f t="shared" ref="E66:E91" si="6">C66=A66</f>
        <v>1</v>
      </c>
      <c r="F66" t="b">
        <f t="shared" ref="F66:F91" si="7">D66=B66</f>
        <v>1</v>
      </c>
      <c r="G66" t="s">
        <v>149</v>
      </c>
      <c r="H66">
        <v>10</v>
      </c>
      <c r="I66" t="b">
        <f t="shared" ref="I66:I91" si="8">G66=C66</f>
        <v>1</v>
      </c>
      <c r="J66" t="b">
        <f t="shared" ref="J66:J91" si="9">H66=D66</f>
        <v>1</v>
      </c>
      <c r="K66" t="s">
        <v>149</v>
      </c>
      <c r="L66">
        <v>10</v>
      </c>
      <c r="M66" t="b">
        <f t="shared" ref="M66:M92" si="10">K66=C66</f>
        <v>1</v>
      </c>
      <c r="N66" t="b">
        <f t="shared" ref="N66:N92" si="11">L66=D66</f>
        <v>1</v>
      </c>
    </row>
    <row r="67" spans="1:14" x14ac:dyDescent="0.25">
      <c r="A67" t="s">
        <v>151</v>
      </c>
      <c r="B67" s="27">
        <v>10</v>
      </c>
      <c r="C67" t="s">
        <v>151</v>
      </c>
      <c r="D67" s="27">
        <v>10</v>
      </c>
      <c r="E67" t="b">
        <f t="shared" si="6"/>
        <v>1</v>
      </c>
      <c r="F67" t="b">
        <f t="shared" si="7"/>
        <v>1</v>
      </c>
      <c r="G67" t="s">
        <v>151</v>
      </c>
      <c r="H67">
        <v>10</v>
      </c>
      <c r="I67" t="b">
        <f t="shared" si="8"/>
        <v>1</v>
      </c>
      <c r="J67" t="b">
        <f t="shared" si="9"/>
        <v>1</v>
      </c>
      <c r="K67" t="s">
        <v>151</v>
      </c>
      <c r="L67">
        <v>10</v>
      </c>
      <c r="M67" t="b">
        <f t="shared" si="10"/>
        <v>1</v>
      </c>
      <c r="N67" t="b">
        <f t="shared" si="11"/>
        <v>1</v>
      </c>
    </row>
    <row r="68" spans="1:14" x14ac:dyDescent="0.25">
      <c r="A68" t="s">
        <v>153</v>
      </c>
      <c r="B68" s="27">
        <v>10</v>
      </c>
      <c r="C68" t="s">
        <v>153</v>
      </c>
      <c r="D68" s="27">
        <v>10</v>
      </c>
      <c r="E68" t="b">
        <f t="shared" si="6"/>
        <v>1</v>
      </c>
      <c r="F68" t="b">
        <f t="shared" si="7"/>
        <v>1</v>
      </c>
      <c r="G68" t="s">
        <v>153</v>
      </c>
      <c r="H68">
        <v>10</v>
      </c>
      <c r="I68" t="b">
        <f t="shared" si="8"/>
        <v>1</v>
      </c>
      <c r="J68" t="b">
        <f t="shared" si="9"/>
        <v>1</v>
      </c>
      <c r="K68" t="s">
        <v>153</v>
      </c>
      <c r="L68">
        <v>10</v>
      </c>
      <c r="M68" t="b">
        <f t="shared" si="10"/>
        <v>1</v>
      </c>
      <c r="N68" t="b">
        <f t="shared" si="11"/>
        <v>1</v>
      </c>
    </row>
    <row r="69" spans="1:14" x14ac:dyDescent="0.25">
      <c r="A69" t="s">
        <v>155</v>
      </c>
      <c r="B69" s="27">
        <v>10</v>
      </c>
      <c r="C69" t="s">
        <v>155</v>
      </c>
      <c r="D69" s="27">
        <v>10</v>
      </c>
      <c r="E69" t="b">
        <f t="shared" si="6"/>
        <v>1</v>
      </c>
      <c r="F69" t="b">
        <f t="shared" si="7"/>
        <v>1</v>
      </c>
      <c r="G69" t="s">
        <v>155</v>
      </c>
      <c r="H69">
        <v>10</v>
      </c>
      <c r="I69" t="b">
        <f t="shared" si="8"/>
        <v>1</v>
      </c>
      <c r="J69" t="b">
        <f t="shared" si="9"/>
        <v>1</v>
      </c>
      <c r="K69" t="s">
        <v>155</v>
      </c>
      <c r="L69">
        <v>10</v>
      </c>
      <c r="M69" t="b">
        <f t="shared" si="10"/>
        <v>1</v>
      </c>
      <c r="N69" t="b">
        <f t="shared" si="11"/>
        <v>1</v>
      </c>
    </row>
    <row r="70" spans="1:14" x14ac:dyDescent="0.25">
      <c r="A70" t="s">
        <v>157</v>
      </c>
      <c r="B70" s="27">
        <v>10</v>
      </c>
      <c r="C70" t="s">
        <v>157</v>
      </c>
      <c r="D70" s="27">
        <v>10</v>
      </c>
      <c r="E70" t="b">
        <f t="shared" si="6"/>
        <v>1</v>
      </c>
      <c r="F70" t="b">
        <f t="shared" si="7"/>
        <v>1</v>
      </c>
      <c r="G70" t="s">
        <v>157</v>
      </c>
      <c r="H70">
        <v>10</v>
      </c>
      <c r="I70" t="b">
        <f t="shared" si="8"/>
        <v>1</v>
      </c>
      <c r="J70" t="b">
        <f t="shared" si="9"/>
        <v>1</v>
      </c>
      <c r="K70" t="s">
        <v>157</v>
      </c>
      <c r="L70">
        <v>10</v>
      </c>
      <c r="M70" t="b">
        <f t="shared" si="10"/>
        <v>1</v>
      </c>
      <c r="N70" t="b">
        <f t="shared" si="11"/>
        <v>1</v>
      </c>
    </row>
    <row r="71" spans="1:14" x14ac:dyDescent="0.25">
      <c r="A71" t="s">
        <v>159</v>
      </c>
      <c r="B71" s="27">
        <v>5</v>
      </c>
      <c r="C71" t="s">
        <v>159</v>
      </c>
      <c r="D71" s="27">
        <v>5</v>
      </c>
      <c r="E71" t="b">
        <f t="shared" si="6"/>
        <v>1</v>
      </c>
      <c r="F71" t="b">
        <f t="shared" si="7"/>
        <v>1</v>
      </c>
      <c r="G71" t="s">
        <v>159</v>
      </c>
      <c r="H71">
        <v>5</v>
      </c>
      <c r="I71" t="b">
        <f t="shared" si="8"/>
        <v>1</v>
      </c>
      <c r="J71" t="b">
        <f t="shared" si="9"/>
        <v>1</v>
      </c>
      <c r="K71" t="s">
        <v>159</v>
      </c>
      <c r="L71">
        <v>5</v>
      </c>
      <c r="M71" t="b">
        <f t="shared" si="10"/>
        <v>1</v>
      </c>
      <c r="N71" t="b">
        <f t="shared" si="11"/>
        <v>1</v>
      </c>
    </row>
    <row r="72" spans="1:14" x14ac:dyDescent="0.25">
      <c r="A72" t="s">
        <v>161</v>
      </c>
      <c r="B72" s="27">
        <v>5</v>
      </c>
      <c r="C72" t="s">
        <v>161</v>
      </c>
      <c r="D72" s="27">
        <v>5</v>
      </c>
      <c r="E72" t="b">
        <f t="shared" si="6"/>
        <v>1</v>
      </c>
      <c r="F72" t="b">
        <f t="shared" si="7"/>
        <v>1</v>
      </c>
      <c r="G72" t="s">
        <v>161</v>
      </c>
      <c r="H72">
        <v>5</v>
      </c>
      <c r="I72" t="b">
        <f t="shared" si="8"/>
        <v>1</v>
      </c>
      <c r="J72" t="b">
        <f t="shared" si="9"/>
        <v>1</v>
      </c>
      <c r="K72" t="s">
        <v>161</v>
      </c>
      <c r="L72">
        <v>5</v>
      </c>
      <c r="M72" t="b">
        <f t="shared" si="10"/>
        <v>1</v>
      </c>
      <c r="N72" t="b">
        <f t="shared" si="11"/>
        <v>1</v>
      </c>
    </row>
    <row r="73" spans="1:14" x14ac:dyDescent="0.25">
      <c r="A73" t="s">
        <v>163</v>
      </c>
      <c r="B73" s="27">
        <v>5</v>
      </c>
      <c r="C73" t="s">
        <v>163</v>
      </c>
      <c r="D73" s="27">
        <v>5</v>
      </c>
      <c r="E73" t="b">
        <f t="shared" si="6"/>
        <v>1</v>
      </c>
      <c r="F73" t="b">
        <f t="shared" si="7"/>
        <v>1</v>
      </c>
      <c r="G73" t="s">
        <v>163</v>
      </c>
      <c r="H73">
        <v>5</v>
      </c>
      <c r="I73" t="b">
        <f t="shared" si="8"/>
        <v>1</v>
      </c>
      <c r="J73" t="b">
        <f t="shared" si="9"/>
        <v>1</v>
      </c>
      <c r="K73" t="s">
        <v>163</v>
      </c>
      <c r="L73">
        <v>5</v>
      </c>
      <c r="M73" t="b">
        <f t="shared" si="10"/>
        <v>1</v>
      </c>
      <c r="N73" t="b">
        <f t="shared" si="11"/>
        <v>1</v>
      </c>
    </row>
    <row r="74" spans="1:14" x14ac:dyDescent="0.25">
      <c r="A74" t="s">
        <v>165</v>
      </c>
      <c r="B74" s="27">
        <v>5</v>
      </c>
      <c r="C74" t="s">
        <v>165</v>
      </c>
      <c r="D74" s="27">
        <v>5</v>
      </c>
      <c r="E74" t="b">
        <f t="shared" si="6"/>
        <v>1</v>
      </c>
      <c r="F74" t="b">
        <f t="shared" si="7"/>
        <v>1</v>
      </c>
      <c r="G74" t="s">
        <v>165</v>
      </c>
      <c r="H74">
        <v>5</v>
      </c>
      <c r="I74" t="b">
        <f t="shared" si="8"/>
        <v>1</v>
      </c>
      <c r="J74" t="b">
        <f t="shared" si="9"/>
        <v>1</v>
      </c>
      <c r="K74" t="s">
        <v>165</v>
      </c>
      <c r="L74">
        <v>5</v>
      </c>
      <c r="M74" t="b">
        <f t="shared" si="10"/>
        <v>1</v>
      </c>
      <c r="N74" t="b">
        <f t="shared" si="11"/>
        <v>1</v>
      </c>
    </row>
    <row r="75" spans="1:14" x14ac:dyDescent="0.25">
      <c r="A75" t="s">
        <v>167</v>
      </c>
      <c r="B75" s="27">
        <v>5</v>
      </c>
      <c r="C75" t="s">
        <v>167</v>
      </c>
      <c r="D75" s="27">
        <v>5</v>
      </c>
      <c r="E75" t="b">
        <f t="shared" si="6"/>
        <v>1</v>
      </c>
      <c r="F75" t="b">
        <f t="shared" si="7"/>
        <v>1</v>
      </c>
      <c r="G75" t="s">
        <v>167</v>
      </c>
      <c r="H75">
        <v>5</v>
      </c>
      <c r="I75" t="b">
        <f t="shared" si="8"/>
        <v>1</v>
      </c>
      <c r="J75" t="b">
        <f t="shared" si="9"/>
        <v>1</v>
      </c>
      <c r="K75" t="s">
        <v>167</v>
      </c>
      <c r="L75">
        <v>5</v>
      </c>
      <c r="M75" t="b">
        <f t="shared" si="10"/>
        <v>1</v>
      </c>
      <c r="N75" t="b">
        <f t="shared" si="11"/>
        <v>1</v>
      </c>
    </row>
    <row r="76" spans="1:14" x14ac:dyDescent="0.25">
      <c r="A76" t="s">
        <v>169</v>
      </c>
      <c r="B76" s="27">
        <v>5</v>
      </c>
      <c r="C76" t="s">
        <v>169</v>
      </c>
      <c r="D76" s="27">
        <v>5</v>
      </c>
      <c r="E76" t="b">
        <f t="shared" si="6"/>
        <v>1</v>
      </c>
      <c r="F76" t="b">
        <f t="shared" si="7"/>
        <v>1</v>
      </c>
      <c r="G76" t="s">
        <v>169</v>
      </c>
      <c r="H76">
        <v>5</v>
      </c>
      <c r="I76" t="b">
        <f t="shared" si="8"/>
        <v>1</v>
      </c>
      <c r="J76" t="b">
        <f t="shared" si="9"/>
        <v>1</v>
      </c>
      <c r="K76" t="s">
        <v>169</v>
      </c>
      <c r="L76">
        <v>5</v>
      </c>
      <c r="M76" t="b">
        <f t="shared" si="10"/>
        <v>1</v>
      </c>
      <c r="N76" t="b">
        <f t="shared" si="11"/>
        <v>1</v>
      </c>
    </row>
    <row r="77" spans="1:14" x14ac:dyDescent="0.25">
      <c r="A77" t="s">
        <v>171</v>
      </c>
      <c r="B77" s="27">
        <v>5</v>
      </c>
      <c r="C77" t="s">
        <v>171</v>
      </c>
      <c r="D77" s="27">
        <v>5</v>
      </c>
      <c r="E77" t="b">
        <f t="shared" si="6"/>
        <v>1</v>
      </c>
      <c r="F77" t="b">
        <f t="shared" si="7"/>
        <v>1</v>
      </c>
      <c r="G77" t="s">
        <v>171</v>
      </c>
      <c r="H77">
        <v>5</v>
      </c>
      <c r="I77" t="b">
        <f t="shared" si="8"/>
        <v>1</v>
      </c>
      <c r="J77" t="b">
        <f t="shared" si="9"/>
        <v>1</v>
      </c>
      <c r="K77" t="s">
        <v>171</v>
      </c>
      <c r="L77">
        <v>5</v>
      </c>
      <c r="M77" t="b">
        <f t="shared" si="10"/>
        <v>1</v>
      </c>
      <c r="N77" t="b">
        <f t="shared" si="11"/>
        <v>1</v>
      </c>
    </row>
    <row r="78" spans="1:14" x14ac:dyDescent="0.25">
      <c r="A78" t="s">
        <v>173</v>
      </c>
      <c r="B78" s="27">
        <v>5</v>
      </c>
      <c r="C78" t="s">
        <v>173</v>
      </c>
      <c r="D78" s="27">
        <v>5</v>
      </c>
      <c r="E78" t="b">
        <f t="shared" si="6"/>
        <v>1</v>
      </c>
      <c r="F78" t="b">
        <f t="shared" si="7"/>
        <v>1</v>
      </c>
      <c r="G78" t="s">
        <v>173</v>
      </c>
      <c r="H78">
        <v>5</v>
      </c>
      <c r="I78" t="b">
        <f t="shared" si="8"/>
        <v>1</v>
      </c>
      <c r="J78" t="b">
        <f t="shared" si="9"/>
        <v>1</v>
      </c>
      <c r="K78" t="s">
        <v>173</v>
      </c>
      <c r="L78">
        <v>5</v>
      </c>
      <c r="M78" t="b">
        <f t="shared" si="10"/>
        <v>1</v>
      </c>
      <c r="N78" t="b">
        <f t="shared" si="11"/>
        <v>1</v>
      </c>
    </row>
    <row r="79" spans="1:14" x14ac:dyDescent="0.25">
      <c r="A79" t="s">
        <v>175</v>
      </c>
      <c r="B79" s="27">
        <v>5</v>
      </c>
      <c r="C79" t="s">
        <v>175</v>
      </c>
      <c r="D79" s="27">
        <v>5</v>
      </c>
      <c r="E79" t="b">
        <f t="shared" si="6"/>
        <v>1</v>
      </c>
      <c r="F79" t="b">
        <f t="shared" si="7"/>
        <v>1</v>
      </c>
      <c r="G79" t="s">
        <v>175</v>
      </c>
      <c r="H79">
        <v>5</v>
      </c>
      <c r="I79" t="b">
        <f t="shared" si="8"/>
        <v>1</v>
      </c>
      <c r="J79" t="b">
        <f t="shared" si="9"/>
        <v>1</v>
      </c>
      <c r="K79" t="s">
        <v>175</v>
      </c>
      <c r="L79">
        <v>5</v>
      </c>
      <c r="M79" t="b">
        <f t="shared" si="10"/>
        <v>1</v>
      </c>
      <c r="N79" t="b">
        <f t="shared" si="11"/>
        <v>1</v>
      </c>
    </row>
    <row r="80" spans="1:14" x14ac:dyDescent="0.25">
      <c r="A80" t="s">
        <v>177</v>
      </c>
      <c r="B80" s="27">
        <v>5</v>
      </c>
      <c r="C80" t="s">
        <v>177</v>
      </c>
      <c r="D80" s="27">
        <v>5</v>
      </c>
      <c r="E80" t="b">
        <f t="shared" si="6"/>
        <v>1</v>
      </c>
      <c r="F80" t="b">
        <f t="shared" si="7"/>
        <v>1</v>
      </c>
      <c r="G80" t="s">
        <v>177</v>
      </c>
      <c r="H80">
        <v>5</v>
      </c>
      <c r="I80" t="b">
        <f t="shared" si="8"/>
        <v>1</v>
      </c>
      <c r="J80" t="b">
        <f t="shared" si="9"/>
        <v>1</v>
      </c>
      <c r="K80" t="s">
        <v>177</v>
      </c>
      <c r="L80">
        <v>5</v>
      </c>
      <c r="M80" t="b">
        <f t="shared" si="10"/>
        <v>1</v>
      </c>
      <c r="N80" t="b">
        <f t="shared" si="11"/>
        <v>1</v>
      </c>
    </row>
    <row r="81" spans="1:14" x14ac:dyDescent="0.25">
      <c r="A81" t="s">
        <v>181</v>
      </c>
      <c r="B81" s="27">
        <v>20</v>
      </c>
      <c r="C81" s="28" t="s">
        <v>181</v>
      </c>
      <c r="D81" s="29">
        <v>20</v>
      </c>
      <c r="E81" t="b">
        <f t="shared" si="6"/>
        <v>1</v>
      </c>
      <c r="F81" t="b">
        <f t="shared" si="7"/>
        <v>1</v>
      </c>
      <c r="G81" t="s">
        <v>181</v>
      </c>
      <c r="H81">
        <v>20</v>
      </c>
      <c r="I81" t="b">
        <f t="shared" si="8"/>
        <v>1</v>
      </c>
      <c r="J81" t="b">
        <f t="shared" si="9"/>
        <v>1</v>
      </c>
      <c r="K81" s="30" t="s">
        <v>181</v>
      </c>
      <c r="L81" s="30">
        <v>12</v>
      </c>
      <c r="M81" s="30" t="b">
        <f t="shared" si="10"/>
        <v>1</v>
      </c>
      <c r="N81" s="30" t="b">
        <f t="shared" si="11"/>
        <v>0</v>
      </c>
    </row>
    <row r="82" spans="1:14" x14ac:dyDescent="0.25">
      <c r="A82" t="s">
        <v>99</v>
      </c>
      <c r="B82" s="27">
        <v>10</v>
      </c>
      <c r="C82" s="28" t="s">
        <v>99</v>
      </c>
      <c r="D82" s="29">
        <v>10</v>
      </c>
      <c r="E82" t="b">
        <f t="shared" si="6"/>
        <v>1</v>
      </c>
      <c r="F82" t="b">
        <f t="shared" si="7"/>
        <v>1</v>
      </c>
      <c r="G82" t="s">
        <v>99</v>
      </c>
      <c r="H82">
        <v>10</v>
      </c>
      <c r="I82" t="b">
        <f t="shared" si="8"/>
        <v>1</v>
      </c>
      <c r="J82" t="b">
        <f t="shared" si="9"/>
        <v>1</v>
      </c>
      <c r="K82" s="28" t="s">
        <v>181</v>
      </c>
      <c r="L82" s="28">
        <v>20</v>
      </c>
      <c r="M82" t="b">
        <f t="shared" si="10"/>
        <v>0</v>
      </c>
      <c r="N82" t="b">
        <f t="shared" si="11"/>
        <v>0</v>
      </c>
    </row>
    <row r="83" spans="1:14" x14ac:dyDescent="0.25">
      <c r="A83" t="s">
        <v>40</v>
      </c>
      <c r="B83" s="27">
        <v>20</v>
      </c>
      <c r="C83" s="28" t="s">
        <v>40</v>
      </c>
      <c r="D83" s="29">
        <v>20</v>
      </c>
      <c r="E83" t="b">
        <f t="shared" si="6"/>
        <v>1</v>
      </c>
      <c r="F83" t="b">
        <f t="shared" si="7"/>
        <v>1</v>
      </c>
      <c r="G83" t="s">
        <v>40</v>
      </c>
      <c r="H83">
        <v>20</v>
      </c>
      <c r="I83" t="b">
        <f t="shared" si="8"/>
        <v>1</v>
      </c>
      <c r="J83" t="b">
        <f t="shared" si="9"/>
        <v>1</v>
      </c>
      <c r="K83" s="28" t="s">
        <v>99</v>
      </c>
      <c r="L83" s="28">
        <v>10</v>
      </c>
      <c r="M83" t="b">
        <f t="shared" si="10"/>
        <v>0</v>
      </c>
      <c r="N83" t="b">
        <f t="shared" si="11"/>
        <v>0</v>
      </c>
    </row>
    <row r="84" spans="1:14" x14ac:dyDescent="0.25">
      <c r="A84" t="s">
        <v>42</v>
      </c>
      <c r="B84" s="27">
        <v>20</v>
      </c>
      <c r="C84" s="28" t="s">
        <v>42</v>
      </c>
      <c r="D84" s="29">
        <v>20</v>
      </c>
      <c r="E84" t="b">
        <f t="shared" si="6"/>
        <v>1</v>
      </c>
      <c r="F84" t="b">
        <f t="shared" si="7"/>
        <v>1</v>
      </c>
      <c r="G84" t="s">
        <v>42</v>
      </c>
      <c r="H84">
        <v>20</v>
      </c>
      <c r="I84" t="b">
        <f t="shared" si="8"/>
        <v>1</v>
      </c>
      <c r="J84" t="b">
        <f t="shared" si="9"/>
        <v>1</v>
      </c>
      <c r="K84" s="28" t="s">
        <v>40</v>
      </c>
      <c r="L84" s="28">
        <v>20</v>
      </c>
      <c r="M84" t="b">
        <f t="shared" si="10"/>
        <v>0</v>
      </c>
      <c r="N84" t="b">
        <f t="shared" si="11"/>
        <v>1</v>
      </c>
    </row>
    <row r="85" spans="1:14" x14ac:dyDescent="0.25">
      <c r="A85" t="s">
        <v>44</v>
      </c>
      <c r="B85" s="27">
        <v>20</v>
      </c>
      <c r="C85" s="28" t="s">
        <v>44</v>
      </c>
      <c r="D85" s="29">
        <v>20</v>
      </c>
      <c r="E85" t="b">
        <f t="shared" si="6"/>
        <v>1</v>
      </c>
      <c r="F85" t="b">
        <f t="shared" si="7"/>
        <v>1</v>
      </c>
      <c r="G85" t="s">
        <v>44</v>
      </c>
      <c r="H85">
        <v>20</v>
      </c>
      <c r="I85" t="b">
        <f t="shared" si="8"/>
        <v>1</v>
      </c>
      <c r="J85" t="b">
        <f t="shared" si="9"/>
        <v>1</v>
      </c>
      <c r="K85" s="28" t="s">
        <v>42</v>
      </c>
      <c r="L85" s="28">
        <v>20</v>
      </c>
      <c r="M85" t="b">
        <f t="shared" si="10"/>
        <v>0</v>
      </c>
      <c r="N85" t="b">
        <f t="shared" si="11"/>
        <v>1</v>
      </c>
    </row>
    <row r="86" spans="1:14" x14ac:dyDescent="0.25">
      <c r="A86" t="s">
        <v>46</v>
      </c>
      <c r="B86" s="27">
        <v>20</v>
      </c>
      <c r="C86" s="28" t="s">
        <v>46</v>
      </c>
      <c r="D86" s="29">
        <v>20</v>
      </c>
      <c r="E86" t="b">
        <f t="shared" si="6"/>
        <v>1</v>
      </c>
      <c r="F86" t="b">
        <f t="shared" si="7"/>
        <v>1</v>
      </c>
      <c r="G86" t="s">
        <v>46</v>
      </c>
      <c r="H86">
        <v>20</v>
      </c>
      <c r="I86" t="b">
        <f t="shared" si="8"/>
        <v>1</v>
      </c>
      <c r="J86" t="b">
        <f t="shared" si="9"/>
        <v>1</v>
      </c>
      <c r="K86" s="28" t="s">
        <v>44</v>
      </c>
      <c r="L86" s="28">
        <v>20</v>
      </c>
      <c r="M86" t="b">
        <f t="shared" si="10"/>
        <v>0</v>
      </c>
      <c r="N86" t="b">
        <f t="shared" si="11"/>
        <v>1</v>
      </c>
    </row>
    <row r="87" spans="1:14" x14ac:dyDescent="0.25">
      <c r="A87" t="s">
        <v>17</v>
      </c>
      <c r="B87" s="27">
        <v>200</v>
      </c>
      <c r="C87" s="28" t="s">
        <v>17</v>
      </c>
      <c r="D87" s="29">
        <v>200</v>
      </c>
      <c r="E87" t="b">
        <f t="shared" si="6"/>
        <v>1</v>
      </c>
      <c r="F87" t="b">
        <f t="shared" si="7"/>
        <v>1</v>
      </c>
      <c r="G87" t="s">
        <v>17</v>
      </c>
      <c r="H87">
        <v>200</v>
      </c>
      <c r="I87" t="b">
        <f t="shared" si="8"/>
        <v>1</v>
      </c>
      <c r="J87" t="b">
        <f t="shared" si="9"/>
        <v>1</v>
      </c>
      <c r="K87" s="28" t="s">
        <v>46</v>
      </c>
      <c r="L87" s="28">
        <v>20</v>
      </c>
      <c r="M87" t="b">
        <f t="shared" si="10"/>
        <v>0</v>
      </c>
      <c r="N87" t="b">
        <f t="shared" si="11"/>
        <v>0</v>
      </c>
    </row>
    <row r="88" spans="1:14" x14ac:dyDescent="0.25">
      <c r="A88" t="s">
        <v>8</v>
      </c>
      <c r="B88" s="27">
        <v>30</v>
      </c>
      <c r="C88" s="28" t="s">
        <v>8</v>
      </c>
      <c r="D88" s="29">
        <v>30</v>
      </c>
      <c r="E88" t="b">
        <f t="shared" si="6"/>
        <v>1</v>
      </c>
      <c r="F88" t="b">
        <f t="shared" si="7"/>
        <v>1</v>
      </c>
      <c r="G88" t="s">
        <v>8</v>
      </c>
      <c r="H88">
        <v>30</v>
      </c>
      <c r="I88" t="b">
        <f t="shared" si="8"/>
        <v>1</v>
      </c>
      <c r="J88" t="b">
        <f t="shared" si="9"/>
        <v>1</v>
      </c>
      <c r="K88" s="28" t="s">
        <v>17</v>
      </c>
      <c r="L88" s="28">
        <v>200</v>
      </c>
      <c r="M88" t="b">
        <f t="shared" si="10"/>
        <v>0</v>
      </c>
      <c r="N88" t="b">
        <f t="shared" si="11"/>
        <v>0</v>
      </c>
    </row>
    <row r="89" spans="1:14" x14ac:dyDescent="0.25">
      <c r="A89" t="s">
        <v>117</v>
      </c>
      <c r="B89" s="27">
        <v>30</v>
      </c>
      <c r="C89" s="28" t="s">
        <v>117</v>
      </c>
      <c r="D89" s="29">
        <v>30</v>
      </c>
      <c r="E89" t="b">
        <f t="shared" si="6"/>
        <v>1</v>
      </c>
      <c r="F89" t="b">
        <f t="shared" si="7"/>
        <v>1</v>
      </c>
      <c r="G89" t="s">
        <v>117</v>
      </c>
      <c r="H89">
        <v>30</v>
      </c>
      <c r="I89" t="b">
        <f t="shared" si="8"/>
        <v>1</v>
      </c>
      <c r="J89" t="b">
        <f t="shared" si="9"/>
        <v>1</v>
      </c>
      <c r="K89" s="28" t="s">
        <v>8</v>
      </c>
      <c r="L89" s="28">
        <v>30</v>
      </c>
      <c r="M89" t="b">
        <f t="shared" si="10"/>
        <v>0</v>
      </c>
      <c r="N89" t="b">
        <f t="shared" si="11"/>
        <v>1</v>
      </c>
    </row>
    <row r="90" spans="1:14" x14ac:dyDescent="0.25">
      <c r="A90" t="s">
        <v>202</v>
      </c>
      <c r="B90" s="27">
        <v>25</v>
      </c>
      <c r="C90" s="28" t="s">
        <v>202</v>
      </c>
      <c r="D90" s="29">
        <v>25</v>
      </c>
      <c r="E90" t="b">
        <f t="shared" si="6"/>
        <v>1</v>
      </c>
      <c r="F90" t="b">
        <f t="shared" si="7"/>
        <v>1</v>
      </c>
      <c r="G90" t="s">
        <v>202</v>
      </c>
      <c r="H90">
        <v>25</v>
      </c>
      <c r="I90" t="b">
        <f t="shared" si="8"/>
        <v>1</v>
      </c>
      <c r="J90" t="b">
        <f t="shared" si="9"/>
        <v>1</v>
      </c>
      <c r="K90" s="28" t="s">
        <v>117</v>
      </c>
      <c r="L90" s="28">
        <v>30</v>
      </c>
      <c r="M90" t="b">
        <f t="shared" si="10"/>
        <v>0</v>
      </c>
      <c r="N90" t="b">
        <f t="shared" si="11"/>
        <v>0</v>
      </c>
    </row>
    <row r="91" spans="1:14" x14ac:dyDescent="0.25">
      <c r="A91" t="s">
        <v>210</v>
      </c>
      <c r="B91" s="27">
        <v>20</v>
      </c>
      <c r="C91" s="28" t="s">
        <v>210</v>
      </c>
      <c r="D91" s="29">
        <v>20</v>
      </c>
      <c r="E91" t="b">
        <f t="shared" si="6"/>
        <v>1</v>
      </c>
      <c r="F91" t="b">
        <f t="shared" si="7"/>
        <v>1</v>
      </c>
      <c r="G91" t="s">
        <v>210</v>
      </c>
      <c r="H91">
        <v>20</v>
      </c>
      <c r="I91" t="b">
        <f t="shared" si="8"/>
        <v>1</v>
      </c>
      <c r="J91" t="b">
        <f t="shared" si="9"/>
        <v>1</v>
      </c>
      <c r="K91" s="28" t="s">
        <v>202</v>
      </c>
      <c r="L91" s="28">
        <v>25</v>
      </c>
      <c r="M91" t="b">
        <f t="shared" si="10"/>
        <v>0</v>
      </c>
      <c r="N91" t="b">
        <f t="shared" si="11"/>
        <v>0</v>
      </c>
    </row>
    <row r="92" spans="1:14" x14ac:dyDescent="0.25">
      <c r="K92" s="28" t="s">
        <v>210</v>
      </c>
      <c r="L92" s="28">
        <v>20</v>
      </c>
      <c r="M92" t="b">
        <f t="shared" si="10"/>
        <v>0</v>
      </c>
      <c r="N92" t="b">
        <f t="shared" si="11"/>
        <v>0</v>
      </c>
    </row>
  </sheetData>
  <sortState xmlns:xlrd2="http://schemas.microsoft.com/office/spreadsheetml/2017/richdata2" ref="K1:L94">
    <sortCondition ref="K1:K9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Planilha4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 Portella</dc:creator>
  <cp:lastModifiedBy>Danielle  Portella</cp:lastModifiedBy>
  <dcterms:created xsi:type="dcterms:W3CDTF">2025-06-30T13:07:49Z</dcterms:created>
  <dcterms:modified xsi:type="dcterms:W3CDTF">2025-09-15T12:42:22Z</dcterms:modified>
</cp:coreProperties>
</file>