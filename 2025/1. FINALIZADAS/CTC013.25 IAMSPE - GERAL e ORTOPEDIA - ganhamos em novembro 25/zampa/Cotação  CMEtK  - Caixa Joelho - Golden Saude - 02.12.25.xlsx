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I:\Meu Drive\COTAÇÕES clientes\2025\CTC013.25 IAMSPE - GERAL e ORTOPEDIA projetando\zampa\"/>
    </mc:Choice>
  </mc:AlternateContent>
  <xr:revisionPtr revIDLastSave="0" documentId="13_ncr:1_{CF95AD67-8367-412E-AC6C-FA5005BA3713}" xr6:coauthVersionLast="47" xr6:coauthVersionMax="47" xr10:uidLastSave="{00000000-0000-0000-0000-000000000000}"/>
  <bookViews>
    <workbookView xWindow="-28920" yWindow="-120" windowWidth="29040" windowHeight="15720" tabRatio="868" activeTab="2" xr2:uid="{00000000-000D-0000-FFFF-FFFF00000000}"/>
  </bookViews>
  <sheets>
    <sheet name="Resumo" sheetId="1" r:id="rId1"/>
    <sheet name="1" sheetId="100" r:id="rId2"/>
    <sheet name="Planilha1" sheetId="101" r:id="rId3"/>
  </sheets>
  <definedNames>
    <definedName name="_xlnm._FilterDatabase" localSheetId="1" hidden="1">'1'!$B$5:$H$47</definedName>
    <definedName name="_xlnm.Print_Area" localSheetId="1">'1'!$B$1:$H$58</definedName>
    <definedName name="_xlnm.Print_Area" localSheetId="0">Resumo!$A$1:$H$43</definedName>
    <definedName name="_xlnm.Print_Titles" localSheetId="1">'1'!$5:$5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01" l="1"/>
  <c r="F16" i="101" s="1"/>
  <c r="F17" i="101" s="1"/>
  <c r="C47" i="100"/>
  <c r="H47" i="100"/>
  <c r="F21" i="1" l="1"/>
  <c r="F20" i="1"/>
  <c r="F19" i="1"/>
  <c r="F18" i="1" l="1"/>
  <c r="F23" i="1" l="1"/>
  <c r="F17" i="1"/>
  <c r="F22" i="1"/>
  <c r="F16" i="1" l="1"/>
  <c r="F24" i="1" s="1"/>
</calcChain>
</file>

<file path=xl/sharedStrings.xml><?xml version="1.0" encoding="utf-8"?>
<sst xmlns="http://schemas.openxmlformats.org/spreadsheetml/2006/main" count="164" uniqueCount="132">
  <si>
    <t>CLIENTE:</t>
  </si>
  <si>
    <t>Data:</t>
  </si>
  <si>
    <t>Cont</t>
  </si>
  <si>
    <t xml:space="preserve">Caixa de Instrumental </t>
  </si>
  <si>
    <t>Valor por Caixa</t>
  </si>
  <si>
    <t>Valor Total</t>
  </si>
  <si>
    <t>ITEM</t>
  </si>
  <si>
    <t>QUANT</t>
  </si>
  <si>
    <t xml:space="preserve">CÓDIGO </t>
  </si>
  <si>
    <t xml:space="preserve">DESCRITIVO </t>
  </si>
  <si>
    <t>Total</t>
  </si>
  <si>
    <t>05-170-17</t>
  </si>
  <si>
    <t>05-171-17</t>
  </si>
  <si>
    <t>05-221-15</t>
  </si>
  <si>
    <t>06-100-14</t>
  </si>
  <si>
    <t>06-250-10</t>
  </si>
  <si>
    <t>06-250-14</t>
  </si>
  <si>
    <t>07-191-12</t>
  </si>
  <si>
    <t>07-230-14</t>
  </si>
  <si>
    <t>07-231-14</t>
  </si>
  <si>
    <t>07-234-16</t>
  </si>
  <si>
    <t>07-235-16</t>
  </si>
  <si>
    <t>07-320-16</t>
  </si>
  <si>
    <t>07-321-16</t>
  </si>
  <si>
    <t>07-431-19</t>
  </si>
  <si>
    <t>07-681-13</t>
  </si>
  <si>
    <t>09-187-16</t>
  </si>
  <si>
    <t>09-220-02</t>
  </si>
  <si>
    <t>09-220-04</t>
  </si>
  <si>
    <t>09-573-00</t>
  </si>
  <si>
    <t>09-575-00</t>
  </si>
  <si>
    <t>11-552-18</t>
  </si>
  <si>
    <t>11-552-20</t>
  </si>
  <si>
    <t>23-557-20</t>
  </si>
  <si>
    <t>13-346-15</t>
  </si>
  <si>
    <t>13-346-30</t>
  </si>
  <si>
    <t>13-347-15</t>
  </si>
  <si>
    <t>13-564-13</t>
  </si>
  <si>
    <t>13-564-14</t>
  </si>
  <si>
    <t>13-564-17</t>
  </si>
  <si>
    <t>13-695-08</t>
  </si>
  <si>
    <t>13-695-18</t>
  </si>
  <si>
    <t>13-695-43</t>
  </si>
  <si>
    <t>13-890-23</t>
  </si>
  <si>
    <t>13-891-23</t>
  </si>
  <si>
    <t>13-902-01</t>
  </si>
  <si>
    <t>Pinça Smith Petersen Bone Rongeur 3mm Reta 24cm</t>
  </si>
  <si>
    <t>Pinça Ruskin Bone Rongeur Reta 23cm</t>
  </si>
  <si>
    <t>Pinça Ruskin Bone Rongeur Curva 23cm</t>
  </si>
  <si>
    <t>Isento</t>
  </si>
  <si>
    <t>Fentex</t>
  </si>
  <si>
    <t>DATA</t>
  </si>
  <si>
    <t xml:space="preserve"> TOTAL</t>
  </si>
  <si>
    <t xml:space="preserve"> ANVISA</t>
  </si>
  <si>
    <t>K2-704</t>
  </si>
  <si>
    <t>K3-750</t>
  </si>
  <si>
    <t>K8-340B</t>
  </si>
  <si>
    <t>TOTAL</t>
  </si>
  <si>
    <t>Procedencia</t>
  </si>
  <si>
    <t>Marca</t>
  </si>
  <si>
    <t>Frete e IPI inclusos</t>
  </si>
  <si>
    <t>Prazo de Entrega</t>
  </si>
  <si>
    <t>Prazo de Pagamento</t>
  </si>
  <si>
    <t>Garantia de 10 anos contra defeito de fabricação</t>
  </si>
  <si>
    <t>Cliente</t>
  </si>
  <si>
    <t>09-203-10</t>
  </si>
  <si>
    <t>13-480-02</t>
  </si>
  <si>
    <t>Estados Unidos</t>
  </si>
  <si>
    <t>Martelo 22cm 500g</t>
  </si>
  <si>
    <t>QTD</t>
  </si>
  <si>
    <t>A/C</t>
  </si>
  <si>
    <t xml:space="preserve">Numero </t>
  </si>
  <si>
    <t>NUMERO</t>
  </si>
  <si>
    <t>60 a 90 dias</t>
  </si>
  <si>
    <t>Elevador de septo Freer Curvo afiados /Rombo, 20.5cm</t>
  </si>
  <si>
    <t>Pinca para Curativo Padrão 14.5cm</t>
  </si>
  <si>
    <t>Pinça Arterial Halsted-Mosquito Serr Curva 12.5cm</t>
  </si>
  <si>
    <t>Pinça para brônquios e dutos biliares 19cm</t>
  </si>
  <si>
    <t>Pinça de toalha de padrão delicado Backhaus 13cm</t>
  </si>
  <si>
    <t>Afastador Senn-Miller 16cm 7,0 x 8,5 mm sem corte</t>
  </si>
  <si>
    <t>Afastador Volkmann 2 pinos afiado 22cm</t>
  </si>
  <si>
    <t>Afastador Volkmann 4 pinos afiado 22cm</t>
  </si>
  <si>
    <t>Afastador Farabeuf Conjunto Completo, 12cm</t>
  </si>
  <si>
    <t>Afastador Farabeuf Conjunto Completo, 15cm</t>
  </si>
  <si>
    <t>Porta-agulhas Mayo-Hegar com perfil normal T/C 18cm</t>
  </si>
  <si>
    <t>Porta-agulhas Mayo-Hegar com perfil normal T/C 20cm</t>
  </si>
  <si>
    <t>Tesoura de Dissecação Metzenbaum Curva 15cm</t>
  </si>
  <si>
    <t>Tesoura de Dissecação Mayo Reta 17cm</t>
  </si>
  <si>
    <t>Tesoura de Dissecação Mayo Curva 17cm</t>
  </si>
  <si>
    <t>Pinça Arterial Kelly-Rankin Reta 16cm</t>
  </si>
  <si>
    <t>Pinça Arterial Kelly-Rankin Curva 16cm</t>
  </si>
  <si>
    <t>Pinça Arterial Kocher (Ochsner) 1/2 Reta 16cm</t>
  </si>
  <si>
    <t>Pinça Arterial Kocher (Ochsner) 1/2 Curva 16cm</t>
  </si>
  <si>
    <t>Afastador Mini-Langenbeck 16cm 10,0x6mm</t>
  </si>
  <si>
    <t>Pinça Arterial Kelly Reta 14cm</t>
  </si>
  <si>
    <t>Pinça Arterial Kelly Curva 14cm</t>
  </si>
  <si>
    <t>Lambotte Osteótomo Reto24cm 15mm</t>
  </si>
  <si>
    <t>Lambotte Osteótomo Reto24cm 30mm</t>
  </si>
  <si>
    <t>Lambotte Osteótomo Curvo 23cm 15mm</t>
  </si>
  <si>
    <t>Cureta Óssea Volkmann 13cm</t>
  </si>
  <si>
    <t>Cureta Óssea Volkmann 14cm</t>
  </si>
  <si>
    <t>Cureta Óssea Volkmann 17cm</t>
  </si>
  <si>
    <t>Alavanca de osso Hohmann 22cm 8mm</t>
  </si>
  <si>
    <t>Alavanca de osso Hohmann 23.5cm 18mm</t>
  </si>
  <si>
    <t>Alavanca de osso Hohmann 23.5cm 43mm</t>
  </si>
  <si>
    <t>Pinca de Tecido 1:2º 10.5cm</t>
  </si>
  <si>
    <t>Pinca de Tecido 1:2º 14.5cm</t>
  </si>
  <si>
    <t>CAIXA</t>
  </si>
  <si>
    <t>120 dias</t>
  </si>
  <si>
    <t xml:space="preserve">Fentex </t>
  </si>
  <si>
    <t>PROPOSTA COMERCIAL</t>
  </si>
  <si>
    <t>CONDIÇÕES COMERCIAIS:</t>
  </si>
  <si>
    <t>Estados Unidos (Frete e IPI inclusos)</t>
  </si>
  <si>
    <t>OBSERVAÇÕES:</t>
  </si>
  <si>
    <t>COMPOSIÇÕES DAS CAIXAS:</t>
  </si>
  <si>
    <t>Validade da Proposta</t>
  </si>
  <si>
    <t>60 dias</t>
  </si>
  <si>
    <t>28 dias</t>
  </si>
  <si>
    <t>CTCXXX.25</t>
  </si>
  <si>
    <t>UNITÁRIO</t>
  </si>
  <si>
    <t>Etiqueta De Identificação De Alumínio Cinza - 50X18mm</t>
  </si>
  <si>
    <t>Cesto Perfurado Em Aço Inox – Sem Tampa – 405X253X80mm</t>
  </si>
  <si>
    <t>Fundo De Contêiner 3/4 Modelo Padrão Não Perfurado - 475X272X116mm</t>
  </si>
  <si>
    <t>Tampa 3/4 B3 Barrier Modelo Com Sistema Ppsu Biostop Cinza - 460X285mm</t>
  </si>
  <si>
    <t>FX.21.399</t>
  </si>
  <si>
    <t>Joelho</t>
  </si>
  <si>
    <t>Golden Saude</t>
  </si>
  <si>
    <t>GOLDEN SAUDE</t>
  </si>
  <si>
    <t>02.12.2025</t>
  </si>
  <si>
    <t>CTC013.25 A</t>
  </si>
  <si>
    <t>FELIPE</t>
  </si>
  <si>
    <t>CAIXA DE JOELHO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</si>
</sst>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4" tint="-0.499984740745262"/>
      <name val="Calibri"/>
      <family val="2"/>
    </font>
    <font>
      <b/>
      <sz val="14"/>
      <color theme="4" tint="-0.499984740745262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Aptos Narrow"/>
      <family val="2"/>
    </font>
    <font>
      <sz val="1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6" xfId="2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center"/>
    </xf>
    <xf numFmtId="0" fontId="6" fillId="0" borderId="0" xfId="0" applyFont="1"/>
    <xf numFmtId="43" fontId="6" fillId="0" borderId="0" xfId="1" applyFont="1"/>
    <xf numFmtId="0" fontId="6" fillId="2" borderId="0" xfId="0" applyFont="1" applyFill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43" fontId="11" fillId="0" borderId="0" xfId="1" applyFont="1" applyBorder="1" applyAlignment="1" applyProtection="1">
      <alignment vertical="center"/>
      <protection locked="0"/>
    </xf>
    <xf numFmtId="0" fontId="9" fillId="5" borderId="2" xfId="0" applyFont="1" applyFill="1" applyBorder="1" applyAlignment="1">
      <alignment horizontal="center" vertical="center" wrapText="1"/>
    </xf>
    <xf numFmtId="43" fontId="6" fillId="3" borderId="0" xfId="1" applyFont="1" applyFill="1" applyBorder="1" applyAlignment="1" applyProtection="1">
      <protection locked="0"/>
    </xf>
    <xf numFmtId="0" fontId="12" fillId="5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vertical="center"/>
    </xf>
    <xf numFmtId="165" fontId="10" fillId="3" borderId="2" xfId="4" applyNumberFormat="1" applyFont="1" applyFill="1" applyBorder="1" applyAlignment="1">
      <alignment horizontal="center" vertical="center"/>
    </xf>
    <xf numFmtId="44" fontId="10" fillId="3" borderId="2" xfId="2" applyFont="1" applyFill="1" applyBorder="1" applyAlignment="1">
      <alignment vertical="center"/>
    </xf>
    <xf numFmtId="44" fontId="13" fillId="5" borderId="2" xfId="2" applyFont="1" applyFill="1" applyBorder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49" fontId="0" fillId="0" borderId="6" xfId="0" applyNumberFormat="1" applyBorder="1" applyAlignment="1" applyProtection="1">
      <alignment vertical="center"/>
      <protection locked="0"/>
    </xf>
    <xf numFmtId="49" fontId="2" fillId="0" borderId="7" xfId="0" applyNumberFormat="1" applyFont="1" applyBorder="1" applyAlignment="1" applyProtection="1">
      <alignment vertical="center"/>
      <protection locked="0"/>
    </xf>
    <xf numFmtId="49" fontId="3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9" fontId="0" fillId="3" borderId="2" xfId="0" applyNumberFormat="1" applyFill="1" applyBorder="1" applyAlignment="1">
      <alignment horizontal="left" vertical="center"/>
    </xf>
    <xf numFmtId="14" fontId="0" fillId="0" borderId="2" xfId="0" applyNumberFormat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3" fillId="5" borderId="3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 applyProtection="1">
      <alignment horizontal="center" vertical="center"/>
      <protection locked="0"/>
    </xf>
    <xf numFmtId="49" fontId="3" fillId="5" borderId="9" xfId="0" applyNumberFormat="1" applyFont="1" applyFill="1" applyBorder="1" applyAlignment="1" applyProtection="1">
      <alignment horizontal="center" vertical="center"/>
      <protection locked="0" hidden="1"/>
    </xf>
    <xf numFmtId="49" fontId="3" fillId="5" borderId="8" xfId="0" applyNumberFormat="1" applyFont="1" applyFill="1" applyBorder="1" applyAlignment="1" applyProtection="1">
      <alignment horizontal="center" vertical="center"/>
      <protection locked="0" hidden="1"/>
    </xf>
    <xf numFmtId="1" fontId="0" fillId="0" borderId="6" xfId="0" applyNumberFormat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 applyProtection="1">
      <alignment horizontal="left" vertical="center" wrapText="1"/>
      <protection hidden="1"/>
    </xf>
    <xf numFmtId="0" fontId="14" fillId="0" borderId="6" xfId="0" applyFont="1" applyBorder="1" applyAlignment="1">
      <alignment horizontal="center" vertical="center" wrapText="1"/>
    </xf>
    <xf numFmtId="165" fontId="0" fillId="0" borderId="6" xfId="2" applyNumberFormat="1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wrapText="1"/>
      <protection locked="0"/>
    </xf>
    <xf numFmtId="0" fontId="10" fillId="3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9" fillId="5" borderId="6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3" fillId="5" borderId="4" xfId="0" applyNumberFormat="1" applyFont="1" applyFill="1" applyBorder="1" applyAlignment="1" applyProtection="1">
      <alignment horizontal="center" vertical="center"/>
      <protection locked="0"/>
    </xf>
    <xf numFmtId="49" fontId="3" fillId="5" borderId="1" xfId="0" applyNumberFormat="1" applyFont="1" applyFill="1" applyBorder="1" applyAlignment="1" applyProtection="1">
      <alignment horizontal="center" vertical="center"/>
      <protection locked="0"/>
    </xf>
    <xf numFmtId="164" fontId="3" fillId="5" borderId="4" xfId="0" applyNumberFormat="1" applyFont="1" applyFill="1" applyBorder="1" applyAlignment="1" applyProtection="1">
      <alignment horizontal="center" vertical="center"/>
      <protection locked="0"/>
    </xf>
    <xf numFmtId="164" fontId="3" fillId="5" borderId="5" xfId="0" applyNumberFormat="1" applyFont="1" applyFill="1" applyBorder="1" applyAlignment="1" applyProtection="1">
      <alignment horizontal="center" vertical="center"/>
      <protection locked="0"/>
    </xf>
    <xf numFmtId="164" fontId="3" fillId="5" borderId="1" xfId="0" applyNumberFormat="1" applyFont="1" applyFill="1" applyBorder="1" applyAlignment="1" applyProtection="1">
      <alignment horizontal="center" vertical="center"/>
      <protection locked="0"/>
    </xf>
  </cellXfs>
  <cellStyles count="14">
    <cellStyle name="Moeda" xfId="2" builtinId="4"/>
    <cellStyle name="Moeda 2" xfId="10" xr:uid="{00000000-0005-0000-0000-000001000000}"/>
    <cellStyle name="Normal" xfId="0" builtinId="0"/>
    <cellStyle name="Porcentagem" xfId="4" builtinId="5"/>
    <cellStyle name="Standard 6" xfId="3" xr:uid="{00000000-0005-0000-0000-000006000000}"/>
    <cellStyle name="Vírgula" xfId="1" builtinId="3"/>
    <cellStyle name="Vírgula 2" xfId="5" xr:uid="{00000000-0005-0000-0000-000008000000}"/>
    <cellStyle name="Vírgula 2 2" xfId="8" xr:uid="{00000000-0005-0000-0000-000009000000}"/>
    <cellStyle name="Vírgula 2 3" xfId="11" xr:uid="{00000000-0005-0000-0000-00000A000000}"/>
    <cellStyle name="Vírgula 3" xfId="6" xr:uid="{00000000-0005-0000-0000-00000B000000}"/>
    <cellStyle name="Vírgula 3 2" xfId="12" xr:uid="{00000000-0005-0000-0000-00000C000000}"/>
    <cellStyle name="Vírgula 4" xfId="7" xr:uid="{00000000-0005-0000-0000-00000D000000}"/>
    <cellStyle name="Vírgula 4 2" xfId="13" xr:uid="{00000000-0005-0000-0000-00000E000000}"/>
    <cellStyle name="Vírgula 5" xfId="9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2406650</xdr:colOff>
      <xdr:row>0</xdr:row>
      <xdr:rowOff>158751</xdr:rowOff>
    </xdr:from>
    <xdr:to>
      <xdr:col>7</xdr:col>
      <xdr:colOff>19050</xdr:colOff>
      <xdr:row>7</xdr:row>
      <xdr:rowOff>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997325" y="158751"/>
          <a:ext cx="2270125" cy="11747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CMEtK Soluções Hospitalares Ltda</a:t>
          </a:r>
        </a:p>
        <a:p>
          <a:r>
            <a:rPr lang="pt-BR" sz="1100"/>
            <a:t>CNPJ 19.330.683/0001-73</a:t>
          </a:r>
        </a:p>
        <a:p>
          <a:endParaRPr lang="pt-BR" sz="1100"/>
        </a:p>
        <a:p>
          <a:r>
            <a:rPr lang="pt-BR" sz="1100"/>
            <a:t>Av. Queiroz Filho 1700 – Torre E – Sala 511 Vila Lobos Office Park </a:t>
          </a:r>
        </a:p>
        <a:p>
          <a:r>
            <a:rPr lang="pt-BR" sz="1100"/>
            <a:t>São Paulo -SP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28574</xdr:rowOff>
    </xdr:from>
    <xdr:to>
      <xdr:col>3</xdr:col>
      <xdr:colOff>551451</xdr:colOff>
      <xdr:row>5</xdr:row>
      <xdr:rowOff>180021</xdr:rowOff>
    </xdr:to>
    <xdr:pic>
      <xdr:nvPicPr>
        <xdr:cNvPr id="2" name="Imagem 1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7EF0BEF3-4BA8-2C4B-4B95-A459DDC82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74"/>
          <a:ext cx="1936386" cy="111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</xdr:colOff>
      <xdr:row>46</xdr:row>
      <xdr:rowOff>0</xdr:rowOff>
    </xdr:to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0</xdr:colOff>
      <xdr:row>46</xdr:row>
      <xdr:rowOff>0</xdr:rowOff>
    </xdr:to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46</xdr:row>
      <xdr:rowOff>0</xdr:rowOff>
    </xdr:from>
    <xdr:ext cx="9525" cy="9525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3175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9525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2030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590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5909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238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4325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4325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4325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62108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62108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46783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46783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46783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9029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90297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97647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97647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97647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90598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90598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01171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01171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01171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3929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8392954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80417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8041719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912082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912082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912082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84183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841835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516969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947205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947205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947205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93263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0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39326344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89751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0</xdr:rowOff>
    </xdr:from>
    <xdr:ext cx="0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3897511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0054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0054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0054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393517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3935174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040544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040544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040544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47377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0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473773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546560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546560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5465604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47631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476313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58168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58168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46</xdr:row>
      <xdr:rowOff>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3204" y="4581683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978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978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978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978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06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06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06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68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38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03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06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06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06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74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:a16="http://schemas.microsoft.com/office/drawing/2014/main" id="{172B366E-3930-4DE3-B6E4-5013129D0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:a16="http://schemas.microsoft.com/office/drawing/2014/main" id="{2751CFDB-CA1C-4781-84D4-4B372B964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:a16="http://schemas.microsoft.com/office/drawing/2014/main" id="{3AC56DE8-4E89-4384-9E61-DFD53FFE4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BDE23AB8-CDC1-4019-BEBC-2977EF702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424B75DD-D97F-4D18-A385-82444BE5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BE8321F4-6D9D-4ADF-9D45-BDFB5254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0DE60299-FE20-4C8A-8468-285993515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5C88FC35-14C3-44F3-8C8B-64A37DA0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7D70E282-15E0-4D44-8093-235E1C99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68753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0</xdr:rowOff>
    </xdr:from>
    <xdr:ext cx="0" cy="0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748E3D28-3F8A-4DF5-BB13-F8FB53C4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687536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ABDEE536-1D42-4144-954E-EC571D48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4C34136D-E760-40C4-A718-433A56A17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781D59EE-69E4-48FA-9479-320ECB02E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CBA3C43D-FF5E-4A74-8453-AFAA0247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017D2C91-B9FB-4F4F-8340-D3910ABAC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8924D0DA-4B0C-44A9-B874-1C0BB784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EEA22448-13F0-4A97-8EB3-2217B2579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BD740DAD-F02E-410A-9F94-605D7FAC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0AC0E9D0-F92E-4994-BB88-7F244958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9" y="3333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0</xdr:rowOff>
    </xdr:from>
    <xdr:ext cx="0" cy="0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4CBD9606-F759-451D-9104-EE1F2419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337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2B589F9F-5E58-4A8B-9986-29522806E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A52A530B-FEA9-43A0-93F4-FCDFF61B4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761DA5AD-9B1E-4ECE-BDC5-B46DBFC15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2B087D3E-F584-4126-8E45-333EC062C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466130CA-3BA4-4B23-9435-FAB133347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FF59B707-94BF-44AC-A561-F4599C1C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552C430D-B04F-4814-902A-E7C77DDC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FB2451C5-0DCD-47FE-8870-C9EF789F5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A895C1DD-3C5A-4CDB-9EED-BD8BC5D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E0472BFD-4DCF-4CEB-8A2C-D780E3368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F24FC338-712C-4673-967F-7803815DF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F007C004-07C8-4048-BEC9-7EB7F095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8DFF588E-69C6-4418-AE02-0EDFBA983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7ADED8DF-D4E3-4BBC-B736-516F7E26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84041D96-30A4-4510-ACA3-5FB539F01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931A9DFD-8B09-4049-85F8-44F20C33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63EAF92B-12F6-4303-9BCF-6190A1DC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2B104875-C6FB-42B0-83FD-BBE728E0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653151AC-E360-40C1-80F6-2F85E3A1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32F5CAFB-E85A-42EB-AFC2-05FEB7D0E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0E8362A4-700B-4C7C-9E7B-33F5B56EA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2A2945FA-BA06-484F-B520-BE56309D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B96D53F0-F08D-4B10-85B3-95E3F795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B4257FDF-D2AE-4AF3-8538-FFC6F71A1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3FCFBC78-2CC1-4ECE-A846-79B89B49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44BBAE5F-F683-42E4-9AD5-F62A1BC97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6EFB869C-DFBC-487F-A2E9-1F4A26F9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B51B2F85-768A-4D63-A983-9D7F48CC0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1D559E44-0B8B-4B41-93B3-A6E0AE21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0379DBE2-8B65-41F3-8DB3-B55FC23E3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EDC6B32B-5759-4EF8-8896-D364AFB3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75292403-26E2-4F1F-A090-5642BF92E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D03E2883-C08E-4DD6-B864-8D5BAC2E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6403816E-1848-4221-B889-F9E8025E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BC81D092-4CEB-4965-9F45-009AD203F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7709F003-64EF-41F4-85CB-1BAA2CA6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CB3CBDA1-941F-4DE0-B421-422DD79D6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C13EA78E-BF77-4092-8420-DE2C12F76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99E03E9F-4DF3-48ED-B3AE-FD0946A2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217E5713-4FD5-4DC6-B2D1-57104D4FA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CAC8647B-9B9C-4342-AEFF-3F743E8D7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D36FA86E-1091-4D26-AF29-6681DD84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23B9B756-3845-485D-8A8A-C240DAF2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A7502D9E-5D30-412E-8CD0-5ADBAC77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27</xdr:row>
      <xdr:rowOff>25400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8F2A7AE9-D926-4075-B541-EFDC79460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265634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27</xdr:row>
      <xdr:rowOff>25400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663DE481-2010-4EA5-995D-400C6BCC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265634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8101C5BB-E15D-4240-B739-0A05707C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400F2733-9E5F-455E-9255-7BAC867B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4945DE2D-D5F4-4FEE-9DCC-8D06BB469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16DD2736-EAAD-45D6-ADEA-BCB48764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0A821FFE-E2DB-4525-A67F-2FAA01D7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2B670A09-B6FC-4F00-9BCC-3E16ECEB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EF19428A-03EC-4375-8180-356326CA5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23A7591C-04E6-4D4D-8D89-F7CFA824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27</xdr:row>
      <xdr:rowOff>25400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B1050CDB-11CB-4EFA-B522-68981E2B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265634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27</xdr:row>
      <xdr:rowOff>25400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0C5B9DEF-DA27-4B01-98E9-47D2459EC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265634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1BA7D22D-039B-4A13-AE15-55DF6857D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B7D5480D-AAC2-4668-BC50-0614E6A3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441E0462-56C7-4594-8CAE-F84E9D156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E5AD2F70-8BA7-4AF7-93A4-4F260E69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8A595877-B86E-4DB3-A5E1-A52E0F716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D2B3FB21-0427-4E58-B510-934668ED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243A6A59-C8EC-44A8-AF5A-A881E99D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7A0E9F5C-A043-44E8-8586-3A8CD6555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B096C3D9-6B7A-4879-B4B9-379627A4F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A4EFB1CC-4620-4703-BA79-9EE735AC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0AD8095B-6A4E-4748-A389-DD2E0056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01E52046-2EAA-4591-9D64-9031D9A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350000BB-DE2E-402F-BADC-34F456DEF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EA8AA91D-5899-4900-9DD1-8ACC56DEA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E3F0DD2D-704B-47D8-8DA9-E6D24C67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558273AE-90CF-43E0-BA19-30F25F9D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52CDEFE1-42FE-4ED3-A997-BEDB36638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B66264E7-098D-4473-A334-022E5CF2B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E83527E2-26DC-45CA-80E7-20FD0C685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4D2E00BF-DB5A-4ABE-BB86-7625642EC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E10FE5B9-12BF-4C00-A734-18F902A5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416E26EF-8899-494F-86F7-F7B0FCD62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FC9E83D0-C67D-4A61-8C07-F18924B73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7D304B27-9FAE-4ED9-AF3E-8F5EA25A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F3CEAC6E-EB25-46A7-AD7E-857269333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E56953F9-0FAF-4714-98B9-8BB2E56B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4376322F-5704-47C0-B079-CADBA8E2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CCE8FCA9-997D-4BA7-972E-D2A2FF73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C90C4212-0820-4A58-9138-5ECFC3C7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C6C77D68-FF45-41A4-B82B-4D65E487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EF115049-453E-42CB-BE7E-6A7278821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660C07F0-EE08-4FBF-A753-9D2E568A3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997A5579-0B46-439D-8547-5771A68C3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0200D092-8BD9-45C2-9EBC-4AD040040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43E76491-F4E0-4AE3-80AD-8EF67B1A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36B9C544-385A-4076-AE51-4B5B33CD7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48257BEC-77FA-4091-A07C-1FCAAEA46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0951D9A6-4A6E-4BB7-82A6-FBFB45958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BA805C55-4EB5-4296-B897-54748AACD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50BEAF30-2757-4EFC-887C-DEF9B84C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A280AE01-520E-4C35-B9F6-771D7A436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6F96AD88-2355-49EB-9927-CB8ACF21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41CED67B-D452-4F13-93F8-C90B6FE59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5B2E8701-41FF-4204-B87F-63E18D7E0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4CF72125-3FAC-4A7F-95A4-49DA8E0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F8D02D55-202A-4FD0-A9E7-A4A9D417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096176A4-27DC-495C-AAE6-C749AD0B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29</xdr:row>
      <xdr:rowOff>25400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6FE07B62-53E0-48DE-9D88-7D4614313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36391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FA05A5E6-DFC9-424A-A71F-72E207EDD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D25F8BEC-E42C-4622-8276-D8F91429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B67203A9-4D37-49D7-A754-8EBD25EE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91E0CBE1-1591-498E-8A75-D8CF1001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507C736B-5BB6-4572-838D-BCA71A02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87FFA310-106D-4CC7-B734-731FA1DAC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79E244C5-B768-49AA-BB47-48C951077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00F7F65B-2833-452A-AB1A-6A1FE713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CD381F92-176E-4875-88C0-FD413F4C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D63B9FEE-9A3A-417E-9301-F44C7A04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D9EF5C53-58B3-40D4-85AE-C0F73FD3D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0A8F4FDE-7DDC-4125-9387-54FC7BD7E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0D7DC171-672F-42D0-B797-F16EEE53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460C704A-A4FD-42C2-8FBC-F192F621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28</xdr:row>
      <xdr:rowOff>25400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402A4417-57D5-4438-807C-1EA60AFDA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01012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7F6681A2-29A4-47AE-8EE1-2FA0FC5D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CA1A69A8-F418-4762-9F38-822772B10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25400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30FE016A-1E6E-4FC1-A377-9EFC41D7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07148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18C143FC-DD58-48DC-86AB-78D97DA5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D65B9894-9696-48B1-8E99-2012730BB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C0404C2A-EA7F-405A-AB0C-C910AF57F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0811429D-55AE-46F3-8002-E6B486AD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B575D9D7-67AB-451E-A0F7-94384E11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5074843F-228E-4558-93C3-313082E59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30</xdr:row>
      <xdr:rowOff>25400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BABC2ED4-6227-4565-B27B-EC43F3D26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371769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4DCC1D07-BBFB-437C-83E6-70C3D6F66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14BBB84F-6219-41B4-8338-27E8ADFC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25400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75F0F1A1-8E02-4361-95FD-EE9417F88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77905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AD05AE1E-D21C-4299-8B67-86258CB33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32</xdr:row>
      <xdr:rowOff>25400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7F567321-94C1-4CAD-816D-F2C8A7D94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821" y="442526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2406650</xdr:colOff>
      <xdr:row>0</xdr:row>
      <xdr:rowOff>158751</xdr:rowOff>
    </xdr:from>
    <xdr:to>
      <xdr:col>7</xdr:col>
      <xdr:colOff>19050</xdr:colOff>
      <xdr:row>7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6CAA00F-9682-4E07-AD72-DD71F4CB3B02}"/>
            </a:ext>
          </a:extLst>
        </xdr:cNvPr>
        <xdr:cNvSpPr txBox="1"/>
      </xdr:nvSpPr>
      <xdr:spPr>
        <a:xfrm>
          <a:off x="3997325" y="158751"/>
          <a:ext cx="2270125" cy="11747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CMEtK Soluções Hospitalares Ltda</a:t>
          </a:r>
        </a:p>
        <a:p>
          <a:r>
            <a:rPr lang="pt-BR" sz="1100"/>
            <a:t>CNPJ 19.330.683/0001-73</a:t>
          </a:r>
        </a:p>
        <a:p>
          <a:endParaRPr lang="pt-BR" sz="1100"/>
        </a:p>
        <a:p>
          <a:r>
            <a:rPr lang="pt-BR" sz="1100"/>
            <a:t>Av. Queiroz Filho 1700 – Torre E – Sala 511 Vila Lobos Office Park </a:t>
          </a:r>
        </a:p>
        <a:p>
          <a:r>
            <a:rPr lang="pt-BR" sz="1100"/>
            <a:t>São Paulo -SP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28574</xdr:rowOff>
    </xdr:from>
    <xdr:to>
      <xdr:col>3</xdr:col>
      <xdr:colOff>551451</xdr:colOff>
      <xdr:row>5</xdr:row>
      <xdr:rowOff>180021</xdr:rowOff>
    </xdr:to>
    <xdr:pic>
      <xdr:nvPicPr>
        <xdr:cNvPr id="3" name="Imagem 2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BB2B6883-15BF-43EF-8816-B7B104754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74"/>
          <a:ext cx="1923051" cy="110394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32</xdr:row>
      <xdr:rowOff>180975</xdr:rowOff>
    </xdr:from>
    <xdr:to>
      <xdr:col>5</xdr:col>
      <xdr:colOff>1038225</xdr:colOff>
      <xdr:row>65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C2AA6A1-0477-3465-ECF1-40820C73B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715125"/>
          <a:ext cx="5972175" cy="62674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65</xdr:row>
      <xdr:rowOff>142875</xdr:rowOff>
    </xdr:from>
    <xdr:to>
      <xdr:col>5</xdr:col>
      <xdr:colOff>1028700</xdr:colOff>
      <xdr:row>88</xdr:row>
      <xdr:rowOff>67276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D01C432-F814-6993-ACE0-471E211B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1" y="12963525"/>
          <a:ext cx="5953124" cy="43059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B1:M88"/>
  <sheetViews>
    <sheetView showGridLines="0" zoomScaleNormal="100" zoomScalePageLayoutView="80" workbookViewId="0">
      <selection sqref="A1:XFD1048576"/>
    </sheetView>
  </sheetViews>
  <sheetFormatPr defaultColWidth="9.140625" defaultRowHeight="15" x14ac:dyDescent="0.25"/>
  <cols>
    <col min="1" max="1" width="5.85546875" style="3" customWidth="1"/>
    <col min="2" max="2" width="7.85546875" style="3" customWidth="1"/>
    <col min="3" max="3" width="10.140625" style="3" customWidth="1"/>
    <col min="4" max="4" width="36.140625" style="3" customWidth="1"/>
    <col min="5" max="5" width="14.7109375" style="3" customWidth="1"/>
    <col min="6" max="6" width="16.5703125" style="3" bestFit="1" customWidth="1"/>
    <col min="7" max="7" width="2.42578125" style="3" customWidth="1"/>
    <col min="8" max="8" width="1.42578125" style="4" customWidth="1"/>
    <col min="9" max="9" width="15.140625" style="3" customWidth="1"/>
    <col min="10" max="10" width="11.85546875" style="3" customWidth="1"/>
    <col min="11" max="16384" width="9.140625" style="3"/>
  </cols>
  <sheetData>
    <row r="1" spans="2:13" x14ac:dyDescent="0.25">
      <c r="E1" s="57"/>
      <c r="F1" s="57"/>
      <c r="G1" s="57"/>
      <c r="I1" s="5"/>
      <c r="J1" s="5"/>
      <c r="K1" s="5"/>
      <c r="L1" s="5"/>
      <c r="M1" s="5"/>
    </row>
    <row r="2" spans="2:13" x14ac:dyDescent="0.25">
      <c r="I2" s="5"/>
      <c r="J2" s="5"/>
      <c r="K2" s="5"/>
      <c r="L2" s="5"/>
      <c r="M2" s="5"/>
    </row>
    <row r="3" spans="2:13" x14ac:dyDescent="0.25">
      <c r="I3" s="5"/>
      <c r="J3" s="5"/>
      <c r="K3" s="5"/>
      <c r="L3" s="5"/>
      <c r="M3" s="5"/>
    </row>
    <row r="4" spans="2:13" x14ac:dyDescent="0.25">
      <c r="I4" s="5"/>
      <c r="J4" s="5"/>
      <c r="K4" s="5"/>
      <c r="L4" s="5"/>
      <c r="M4" s="5"/>
    </row>
    <row r="5" spans="2:13" x14ac:dyDescent="0.25">
      <c r="I5" s="5"/>
      <c r="J5" s="5"/>
      <c r="K5" s="5"/>
      <c r="L5" s="5"/>
      <c r="M5" s="5"/>
    </row>
    <row r="6" spans="2:13" x14ac:dyDescent="0.25">
      <c r="I6" s="5"/>
      <c r="J6" s="5"/>
      <c r="K6" s="5"/>
      <c r="L6" s="5"/>
      <c r="M6" s="5"/>
    </row>
    <row r="7" spans="2:13" x14ac:dyDescent="0.25">
      <c r="I7" s="5"/>
      <c r="J7" s="5"/>
      <c r="K7" s="5"/>
      <c r="L7" s="5"/>
      <c r="M7" s="5"/>
    </row>
    <row r="8" spans="2:13" ht="15.75" customHeight="1" x14ac:dyDescent="0.25">
      <c r="D8" s="62" t="s">
        <v>110</v>
      </c>
      <c r="E8" s="62"/>
      <c r="I8" s="5"/>
      <c r="J8" s="5"/>
      <c r="K8" s="5"/>
      <c r="L8" s="5"/>
      <c r="M8" s="5"/>
    </row>
    <row r="9" spans="2:13" ht="15" customHeight="1" x14ac:dyDescent="0.25">
      <c r="D9" s="62"/>
      <c r="E9" s="62"/>
      <c r="I9" s="5"/>
      <c r="J9" s="5"/>
      <c r="K9" s="5"/>
      <c r="L9" s="5"/>
      <c r="M9" s="5"/>
    </row>
    <row r="10" spans="2:13" x14ac:dyDescent="0.25">
      <c r="D10" s="62"/>
      <c r="E10" s="62"/>
      <c r="I10" s="5"/>
      <c r="J10" s="5"/>
      <c r="K10" s="5"/>
      <c r="L10" s="5"/>
      <c r="M10" s="5"/>
    </row>
    <row r="11" spans="2:13" ht="18.75" x14ac:dyDescent="0.25">
      <c r="C11" s="6"/>
      <c r="D11" s="7"/>
      <c r="E11" s="7"/>
      <c r="F11" s="58"/>
      <c r="G11" s="58"/>
      <c r="H11" s="58"/>
      <c r="I11" s="5"/>
      <c r="J11" s="5"/>
      <c r="K11" s="5"/>
      <c r="L11" s="5"/>
      <c r="M11" s="5"/>
    </row>
    <row r="12" spans="2:13" ht="22.15" customHeight="1" x14ac:dyDescent="0.25">
      <c r="B12" s="49" t="s">
        <v>64</v>
      </c>
      <c r="C12" s="59"/>
      <c r="D12" s="60"/>
      <c r="E12" s="8" t="s">
        <v>1</v>
      </c>
      <c r="F12" s="10"/>
      <c r="G12" s="11"/>
      <c r="H12" s="12"/>
      <c r="I12" s="5"/>
      <c r="J12" s="5"/>
      <c r="K12" s="5"/>
      <c r="L12" s="5"/>
      <c r="M12" s="5"/>
    </row>
    <row r="13" spans="2:13" ht="21.75" customHeight="1" x14ac:dyDescent="0.25">
      <c r="B13" s="13" t="s">
        <v>70</v>
      </c>
      <c r="C13" s="60"/>
      <c r="D13" s="60"/>
      <c r="E13" s="13" t="s">
        <v>71</v>
      </c>
      <c r="F13" s="9" t="s">
        <v>118</v>
      </c>
      <c r="G13" s="11"/>
      <c r="H13" s="14"/>
      <c r="I13" s="5"/>
      <c r="J13" s="5"/>
      <c r="K13" s="5"/>
      <c r="L13" s="5"/>
      <c r="M13" s="5"/>
    </row>
    <row r="14" spans="2:13" ht="27.75" customHeight="1" x14ac:dyDescent="0.25">
      <c r="H14" s="12"/>
      <c r="I14" s="5"/>
      <c r="J14" s="5"/>
      <c r="K14" s="5"/>
      <c r="L14" s="5"/>
      <c r="M14" s="5"/>
    </row>
    <row r="15" spans="2:13" x14ac:dyDescent="0.25">
      <c r="B15" s="15" t="s">
        <v>2</v>
      </c>
      <c r="C15" s="15" t="s">
        <v>69</v>
      </c>
      <c r="D15" s="15" t="s">
        <v>3</v>
      </c>
      <c r="E15" s="15" t="s">
        <v>4</v>
      </c>
      <c r="F15" s="15" t="s">
        <v>5</v>
      </c>
      <c r="I15" s="5"/>
      <c r="J15" s="5"/>
      <c r="K15" s="5"/>
      <c r="L15" s="5"/>
      <c r="M15" s="5"/>
    </row>
    <row r="16" spans="2:13" x14ac:dyDescent="0.25">
      <c r="B16" s="16">
        <v>1</v>
      </c>
      <c r="C16" s="16">
        <v>1</v>
      </c>
      <c r="D16" s="47"/>
      <c r="E16" s="18"/>
      <c r="F16" s="19">
        <f t="shared" ref="F16:F22" si="0">C16*E16</f>
        <v>0</v>
      </c>
      <c r="I16" s="5"/>
      <c r="J16" s="5"/>
      <c r="K16" s="5"/>
      <c r="L16" s="5"/>
      <c r="M16" s="5"/>
    </row>
    <row r="17" spans="2:13" x14ac:dyDescent="0.25">
      <c r="B17" s="16">
        <v>2</v>
      </c>
      <c r="C17" s="16">
        <v>1</v>
      </c>
      <c r="D17" s="17"/>
      <c r="E17" s="18"/>
      <c r="F17" s="19">
        <f t="shared" si="0"/>
        <v>0</v>
      </c>
      <c r="I17" s="5"/>
      <c r="J17" s="5"/>
      <c r="K17" s="5"/>
      <c r="L17" s="5"/>
      <c r="M17" s="5"/>
    </row>
    <row r="18" spans="2:13" x14ac:dyDescent="0.25">
      <c r="B18" s="16">
        <v>3</v>
      </c>
      <c r="C18" s="16">
        <v>1</v>
      </c>
      <c r="D18" s="17"/>
      <c r="E18" s="18"/>
      <c r="F18" s="19">
        <f t="shared" ref="F18:F21" si="1">C18*E18</f>
        <v>0</v>
      </c>
      <c r="I18" s="5"/>
      <c r="J18" s="5"/>
      <c r="K18" s="5"/>
      <c r="L18" s="5"/>
      <c r="M18" s="5"/>
    </row>
    <row r="19" spans="2:13" ht="14.25" customHeight="1" x14ac:dyDescent="0.25">
      <c r="B19" s="16">
        <v>4</v>
      </c>
      <c r="C19" s="16">
        <v>1</v>
      </c>
      <c r="D19" s="17"/>
      <c r="E19" s="18"/>
      <c r="F19" s="19">
        <f t="shared" si="1"/>
        <v>0</v>
      </c>
      <c r="I19" s="5"/>
      <c r="J19" s="5"/>
      <c r="K19" s="5"/>
      <c r="L19" s="5"/>
      <c r="M19" s="5"/>
    </row>
    <row r="20" spans="2:13" x14ac:dyDescent="0.25">
      <c r="B20" s="16">
        <v>5</v>
      </c>
      <c r="C20" s="16">
        <v>1</v>
      </c>
      <c r="D20" s="17"/>
      <c r="E20" s="18"/>
      <c r="F20" s="19">
        <f t="shared" si="1"/>
        <v>0</v>
      </c>
      <c r="I20" s="5"/>
      <c r="J20" s="5"/>
      <c r="K20" s="5"/>
      <c r="L20" s="5"/>
      <c r="M20" s="5"/>
    </row>
    <row r="21" spans="2:13" ht="14.25" customHeight="1" x14ac:dyDescent="0.25">
      <c r="B21" s="16">
        <v>6</v>
      </c>
      <c r="C21" s="16">
        <v>1</v>
      </c>
      <c r="D21" s="17"/>
      <c r="E21" s="18"/>
      <c r="F21" s="19">
        <f t="shared" si="1"/>
        <v>0</v>
      </c>
      <c r="I21" s="5"/>
      <c r="J21" s="5"/>
      <c r="K21" s="5"/>
      <c r="L21" s="5"/>
      <c r="M21" s="5"/>
    </row>
    <row r="22" spans="2:13" x14ac:dyDescent="0.25">
      <c r="B22" s="16">
        <v>7</v>
      </c>
      <c r="C22" s="16">
        <v>1</v>
      </c>
      <c r="D22" s="47"/>
      <c r="E22" s="18"/>
      <c r="F22" s="19">
        <f t="shared" si="0"/>
        <v>0</v>
      </c>
      <c r="I22" s="5"/>
      <c r="J22" s="5"/>
      <c r="K22" s="5"/>
      <c r="L22" s="5"/>
      <c r="M22" s="5"/>
    </row>
    <row r="23" spans="2:13" ht="14.25" customHeight="1" x14ac:dyDescent="0.25">
      <c r="B23" s="16">
        <v>8</v>
      </c>
      <c r="C23" s="16">
        <v>1</v>
      </c>
      <c r="D23" s="47"/>
      <c r="E23" s="18"/>
      <c r="F23" s="19">
        <f t="shared" ref="F23" si="2">C23*E23</f>
        <v>0</v>
      </c>
      <c r="I23" s="5"/>
      <c r="J23" s="5"/>
      <c r="K23" s="5"/>
      <c r="L23" s="5"/>
      <c r="M23" s="5"/>
    </row>
    <row r="24" spans="2:13" ht="16.899999999999999" customHeight="1" x14ac:dyDescent="0.25">
      <c r="D24" s="61" t="s">
        <v>57</v>
      </c>
      <c r="E24" s="61"/>
      <c r="F24" s="20">
        <f>SUM(F16:F23)</f>
        <v>0</v>
      </c>
      <c r="I24" s="5"/>
      <c r="J24" s="5"/>
      <c r="K24" s="5"/>
      <c r="L24" s="5"/>
      <c r="M24" s="5"/>
    </row>
    <row r="25" spans="2:13" x14ac:dyDescent="0.25">
      <c r="I25" s="5"/>
      <c r="J25" s="5"/>
      <c r="K25" s="5"/>
      <c r="L25" s="5"/>
      <c r="M25" s="5"/>
    </row>
    <row r="26" spans="2:13" x14ac:dyDescent="0.25">
      <c r="I26" s="5"/>
      <c r="J26" s="5"/>
      <c r="K26" s="5"/>
      <c r="L26" s="5"/>
      <c r="M26" s="5"/>
    </row>
    <row r="27" spans="2:13" ht="15.75" x14ac:dyDescent="0.25">
      <c r="B27" s="51" t="s">
        <v>111</v>
      </c>
      <c r="I27" s="5"/>
      <c r="J27" s="5"/>
      <c r="K27" s="5"/>
      <c r="L27" s="5"/>
      <c r="M27" s="5"/>
    </row>
    <row r="28" spans="2:13" x14ac:dyDescent="0.25">
      <c r="B28" s="50"/>
      <c r="I28" s="5"/>
      <c r="J28" s="5"/>
      <c r="K28" s="5"/>
      <c r="L28" s="5"/>
      <c r="M28" s="5"/>
    </row>
    <row r="29" spans="2:13" x14ac:dyDescent="0.25">
      <c r="B29" s="6" t="s">
        <v>59</v>
      </c>
      <c r="D29" s="3" t="s">
        <v>109</v>
      </c>
      <c r="I29" s="5"/>
      <c r="J29" s="5"/>
      <c r="K29" s="5"/>
      <c r="L29" s="5"/>
      <c r="M29" s="5"/>
    </row>
    <row r="30" spans="2:13" x14ac:dyDescent="0.25">
      <c r="B30" s="6" t="s">
        <v>58</v>
      </c>
      <c r="D30" s="3" t="s">
        <v>112</v>
      </c>
      <c r="I30" s="5"/>
      <c r="J30" s="5"/>
      <c r="K30" s="5"/>
      <c r="L30" s="5"/>
      <c r="M30" s="5"/>
    </row>
    <row r="31" spans="2:13" x14ac:dyDescent="0.25">
      <c r="B31" s="6" t="s">
        <v>61</v>
      </c>
      <c r="D31" s="3" t="s">
        <v>108</v>
      </c>
      <c r="I31" s="5"/>
      <c r="J31" s="5"/>
      <c r="K31" s="5"/>
      <c r="L31" s="5"/>
      <c r="M31" s="5"/>
    </row>
    <row r="32" spans="2:13" x14ac:dyDescent="0.25">
      <c r="B32" s="6" t="s">
        <v>62</v>
      </c>
      <c r="D32" s="3" t="s">
        <v>117</v>
      </c>
      <c r="I32" s="5"/>
      <c r="J32" s="5"/>
      <c r="K32" s="5"/>
      <c r="L32" s="5"/>
      <c r="M32" s="5"/>
    </row>
    <row r="33" spans="2:13" x14ac:dyDescent="0.25">
      <c r="B33" s="6" t="s">
        <v>115</v>
      </c>
      <c r="D33" s="3" t="s">
        <v>116</v>
      </c>
      <c r="I33" s="5"/>
      <c r="J33" s="5"/>
      <c r="K33" s="5"/>
      <c r="L33" s="5"/>
      <c r="M33" s="5"/>
    </row>
    <row r="34" spans="2:13" x14ac:dyDescent="0.25">
      <c r="B34" s="6"/>
      <c r="I34" s="5"/>
      <c r="J34" s="5"/>
      <c r="K34" s="5"/>
      <c r="L34" s="5"/>
      <c r="M34" s="5"/>
    </row>
    <row r="35" spans="2:13" x14ac:dyDescent="0.25">
      <c r="B35" s="56" t="s">
        <v>63</v>
      </c>
      <c r="C35" s="56"/>
      <c r="D35" s="56"/>
      <c r="E35" s="56"/>
      <c r="F35" s="56"/>
      <c r="I35" s="5"/>
      <c r="J35" s="5"/>
      <c r="K35" s="5"/>
      <c r="L35" s="5"/>
      <c r="M35" s="5"/>
    </row>
    <row r="36" spans="2:13" x14ac:dyDescent="0.25">
      <c r="I36" s="5"/>
      <c r="J36" s="5"/>
      <c r="K36" s="5"/>
      <c r="L36" s="5"/>
      <c r="M36" s="5"/>
    </row>
    <row r="37" spans="2:13" ht="15.75" x14ac:dyDescent="0.25">
      <c r="B37" s="51" t="s">
        <v>113</v>
      </c>
      <c r="I37" s="5"/>
      <c r="J37" s="5"/>
      <c r="K37" s="5"/>
      <c r="L37" s="5"/>
      <c r="M37" s="5"/>
    </row>
    <row r="38" spans="2:13" x14ac:dyDescent="0.25">
      <c r="I38" s="5"/>
      <c r="J38" s="5"/>
      <c r="K38" s="5"/>
      <c r="L38" s="5"/>
      <c r="M38" s="5"/>
    </row>
    <row r="39" spans="2:13" x14ac:dyDescent="0.25">
      <c r="I39" s="5"/>
      <c r="J39" s="5"/>
      <c r="K39" s="5"/>
      <c r="L39" s="5"/>
      <c r="M39" s="5"/>
    </row>
    <row r="40" spans="2:13" ht="15.75" x14ac:dyDescent="0.25">
      <c r="B40" s="51" t="s">
        <v>114</v>
      </c>
      <c r="I40" s="5"/>
      <c r="J40" s="5"/>
      <c r="K40" s="5"/>
      <c r="L40" s="5"/>
      <c r="M40" s="5"/>
    </row>
    <row r="41" spans="2:13" x14ac:dyDescent="0.25">
      <c r="I41" s="5"/>
      <c r="J41" s="5"/>
      <c r="K41" s="5"/>
      <c r="L41" s="5"/>
      <c r="M41" s="5"/>
    </row>
    <row r="42" spans="2:13" x14ac:dyDescent="0.25">
      <c r="I42" s="5"/>
      <c r="J42" s="5"/>
      <c r="K42" s="5"/>
      <c r="L42" s="5"/>
      <c r="M42" s="5"/>
    </row>
    <row r="43" spans="2:13" x14ac:dyDescent="0.25">
      <c r="I43" s="5"/>
      <c r="J43" s="5"/>
      <c r="K43" s="5"/>
      <c r="L43" s="5"/>
      <c r="M43" s="5"/>
    </row>
    <row r="44" spans="2:13" x14ac:dyDescent="0.25">
      <c r="I44" s="5"/>
      <c r="J44" s="5"/>
      <c r="K44" s="5"/>
      <c r="L44" s="5"/>
      <c r="M44" s="5"/>
    </row>
    <row r="45" spans="2:13" x14ac:dyDescent="0.25">
      <c r="I45" s="5"/>
      <c r="J45" s="5"/>
      <c r="K45" s="5"/>
      <c r="L45" s="5"/>
      <c r="M45" s="5"/>
    </row>
    <row r="46" spans="2:13" x14ac:dyDescent="0.25">
      <c r="I46" s="5"/>
      <c r="J46" s="5"/>
      <c r="K46" s="5"/>
      <c r="L46" s="5"/>
      <c r="M46" s="5"/>
    </row>
    <row r="47" spans="2:13" x14ac:dyDescent="0.25">
      <c r="I47" s="5"/>
      <c r="J47" s="5"/>
      <c r="K47" s="5"/>
      <c r="L47" s="5"/>
      <c r="M47" s="5"/>
    </row>
    <row r="48" spans="2:13" x14ac:dyDescent="0.25">
      <c r="I48" s="5"/>
      <c r="J48" s="5"/>
      <c r="K48" s="5"/>
      <c r="L48" s="5"/>
      <c r="M48" s="5"/>
    </row>
    <row r="49" spans="9:13" x14ac:dyDescent="0.25">
      <c r="I49" s="5"/>
      <c r="J49" s="5"/>
      <c r="K49" s="5"/>
      <c r="L49" s="5"/>
      <c r="M49" s="5"/>
    </row>
    <row r="50" spans="9:13" x14ac:dyDescent="0.25">
      <c r="I50" s="5"/>
      <c r="J50" s="5"/>
      <c r="K50" s="5"/>
      <c r="L50" s="5"/>
      <c r="M50" s="5"/>
    </row>
    <row r="51" spans="9:13" x14ac:dyDescent="0.25">
      <c r="I51" s="5"/>
      <c r="J51" s="5"/>
      <c r="K51" s="5"/>
      <c r="L51" s="5"/>
      <c r="M51" s="5"/>
    </row>
    <row r="52" spans="9:13" x14ac:dyDescent="0.25">
      <c r="I52" s="5"/>
      <c r="J52" s="5"/>
      <c r="K52" s="5"/>
      <c r="L52" s="5"/>
      <c r="M52" s="5"/>
    </row>
    <row r="53" spans="9:13" x14ac:dyDescent="0.25">
      <c r="I53" s="5"/>
      <c r="J53" s="5"/>
      <c r="K53" s="5"/>
      <c r="L53" s="5"/>
      <c r="M53" s="5"/>
    </row>
    <row r="54" spans="9:13" x14ac:dyDescent="0.25">
      <c r="I54" s="5"/>
      <c r="J54" s="5"/>
      <c r="K54" s="5"/>
      <c r="L54" s="5"/>
      <c r="M54" s="5"/>
    </row>
    <row r="55" spans="9:13" x14ac:dyDescent="0.25">
      <c r="I55" s="5"/>
      <c r="J55" s="5"/>
      <c r="K55" s="5"/>
      <c r="L55" s="5"/>
      <c r="M55" s="5"/>
    </row>
    <row r="56" spans="9:13" x14ac:dyDescent="0.25">
      <c r="I56" s="5"/>
      <c r="J56" s="5"/>
      <c r="K56" s="5"/>
      <c r="L56" s="5"/>
      <c r="M56" s="5"/>
    </row>
    <row r="57" spans="9:13" x14ac:dyDescent="0.25">
      <c r="I57" s="5"/>
      <c r="J57" s="5"/>
      <c r="K57" s="5"/>
      <c r="L57" s="5"/>
      <c r="M57" s="5"/>
    </row>
    <row r="58" spans="9:13" x14ac:dyDescent="0.25">
      <c r="I58" s="5"/>
      <c r="J58" s="5"/>
      <c r="K58" s="5"/>
      <c r="L58" s="5"/>
      <c r="M58" s="5"/>
    </row>
    <row r="59" spans="9:13" x14ac:dyDescent="0.25">
      <c r="I59" s="5"/>
      <c r="J59" s="5"/>
      <c r="K59" s="5"/>
      <c r="L59" s="5"/>
      <c r="M59" s="5"/>
    </row>
    <row r="60" spans="9:13" x14ac:dyDescent="0.25">
      <c r="I60" s="5"/>
      <c r="J60" s="5"/>
      <c r="K60" s="5"/>
      <c r="L60" s="5"/>
      <c r="M60" s="5"/>
    </row>
    <row r="61" spans="9:13" x14ac:dyDescent="0.25">
      <c r="I61" s="5"/>
      <c r="J61" s="5"/>
      <c r="K61" s="5"/>
      <c r="L61" s="5"/>
      <c r="M61" s="5"/>
    </row>
    <row r="62" spans="9:13" x14ac:dyDescent="0.25">
      <c r="I62" s="5"/>
      <c r="J62" s="5"/>
      <c r="K62" s="5"/>
      <c r="L62" s="5"/>
      <c r="M62" s="5"/>
    </row>
    <row r="63" spans="9:13" x14ac:dyDescent="0.25">
      <c r="I63" s="5"/>
      <c r="J63" s="5"/>
      <c r="K63" s="5"/>
      <c r="L63" s="5"/>
      <c r="M63" s="5"/>
    </row>
    <row r="64" spans="9:13" x14ac:dyDescent="0.25">
      <c r="I64" s="5"/>
      <c r="J64" s="5"/>
      <c r="K64" s="5"/>
      <c r="L64" s="5"/>
      <c r="M64" s="5"/>
    </row>
    <row r="65" spans="9:13" x14ac:dyDescent="0.25">
      <c r="I65" s="5"/>
      <c r="J65" s="5"/>
      <c r="K65" s="5"/>
      <c r="L65" s="5"/>
      <c r="M65" s="5"/>
    </row>
    <row r="66" spans="9:13" x14ac:dyDescent="0.25">
      <c r="I66" s="5"/>
      <c r="J66" s="5"/>
      <c r="K66" s="5"/>
      <c r="L66" s="5"/>
      <c r="M66" s="5"/>
    </row>
    <row r="67" spans="9:13" x14ac:dyDescent="0.25">
      <c r="I67" s="5"/>
      <c r="J67" s="5"/>
      <c r="K67" s="5"/>
      <c r="L67" s="5"/>
      <c r="M67" s="5"/>
    </row>
    <row r="68" spans="9:13" x14ac:dyDescent="0.25">
      <c r="I68" s="5"/>
      <c r="J68" s="5"/>
      <c r="K68" s="5"/>
      <c r="L68" s="5"/>
      <c r="M68" s="5"/>
    </row>
    <row r="69" spans="9:13" x14ac:dyDescent="0.25">
      <c r="I69" s="5"/>
      <c r="J69" s="5"/>
      <c r="K69" s="5"/>
      <c r="L69" s="5"/>
      <c r="M69" s="5"/>
    </row>
    <row r="70" spans="9:13" x14ac:dyDescent="0.25">
      <c r="I70" s="5"/>
      <c r="J70" s="5"/>
      <c r="K70" s="5"/>
      <c r="L70" s="5"/>
      <c r="M70" s="5"/>
    </row>
    <row r="71" spans="9:13" x14ac:dyDescent="0.25">
      <c r="I71" s="5"/>
      <c r="J71" s="5"/>
      <c r="K71" s="5"/>
      <c r="L71" s="5"/>
      <c r="M71" s="5"/>
    </row>
    <row r="72" spans="9:13" x14ac:dyDescent="0.25">
      <c r="I72" s="5"/>
      <c r="J72" s="5"/>
      <c r="K72" s="5"/>
      <c r="L72" s="5"/>
      <c r="M72" s="5"/>
    </row>
    <row r="73" spans="9:13" x14ac:dyDescent="0.25">
      <c r="I73" s="5"/>
      <c r="J73" s="5"/>
      <c r="K73" s="5"/>
      <c r="L73" s="5"/>
      <c r="M73" s="5"/>
    </row>
    <row r="74" spans="9:13" x14ac:dyDescent="0.25">
      <c r="I74" s="5"/>
      <c r="J74" s="5"/>
      <c r="K74" s="5"/>
      <c r="L74" s="5"/>
      <c r="M74" s="5"/>
    </row>
    <row r="75" spans="9:13" x14ac:dyDescent="0.25">
      <c r="I75" s="5"/>
      <c r="J75" s="5"/>
      <c r="K75" s="5"/>
      <c r="L75" s="5"/>
      <c r="M75" s="5"/>
    </row>
    <row r="76" spans="9:13" x14ac:dyDescent="0.25">
      <c r="I76" s="5"/>
      <c r="J76" s="5"/>
      <c r="K76" s="5"/>
      <c r="L76" s="5"/>
      <c r="M76" s="5"/>
    </row>
    <row r="77" spans="9:13" x14ac:dyDescent="0.25">
      <c r="I77" s="5"/>
      <c r="J77" s="5"/>
      <c r="K77" s="5"/>
      <c r="L77" s="5"/>
      <c r="M77" s="5"/>
    </row>
    <row r="78" spans="9:13" x14ac:dyDescent="0.25">
      <c r="I78" s="5"/>
      <c r="J78" s="5"/>
      <c r="K78" s="5"/>
      <c r="L78" s="5"/>
      <c r="M78" s="5"/>
    </row>
    <row r="79" spans="9:13" x14ac:dyDescent="0.25">
      <c r="I79" s="5"/>
      <c r="J79" s="5"/>
      <c r="K79" s="5"/>
      <c r="L79" s="5"/>
      <c r="M79" s="5"/>
    </row>
    <row r="80" spans="9:13" x14ac:dyDescent="0.25">
      <c r="I80" s="5"/>
      <c r="J80" s="5"/>
      <c r="K80" s="5"/>
      <c r="L80" s="5"/>
      <c r="M80" s="5"/>
    </row>
    <row r="81" spans="9:13" x14ac:dyDescent="0.25">
      <c r="I81" s="5"/>
      <c r="J81" s="5"/>
      <c r="K81" s="5"/>
      <c r="L81" s="5"/>
      <c r="M81" s="5"/>
    </row>
    <row r="82" spans="9:13" x14ac:dyDescent="0.25">
      <c r="I82" s="5"/>
      <c r="J82" s="5"/>
      <c r="K82" s="5"/>
      <c r="L82" s="5"/>
      <c r="M82" s="5"/>
    </row>
    <row r="83" spans="9:13" x14ac:dyDescent="0.25">
      <c r="I83" s="5"/>
      <c r="J83" s="5"/>
      <c r="K83" s="5"/>
      <c r="L83" s="5"/>
      <c r="M83" s="5"/>
    </row>
    <row r="84" spans="9:13" x14ac:dyDescent="0.25">
      <c r="I84" s="5"/>
      <c r="J84" s="5"/>
      <c r="K84" s="5"/>
      <c r="L84" s="5"/>
      <c r="M84" s="5"/>
    </row>
    <row r="85" spans="9:13" x14ac:dyDescent="0.25">
      <c r="I85" s="5"/>
      <c r="J85" s="5"/>
      <c r="K85" s="5"/>
      <c r="L85" s="5"/>
      <c r="M85" s="5"/>
    </row>
    <row r="86" spans="9:13" x14ac:dyDescent="0.25">
      <c r="I86" s="5"/>
      <c r="J86" s="5"/>
      <c r="K86" s="5"/>
      <c r="L86" s="5"/>
      <c r="M86" s="5"/>
    </row>
    <row r="87" spans="9:13" x14ac:dyDescent="0.25">
      <c r="I87" s="5"/>
      <c r="J87" s="5"/>
      <c r="K87" s="5"/>
      <c r="L87" s="5"/>
      <c r="M87" s="5"/>
    </row>
    <row r="88" spans="9:13" x14ac:dyDescent="0.25">
      <c r="I88" s="5"/>
      <c r="J88" s="5"/>
      <c r="K88" s="5"/>
      <c r="L88" s="5"/>
      <c r="M88" s="5"/>
    </row>
  </sheetData>
  <mergeCells count="7">
    <mergeCell ref="B35:F35"/>
    <mergeCell ref="E1:G1"/>
    <mergeCell ref="F11:H11"/>
    <mergeCell ref="C12:D12"/>
    <mergeCell ref="C13:D13"/>
    <mergeCell ref="D24:E24"/>
    <mergeCell ref="D8:E10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58"/>
  <sheetViews>
    <sheetView showGridLines="0" topLeftCell="A22" zoomScale="70" zoomScaleNormal="70" workbookViewId="0">
      <selection activeCell="AA11" sqref="AA11"/>
    </sheetView>
  </sheetViews>
  <sheetFormatPr defaultColWidth="9.85546875" defaultRowHeight="21.95" customHeight="1" x14ac:dyDescent="0.25"/>
  <cols>
    <col min="1" max="1" width="9.85546875" style="24"/>
    <col min="2" max="2" width="8.140625" style="21" customWidth="1"/>
    <col min="3" max="3" width="8" style="22" customWidth="1"/>
    <col min="4" max="4" width="65" style="23" customWidth="1"/>
    <col min="5" max="5" width="15.5703125" style="25" customWidth="1"/>
    <col min="6" max="6" width="16.7109375" style="22" customWidth="1"/>
    <col min="7" max="7" width="15.85546875" style="26" customWidth="1"/>
    <col min="8" max="8" width="16.5703125" style="22" customWidth="1"/>
    <col min="9" max="16384" width="9.85546875" style="24"/>
  </cols>
  <sheetData>
    <row r="1" spans="2:10" ht="15" x14ac:dyDescent="0.25">
      <c r="C1" s="24"/>
      <c r="D1" s="27"/>
      <c r="E1" s="24"/>
      <c r="H1" s="24"/>
    </row>
    <row r="2" spans="2:10" ht="21.95" customHeight="1" x14ac:dyDescent="0.25">
      <c r="B2" s="63" t="s">
        <v>0</v>
      </c>
      <c r="C2" s="64"/>
      <c r="D2" s="28" t="s">
        <v>126</v>
      </c>
      <c r="E2" s="29"/>
      <c r="F2" s="24"/>
      <c r="G2" s="30" t="s">
        <v>72</v>
      </c>
      <c r="H2" s="31" t="s">
        <v>118</v>
      </c>
      <c r="I2" s="22"/>
      <c r="J2" s="22"/>
    </row>
    <row r="3" spans="2:10" ht="21.95" customHeight="1" x14ac:dyDescent="0.25">
      <c r="B3" s="63" t="s">
        <v>107</v>
      </c>
      <c r="C3" s="64"/>
      <c r="D3" s="32" t="s">
        <v>125</v>
      </c>
      <c r="E3" s="29"/>
      <c r="F3" s="24"/>
      <c r="G3" s="30" t="s">
        <v>51</v>
      </c>
      <c r="H3" s="33">
        <v>0</v>
      </c>
      <c r="I3" s="22"/>
      <c r="J3" s="22"/>
    </row>
    <row r="4" spans="2:10" ht="21.95" customHeight="1" x14ac:dyDescent="0.25">
      <c r="C4" s="21"/>
      <c r="D4" s="35"/>
      <c r="E4" s="2"/>
      <c r="G4" s="36"/>
      <c r="H4" s="34"/>
    </row>
    <row r="5" spans="2:10" s="21" customFormat="1" ht="43.5" customHeight="1" x14ac:dyDescent="0.25">
      <c r="B5" s="38" t="s">
        <v>6</v>
      </c>
      <c r="C5" s="38" t="s">
        <v>7</v>
      </c>
      <c r="D5" s="39" t="s">
        <v>9</v>
      </c>
      <c r="E5" s="38" t="s">
        <v>8</v>
      </c>
      <c r="F5" s="40" t="s">
        <v>53</v>
      </c>
      <c r="G5" s="40" t="s">
        <v>119</v>
      </c>
      <c r="H5" s="40" t="s">
        <v>52</v>
      </c>
    </row>
    <row r="6" spans="2:10" s="21" customFormat="1" ht="27.95" customHeight="1" x14ac:dyDescent="0.25">
      <c r="B6" s="41">
        <v>1</v>
      </c>
      <c r="C6" s="42">
        <v>2</v>
      </c>
      <c r="D6" s="43" t="s">
        <v>105</v>
      </c>
      <c r="E6" s="44" t="s">
        <v>15</v>
      </c>
      <c r="F6" s="1">
        <v>81897710023</v>
      </c>
      <c r="G6" s="45">
        <v>53.965760869565216</v>
      </c>
      <c r="H6" s="45">
        <v>107.93152173913043</v>
      </c>
    </row>
    <row r="7" spans="2:10" s="21" customFormat="1" ht="27.95" customHeight="1" x14ac:dyDescent="0.25">
      <c r="B7" s="41">
        <v>2</v>
      </c>
      <c r="C7" s="42">
        <v>2</v>
      </c>
      <c r="D7" s="43" t="s">
        <v>106</v>
      </c>
      <c r="E7" s="44" t="s">
        <v>16</v>
      </c>
      <c r="F7" s="1">
        <v>81897710023</v>
      </c>
      <c r="G7" s="45">
        <v>78.784239130434784</v>
      </c>
      <c r="H7" s="45">
        <v>157.56847826086957</v>
      </c>
    </row>
    <row r="8" spans="2:10" s="21" customFormat="1" ht="27.95" customHeight="1" x14ac:dyDescent="0.25">
      <c r="B8" s="41">
        <v>3</v>
      </c>
      <c r="C8" s="42">
        <v>2</v>
      </c>
      <c r="D8" s="43" t="s">
        <v>75</v>
      </c>
      <c r="E8" s="44" t="s">
        <v>14</v>
      </c>
      <c r="F8" s="1">
        <v>81897710023</v>
      </c>
      <c r="G8" s="45">
        <v>75.609782608695667</v>
      </c>
      <c r="H8" s="45">
        <v>151.21956521739133</v>
      </c>
    </row>
    <row r="9" spans="2:10" s="21" customFormat="1" ht="27.95" customHeight="1" x14ac:dyDescent="0.25">
      <c r="B9" s="41">
        <v>4</v>
      </c>
      <c r="C9" s="42">
        <v>4</v>
      </c>
      <c r="D9" s="43" t="s">
        <v>76</v>
      </c>
      <c r="E9" s="44" t="s">
        <v>17</v>
      </c>
      <c r="F9" s="1">
        <v>81897710001</v>
      </c>
      <c r="G9" s="45">
        <v>93.213586956521738</v>
      </c>
      <c r="H9" s="45">
        <v>372.85434782608695</v>
      </c>
    </row>
    <row r="10" spans="2:10" s="21" customFormat="1" ht="27.95" customHeight="1" x14ac:dyDescent="0.25">
      <c r="B10" s="41">
        <v>5</v>
      </c>
      <c r="C10" s="42">
        <v>4</v>
      </c>
      <c r="D10" s="43" t="s">
        <v>95</v>
      </c>
      <c r="E10" s="44" t="s">
        <v>19</v>
      </c>
      <c r="F10" s="1">
        <v>81897710001</v>
      </c>
      <c r="G10" s="45">
        <v>93.213586956521738</v>
      </c>
      <c r="H10" s="45">
        <v>372.85434782608695</v>
      </c>
    </row>
    <row r="11" spans="2:10" s="21" customFormat="1" ht="27.95" customHeight="1" x14ac:dyDescent="0.25">
      <c r="B11" s="41">
        <v>6</v>
      </c>
      <c r="C11" s="42">
        <v>2</v>
      </c>
      <c r="D11" s="43" t="s">
        <v>90</v>
      </c>
      <c r="E11" s="52" t="s">
        <v>21</v>
      </c>
      <c r="F11" s="1">
        <v>81897710001</v>
      </c>
      <c r="G11" s="45">
        <v>114.28043478260872</v>
      </c>
      <c r="H11" s="45">
        <v>228.56086956521744</v>
      </c>
    </row>
    <row r="12" spans="2:10" s="21" customFormat="1" ht="27.95" customHeight="1" x14ac:dyDescent="0.25">
      <c r="B12" s="41">
        <v>7</v>
      </c>
      <c r="C12" s="42">
        <v>4</v>
      </c>
      <c r="D12" s="43" t="s">
        <v>94</v>
      </c>
      <c r="E12" s="44" t="s">
        <v>18</v>
      </c>
      <c r="F12" s="1">
        <v>81897710001</v>
      </c>
      <c r="G12" s="45">
        <v>90.904891304347828</v>
      </c>
      <c r="H12" s="45">
        <v>363.61956521739131</v>
      </c>
    </row>
    <row r="13" spans="2:10" s="21" customFormat="1" ht="27.95" customHeight="1" x14ac:dyDescent="0.25">
      <c r="B13" s="41">
        <v>8</v>
      </c>
      <c r="C13" s="42">
        <v>2</v>
      </c>
      <c r="D13" s="43" t="s">
        <v>89</v>
      </c>
      <c r="E13" s="53" t="s">
        <v>20</v>
      </c>
      <c r="F13" s="1">
        <v>81897710001</v>
      </c>
      <c r="G13" s="45">
        <v>111.97173913043478</v>
      </c>
      <c r="H13" s="45">
        <v>223.94347826086957</v>
      </c>
    </row>
    <row r="14" spans="2:10" s="21" customFormat="1" ht="27.95" customHeight="1" x14ac:dyDescent="0.25">
      <c r="B14" s="41">
        <v>9</v>
      </c>
      <c r="C14" s="42">
        <v>4</v>
      </c>
      <c r="D14" s="43" t="s">
        <v>78</v>
      </c>
      <c r="E14" s="52" t="s">
        <v>25</v>
      </c>
      <c r="F14" s="1">
        <v>81897710001</v>
      </c>
      <c r="G14" s="45">
        <v>121.49510869565218</v>
      </c>
      <c r="H14" s="45">
        <v>485.98043478260871</v>
      </c>
    </row>
    <row r="15" spans="2:10" s="21" customFormat="1" ht="25.5" customHeight="1" x14ac:dyDescent="0.25">
      <c r="B15" s="41">
        <v>10</v>
      </c>
      <c r="C15" s="42">
        <v>5</v>
      </c>
      <c r="D15" s="43" t="s">
        <v>91</v>
      </c>
      <c r="E15" s="44" t="s">
        <v>22</v>
      </c>
      <c r="F15" s="1">
        <v>81897710001</v>
      </c>
      <c r="G15" s="45">
        <v>123.51521739130436</v>
      </c>
      <c r="H15" s="45">
        <v>617.57608695652175</v>
      </c>
    </row>
    <row r="16" spans="2:10" s="21" customFormat="1" ht="25.5" customHeight="1" x14ac:dyDescent="0.25">
      <c r="B16" s="41">
        <v>11</v>
      </c>
      <c r="C16" s="42">
        <v>4</v>
      </c>
      <c r="D16" s="43" t="s">
        <v>92</v>
      </c>
      <c r="E16" s="44" t="s">
        <v>23</v>
      </c>
      <c r="F16" s="1">
        <v>81897710001</v>
      </c>
      <c r="G16" s="45">
        <v>125.82391304347826</v>
      </c>
      <c r="H16" s="45">
        <v>503.29565217391303</v>
      </c>
    </row>
    <row r="17" spans="2:8" s="21" customFormat="1" ht="25.5" customHeight="1" x14ac:dyDescent="0.25">
      <c r="B17" s="41">
        <v>12</v>
      </c>
      <c r="C17" s="42">
        <v>4</v>
      </c>
      <c r="D17" s="43" t="s">
        <v>77</v>
      </c>
      <c r="E17" s="44" t="s">
        <v>24</v>
      </c>
      <c r="F17" s="1">
        <v>81897710001</v>
      </c>
      <c r="G17" s="45">
        <v>210.95706521739129</v>
      </c>
      <c r="H17" s="45">
        <v>843.82826086956516</v>
      </c>
    </row>
    <row r="18" spans="2:8" s="21" customFormat="1" ht="25.5" customHeight="1" x14ac:dyDescent="0.25">
      <c r="B18" s="41">
        <v>13</v>
      </c>
      <c r="C18" s="42">
        <v>2</v>
      </c>
      <c r="D18" s="43" t="s">
        <v>74</v>
      </c>
      <c r="E18" s="44" t="s">
        <v>33</v>
      </c>
      <c r="F18" s="1">
        <v>81897710018</v>
      </c>
      <c r="G18" s="45">
        <v>250.20489130434783</v>
      </c>
      <c r="H18" s="45">
        <v>500.40978260869565</v>
      </c>
    </row>
    <row r="19" spans="2:8" s="21" customFormat="1" ht="25.5" customHeight="1" x14ac:dyDescent="0.25">
      <c r="B19" s="41">
        <v>14</v>
      </c>
      <c r="C19" s="42">
        <v>1</v>
      </c>
      <c r="D19" s="43" t="s">
        <v>79</v>
      </c>
      <c r="E19" s="44" t="s">
        <v>26</v>
      </c>
      <c r="F19" s="1">
        <v>81897710023</v>
      </c>
      <c r="G19" s="45">
        <v>168.8233695652174</v>
      </c>
      <c r="H19" s="45">
        <v>168.8233695652174</v>
      </c>
    </row>
    <row r="20" spans="2:8" s="21" customFormat="1" ht="25.5" customHeight="1" x14ac:dyDescent="0.25">
      <c r="B20" s="41">
        <v>15</v>
      </c>
      <c r="C20" s="42">
        <v>2</v>
      </c>
      <c r="D20" s="43" t="s">
        <v>47</v>
      </c>
      <c r="E20" s="44" t="s">
        <v>43</v>
      </c>
      <c r="F20" s="1">
        <v>81897710001</v>
      </c>
      <c r="G20" s="45">
        <v>1317.1108695652174</v>
      </c>
      <c r="H20" s="45">
        <v>2634.2217391304348</v>
      </c>
    </row>
    <row r="21" spans="2:8" s="21" customFormat="1" ht="25.5" customHeight="1" x14ac:dyDescent="0.25">
      <c r="B21" s="41">
        <v>16</v>
      </c>
      <c r="C21" s="42">
        <v>1</v>
      </c>
      <c r="D21" s="43" t="s">
        <v>48</v>
      </c>
      <c r="E21" s="44" t="s">
        <v>44</v>
      </c>
      <c r="F21" s="1">
        <v>81897710001</v>
      </c>
      <c r="G21" s="45">
        <v>1341.929347826087</v>
      </c>
      <c r="H21" s="45">
        <v>1341.929347826087</v>
      </c>
    </row>
    <row r="22" spans="2:8" s="21" customFormat="1" ht="27.95" customHeight="1" x14ac:dyDescent="0.25">
      <c r="B22" s="41">
        <v>17</v>
      </c>
      <c r="C22" s="42">
        <v>1</v>
      </c>
      <c r="D22" s="43" t="s">
        <v>46</v>
      </c>
      <c r="E22" s="44" t="s">
        <v>45</v>
      </c>
      <c r="F22" s="1">
        <v>81897710001</v>
      </c>
      <c r="G22" s="45">
        <v>1633.6907608695653</v>
      </c>
      <c r="H22" s="45">
        <v>1633.6907608695653</v>
      </c>
    </row>
    <row r="23" spans="2:8" s="21" customFormat="1" ht="27.95" customHeight="1" x14ac:dyDescent="0.25">
      <c r="B23" s="41">
        <v>18</v>
      </c>
      <c r="C23" s="42">
        <v>1</v>
      </c>
      <c r="D23" s="43" t="s">
        <v>81</v>
      </c>
      <c r="E23" s="44" t="s">
        <v>28</v>
      </c>
      <c r="F23" s="1">
        <v>81897710023</v>
      </c>
      <c r="G23" s="45">
        <v>223.94347826086957</v>
      </c>
      <c r="H23" s="45">
        <v>223.94347826086957</v>
      </c>
    </row>
    <row r="24" spans="2:8" s="21" customFormat="1" ht="27.95" customHeight="1" x14ac:dyDescent="0.25">
      <c r="B24" s="41">
        <v>19</v>
      </c>
      <c r="C24" s="42">
        <v>2</v>
      </c>
      <c r="D24" s="43" t="s">
        <v>80</v>
      </c>
      <c r="E24" s="44" t="s">
        <v>27</v>
      </c>
      <c r="F24" s="1">
        <v>81897710023</v>
      </c>
      <c r="G24" s="45">
        <v>208.35978260869564</v>
      </c>
      <c r="H24" s="45">
        <v>416.71956521739128</v>
      </c>
    </row>
    <row r="25" spans="2:8" s="21" customFormat="1" ht="27.95" customHeight="1" x14ac:dyDescent="0.25">
      <c r="B25" s="41">
        <v>20</v>
      </c>
      <c r="C25" s="42">
        <v>2</v>
      </c>
      <c r="D25" s="43" t="s">
        <v>84</v>
      </c>
      <c r="E25" s="44" t="s">
        <v>31</v>
      </c>
      <c r="F25" s="1">
        <v>81897710001</v>
      </c>
      <c r="G25" s="45">
        <v>672.40760869565202</v>
      </c>
      <c r="H25" s="45">
        <v>1344.815217391304</v>
      </c>
    </row>
    <row r="26" spans="2:8" s="21" customFormat="1" ht="27.95" customHeight="1" x14ac:dyDescent="0.25">
      <c r="B26" s="41">
        <v>21</v>
      </c>
      <c r="C26" s="42">
        <v>2</v>
      </c>
      <c r="D26" s="43" t="s">
        <v>85</v>
      </c>
      <c r="E26" s="44" t="s">
        <v>32</v>
      </c>
      <c r="F26" s="1">
        <v>81897710001</v>
      </c>
      <c r="G26" s="45">
        <v>775.43315217391296</v>
      </c>
      <c r="H26" s="45">
        <v>1550.8663043478259</v>
      </c>
    </row>
    <row r="27" spans="2:8" s="21" customFormat="1" ht="27.95" customHeight="1" x14ac:dyDescent="0.25">
      <c r="B27" s="41">
        <v>22</v>
      </c>
      <c r="C27" s="42">
        <v>2</v>
      </c>
      <c r="D27" s="43" t="s">
        <v>86</v>
      </c>
      <c r="E27" s="44" t="s">
        <v>13</v>
      </c>
      <c r="F27" s="1">
        <v>81897710017</v>
      </c>
      <c r="G27" s="45">
        <v>101.29402173913044</v>
      </c>
      <c r="H27" s="45">
        <v>202.58804347826089</v>
      </c>
    </row>
    <row r="28" spans="2:8" s="21" customFormat="1" ht="27.95" customHeight="1" x14ac:dyDescent="0.25">
      <c r="B28" s="41">
        <v>23</v>
      </c>
      <c r="C28" s="42">
        <v>2</v>
      </c>
      <c r="D28" s="43" t="s">
        <v>87</v>
      </c>
      <c r="E28" s="44" t="s">
        <v>11</v>
      </c>
      <c r="F28" s="1">
        <v>81897710017</v>
      </c>
      <c r="G28" s="45">
        <v>105.62282608695652</v>
      </c>
      <c r="H28" s="45">
        <v>211.24565217391304</v>
      </c>
    </row>
    <row r="29" spans="2:8" s="21" customFormat="1" ht="27.95" customHeight="1" x14ac:dyDescent="0.25">
      <c r="B29" s="41">
        <v>24</v>
      </c>
      <c r="C29" s="42">
        <v>1</v>
      </c>
      <c r="D29" s="43" t="s">
        <v>88</v>
      </c>
      <c r="E29" s="44" t="s">
        <v>12</v>
      </c>
      <c r="F29" s="1">
        <v>81897710017</v>
      </c>
      <c r="G29" s="45">
        <v>108.50869565217393</v>
      </c>
      <c r="H29" s="45">
        <v>108.50869565217393</v>
      </c>
    </row>
    <row r="30" spans="2:8" s="21" customFormat="1" ht="27.95" customHeight="1" x14ac:dyDescent="0.25">
      <c r="B30" s="41">
        <v>25</v>
      </c>
      <c r="C30" s="42">
        <v>1</v>
      </c>
      <c r="D30" s="43" t="s">
        <v>96</v>
      </c>
      <c r="E30" s="52" t="s">
        <v>34</v>
      </c>
      <c r="F30" s="1">
        <v>81897710018</v>
      </c>
      <c r="G30" s="45">
        <v>189.0244565217391</v>
      </c>
      <c r="H30" s="45">
        <v>189.0244565217391</v>
      </c>
    </row>
    <row r="31" spans="2:8" s="21" customFormat="1" ht="27.95" customHeight="1" x14ac:dyDescent="0.25">
      <c r="B31" s="41">
        <v>26</v>
      </c>
      <c r="C31" s="42">
        <v>1</v>
      </c>
      <c r="D31" s="43" t="s">
        <v>98</v>
      </c>
      <c r="E31" s="44" t="s">
        <v>36</v>
      </c>
      <c r="F31" s="1">
        <v>81897710018</v>
      </c>
      <c r="G31" s="45">
        <v>203.74239130434779</v>
      </c>
      <c r="H31" s="45">
        <v>203.74239130434779</v>
      </c>
    </row>
    <row r="32" spans="2:8" s="21" customFormat="1" ht="27.95" customHeight="1" x14ac:dyDescent="0.25">
      <c r="B32" s="41">
        <v>27</v>
      </c>
      <c r="C32" s="42">
        <v>1</v>
      </c>
      <c r="D32" s="43" t="s">
        <v>97</v>
      </c>
      <c r="E32" s="53" t="s">
        <v>35</v>
      </c>
      <c r="F32" s="1">
        <v>81897710018</v>
      </c>
      <c r="G32" s="45">
        <v>207.49402173913046</v>
      </c>
      <c r="H32" s="45">
        <v>207.49402173913046</v>
      </c>
    </row>
    <row r="33" spans="2:8" s="21" customFormat="1" ht="27.95" customHeight="1" x14ac:dyDescent="0.25">
      <c r="B33" s="41">
        <v>28</v>
      </c>
      <c r="C33" s="42">
        <v>1</v>
      </c>
      <c r="D33" s="43" t="s">
        <v>83</v>
      </c>
      <c r="E33" s="52" t="s">
        <v>30</v>
      </c>
      <c r="F33" s="1">
        <v>81897710023</v>
      </c>
      <c r="G33" s="45">
        <v>225.38641304347823</v>
      </c>
      <c r="H33" s="45">
        <v>225.38641304347823</v>
      </c>
    </row>
    <row r="34" spans="2:8" s="21" customFormat="1" ht="25.5" customHeight="1" x14ac:dyDescent="0.25">
      <c r="B34" s="41">
        <v>29</v>
      </c>
      <c r="C34" s="42">
        <v>2</v>
      </c>
      <c r="D34" s="43" t="s">
        <v>82</v>
      </c>
      <c r="E34" s="44" t="s">
        <v>29</v>
      </c>
      <c r="F34" s="1">
        <v>81897710023</v>
      </c>
      <c r="G34" s="45">
        <v>225.38641304347823</v>
      </c>
      <c r="H34" s="45">
        <v>450.77282608695646</v>
      </c>
    </row>
    <row r="35" spans="2:8" s="21" customFormat="1" ht="25.5" customHeight="1" x14ac:dyDescent="0.25">
      <c r="B35" s="41">
        <v>30</v>
      </c>
      <c r="C35" s="42">
        <v>2</v>
      </c>
      <c r="D35" s="43" t="s">
        <v>93</v>
      </c>
      <c r="E35" s="44" t="s">
        <v>65</v>
      </c>
      <c r="F35" s="1">
        <v>81897710023</v>
      </c>
      <c r="G35" s="45">
        <v>159.30000000000001</v>
      </c>
      <c r="H35" s="45">
        <v>318.60000000000002</v>
      </c>
    </row>
    <row r="36" spans="2:8" s="21" customFormat="1" ht="25.5" customHeight="1" x14ac:dyDescent="0.25">
      <c r="B36" s="41">
        <v>31</v>
      </c>
      <c r="C36" s="42">
        <v>1</v>
      </c>
      <c r="D36" s="43" t="s">
        <v>68</v>
      </c>
      <c r="E36" s="44" t="s">
        <v>66</v>
      </c>
      <c r="F36" s="1">
        <v>81897710023</v>
      </c>
      <c r="G36" s="45">
        <v>900.96847826086957</v>
      </c>
      <c r="H36" s="45">
        <v>900.96847826086957</v>
      </c>
    </row>
    <row r="37" spans="2:8" s="21" customFormat="1" ht="25.5" customHeight="1" x14ac:dyDescent="0.25">
      <c r="B37" s="41">
        <v>32</v>
      </c>
      <c r="C37" s="42">
        <v>1</v>
      </c>
      <c r="D37" s="43" t="s">
        <v>99</v>
      </c>
      <c r="E37" s="44" t="s">
        <v>37</v>
      </c>
      <c r="F37" s="1">
        <v>81897710018</v>
      </c>
      <c r="G37" s="45">
        <v>156.70271739130433</v>
      </c>
      <c r="H37" s="45">
        <v>156.70271739130433</v>
      </c>
    </row>
    <row r="38" spans="2:8" s="21" customFormat="1" ht="25.5" customHeight="1" x14ac:dyDescent="0.25">
      <c r="B38" s="41">
        <v>33</v>
      </c>
      <c r="C38" s="42">
        <v>1</v>
      </c>
      <c r="D38" s="43" t="s">
        <v>100</v>
      </c>
      <c r="E38" s="44" t="s">
        <v>38</v>
      </c>
      <c r="F38" s="1">
        <v>81897710018</v>
      </c>
      <c r="G38" s="45">
        <v>172.57500000000005</v>
      </c>
      <c r="H38" s="45">
        <v>172.57500000000005</v>
      </c>
    </row>
    <row r="39" spans="2:8" s="21" customFormat="1" ht="25.5" customHeight="1" x14ac:dyDescent="0.25">
      <c r="B39" s="41">
        <v>34</v>
      </c>
      <c r="C39" s="42">
        <v>1</v>
      </c>
      <c r="D39" s="43" t="s">
        <v>101</v>
      </c>
      <c r="E39" s="44" t="s">
        <v>39</v>
      </c>
      <c r="F39" s="1">
        <v>81897710018</v>
      </c>
      <c r="G39" s="45">
        <v>191.62173913043478</v>
      </c>
      <c r="H39" s="45">
        <v>191.62173913043478</v>
      </c>
    </row>
    <row r="40" spans="2:8" s="21" customFormat="1" ht="25.5" customHeight="1" x14ac:dyDescent="0.25">
      <c r="B40" s="41">
        <v>35</v>
      </c>
      <c r="C40" s="42">
        <v>2</v>
      </c>
      <c r="D40" s="43" t="s">
        <v>103</v>
      </c>
      <c r="E40" s="44" t="s">
        <v>41</v>
      </c>
      <c r="F40" s="1">
        <v>81897710018</v>
      </c>
      <c r="G40" s="45">
        <v>201.14510869565214</v>
      </c>
      <c r="H40" s="45">
        <v>402.29021739130428</v>
      </c>
    </row>
    <row r="41" spans="2:8" s="21" customFormat="1" ht="27.95" customHeight="1" x14ac:dyDescent="0.25">
      <c r="B41" s="41">
        <v>36</v>
      </c>
      <c r="C41" s="42">
        <v>2</v>
      </c>
      <c r="D41" s="43" t="s">
        <v>104</v>
      </c>
      <c r="E41" s="44" t="s">
        <v>42</v>
      </c>
      <c r="F41" s="1">
        <v>81897710018</v>
      </c>
      <c r="G41" s="45">
        <v>224.8092391304348</v>
      </c>
      <c r="H41" s="45">
        <v>449.61847826086961</v>
      </c>
    </row>
    <row r="42" spans="2:8" s="21" customFormat="1" ht="27.95" customHeight="1" x14ac:dyDescent="0.25">
      <c r="B42" s="41">
        <v>37</v>
      </c>
      <c r="C42" s="42">
        <v>2</v>
      </c>
      <c r="D42" s="43" t="s">
        <v>102</v>
      </c>
      <c r="E42" s="44" t="s">
        <v>40</v>
      </c>
      <c r="F42" s="1">
        <v>81897710018</v>
      </c>
      <c r="G42" s="45">
        <v>183.5413043478261</v>
      </c>
      <c r="H42" s="45">
        <v>367.0826086956522</v>
      </c>
    </row>
    <row r="43" spans="2:8" s="21" customFormat="1" ht="27.95" customHeight="1" x14ac:dyDescent="0.25">
      <c r="B43" s="41">
        <v>38</v>
      </c>
      <c r="C43" s="42">
        <v>1</v>
      </c>
      <c r="D43" s="43" t="s">
        <v>122</v>
      </c>
      <c r="E43" s="44" t="s">
        <v>124</v>
      </c>
      <c r="F43" s="1" t="s">
        <v>49</v>
      </c>
      <c r="G43" s="45">
        <v>4758.5936956521737</v>
      </c>
      <c r="H43" s="45">
        <v>4758.5936956521737</v>
      </c>
    </row>
    <row r="44" spans="2:8" s="21" customFormat="1" ht="27.95" customHeight="1" x14ac:dyDescent="0.25">
      <c r="B44" s="41">
        <v>39</v>
      </c>
      <c r="C44" s="42">
        <v>1</v>
      </c>
      <c r="D44" s="43" t="s">
        <v>123</v>
      </c>
      <c r="E44" s="44" t="s">
        <v>56</v>
      </c>
      <c r="F44" s="1" t="s">
        <v>49</v>
      </c>
      <c r="G44" s="45">
        <v>3373.9791304347823</v>
      </c>
      <c r="H44" s="45">
        <v>3373.9791304347823</v>
      </c>
    </row>
    <row r="45" spans="2:8" s="21" customFormat="1" ht="27.95" customHeight="1" x14ac:dyDescent="0.25">
      <c r="B45" s="41">
        <v>40</v>
      </c>
      <c r="C45" s="42">
        <v>1</v>
      </c>
      <c r="D45" s="43" t="s">
        <v>121</v>
      </c>
      <c r="E45" s="44" t="s">
        <v>55</v>
      </c>
      <c r="F45" s="1" t="s">
        <v>49</v>
      </c>
      <c r="G45" s="45">
        <v>4410.2051086956526</v>
      </c>
      <c r="H45" s="45">
        <v>4410.2051086956526</v>
      </c>
    </row>
    <row r="46" spans="2:8" s="21" customFormat="1" ht="27.95" customHeight="1" x14ac:dyDescent="0.25">
      <c r="B46" s="41">
        <v>41</v>
      </c>
      <c r="C46" s="42">
        <v>2</v>
      </c>
      <c r="D46" s="43" t="s">
        <v>120</v>
      </c>
      <c r="E46" s="44" t="s">
        <v>54</v>
      </c>
      <c r="F46" s="1" t="s">
        <v>49</v>
      </c>
      <c r="G46" s="45">
        <v>38.388478260869569</v>
      </c>
      <c r="H46" s="45">
        <v>76.776956521739137</v>
      </c>
    </row>
    <row r="47" spans="2:8" ht="21.95" customHeight="1" x14ac:dyDescent="0.25">
      <c r="C47" s="48">
        <f>SUM(C6:C46)</f>
        <v>81</v>
      </c>
      <c r="E47" s="65" t="s">
        <v>10</v>
      </c>
      <c r="F47" s="66"/>
      <c r="G47" s="67"/>
      <c r="H47" s="37">
        <f>SUM(H6:H46)</f>
        <v>31622.428804347823</v>
      </c>
    </row>
    <row r="48" spans="2:8" ht="15" x14ac:dyDescent="0.25"/>
    <row r="49" spans="3:5" ht="15" x14ac:dyDescent="0.25"/>
    <row r="50" spans="3:5" ht="15" x14ac:dyDescent="0.25">
      <c r="C50" s="6" t="s">
        <v>59</v>
      </c>
      <c r="D50" s="3"/>
      <c r="E50" s="3" t="s">
        <v>50</v>
      </c>
    </row>
    <row r="51" spans="3:5" ht="15" x14ac:dyDescent="0.25">
      <c r="C51" s="6" t="s">
        <v>58</v>
      </c>
      <c r="D51" s="3"/>
      <c r="E51" s="3" t="s">
        <v>67</v>
      </c>
    </row>
    <row r="52" spans="3:5" ht="15" x14ac:dyDescent="0.25">
      <c r="C52" s="6"/>
      <c r="D52" s="3"/>
      <c r="E52" s="3" t="s">
        <v>60</v>
      </c>
    </row>
    <row r="53" spans="3:5" ht="15" x14ac:dyDescent="0.25">
      <c r="C53" s="6" t="s">
        <v>61</v>
      </c>
      <c r="D53" s="3"/>
      <c r="E53" s="3" t="s">
        <v>73</v>
      </c>
    </row>
    <row r="54" spans="3:5" ht="15" x14ac:dyDescent="0.25">
      <c r="C54" s="6" t="s">
        <v>62</v>
      </c>
      <c r="D54" s="3"/>
      <c r="E54" s="3"/>
    </row>
    <row r="55" spans="3:5" ht="15" x14ac:dyDescent="0.25">
      <c r="C55" s="3"/>
      <c r="D55" s="3"/>
      <c r="E55" s="3"/>
    </row>
    <row r="56" spans="3:5" ht="15" x14ac:dyDescent="0.25">
      <c r="C56" s="56" t="s">
        <v>63</v>
      </c>
      <c r="D56" s="56"/>
      <c r="E56" s="56"/>
    </row>
    <row r="57" spans="3:5" ht="15.75" x14ac:dyDescent="0.25">
      <c r="D57" s="46"/>
    </row>
    <row r="58" spans="3:5" ht="15" x14ac:dyDescent="0.25"/>
  </sheetData>
  <mergeCells count="4">
    <mergeCell ref="C56:E56"/>
    <mergeCell ref="B2:C2"/>
    <mergeCell ref="B3:C3"/>
    <mergeCell ref="E47:G47"/>
  </mergeCells>
  <phoneticPr fontId="5" type="noConversion"/>
  <pageMargins left="0.98425196850393704" right="0.98425196850393704" top="1.7716535433070868" bottom="0.98425196850393704" header="0.51181102362204722" footer="0.51181102362204722"/>
  <pageSetup paperSize="9" scale="54" fitToHeight="0" orientation="portrait" r:id="rId1"/>
  <headerFooter>
    <oddHeader>&amp;L&amp;G</oddHeader>
    <oddFooter>&amp;Cwww.cmetk.com.br&amp;R&amp;P/&amp;N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F5B9-A012-4D4F-B7A1-78838AF8C525}">
  <dimension ref="B1:M80"/>
  <sheetViews>
    <sheetView showGridLines="0" tabSelected="1" topLeftCell="A55" workbookViewId="0">
      <selection activeCell="I79" sqref="I79"/>
    </sheetView>
  </sheetViews>
  <sheetFormatPr defaultColWidth="9.140625" defaultRowHeight="15" x14ac:dyDescent="0.25"/>
  <cols>
    <col min="1" max="1" width="5.85546875" style="3" customWidth="1"/>
    <col min="2" max="2" width="7.85546875" style="3" customWidth="1"/>
    <col min="3" max="3" width="10.140625" style="3" customWidth="1"/>
    <col min="4" max="4" width="36.140625" style="3" customWidth="1"/>
    <col min="5" max="5" width="14.7109375" style="3" customWidth="1"/>
    <col min="6" max="6" width="16.5703125" style="3" bestFit="1" customWidth="1"/>
    <col min="7" max="7" width="2.42578125" style="3" customWidth="1"/>
    <col min="8" max="8" width="1.42578125" style="4" customWidth="1"/>
    <col min="9" max="9" width="15.140625" style="3" customWidth="1"/>
    <col min="10" max="10" width="11.85546875" style="3" customWidth="1"/>
    <col min="11" max="16384" width="9.140625" style="3"/>
  </cols>
  <sheetData>
    <row r="1" spans="2:13" x14ac:dyDescent="0.25">
      <c r="E1" s="57"/>
      <c r="F1" s="57"/>
      <c r="G1" s="57"/>
      <c r="I1" s="5"/>
      <c r="J1" s="5"/>
      <c r="K1" s="5"/>
      <c r="L1" s="5"/>
      <c r="M1" s="5"/>
    </row>
    <row r="2" spans="2:13" x14ac:dyDescent="0.25">
      <c r="I2" s="5"/>
      <c r="J2" s="5"/>
      <c r="K2" s="5"/>
      <c r="L2" s="5"/>
      <c r="M2" s="5"/>
    </row>
    <row r="3" spans="2:13" x14ac:dyDescent="0.25">
      <c r="I3" s="5"/>
      <c r="J3" s="5"/>
      <c r="K3" s="5"/>
      <c r="L3" s="5"/>
      <c r="M3" s="5"/>
    </row>
    <row r="4" spans="2:13" x14ac:dyDescent="0.25">
      <c r="I4" s="5"/>
      <c r="J4" s="5"/>
      <c r="K4" s="5"/>
      <c r="L4" s="5"/>
      <c r="M4" s="5"/>
    </row>
    <row r="5" spans="2:13" x14ac:dyDescent="0.25">
      <c r="I5" s="5"/>
      <c r="J5" s="5"/>
      <c r="K5" s="5"/>
      <c r="L5" s="5"/>
      <c r="M5" s="5"/>
    </row>
    <row r="6" spans="2:13" x14ac:dyDescent="0.25">
      <c r="I6" s="5"/>
      <c r="J6" s="5"/>
      <c r="K6" s="5"/>
      <c r="L6" s="5"/>
      <c r="M6" s="5"/>
    </row>
    <row r="7" spans="2:13" x14ac:dyDescent="0.25">
      <c r="I7" s="5"/>
      <c r="J7" s="5"/>
      <c r="K7" s="5"/>
      <c r="L7" s="5"/>
      <c r="M7" s="5"/>
    </row>
    <row r="8" spans="2:13" ht="15.75" customHeight="1" x14ac:dyDescent="0.25">
      <c r="D8" s="62" t="s">
        <v>110</v>
      </c>
      <c r="E8" s="62"/>
      <c r="I8" s="5"/>
      <c r="J8" s="5"/>
      <c r="K8" s="5"/>
      <c r="L8" s="5"/>
      <c r="M8" s="5"/>
    </row>
    <row r="9" spans="2:13" ht="15" customHeight="1" x14ac:dyDescent="0.25">
      <c r="D9" s="62"/>
      <c r="E9" s="62"/>
      <c r="I9" s="5"/>
      <c r="J9" s="5"/>
      <c r="K9" s="5"/>
      <c r="L9" s="5"/>
      <c r="M9" s="5"/>
    </row>
    <row r="10" spans="2:13" x14ac:dyDescent="0.25">
      <c r="D10" s="62"/>
      <c r="E10" s="62"/>
      <c r="I10" s="5"/>
      <c r="J10" s="5"/>
      <c r="K10" s="5"/>
      <c r="L10" s="5"/>
      <c r="M10" s="5"/>
    </row>
    <row r="11" spans="2:13" ht="18.75" x14ac:dyDescent="0.25">
      <c r="C11" s="6"/>
      <c r="D11" s="54"/>
      <c r="E11" s="54"/>
      <c r="F11" s="58"/>
      <c r="G11" s="58"/>
      <c r="H11" s="58"/>
      <c r="I11" s="5"/>
      <c r="J11" s="5"/>
      <c r="K11" s="5"/>
      <c r="L11" s="5"/>
      <c r="M11" s="5"/>
    </row>
    <row r="12" spans="2:13" ht="22.15" customHeight="1" x14ac:dyDescent="0.25">
      <c r="B12" s="49" t="s">
        <v>64</v>
      </c>
      <c r="C12" s="59" t="s">
        <v>127</v>
      </c>
      <c r="D12" s="60"/>
      <c r="E12" s="8" t="s">
        <v>1</v>
      </c>
      <c r="F12" s="10" t="s">
        <v>128</v>
      </c>
      <c r="G12" s="11"/>
      <c r="H12" s="12"/>
      <c r="I12" s="5"/>
      <c r="J12" s="5"/>
      <c r="K12" s="5"/>
      <c r="L12" s="5"/>
      <c r="M12" s="5"/>
    </row>
    <row r="13" spans="2:13" ht="21.75" customHeight="1" x14ac:dyDescent="0.25">
      <c r="B13" s="13" t="s">
        <v>70</v>
      </c>
      <c r="C13" s="60" t="s">
        <v>130</v>
      </c>
      <c r="D13" s="60"/>
      <c r="E13" s="13" t="s">
        <v>71</v>
      </c>
      <c r="F13" s="55" t="s">
        <v>129</v>
      </c>
      <c r="G13" s="11"/>
      <c r="H13" s="14"/>
      <c r="I13" s="5"/>
      <c r="J13" s="5"/>
      <c r="K13" s="5"/>
      <c r="L13" s="5"/>
      <c r="M13" s="5"/>
    </row>
    <row r="14" spans="2:13" ht="27.75" customHeight="1" x14ac:dyDescent="0.25">
      <c r="H14" s="12"/>
      <c r="I14" s="5"/>
      <c r="J14" s="5"/>
      <c r="K14" s="5"/>
      <c r="L14" s="5"/>
      <c r="M14" s="5"/>
    </row>
    <row r="15" spans="2:13" x14ac:dyDescent="0.25">
      <c r="B15" s="15" t="s">
        <v>2</v>
      </c>
      <c r="C15" s="15" t="s">
        <v>69</v>
      </c>
      <c r="D15" s="15" t="s">
        <v>3</v>
      </c>
      <c r="E15" s="15" t="s">
        <v>4</v>
      </c>
      <c r="F15" s="15" t="s">
        <v>5</v>
      </c>
      <c r="I15" s="5"/>
      <c r="J15" s="5"/>
      <c r="K15" s="5"/>
      <c r="L15" s="5"/>
      <c r="M15" s="5"/>
    </row>
    <row r="16" spans="2:13" x14ac:dyDescent="0.25">
      <c r="B16" s="16">
        <v>1</v>
      </c>
      <c r="C16" s="16">
        <v>2</v>
      </c>
      <c r="D16" s="47" t="s">
        <v>131</v>
      </c>
      <c r="E16" s="18">
        <f>'1'!H47</f>
        <v>31622.428804347823</v>
      </c>
      <c r="F16" s="19">
        <f t="shared" ref="F16" si="0">C16*E16</f>
        <v>63244.857608695645</v>
      </c>
      <c r="I16" s="5"/>
      <c r="J16" s="5"/>
      <c r="K16" s="5"/>
      <c r="L16" s="5"/>
      <c r="M16" s="5"/>
    </row>
    <row r="17" spans="2:13" ht="16.899999999999999" customHeight="1" x14ac:dyDescent="0.25">
      <c r="D17" s="61" t="s">
        <v>57</v>
      </c>
      <c r="E17" s="61"/>
      <c r="F17" s="20">
        <f>SUM(F16:F16)</f>
        <v>63244.857608695645</v>
      </c>
      <c r="I17" s="5"/>
      <c r="J17" s="5"/>
      <c r="K17" s="5"/>
      <c r="L17" s="5"/>
      <c r="M17" s="5"/>
    </row>
    <row r="18" spans="2:13" x14ac:dyDescent="0.25">
      <c r="I18" s="5"/>
      <c r="J18" s="5"/>
      <c r="K18" s="5"/>
      <c r="L18" s="5"/>
      <c r="M18" s="5"/>
    </row>
    <row r="19" spans="2:13" x14ac:dyDescent="0.25">
      <c r="I19" s="5"/>
      <c r="J19" s="5"/>
      <c r="K19" s="5"/>
      <c r="L19" s="5"/>
      <c r="M19" s="5"/>
    </row>
    <row r="20" spans="2:13" ht="15.75" x14ac:dyDescent="0.25">
      <c r="B20" s="51" t="s">
        <v>111</v>
      </c>
      <c r="I20" s="5"/>
      <c r="J20" s="5"/>
      <c r="K20" s="5"/>
      <c r="L20" s="5"/>
      <c r="M20" s="5"/>
    </row>
    <row r="21" spans="2:13" x14ac:dyDescent="0.25">
      <c r="B21" s="50"/>
      <c r="I21" s="5"/>
      <c r="J21" s="5"/>
      <c r="K21" s="5"/>
      <c r="L21" s="5"/>
      <c r="M21" s="5"/>
    </row>
    <row r="22" spans="2:13" x14ac:dyDescent="0.25">
      <c r="B22" s="6" t="s">
        <v>59</v>
      </c>
      <c r="D22" s="3" t="s">
        <v>50</v>
      </c>
      <c r="I22" s="5"/>
      <c r="J22" s="5"/>
      <c r="K22" s="5"/>
      <c r="L22" s="5"/>
      <c r="M22" s="5"/>
    </row>
    <row r="23" spans="2:13" x14ac:dyDescent="0.25">
      <c r="B23" s="6" t="s">
        <v>58</v>
      </c>
      <c r="D23" s="3" t="s">
        <v>67</v>
      </c>
      <c r="I23" s="5"/>
      <c r="J23" s="5"/>
      <c r="K23" s="5"/>
      <c r="L23" s="5"/>
      <c r="M23" s="5"/>
    </row>
    <row r="24" spans="2:13" x14ac:dyDescent="0.25">
      <c r="B24" s="6"/>
      <c r="D24" s="3" t="s">
        <v>60</v>
      </c>
      <c r="I24" s="5"/>
      <c r="J24" s="5"/>
      <c r="K24" s="5"/>
      <c r="L24" s="5"/>
      <c r="M24" s="5"/>
    </row>
    <row r="25" spans="2:13" x14ac:dyDescent="0.25">
      <c r="B25" s="6" t="s">
        <v>61</v>
      </c>
      <c r="D25" s="3" t="s">
        <v>73</v>
      </c>
      <c r="I25" s="5"/>
      <c r="J25" s="5"/>
      <c r="K25" s="5"/>
      <c r="L25" s="5"/>
      <c r="M25" s="5"/>
    </row>
    <row r="26" spans="2:13" x14ac:dyDescent="0.25">
      <c r="B26" s="6" t="s">
        <v>62</v>
      </c>
      <c r="I26" s="5"/>
      <c r="J26" s="5"/>
      <c r="K26" s="5"/>
      <c r="L26" s="5"/>
      <c r="M26" s="5"/>
    </row>
    <row r="27" spans="2:13" x14ac:dyDescent="0.25">
      <c r="B27" s="6"/>
      <c r="I27" s="5"/>
      <c r="J27" s="5"/>
      <c r="K27" s="5"/>
      <c r="L27" s="5"/>
      <c r="M27" s="5"/>
    </row>
    <row r="28" spans="2:13" x14ac:dyDescent="0.25">
      <c r="B28" s="56" t="s">
        <v>63</v>
      </c>
      <c r="C28" s="56"/>
      <c r="D28" s="56"/>
      <c r="E28" s="56"/>
      <c r="F28" s="56"/>
      <c r="I28" s="5"/>
      <c r="J28" s="5"/>
      <c r="K28" s="5"/>
      <c r="L28" s="5"/>
      <c r="M28" s="5"/>
    </row>
    <row r="29" spans="2:13" x14ac:dyDescent="0.25">
      <c r="I29" s="5"/>
      <c r="J29" s="5"/>
      <c r="K29" s="5"/>
      <c r="L29" s="5"/>
      <c r="M29" s="5"/>
    </row>
    <row r="30" spans="2:13" ht="15.75" x14ac:dyDescent="0.25">
      <c r="B30" s="51" t="s">
        <v>113</v>
      </c>
      <c r="I30" s="5"/>
      <c r="J30" s="5"/>
      <c r="K30" s="5"/>
      <c r="L30" s="5"/>
      <c r="M30" s="5"/>
    </row>
    <row r="31" spans="2:13" x14ac:dyDescent="0.25">
      <c r="I31" s="5"/>
      <c r="J31" s="5"/>
      <c r="K31" s="5"/>
      <c r="L31" s="5"/>
      <c r="M31" s="5"/>
    </row>
    <row r="32" spans="2:13" ht="15.75" x14ac:dyDescent="0.25">
      <c r="B32" s="51" t="s">
        <v>114</v>
      </c>
      <c r="I32" s="5"/>
      <c r="J32" s="5"/>
      <c r="K32" s="5"/>
      <c r="L32" s="5"/>
      <c r="M32" s="5"/>
    </row>
    <row r="33" spans="9:13" x14ac:dyDescent="0.25">
      <c r="I33" s="5"/>
      <c r="J33" s="5"/>
      <c r="K33" s="5"/>
      <c r="L33" s="5"/>
      <c r="M33" s="5"/>
    </row>
    <row r="34" spans="9:13" x14ac:dyDescent="0.25">
      <c r="I34" s="5"/>
      <c r="J34" s="5"/>
      <c r="K34" s="5"/>
      <c r="L34" s="5"/>
      <c r="M34" s="5"/>
    </row>
    <row r="35" spans="9:13" x14ac:dyDescent="0.25">
      <c r="I35" s="5"/>
      <c r="J35" s="5"/>
      <c r="K35" s="5"/>
      <c r="L35" s="5"/>
      <c r="M35" s="5"/>
    </row>
    <row r="36" spans="9:13" x14ac:dyDescent="0.25">
      <c r="I36" s="5"/>
      <c r="J36" s="5"/>
      <c r="K36" s="5"/>
      <c r="L36" s="5"/>
      <c r="M36" s="5"/>
    </row>
    <row r="37" spans="9:13" x14ac:dyDescent="0.25">
      <c r="I37" s="5"/>
      <c r="J37" s="5"/>
      <c r="K37" s="5"/>
      <c r="L37" s="5"/>
      <c r="M37" s="5"/>
    </row>
    <row r="38" spans="9:13" x14ac:dyDescent="0.25">
      <c r="I38" s="5"/>
      <c r="J38" s="5"/>
      <c r="K38" s="5"/>
      <c r="L38" s="5"/>
      <c r="M38" s="5"/>
    </row>
    <row r="39" spans="9:13" x14ac:dyDescent="0.25">
      <c r="I39" s="5"/>
      <c r="J39" s="5"/>
      <c r="K39" s="5"/>
      <c r="L39" s="5"/>
      <c r="M39" s="5"/>
    </row>
    <row r="40" spans="9:13" x14ac:dyDescent="0.25">
      <c r="I40" s="5"/>
      <c r="J40" s="5"/>
      <c r="K40" s="5"/>
      <c r="L40" s="5"/>
      <c r="M40" s="5"/>
    </row>
    <row r="41" spans="9:13" x14ac:dyDescent="0.25">
      <c r="I41" s="5"/>
      <c r="J41" s="5"/>
      <c r="K41" s="5"/>
      <c r="L41" s="5"/>
      <c r="M41" s="5"/>
    </row>
    <row r="42" spans="9:13" x14ac:dyDescent="0.25">
      <c r="I42" s="5"/>
      <c r="J42" s="5"/>
      <c r="K42" s="5"/>
      <c r="L42" s="5"/>
      <c r="M42" s="5"/>
    </row>
    <row r="43" spans="9:13" x14ac:dyDescent="0.25">
      <c r="I43" s="5"/>
      <c r="J43" s="5"/>
      <c r="K43" s="5"/>
      <c r="L43" s="5"/>
      <c r="M43" s="5"/>
    </row>
    <row r="44" spans="9:13" x14ac:dyDescent="0.25">
      <c r="I44" s="5"/>
      <c r="J44" s="5"/>
      <c r="K44" s="5"/>
      <c r="L44" s="5"/>
      <c r="M44" s="5"/>
    </row>
    <row r="45" spans="9:13" x14ac:dyDescent="0.25">
      <c r="I45" s="5"/>
      <c r="J45" s="5"/>
      <c r="K45" s="5"/>
      <c r="L45" s="5"/>
      <c r="M45" s="5"/>
    </row>
    <row r="46" spans="9:13" x14ac:dyDescent="0.25">
      <c r="I46" s="5"/>
      <c r="J46" s="5"/>
      <c r="K46" s="5"/>
      <c r="L46" s="5"/>
      <c r="M46" s="5"/>
    </row>
    <row r="47" spans="9:13" x14ac:dyDescent="0.25">
      <c r="I47" s="5"/>
      <c r="J47" s="5"/>
      <c r="K47" s="5"/>
      <c r="L47" s="5"/>
      <c r="M47" s="5"/>
    </row>
    <row r="48" spans="9:13" x14ac:dyDescent="0.25">
      <c r="I48" s="5"/>
      <c r="J48" s="5"/>
      <c r="K48" s="5"/>
      <c r="L48" s="5"/>
      <c r="M48" s="5"/>
    </row>
    <row r="49" spans="9:13" x14ac:dyDescent="0.25">
      <c r="I49" s="5"/>
      <c r="J49" s="5"/>
      <c r="K49" s="5"/>
      <c r="L49" s="5"/>
      <c r="M49" s="5"/>
    </row>
    <row r="50" spans="9:13" x14ac:dyDescent="0.25">
      <c r="I50" s="5"/>
      <c r="J50" s="5"/>
      <c r="K50" s="5"/>
      <c r="L50" s="5"/>
      <c r="M50" s="5"/>
    </row>
    <row r="51" spans="9:13" x14ac:dyDescent="0.25">
      <c r="I51" s="5"/>
      <c r="J51" s="5"/>
      <c r="K51" s="5"/>
      <c r="L51" s="5"/>
      <c r="M51" s="5"/>
    </row>
    <row r="52" spans="9:13" x14ac:dyDescent="0.25">
      <c r="I52" s="5"/>
      <c r="J52" s="5"/>
      <c r="K52" s="5"/>
      <c r="L52" s="5"/>
      <c r="M52" s="5"/>
    </row>
    <row r="53" spans="9:13" x14ac:dyDescent="0.25">
      <c r="I53" s="5"/>
      <c r="J53" s="5"/>
      <c r="K53" s="5"/>
      <c r="L53" s="5"/>
      <c r="M53" s="5"/>
    </row>
    <row r="54" spans="9:13" x14ac:dyDescent="0.25">
      <c r="I54" s="5"/>
      <c r="J54" s="5"/>
      <c r="K54" s="5"/>
      <c r="L54" s="5"/>
      <c r="M54" s="5"/>
    </row>
    <row r="55" spans="9:13" x14ac:dyDescent="0.25">
      <c r="I55" s="5"/>
      <c r="J55" s="5"/>
      <c r="K55" s="5"/>
      <c r="L55" s="5"/>
      <c r="M55" s="5"/>
    </row>
    <row r="56" spans="9:13" x14ac:dyDescent="0.25">
      <c r="I56" s="5"/>
      <c r="J56" s="5"/>
      <c r="K56" s="5"/>
      <c r="L56" s="5"/>
      <c r="M56" s="5"/>
    </row>
    <row r="57" spans="9:13" x14ac:dyDescent="0.25">
      <c r="I57" s="5"/>
      <c r="J57" s="5"/>
      <c r="K57" s="5"/>
      <c r="L57" s="5"/>
      <c r="M57" s="5"/>
    </row>
    <row r="58" spans="9:13" x14ac:dyDescent="0.25">
      <c r="I58" s="5"/>
      <c r="J58" s="5"/>
      <c r="K58" s="5"/>
      <c r="L58" s="5"/>
      <c r="M58" s="5"/>
    </row>
    <row r="59" spans="9:13" x14ac:dyDescent="0.25">
      <c r="I59" s="5"/>
      <c r="J59" s="5"/>
      <c r="K59" s="5"/>
      <c r="L59" s="5"/>
      <c r="M59" s="5"/>
    </row>
    <row r="60" spans="9:13" x14ac:dyDescent="0.25">
      <c r="I60" s="5"/>
      <c r="J60" s="5"/>
      <c r="K60" s="5"/>
      <c r="L60" s="5"/>
      <c r="M60" s="5"/>
    </row>
    <row r="61" spans="9:13" x14ac:dyDescent="0.25">
      <c r="I61" s="5"/>
      <c r="J61" s="5"/>
      <c r="K61" s="5"/>
      <c r="L61" s="5"/>
      <c r="M61" s="5"/>
    </row>
    <row r="62" spans="9:13" x14ac:dyDescent="0.25">
      <c r="I62" s="5"/>
      <c r="J62" s="5"/>
      <c r="K62" s="5"/>
      <c r="L62" s="5"/>
      <c r="M62" s="5"/>
    </row>
    <row r="63" spans="9:13" x14ac:dyDescent="0.25">
      <c r="I63" s="5"/>
      <c r="J63" s="5"/>
      <c r="K63" s="5"/>
      <c r="L63" s="5"/>
      <c r="M63" s="5"/>
    </row>
    <row r="64" spans="9:13" x14ac:dyDescent="0.25">
      <c r="I64" s="5"/>
      <c r="J64" s="5"/>
      <c r="K64" s="5"/>
      <c r="L64" s="5"/>
      <c r="M64" s="5"/>
    </row>
    <row r="65" spans="9:13" x14ac:dyDescent="0.25">
      <c r="I65" s="5"/>
      <c r="J65" s="5"/>
      <c r="K65" s="5"/>
      <c r="L65" s="5"/>
      <c r="M65" s="5"/>
    </row>
    <row r="66" spans="9:13" x14ac:dyDescent="0.25">
      <c r="I66" s="5"/>
      <c r="J66" s="5"/>
      <c r="K66" s="5"/>
      <c r="L66" s="5"/>
      <c r="M66" s="5"/>
    </row>
    <row r="67" spans="9:13" x14ac:dyDescent="0.25">
      <c r="I67" s="5"/>
      <c r="J67" s="5"/>
      <c r="K67" s="5"/>
      <c r="L67" s="5"/>
      <c r="M67" s="5"/>
    </row>
    <row r="68" spans="9:13" x14ac:dyDescent="0.25">
      <c r="I68" s="5"/>
      <c r="J68" s="5"/>
      <c r="K68" s="5"/>
      <c r="L68" s="5"/>
      <c r="M68" s="5"/>
    </row>
    <row r="69" spans="9:13" x14ac:dyDescent="0.25">
      <c r="I69" s="5"/>
      <c r="J69" s="5"/>
      <c r="K69" s="5"/>
      <c r="L69" s="5"/>
      <c r="M69" s="5"/>
    </row>
    <row r="70" spans="9:13" x14ac:dyDescent="0.25">
      <c r="I70" s="5"/>
      <c r="J70" s="5"/>
      <c r="K70" s="5"/>
      <c r="L70" s="5"/>
      <c r="M70" s="5"/>
    </row>
    <row r="71" spans="9:13" x14ac:dyDescent="0.25">
      <c r="I71" s="5"/>
      <c r="J71" s="5"/>
      <c r="K71" s="5"/>
      <c r="L71" s="5"/>
      <c r="M71" s="5"/>
    </row>
    <row r="72" spans="9:13" x14ac:dyDescent="0.25">
      <c r="I72" s="5"/>
      <c r="J72" s="5"/>
      <c r="K72" s="5"/>
      <c r="L72" s="5"/>
      <c r="M72" s="5"/>
    </row>
    <row r="73" spans="9:13" x14ac:dyDescent="0.25">
      <c r="I73" s="5"/>
      <c r="J73" s="5"/>
      <c r="K73" s="5"/>
      <c r="L73" s="5"/>
      <c r="M73" s="5"/>
    </row>
    <row r="74" spans="9:13" x14ac:dyDescent="0.25">
      <c r="I74" s="5"/>
      <c r="J74" s="5"/>
      <c r="K74" s="5"/>
      <c r="L74" s="5"/>
      <c r="M74" s="5"/>
    </row>
    <row r="75" spans="9:13" x14ac:dyDescent="0.25">
      <c r="I75" s="5"/>
      <c r="J75" s="5"/>
      <c r="K75" s="5"/>
      <c r="L75" s="5"/>
      <c r="M75" s="5"/>
    </row>
    <row r="76" spans="9:13" x14ac:dyDescent="0.25">
      <c r="I76" s="5"/>
      <c r="J76" s="5"/>
      <c r="K76" s="5"/>
      <c r="L76" s="5"/>
      <c r="M76" s="5"/>
    </row>
    <row r="77" spans="9:13" x14ac:dyDescent="0.25">
      <c r="I77" s="5"/>
      <c r="J77" s="5"/>
      <c r="K77" s="5"/>
      <c r="L77" s="5"/>
      <c r="M77" s="5"/>
    </row>
    <row r="78" spans="9:13" x14ac:dyDescent="0.25">
      <c r="I78" s="5"/>
      <c r="J78" s="5"/>
      <c r="K78" s="5"/>
      <c r="L78" s="5"/>
      <c r="M78" s="5"/>
    </row>
    <row r="79" spans="9:13" x14ac:dyDescent="0.25">
      <c r="I79" s="5"/>
      <c r="J79" s="5"/>
      <c r="K79" s="5"/>
      <c r="L79" s="5"/>
      <c r="M79" s="5"/>
    </row>
    <row r="80" spans="9:13" x14ac:dyDescent="0.25">
      <c r="I80" s="5"/>
      <c r="J80" s="5"/>
      <c r="K80" s="5"/>
      <c r="L80" s="5"/>
      <c r="M80" s="5"/>
    </row>
  </sheetData>
  <mergeCells count="7">
    <mergeCell ref="B28:F28"/>
    <mergeCell ref="E1:G1"/>
    <mergeCell ref="D8:E10"/>
    <mergeCell ref="F11:H11"/>
    <mergeCell ref="C12:D12"/>
    <mergeCell ref="C13:D13"/>
    <mergeCell ref="D17:E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Resumo</vt:lpstr>
      <vt:lpstr>1</vt:lpstr>
      <vt:lpstr>Planilha1</vt:lpstr>
      <vt:lpstr>'1'!Area_de_impressao</vt:lpstr>
      <vt:lpstr>Resumo!Area_de_impressao</vt:lpstr>
      <vt:lpstr>'1'!Titulos_de_impressao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marcelohbilacchi@gmail.com</dc:creator>
  <cp:lastModifiedBy>Danielle  Portella</cp:lastModifiedBy>
  <cp:lastPrinted>2025-12-02T15:23:06Z</cp:lastPrinted>
  <dcterms:created xsi:type="dcterms:W3CDTF">2022-07-19T15:35:50Z</dcterms:created>
  <dcterms:modified xsi:type="dcterms:W3CDTF">2025-12-02T15:41:19Z</dcterms:modified>
</cp:coreProperties>
</file>