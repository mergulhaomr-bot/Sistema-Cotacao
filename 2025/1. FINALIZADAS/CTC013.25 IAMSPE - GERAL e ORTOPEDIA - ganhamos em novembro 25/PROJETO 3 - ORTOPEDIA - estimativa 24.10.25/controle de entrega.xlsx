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eu Drive\COTAÇÕES\COTAÇÕES - VENDAS\2025\1. FINALIZADAS\CTC013.25 IAMSPE - GERAL e ORTOPEDIA - ganhamos em novembro 25\PROJETO 3 - ORTOPEDIA - estimativa 24.10.25\"/>
    </mc:Choice>
  </mc:AlternateContent>
  <xr:revisionPtr revIDLastSave="0" documentId="13_ncr:1_{336166BD-095C-4483-B2F8-95C9D5230F02}" xr6:coauthVersionLast="47" xr6:coauthVersionMax="47" xr10:uidLastSave="{00000000-0000-0000-0000-000000000000}"/>
  <bookViews>
    <workbookView xWindow="1185" yWindow="225" windowWidth="18975" windowHeight="1525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16" i="1"/>
  <c r="E17" i="1"/>
  <c r="E15" i="1"/>
  <c r="E18" i="1" s="1"/>
  <c r="E24" i="1" s="1"/>
  <c r="F6" i="1"/>
  <c r="F5" i="1"/>
  <c r="F3" i="1"/>
  <c r="F8" i="1" s="1"/>
  <c r="C8" i="1"/>
  <c r="D8" i="1"/>
  <c r="D11" i="1" s="1"/>
</calcChain>
</file>

<file path=xl/sharedStrings.xml><?xml version="1.0" encoding="utf-8"?>
<sst xmlns="http://schemas.openxmlformats.org/spreadsheetml/2006/main" count="22" uniqueCount="21">
  <si>
    <t>infantil</t>
  </si>
  <si>
    <t>coluna</t>
  </si>
  <si>
    <t>pé e tornozelo</t>
  </si>
  <si>
    <t>ombro</t>
  </si>
  <si>
    <t>quadril</t>
  </si>
  <si>
    <t>total empenho</t>
  </si>
  <si>
    <t>empenho de ortopedia</t>
  </si>
  <si>
    <t>nf</t>
  </si>
  <si>
    <t>caixa</t>
  </si>
  <si>
    <t>valor nf faturada</t>
  </si>
  <si>
    <t>valor da caixa</t>
  </si>
  <si>
    <t>falta faturar</t>
  </si>
  <si>
    <t>FX.62.312</t>
  </si>
  <si>
    <t>HB3103</t>
  </si>
  <si>
    <t>HB5618-18</t>
  </si>
  <si>
    <t>valor unit</t>
  </si>
  <si>
    <t>qtd</t>
  </si>
  <si>
    <t>FX.62.313</t>
  </si>
  <si>
    <t>fazer essa nf</t>
  </si>
  <si>
    <t>total</t>
  </si>
  <si>
    <t>Correspondente as caixas ORTOPEDIA INFANTIL E RECONSTRUÇÃO PÉ E TORNOZELO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</si>
</sst>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0" applyNumberFormat="1"/>
    <xf numFmtId="0" fontId="0" fillId="0" borderId="1" xfId="0" applyBorder="1"/>
    <xf numFmtId="44" fontId="0" fillId="0" borderId="1" xfId="0" applyNumberFormat="1" applyBorder="1"/>
    <xf numFmtId="44" fontId="2" fillId="0" borderId="1" xfId="0" applyNumberFormat="1" applyFont="1" applyBorder="1"/>
    <xf numFmtId="0" fontId="0" fillId="2" borderId="1" xfId="0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164" fontId="0" fillId="0" borderId="1" xfId="1" applyNumberFormat="1" applyFont="1" applyBorder="1" applyAlignment="1" applyProtection="1">
      <alignment horizontal="center" vertical="center" wrapText="1"/>
      <protection hidden="1"/>
    </xf>
    <xf numFmtId="164" fontId="0" fillId="0" borderId="0" xfId="0" applyNumberFormat="1"/>
    <xf numFmtId="0" fontId="0" fillId="4" borderId="0" xfId="0" applyFill="1"/>
    <xf numFmtId="44" fontId="0" fillId="4" borderId="0" xfId="0" applyNumberFormat="1" applyFill="1"/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164" fontId="0" fillId="4" borderId="1" xfId="1" applyNumberFormat="1" applyFont="1" applyFill="1" applyBorder="1" applyAlignment="1" applyProtection="1">
      <alignment horizontal="center" vertical="center" wrapText="1"/>
      <protection hidden="1"/>
    </xf>
    <xf numFmtId="164" fontId="0" fillId="4" borderId="0" xfId="0" applyNumberFormat="1" applyFill="1"/>
    <xf numFmtId="0" fontId="2" fillId="4" borderId="1" xfId="0" applyFont="1" applyFill="1" applyBorder="1" applyAlignment="1">
      <alignment horizontal="center" vertical="center"/>
    </xf>
    <xf numFmtId="164" fontId="2" fillId="4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7"/>
  <sheetViews>
    <sheetView tabSelected="1" workbookViewId="0">
      <selection activeCell="J19" sqref="J19"/>
    </sheetView>
  </sheetViews>
  <sheetFormatPr defaultRowHeight="15" x14ac:dyDescent="0.25"/>
  <cols>
    <col min="2" max="2" width="28.42578125" customWidth="1"/>
    <col min="3" max="3" width="16.42578125" style="1" customWidth="1"/>
    <col min="4" max="4" width="18" style="1" customWidth="1"/>
    <col min="5" max="5" width="13.28515625" bestFit="1" customWidth="1"/>
    <col min="6" max="6" width="15.5703125" customWidth="1"/>
  </cols>
  <sheetData>
    <row r="1" spans="2:6" x14ac:dyDescent="0.25">
      <c r="B1" s="2" t="s">
        <v>6</v>
      </c>
      <c r="C1" s="3"/>
      <c r="D1" s="3"/>
      <c r="E1" s="2"/>
      <c r="F1" s="2"/>
    </row>
    <row r="2" spans="2:6" x14ac:dyDescent="0.25">
      <c r="B2" s="5" t="s">
        <v>8</v>
      </c>
      <c r="C2" s="6" t="s">
        <v>10</v>
      </c>
      <c r="D2" s="6" t="s">
        <v>9</v>
      </c>
      <c r="E2" s="5" t="s">
        <v>7</v>
      </c>
      <c r="F2" s="7" t="s">
        <v>11</v>
      </c>
    </row>
    <row r="3" spans="2:6" x14ac:dyDescent="0.25">
      <c r="B3" s="2" t="s">
        <v>0</v>
      </c>
      <c r="C3" s="3">
        <v>125800</v>
      </c>
      <c r="D3" s="3">
        <v>118173.57</v>
      </c>
      <c r="E3" s="2">
        <v>327</v>
      </c>
      <c r="F3" s="3">
        <f>C3-D3</f>
        <v>7626.429999999993</v>
      </c>
    </row>
    <row r="4" spans="2:6" x14ac:dyDescent="0.25">
      <c r="B4" s="2" t="s">
        <v>1</v>
      </c>
      <c r="C4" s="3">
        <v>116940</v>
      </c>
      <c r="D4" s="3">
        <v>116940</v>
      </c>
      <c r="E4" s="2">
        <v>328</v>
      </c>
      <c r="F4" s="2">
        <v>0</v>
      </c>
    </row>
    <row r="5" spans="2:6" x14ac:dyDescent="0.25">
      <c r="B5" s="2" t="s">
        <v>2</v>
      </c>
      <c r="C5" s="3">
        <v>482880</v>
      </c>
      <c r="D5" s="3">
        <v>461852.04</v>
      </c>
      <c r="E5" s="2">
        <v>329</v>
      </c>
      <c r="F5" s="3">
        <f>C5-D5</f>
        <v>21027.960000000021</v>
      </c>
    </row>
    <row r="6" spans="2:6" x14ac:dyDescent="0.25">
      <c r="B6" s="2" t="s">
        <v>3</v>
      </c>
      <c r="C6" s="3">
        <v>124540</v>
      </c>
      <c r="D6" s="3">
        <v>119923.66</v>
      </c>
      <c r="E6" s="2">
        <v>330</v>
      </c>
      <c r="F6" s="3">
        <f>C6-D6</f>
        <v>4616.3399999999965</v>
      </c>
    </row>
    <row r="7" spans="2:6" x14ac:dyDescent="0.25">
      <c r="B7" s="2" t="s">
        <v>4</v>
      </c>
      <c r="C7" s="3">
        <v>300320</v>
      </c>
      <c r="D7" s="3">
        <v>300320</v>
      </c>
      <c r="E7" s="2">
        <v>316</v>
      </c>
      <c r="F7" s="2">
        <v>0</v>
      </c>
    </row>
    <row r="8" spans="2:6" x14ac:dyDescent="0.25">
      <c r="B8" s="2"/>
      <c r="C8" s="3">
        <f>SUM(C3:C7)</f>
        <v>1150480</v>
      </c>
      <c r="D8" s="4">
        <f>SUM(D3:D7)</f>
        <v>1117209.27</v>
      </c>
      <c r="E8" s="2"/>
      <c r="F8" s="4">
        <f>SUM(F3:F7)</f>
        <v>33270.73000000001</v>
      </c>
    </row>
    <row r="10" spans="2:6" x14ac:dyDescent="0.25">
      <c r="C10" t="s">
        <v>5</v>
      </c>
      <c r="D10" s="1">
        <v>1150480</v>
      </c>
    </row>
    <row r="11" spans="2:6" x14ac:dyDescent="0.25">
      <c r="C11" s="1" t="s">
        <v>11</v>
      </c>
      <c r="D11" s="1">
        <f>D10-D8</f>
        <v>33270.729999999981</v>
      </c>
    </row>
    <row r="14" spans="2:6" x14ac:dyDescent="0.25">
      <c r="B14" s="11"/>
      <c r="C14" s="12" t="s">
        <v>16</v>
      </c>
      <c r="D14" s="12" t="s">
        <v>15</v>
      </c>
      <c r="E14" s="11"/>
    </row>
    <row r="15" spans="2:6" x14ac:dyDescent="0.25">
      <c r="B15" s="13" t="s">
        <v>14</v>
      </c>
      <c r="C15" s="14">
        <v>1</v>
      </c>
      <c r="D15" s="15">
        <v>617.11003826086949</v>
      </c>
      <c r="E15" s="16">
        <f>D15*C15</f>
        <v>617.11003826086949</v>
      </c>
      <c r="F15" t="s">
        <v>18</v>
      </c>
    </row>
    <row r="16" spans="2:6" x14ac:dyDescent="0.25">
      <c r="B16" s="17" t="s">
        <v>12</v>
      </c>
      <c r="C16" s="14">
        <v>8</v>
      </c>
      <c r="D16" s="15">
        <v>1692.4</v>
      </c>
      <c r="E16" s="16">
        <f t="shared" ref="E16:E17" si="0">D16*C16</f>
        <v>13539.2</v>
      </c>
    </row>
    <row r="17" spans="2:5" x14ac:dyDescent="0.25">
      <c r="B17" s="13" t="s">
        <v>13</v>
      </c>
      <c r="C17" s="14">
        <v>4</v>
      </c>
      <c r="D17" s="15">
        <v>1154.0859686956521</v>
      </c>
      <c r="E17" s="16">
        <f t="shared" si="0"/>
        <v>4616.3438747826085</v>
      </c>
    </row>
    <row r="18" spans="2:5" x14ac:dyDescent="0.25">
      <c r="B18" s="11"/>
      <c r="C18" s="11"/>
      <c r="D18" s="16"/>
      <c r="E18" s="18">
        <f>SUM(E15:E17)</f>
        <v>18772.653913043479</v>
      </c>
    </row>
    <row r="19" spans="2:5" x14ac:dyDescent="0.25">
      <c r="C19"/>
      <c r="D19"/>
    </row>
    <row r="20" spans="2:5" x14ac:dyDescent="0.25">
      <c r="C20"/>
      <c r="D20"/>
    </row>
    <row r="21" spans="2:5" x14ac:dyDescent="0.25">
      <c r="B21" s="8" t="s">
        <v>17</v>
      </c>
      <c r="C21">
        <v>8</v>
      </c>
      <c r="D21" s="9">
        <v>1812.26</v>
      </c>
      <c r="E21" s="10">
        <f>D21*C21</f>
        <v>14498.08</v>
      </c>
    </row>
    <row r="22" spans="2:5" x14ac:dyDescent="0.25">
      <c r="C22"/>
      <c r="D22"/>
    </row>
    <row r="23" spans="2:5" x14ac:dyDescent="0.25">
      <c r="C23"/>
      <c r="D23"/>
    </row>
    <row r="24" spans="2:5" x14ac:dyDescent="0.25">
      <c r="C24"/>
      <c r="D24" t="s">
        <v>19</v>
      </c>
      <c r="E24" s="10">
        <f>E18+E21</f>
        <v>33270.733913043478</v>
      </c>
    </row>
    <row r="25" spans="2:5" x14ac:dyDescent="0.25">
      <c r="C25"/>
      <c r="D25"/>
    </row>
    <row r="26" spans="2:5" x14ac:dyDescent="0.25">
      <c r="C26"/>
      <c r="D26"/>
    </row>
    <row r="27" spans="2:5" x14ac:dyDescent="0.25">
      <c r="C27"/>
      <c r="D27"/>
    </row>
    <row r="28" spans="2:5" x14ac:dyDescent="0.25">
      <c r="B28" t="s">
        <v>20</v>
      </c>
      <c r="C28"/>
      <c r="D28"/>
    </row>
    <row r="29" spans="2:5" x14ac:dyDescent="0.25">
      <c r="C29"/>
      <c r="D29"/>
    </row>
    <row r="30" spans="2:5" x14ac:dyDescent="0.25">
      <c r="C30"/>
      <c r="D30"/>
    </row>
    <row r="31" spans="2:5" x14ac:dyDescent="0.25">
      <c r="C31"/>
      <c r="D31"/>
    </row>
    <row r="32" spans="2:5" x14ac:dyDescent="0.25">
      <c r="C32"/>
      <c r="D32"/>
    </row>
    <row r="33" spans="3:4" x14ac:dyDescent="0.25">
      <c r="C33"/>
      <c r="D33"/>
    </row>
    <row r="34" spans="3:4" x14ac:dyDescent="0.25">
      <c r="C34"/>
      <c r="D34"/>
    </row>
    <row r="35" spans="3:4" x14ac:dyDescent="0.25">
      <c r="C35"/>
      <c r="D35"/>
    </row>
    <row r="36" spans="3:4" x14ac:dyDescent="0.25">
      <c r="C36"/>
      <c r="D36"/>
    </row>
    <row r="37" spans="3:4" x14ac:dyDescent="0.25">
      <c r="C37"/>
      <c r="D37"/>
    </row>
    <row r="38" spans="3:4" x14ac:dyDescent="0.25">
      <c r="C38"/>
      <c r="D38"/>
    </row>
    <row r="39" spans="3:4" x14ac:dyDescent="0.25">
      <c r="C39"/>
      <c r="D39"/>
    </row>
    <row r="40" spans="3:4" x14ac:dyDescent="0.25">
      <c r="C40"/>
      <c r="D40"/>
    </row>
    <row r="41" spans="3:4" x14ac:dyDescent="0.25">
      <c r="C41"/>
      <c r="D41"/>
    </row>
    <row r="42" spans="3:4" x14ac:dyDescent="0.25">
      <c r="C42"/>
      <c r="D42"/>
    </row>
    <row r="43" spans="3:4" x14ac:dyDescent="0.25">
      <c r="C43"/>
      <c r="D43"/>
    </row>
    <row r="44" spans="3:4" x14ac:dyDescent="0.25">
      <c r="C44"/>
      <c r="D44"/>
    </row>
    <row r="45" spans="3:4" x14ac:dyDescent="0.25">
      <c r="C45"/>
      <c r="D45"/>
    </row>
    <row r="46" spans="3:4" x14ac:dyDescent="0.25">
      <c r="C46"/>
      <c r="D46"/>
    </row>
    <row r="47" spans="3:4" x14ac:dyDescent="0.25">
      <c r="C47"/>
      <c r="D4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Estoque</dc:creator>
  <cp:lastModifiedBy>Micro2</cp:lastModifiedBy>
  <dcterms:created xsi:type="dcterms:W3CDTF">2026-05-15T15:26:30Z</dcterms:created>
  <dcterms:modified xsi:type="dcterms:W3CDTF">2026-05-18T15:51:44Z</dcterms:modified>
</cp:coreProperties>
</file>