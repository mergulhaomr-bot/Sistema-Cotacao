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I:\Meu Drive\COTAÇÕES clientes\2025\1. FINALIZADAS\CTC013.25 IAMSPE - GERAL e ORTOPEDIA - ganhamos em novembro 25\PROJETO 3 - ORTOPEDIA - estimativa 24.10.25\"/>
    </mc:Choice>
  </mc:AlternateContent>
  <bookViews>
    <workbookView minimized="1" xWindow="-120" yWindow="-120" windowWidth="20730" windowHeight="11040" tabRatio="725" activeTab="1"/>
  </bookViews>
  <sheets>
    <sheet name="cotação" sheetId="1" r:id="rId1"/>
    <sheet name="proposta RESUMIDA" sheetId="5" r:id="rId2"/>
    <sheet name="Planilha5" sheetId="9" r:id="rId3"/>
    <sheet name="PROPOSTA ITEM A ITEM" sheetId="8" r:id="rId4"/>
    <sheet name="Planilha2" sheetId="2" r:id="rId5"/>
    <sheet name="Planilha4" sheetId="4" r:id="rId6"/>
    <sheet name="Planilha1" sheetId="6" r:id="rId7"/>
  </sheets>
  <definedNames>
    <definedName name="_xlnm._FilterDatabase" localSheetId="0" hidden="1">cotação!$A$2:$I$2</definedName>
    <definedName name="_xlnm._FilterDatabase" localSheetId="6" hidden="1">Planilha1!$A$1:$B$281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" i="9" l="1"/>
  <c r="H6" i="9"/>
  <c r="J5" i="9"/>
  <c r="H5" i="9"/>
  <c r="J4" i="9"/>
  <c r="H4" i="9"/>
  <c r="J3" i="9"/>
  <c r="H3" i="9"/>
  <c r="H7" i="9" s="1"/>
  <c r="J7" i="9"/>
  <c r="H4" i="5"/>
  <c r="J4" i="5"/>
  <c r="J5" i="5"/>
  <c r="J6" i="5"/>
  <c r="J7" i="5"/>
  <c r="J3" i="5"/>
  <c r="J8" i="5" l="1"/>
  <c r="H5" i="5" l="1"/>
  <c r="H6" i="5"/>
  <c r="H7" i="5"/>
  <c r="H3" i="5"/>
  <c r="H333" i="1"/>
  <c r="H334" i="1" s="1"/>
  <c r="E21" i="2" s="1"/>
  <c r="F21" i="2" s="1"/>
  <c r="H288" i="1"/>
  <c r="H289" i="1" s="1"/>
  <c r="E20" i="2" s="1"/>
  <c r="F20" i="2" s="1"/>
  <c r="H252" i="1"/>
  <c r="H253" i="1" s="1"/>
  <c r="E19" i="2" s="1"/>
  <c r="F19" i="2" s="1"/>
  <c r="H210" i="1"/>
  <c r="H125" i="1"/>
  <c r="H126" i="1" s="1"/>
  <c r="E17" i="2" s="1"/>
  <c r="F17" i="2" s="1"/>
  <c r="H65" i="1"/>
  <c r="H66" i="1" s="1"/>
  <c r="E16" i="2" s="1"/>
  <c r="F16" i="2" s="1"/>
  <c r="H8" i="5" l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129" i="1"/>
  <c r="H211" i="1" l="1"/>
  <c r="E18" i="2" s="1"/>
  <c r="F18" i="2" s="1"/>
  <c r="F22" i="2" s="1"/>
</calcChain>
</file>

<file path=xl/sharedStrings.xml><?xml version="1.0" encoding="utf-8"?>
<sst xmlns="http://schemas.openxmlformats.org/spreadsheetml/2006/main" count="2583" uniqueCount="865">
  <si>
    <t>ITEM</t>
  </si>
  <si>
    <t xml:space="preserve">CÓDIGO </t>
  </si>
  <si>
    <t xml:space="preserve"> ANVISA</t>
  </si>
  <si>
    <t xml:space="preserve"> TOTAL</t>
  </si>
  <si>
    <t>Afastador Farabeuf Conjunto Completo, 12cm</t>
  </si>
  <si>
    <t>09-573-00</t>
  </si>
  <si>
    <t>09-187-16</t>
  </si>
  <si>
    <t>23-556-18</t>
  </si>
  <si>
    <t>06-270-12</t>
  </si>
  <si>
    <t>06-132-12</t>
  </si>
  <si>
    <t>18-104-15</t>
  </si>
  <si>
    <t>06-100-14</t>
  </si>
  <si>
    <t>06-250-14</t>
  </si>
  <si>
    <t>Pinça Arterial Halsted-Mosquito Serr Curva 12.5cm</t>
  </si>
  <si>
    <t>Pinça Arterial Halsted-Mosquito Serr Reta 12.5cm</t>
  </si>
  <si>
    <t>Pinça Arterial Kelly Curva 14cm</t>
  </si>
  <si>
    <t>07-231-14</t>
  </si>
  <si>
    <t>PINÇA KELLY RETA 14 CM</t>
  </si>
  <si>
    <t>Pinça Arterial Kelly Reta 14cm</t>
  </si>
  <si>
    <t>07-230-14</t>
  </si>
  <si>
    <t>11-552-16</t>
  </si>
  <si>
    <t>Mayo Hegar Porta Agulha, 14cm, com videa - TC</t>
  </si>
  <si>
    <t>FX.18.436</t>
  </si>
  <si>
    <t>13-599-15</t>
  </si>
  <si>
    <t>Tesoura de Dissecação Mayo Reta 14.5cm</t>
  </si>
  <si>
    <t>05-170-14</t>
  </si>
  <si>
    <t>Isento</t>
  </si>
  <si>
    <t>Total</t>
  </si>
  <si>
    <t>UNITÁRIO</t>
  </si>
  <si>
    <t>AFASTADOR LANGENBECK PEQUENO, 30x11 MM, 21 CM</t>
  </si>
  <si>
    <t>09-281-01</t>
  </si>
  <si>
    <t>AFASTADOR LANGENBECK PEQUENO, 50x11 MM, 21 CM</t>
  </si>
  <si>
    <t>09-281-05</t>
  </si>
  <si>
    <t>AFASTADOR FARABEUF, 12 CM</t>
  </si>
  <si>
    <t>AFASTADOR FARABEUF, 17 x 20 CM</t>
  </si>
  <si>
    <t>09-576-00</t>
  </si>
  <si>
    <t>PINÇA  ALLIS DELICADA, ATRAUMÁTICA  16 CM</t>
  </si>
  <si>
    <t>18-110-16</t>
  </si>
  <si>
    <t>PINÇA  ALLIS 5X6 DENTES, 15 CM</t>
  </si>
  <si>
    <t>PORTA AGULHA FORTE, COM VIDEA, 18 CM</t>
  </si>
  <si>
    <t>13-190-12</t>
  </si>
  <si>
    <t>SACABOCADO RUSKIN, DELICADO, RETO,  3MM X 15 CM</t>
  </si>
  <si>
    <t>13-898-15</t>
  </si>
  <si>
    <t>SACABOCADO STILLE RUSKIN, CURVO,  23 CM</t>
  </si>
  <si>
    <t>13-891-23</t>
  </si>
  <si>
    <t>SPREADER PEQUENO, 16 CM</t>
  </si>
  <si>
    <t>15-605-16</t>
  </si>
  <si>
    <t>SPREADER GRANDE, 26 CM</t>
  </si>
  <si>
    <t>15-605-27</t>
  </si>
  <si>
    <t>FORMÃO LAMBOTTE RETO, 6 MM X 17 CM</t>
  </si>
  <si>
    <t>13-342-06</t>
  </si>
  <si>
    <t>FORMÃO LAMBOTTE RETO, 8 MM X 17 CM</t>
  </si>
  <si>
    <t>13-342-08</t>
  </si>
  <si>
    <t>FORMÃO LAMBOTTE RETO, 10 MM X 17 CM</t>
  </si>
  <si>
    <t>13-342-10</t>
  </si>
  <si>
    <t>FORMÃO LAMBOTTE RETO, 12 MM X 17 CM</t>
  </si>
  <si>
    <t>13-342-12</t>
  </si>
  <si>
    <t>FORMÃO LAMBOTTE RETO,  15 MM X 17 CM</t>
  </si>
  <si>
    <t>13-342-15</t>
  </si>
  <si>
    <t>FORMÃO LAMBOTTE RETO,  15 MM X 24 CM</t>
  </si>
  <si>
    <t>13-346-15</t>
  </si>
  <si>
    <t>FORMÃO LAMBOTTE RETO,  20 MM X 24 CM</t>
  </si>
  <si>
    <t>13-346-20</t>
  </si>
  <si>
    <t>OSTEÓTOMO, COM CABO, CURVO, 9 MM X 20 CM</t>
  </si>
  <si>
    <t>13-321-09</t>
  </si>
  <si>
    <t>OSTEÓTOMO, COM CABO, CURVO, 13 MM X 20 CM</t>
  </si>
  <si>
    <t>13-321-13</t>
  </si>
  <si>
    <t>OSTEÓTOMO, COM CABO, CURVO, 19 MM X 20 CM</t>
  </si>
  <si>
    <t>13-321-19</t>
  </si>
  <si>
    <t>11-604-15</t>
  </si>
  <si>
    <t>TESOURA DE GESSO</t>
  </si>
  <si>
    <t>05-830-18</t>
  </si>
  <si>
    <t>13-900-03</t>
  </si>
  <si>
    <t>PINÇA WOLF PARA RETIRADA GESSO, 18 CM</t>
  </si>
  <si>
    <t>12-220-18</t>
  </si>
  <si>
    <t>PINÇA WOLF PARA RETIRADA GESSO, 24 CM</t>
  </si>
  <si>
    <t>12-220-24</t>
  </si>
  <si>
    <t>DESCOLADOR MOLT, 18 CM</t>
  </si>
  <si>
    <t>HB5618-18</t>
  </si>
  <si>
    <t>DESCOLADOR COBB, 13 MM X 28 CM</t>
  </si>
  <si>
    <t>13-670-02</t>
  </si>
  <si>
    <t>DESCOLADOR COBB, 19 MM X 28 CM</t>
  </si>
  <si>
    <t>13-670-03</t>
  </si>
  <si>
    <t>CURETA VOLKMANN, TAMANHO 000, 17 CM</t>
  </si>
  <si>
    <t>CURETA VOLKMANN, TAMANHO 00, 17 CM</t>
  </si>
  <si>
    <t>13-502-30</t>
  </si>
  <si>
    <t>CURETA VOLKMANN, TAMANHO 0, 17 CM</t>
  </si>
  <si>
    <t>13-502-20</t>
  </si>
  <si>
    <t>CURETA VOLKMANN, TAMANHO 1, 17 CM</t>
  </si>
  <si>
    <t>13-503-01</t>
  </si>
  <si>
    <t>CURETA VOLKMANN, TAMANHO 2, 17 CM</t>
  </si>
  <si>
    <t>13-503-02</t>
  </si>
  <si>
    <t>CURETA VOLKMANN, TAMANHO 3, 17 CM</t>
  </si>
  <si>
    <t>13-503-03</t>
  </si>
  <si>
    <t>CURETA VOLKMANN, TAMANHO 4, 17 CM</t>
  </si>
  <si>
    <t>13-503-04</t>
  </si>
  <si>
    <t>CURETA VOLKMANN, TAMANHO 5, 17 CM</t>
  </si>
  <si>
    <t>13-503-05</t>
  </si>
  <si>
    <t>IMPACTOR DE ENXERTO 5 MM X 15 CM</t>
  </si>
  <si>
    <t>13-648-05</t>
  </si>
  <si>
    <t>IMPACTOR DE ENXERTO 10 MM X 15 CM</t>
  </si>
  <si>
    <t>13-648-10</t>
  </si>
  <si>
    <t>AFASTADOR HOHMANN, 8 MM X 16 CM</t>
  </si>
  <si>
    <t>13-693-08</t>
  </si>
  <si>
    <t>AFASTADOR HOHMANN, 18 MM X 23 CM</t>
  </si>
  <si>
    <t>13-695-08</t>
  </si>
  <si>
    <t>AFASTADOR HOHMANN, 43 MM X 23 CM</t>
  </si>
  <si>
    <t>13-695-43</t>
  </si>
  <si>
    <t>PINÇA KOCHER, 16 CM</t>
  </si>
  <si>
    <t>07-320-16</t>
  </si>
  <si>
    <t>ALICATE BICO FINO, 14 CM</t>
  </si>
  <si>
    <t>13-219-05</t>
  </si>
  <si>
    <t>ALICATE BICO FINO, 18 CM</t>
  </si>
  <si>
    <t>13-218-18</t>
  </si>
  <si>
    <t>ALICATE DE PRESSÃO, 18 CM</t>
  </si>
  <si>
    <t>13-205-18</t>
  </si>
  <si>
    <t>CORTADOR DE FIO, COM VIDEA, 23 CM</t>
  </si>
  <si>
    <t>13-222-23</t>
  </si>
  <si>
    <t>CORTADOR DE PINO DE SHANZ (BERNARDÃO), 45 CM</t>
  </si>
  <si>
    <t>13-999-45</t>
  </si>
  <si>
    <t>ALICATE PARA SACAR FIO, BIARTICULADO, PONTA MÉDIA 18 CM</t>
  </si>
  <si>
    <t>13-214-18</t>
  </si>
  <si>
    <t>ALICATE PARA SACAR FIO, PONTA LARGA, 17 CM</t>
  </si>
  <si>
    <t>13-221-01</t>
  </si>
  <si>
    <t>AFASTADOR AUTOSTÁTICO ANDERSON-ADSON, 4X4 DENTES AGUDOS, 19 CM</t>
  </si>
  <si>
    <t>09-642-19</t>
  </si>
  <si>
    <t>AFASTADOR AUTOSTÁTICO ADSON, 3X4 DENTES AGUDOS, 26 CM</t>
  </si>
  <si>
    <t>09-650-26</t>
  </si>
  <si>
    <t>AFASTADOR SENN-MULLER, AGUDO, 16 CM</t>
  </si>
  <si>
    <t>09-186-16</t>
  </si>
  <si>
    <t>DISTRATOR HINTERMANN PEQUENO</t>
  </si>
  <si>
    <t>4210-SB</t>
  </si>
  <si>
    <t>4101-LB</t>
  </si>
  <si>
    <t>RUGINA FARABEUF, CURVA, 15 CM</t>
  </si>
  <si>
    <t>RUGINA FARABEUF, RETA, 15 CM</t>
  </si>
  <si>
    <t>13-598-15</t>
  </si>
  <si>
    <t>RUGINA LAMBOTTE, 20  MM X 21 CM</t>
  </si>
  <si>
    <t>13-627-20</t>
  </si>
  <si>
    <t>RUGINA, RETA, 19 MM X 20 CM</t>
  </si>
  <si>
    <t>13-602-20</t>
  </si>
  <si>
    <t>Afastador Langenbeck 22cm 30,0x11mm</t>
  </si>
  <si>
    <t>Afastador Langenbeck 22cm 50,0x11mm</t>
  </si>
  <si>
    <t>Afastador Farabeuf Conjunto Completo, 17x20cm</t>
  </si>
  <si>
    <t>Alavanca de osso Hohmann 22cm 8mm</t>
  </si>
  <si>
    <t>FX.21.399</t>
  </si>
  <si>
    <t>09-721-03</t>
  </si>
  <si>
    <t>AFASTADOR VOLKMANN 1 GARRA ROMBA 22 CM</t>
  </si>
  <si>
    <t>09-221-01</t>
  </si>
  <si>
    <t>AFASTADOR VOLKMANN 2 GARRAS ROMBAS 22 CM</t>
  </si>
  <si>
    <t>09-221-02</t>
  </si>
  <si>
    <t>AFASTADOR VOLKMANN 3 GARRAS ROMBAS 22 CM</t>
  </si>
  <si>
    <t>AFASTADOR VOLKMANN 4 GARRAS ROMBAS 22 CM</t>
  </si>
  <si>
    <t>09-221-04</t>
  </si>
  <si>
    <t>AFASTADOR AUTOSTATICO 3X4 DENTES ROMBOS, 20 CM</t>
  </si>
  <si>
    <t>Afastador Weitlaner 20cm 3,0x4,0 dentes rombos</t>
  </si>
  <si>
    <t>09-647-20</t>
  </si>
  <si>
    <t>AFASTADOR FARABEUF, 17 CM</t>
  </si>
  <si>
    <t>AFASTADOR FARABEUF, 15 CM</t>
  </si>
  <si>
    <t>Afastador Farabeuf Conjunto Completo, 15cm</t>
  </si>
  <si>
    <t>09-575-00</t>
  </si>
  <si>
    <t>AFASTADOR LANGENBECK 85X15 MM, 22 CM</t>
  </si>
  <si>
    <t>Afastador Langenbeck 22.5cm 85,0x15mm</t>
  </si>
  <si>
    <t>09-287-22</t>
  </si>
  <si>
    <t>AFASTADOR LANGENBECK, 50X11 MM, 22 CM</t>
  </si>
  <si>
    <t>AFASTADOR LANGENBECK, 30X16MM, 22 CM</t>
  </si>
  <si>
    <t>Afastador Langenbeck 22cm 30,0x16mm</t>
  </si>
  <si>
    <t>09-281-03</t>
  </si>
  <si>
    <t>AFASTADOR SENN MILLER, ROMBO, 16 CM</t>
  </si>
  <si>
    <t>CHERON, 20 CM</t>
  </si>
  <si>
    <t>08-184-25</t>
  </si>
  <si>
    <t>COBS 13 MM, 28 CM</t>
  </si>
  <si>
    <t>13-585-13</t>
  </si>
  <si>
    <t>COBS 25 MM, 28 CM</t>
  </si>
  <si>
    <t>13-585-25</t>
  </si>
  <si>
    <t>CURETA ÓSSEA 8,5 MM X 22 CM</t>
  </si>
  <si>
    <t>13-524-02</t>
  </si>
  <si>
    <t>CURETA ÓSSEA 11 MM X 22 CM</t>
  </si>
  <si>
    <t>13-524-04</t>
  </si>
  <si>
    <t>CURETA ÓSSEA 14,5 MM X 22 CM</t>
  </si>
  <si>
    <t>13-524-06</t>
  </si>
  <si>
    <t>CURETA SCOVILLE ANGULADA 25 CM</t>
  </si>
  <si>
    <t>13-517-25</t>
  </si>
  <si>
    <t>DESCOLADOR FREE</t>
  </si>
  <si>
    <t>FORMAO LAMBOTTE CURVO 15 MM X 24 CM</t>
  </si>
  <si>
    <t>13-347-15</t>
  </si>
  <si>
    <t>FORMAO LAMBOTTE RETO 15 MM X 24 CM</t>
  </si>
  <si>
    <t>GOIVA STILLE 23 CM</t>
  </si>
  <si>
    <t>13-904-23</t>
  </si>
  <si>
    <t>GOIVA STILLE  RUSKIN RETA 23 CM</t>
  </si>
  <si>
    <t>13-890-23</t>
  </si>
  <si>
    <t>GOIVA STILLE  RUSKIN CURVA 23 CM</t>
  </si>
  <si>
    <t>PINCA ALLIS 16 CM</t>
  </si>
  <si>
    <t>18-110-20</t>
  </si>
  <si>
    <t>PINCA ANATOMICA 18 CM</t>
  </si>
  <si>
    <t>06-100-18</t>
  </si>
  <si>
    <t>PINCA ANATOMICA 20 CM</t>
  </si>
  <si>
    <t>06-100-20</t>
  </si>
  <si>
    <t>PINCA ANATOMICA 23 CM</t>
  </si>
  <si>
    <t>06-100-25</t>
  </si>
  <si>
    <t>PINCA BACKAUS, NÃO PERFURANTE, 13 CM</t>
  </si>
  <si>
    <t>13-924-13</t>
  </si>
  <si>
    <t>PINCA BAIONETA, 16 CM</t>
  </si>
  <si>
    <t>22-609-16</t>
  </si>
  <si>
    <t>AFASTADOR DE RAIZ LOVE, RETO, 19 CM</t>
  </si>
  <si>
    <t xml:space="preserve">Love Afastador de raiz nervosa, reta, 19cm </t>
  </si>
  <si>
    <t>PINCA DENTE DE RATO 20 CM</t>
  </si>
  <si>
    <t>06-250-20</t>
  </si>
  <si>
    <t>PINCA DENTE DE RATO 23 CM</t>
  </si>
  <si>
    <t>06-250-25</t>
  </si>
  <si>
    <t>PINCA HALSTEAD CURVA</t>
  </si>
  <si>
    <t>PINCA HALSTEAD RETA</t>
  </si>
  <si>
    <t>PINCA KELLY 14 CM CURVA</t>
  </si>
  <si>
    <t>PINCA KELLY 16 CM CURVA</t>
  </si>
  <si>
    <t>Pinça Arterial Kelly-Rankin Curva 16cm</t>
  </si>
  <si>
    <t>07-235-16</t>
  </si>
  <si>
    <t>PINCA KELLY 16 CM RETA</t>
  </si>
  <si>
    <t>Pinça Arterial Kelly-Rankin Reta 16cm</t>
  </si>
  <si>
    <t>07-234-16</t>
  </si>
  <si>
    <t>PINCA KOCHER 16 CM CURVA</t>
  </si>
  <si>
    <t>Pinça Arterial Kocher (Ochsner) 1/2 Curva 16cm</t>
  </si>
  <si>
    <t>07-321-16</t>
  </si>
  <si>
    <t>PINCA KOCHER 18 CM CURVA</t>
  </si>
  <si>
    <t>Pinça Arterial Kocher (Ochsner) 1/2 Curva 18cm</t>
  </si>
  <si>
    <t>07-321-18</t>
  </si>
  <si>
    <t>PINCA KOCHER 20 CM RETA</t>
  </si>
  <si>
    <t>07-320-20</t>
  </si>
  <si>
    <t>PINCA LOVE, RETA, 3MM X 18 CM</t>
  </si>
  <si>
    <t>Lâmina de disco intervertebral Love-Gruenwald, reta, 3x10mm, 18cm</t>
  </si>
  <si>
    <t>HB1460-18</t>
  </si>
  <si>
    <t>PINCA LOVE, RETA, 3MM X 20 CM</t>
  </si>
  <si>
    <t>Lâmina de disco intervertebral Love-Gruenwald, reta, 3x10mm, 20cm</t>
  </si>
  <si>
    <t>HB1460-20</t>
  </si>
  <si>
    <t>PINCA MIXTER 23 CM</t>
  </si>
  <si>
    <t>07-439-23</t>
  </si>
  <si>
    <t>PINCA ROCHESTER, RETA, 18 CM</t>
  </si>
  <si>
    <t>07-310-18</t>
  </si>
  <si>
    <t>PORTA AGULHA COM VIDEA, 18 CM</t>
  </si>
  <si>
    <t>11-552-18</t>
  </si>
  <si>
    <t>RUGINA LAMBOTTE CURVA 15 MM X 21 CM</t>
  </si>
  <si>
    <t>13-627-15</t>
  </si>
  <si>
    <t>SACA BOCADO RUSKIN RETO 23 CM</t>
  </si>
  <si>
    <t>SACA BOCADO RUSKIN CURVO 23 CM</t>
  </si>
  <si>
    <t>TESOURA METZEMBAUM 23 CM</t>
  </si>
  <si>
    <t>05-230-23</t>
  </si>
  <si>
    <t>TESOURA MAYO CURVA 18 CM</t>
  </si>
  <si>
    <t>Tesoura de Dissecação Mayo Curva 17cm</t>
  </si>
  <si>
    <t>05-171-17</t>
  </si>
  <si>
    <t>TESOURA MAYO RETA 18 CM</t>
  </si>
  <si>
    <t>Tesoura de Dissecação Mayo Reta 17cm</t>
  </si>
  <si>
    <t>05-170-17</t>
  </si>
  <si>
    <t>TESOURA METZEMBAUM 18 CM</t>
  </si>
  <si>
    <t>05-230-18</t>
  </si>
  <si>
    <t>TESOURA METZENBAUM, DELICADA, CURVA, 14 CM</t>
  </si>
  <si>
    <t>TESOURA METZENBAUM, DELICADA, RETA, 14 CM</t>
  </si>
  <si>
    <t>05-286-14</t>
  </si>
  <si>
    <t>TESOURA MAYO RETA , 14 CM</t>
  </si>
  <si>
    <t>TESOURA MAYO CURVA, 14 CM</t>
  </si>
  <si>
    <t>Tesoura de Dissecação Mayo Curva 14.5cm</t>
  </si>
  <si>
    <t>05-171-14</t>
  </si>
  <si>
    <t>PINÇA ANATÔMICA 14 CM</t>
  </si>
  <si>
    <t>PINÇA DENTE DE RATO, 14 CM</t>
  </si>
  <si>
    <t>PINÇA ADSON COM DENTE , 12 CM</t>
  </si>
  <si>
    <t>PINÇA ADSON SEM DENTE ,12 CM</t>
  </si>
  <si>
    <t>ELEVADOR PERIOSTEAL FREER , 6 MM X 19 CM</t>
  </si>
  <si>
    <t>ELEVADOR PERIOSTEAL KEY , 15 MM X 19 CM</t>
  </si>
  <si>
    <t>HB3614-15</t>
  </si>
  <si>
    <t>ELEVADOR PERIOSTEAL KEY , 19 MM X 19 CM</t>
  </si>
  <si>
    <t>HB3614-19</t>
  </si>
  <si>
    <t>HB3503</t>
  </si>
  <si>
    <t>HB3505</t>
  </si>
  <si>
    <t>HB3507</t>
  </si>
  <si>
    <t>HB3509</t>
  </si>
  <si>
    <t>Martelo Bergmann 300g 24cm</t>
  </si>
  <si>
    <t>13-400-24</t>
  </si>
  <si>
    <t>Martelo Ombredanne 550g 24cm</t>
  </si>
  <si>
    <t>13-404-24</t>
  </si>
  <si>
    <t>OSTEÓTOMO LAMBOTTE, RETO, 3 MM X 17 CM</t>
  </si>
  <si>
    <t>13-342-03</t>
  </si>
  <si>
    <t>OSTEÓTOMO LAMBOTTE, RETO, 4 MM X 17 CM</t>
  </si>
  <si>
    <t>13-342-04</t>
  </si>
  <si>
    <t>OSTEÓTOMO LAMBOTTE, RETO, 6 MM X 17 CM</t>
  </si>
  <si>
    <t>OSTEÓTOMO LAMBOTTE, RETO, 10 MM X 17 CM</t>
  </si>
  <si>
    <t>OSTEÓTOMO LAMBOTTE, CURVO, 6 MM X 17 CM</t>
  </si>
  <si>
    <t>HB3470-06G</t>
  </si>
  <si>
    <t>OSTEÓTOMO LAMBOTTE, CURVO, 10 MM X 17 CM</t>
  </si>
  <si>
    <t>HB3470-10G</t>
  </si>
  <si>
    <t>ELEVADOR PERIOSTEAL LAMBOTTE , RETO, 15 MM X 24 CM</t>
  </si>
  <si>
    <t>ELEVADOR PERIOSTEAL LAMBOTTE , RETO, 20 MM X 24 CM</t>
  </si>
  <si>
    <t>PINÇA KELLY , RETA, 14 CM</t>
  </si>
  <si>
    <t>13-212-18</t>
  </si>
  <si>
    <t>SACABOCADO DELICADO , RUSKIN, RETO, 15 CM</t>
  </si>
  <si>
    <t>SACABOCADO DELICADO , RUSKIN, CURVO, 15 CM</t>
  </si>
  <si>
    <t>13-899-15</t>
  </si>
  <si>
    <t>PINÇA CRILE , RETA, 14 CM</t>
  </si>
  <si>
    <t>07-240-14</t>
  </si>
  <si>
    <t>PORTA-AGULHA  MAYO-HEGAR COM VIDEA, 14 CM</t>
  </si>
  <si>
    <t>PORTA-AGULHA  MAYO-HEGAR COM VIDEA, 16 CM</t>
  </si>
  <si>
    <t>PORTA-AGULHA  MAYO-HEGAR COM VIDEA, 18 CM</t>
  </si>
  <si>
    <t>PORTA-AGULHA  MAYO-HEGAR COM VIDEA, 20 CM</t>
  </si>
  <si>
    <t>11-552-20</t>
  </si>
  <si>
    <t xml:space="preserve">Afastador Farabeuf Conjunto Completo, 10x6 </t>
  </si>
  <si>
    <t>09-572-00</t>
  </si>
  <si>
    <t>Afastador Langenbeck 22cm 40,0x11mm</t>
  </si>
  <si>
    <t>09-281-04</t>
  </si>
  <si>
    <t>13-693-06</t>
  </si>
  <si>
    <t>Alavanca de osso Hohmann 23.5cm 18mm</t>
  </si>
  <si>
    <t>13-695-18</t>
  </si>
  <si>
    <t>09-662-13</t>
  </si>
  <si>
    <t>Afastador Weitlaner 13cm 3,0x4,0 dentes rombos</t>
  </si>
  <si>
    <t>09-663-13</t>
  </si>
  <si>
    <t>09-662-16</t>
  </si>
  <si>
    <t>Afastador Weitlaner 16.5cm 3,0x4,0 dentes rombos</t>
  </si>
  <si>
    <t>09-663-16</t>
  </si>
  <si>
    <t>09-646-20</t>
  </si>
  <si>
    <t>SACABOCADO DELICADO , RUSKIN, RETO, 18 CM</t>
  </si>
  <si>
    <t>13-890-18</t>
  </si>
  <si>
    <t>SACABOCADO DELICADO , RUSKIN, CURVO, 18 CM</t>
  </si>
  <si>
    <t>13-891-18</t>
  </si>
  <si>
    <t>PINÇA DE REDUÇÃO TIPO WEBER, 20 CM</t>
  </si>
  <si>
    <t>13-770-20</t>
  </si>
  <si>
    <t>PINÇA DE REDUÇÃO TIPO WEBER, 13.5 CM</t>
  </si>
  <si>
    <t>13-801-13</t>
  </si>
  <si>
    <t>PINÇA FIXAÇÃO ÓSSEA, 16 CM</t>
  </si>
  <si>
    <t>Pinças Autocentrantes Com Fixação por Rosca 15cm 2.5mm</t>
  </si>
  <si>
    <t>13-829-15</t>
  </si>
  <si>
    <t>PINÇA FIXAÇÃO ÓSSEA, 18 CM</t>
  </si>
  <si>
    <t>Pinças Autocentrantes Com Fixação de Rosca 19cm 6.5mm</t>
  </si>
  <si>
    <t>13-829-19</t>
  </si>
  <si>
    <t>PINÇA FIXAÇÃO ÓSSEA, 24 CM</t>
  </si>
  <si>
    <t>Pinças Autocentrantes Com Fixação por Rosca 24cm 9.5mm</t>
  </si>
  <si>
    <t>13-829-24</t>
  </si>
  <si>
    <t>CLAMP ORTOPÉDICO, ESPANHOLA, 16 CM</t>
  </si>
  <si>
    <t>Pinça Espanhola, de Fixação de Osso Setter, 16cm</t>
  </si>
  <si>
    <t>13-795-16</t>
  </si>
  <si>
    <t>FORMÃO LAMBOTTE RETO, 15 MM X 24 CM</t>
  </si>
  <si>
    <t>FORMÃO LAMBOTTE RETO, 20 MM X 24 CM</t>
  </si>
  <si>
    <t>FORMÃO LAMBOTTE RETO, 25 MM X 24 CM</t>
  </si>
  <si>
    <t>13-346-25</t>
  </si>
  <si>
    <t>FORMÃO LAMBOTTE RETO, 30 MM X 24 CM</t>
  </si>
  <si>
    <t>13-346-30</t>
  </si>
  <si>
    <t>FORMÃO LAMBOTTE RETO, 38 MM X 24 CM</t>
  </si>
  <si>
    <t>13-346-38</t>
  </si>
  <si>
    <t>FORMÃO LAMBOTTE RETO, 44 MM X 24 CM</t>
  </si>
  <si>
    <t>13-346-44</t>
  </si>
  <si>
    <t>FORMÃO LAMBOTTE RETO, 50 MM X 24 CM</t>
  </si>
  <si>
    <t>13-346-50</t>
  </si>
  <si>
    <t>FORMÃO LAMBOTTE CURVO, 15 MM X 24 CM</t>
  </si>
  <si>
    <t>FORMÃO LAMBOTTE CURVO, 20 MM X 24 CM</t>
  </si>
  <si>
    <t>13-347-20</t>
  </si>
  <si>
    <t>FORMÃO LAMBOTTE CURVO, 25 MM X 24 CM</t>
  </si>
  <si>
    <t>13-347-25</t>
  </si>
  <si>
    <t>FORMÃO LAMBOTTE CURVO, 30 MM X 24 CM</t>
  </si>
  <si>
    <t>13-347-30</t>
  </si>
  <si>
    <t>FORMÃO LAMBOTTE CURVO, 38 MM X 24 CM</t>
  </si>
  <si>
    <t>13-347-38</t>
  </si>
  <si>
    <t>FORMÃO LAMBOTTE CURVO, 44 MM X 24 CM</t>
  </si>
  <si>
    <t>13-347-44</t>
  </si>
  <si>
    <t>FORMÃO LAMBOTTE CURVO, 50 MM X 24 CM</t>
  </si>
  <si>
    <t>13-347-50</t>
  </si>
  <si>
    <t>PINÇA DENTE DE RATO 10CM</t>
  </si>
  <si>
    <t>PINÇA DENTE DE RATO 14 CM RETA</t>
  </si>
  <si>
    <t>PINÇA MOSQUITO CURVA</t>
  </si>
  <si>
    <t>PINÇA KELLY CURVA 14</t>
  </si>
  <si>
    <t>PINÇA KELLY CURVA 16 CM</t>
  </si>
  <si>
    <t>PINÇA KELLY RETA 16 CM</t>
  </si>
  <si>
    <t>PINÇA BACKAUS 13 CM</t>
  </si>
  <si>
    <t>07-681-13</t>
  </si>
  <si>
    <t>PINÇA KOCHER RETO 16 CM</t>
  </si>
  <si>
    <t>PINÇA KOCHER CURVA 16 CM</t>
  </si>
  <si>
    <t>MIXTER 20 CM</t>
  </si>
  <si>
    <t>07-431-19</t>
  </si>
  <si>
    <t>DESCOLADOR FREE 21 CM</t>
  </si>
  <si>
    <t>23-557-20</t>
  </si>
  <si>
    <t>SENN MILLER, ROMBO</t>
  </si>
  <si>
    <t>SACA BOCADO RETO 23 CM</t>
  </si>
  <si>
    <t>SACA BOCADO CURVA 23 CM</t>
  </si>
  <si>
    <t>SACA BOCADO RETO DELICADO 23 CM</t>
  </si>
  <si>
    <t>13-902-01</t>
  </si>
  <si>
    <t>AFASTADOR VOLKMANN 4 DENTES 22 CM</t>
  </si>
  <si>
    <t>Afastador Volkmann 4 pinos afiado 22cm</t>
  </si>
  <si>
    <t>09-220-04</t>
  </si>
  <si>
    <t>AFASTADOR VOLKMANN 2 DENTES 22 CM</t>
  </si>
  <si>
    <t>Afastador Volkmann 2 pinos afiado 22cm</t>
  </si>
  <si>
    <t>09-220-02</t>
  </si>
  <si>
    <t>PORTA AGULHA 18 CM, COM VIDEA</t>
  </si>
  <si>
    <t>PORTA AGULHA 20 CM, COM VIDEA</t>
  </si>
  <si>
    <t>TESOURA METZENBAUM CURVA 16 CM</t>
  </si>
  <si>
    <t>Tesoura de Dissecação Metzenbaum Curva 15cm</t>
  </si>
  <si>
    <t>05-221-15</t>
  </si>
  <si>
    <t>TESOURA MAYO RETA 16 CM</t>
  </si>
  <si>
    <t>TESOURA MAYO CURVA 16 CM</t>
  </si>
  <si>
    <t>FORMÃO ESTREITO 15 MM X 24 CM</t>
  </si>
  <si>
    <t>FORMÃO ESTREITO PONTO CURVA, 15 MM X 23 CM</t>
  </si>
  <si>
    <t>FORMÃO LARGO, RETO, 30 MM X 24 CM</t>
  </si>
  <si>
    <t>09-203-10</t>
  </si>
  <si>
    <t>MARTELO 500 GRAMAS</t>
  </si>
  <si>
    <t>Martelo 22cm 500g</t>
  </si>
  <si>
    <t>13-480-02</t>
  </si>
  <si>
    <t>13-564-13</t>
  </si>
  <si>
    <t>13-564-14</t>
  </si>
  <si>
    <t>13-564-17</t>
  </si>
  <si>
    <t>AFASTADOR HOHMANN ESTREITO, 18 MM X 22 CM</t>
  </si>
  <si>
    <t>AFASTADOR HOHMANN MÉDIO, 43 MM X 22 CM</t>
  </si>
  <si>
    <t>AFASTADOR HOHMANN, 8 MM X  22 CM</t>
  </si>
  <si>
    <t>PINÇA ANATÔMICA 16 CM</t>
  </si>
  <si>
    <t>06-100-16</t>
  </si>
  <si>
    <t>PINÇA DENTE DE RATO 16 CM</t>
  </si>
  <si>
    <t>06-250-16</t>
  </si>
  <si>
    <t>PINÇA ADSON C/ DENTE 14 CM</t>
  </si>
  <si>
    <t>06-270-15</t>
  </si>
  <si>
    <t>PINÇA FAURE CURVA 20 CM</t>
  </si>
  <si>
    <t>07-573-20</t>
  </si>
  <si>
    <t>AFASTADOR FARABEUF MÉDIO</t>
  </si>
  <si>
    <t>AFASTADOR KOCHER,  60 X20 MM, 23 CM</t>
  </si>
  <si>
    <t>Afastador Kocher 23cm 60,0x20mm</t>
  </si>
  <si>
    <t>09-295-20</t>
  </si>
  <si>
    <t>AFASTADOR KOCHER,  75 X30 MM, 23 CM</t>
  </si>
  <si>
    <t>Afastador Kocher 23cm 75,0x30mm</t>
  </si>
  <si>
    <t>09-295-30</t>
  </si>
  <si>
    <t>AFASTADOR RICHARDSON, 24X22 MM, 24 CM</t>
  </si>
  <si>
    <t>Afastador Richardson, 24x22mm, 24cm</t>
  </si>
  <si>
    <t>HB3101</t>
  </si>
  <si>
    <t>AFASTADOR RICHARDSON, 30X30 MM, 24 CM</t>
  </si>
  <si>
    <t>Afastador Richardson, 30x30mm, 24cm</t>
  </si>
  <si>
    <t>HB3102</t>
  </si>
  <si>
    <t>AFASTADOR RICHARDSON, 38X38 MM, 24 CM</t>
  </si>
  <si>
    <t>Afastador Richardson, 38x38mm, 24cm</t>
  </si>
  <si>
    <t>HB3103</t>
  </si>
  <si>
    <t>HB3676-30</t>
  </si>
  <si>
    <t>AFASTADOR FUKUDA PEQUENO</t>
  </si>
  <si>
    <t>HB3676-32</t>
  </si>
  <si>
    <t>PINÇA ÓSSEA, 6.5 MM BOCA, 19 CM</t>
  </si>
  <si>
    <t>PINÇA ÓSSEA, 9.5 MM BOCA, 24 CM</t>
  </si>
  <si>
    <t>AFASTADOR BANKART 1 DENTE</t>
  </si>
  <si>
    <t>HB3676-11</t>
  </si>
  <si>
    <t>AFASTADOR BANKART 2 DENTE</t>
  </si>
  <si>
    <t>HB3676-12</t>
  </si>
  <si>
    <t>AFASTADOR BANKART 3 DENTE</t>
  </si>
  <si>
    <t>HB3676-13</t>
  </si>
  <si>
    <t>AFASTADOR HOHMANN, 8 MM X 22 CM</t>
  </si>
  <si>
    <t>TESOURA METZENBAUM CURVA 20 CM</t>
  </si>
  <si>
    <t>Tesoura de Dissecação Metzenbaum Curva 20cm</t>
  </si>
  <si>
    <t>05-231-20</t>
  </si>
  <si>
    <t>TESOURA DE MAYO RETA, 23 CM</t>
  </si>
  <si>
    <t>Tesoura de Dissecação Mayo Reta 23cm</t>
  </si>
  <si>
    <t>05-170-23</t>
  </si>
  <si>
    <t>TESOURA DE MAYO CURVA, 23 CM</t>
  </si>
  <si>
    <t>Tesoura de Dissecação Mayo Curva 23cm</t>
  </si>
  <si>
    <t>05-171-23</t>
  </si>
  <si>
    <t>PORTA AGULHA  MAYO HEGAR 18 CM, COM VIDEA</t>
  </si>
  <si>
    <t>PORTA AGULHA  CRILE WOOD C/ WIDEA 18 CM</t>
  </si>
  <si>
    <t>11-604-18</t>
  </si>
  <si>
    <t>RUGINA LAMBOTTE, CURVA, 15 MM X 21 CM</t>
  </si>
  <si>
    <t>RUGINA RETA, 19 MM X 20 CM</t>
  </si>
  <si>
    <t>PINÇA ALLIS, 15 CM</t>
  </si>
  <si>
    <t>PINÇA BACKHAUS, 13 CM</t>
  </si>
  <si>
    <t>PINÇA ANATÔMICA 18CM</t>
  </si>
  <si>
    <t>PINÇA DENTE DE RATO 18CM</t>
  </si>
  <si>
    <t>06-250-18</t>
  </si>
  <si>
    <t>PINÇA DENTE DE RATO 25CM</t>
  </si>
  <si>
    <t>PORTA AGULHA C VIDEA 14CM</t>
  </si>
  <si>
    <t>PORTA AGULHA C VIDEA 20CM</t>
  </si>
  <si>
    <t>PINÇA KELLY CURVA 14CM</t>
  </si>
  <si>
    <t>PINÇA KELLY RETA 16CM</t>
  </si>
  <si>
    <t>PINÇA ALLIS 18CM</t>
  </si>
  <si>
    <t>18-104-19</t>
  </si>
  <si>
    <t>PINÇA BACKAUS 13CM</t>
  </si>
  <si>
    <t>PINÇA CHERON 24CM</t>
  </si>
  <si>
    <t>PINÇA MIXTER 22CM</t>
  </si>
  <si>
    <t>07-437-22</t>
  </si>
  <si>
    <t>PINÇA ROCHESTER CURVA 25CM</t>
  </si>
  <si>
    <t>07-311-24</t>
  </si>
  <si>
    <t>PINÇA ROCHESTER RETO 25CM</t>
  </si>
  <si>
    <t>07-310-24</t>
  </si>
  <si>
    <t>PINÇA ROCHESTER CURVO 18CM</t>
  </si>
  <si>
    <t>07-311-18</t>
  </si>
  <si>
    <t>PINÇA ROCHESTER RETO 18CM</t>
  </si>
  <si>
    <t>PINÇA FAURER CURVA 20 CM</t>
  </si>
  <si>
    <t>TESOURA DE MAYO CURVA 18CM</t>
  </si>
  <si>
    <t>TESOURA DE MAYO RETA 18CM</t>
  </si>
  <si>
    <t>TESOURA METZEMBAUM CURVA 20CM</t>
  </si>
  <si>
    <t>AFASTADOR COBB 19 MM X 28 CM</t>
  </si>
  <si>
    <t>PINÇA ESPANHOLA GRANDE, 22 CM</t>
  </si>
  <si>
    <t>Pinça Espanhola, de Fixação de Osso Setter, 22cm</t>
  </si>
  <si>
    <t>13-795-22</t>
  </si>
  <si>
    <t>PINÇA LOWMANN 18CM</t>
  </si>
  <si>
    <t>13-177-18</t>
  </si>
  <si>
    <t>13-916-22</t>
  </si>
  <si>
    <t>13-917-22</t>
  </si>
  <si>
    <t>SACABOCADO ECHILIN,  PONTA FINA 3 MM,  23CM</t>
  </si>
  <si>
    <t>GANCHO OSSO, AGUDO,  22CM</t>
  </si>
  <si>
    <t>09-226-01</t>
  </si>
  <si>
    <t>FORMÃO LAMBOTTE, CURVO, 15 MM X 23CM</t>
  </si>
  <si>
    <t>FORMÃO LAMBOTTE,  RETO, 8MM X  17 CM</t>
  </si>
  <si>
    <t>FORMÃO RETO, 15 MM X 24CM</t>
  </si>
  <si>
    <t>CURETA ÓSSEA, 5 MM X 25 CM</t>
  </si>
  <si>
    <t>Cureta Óssea 25cm 5,2mm</t>
  </si>
  <si>
    <t>13-530-02</t>
  </si>
  <si>
    <t>Cureta Óssea Hatfield 28cm 8,5x12.5mm</t>
  </si>
  <si>
    <t>13-536-06</t>
  </si>
  <si>
    <t>CORTADOR DE FIO, COM VIDEA, 22 CM</t>
  </si>
  <si>
    <t>13-234-22</t>
  </si>
  <si>
    <t>ALAVANCA HOHMANN FINO, 8 MM X 22CM</t>
  </si>
  <si>
    <t>ALAVANCA HOHMANN MÉDIO, 18MM X 23CM</t>
  </si>
  <si>
    <t>ALAVANCA HOHMANN, 22 MM X 25 CM</t>
  </si>
  <si>
    <t>13-703-22</t>
  </si>
  <si>
    <t>MARTELO APROXIMADAMENTE,   600 GR</t>
  </si>
  <si>
    <t>FX.21.400</t>
  </si>
  <si>
    <t>CAIXA ORTOPEDIA INFANTIL E RECONSTRUÇÃO</t>
  </si>
  <si>
    <t>QT</t>
  </si>
  <si>
    <t>DESCRITIVO FINAL</t>
  </si>
  <si>
    <t>CAIXA COLUNA</t>
  </si>
  <si>
    <t>CAIXA PÉ E TORNOZELO</t>
  </si>
  <si>
    <t>CAIXA JOELHO</t>
  </si>
  <si>
    <t>CAIXA OMBRO</t>
  </si>
  <si>
    <t>PROPOSTA COMERCIAL</t>
  </si>
  <si>
    <t>Cliente</t>
  </si>
  <si>
    <t>IAMSPE</t>
  </si>
  <si>
    <t>Data:</t>
  </si>
  <si>
    <t>A/C</t>
  </si>
  <si>
    <t xml:space="preserve">Numero </t>
  </si>
  <si>
    <t>CTCXXX.25</t>
  </si>
  <si>
    <t>Cont</t>
  </si>
  <si>
    <t>QTD</t>
  </si>
  <si>
    <t xml:space="preserve">Caixa de Instrumental </t>
  </si>
  <si>
    <t>Valor por Caixa</t>
  </si>
  <si>
    <t>Valor Total</t>
  </si>
  <si>
    <t>CAIXA PRÓTESE TOTAL JOELHO</t>
  </si>
  <si>
    <t>CAIXA DE OMBRO</t>
  </si>
  <si>
    <t>CAIXA PRÓTESE TOTAL DE QUADRIL</t>
  </si>
  <si>
    <t>TOTAL</t>
  </si>
  <si>
    <t>CONDIÇÕES COMERCIAIS:</t>
  </si>
  <si>
    <t>Marca</t>
  </si>
  <si>
    <t xml:space="preserve">Fentex </t>
  </si>
  <si>
    <t>Procedencia</t>
  </si>
  <si>
    <t>Estados Unidos (Frete e IPI inclusos)</t>
  </si>
  <si>
    <t>Prazo de Entrega</t>
  </si>
  <si>
    <t>120 dias</t>
  </si>
  <si>
    <t>Prazo de Pagamento</t>
  </si>
  <si>
    <t>28 dias</t>
  </si>
  <si>
    <t>Validade da Proposta</t>
  </si>
  <si>
    <t>60 dias</t>
  </si>
  <si>
    <t>Garantia de 10 anos contra defeito de fabricação</t>
  </si>
  <si>
    <t>OBSERVAÇÕES:</t>
  </si>
  <si>
    <t>COMPOSIÇÕES DAS CAIXAS:</t>
  </si>
  <si>
    <t>CAIXA DE PRÓTESE TOTAL DE QUADRIL</t>
  </si>
  <si>
    <r>
      <rPr>
        <sz val="10.5"/>
        <rFont val="Arial"/>
        <family val="2"/>
      </rPr>
      <t>ITEM</t>
    </r>
  </si>
  <si>
    <r>
      <rPr>
        <sz val="10.5"/>
        <rFont val="Arial"/>
        <family val="2"/>
      </rPr>
      <t>ESPECIFICAÇÃO</t>
    </r>
  </si>
  <si>
    <r>
      <rPr>
        <sz val="10.5"/>
        <rFont val="Arial"/>
        <family val="2"/>
      </rPr>
      <t>CATMAT</t>
    </r>
  </si>
  <si>
    <r>
      <rPr>
        <sz val="10.5"/>
        <rFont val="Arial"/>
        <family val="2"/>
      </rPr>
      <t>SIAFISICO</t>
    </r>
  </si>
  <si>
    <r>
      <rPr>
        <sz val="10.5"/>
        <rFont val="Arial"/>
        <family val="2"/>
      </rPr>
      <t>UNIDADE DE MEDIDA</t>
    </r>
  </si>
  <si>
    <r>
      <rPr>
        <sz val="10.5"/>
        <rFont val="Arial"/>
        <family val="2"/>
      </rPr>
      <t>QUANTIDADE TOTAL</t>
    </r>
  </si>
  <si>
    <r>
      <rPr>
        <sz val="10.5"/>
        <rFont val="Arial"/>
        <family val="2"/>
      </rPr>
      <t xml:space="preserve">Caixa cirurgia Ortopedia
</t>
    </r>
    <r>
      <rPr>
        <sz val="10.5"/>
        <rFont val="Arial"/>
        <family val="2"/>
      </rPr>
      <t>Infantil e Reconstrução</t>
    </r>
  </si>
  <si>
    <r>
      <rPr>
        <sz val="10.5"/>
        <rFont val="Arial"/>
        <family val="2"/>
      </rPr>
      <t>UN</t>
    </r>
  </si>
  <si>
    <r>
      <rPr>
        <sz val="10.5"/>
        <rFont val="Arial"/>
        <family val="2"/>
      </rPr>
      <t>Caixa cirurgia Coluna</t>
    </r>
  </si>
  <si>
    <r>
      <rPr>
        <sz val="10.5"/>
        <rFont val="Arial"/>
        <family val="2"/>
      </rPr>
      <t>Caixa cirurgia Pé e Tornozelo</t>
    </r>
  </si>
  <si>
    <r>
      <rPr>
        <sz val="10.5"/>
        <rFont val="Arial"/>
        <family val="2"/>
      </rPr>
      <t>Caixa cirurgia Joelho</t>
    </r>
  </si>
  <si>
    <r>
      <rPr>
        <sz val="10.5"/>
        <rFont val="Arial"/>
        <family val="2"/>
      </rPr>
      <t>Caixa cirurgia Ombro</t>
    </r>
  </si>
  <si>
    <r>
      <rPr>
        <sz val="10.5"/>
        <rFont val="Arial"/>
        <family val="2"/>
      </rPr>
      <t>Caixa cirurgia Prótese Total de Quadril</t>
    </r>
  </si>
  <si>
    <t>13-502-10</t>
  </si>
  <si>
    <t>Raspatórios periosteais Cobb 13mm, 25,5cm</t>
  </si>
  <si>
    <t>Raspatórios periosteais Cobb 25mm, 25,5cm</t>
  </si>
  <si>
    <t>06-250-10</t>
  </si>
  <si>
    <t>Afastador Volkmann 1 pino romba 22cm</t>
  </si>
  <si>
    <t>Afastador Volkmann 2 pinos romba 22cm</t>
  </si>
  <si>
    <t>Afastador Volkmann 3 pinos romba 22cm</t>
  </si>
  <si>
    <t>Afastador Volkmann 4 pinos romba 22cm</t>
  </si>
  <si>
    <t>Afastador Senn-Miller 16cm 7,0 x 8,5 mm romba</t>
  </si>
  <si>
    <t>Afastador Langenbeck, 22cm 30x11mm</t>
  </si>
  <si>
    <t>Afastador Langenbeck, 22cm 50x11mm</t>
  </si>
  <si>
    <t>Pinça Allis, Atraumatica, Delicada, 16cm</t>
  </si>
  <si>
    <t>Porta-agulhas Mayo-Hegar com perfil normal com videa 18cm</t>
  </si>
  <si>
    <t>Porta-agulhas Mayo-Hegar com perfil normal com videa 16cm</t>
  </si>
  <si>
    <t>Porta-agulhas Mayo-Hegar com perfil normal com videa 20cm</t>
  </si>
  <si>
    <t>Afastador Spreader Pequeno, 16.5cm</t>
  </si>
  <si>
    <t>Afastador Spreader Grande, 27cm</t>
  </si>
  <si>
    <t>Smith-Petersen Osteótomo, Curvo, 20cm, 9mm</t>
  </si>
  <si>
    <t>Smith-Petersen Osteótomo, Curvo, 20cm, 13mm</t>
  </si>
  <si>
    <t>Smith-Petersen Osteótomo, Curvo, 20cm, 19mm</t>
  </si>
  <si>
    <t>Pinça Echlin Bone Rongeur, 23cm, 3mm</t>
  </si>
  <si>
    <t>Impactor de Enxerto, 15.5cm, Ø 5mm</t>
  </si>
  <si>
    <t>Impactor de Enxerto, 15.5cm, Ø10mm</t>
  </si>
  <si>
    <t>Alavanca de osso Hohmann, 22cm, 8mm</t>
  </si>
  <si>
    <t>Pinça Arterial Kelly, Reta, 14cm</t>
  </si>
  <si>
    <t>Pinça Arterial Kocher, Reta, 16cm</t>
  </si>
  <si>
    <t>Alicate de ponta fina, com mandíbulas serrilhadas, 14 cm</t>
  </si>
  <si>
    <t>Alicate de ponta fina, com mandíbulas serrilhadas, 18 cm</t>
  </si>
  <si>
    <t>Alicate de pressao, mandíbula ajustável, 18cm</t>
  </si>
  <si>
    <t>Afastador Senn-Miller 16cm 7x8.5mm, agudo</t>
  </si>
  <si>
    <t>Distrator Osseo Pequeno Hintermann, para pinos 1.6 a 2.4mm, 15cm</t>
  </si>
  <si>
    <t>Distrator Osseo Grande Hintermann, para pinos 1.6 a 2.4mm, 20cm</t>
  </si>
  <si>
    <t>Farabeuf Rugina, curva, 15cm</t>
  </si>
  <si>
    <t>Farabeuf Rugina, reta, 15cm</t>
  </si>
  <si>
    <t>Rugina Reta, 20cm, 19mm</t>
  </si>
  <si>
    <t>Formao Lambotte Osteótomo 17cm, 6mm - reto</t>
  </si>
  <si>
    <t>Formao Lambotte Osteótomo 17cm, 8mm - reto</t>
  </si>
  <si>
    <t>Formao Lambotte Osteótomo 17cm, 10mm - reto</t>
  </si>
  <si>
    <t>Formao Lambotte Osteótomo 17cm, 12mm - reto</t>
  </si>
  <si>
    <t>Formao Lambotte Osteótomo 17cm, 15mm - reto</t>
  </si>
  <si>
    <t>Formao Lambotte Osteótomo 24cm, 15mm - reto</t>
  </si>
  <si>
    <t>Formao Lambotte Osteótomo 24cm, 20mm - reto</t>
  </si>
  <si>
    <t>Formao Lambotte Osteótomo 17cm, 3mm - reto</t>
  </si>
  <si>
    <t>Formao Lambotte Osteótomo 17cm, 4mm - reto</t>
  </si>
  <si>
    <t>Formao Lambotte Osteótomo Reto24cm 15mm</t>
  </si>
  <si>
    <t>Formao Lambotte Osteótomo Reto24cm 30mm</t>
  </si>
  <si>
    <t>Formao Lambotte Osteótomo Curvo 23cm 15mm</t>
  </si>
  <si>
    <t>Formao Lambotte Osteótomo Curvo 23cm 20mm</t>
  </si>
  <si>
    <t>Formao Lambotte Osteótomo Curvo 23cm 25mm</t>
  </si>
  <si>
    <t>Formao Lambotte Osteótomo Curvo 23cm 30mm</t>
  </si>
  <si>
    <t>Formao Lambotte Osteótomo Curvo 23cm 38mm</t>
  </si>
  <si>
    <t>Formao Lambotte Osteótomo Curvo 23cm 44mm</t>
  </si>
  <si>
    <t>Formao Lambotte Osteótomo Curvo 23cm 50mm</t>
  </si>
  <si>
    <t>Formao Lambotte Osteótomo Reto, 24cm 15mm</t>
  </si>
  <si>
    <t>Formao Lambotte Osteótomo Reto, 24cm 20mm</t>
  </si>
  <si>
    <t>Formao Lambotte Osteótomo Reto, 24cm 25mm</t>
  </si>
  <si>
    <t xml:space="preserve">Formao Lambotte Osteótomo Reto, 24cm 30mm </t>
  </si>
  <si>
    <t>Formao Lambotte Osteótomo Reto, 24cm 38mm</t>
  </si>
  <si>
    <t>Formao Lambotte Osteótomo Reto, 24cm 44mm</t>
  </si>
  <si>
    <t>Formao Lambotte Osteótomo Reto, 24cm 50mm</t>
  </si>
  <si>
    <t>Pinça de Redução Weber 20cm</t>
  </si>
  <si>
    <t>Pinça de Redução Weber 13.5cm</t>
  </si>
  <si>
    <t>Formao Lambotte Osteótomo 17cm 3mm - reto</t>
  </si>
  <si>
    <t>Formao Lambotte Osteótomo 17cm 4mm - reto</t>
  </si>
  <si>
    <t>Cureta Óssea Scoville, angulada, 25cm</t>
  </si>
  <si>
    <t>Pinça Allis, atraumatica, 20cm</t>
  </si>
  <si>
    <t>Porta-agulhas Mayo-Hegar, com perfil normal, com videa, 18cm</t>
  </si>
  <si>
    <t>Pinça Arterial Rochester Pean, Reta, 18cm</t>
  </si>
  <si>
    <t>Pinça Mixter, 23cm</t>
  </si>
  <si>
    <t>Tesoura de Dissecação Metzenbaum, 23cm</t>
  </si>
  <si>
    <t>Tesoura de Dissecação Mayo, Curva, 17cm</t>
  </si>
  <si>
    <t>Tesoura de Dissecação Mayo, Reta, 17cm</t>
  </si>
  <si>
    <t>Tesoura de Dissecação Metzenbaum, Reta, 18cm</t>
  </si>
  <si>
    <t>Osteótomo Lambotte, curvo, 6mm, 17cm</t>
  </si>
  <si>
    <t>Osteótomo Lambotte, curvo, 10m, 17cm</t>
  </si>
  <si>
    <t>Formao Lambotte Osteótomo, Reto, 24cm, 15mm</t>
  </si>
  <si>
    <t>Formao Lambotte Osteótomo, Reto, 24cm, 20mm</t>
  </si>
  <si>
    <t>Alicate para fios, de ponta chata com mandíbulas serrilhadas, 14 cm</t>
  </si>
  <si>
    <t>Alicate para fios, de ponta chata com mandíbulas serrilhadas, 18 cm</t>
  </si>
  <si>
    <t>Pinça Arterial Crile, Serrilhada, Reta 14cm</t>
  </si>
  <si>
    <t>Pinça Arterial Halsted-Mosquito, Serrillhada, Curva, 12.5cm</t>
  </si>
  <si>
    <t>Afastador Hohmann 16cm 6mm Pequeno</t>
  </si>
  <si>
    <t>Afastador Hohmann 16cm 8mm Pequeno</t>
  </si>
  <si>
    <t>Afastador Weitlaner 16.5cm 3,0x4,0 dentes agudos</t>
  </si>
  <si>
    <t>Afastador Weitlaner 13cm 3,0x4,0 dentes agudos</t>
  </si>
  <si>
    <t>Afastador Weitlaner 20cm 3,0x4,0 dentes agudos</t>
  </si>
  <si>
    <t>Pinça Arterial Kocher, Curva, 16cm</t>
  </si>
  <si>
    <t>Pinça Mixter, 19cm</t>
  </si>
  <si>
    <t>Pinça Arterial Halsted-Mosquito, Serrilhada, Curva 12.5cm</t>
  </si>
  <si>
    <t>Afastador Langenbeck 16cm 10,0x6mm</t>
  </si>
  <si>
    <t>Cureta Óssea Volkmann, dupla, 13cm</t>
  </si>
  <si>
    <t>Cureta Óssea Volkmann, dupla, 15cm</t>
  </si>
  <si>
    <t>Cureta Óssea Volkmann, dupla, 17cm</t>
  </si>
  <si>
    <t>Alavanca de osso Hohmann 23.5cm, 18mm</t>
  </si>
  <si>
    <t>Alavanca de osso Hohmann 23.5cm, 43mm</t>
  </si>
  <si>
    <t>Alavanca de osso Hohmann 22cm, 8mm</t>
  </si>
  <si>
    <t>Pinça Arterial Kelly-Rankin, Reta, 16cm</t>
  </si>
  <si>
    <t>Pinça Arterial Kelly-Rankin, Curva, 16cm</t>
  </si>
  <si>
    <t>Afastador Fukuda, Grande</t>
  </si>
  <si>
    <t>Afastador Fukuda, Pequeno</t>
  </si>
  <si>
    <t>Pinça Ossea,  Autocentrantes Com Fixação de Rosca 19cm 6.5mm</t>
  </si>
  <si>
    <t>Pinça Ossea, Autocentrantes Com Fixação por Rosca 24cm 9.5mm</t>
  </si>
  <si>
    <t>Afastador da cápsula do ombro Bankart, 25cm, 1 dente</t>
  </si>
  <si>
    <t>Afastador da cápsula do ombro Bankart, 25cm, 2 dente</t>
  </si>
  <si>
    <t>Afastador da cápsula do ombro Bankart, 25cm, 3 dente</t>
  </si>
  <si>
    <t>Afastador Hohmann 22cm 8mm</t>
  </si>
  <si>
    <t>Afastador Hohmann 23.5cm 18mm</t>
  </si>
  <si>
    <t>Porta-agulhas Crillewood, com perfil normal, com videa, Reta, 18cm</t>
  </si>
  <si>
    <t>Pinça Backhaus, 13cm</t>
  </si>
  <si>
    <t>Porta-agulhas Mayo-Hegar, com perfil normal, com videa, 20cm</t>
  </si>
  <si>
    <t>Pinça Arterial Kelly, Curva, 14cm</t>
  </si>
  <si>
    <t>Pinça Arterial Kelly, Reta, 16cm</t>
  </si>
  <si>
    <t>Pinça Mixter, 22cm</t>
  </si>
  <si>
    <t>Pinça Arterial Rochester, Curva, 24cm</t>
  </si>
  <si>
    <t>Pinça Arterial Rochester, Reta, 24cm</t>
  </si>
  <si>
    <t>Pinça Arterial Rochester, Curva, 18cm</t>
  </si>
  <si>
    <t>Pinça Arterial Rochester, Reta, 18cm</t>
  </si>
  <si>
    <t>Tesoura de Dissecação Metzenbaum, Curva, 20cm</t>
  </si>
  <si>
    <t>Afastador Langenbeck, 22.5cm, 85x15mm</t>
  </si>
  <si>
    <t>Afastador Volkmann, 4 pinos, afiado, 22cm</t>
  </si>
  <si>
    <t>Pinça de fixação de osso Lowman, 18cm</t>
  </si>
  <si>
    <t>Gancho Osseo, Agudo, 21.5cm</t>
  </si>
  <si>
    <t>Formao Lambotte Osteótomo, Curvo, 23cm, 15mm</t>
  </si>
  <si>
    <t>Alicate de corte de fio 22cm, com videa</t>
  </si>
  <si>
    <t>Alavanca de osso Hohmann, 23.5cm, 18mm</t>
  </si>
  <si>
    <t>Alavanca de osso Hohmann, 25.5cm, 22mm</t>
  </si>
  <si>
    <t>Martelo Ombredanne, 550g, 24cm</t>
  </si>
  <si>
    <t>09-221-03</t>
  </si>
  <si>
    <t>07-191-12</t>
  </si>
  <si>
    <t>07-190-12</t>
  </si>
  <si>
    <t>05-287-14</t>
  </si>
  <si>
    <t>AFASTADOR QUADRADO PARA QUADRIL (NORTE SUL)</t>
  </si>
  <si>
    <t>PORTA AGULHA DELICADO CRILE WOOD, COM VIDEA, 15 CM</t>
  </si>
  <si>
    <t>PINÇA ECHILIN, 3 MM X 23 CM</t>
  </si>
  <si>
    <t>PINÇA KELLY ,  RETA, 14 CM</t>
  </si>
  <si>
    <t>DISTRATOR HINTERMANN MÉDIO</t>
  </si>
  <si>
    <t>CONJUNTO     DE     CONTAINER,     TAMPA     COM     FILTRO PERMANENTE  E  CESTO,  TAMANHO  INTERNO  APROXIMADO
430X260X115 MM</t>
  </si>
  <si>
    <t>AFASTADOR        (AUTOESTÁTICO)        BECKMAN        ADSON, ARTICULADO, ROMBO, 30 CM</t>
  </si>
  <si>
    <t>PINCA ALLIS ATRAUMÁTICA,  20 CM</t>
  </si>
  <si>
    <t>CONJUNTO     DE     CONTAINER,     TAMPA     COM     FILTRO PERMANENTE  E  CESTO,  TAMANHO  INTERNO  APROXIMADO 430X260X115 MM</t>
  </si>
  <si>
    <t>CURETA VOLKMANN, 5 MM , 17 CM</t>
  </si>
  <si>
    <t>CURETA VOLKMANN, 8 MM, 17 CM</t>
  </si>
  <si>
    <t>CURETA VOLKMANN, 11 MM, 17 CM</t>
  </si>
  <si>
    <t>CURETA VOLKMANN, 14 MM, 17 CM</t>
  </si>
  <si>
    <t>MARTELO ORTOPÉDICO, 300GR, 25 CM</t>
  </si>
  <si>
    <t>MARTELO ORTOPÉDICO, 500GR, 25 CM</t>
  </si>
  <si>
    <t>ALICATE PARA FIOS ,  14 CM</t>
  </si>
  <si>
    <t>ALICATE PARA FIOS , 18 CM</t>
  </si>
  <si>
    <t>PINÇA HALSTEAD MOSQUITO, CURVO, 12 CM</t>
  </si>
  <si>
    <t>AFASTADOR FARABEUF (PARES) , 7  X 100 MM</t>
  </si>
  <si>
    <t>AFASTADOR FARABEUF (PARES) , 10 X 120 MM</t>
  </si>
  <si>
    <t>AFASTADOR  SENN-MILLER , ROMBO, 16 CM</t>
  </si>
  <si>
    <t>AFASTADOR LANGENBECK , 30X11MM, 22 CM</t>
  </si>
  <si>
    <t>AFASTADOR LANGENBECK , 40X11MM, 22 CM</t>
  </si>
  <si>
    <t>AFASTADOR HOHMANN PEQUENO, 6 MM X 16 CM</t>
  </si>
  <si>
    <t>AFASTADOR HOHMANN PEQUENO, 8 MM X 16 CM</t>
  </si>
  <si>
    <t>AFASTADOR HOHMANN 8MM X 22 CM</t>
  </si>
  <si>
    <t>AFASTADOR HOHMANN 18 MM X 23 CM</t>
  </si>
  <si>
    <t>AFASTADOR WEITLANER, 3X4 DENTES AGUDOS, 13 CM</t>
  </si>
  <si>
    <t>AFASTADOR WEITLANER, 3X4 DENTES ROMBOS, 13 CM</t>
  </si>
  <si>
    <t>AFASTADOR WEITLANER, 3X4 DENTES AGUDOS, 16 CM</t>
  </si>
  <si>
    <t>AFASTADOR WEITLANER, 3X4 DENTES ROMBOS, 16 CM</t>
  </si>
  <si>
    <t>AFASTADOR WEITLANER, 3X4 DENTES AGUDOS, 20 CM</t>
  </si>
  <si>
    <t>AFASTADOR WEITLANER, 3X4 DENTES ROMBOS, 20 CM</t>
  </si>
  <si>
    <t>FORMÃO LAMBOTTE RETO,  3 MM X 17 CM</t>
  </si>
  <si>
    <t>FORMÃO LAMBOTTE RETO,  4 MM X 17 CM</t>
  </si>
  <si>
    <t>FORMÃO LAMBOTTE RETO,  6 MM X 17 CM</t>
  </si>
  <si>
    <t>FORMÃO LAMBOTTE RETO,  10 MM X 17 CM</t>
  </si>
  <si>
    <t>FORMÃO LAMBOTTE RETO,  12 MM X 17 CM</t>
  </si>
  <si>
    <t>CONJUNTO     DE     CONTAINER,     TAMPA     COM     FILTRO PERMANENTE        E        CESTO,        TAMANHO        INTERNO APROXIMADO  430X260X115 MM</t>
  </si>
  <si>
    <t>AFASTADOR LANGENBECK, 10X6 MM, 16 CM</t>
  </si>
  <si>
    <t>CURETA VOLKMANN DUPLA, 13  CM</t>
  </si>
  <si>
    <t>CURETA VOLKMANN DUPLA, 15  CM</t>
  </si>
  <si>
    <t>CURETA VOLKMANN DUPLA, 17 CM</t>
  </si>
  <si>
    <t>AFASTADOR SENN MULLER ROMBO, 16 CM</t>
  </si>
  <si>
    <t>AFASTADOR FUKUDA GRANDE</t>
  </si>
  <si>
    <t>AFASTADOR LANGENBECK GRANDE, 85X 15 MM,  22 CM</t>
  </si>
  <si>
    <t>AFASTADOR VOLKMANN 4 DENTES AGUDOS, 22 CM</t>
  </si>
  <si>
    <t>SACABOCADO   RETO,   CORTE   IGUAL   OU     SUPERIOR   A   5 MM,  23CM</t>
  </si>
  <si>
    <t>SACABOCADO  CURVO,  CORTE  IGUAL  OU    SUPERIOR  A  5 MM,  23CM</t>
  </si>
  <si>
    <t>CURETA ÓSSEA, 8 MM X 28 CM</t>
  </si>
  <si>
    <t>CONJUNTO     DE     CONTAINER,     TAMPA     COM     FILTRO PERMANENTE        E        CESTO,        TAMANHO        INTERNO APROXIMADO  430X260X135 MM</t>
  </si>
  <si>
    <t>Pinça Allis, 5x6 dentes, 15cm</t>
  </si>
  <si>
    <t>Porta Agulha forte 18cm com videa</t>
  </si>
  <si>
    <t>Sacabocado Ruskin-Mini Bone Rongeur, delicado, Reta, 15cm, 3mm</t>
  </si>
  <si>
    <t>Sacabocado Ruskin Bone Rongeur, curva, 23cm</t>
  </si>
  <si>
    <t>Porta-agulhas Crilewood,delicado, com videa, 15cm</t>
  </si>
  <si>
    <t>Porta agulha forte, 18cm, com videa</t>
  </si>
  <si>
    <t>Tesoura para gesso Lister, 18cm</t>
  </si>
  <si>
    <t>Pinça de gesso Wolff 18cm</t>
  </si>
  <si>
    <t>Pinça de gesso Wolff, 24cm</t>
  </si>
  <si>
    <t>Descolador Dingman (Molt), 6.5mm,18cm</t>
  </si>
  <si>
    <t>Descolador Cobb, 28cm 13mm</t>
  </si>
  <si>
    <t>Descoaldor Cobb, 28cm 19mm</t>
  </si>
  <si>
    <t>Afastador de Osso Hohmann, 16cm, 8mm</t>
  </si>
  <si>
    <t>Afastador de osso Hohmann, 23.5cm, 43mm</t>
  </si>
  <si>
    <t>Afastador de osso Hohmann, 22cm, 18mm</t>
  </si>
  <si>
    <t>Alicate de corte de fio Harvey, 23.5cm, com videa</t>
  </si>
  <si>
    <t>Cortador de fio de pinos Shanz, Ø 6mm, 45 cm</t>
  </si>
  <si>
    <t>Alicate para fios biarticulado, ponta media, 18cm</t>
  </si>
  <si>
    <t>Alicate para fios biarticulado, ponta larga, 17cm</t>
  </si>
  <si>
    <t>Afastador autostatico Anderson-Adson, 19.5cm, 4x4dentes agudos</t>
  </si>
  <si>
    <t>Afastador autostatico Adson 26.5cm 3x4, dentes afiados</t>
  </si>
  <si>
    <t>Rugina Lambotte 21cm, 20mm</t>
  </si>
  <si>
    <t>Afastador autostatico articulado Beckmann-Adson 31cm 25,0x40mm 4,0x4,0 Dentes rombos</t>
  </si>
  <si>
    <t>Afastador autostatico Weitlaner 20cm 3,0x4,0 dentes rombos</t>
  </si>
  <si>
    <t>08-184-20</t>
  </si>
  <si>
    <t>Cureta Óssea Cloward Hibbs Spratt Spinal Fusion, 22.5cm x 8,5mm</t>
  </si>
  <si>
    <t>Cureta Óssea Cloward Hibbs Spratt Spinal Fusion, 22.5cm x 11mm</t>
  </si>
  <si>
    <t>Cureta Óssea Cloward Hibbs Spratt Spinal Fusion, 22.5cm x 14,5mm</t>
  </si>
  <si>
    <t>Descolador de septo Freer Reto afiados /Rombo, 18cm</t>
  </si>
  <si>
    <t>Pinça Goiva Stille Bone Rongeur 23cm</t>
  </si>
  <si>
    <t>Pinça Goiva Ruskin Stille Bone Rongeur Reta 23cm</t>
  </si>
  <si>
    <t>Pinça Goiva Ruskin Stille Bone Rongeur Curva 23cm</t>
  </si>
  <si>
    <t>Pinca anatomica 18cm</t>
  </si>
  <si>
    <t>Pinca anatomica 20cm</t>
  </si>
  <si>
    <t>Pinca anatomica 25cm</t>
  </si>
  <si>
    <t>Pinça Backaus ponta bolinha(não perfurante), 13cm</t>
  </si>
  <si>
    <t>Pinca baioneta Jansen 16cm</t>
  </si>
  <si>
    <t>Pinça Arterial Kocher (Ochsner) 1/2 Reta 20cm</t>
  </si>
  <si>
    <t>Rugina Lambotte  21cm 15mm</t>
  </si>
  <si>
    <t>Sacabocado, Ruskin Bone Rongeur, Reta, 23cm</t>
  </si>
  <si>
    <t>Sacabocado, Ruskin Bone Rongeur, Curva, 23cm</t>
  </si>
  <si>
    <t>Tesoura de Dissecação Metzenbaum delicada Romba/Romba, Curva 14.5cm</t>
  </si>
  <si>
    <t>Tesoura de Dissecação Metzenbaum delicada Romba/Romba, Reta 14.5cm</t>
  </si>
  <si>
    <t>Pinca anatomica 14.5cm</t>
  </si>
  <si>
    <t>Pinca Adson, sem dente, 12cm</t>
  </si>
  <si>
    <t>Elevador periosteal Freer Reto afiados /Rombo, 18cm 6mm</t>
  </si>
  <si>
    <t>Elevador Periosteal Key, 15mmx19cm</t>
  </si>
  <si>
    <t>Elevador Periosteal Key, 19mmx19cm</t>
  </si>
  <si>
    <t>Sacabocado, Ruskin-Mini Bone Rongeur Reta 15cm 3mm</t>
  </si>
  <si>
    <t>Sacabocado, Ruskin-Mini Bone Rongeur 3mm 15cm</t>
  </si>
  <si>
    <t>Sacabocado, Ruskin Bone Rongeur Reta 18cm delicado</t>
  </si>
  <si>
    <t>Sacabocado, Raskin Bone Rongeur Curva 18cm delicado</t>
  </si>
  <si>
    <t>Pinca Anatomica 14.5cm</t>
  </si>
  <si>
    <t>Pinça Backhaus 13cm</t>
  </si>
  <si>
    <t>Descolador Freer Curvo, 20.5cm</t>
  </si>
  <si>
    <t>Sacabocado Ruskin Bone Rongeur Reta 23cm</t>
  </si>
  <si>
    <t>Sacabocado Ruskin Bone Rongeur Curva 23cm</t>
  </si>
  <si>
    <t>Sacabocado Smith Petersen Bone Rongeur 3mm Reta 24cm</t>
  </si>
  <si>
    <t>Pinca Anatomica 16cm</t>
  </si>
  <si>
    <t>Rugina Lambotte, 21cm, 15mm</t>
  </si>
  <si>
    <t>Pinça Allis 5:6 dentes, 15cm</t>
  </si>
  <si>
    <t>Pinca Anatonica, 18cm</t>
  </si>
  <si>
    <t>Pinça Allis, 5x6 dentes, 19cm</t>
  </si>
  <si>
    <t>Afastador Cobb, 28cm, 19mm</t>
  </si>
  <si>
    <t>Sacabocado Stille-Luer, corte de 6mm, reta, 22cm</t>
  </si>
  <si>
    <t>Sacabocado Stille-Luer, corte de 6mm, curva, 22cm</t>
  </si>
  <si>
    <t>Sacabocado Echlin, ponta fina, 23cm, 3mm</t>
  </si>
  <si>
    <t>Pinça Allis, Atraumatica 16cm</t>
  </si>
  <si>
    <t>DESCRITIVO PROPOSTA E CATALOGO</t>
  </si>
  <si>
    <t>FX.62.312</t>
  </si>
  <si>
    <t>FX.62.313</t>
  </si>
  <si>
    <t>FX.62.314</t>
  </si>
  <si>
    <t>FX.62.315</t>
  </si>
  <si>
    <t>15-300-19</t>
  </si>
  <si>
    <t>MARCA</t>
  </si>
  <si>
    <t>FENTEX</t>
  </si>
  <si>
    <t>PRIME</t>
  </si>
  <si>
    <t>Afastador Norte Sul para quadril</t>
  </si>
  <si>
    <t>Cureta Óssea Volkmann 17cm, n 000</t>
  </si>
  <si>
    <t>Cureta Óssea Volkmann 17cm, n 00</t>
  </si>
  <si>
    <t>Cureta Óssea Volkmann 17cm, n 0</t>
  </si>
  <si>
    <t>Cureta Óssea Volkmann 17cm n 1</t>
  </si>
  <si>
    <t>Cureta Óssea Volkmann 17cm n 2</t>
  </si>
  <si>
    <t>Cureta Óssea Volkmann 17cm n 3</t>
  </si>
  <si>
    <t>Cureta Óssea Volkmann 17cm n 4</t>
  </si>
  <si>
    <t>Cureta Óssea Volkmann 17cm n 5</t>
  </si>
  <si>
    <t>Pinça Cheron 20cm</t>
  </si>
  <si>
    <t>Pinca anatomica dente de rato  20cm</t>
  </si>
  <si>
    <t>Pinca anatomica dente de rato  25cm</t>
  </si>
  <si>
    <t>Pinca anatomica dente de rato 14.5cm</t>
  </si>
  <si>
    <t>Cureta óssea Volkmann, 5,5mm, 17cm n 0</t>
  </si>
  <si>
    <t>Cureta óssea Volkmann, 8mm, 17cm n 2</t>
  </si>
  <si>
    <t>Cureta óssea Volkmann, 11,6mm, 17cm n 4</t>
  </si>
  <si>
    <t>Cureta óssea Volkmann, 13,8mm, 17cm n 6</t>
  </si>
  <si>
    <t>Pinca anatomica dente de rato 10cm</t>
  </si>
  <si>
    <t>Pinca anatomica dente de rato 14.5cm reta</t>
  </si>
  <si>
    <t>Pinca anatomica dente de rato 16cm</t>
  </si>
  <si>
    <t>Pinca Adson, com dente 15cm</t>
  </si>
  <si>
    <t>Pinça Faure, Curva, 20cm</t>
  </si>
  <si>
    <t>Pinca anatomica dente de rato  18cm</t>
  </si>
  <si>
    <t>Pinça Cheron 25cm</t>
  </si>
  <si>
    <t>Pinça Faure, curva, 20cm</t>
  </si>
  <si>
    <t>Pinca Adson, com dente12cm</t>
  </si>
  <si>
    <t>VALOR UNITÁRIO</t>
  </si>
  <si>
    <t>VALOR TOTAL</t>
  </si>
  <si>
    <t>Contêiner 3/4 Modelo Padrão Não Perfurado com tampa com filtro labirinto e cesto, 475X272X116mm</t>
  </si>
  <si>
    <t>Contêiner 3/4 Modelo Padrão Não Perfurado com tampa com filtro labirinto e cesto, 475X272X138mm</t>
  </si>
  <si>
    <t xml:space="preserve">DESCRITIVO  </t>
  </si>
  <si>
    <t>Caixa cirurgia Coluna, conforme descritivo do item 3 do termo de referência.                                              Procedencia: Estados Unidos.                            Marca/Fabricante: FENTEX/FENTEX SURGICAL.                           Código e RMS: Diversos, conforme descrito na proposta e no catálogo.</t>
  </si>
  <si>
    <t>fator</t>
  </si>
  <si>
    <t>unt</t>
  </si>
  <si>
    <t>total</t>
  </si>
  <si>
    <t>Rugina raspatória reta, 20cm, 19mm</t>
  </si>
  <si>
    <t>Caixa cirurgia Pé e Tornozelo, conforme descritivo do item 3 do termo de referência.                                      Procedencia: Estados Unidos.                         Marca/Fabricante: FENTEX/FENTEX SURGICAL.                               Código e RMS: Diversos, conforme descritona proposta e no catálogo.</t>
  </si>
  <si>
    <t>Caixa cirurgia Ombro, conforme descritivo do item 3 do termo de referência.                                                    Procedencia: Estados Unidos.                           Marca/Fabricante: FENTEX/FENTEX SURGICAL.                     Código e RMS: Diversos, conforme descrito na proposta e no catálogo.</t>
  </si>
  <si>
    <t>Caixa cirurgia Prótese Total de Quadril, conforme descritivo do item 3 do termo de referência. Procedencia: Estados Unidos.                          Marca/Fabricante: FENTEX/FENTEX SURGICAL.                         Código e RMS: Diversos, conforme descrito na proposta e no catálogo.</t>
  </si>
  <si>
    <t>ESPECIFICAÇÃO</t>
  </si>
  <si>
    <t>CATMAT</t>
  </si>
  <si>
    <t>SIAFISICO</t>
  </si>
  <si>
    <t>UNIDADE DE MEDIDA</t>
  </si>
  <si>
    <t>QUANTIDADE TOTAL</t>
  </si>
  <si>
    <t>UN</t>
  </si>
  <si>
    <t>ITEM 1: CAIXA ORTOPEDIA INFANTIL E RECONSTRUÇÃO</t>
  </si>
  <si>
    <t>Caixa cirurgia Ortopedia
Infantil e Reconstrução, conforme descritivo do item 3 do termo de referência.                                                     Procedencia: Estados Unidos                      Marca/Fabricante:FENTEX/FENTEX SURGICAL e PRIME  (nacional)                                                               Código e RMS: Diversos, conforme descrito na proposta e no catálogo.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</si>
</sst>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&quot;R$&quot;\ #,##0.00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0"/>
      <color theme="4" tint="-0.499984740745262"/>
      <name val="Calibri"/>
      <family val="2"/>
    </font>
    <font>
      <b/>
      <sz val="12"/>
      <color theme="1"/>
      <name val="Calibri"/>
      <family val="2"/>
    </font>
    <font>
      <b/>
      <sz val="8"/>
      <color theme="0"/>
      <name val="Calibri"/>
      <family val="2"/>
    </font>
    <font>
      <sz val="10"/>
      <color theme="1"/>
      <name val="Calibri"/>
      <family val="2"/>
    </font>
    <font>
      <b/>
      <sz val="11"/>
      <color theme="0"/>
      <name val="Calibri"/>
      <family val="2"/>
    </font>
    <font>
      <b/>
      <sz val="10"/>
      <color theme="0"/>
      <name val="Calibri"/>
      <family val="2"/>
    </font>
    <font>
      <b/>
      <u/>
      <sz val="12"/>
      <color theme="1"/>
      <name val="Calibri"/>
      <family val="2"/>
    </font>
    <font>
      <b/>
      <u/>
      <sz val="11"/>
      <color theme="1"/>
      <name val="Calibri"/>
      <family val="2"/>
    </font>
    <font>
      <sz val="10.5"/>
      <name val="Arial"/>
      <family val="2"/>
    </font>
    <font>
      <sz val="10.5"/>
      <color rgb="FF000000"/>
      <name val="Arial"/>
      <family val="2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ashDotDot">
        <color indexed="64"/>
      </left>
      <right style="dashDotDot">
        <color indexed="64"/>
      </right>
      <top style="dashDotDot">
        <color indexed="64"/>
      </top>
      <bottom style="dashDotDot">
        <color indexed="64"/>
      </bottom>
      <diagonal/>
    </border>
    <border>
      <left/>
      <right style="dashDotDot">
        <color indexed="64"/>
      </right>
      <top style="dashDotDot">
        <color indexed="64"/>
      </top>
      <bottom style="dashDotDot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4" fontId="7" fillId="4" borderId="1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49" fontId="7" fillId="4" borderId="1" xfId="0" applyNumberFormat="1" applyFont="1" applyFill="1" applyBorder="1" applyAlignment="1">
      <alignment horizontal="left" vertical="center"/>
    </xf>
    <xf numFmtId="164" fontId="7" fillId="4" borderId="1" xfId="2" applyNumberFormat="1" applyFont="1" applyFill="1" applyBorder="1" applyAlignment="1">
      <alignment horizontal="center" vertical="center"/>
    </xf>
    <xf numFmtId="44" fontId="7" fillId="4" borderId="1" xfId="1" applyFont="1" applyFill="1" applyBorder="1" applyAlignment="1">
      <alignment vertical="center"/>
    </xf>
    <xf numFmtId="44" fontId="9" fillId="3" borderId="1" xfId="1" applyFont="1" applyFill="1" applyBorder="1" applyAlignment="1">
      <alignment vertical="center"/>
    </xf>
    <xf numFmtId="0" fontId="10" fillId="0" borderId="0" xfId="0" applyFont="1"/>
    <xf numFmtId="0" fontId="11" fillId="0" borderId="0" xfId="0" applyFont="1"/>
    <xf numFmtId="0" fontId="2" fillId="0" borderId="2" xfId="0" applyFont="1" applyBorder="1" applyAlignment="1">
      <alignment horizontal="center"/>
    </xf>
    <xf numFmtId="0" fontId="0" fillId="0" borderId="2" xfId="0" applyBorder="1"/>
    <xf numFmtId="164" fontId="0" fillId="0" borderId="1" xfId="0" applyNumberFormat="1" applyBorder="1"/>
    <xf numFmtId="0" fontId="12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vertical="top"/>
    </xf>
    <xf numFmtId="0" fontId="0" fillId="0" borderId="0" xfId="0" applyAlignment="1">
      <alignment horizontal="left" vertical="top"/>
    </xf>
    <xf numFmtId="1" fontId="13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/>
    </xf>
    <xf numFmtId="1" fontId="13" fillId="0" borderId="4" xfId="0" applyNumberFormat="1" applyFont="1" applyBorder="1" applyAlignment="1">
      <alignment vertical="center" shrinkToFit="1"/>
    </xf>
    <xf numFmtId="0" fontId="12" fillId="0" borderId="1" xfId="0" applyFont="1" applyBorder="1" applyAlignment="1">
      <alignment horizontal="left"/>
    </xf>
    <xf numFmtId="1" fontId="13" fillId="0" borderId="4" xfId="0" applyNumberFormat="1" applyFont="1" applyBorder="1" applyAlignment="1">
      <alignment vertical="top" shrinkToFit="1"/>
    </xf>
    <xf numFmtId="0" fontId="12" fillId="0" borderId="1" xfId="0" applyFont="1" applyBorder="1" applyAlignment="1">
      <alignment horizontal="left" wrapText="1"/>
    </xf>
    <xf numFmtId="1" fontId="13" fillId="0" borderId="5" xfId="0" applyNumberFormat="1" applyFont="1" applyBorder="1" applyAlignment="1">
      <alignment vertical="top" shrinkToFit="1"/>
    </xf>
    <xf numFmtId="0" fontId="0" fillId="0" borderId="0" xfId="0" applyAlignment="1">
      <alignment vertical="top"/>
    </xf>
    <xf numFmtId="0" fontId="0" fillId="0" borderId="1" xfId="0" applyNumberFormat="1" applyBorder="1"/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/>
    <xf numFmtId="0" fontId="0" fillId="4" borderId="1" xfId="0" applyFill="1" applyBorder="1"/>
    <xf numFmtId="164" fontId="0" fillId="4" borderId="1" xfId="0" applyNumberFormat="1" applyFill="1" applyBorder="1"/>
    <xf numFmtId="0" fontId="0" fillId="0" borderId="0" xfId="0" applyFont="1"/>
    <xf numFmtId="0" fontId="0" fillId="0" borderId="1" xfId="0" applyFont="1" applyBorder="1"/>
    <xf numFmtId="0" fontId="0" fillId="0" borderId="2" xfId="0" applyBorder="1" applyAlignment="1">
      <alignment wrapText="1"/>
    </xf>
    <xf numFmtId="0" fontId="17" fillId="0" borderId="1" xfId="0" applyFont="1" applyBorder="1" applyAlignment="1">
      <alignment horizontal="left" vertical="center" wrapText="1"/>
    </xf>
    <xf numFmtId="0" fontId="16" fillId="0" borderId="0" xfId="0" applyFont="1"/>
    <xf numFmtId="0" fontId="16" fillId="0" borderId="1" xfId="0" applyFont="1" applyBorder="1"/>
    <xf numFmtId="0" fontId="16" fillId="4" borderId="1" xfId="0" applyFont="1" applyFill="1" applyBorder="1"/>
    <xf numFmtId="0" fontId="16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2" fillId="0" borderId="1" xfId="0" applyFont="1" applyBorder="1"/>
    <xf numFmtId="0" fontId="0" fillId="0" borderId="0" xfId="0" applyAlignment="1">
      <alignment horizontal="left"/>
    </xf>
    <xf numFmtId="0" fontId="2" fillId="4" borderId="1" xfId="0" applyFont="1" applyFill="1" applyBorder="1"/>
    <xf numFmtId="164" fontId="0" fillId="4" borderId="1" xfId="0" applyNumberFormat="1" applyFont="1" applyFill="1" applyBorder="1"/>
    <xf numFmtId="0" fontId="19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left" vertical="center"/>
    </xf>
    <xf numFmtId="0" fontId="15" fillId="0" borderId="6" xfId="0" applyFont="1" applyBorder="1"/>
    <xf numFmtId="0" fontId="15" fillId="4" borderId="6" xfId="0" applyFont="1" applyFill="1" applyBorder="1"/>
    <xf numFmtId="0" fontId="0" fillId="7" borderId="1" xfId="0" applyFill="1" applyBorder="1"/>
    <xf numFmtId="164" fontId="2" fillId="0" borderId="1" xfId="0" applyNumberFormat="1" applyFont="1" applyBorder="1"/>
    <xf numFmtId="164" fontId="2" fillId="0" borderId="3" xfId="0" applyNumberFormat="1" applyFont="1" applyBorder="1"/>
    <xf numFmtId="0" fontId="0" fillId="0" borderId="7" xfId="0" applyBorder="1"/>
    <xf numFmtId="164" fontId="0" fillId="0" borderId="7" xfId="0" applyNumberFormat="1" applyBorder="1"/>
    <xf numFmtId="164" fontId="2" fillId="0" borderId="6" xfId="0" applyNumberFormat="1" applyFont="1" applyBorder="1"/>
    <xf numFmtId="44" fontId="0" fillId="0" borderId="0" xfId="0" applyNumberFormat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4" borderId="1" xfId="0" applyFont="1" applyFill="1" applyBorder="1" applyAlignment="1">
      <alignment vertical="center" wrapText="1"/>
    </xf>
    <xf numFmtId="0" fontId="0" fillId="9" borderId="7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9" borderId="8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9" borderId="7" xfId="0" applyFont="1" applyFill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4" borderId="0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5" fontId="22" fillId="0" borderId="9" xfId="0" applyNumberFormat="1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5" fontId="22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0" fillId="0" borderId="0" xfId="0" applyNumberFormat="1"/>
    <xf numFmtId="44" fontId="0" fillId="0" borderId="0" xfId="0" applyNumberFormat="1"/>
    <xf numFmtId="0" fontId="23" fillId="0" borderId="1" xfId="0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/>
    </xf>
    <xf numFmtId="44" fontId="24" fillId="0" borderId="1" xfId="0" applyNumberFormat="1" applyFont="1" applyBorder="1" applyAlignment="1">
      <alignment horizontal="center" vertical="center" wrapText="1" shrinkToFit="1"/>
    </xf>
    <xf numFmtId="165" fontId="23" fillId="0" borderId="9" xfId="0" applyNumberFormat="1" applyFont="1" applyBorder="1" applyAlignment="1">
      <alignment horizontal="center" vertical="center"/>
    </xf>
    <xf numFmtId="0" fontId="25" fillId="0" borderId="0" xfId="0" applyFont="1"/>
    <xf numFmtId="44" fontId="26" fillId="0" borderId="0" xfId="0" applyNumberFormat="1" applyFont="1" applyAlignment="1">
      <alignment horizontal="center" vertical="center"/>
    </xf>
    <xf numFmtId="165" fontId="22" fillId="0" borderId="10" xfId="0" applyNumberFormat="1" applyFont="1" applyBorder="1" applyAlignment="1">
      <alignment horizontal="center" vertical="center"/>
    </xf>
    <xf numFmtId="0" fontId="23" fillId="8" borderId="11" xfId="0" applyFont="1" applyFill="1" applyBorder="1" applyAlignment="1">
      <alignment horizontal="center" vertical="center" wrapText="1"/>
    </xf>
    <xf numFmtId="0" fontId="23" fillId="8" borderId="12" xfId="0" applyFont="1" applyFill="1" applyBorder="1" applyAlignment="1">
      <alignment horizontal="center" vertical="center" wrapText="1"/>
    </xf>
    <xf numFmtId="44" fontId="25" fillId="8" borderId="12" xfId="0" applyNumberFormat="1" applyFont="1" applyFill="1" applyBorder="1" applyAlignment="1">
      <alignment horizontal="center" vertical="center"/>
    </xf>
    <xf numFmtId="44" fontId="25" fillId="8" borderId="13" xfId="0" applyNumberFormat="1" applyFont="1" applyFill="1" applyBorder="1" applyAlignment="1">
      <alignment horizontal="center" vertical="center"/>
    </xf>
    <xf numFmtId="1" fontId="24" fillId="0" borderId="14" xfId="0" applyNumberFormat="1" applyFont="1" applyBorder="1" applyAlignment="1">
      <alignment horizontal="center" vertical="center" shrinkToFit="1"/>
    </xf>
    <xf numFmtId="44" fontId="25" fillId="0" borderId="15" xfId="0" applyNumberFormat="1" applyFont="1" applyBorder="1" applyAlignment="1">
      <alignment horizontal="center" vertical="center" wrapText="1"/>
    </xf>
    <xf numFmtId="1" fontId="24" fillId="0" borderId="16" xfId="0" applyNumberFormat="1" applyFont="1" applyBorder="1" applyAlignment="1">
      <alignment horizontal="center" vertical="center" shrinkToFit="1"/>
    </xf>
    <xf numFmtId="0" fontId="23" fillId="0" borderId="17" xfId="0" applyFont="1" applyBorder="1" applyAlignment="1">
      <alignment horizontal="left" vertical="top" wrapText="1"/>
    </xf>
    <xf numFmtId="1" fontId="24" fillId="0" borderId="17" xfId="0" applyNumberFormat="1" applyFont="1" applyBorder="1" applyAlignment="1">
      <alignment horizontal="center" vertical="center" shrinkToFit="1"/>
    </xf>
    <xf numFmtId="0" fontId="23" fillId="0" borderId="17" xfId="0" applyFont="1" applyBorder="1" applyAlignment="1">
      <alignment horizontal="center" vertical="center"/>
    </xf>
    <xf numFmtId="44" fontId="24" fillId="0" borderId="17" xfId="0" applyNumberFormat="1" applyFont="1" applyBorder="1" applyAlignment="1">
      <alignment horizontal="center" vertical="center" wrapText="1" shrinkToFit="1"/>
    </xf>
    <xf numFmtId="44" fontId="25" fillId="0" borderId="18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9" borderId="7" xfId="0" applyFont="1" applyFill="1" applyBorder="1" applyAlignment="1">
      <alignment horizontal="center"/>
    </xf>
    <xf numFmtId="0" fontId="0" fillId="9" borderId="6" xfId="0" applyFont="1" applyFill="1" applyBorder="1" applyAlignment="1">
      <alignment horizontal="center"/>
    </xf>
    <xf numFmtId="0" fontId="0" fillId="9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137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600-00003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8205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137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600-00003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8205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137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600-00003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8205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137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6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8205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137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600-00008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8205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137</xdr:row>
      <xdr:rowOff>25400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600-00008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8205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137</xdr:row>
      <xdr:rowOff>25400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600-0000B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8205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137</xdr:row>
      <xdr:rowOff>25400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600-0000B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8205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0</xdr:colOff>
      <xdr:row>137</xdr:row>
      <xdr:rowOff>25400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xmlns="" id="{00000000-0008-0000-06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8205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101</xdr:row>
      <xdr:rowOff>25400</xdr:rowOff>
    </xdr:from>
    <xdr:ext cx="9525" cy="0"/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xmlns="" id="{A87D7AC0-761F-441E-9E2B-DF9C08D35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8300" y="1332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101</xdr:row>
      <xdr:rowOff>25400</xdr:rowOff>
    </xdr:from>
    <xdr:ext cx="9525" cy="0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xmlns="" id="{44392574-095F-4989-B8D8-2DE42AF4D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8300" y="1332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101</xdr:row>
      <xdr:rowOff>25400</xdr:rowOff>
    </xdr:from>
    <xdr:ext cx="9525" cy="0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xmlns="" id="{DDFE77D1-5DA9-45EE-908C-8C7A7B964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8300" y="1332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101</xdr:row>
      <xdr:rowOff>25400</xdr:rowOff>
    </xdr:from>
    <xdr:ext cx="9525" cy="0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xmlns="" id="{87BD9663-CA27-4EB7-8F53-E27FA80D4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8300" y="1332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137</xdr:row>
      <xdr:rowOff>25400</xdr:rowOff>
    </xdr:from>
    <xdr:ext cx="9525" cy="0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xmlns="" id="{4CFF581E-22F1-4B00-A77C-4045E590B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0417" y="2631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137</xdr:row>
      <xdr:rowOff>25400</xdr:rowOff>
    </xdr:from>
    <xdr:ext cx="9525" cy="0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xmlns="" id="{86347E38-43F2-415C-A13B-C8E78D363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0417" y="2631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137</xdr:row>
      <xdr:rowOff>25400</xdr:rowOff>
    </xdr:from>
    <xdr:ext cx="9525" cy="0"/>
    <xdr:pic>
      <xdr:nvPicPr>
        <xdr:cNvPr id="17" name="Imagem 16" descr="http://sistemaswebhom.einstein.br/CME/Imagens/nada.gif">
          <a:extLst>
            <a:ext uri="{FF2B5EF4-FFF2-40B4-BE49-F238E27FC236}">
              <a16:creationId xmlns:a16="http://schemas.microsoft.com/office/drawing/2014/main" xmlns="" id="{9A3F7FC5-8153-4C49-B8B6-49A4F83F0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0417" y="2631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137</xdr:row>
      <xdr:rowOff>25400</xdr:rowOff>
    </xdr:from>
    <xdr:ext cx="9525" cy="0"/>
    <xdr:pic>
      <xdr:nvPicPr>
        <xdr:cNvPr id="18" name="Imagem 17" descr="http://sistemaswebhom.einstein.br/CME/Imagens/nada.gif">
          <a:extLst>
            <a:ext uri="{FF2B5EF4-FFF2-40B4-BE49-F238E27FC236}">
              <a16:creationId xmlns:a16="http://schemas.microsoft.com/office/drawing/2014/main" xmlns="" id="{D5D55D48-E714-43ED-BE8A-BBD3BC9E7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0417" y="2631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137</xdr:row>
      <xdr:rowOff>25400</xdr:rowOff>
    </xdr:from>
    <xdr:ext cx="9525" cy="0"/>
    <xdr:pic>
      <xdr:nvPicPr>
        <xdr:cNvPr id="19" name="Imagem 18" descr="http://sistemaswebhom.einstein.br/CME/Imagens/nada.gif">
          <a:extLst>
            <a:ext uri="{FF2B5EF4-FFF2-40B4-BE49-F238E27FC236}">
              <a16:creationId xmlns:a16="http://schemas.microsoft.com/office/drawing/2014/main" xmlns="" id="{A8E1F4A5-76F3-4679-9C0C-0512370E3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0417" y="2631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137</xdr:row>
      <xdr:rowOff>25400</xdr:rowOff>
    </xdr:from>
    <xdr:ext cx="9525" cy="0"/>
    <xdr:pic>
      <xdr:nvPicPr>
        <xdr:cNvPr id="20" name="Imagem 19" descr="http://sistemaswebhom.einstein.br/CME/Imagens/nada.gif">
          <a:extLst>
            <a:ext uri="{FF2B5EF4-FFF2-40B4-BE49-F238E27FC236}">
              <a16:creationId xmlns:a16="http://schemas.microsoft.com/office/drawing/2014/main" xmlns="" id="{D94DA5C7-F8AF-45A1-A01A-5264B8ED4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0417" y="2631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137</xdr:row>
      <xdr:rowOff>25400</xdr:rowOff>
    </xdr:from>
    <xdr:ext cx="9525" cy="0"/>
    <xdr:pic>
      <xdr:nvPicPr>
        <xdr:cNvPr id="21" name="Imagem 20" descr="http://sistemaswebhom.einstein.br/CME/Imagens/nada.gif">
          <a:extLst>
            <a:ext uri="{FF2B5EF4-FFF2-40B4-BE49-F238E27FC236}">
              <a16:creationId xmlns:a16="http://schemas.microsoft.com/office/drawing/2014/main" xmlns="" id="{DE34E386-6EDF-4A03-9B3A-9BDD43884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0417" y="2631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137</xdr:row>
      <xdr:rowOff>25400</xdr:rowOff>
    </xdr:from>
    <xdr:ext cx="9525" cy="0"/>
    <xdr:pic>
      <xdr:nvPicPr>
        <xdr:cNvPr id="22" name="Imagem 21" descr="http://sistemaswebhom.einstein.br/CME/Imagens/nada.gif">
          <a:extLst>
            <a:ext uri="{FF2B5EF4-FFF2-40B4-BE49-F238E27FC236}">
              <a16:creationId xmlns:a16="http://schemas.microsoft.com/office/drawing/2014/main" xmlns="" id="{E94C0CC6-0ACC-49DD-A8FF-50FE31853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0417" y="2631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137</xdr:row>
      <xdr:rowOff>25400</xdr:rowOff>
    </xdr:from>
    <xdr:ext cx="9525" cy="0"/>
    <xdr:pic>
      <xdr:nvPicPr>
        <xdr:cNvPr id="23" name="Imagem 22" descr="http://sistemaswebhom.einstein.br/CME/Imagens/nada.gif">
          <a:extLst>
            <a:ext uri="{FF2B5EF4-FFF2-40B4-BE49-F238E27FC236}">
              <a16:creationId xmlns:a16="http://schemas.microsoft.com/office/drawing/2014/main" xmlns="" id="{2474D28B-E29C-412D-BAB6-8766B60F0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0417" y="2631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137</xdr:row>
      <xdr:rowOff>25400</xdr:rowOff>
    </xdr:from>
    <xdr:ext cx="9525" cy="0"/>
    <xdr:pic>
      <xdr:nvPicPr>
        <xdr:cNvPr id="24" name="Imagem 23" descr="http://sistemaswebhom.einstein.br/CME/Imagens/nada.gif">
          <a:extLst>
            <a:ext uri="{FF2B5EF4-FFF2-40B4-BE49-F238E27FC236}">
              <a16:creationId xmlns:a16="http://schemas.microsoft.com/office/drawing/2014/main" xmlns="" id="{7013651E-C020-4656-8DFA-323F6A12D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23333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137</xdr:row>
      <xdr:rowOff>25400</xdr:rowOff>
    </xdr:from>
    <xdr:ext cx="9525" cy="0"/>
    <xdr:pic>
      <xdr:nvPicPr>
        <xdr:cNvPr id="25" name="Imagem 24" descr="http://sistemaswebhom.einstein.br/CME/Imagens/nada.gif">
          <a:extLst>
            <a:ext uri="{FF2B5EF4-FFF2-40B4-BE49-F238E27FC236}">
              <a16:creationId xmlns:a16="http://schemas.microsoft.com/office/drawing/2014/main" xmlns="" id="{2F9977B4-6513-4518-87AC-CB39EFE07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23333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137</xdr:row>
      <xdr:rowOff>25400</xdr:rowOff>
    </xdr:from>
    <xdr:ext cx="9525" cy="0"/>
    <xdr:pic>
      <xdr:nvPicPr>
        <xdr:cNvPr id="26" name="Imagem 25" descr="http://sistemaswebhom.einstein.br/CME/Imagens/nada.gif">
          <a:extLst>
            <a:ext uri="{FF2B5EF4-FFF2-40B4-BE49-F238E27FC236}">
              <a16:creationId xmlns:a16="http://schemas.microsoft.com/office/drawing/2014/main" xmlns="" id="{6CBE7706-7146-45C2-BB00-5D923DC25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23333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137</xdr:row>
      <xdr:rowOff>25400</xdr:rowOff>
    </xdr:from>
    <xdr:ext cx="9525" cy="0"/>
    <xdr:pic>
      <xdr:nvPicPr>
        <xdr:cNvPr id="27" name="Imagem 26" descr="http://sistemaswebhom.einstein.br/CME/Imagens/nada.gif">
          <a:extLst>
            <a:ext uri="{FF2B5EF4-FFF2-40B4-BE49-F238E27FC236}">
              <a16:creationId xmlns:a16="http://schemas.microsoft.com/office/drawing/2014/main" xmlns="" id="{F469B85E-2DE5-4F1F-8C26-329D89D40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23333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137</xdr:row>
      <xdr:rowOff>25400</xdr:rowOff>
    </xdr:from>
    <xdr:ext cx="9525" cy="0"/>
    <xdr:pic>
      <xdr:nvPicPr>
        <xdr:cNvPr id="28" name="Imagem 27" descr="http://sistemaswebhom.einstein.br/CME/Imagens/nada.gif">
          <a:extLst>
            <a:ext uri="{FF2B5EF4-FFF2-40B4-BE49-F238E27FC236}">
              <a16:creationId xmlns:a16="http://schemas.microsoft.com/office/drawing/2014/main" xmlns="" id="{BB4CE665-53AB-42BE-88C9-578045529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23333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137</xdr:row>
      <xdr:rowOff>25400</xdr:rowOff>
    </xdr:from>
    <xdr:ext cx="9525" cy="0"/>
    <xdr:pic>
      <xdr:nvPicPr>
        <xdr:cNvPr id="29" name="Imagem 28" descr="http://sistemaswebhom.einstein.br/CME/Imagens/nada.gif">
          <a:extLst>
            <a:ext uri="{FF2B5EF4-FFF2-40B4-BE49-F238E27FC236}">
              <a16:creationId xmlns:a16="http://schemas.microsoft.com/office/drawing/2014/main" xmlns="" id="{45C463F8-9297-44A9-BD7A-F461DEBDA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23333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137</xdr:row>
      <xdr:rowOff>25400</xdr:rowOff>
    </xdr:from>
    <xdr:ext cx="9525" cy="0"/>
    <xdr:pic>
      <xdr:nvPicPr>
        <xdr:cNvPr id="30" name="Imagem 29" descr="http://sistemaswebhom.einstein.br/CME/Imagens/nada.gif">
          <a:extLst>
            <a:ext uri="{FF2B5EF4-FFF2-40B4-BE49-F238E27FC236}">
              <a16:creationId xmlns:a16="http://schemas.microsoft.com/office/drawing/2014/main" xmlns="" id="{5B864842-C91C-44A4-8A8F-316EEE6FE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23333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137</xdr:row>
      <xdr:rowOff>25400</xdr:rowOff>
    </xdr:from>
    <xdr:ext cx="9525" cy="0"/>
    <xdr:pic>
      <xdr:nvPicPr>
        <xdr:cNvPr id="31" name="Imagem 30" descr="http://sistemaswebhom.einstein.br/CME/Imagens/nada.gif">
          <a:extLst>
            <a:ext uri="{FF2B5EF4-FFF2-40B4-BE49-F238E27FC236}">
              <a16:creationId xmlns:a16="http://schemas.microsoft.com/office/drawing/2014/main" xmlns="" id="{FF0052AD-7E62-4A55-B667-E08525A6D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23333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137</xdr:row>
      <xdr:rowOff>25400</xdr:rowOff>
    </xdr:from>
    <xdr:ext cx="9525" cy="0"/>
    <xdr:pic>
      <xdr:nvPicPr>
        <xdr:cNvPr id="32" name="Imagem 31" descr="http://sistemaswebhom.einstein.br/CME/Imagens/nada.gif">
          <a:extLst>
            <a:ext uri="{FF2B5EF4-FFF2-40B4-BE49-F238E27FC236}">
              <a16:creationId xmlns:a16="http://schemas.microsoft.com/office/drawing/2014/main" xmlns="" id="{4D6FACB2-591A-4A4D-9352-53D00E3B0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233330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135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xmlns="" id="{588D27F3-B86E-45C7-B0FF-82CBC4E7C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44425" y="2631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135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xmlns="" id="{B4005702-853D-4864-B411-A27E416A6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44425" y="2631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135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xmlns="" id="{5A517096-2BED-4A7C-8302-DD41B08A1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44425" y="2631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135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xmlns="" id="{9D7D31F2-10D3-421E-A6EB-35FF7C7BC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44425" y="2631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135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xmlns="" id="{A16D497C-4D64-4042-868D-58188B1B9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44425" y="2631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135</xdr:row>
      <xdr:rowOff>25400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xmlns="" id="{49776328-2389-4C41-8E0D-917E4D4FC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44425" y="2631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135</xdr:row>
      <xdr:rowOff>25400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xmlns="" id="{3600C318-BE12-452E-A64D-37A135F61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44425" y="2631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135</xdr:row>
      <xdr:rowOff>25400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xmlns="" id="{19A12375-86B3-4A59-903F-343180AC0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44425" y="2631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135</xdr:row>
      <xdr:rowOff>25400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xmlns="" id="{7D51AF29-579B-41E6-A7E4-01ABA7F18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44425" y="2631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100</xdr:row>
      <xdr:rowOff>25400</xdr:rowOff>
    </xdr:from>
    <xdr:ext cx="9525" cy="0"/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xmlns="" id="{7795A2D7-5382-4171-ACA9-F665F0260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945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100</xdr:row>
      <xdr:rowOff>25400</xdr:rowOff>
    </xdr:from>
    <xdr:ext cx="9525" cy="0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xmlns="" id="{6E2A44EF-2E3B-40B0-8121-04C71BF79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945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100</xdr:row>
      <xdr:rowOff>25400</xdr:rowOff>
    </xdr:from>
    <xdr:ext cx="9525" cy="0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xmlns="" id="{1900DB0E-920E-4414-9D76-B5DDECF25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945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100</xdr:row>
      <xdr:rowOff>25400</xdr:rowOff>
    </xdr:from>
    <xdr:ext cx="9525" cy="0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xmlns="" id="{59CBE882-899B-4C09-BE29-02E927939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945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135</xdr:row>
      <xdr:rowOff>25400</xdr:rowOff>
    </xdr:from>
    <xdr:ext cx="9525" cy="0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xmlns="" id="{4BE61159-86CB-4AB8-B41F-2EB95002A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631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135</xdr:row>
      <xdr:rowOff>25400</xdr:rowOff>
    </xdr:from>
    <xdr:ext cx="9525" cy="0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xmlns="" id="{2BCD3E68-0B58-480F-8745-EEEC46375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631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135</xdr:row>
      <xdr:rowOff>25400</xdr:rowOff>
    </xdr:from>
    <xdr:ext cx="9525" cy="0"/>
    <xdr:pic>
      <xdr:nvPicPr>
        <xdr:cNvPr id="17" name="Imagem 16" descr="http://sistemaswebhom.einstein.br/CME/Imagens/nada.gif">
          <a:extLst>
            <a:ext uri="{FF2B5EF4-FFF2-40B4-BE49-F238E27FC236}">
              <a16:creationId xmlns:a16="http://schemas.microsoft.com/office/drawing/2014/main" xmlns="" id="{0A45C5B7-5BAF-4B3A-8B89-675DDAC7F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631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135</xdr:row>
      <xdr:rowOff>25400</xdr:rowOff>
    </xdr:from>
    <xdr:ext cx="9525" cy="0"/>
    <xdr:pic>
      <xdr:nvPicPr>
        <xdr:cNvPr id="18" name="Imagem 17" descr="http://sistemaswebhom.einstein.br/CME/Imagens/nada.gif">
          <a:extLst>
            <a:ext uri="{FF2B5EF4-FFF2-40B4-BE49-F238E27FC236}">
              <a16:creationId xmlns:a16="http://schemas.microsoft.com/office/drawing/2014/main" xmlns="" id="{19581BA4-47D9-4D2A-9744-CF4A94C01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631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135</xdr:row>
      <xdr:rowOff>25400</xdr:rowOff>
    </xdr:from>
    <xdr:ext cx="9525" cy="0"/>
    <xdr:pic>
      <xdr:nvPicPr>
        <xdr:cNvPr id="19" name="Imagem 18" descr="http://sistemaswebhom.einstein.br/CME/Imagens/nada.gif">
          <a:extLst>
            <a:ext uri="{FF2B5EF4-FFF2-40B4-BE49-F238E27FC236}">
              <a16:creationId xmlns:a16="http://schemas.microsoft.com/office/drawing/2014/main" xmlns="" id="{157F12DE-C3A8-4288-A8D7-ED439F561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631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135</xdr:row>
      <xdr:rowOff>25400</xdr:rowOff>
    </xdr:from>
    <xdr:ext cx="9525" cy="0"/>
    <xdr:pic>
      <xdr:nvPicPr>
        <xdr:cNvPr id="20" name="Imagem 19" descr="http://sistemaswebhom.einstein.br/CME/Imagens/nada.gif">
          <a:extLst>
            <a:ext uri="{FF2B5EF4-FFF2-40B4-BE49-F238E27FC236}">
              <a16:creationId xmlns:a16="http://schemas.microsoft.com/office/drawing/2014/main" xmlns="" id="{44FA5F67-B5C3-43F0-A5D3-A3D492F30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631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135</xdr:row>
      <xdr:rowOff>25400</xdr:rowOff>
    </xdr:from>
    <xdr:ext cx="9525" cy="0"/>
    <xdr:pic>
      <xdr:nvPicPr>
        <xdr:cNvPr id="21" name="Imagem 20" descr="http://sistemaswebhom.einstein.br/CME/Imagens/nada.gif">
          <a:extLst>
            <a:ext uri="{FF2B5EF4-FFF2-40B4-BE49-F238E27FC236}">
              <a16:creationId xmlns:a16="http://schemas.microsoft.com/office/drawing/2014/main" xmlns="" id="{CD1FF0E3-FE4F-42B6-9588-0BD0FF6AC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631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135</xdr:row>
      <xdr:rowOff>25400</xdr:rowOff>
    </xdr:from>
    <xdr:ext cx="9525" cy="0"/>
    <xdr:pic>
      <xdr:nvPicPr>
        <xdr:cNvPr id="22" name="Imagem 21" descr="http://sistemaswebhom.einstein.br/CME/Imagens/nada.gif">
          <a:extLst>
            <a:ext uri="{FF2B5EF4-FFF2-40B4-BE49-F238E27FC236}">
              <a16:creationId xmlns:a16="http://schemas.microsoft.com/office/drawing/2014/main" xmlns="" id="{814E5197-DF06-497A-B999-6EE455EE5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631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135</xdr:row>
      <xdr:rowOff>25400</xdr:rowOff>
    </xdr:from>
    <xdr:ext cx="9525" cy="0"/>
    <xdr:pic>
      <xdr:nvPicPr>
        <xdr:cNvPr id="23" name="Imagem 22" descr="http://sistemaswebhom.einstein.br/CME/Imagens/nada.gif">
          <a:extLst>
            <a:ext uri="{FF2B5EF4-FFF2-40B4-BE49-F238E27FC236}">
              <a16:creationId xmlns:a16="http://schemas.microsoft.com/office/drawing/2014/main" xmlns="" id="{8FA47BB7-1ACB-44C1-939D-4C053A9D6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631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135</xdr:row>
      <xdr:rowOff>25400</xdr:rowOff>
    </xdr:from>
    <xdr:ext cx="9525" cy="0"/>
    <xdr:pic>
      <xdr:nvPicPr>
        <xdr:cNvPr id="24" name="Imagem 23" descr="http://sistemaswebhom.einstein.br/CME/Imagens/nada.gif">
          <a:extLst>
            <a:ext uri="{FF2B5EF4-FFF2-40B4-BE49-F238E27FC236}">
              <a16:creationId xmlns:a16="http://schemas.microsoft.com/office/drawing/2014/main" xmlns="" id="{CA42933C-1DA2-4B62-BED2-3A6BE4058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631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135</xdr:row>
      <xdr:rowOff>25400</xdr:rowOff>
    </xdr:from>
    <xdr:ext cx="9525" cy="0"/>
    <xdr:pic>
      <xdr:nvPicPr>
        <xdr:cNvPr id="25" name="Imagem 24" descr="http://sistemaswebhom.einstein.br/CME/Imagens/nada.gif">
          <a:extLst>
            <a:ext uri="{FF2B5EF4-FFF2-40B4-BE49-F238E27FC236}">
              <a16:creationId xmlns:a16="http://schemas.microsoft.com/office/drawing/2014/main" xmlns="" id="{AB988216-120A-4EA7-8F96-FC445C663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631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135</xdr:row>
      <xdr:rowOff>25400</xdr:rowOff>
    </xdr:from>
    <xdr:ext cx="9525" cy="0"/>
    <xdr:pic>
      <xdr:nvPicPr>
        <xdr:cNvPr id="26" name="Imagem 25" descr="http://sistemaswebhom.einstein.br/CME/Imagens/nada.gif">
          <a:extLst>
            <a:ext uri="{FF2B5EF4-FFF2-40B4-BE49-F238E27FC236}">
              <a16:creationId xmlns:a16="http://schemas.microsoft.com/office/drawing/2014/main" xmlns="" id="{BE60E5D8-3DFA-4173-8213-BF6232167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631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135</xdr:row>
      <xdr:rowOff>25400</xdr:rowOff>
    </xdr:from>
    <xdr:ext cx="9525" cy="0"/>
    <xdr:pic>
      <xdr:nvPicPr>
        <xdr:cNvPr id="27" name="Imagem 26" descr="http://sistemaswebhom.einstein.br/CME/Imagens/nada.gif">
          <a:extLst>
            <a:ext uri="{FF2B5EF4-FFF2-40B4-BE49-F238E27FC236}">
              <a16:creationId xmlns:a16="http://schemas.microsoft.com/office/drawing/2014/main" xmlns="" id="{8F448FEA-496A-4042-8865-6F940D31B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631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135</xdr:row>
      <xdr:rowOff>25400</xdr:rowOff>
    </xdr:from>
    <xdr:ext cx="9525" cy="0"/>
    <xdr:pic>
      <xdr:nvPicPr>
        <xdr:cNvPr id="28" name="Imagem 27" descr="http://sistemaswebhom.einstein.br/CME/Imagens/nada.gif">
          <a:extLst>
            <a:ext uri="{FF2B5EF4-FFF2-40B4-BE49-F238E27FC236}">
              <a16:creationId xmlns:a16="http://schemas.microsoft.com/office/drawing/2014/main" xmlns="" id="{19A2BDCC-65D2-430B-8BAA-0D9923513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631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135</xdr:row>
      <xdr:rowOff>25400</xdr:rowOff>
    </xdr:from>
    <xdr:ext cx="9525" cy="0"/>
    <xdr:pic>
      <xdr:nvPicPr>
        <xdr:cNvPr id="29" name="Imagem 28" descr="http://sistemaswebhom.einstein.br/CME/Imagens/nada.gif">
          <a:extLst>
            <a:ext uri="{FF2B5EF4-FFF2-40B4-BE49-F238E27FC236}">
              <a16:creationId xmlns:a16="http://schemas.microsoft.com/office/drawing/2014/main" xmlns="" id="{9D7DD0A1-B874-4375-8DEA-DADAE65DD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631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135</xdr:row>
      <xdr:rowOff>25400</xdr:rowOff>
    </xdr:from>
    <xdr:ext cx="9525" cy="0"/>
    <xdr:pic>
      <xdr:nvPicPr>
        <xdr:cNvPr id="30" name="Imagem 29" descr="http://sistemaswebhom.einstein.br/CME/Imagens/nada.gif">
          <a:extLst>
            <a:ext uri="{FF2B5EF4-FFF2-40B4-BE49-F238E27FC236}">
              <a16:creationId xmlns:a16="http://schemas.microsoft.com/office/drawing/2014/main" xmlns="" id="{49D98A8A-E149-4DD6-B914-F9440E98F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631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135</xdr:row>
      <xdr:rowOff>25400</xdr:rowOff>
    </xdr:from>
    <xdr:ext cx="9525" cy="0"/>
    <xdr:pic>
      <xdr:nvPicPr>
        <xdr:cNvPr id="31" name="Imagem 30" descr="http://sistemaswebhom.einstein.br/CME/Imagens/nada.gif">
          <a:extLst>
            <a:ext uri="{FF2B5EF4-FFF2-40B4-BE49-F238E27FC236}">
              <a16:creationId xmlns:a16="http://schemas.microsoft.com/office/drawing/2014/main" xmlns="" id="{A334C08A-2968-4CFC-9014-F84F17B55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631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135</xdr:row>
      <xdr:rowOff>25400</xdr:rowOff>
    </xdr:from>
    <xdr:ext cx="9525" cy="0"/>
    <xdr:pic>
      <xdr:nvPicPr>
        <xdr:cNvPr id="32" name="Imagem 31" descr="http://sistemaswebhom.einstein.br/CME/Imagens/nada.gif">
          <a:extLst>
            <a:ext uri="{FF2B5EF4-FFF2-40B4-BE49-F238E27FC236}">
              <a16:creationId xmlns:a16="http://schemas.microsoft.com/office/drawing/2014/main" xmlns="" id="{5CF00102-A4F7-4B94-8D76-355704A5C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6314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236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xmlns="" id="{24F4DD7A-AE8F-4FBB-BF3C-639ABD3A3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945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236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xmlns="" id="{76AF9E5F-D648-424C-9004-230619F63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945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236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xmlns="" id="{4E7AE75C-BC05-4954-838E-BF7FA7295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945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236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xmlns="" id="{C1725C6F-F972-4C64-B003-43071BF1F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9456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269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xmlns="" id="{15A0BCFC-10D0-49AD-8604-FC8D26A03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669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269</xdr:row>
      <xdr:rowOff>25400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xmlns="" id="{F9F7B8DB-1990-415C-B06B-FDC5735C6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669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269</xdr:row>
      <xdr:rowOff>25400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xmlns="" id="{245344EC-68BA-4D75-AE95-FEEFA0264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669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269</xdr:row>
      <xdr:rowOff>25400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xmlns="" id="{5EA2D501-75CA-451D-B1F9-9B89FBD2E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669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269</xdr:row>
      <xdr:rowOff>25400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xmlns="" id="{D5395A05-6535-403A-95D7-3A6B1306D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669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269</xdr:row>
      <xdr:rowOff>25400</xdr:rowOff>
    </xdr:from>
    <xdr:ext cx="9525" cy="0"/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xmlns="" id="{966B1E68-7088-43E1-A740-56A5E5124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669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269</xdr:row>
      <xdr:rowOff>25400</xdr:rowOff>
    </xdr:from>
    <xdr:ext cx="9525" cy="0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xmlns="" id="{4EFA3227-B297-4AB8-BD63-C92E65CCA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669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269</xdr:row>
      <xdr:rowOff>25400</xdr:rowOff>
    </xdr:from>
    <xdr:ext cx="9525" cy="0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xmlns="" id="{E509A004-03C5-4690-BD44-679765E91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669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269</xdr:row>
      <xdr:rowOff>25400</xdr:rowOff>
    </xdr:from>
    <xdr:ext cx="9525" cy="0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xmlns="" id="{953A6231-5947-4707-810E-DE02B6C2E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669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269</xdr:row>
      <xdr:rowOff>25400</xdr:rowOff>
    </xdr:from>
    <xdr:ext cx="9525" cy="0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xmlns="" id="{28754A7B-8D81-4AC0-BAE7-19371E45D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669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269</xdr:row>
      <xdr:rowOff>25400</xdr:rowOff>
    </xdr:from>
    <xdr:ext cx="9525" cy="0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xmlns="" id="{C6615234-4349-4F40-89D3-31FD1F975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669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269</xdr:row>
      <xdr:rowOff>25400</xdr:rowOff>
    </xdr:from>
    <xdr:ext cx="9525" cy="0"/>
    <xdr:pic>
      <xdr:nvPicPr>
        <xdr:cNvPr id="17" name="Imagem 16" descr="http://sistemaswebhom.einstein.br/CME/Imagens/nada.gif">
          <a:extLst>
            <a:ext uri="{FF2B5EF4-FFF2-40B4-BE49-F238E27FC236}">
              <a16:creationId xmlns:a16="http://schemas.microsoft.com/office/drawing/2014/main" xmlns="" id="{62B21CAA-C99C-4834-91B4-7B816B1BA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669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269</xdr:row>
      <xdr:rowOff>25400</xdr:rowOff>
    </xdr:from>
    <xdr:ext cx="9525" cy="0"/>
    <xdr:pic>
      <xdr:nvPicPr>
        <xdr:cNvPr id="18" name="Imagem 17" descr="http://sistemaswebhom.einstein.br/CME/Imagens/nada.gif">
          <a:extLst>
            <a:ext uri="{FF2B5EF4-FFF2-40B4-BE49-F238E27FC236}">
              <a16:creationId xmlns:a16="http://schemas.microsoft.com/office/drawing/2014/main" xmlns="" id="{F6F761D4-A316-4CFC-B932-70AFB4011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669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269</xdr:row>
      <xdr:rowOff>25400</xdr:rowOff>
    </xdr:from>
    <xdr:ext cx="9525" cy="0"/>
    <xdr:pic>
      <xdr:nvPicPr>
        <xdr:cNvPr id="19" name="Imagem 18" descr="http://sistemaswebhom.einstein.br/CME/Imagens/nada.gif">
          <a:extLst>
            <a:ext uri="{FF2B5EF4-FFF2-40B4-BE49-F238E27FC236}">
              <a16:creationId xmlns:a16="http://schemas.microsoft.com/office/drawing/2014/main" xmlns="" id="{C6FE8A2A-7B0F-4885-9587-45DEEB834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669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269</xdr:row>
      <xdr:rowOff>25400</xdr:rowOff>
    </xdr:from>
    <xdr:ext cx="9525" cy="0"/>
    <xdr:pic>
      <xdr:nvPicPr>
        <xdr:cNvPr id="20" name="Imagem 19" descr="http://sistemaswebhom.einstein.br/CME/Imagens/nada.gif">
          <a:extLst>
            <a:ext uri="{FF2B5EF4-FFF2-40B4-BE49-F238E27FC236}">
              <a16:creationId xmlns:a16="http://schemas.microsoft.com/office/drawing/2014/main" xmlns="" id="{D40ACA5E-8C3B-4B6E-B1C1-70F5DE0E3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669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269</xdr:row>
      <xdr:rowOff>25400</xdr:rowOff>
    </xdr:from>
    <xdr:ext cx="9525" cy="0"/>
    <xdr:pic>
      <xdr:nvPicPr>
        <xdr:cNvPr id="21" name="Imagem 20" descr="http://sistemaswebhom.einstein.br/CME/Imagens/nada.gif">
          <a:extLst>
            <a:ext uri="{FF2B5EF4-FFF2-40B4-BE49-F238E27FC236}">
              <a16:creationId xmlns:a16="http://schemas.microsoft.com/office/drawing/2014/main" xmlns="" id="{3834D278-8766-477E-8709-A69AD0FAF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669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269</xdr:row>
      <xdr:rowOff>25400</xdr:rowOff>
    </xdr:from>
    <xdr:ext cx="9525" cy="0"/>
    <xdr:pic>
      <xdr:nvPicPr>
        <xdr:cNvPr id="22" name="Imagem 21" descr="http://sistemaswebhom.einstein.br/CME/Imagens/nada.gif">
          <a:extLst>
            <a:ext uri="{FF2B5EF4-FFF2-40B4-BE49-F238E27FC236}">
              <a16:creationId xmlns:a16="http://schemas.microsoft.com/office/drawing/2014/main" xmlns="" id="{4F2F1B12-7A54-4766-950A-009BA75C2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669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269</xdr:row>
      <xdr:rowOff>25400</xdr:rowOff>
    </xdr:from>
    <xdr:ext cx="9525" cy="0"/>
    <xdr:pic>
      <xdr:nvPicPr>
        <xdr:cNvPr id="23" name="Imagem 22" descr="http://sistemaswebhom.einstein.br/CME/Imagens/nada.gif">
          <a:extLst>
            <a:ext uri="{FF2B5EF4-FFF2-40B4-BE49-F238E27FC236}">
              <a16:creationId xmlns:a16="http://schemas.microsoft.com/office/drawing/2014/main" xmlns="" id="{8FA72D3C-53F4-4B15-8F68-7B6B78986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266954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4"/>
  <sheetViews>
    <sheetView zoomScale="90" zoomScaleNormal="90" workbookViewId="0">
      <selection sqref="A1:C1"/>
    </sheetView>
  </sheetViews>
  <sheetFormatPr defaultRowHeight="15"/>
  <cols>
    <col min="1" max="1" width="4.875" style="2" customWidth="1"/>
    <col min="2" max="2" width="7.875" style="2" customWidth="1"/>
    <col min="3" max="3" width="57.75" customWidth="1"/>
    <col min="4" max="4" width="61.375" style="46" customWidth="1"/>
    <col min="5" max="5" width="10.875" bestFit="1" customWidth="1"/>
    <col min="6" max="6" width="13.25" bestFit="1" customWidth="1"/>
    <col min="7" max="7" width="15.625" style="1" bestFit="1" customWidth="1"/>
    <col min="8" max="8" width="16.625" style="1" customWidth="1"/>
    <col min="9" max="9" width="14.125" customWidth="1"/>
    <col min="10" max="10" width="20" style="53" customWidth="1"/>
  </cols>
  <sheetData>
    <row r="1" spans="1:9">
      <c r="A1" s="121" t="s">
        <v>508</v>
      </c>
      <c r="B1" s="121"/>
      <c r="C1" s="121"/>
    </row>
    <row r="2" spans="1:9">
      <c r="A2" s="5" t="s">
        <v>0</v>
      </c>
      <c r="B2" s="5" t="s">
        <v>509</v>
      </c>
      <c r="C2" s="22" t="s">
        <v>510</v>
      </c>
      <c r="D2" s="49" t="s">
        <v>809</v>
      </c>
      <c r="E2" s="50" t="s">
        <v>1</v>
      </c>
      <c r="F2" s="50" t="s">
        <v>2</v>
      </c>
      <c r="G2" s="51" t="s">
        <v>28</v>
      </c>
      <c r="H2" s="51" t="s">
        <v>3</v>
      </c>
      <c r="I2" s="61" t="s">
        <v>815</v>
      </c>
    </row>
    <row r="3" spans="1:9">
      <c r="A3" s="3">
        <v>1</v>
      </c>
      <c r="B3" s="3">
        <v>2</v>
      </c>
      <c r="C3" s="23" t="s">
        <v>29</v>
      </c>
      <c r="D3" s="47" t="s">
        <v>568</v>
      </c>
      <c r="E3" s="4" t="s">
        <v>30</v>
      </c>
      <c r="F3" s="4">
        <v>81897710023</v>
      </c>
      <c r="G3" s="24">
        <v>256.95782608695657</v>
      </c>
      <c r="H3" s="24">
        <v>513.91565217391314</v>
      </c>
      <c r="I3" s="4" t="s">
        <v>816</v>
      </c>
    </row>
    <row r="4" spans="1:9">
      <c r="A4" s="3">
        <v>2</v>
      </c>
      <c r="B4" s="3">
        <v>2</v>
      </c>
      <c r="C4" s="23" t="s">
        <v>31</v>
      </c>
      <c r="D4" s="47" t="s">
        <v>569</v>
      </c>
      <c r="E4" s="4" t="s">
        <v>32</v>
      </c>
      <c r="F4" s="4">
        <v>81897710023</v>
      </c>
      <c r="G4" s="24">
        <v>269.07847826086959</v>
      </c>
      <c r="H4" s="24">
        <v>538.15695652173918</v>
      </c>
      <c r="I4" s="4" t="s">
        <v>816</v>
      </c>
    </row>
    <row r="5" spans="1:9">
      <c r="A5" s="3">
        <v>3</v>
      </c>
      <c r="B5" s="3">
        <v>1</v>
      </c>
      <c r="C5" s="23" t="s">
        <v>33</v>
      </c>
      <c r="D5" s="47" t="s">
        <v>4</v>
      </c>
      <c r="E5" s="4" t="s">
        <v>5</v>
      </c>
      <c r="F5" s="4">
        <v>81897710023</v>
      </c>
      <c r="G5" s="24">
        <v>315.54097826086951</v>
      </c>
      <c r="H5" s="24">
        <v>315.54097826086951</v>
      </c>
      <c r="I5" s="4" t="s">
        <v>816</v>
      </c>
    </row>
    <row r="6" spans="1:9">
      <c r="A6" s="3">
        <v>4</v>
      </c>
      <c r="B6" s="3">
        <v>1</v>
      </c>
      <c r="C6" s="23" t="s">
        <v>34</v>
      </c>
      <c r="D6" s="47" t="s">
        <v>142</v>
      </c>
      <c r="E6" s="4" t="s">
        <v>35</v>
      </c>
      <c r="F6" s="4">
        <v>81897710021</v>
      </c>
      <c r="G6" s="24">
        <v>315.54097826086951</v>
      </c>
      <c r="H6" s="24">
        <v>315.54097826086951</v>
      </c>
      <c r="I6" s="4" t="s">
        <v>816</v>
      </c>
    </row>
    <row r="7" spans="1:9">
      <c r="A7" s="3">
        <v>5</v>
      </c>
      <c r="B7" s="3">
        <v>4</v>
      </c>
      <c r="C7" s="23" t="s">
        <v>36</v>
      </c>
      <c r="D7" s="48" t="s">
        <v>570</v>
      </c>
      <c r="E7" s="4" t="s">
        <v>37</v>
      </c>
      <c r="F7" s="4">
        <v>81897710001</v>
      </c>
      <c r="G7" s="24">
        <v>770.87347826086943</v>
      </c>
      <c r="H7" s="24">
        <v>3083.4939130434777</v>
      </c>
      <c r="I7" s="4" t="s">
        <v>816</v>
      </c>
    </row>
    <row r="8" spans="1:9">
      <c r="A8" s="3">
        <v>6</v>
      </c>
      <c r="B8" s="3">
        <v>4</v>
      </c>
      <c r="C8" s="23" t="s">
        <v>38</v>
      </c>
      <c r="D8" s="47" t="s">
        <v>741</v>
      </c>
      <c r="E8" s="4" t="s">
        <v>10</v>
      </c>
      <c r="F8" s="4">
        <v>81897710001</v>
      </c>
      <c r="G8" s="24">
        <v>239.18086956521742</v>
      </c>
      <c r="H8" s="24">
        <v>956.72347826086968</v>
      </c>
      <c r="I8" s="4" t="s">
        <v>816</v>
      </c>
    </row>
    <row r="9" spans="1:9">
      <c r="A9" s="3">
        <v>7</v>
      </c>
      <c r="B9" s="3">
        <v>4</v>
      </c>
      <c r="C9" s="23" t="s">
        <v>39</v>
      </c>
      <c r="D9" s="47" t="s">
        <v>742</v>
      </c>
      <c r="E9" s="4" t="s">
        <v>40</v>
      </c>
      <c r="F9" s="4">
        <v>81897710001</v>
      </c>
      <c r="G9" s="24">
        <v>868.64673913043487</v>
      </c>
      <c r="H9" s="24">
        <v>3474.5869565217395</v>
      </c>
      <c r="I9" s="4" t="s">
        <v>816</v>
      </c>
    </row>
    <row r="10" spans="1:9">
      <c r="A10" s="3">
        <v>8</v>
      </c>
      <c r="B10" s="3">
        <v>1</v>
      </c>
      <c r="C10" s="23" t="s">
        <v>41</v>
      </c>
      <c r="D10" s="47" t="s">
        <v>743</v>
      </c>
      <c r="E10" s="4" t="s">
        <v>42</v>
      </c>
      <c r="F10" s="4">
        <v>81897710001</v>
      </c>
      <c r="G10" s="24">
        <v>1368.0176086956521</v>
      </c>
      <c r="H10" s="24">
        <v>1368.0176086956521</v>
      </c>
      <c r="I10" s="4" t="s">
        <v>816</v>
      </c>
    </row>
    <row r="11" spans="1:9">
      <c r="A11" s="3">
        <v>9</v>
      </c>
      <c r="B11" s="3">
        <v>1</v>
      </c>
      <c r="C11" s="23" t="s">
        <v>43</v>
      </c>
      <c r="D11" s="47" t="s">
        <v>744</v>
      </c>
      <c r="E11" s="4" t="s">
        <v>44</v>
      </c>
      <c r="F11" s="4">
        <v>81897710001</v>
      </c>
      <c r="G11" s="24">
        <v>1878.7010869565215</v>
      </c>
      <c r="H11" s="24">
        <v>1878.7010869565215</v>
      </c>
      <c r="I11" s="4" t="s">
        <v>816</v>
      </c>
    </row>
    <row r="12" spans="1:9">
      <c r="A12" s="3">
        <v>10</v>
      </c>
      <c r="B12" s="3">
        <v>2</v>
      </c>
      <c r="C12" s="23" t="s">
        <v>45</v>
      </c>
      <c r="D12" s="47" t="s">
        <v>574</v>
      </c>
      <c r="E12" s="4" t="s">
        <v>46</v>
      </c>
      <c r="F12" s="4">
        <v>81897710001</v>
      </c>
      <c r="G12" s="24">
        <v>1250</v>
      </c>
      <c r="H12" s="24">
        <v>2500</v>
      </c>
      <c r="I12" s="4" t="s">
        <v>816</v>
      </c>
    </row>
    <row r="13" spans="1:9">
      <c r="A13" s="3">
        <v>11</v>
      </c>
      <c r="B13" s="3">
        <v>2</v>
      </c>
      <c r="C13" s="23" t="s">
        <v>47</v>
      </c>
      <c r="D13" s="47" t="s">
        <v>575</v>
      </c>
      <c r="E13" s="4" t="s">
        <v>48</v>
      </c>
      <c r="F13" s="4">
        <v>81897710001</v>
      </c>
      <c r="G13" s="24">
        <v>1250</v>
      </c>
      <c r="H13" s="24">
        <v>2500</v>
      </c>
      <c r="I13" s="4" t="s">
        <v>816</v>
      </c>
    </row>
    <row r="14" spans="1:9">
      <c r="A14" s="3">
        <v>12</v>
      </c>
      <c r="B14" s="3">
        <v>1</v>
      </c>
      <c r="C14" s="23" t="s">
        <v>49</v>
      </c>
      <c r="D14" s="47" t="s">
        <v>594</v>
      </c>
      <c r="E14" s="4" t="s">
        <v>50</v>
      </c>
      <c r="F14" s="4">
        <v>81897710018</v>
      </c>
      <c r="G14" s="24">
        <v>228.67630434782609</v>
      </c>
      <c r="H14" s="24">
        <v>228.67630434782609</v>
      </c>
      <c r="I14" s="4" t="s">
        <v>816</v>
      </c>
    </row>
    <row r="15" spans="1:9">
      <c r="A15" s="3">
        <v>13</v>
      </c>
      <c r="B15" s="3">
        <v>1</v>
      </c>
      <c r="C15" s="23" t="s">
        <v>51</v>
      </c>
      <c r="D15" s="47" t="s">
        <v>595</v>
      </c>
      <c r="E15" s="4" t="s">
        <v>52</v>
      </c>
      <c r="F15" s="4">
        <v>81897710018</v>
      </c>
      <c r="G15" s="24">
        <v>239.18086956521742</v>
      </c>
      <c r="H15" s="24">
        <v>239.18086956521742</v>
      </c>
      <c r="I15" s="4" t="s">
        <v>816</v>
      </c>
    </row>
    <row r="16" spans="1:9">
      <c r="A16" s="3">
        <v>14</v>
      </c>
      <c r="B16" s="3">
        <v>1</v>
      </c>
      <c r="C16" s="23" t="s">
        <v>53</v>
      </c>
      <c r="D16" s="47" t="s">
        <v>596</v>
      </c>
      <c r="E16" s="4" t="s">
        <v>54</v>
      </c>
      <c r="F16" s="4">
        <v>81897710018</v>
      </c>
      <c r="G16" s="24">
        <v>246.8572826086957</v>
      </c>
      <c r="H16" s="24">
        <v>246.8572826086957</v>
      </c>
      <c r="I16" s="4" t="s">
        <v>816</v>
      </c>
    </row>
    <row r="17" spans="1:9">
      <c r="A17" s="3">
        <v>15</v>
      </c>
      <c r="B17" s="3">
        <v>1</v>
      </c>
      <c r="C17" s="23" t="s">
        <v>55</v>
      </c>
      <c r="D17" s="47" t="s">
        <v>597</v>
      </c>
      <c r="E17" s="4" t="s">
        <v>56</v>
      </c>
      <c r="F17" s="4">
        <v>81897710018</v>
      </c>
      <c r="G17" s="24">
        <v>254.53369565217392</v>
      </c>
      <c r="H17" s="24">
        <v>254.53369565217392</v>
      </c>
      <c r="I17" s="4" t="s">
        <v>816</v>
      </c>
    </row>
    <row r="18" spans="1:9">
      <c r="A18" s="3">
        <v>16</v>
      </c>
      <c r="B18" s="3">
        <v>1</v>
      </c>
      <c r="C18" s="23" t="s">
        <v>57</v>
      </c>
      <c r="D18" s="47" t="s">
        <v>598</v>
      </c>
      <c r="E18" s="4" t="s">
        <v>58</v>
      </c>
      <c r="F18" s="4">
        <v>81897710018</v>
      </c>
      <c r="G18" s="24">
        <v>264.63423913043471</v>
      </c>
      <c r="H18" s="24">
        <v>264.63423913043471</v>
      </c>
      <c r="I18" s="4" t="s">
        <v>816</v>
      </c>
    </row>
    <row r="19" spans="1:9">
      <c r="A19" s="3">
        <v>17</v>
      </c>
      <c r="B19" s="3">
        <v>1</v>
      </c>
      <c r="C19" s="23" t="s">
        <v>59</v>
      </c>
      <c r="D19" s="47" t="s">
        <v>599</v>
      </c>
      <c r="E19" s="4" t="s">
        <v>60</v>
      </c>
      <c r="F19" s="4">
        <v>81897710018</v>
      </c>
      <c r="G19" s="24">
        <v>264.63423913043471</v>
      </c>
      <c r="H19" s="24">
        <v>264.63423913043471</v>
      </c>
      <c r="I19" s="4" t="s">
        <v>816</v>
      </c>
    </row>
    <row r="20" spans="1:9">
      <c r="A20" s="3">
        <v>18</v>
      </c>
      <c r="B20" s="3">
        <v>1</v>
      </c>
      <c r="C20" s="23" t="s">
        <v>61</v>
      </c>
      <c r="D20" s="47" t="s">
        <v>600</v>
      </c>
      <c r="E20" s="4" t="s">
        <v>62</v>
      </c>
      <c r="F20" s="4">
        <v>81897710018</v>
      </c>
      <c r="G20" s="24">
        <v>279.98706521739132</v>
      </c>
      <c r="H20" s="24">
        <v>279.98706521739132</v>
      </c>
      <c r="I20" s="4" t="s">
        <v>816</v>
      </c>
    </row>
    <row r="21" spans="1:9">
      <c r="A21" s="3">
        <v>19</v>
      </c>
      <c r="B21" s="3">
        <v>1</v>
      </c>
      <c r="C21" s="23" t="s">
        <v>63</v>
      </c>
      <c r="D21" s="47" t="s">
        <v>576</v>
      </c>
      <c r="E21" s="4" t="s">
        <v>64</v>
      </c>
      <c r="F21" s="4">
        <v>81897710018</v>
      </c>
      <c r="G21" s="24">
        <v>565.22641304347826</v>
      </c>
      <c r="H21" s="24">
        <v>565.22641304347826</v>
      </c>
      <c r="I21" s="4" t="s">
        <v>816</v>
      </c>
    </row>
    <row r="22" spans="1:9">
      <c r="A22" s="3">
        <v>20</v>
      </c>
      <c r="B22" s="3">
        <v>1</v>
      </c>
      <c r="C22" s="23" t="s">
        <v>65</v>
      </c>
      <c r="D22" s="47" t="s">
        <v>577</v>
      </c>
      <c r="E22" s="4" t="s">
        <v>66</v>
      </c>
      <c r="F22" s="4">
        <v>81897710018</v>
      </c>
      <c r="G22" s="24">
        <v>627.44576086956522</v>
      </c>
      <c r="H22" s="24">
        <v>627.44576086956522</v>
      </c>
      <c r="I22" s="4" t="s">
        <v>816</v>
      </c>
    </row>
    <row r="23" spans="1:9">
      <c r="A23" s="3">
        <v>21</v>
      </c>
      <c r="B23" s="3">
        <v>1</v>
      </c>
      <c r="C23" s="23" t="s">
        <v>67</v>
      </c>
      <c r="D23" s="47" t="s">
        <v>578</v>
      </c>
      <c r="E23" s="4" t="s">
        <v>68</v>
      </c>
      <c r="F23" s="4">
        <v>81897710018</v>
      </c>
      <c r="G23" s="24">
        <v>689.66510869565218</v>
      </c>
      <c r="H23" s="24">
        <v>689.66510869565218</v>
      </c>
      <c r="I23" s="4" t="s">
        <v>816</v>
      </c>
    </row>
    <row r="24" spans="1:9">
      <c r="A24" s="3">
        <v>22</v>
      </c>
      <c r="B24" s="3">
        <v>1</v>
      </c>
      <c r="C24" s="23" t="s">
        <v>690</v>
      </c>
      <c r="D24" s="52" t="s">
        <v>818</v>
      </c>
      <c r="E24" s="29">
        <v>11602</v>
      </c>
      <c r="F24" s="4">
        <v>81087610008</v>
      </c>
      <c r="G24" s="24">
        <v>8855</v>
      </c>
      <c r="H24" s="24">
        <v>8855</v>
      </c>
      <c r="I24" s="4" t="s">
        <v>817</v>
      </c>
    </row>
    <row r="25" spans="1:9">
      <c r="A25" s="3">
        <v>23</v>
      </c>
      <c r="B25" s="3">
        <v>2</v>
      </c>
      <c r="C25" s="23" t="s">
        <v>691</v>
      </c>
      <c r="D25" s="47" t="s">
        <v>745</v>
      </c>
      <c r="E25" s="4" t="s">
        <v>69</v>
      </c>
      <c r="F25" s="4">
        <v>81897710001</v>
      </c>
      <c r="G25" s="24">
        <v>851.27380434782617</v>
      </c>
      <c r="H25" s="24">
        <v>1702.5476086956523</v>
      </c>
      <c r="I25" s="4" t="s">
        <v>816</v>
      </c>
    </row>
    <row r="26" spans="1:9">
      <c r="A26" s="3">
        <v>24</v>
      </c>
      <c r="B26" s="3">
        <v>2</v>
      </c>
      <c r="C26" s="23" t="s">
        <v>39</v>
      </c>
      <c r="D26" s="47" t="s">
        <v>746</v>
      </c>
      <c r="E26" s="4" t="s">
        <v>40</v>
      </c>
      <c r="F26" s="4">
        <v>81897710001</v>
      </c>
      <c r="G26" s="24">
        <v>868.64673913043487</v>
      </c>
      <c r="H26" s="24">
        <v>1737.2934782608697</v>
      </c>
      <c r="I26" s="4" t="s">
        <v>816</v>
      </c>
    </row>
    <row r="27" spans="1:9">
      <c r="A27" s="3">
        <v>25</v>
      </c>
      <c r="B27" s="3">
        <v>2</v>
      </c>
      <c r="C27" s="23" t="s">
        <v>70</v>
      </c>
      <c r="D27" s="47" t="s">
        <v>747</v>
      </c>
      <c r="E27" s="4" t="s">
        <v>71</v>
      </c>
      <c r="F27" s="4">
        <v>81897710017</v>
      </c>
      <c r="G27" s="24">
        <v>176.15347826086958</v>
      </c>
      <c r="H27" s="24">
        <v>352.30695652173915</v>
      </c>
      <c r="I27" s="4" t="s">
        <v>816</v>
      </c>
    </row>
    <row r="28" spans="1:9">
      <c r="A28" s="3">
        <v>26</v>
      </c>
      <c r="B28" s="3">
        <v>1</v>
      </c>
      <c r="C28" s="23" t="s">
        <v>692</v>
      </c>
      <c r="D28" s="47" t="s">
        <v>579</v>
      </c>
      <c r="E28" s="4" t="s">
        <v>72</v>
      </c>
      <c r="F28" s="4">
        <v>81897710001</v>
      </c>
      <c r="G28" s="24">
        <v>2177.2731521739133</v>
      </c>
      <c r="H28" s="24">
        <v>2177.2731521739133</v>
      </c>
      <c r="I28" s="4" t="s">
        <v>816</v>
      </c>
    </row>
    <row r="29" spans="1:9">
      <c r="A29" s="3">
        <v>27</v>
      </c>
      <c r="B29" s="3">
        <v>1</v>
      </c>
      <c r="C29" s="23" t="s">
        <v>73</v>
      </c>
      <c r="D29" s="47" t="s">
        <v>748</v>
      </c>
      <c r="E29" s="4" t="s">
        <v>74</v>
      </c>
      <c r="F29" s="4">
        <v>81897710001</v>
      </c>
      <c r="G29" s="24">
        <v>1363.1693478260868</v>
      </c>
      <c r="H29" s="24">
        <v>1363.1693478260868</v>
      </c>
      <c r="I29" s="4" t="s">
        <v>816</v>
      </c>
    </row>
    <row r="30" spans="1:9">
      <c r="A30" s="3">
        <v>28</v>
      </c>
      <c r="B30" s="3">
        <v>1</v>
      </c>
      <c r="C30" s="23" t="s">
        <v>75</v>
      </c>
      <c r="D30" s="47" t="s">
        <v>749</v>
      </c>
      <c r="E30" s="4" t="s">
        <v>76</v>
      </c>
      <c r="F30" s="4">
        <v>81897710001</v>
      </c>
      <c r="G30" s="24">
        <v>1859.3080434782614</v>
      </c>
      <c r="H30" s="24">
        <v>1859.3080434782614</v>
      </c>
      <c r="I30" s="4" t="s">
        <v>816</v>
      </c>
    </row>
    <row r="31" spans="1:9">
      <c r="A31" s="3">
        <v>29</v>
      </c>
      <c r="B31" s="3">
        <v>1</v>
      </c>
      <c r="C31" s="23" t="s">
        <v>77</v>
      </c>
      <c r="D31" s="47" t="s">
        <v>750</v>
      </c>
      <c r="E31" s="4" t="s">
        <v>78</v>
      </c>
      <c r="F31" s="4">
        <v>81897710012</v>
      </c>
      <c r="G31" s="24">
        <v>562.47008695652175</v>
      </c>
      <c r="H31" s="24">
        <v>562.47008695652175</v>
      </c>
      <c r="I31" s="4" t="s">
        <v>816</v>
      </c>
    </row>
    <row r="32" spans="1:9">
      <c r="A32" s="3">
        <v>30</v>
      </c>
      <c r="B32" s="3">
        <v>1</v>
      </c>
      <c r="C32" s="23" t="s">
        <v>79</v>
      </c>
      <c r="D32" s="47" t="s">
        <v>751</v>
      </c>
      <c r="E32" s="4" t="s">
        <v>80</v>
      </c>
      <c r="F32" s="4">
        <v>81897710018</v>
      </c>
      <c r="G32" s="24">
        <v>591.08380434782612</v>
      </c>
      <c r="H32" s="24">
        <v>591.08380434782612</v>
      </c>
      <c r="I32" s="4" t="s">
        <v>816</v>
      </c>
    </row>
    <row r="33" spans="1:9">
      <c r="A33" s="3">
        <v>31</v>
      </c>
      <c r="B33" s="3">
        <v>1</v>
      </c>
      <c r="C33" s="23" t="s">
        <v>81</v>
      </c>
      <c r="D33" s="47" t="s">
        <v>752</v>
      </c>
      <c r="E33" s="4" t="s">
        <v>82</v>
      </c>
      <c r="F33" s="4">
        <v>81897710018</v>
      </c>
      <c r="G33" s="24">
        <v>591.08380434782612</v>
      </c>
      <c r="H33" s="24">
        <v>591.08380434782612</v>
      </c>
      <c r="I33" s="4" t="s">
        <v>816</v>
      </c>
    </row>
    <row r="34" spans="1:9">
      <c r="A34" s="3">
        <v>32</v>
      </c>
      <c r="B34" s="3">
        <v>1</v>
      </c>
      <c r="C34" s="23" t="s">
        <v>83</v>
      </c>
      <c r="D34" s="52" t="s">
        <v>819</v>
      </c>
      <c r="E34" s="4" t="s">
        <v>85</v>
      </c>
      <c r="F34" s="4">
        <v>81897710018</v>
      </c>
      <c r="G34" s="24">
        <v>230.69641304347829</v>
      </c>
      <c r="H34" s="24">
        <v>230.69641304347829</v>
      </c>
      <c r="I34" s="4" t="s">
        <v>816</v>
      </c>
    </row>
    <row r="35" spans="1:9">
      <c r="A35" s="3">
        <v>33</v>
      </c>
      <c r="B35" s="3">
        <v>1</v>
      </c>
      <c r="C35" s="23" t="s">
        <v>84</v>
      </c>
      <c r="D35" s="52" t="s">
        <v>820</v>
      </c>
      <c r="E35" s="4" t="s">
        <v>87</v>
      </c>
      <c r="F35" s="4">
        <v>81897710018</v>
      </c>
      <c r="G35" s="24">
        <v>230.69641304347829</v>
      </c>
      <c r="H35" s="24">
        <v>230.69641304347829</v>
      </c>
      <c r="I35" s="4" t="s">
        <v>816</v>
      </c>
    </row>
    <row r="36" spans="1:9">
      <c r="A36" s="3">
        <v>34</v>
      </c>
      <c r="B36" s="3">
        <v>1</v>
      </c>
      <c r="C36" s="23" t="s">
        <v>86</v>
      </c>
      <c r="D36" s="52" t="s">
        <v>821</v>
      </c>
      <c r="E36" s="4" t="s">
        <v>559</v>
      </c>
      <c r="F36" s="4">
        <v>81897710018</v>
      </c>
      <c r="G36" s="24">
        <v>230.69641304347829</v>
      </c>
      <c r="H36" s="24">
        <v>230.69641304347829</v>
      </c>
      <c r="I36" s="4" t="s">
        <v>816</v>
      </c>
    </row>
    <row r="37" spans="1:9">
      <c r="A37" s="3">
        <v>35</v>
      </c>
      <c r="B37" s="3">
        <v>1</v>
      </c>
      <c r="C37" s="23" t="s">
        <v>88</v>
      </c>
      <c r="D37" s="52" t="s">
        <v>822</v>
      </c>
      <c r="E37" s="4" t="s">
        <v>89</v>
      </c>
      <c r="F37" s="4">
        <v>81897710018</v>
      </c>
      <c r="G37" s="24">
        <v>230.69641304347829</v>
      </c>
      <c r="H37" s="24">
        <v>230.69641304347829</v>
      </c>
      <c r="I37" s="4" t="s">
        <v>816</v>
      </c>
    </row>
    <row r="38" spans="1:9">
      <c r="A38" s="3">
        <v>36</v>
      </c>
      <c r="B38" s="3">
        <v>1</v>
      </c>
      <c r="C38" s="23" t="s">
        <v>90</v>
      </c>
      <c r="D38" s="52" t="s">
        <v>823</v>
      </c>
      <c r="E38" s="4" t="s">
        <v>91</v>
      </c>
      <c r="F38" s="4">
        <v>81897710018</v>
      </c>
      <c r="G38" s="24">
        <v>230.69641304347829</v>
      </c>
      <c r="H38" s="24">
        <v>230.69641304347829</v>
      </c>
      <c r="I38" s="4" t="s">
        <v>816</v>
      </c>
    </row>
    <row r="39" spans="1:9">
      <c r="A39" s="3">
        <v>37</v>
      </c>
      <c r="B39" s="3">
        <v>1</v>
      </c>
      <c r="C39" s="23" t="s">
        <v>92</v>
      </c>
      <c r="D39" s="52" t="s">
        <v>824</v>
      </c>
      <c r="E39" s="4" t="s">
        <v>93</v>
      </c>
      <c r="F39" s="4">
        <v>81897710018</v>
      </c>
      <c r="G39" s="24">
        <v>230.69641304347829</v>
      </c>
      <c r="H39" s="24">
        <v>230.69641304347829</v>
      </c>
      <c r="I39" s="4" t="s">
        <v>816</v>
      </c>
    </row>
    <row r="40" spans="1:9">
      <c r="A40" s="3">
        <v>38</v>
      </c>
      <c r="B40" s="3">
        <v>1</v>
      </c>
      <c r="C40" s="23" t="s">
        <v>94</v>
      </c>
      <c r="D40" s="52" t="s">
        <v>825</v>
      </c>
      <c r="E40" s="4" t="s">
        <v>95</v>
      </c>
      <c r="F40" s="4">
        <v>81897710018</v>
      </c>
      <c r="G40" s="24">
        <v>230.69641304347829</v>
      </c>
      <c r="H40" s="24">
        <v>230.69641304347829</v>
      </c>
      <c r="I40" s="4" t="s">
        <v>816</v>
      </c>
    </row>
    <row r="41" spans="1:9">
      <c r="A41" s="3">
        <v>39</v>
      </c>
      <c r="B41" s="3">
        <v>1</v>
      </c>
      <c r="C41" s="23" t="s">
        <v>96</v>
      </c>
      <c r="D41" s="52" t="s">
        <v>826</v>
      </c>
      <c r="E41" s="4" t="s">
        <v>97</v>
      </c>
      <c r="F41" s="4">
        <v>81897710018</v>
      </c>
      <c r="G41" s="24">
        <v>230.69641304347829</v>
      </c>
      <c r="H41" s="24">
        <v>230.69641304347829</v>
      </c>
      <c r="I41" s="4" t="s">
        <v>816</v>
      </c>
    </row>
    <row r="42" spans="1:9">
      <c r="A42" s="3">
        <v>40</v>
      </c>
      <c r="B42" s="3">
        <v>1</v>
      </c>
      <c r="C42" s="23" t="s">
        <v>98</v>
      </c>
      <c r="D42" s="47" t="s">
        <v>580</v>
      </c>
      <c r="E42" s="4" t="s">
        <v>99</v>
      </c>
      <c r="F42" s="4">
        <v>81897710018</v>
      </c>
      <c r="G42" s="24">
        <v>227.06021739130438</v>
      </c>
      <c r="H42" s="24">
        <v>227.06021739130438</v>
      </c>
      <c r="I42" s="4" t="s">
        <v>816</v>
      </c>
    </row>
    <row r="43" spans="1:9">
      <c r="A43" s="3">
        <v>41</v>
      </c>
      <c r="B43" s="3">
        <v>1</v>
      </c>
      <c r="C43" s="23" t="s">
        <v>100</v>
      </c>
      <c r="D43" s="47" t="s">
        <v>581</v>
      </c>
      <c r="E43" s="4" t="s">
        <v>101</v>
      </c>
      <c r="F43" s="4">
        <v>81897710018</v>
      </c>
      <c r="G43" s="24">
        <v>227.06021739130438</v>
      </c>
      <c r="H43" s="24">
        <v>227.06021739130438</v>
      </c>
      <c r="I43" s="4" t="s">
        <v>816</v>
      </c>
    </row>
    <row r="44" spans="1:9">
      <c r="A44" s="3">
        <v>42</v>
      </c>
      <c r="B44" s="3">
        <v>2</v>
      </c>
      <c r="C44" s="23" t="s">
        <v>102</v>
      </c>
      <c r="D44" s="47" t="s">
        <v>753</v>
      </c>
      <c r="E44" s="4" t="s">
        <v>103</v>
      </c>
      <c r="F44" s="4">
        <v>81897710018</v>
      </c>
      <c r="G44" s="24">
        <v>201.60684782608698</v>
      </c>
      <c r="H44" s="24">
        <v>403.21369565217395</v>
      </c>
      <c r="I44" s="4" t="s">
        <v>816</v>
      </c>
    </row>
    <row r="45" spans="1:9">
      <c r="A45" s="3">
        <v>43</v>
      </c>
      <c r="B45" s="3">
        <v>2</v>
      </c>
      <c r="C45" s="23" t="s">
        <v>104</v>
      </c>
      <c r="D45" s="47" t="s">
        <v>755</v>
      </c>
      <c r="E45" s="4" t="s">
        <v>306</v>
      </c>
      <c r="F45" s="4">
        <v>81897710018</v>
      </c>
      <c r="G45" s="24">
        <v>256.95782608695657</v>
      </c>
      <c r="H45" s="24">
        <v>513.91565217391314</v>
      </c>
      <c r="I45" s="4" t="s">
        <v>816</v>
      </c>
    </row>
    <row r="46" spans="1:9">
      <c r="A46" s="3">
        <v>44</v>
      </c>
      <c r="B46" s="3">
        <v>2</v>
      </c>
      <c r="C46" s="23" t="s">
        <v>106</v>
      </c>
      <c r="D46" s="47" t="s">
        <v>754</v>
      </c>
      <c r="E46" s="4" t="s">
        <v>107</v>
      </c>
      <c r="F46" s="4">
        <v>81897710018</v>
      </c>
      <c r="G46" s="24">
        <v>314.73293478260871</v>
      </c>
      <c r="H46" s="24">
        <v>629.46586956521742</v>
      </c>
      <c r="I46" s="4" t="s">
        <v>816</v>
      </c>
    </row>
    <row r="47" spans="1:9">
      <c r="A47" s="3">
        <v>45</v>
      </c>
      <c r="B47" s="3">
        <v>8</v>
      </c>
      <c r="C47" s="23" t="s">
        <v>693</v>
      </c>
      <c r="D47" s="47" t="s">
        <v>583</v>
      </c>
      <c r="E47" s="4" t="s">
        <v>19</v>
      </c>
      <c r="F47" s="4">
        <v>81897710001</v>
      </c>
      <c r="G47" s="24">
        <v>127.26684782608696</v>
      </c>
      <c r="H47" s="24">
        <v>1018.1347826086957</v>
      </c>
      <c r="I47" s="4" t="s">
        <v>816</v>
      </c>
    </row>
    <row r="48" spans="1:9">
      <c r="A48" s="3">
        <v>46</v>
      </c>
      <c r="B48" s="3">
        <v>8</v>
      </c>
      <c r="C48" s="23" t="s">
        <v>108</v>
      </c>
      <c r="D48" s="47" t="s">
        <v>584</v>
      </c>
      <c r="E48" s="4" t="s">
        <v>109</v>
      </c>
      <c r="F48" s="4">
        <v>81897710001</v>
      </c>
      <c r="G48" s="24">
        <v>172.92130434782612</v>
      </c>
      <c r="H48" s="24">
        <v>1383.370434782609</v>
      </c>
      <c r="I48" s="4" t="s">
        <v>816</v>
      </c>
    </row>
    <row r="49" spans="1:10">
      <c r="A49" s="3">
        <v>47</v>
      </c>
      <c r="B49" s="3">
        <v>1</v>
      </c>
      <c r="C49" s="23" t="s">
        <v>110</v>
      </c>
      <c r="D49" s="47" t="s">
        <v>585</v>
      </c>
      <c r="E49" s="4" t="s">
        <v>111</v>
      </c>
      <c r="F49" s="4">
        <v>81897710001</v>
      </c>
      <c r="G49" s="24">
        <v>655.32326086956516</v>
      </c>
      <c r="H49" s="24">
        <v>655.32326086956516</v>
      </c>
      <c r="I49" s="4" t="s">
        <v>816</v>
      </c>
    </row>
    <row r="50" spans="1:10">
      <c r="A50" s="3">
        <v>48</v>
      </c>
      <c r="B50" s="3">
        <v>1</v>
      </c>
      <c r="C50" s="23" t="s">
        <v>112</v>
      </c>
      <c r="D50" s="47" t="s">
        <v>586</v>
      </c>
      <c r="E50" s="4" t="s">
        <v>113</v>
      </c>
      <c r="F50" s="4">
        <v>81897710001</v>
      </c>
      <c r="G50" s="24">
        <v>1744.9698913043476</v>
      </c>
      <c r="H50" s="24">
        <v>1744.9698913043476</v>
      </c>
      <c r="I50" s="4" t="s">
        <v>816</v>
      </c>
    </row>
    <row r="51" spans="1:10">
      <c r="A51" s="3">
        <v>49</v>
      </c>
      <c r="B51" s="3">
        <v>1</v>
      </c>
      <c r="C51" s="23" t="s">
        <v>114</v>
      </c>
      <c r="D51" s="47" t="s">
        <v>587</v>
      </c>
      <c r="E51" s="4" t="s">
        <v>115</v>
      </c>
      <c r="F51" s="4">
        <v>81897710001</v>
      </c>
      <c r="G51" s="24">
        <v>1456.094347826087</v>
      </c>
      <c r="H51" s="24">
        <v>1456.094347826087</v>
      </c>
      <c r="I51" s="4" t="s">
        <v>816</v>
      </c>
    </row>
    <row r="52" spans="1:10">
      <c r="A52" s="3">
        <v>50</v>
      </c>
      <c r="B52" s="3">
        <v>1</v>
      </c>
      <c r="C52" s="23" t="s">
        <v>116</v>
      </c>
      <c r="D52" s="47" t="s">
        <v>756</v>
      </c>
      <c r="E52" s="4" t="s">
        <v>117</v>
      </c>
      <c r="F52" s="4">
        <v>81897710018</v>
      </c>
      <c r="G52" s="24">
        <v>3222.4773913043482</v>
      </c>
      <c r="H52" s="24">
        <v>3222.4773913043482</v>
      </c>
      <c r="I52" s="4" t="s">
        <v>816</v>
      </c>
    </row>
    <row r="53" spans="1:10">
      <c r="A53" s="3">
        <v>51</v>
      </c>
      <c r="B53" s="3">
        <v>1</v>
      </c>
      <c r="C53" s="23" t="s">
        <v>118</v>
      </c>
      <c r="D53" s="47" t="s">
        <v>757</v>
      </c>
      <c r="E53" s="4" t="s">
        <v>119</v>
      </c>
      <c r="F53" s="4">
        <v>81897710018</v>
      </c>
      <c r="G53" s="24">
        <v>7911.5536956521746</v>
      </c>
      <c r="H53" s="24">
        <v>7911.5536956521746</v>
      </c>
      <c r="I53" s="4" t="s">
        <v>816</v>
      </c>
    </row>
    <row r="54" spans="1:10">
      <c r="A54" s="3">
        <v>52</v>
      </c>
      <c r="B54" s="3">
        <v>1</v>
      </c>
      <c r="C54" s="23" t="s">
        <v>120</v>
      </c>
      <c r="D54" s="47" t="s">
        <v>758</v>
      </c>
      <c r="E54" s="4" t="s">
        <v>121</v>
      </c>
      <c r="F54" s="4">
        <v>81897710001</v>
      </c>
      <c r="G54" s="24">
        <v>1577.7048913043477</v>
      </c>
      <c r="H54" s="24">
        <v>1577.7048913043477</v>
      </c>
      <c r="I54" s="4" t="s">
        <v>816</v>
      </c>
    </row>
    <row r="55" spans="1:10">
      <c r="A55" s="3">
        <v>53</v>
      </c>
      <c r="B55" s="3">
        <v>1</v>
      </c>
      <c r="C55" s="23" t="s">
        <v>122</v>
      </c>
      <c r="D55" s="47" t="s">
        <v>759</v>
      </c>
      <c r="E55" s="4" t="s">
        <v>123</v>
      </c>
      <c r="F55" s="4">
        <v>81897710001</v>
      </c>
      <c r="G55" s="24">
        <v>886.42369565217405</v>
      </c>
      <c r="H55" s="24">
        <v>886.42369565217405</v>
      </c>
      <c r="I55" s="4" t="s">
        <v>816</v>
      </c>
    </row>
    <row r="56" spans="1:10">
      <c r="A56" s="3">
        <v>54</v>
      </c>
      <c r="B56" s="3">
        <v>1</v>
      </c>
      <c r="C56" s="23" t="s">
        <v>124</v>
      </c>
      <c r="D56" s="47" t="s">
        <v>760</v>
      </c>
      <c r="E56" s="4" t="s">
        <v>125</v>
      </c>
      <c r="F56" s="4">
        <v>81897710001</v>
      </c>
      <c r="G56" s="24">
        <v>1480.7396739130434</v>
      </c>
      <c r="H56" s="24">
        <v>1480.7396739130434</v>
      </c>
      <c r="I56" s="4" t="s">
        <v>816</v>
      </c>
    </row>
    <row r="57" spans="1:10">
      <c r="A57" s="3">
        <v>55</v>
      </c>
      <c r="B57" s="3">
        <v>1</v>
      </c>
      <c r="C57" s="23" t="s">
        <v>126</v>
      </c>
      <c r="D57" s="47" t="s">
        <v>761</v>
      </c>
      <c r="E57" s="4" t="s">
        <v>127</v>
      </c>
      <c r="F57" s="4">
        <v>81897710001</v>
      </c>
      <c r="G57" s="24">
        <v>1715.476304347826</v>
      </c>
      <c r="H57" s="24">
        <v>1715.476304347826</v>
      </c>
      <c r="I57" s="4" t="s">
        <v>816</v>
      </c>
    </row>
    <row r="58" spans="1:10">
      <c r="A58" s="3">
        <v>56</v>
      </c>
      <c r="B58" s="3">
        <v>4</v>
      </c>
      <c r="C58" s="23" t="s">
        <v>128</v>
      </c>
      <c r="D58" s="47" t="s">
        <v>588</v>
      </c>
      <c r="E58" s="4" t="s">
        <v>129</v>
      </c>
      <c r="F58" s="4">
        <v>81897710023</v>
      </c>
      <c r="G58" s="24">
        <v>236.35271739130437</v>
      </c>
      <c r="H58" s="24">
        <v>945.41086956521747</v>
      </c>
      <c r="I58" s="4" t="s">
        <v>816</v>
      </c>
    </row>
    <row r="59" spans="1:10">
      <c r="A59" s="3">
        <v>57</v>
      </c>
      <c r="B59" s="38">
        <v>2</v>
      </c>
      <c r="C59" s="39" t="s">
        <v>130</v>
      </c>
      <c r="D59" s="48" t="s">
        <v>589</v>
      </c>
      <c r="E59" s="54" t="s">
        <v>810</v>
      </c>
      <c r="F59" s="54">
        <v>81897719006</v>
      </c>
      <c r="G59" s="41">
        <v>1692.4021739130437</v>
      </c>
      <c r="H59" s="41">
        <v>3384.8043478260875</v>
      </c>
      <c r="I59" s="4" t="s">
        <v>816</v>
      </c>
      <c r="J59" s="60" t="s">
        <v>131</v>
      </c>
    </row>
    <row r="60" spans="1:10">
      <c r="A60" s="3">
        <v>58</v>
      </c>
      <c r="B60" s="38">
        <v>2</v>
      </c>
      <c r="C60" s="39" t="s">
        <v>694</v>
      </c>
      <c r="D60" s="48" t="s">
        <v>590</v>
      </c>
      <c r="E60" s="54" t="s">
        <v>811</v>
      </c>
      <c r="F60" s="54">
        <v>81897719006</v>
      </c>
      <c r="G60" s="41">
        <v>1812.261956521739</v>
      </c>
      <c r="H60" s="41">
        <v>3624.5239130434779</v>
      </c>
      <c r="I60" s="4" t="s">
        <v>816</v>
      </c>
      <c r="J60" s="60" t="s">
        <v>132</v>
      </c>
    </row>
    <row r="61" spans="1:10">
      <c r="A61" s="3">
        <v>59</v>
      </c>
      <c r="B61" s="38">
        <v>1</v>
      </c>
      <c r="C61" s="39" t="s">
        <v>133</v>
      </c>
      <c r="D61" s="48" t="s">
        <v>591</v>
      </c>
      <c r="E61" s="40" t="s">
        <v>23</v>
      </c>
      <c r="F61" s="40">
        <v>81897710018</v>
      </c>
      <c r="G61" s="41">
        <v>260.19</v>
      </c>
      <c r="H61" s="41">
        <v>260.19</v>
      </c>
      <c r="I61" s="4" t="s">
        <v>816</v>
      </c>
    </row>
    <row r="62" spans="1:10">
      <c r="A62" s="3">
        <v>60</v>
      </c>
      <c r="B62" s="38">
        <v>1</v>
      </c>
      <c r="C62" s="39" t="s">
        <v>134</v>
      </c>
      <c r="D62" s="48" t="s">
        <v>592</v>
      </c>
      <c r="E62" s="40" t="s">
        <v>135</v>
      </c>
      <c r="F62" s="40">
        <v>81897710018</v>
      </c>
      <c r="G62" s="41">
        <v>260.19</v>
      </c>
      <c r="H62" s="41">
        <v>260.19</v>
      </c>
      <c r="I62" s="4" t="s">
        <v>816</v>
      </c>
    </row>
    <row r="63" spans="1:10">
      <c r="A63" s="3">
        <v>61</v>
      </c>
      <c r="B63" s="38">
        <v>1</v>
      </c>
      <c r="C63" s="39" t="s">
        <v>136</v>
      </c>
      <c r="D63" s="48" t="s">
        <v>762</v>
      </c>
      <c r="E63" s="40" t="s">
        <v>137</v>
      </c>
      <c r="F63" s="40">
        <v>81897710018</v>
      </c>
      <c r="G63" s="41">
        <v>376.14423913043481</v>
      </c>
      <c r="H63" s="41">
        <v>376.14423913043481</v>
      </c>
      <c r="I63" s="4" t="s">
        <v>816</v>
      </c>
    </row>
    <row r="64" spans="1:10">
      <c r="A64" s="3">
        <v>62</v>
      </c>
      <c r="B64" s="38">
        <v>1</v>
      </c>
      <c r="C64" s="39" t="s">
        <v>138</v>
      </c>
      <c r="D64" s="48" t="s">
        <v>853</v>
      </c>
      <c r="E64" s="40" t="s">
        <v>139</v>
      </c>
      <c r="F64" s="40">
        <v>81897710018</v>
      </c>
      <c r="G64" s="41">
        <v>946.62293478260858</v>
      </c>
      <c r="H64" s="41">
        <v>946.62293478260858</v>
      </c>
      <c r="I64" s="4" t="s">
        <v>816</v>
      </c>
    </row>
    <row r="65" spans="1:9">
      <c r="A65" s="3">
        <v>63</v>
      </c>
      <c r="B65" s="38">
        <v>2</v>
      </c>
      <c r="C65" s="39" t="s">
        <v>695</v>
      </c>
      <c r="D65" s="48" t="s">
        <v>846</v>
      </c>
      <c r="E65" s="40" t="s">
        <v>144</v>
      </c>
      <c r="F65" s="38" t="s">
        <v>26</v>
      </c>
      <c r="G65" s="41">
        <v>17613.63</v>
      </c>
      <c r="H65" s="41">
        <f>B65*G65</f>
        <v>35227.26</v>
      </c>
      <c r="I65" s="4" t="s">
        <v>816</v>
      </c>
    </row>
    <row r="66" spans="1:9">
      <c r="E66" s="23" t="s">
        <v>27</v>
      </c>
      <c r="F66" s="64"/>
      <c r="G66" s="65"/>
      <c r="H66" s="66">
        <f>SUM(H3:H65)</f>
        <v>112820.75650000002</v>
      </c>
    </row>
    <row r="67" spans="1:9">
      <c r="A67" s="121" t="s">
        <v>511</v>
      </c>
      <c r="B67" s="121"/>
      <c r="C67" s="121"/>
    </row>
    <row r="68" spans="1:9">
      <c r="A68" s="5" t="s">
        <v>0</v>
      </c>
      <c r="B68" s="5" t="s">
        <v>509</v>
      </c>
      <c r="C68" s="22" t="s">
        <v>510</v>
      </c>
      <c r="D68" s="49" t="s">
        <v>809</v>
      </c>
      <c r="E68" s="50" t="s">
        <v>1</v>
      </c>
      <c r="F68" s="50" t="s">
        <v>2</v>
      </c>
      <c r="G68" s="51" t="s">
        <v>28</v>
      </c>
      <c r="H68" s="51" t="s">
        <v>3</v>
      </c>
      <c r="I68" s="61" t="s">
        <v>815</v>
      </c>
    </row>
    <row r="69" spans="1:9" ht="29.25">
      <c r="A69" s="3">
        <v>1</v>
      </c>
      <c r="B69" s="3">
        <v>2</v>
      </c>
      <c r="C69" s="44" t="s">
        <v>696</v>
      </c>
      <c r="D69" s="47" t="s">
        <v>763</v>
      </c>
      <c r="E69" s="4" t="s">
        <v>145</v>
      </c>
      <c r="F69" s="4">
        <v>81897710001</v>
      </c>
      <c r="G69" s="24">
        <v>2422.1103260869563</v>
      </c>
      <c r="H69" s="24">
        <v>4844.2206521739126</v>
      </c>
      <c r="I69" s="4" t="s">
        <v>816</v>
      </c>
    </row>
    <row r="70" spans="1:9">
      <c r="A70" s="3">
        <v>2</v>
      </c>
      <c r="B70" s="3">
        <v>2</v>
      </c>
      <c r="C70" s="23" t="s">
        <v>146</v>
      </c>
      <c r="D70" s="47" t="s">
        <v>563</v>
      </c>
      <c r="E70" s="4" t="s">
        <v>147</v>
      </c>
      <c r="F70" s="4">
        <v>81897710023</v>
      </c>
      <c r="G70" s="24">
        <v>239.18086956521742</v>
      </c>
      <c r="H70" s="24">
        <v>478.36173913043484</v>
      </c>
      <c r="I70" s="4" t="s">
        <v>816</v>
      </c>
    </row>
    <row r="71" spans="1:9">
      <c r="A71" s="3">
        <v>3</v>
      </c>
      <c r="B71" s="3">
        <v>2</v>
      </c>
      <c r="C71" s="23" t="s">
        <v>148</v>
      </c>
      <c r="D71" s="47" t="s">
        <v>564</v>
      </c>
      <c r="E71" s="4" t="s">
        <v>149</v>
      </c>
      <c r="F71" s="4">
        <v>81897710023</v>
      </c>
      <c r="G71" s="24">
        <v>291.70369565217391</v>
      </c>
      <c r="H71" s="24">
        <v>583.40739130434781</v>
      </c>
      <c r="I71" s="4" t="s">
        <v>816</v>
      </c>
    </row>
    <row r="72" spans="1:9">
      <c r="A72" s="3">
        <v>4</v>
      </c>
      <c r="B72" s="3">
        <v>2</v>
      </c>
      <c r="C72" s="23" t="s">
        <v>150</v>
      </c>
      <c r="D72" s="47" t="s">
        <v>565</v>
      </c>
      <c r="E72" s="42" t="s">
        <v>686</v>
      </c>
      <c r="F72" s="4">
        <v>81897710023</v>
      </c>
      <c r="G72" s="24">
        <v>291.70369565217391</v>
      </c>
      <c r="H72" s="24">
        <v>583.40739130434781</v>
      </c>
      <c r="I72" s="4" t="s">
        <v>816</v>
      </c>
    </row>
    <row r="73" spans="1:9">
      <c r="A73" s="3">
        <v>5</v>
      </c>
      <c r="B73" s="3">
        <v>2</v>
      </c>
      <c r="C73" s="23" t="s">
        <v>151</v>
      </c>
      <c r="D73" s="47" t="s">
        <v>566</v>
      </c>
      <c r="E73" s="4" t="s">
        <v>152</v>
      </c>
      <c r="F73" s="4">
        <v>81897710023</v>
      </c>
      <c r="G73" s="24">
        <v>313.52086956521737</v>
      </c>
      <c r="H73" s="24">
        <v>627.04173913043473</v>
      </c>
      <c r="I73" s="4" t="s">
        <v>816</v>
      </c>
    </row>
    <row r="74" spans="1:9">
      <c r="A74" s="3">
        <v>6</v>
      </c>
      <c r="B74" s="3">
        <v>2</v>
      </c>
      <c r="C74" s="23" t="s">
        <v>153</v>
      </c>
      <c r="D74" s="47" t="s">
        <v>764</v>
      </c>
      <c r="E74" s="4" t="s">
        <v>155</v>
      </c>
      <c r="F74" s="4">
        <v>81897710001</v>
      </c>
      <c r="G74" s="24">
        <v>1509.8292391304346</v>
      </c>
      <c r="H74" s="24">
        <v>3019.6584782608693</v>
      </c>
      <c r="I74" s="4" t="s">
        <v>816</v>
      </c>
    </row>
    <row r="75" spans="1:9">
      <c r="A75" s="3">
        <v>7</v>
      </c>
      <c r="B75" s="3">
        <v>1</v>
      </c>
      <c r="C75" s="23" t="s">
        <v>156</v>
      </c>
      <c r="D75" s="47" t="s">
        <v>142</v>
      </c>
      <c r="E75" s="4" t="s">
        <v>35</v>
      </c>
      <c r="F75" s="4">
        <v>81897710021</v>
      </c>
      <c r="G75" s="24">
        <v>315.54097826086951</v>
      </c>
      <c r="H75" s="24">
        <v>315.54097826086951</v>
      </c>
      <c r="I75" s="4" t="s">
        <v>816</v>
      </c>
    </row>
    <row r="76" spans="1:9">
      <c r="A76" s="3">
        <v>8</v>
      </c>
      <c r="B76" s="3">
        <v>1</v>
      </c>
      <c r="C76" s="23" t="s">
        <v>157</v>
      </c>
      <c r="D76" s="47" t="s">
        <v>158</v>
      </c>
      <c r="E76" s="4" t="s">
        <v>159</v>
      </c>
      <c r="F76" s="4">
        <v>81897710023</v>
      </c>
      <c r="G76" s="24">
        <v>315.54097826086951</v>
      </c>
      <c r="H76" s="24">
        <v>315.54097826086951</v>
      </c>
      <c r="I76" s="4" t="s">
        <v>816</v>
      </c>
    </row>
    <row r="77" spans="1:9">
      <c r="A77" s="3">
        <v>9</v>
      </c>
      <c r="B77" s="3">
        <v>1</v>
      </c>
      <c r="C77" s="23" t="s">
        <v>33</v>
      </c>
      <c r="D77" s="47" t="s">
        <v>4</v>
      </c>
      <c r="E77" s="4" t="s">
        <v>5</v>
      </c>
      <c r="F77" s="4">
        <v>81897710023</v>
      </c>
      <c r="G77" s="24">
        <v>315.54097826086951</v>
      </c>
      <c r="H77" s="24">
        <v>315.54097826086951</v>
      </c>
      <c r="I77" s="4" t="s">
        <v>816</v>
      </c>
    </row>
    <row r="78" spans="1:9">
      <c r="A78" s="3">
        <v>10</v>
      </c>
      <c r="B78" s="3">
        <v>2</v>
      </c>
      <c r="C78" s="23" t="s">
        <v>160</v>
      </c>
      <c r="D78" s="47" t="s">
        <v>161</v>
      </c>
      <c r="E78" s="4" t="s">
        <v>162</v>
      </c>
      <c r="F78" s="4">
        <v>81897710023</v>
      </c>
      <c r="G78" s="24">
        <v>384.22467391304349</v>
      </c>
      <c r="H78" s="24">
        <v>768.44934782608698</v>
      </c>
      <c r="I78" s="4" t="s">
        <v>816</v>
      </c>
    </row>
    <row r="79" spans="1:9">
      <c r="A79" s="3">
        <v>11</v>
      </c>
      <c r="B79" s="3">
        <v>2</v>
      </c>
      <c r="C79" s="23" t="s">
        <v>163</v>
      </c>
      <c r="D79" s="47" t="s">
        <v>141</v>
      </c>
      <c r="E79" s="4" t="s">
        <v>32</v>
      </c>
      <c r="F79" s="4">
        <v>81897710023</v>
      </c>
      <c r="G79" s="24">
        <v>269.07847826086959</v>
      </c>
      <c r="H79" s="24">
        <v>538.15695652173918</v>
      </c>
      <c r="I79" s="4" t="s">
        <v>816</v>
      </c>
    </row>
    <row r="80" spans="1:9">
      <c r="A80" s="3">
        <v>12</v>
      </c>
      <c r="B80" s="3">
        <v>2</v>
      </c>
      <c r="C80" s="23" t="s">
        <v>164</v>
      </c>
      <c r="D80" s="47" t="s">
        <v>165</v>
      </c>
      <c r="E80" s="4" t="s">
        <v>166</v>
      </c>
      <c r="F80" s="4">
        <v>81897710023</v>
      </c>
      <c r="G80" s="24">
        <v>256.95782608695657</v>
      </c>
      <c r="H80" s="24">
        <v>513.91565217391314</v>
      </c>
      <c r="I80" s="4" t="s">
        <v>816</v>
      </c>
    </row>
    <row r="81" spans="1:9">
      <c r="A81" s="3">
        <v>13</v>
      </c>
      <c r="B81" s="3">
        <v>2</v>
      </c>
      <c r="C81" s="23" t="s">
        <v>167</v>
      </c>
      <c r="D81" s="47" t="s">
        <v>567</v>
      </c>
      <c r="E81" s="4" t="s">
        <v>6</v>
      </c>
      <c r="F81" s="4">
        <v>81897710023</v>
      </c>
      <c r="G81" s="24">
        <v>236.35271739130437</v>
      </c>
      <c r="H81" s="24">
        <v>472.70543478260873</v>
      </c>
      <c r="I81" s="4" t="s">
        <v>816</v>
      </c>
    </row>
    <row r="82" spans="1:9">
      <c r="A82" s="3">
        <v>14</v>
      </c>
      <c r="B82" s="3">
        <v>1</v>
      </c>
      <c r="C82" s="23" t="s">
        <v>168</v>
      </c>
      <c r="D82" s="52" t="s">
        <v>827</v>
      </c>
      <c r="E82" s="45" t="s">
        <v>765</v>
      </c>
      <c r="F82" s="4">
        <v>81897710001</v>
      </c>
      <c r="G82" s="24">
        <v>635.93021739130438</v>
      </c>
      <c r="H82" s="24">
        <v>635.93021739130438</v>
      </c>
      <c r="I82" s="4" t="s">
        <v>816</v>
      </c>
    </row>
    <row r="83" spans="1:9">
      <c r="A83" s="3">
        <v>15</v>
      </c>
      <c r="B83" s="3">
        <v>1</v>
      </c>
      <c r="C83" s="23" t="s">
        <v>170</v>
      </c>
      <c r="D83" s="47" t="s">
        <v>560</v>
      </c>
      <c r="E83" s="4" t="s">
        <v>171</v>
      </c>
      <c r="F83" s="4">
        <v>81897710018</v>
      </c>
      <c r="G83" s="24">
        <v>1140.9573913043478</v>
      </c>
      <c r="H83" s="24">
        <v>1140.9573913043478</v>
      </c>
      <c r="I83" s="4" t="s">
        <v>816</v>
      </c>
    </row>
    <row r="84" spans="1:9">
      <c r="A84" s="3">
        <v>16</v>
      </c>
      <c r="B84" s="3">
        <v>1</v>
      </c>
      <c r="C84" s="23" t="s">
        <v>172</v>
      </c>
      <c r="D84" s="47" t="s">
        <v>561</v>
      </c>
      <c r="E84" s="4" t="s">
        <v>173</v>
      </c>
      <c r="F84" s="4">
        <v>81897710018</v>
      </c>
      <c r="G84" s="24">
        <v>1156.3102173913044</v>
      </c>
      <c r="H84" s="24">
        <v>1156.3102173913044</v>
      </c>
      <c r="I84" s="4" t="s">
        <v>816</v>
      </c>
    </row>
    <row r="85" spans="1:9">
      <c r="A85" s="3">
        <v>17</v>
      </c>
      <c r="B85" s="3">
        <v>1</v>
      </c>
      <c r="C85" s="23" t="s">
        <v>174</v>
      </c>
      <c r="D85" s="47" t="s">
        <v>766</v>
      </c>
      <c r="E85" s="4" t="s">
        <v>175</v>
      </c>
      <c r="F85" s="4">
        <v>81897710018</v>
      </c>
      <c r="G85" s="24">
        <v>298.16804347826087</v>
      </c>
      <c r="H85" s="24">
        <v>298.16804347826087</v>
      </c>
      <c r="I85" s="4" t="s">
        <v>816</v>
      </c>
    </row>
    <row r="86" spans="1:9">
      <c r="A86" s="3">
        <v>18</v>
      </c>
      <c r="B86" s="3">
        <v>1</v>
      </c>
      <c r="C86" s="23" t="s">
        <v>176</v>
      </c>
      <c r="D86" s="47" t="s">
        <v>767</v>
      </c>
      <c r="E86" s="4" t="s">
        <v>177</v>
      </c>
      <c r="F86" s="4">
        <v>81897710018</v>
      </c>
      <c r="G86" s="24">
        <v>313.116847826087</v>
      </c>
      <c r="H86" s="24">
        <v>313.116847826087</v>
      </c>
      <c r="I86" s="4" t="s">
        <v>816</v>
      </c>
    </row>
    <row r="87" spans="1:9">
      <c r="A87" s="3">
        <v>19</v>
      </c>
      <c r="B87" s="3">
        <v>1</v>
      </c>
      <c r="C87" s="23" t="s">
        <v>178</v>
      </c>
      <c r="D87" s="47" t="s">
        <v>768</v>
      </c>
      <c r="E87" s="4" t="s">
        <v>179</v>
      </c>
      <c r="F87" s="4">
        <v>81897710018</v>
      </c>
      <c r="G87" s="24">
        <v>313.116847826087</v>
      </c>
      <c r="H87" s="24">
        <v>313.116847826087</v>
      </c>
      <c r="I87" s="4" t="s">
        <v>816</v>
      </c>
    </row>
    <row r="88" spans="1:9">
      <c r="A88" s="3">
        <v>20</v>
      </c>
      <c r="B88" s="3">
        <v>1</v>
      </c>
      <c r="C88" s="23" t="s">
        <v>180</v>
      </c>
      <c r="D88" s="47" t="s">
        <v>623</v>
      </c>
      <c r="E88" s="4" t="s">
        <v>181</v>
      </c>
      <c r="F88" s="4">
        <v>81897710018</v>
      </c>
      <c r="G88" s="24">
        <v>285.64336956521743</v>
      </c>
      <c r="H88" s="24">
        <v>285.64336956521743</v>
      </c>
      <c r="I88" s="4" t="s">
        <v>816</v>
      </c>
    </row>
    <row r="89" spans="1:9">
      <c r="A89" s="3">
        <v>21</v>
      </c>
      <c r="B89" s="3">
        <v>2</v>
      </c>
      <c r="C89" s="23" t="s">
        <v>182</v>
      </c>
      <c r="D89" s="47" t="s">
        <v>769</v>
      </c>
      <c r="E89" s="4" t="s">
        <v>7</v>
      </c>
      <c r="F89" s="4">
        <v>81897710018</v>
      </c>
      <c r="G89" s="24">
        <v>343.82249999999999</v>
      </c>
      <c r="H89" s="24">
        <v>687.64499999999998</v>
      </c>
      <c r="I89" s="4" t="s">
        <v>816</v>
      </c>
    </row>
    <row r="90" spans="1:9">
      <c r="A90" s="3">
        <v>22</v>
      </c>
      <c r="B90" s="3">
        <v>1</v>
      </c>
      <c r="C90" s="23" t="s">
        <v>183</v>
      </c>
      <c r="D90" s="47" t="s">
        <v>605</v>
      </c>
      <c r="E90" s="4" t="s">
        <v>184</v>
      </c>
      <c r="F90" s="4">
        <v>81897710018</v>
      </c>
      <c r="G90" s="24">
        <v>285.23934782608694</v>
      </c>
      <c r="H90" s="24">
        <v>285.23934782608694</v>
      </c>
      <c r="I90" s="4" t="s">
        <v>816</v>
      </c>
    </row>
    <row r="91" spans="1:9">
      <c r="A91" s="3">
        <v>23</v>
      </c>
      <c r="B91" s="3">
        <v>1</v>
      </c>
      <c r="C91" s="23" t="s">
        <v>185</v>
      </c>
      <c r="D91" s="47" t="s">
        <v>603</v>
      </c>
      <c r="E91" s="4" t="s">
        <v>60</v>
      </c>
      <c r="F91" s="4">
        <v>81897710018</v>
      </c>
      <c r="G91" s="24">
        <v>264.63423913043471</v>
      </c>
      <c r="H91" s="24">
        <v>264.63423913043471</v>
      </c>
      <c r="I91" s="4" t="s">
        <v>816</v>
      </c>
    </row>
    <row r="92" spans="1:9">
      <c r="A92" s="3">
        <v>24</v>
      </c>
      <c r="B92" s="3">
        <v>1</v>
      </c>
      <c r="C92" s="23" t="s">
        <v>186</v>
      </c>
      <c r="D92" s="47" t="s">
        <v>770</v>
      </c>
      <c r="E92" s="4" t="s">
        <v>187</v>
      </c>
      <c r="F92" s="4">
        <v>81897710001</v>
      </c>
      <c r="G92" s="24">
        <v>2177.2731521739133</v>
      </c>
      <c r="H92" s="24">
        <v>2177.2731521739133</v>
      </c>
      <c r="I92" s="4" t="s">
        <v>816</v>
      </c>
    </row>
    <row r="93" spans="1:9">
      <c r="A93" s="3">
        <v>25</v>
      </c>
      <c r="B93" s="3">
        <v>1</v>
      </c>
      <c r="C93" s="23" t="s">
        <v>188</v>
      </c>
      <c r="D93" s="47" t="s">
        <v>771</v>
      </c>
      <c r="E93" s="4" t="s">
        <v>189</v>
      </c>
      <c r="F93" s="4">
        <v>81897710001</v>
      </c>
      <c r="G93" s="24">
        <v>1843.9552173913044</v>
      </c>
      <c r="H93" s="24">
        <v>1843.9552173913044</v>
      </c>
      <c r="I93" s="4" t="s">
        <v>816</v>
      </c>
    </row>
    <row r="94" spans="1:9">
      <c r="A94" s="3">
        <v>26</v>
      </c>
      <c r="B94" s="3">
        <v>1</v>
      </c>
      <c r="C94" s="23" t="s">
        <v>190</v>
      </c>
      <c r="D94" s="47" t="s">
        <v>772</v>
      </c>
      <c r="E94" s="4" t="s">
        <v>44</v>
      </c>
      <c r="F94" s="4">
        <v>81897710001</v>
      </c>
      <c r="G94" s="24">
        <v>1878.7010869565215</v>
      </c>
      <c r="H94" s="24">
        <v>1878.7010869565215</v>
      </c>
      <c r="I94" s="4" t="s">
        <v>816</v>
      </c>
    </row>
    <row r="95" spans="1:9">
      <c r="A95" s="3">
        <v>27</v>
      </c>
      <c r="B95" s="3">
        <v>6</v>
      </c>
      <c r="C95" s="23" t="s">
        <v>191</v>
      </c>
      <c r="D95" s="48" t="s">
        <v>808</v>
      </c>
      <c r="E95" s="4" t="s">
        <v>37</v>
      </c>
      <c r="F95" s="4">
        <v>81897710001</v>
      </c>
      <c r="G95" s="24">
        <v>770.87347826086943</v>
      </c>
      <c r="H95" s="24">
        <v>4625.2408695652166</v>
      </c>
      <c r="I95" s="4" t="s">
        <v>816</v>
      </c>
    </row>
    <row r="96" spans="1:9">
      <c r="A96" s="3">
        <v>28</v>
      </c>
      <c r="B96" s="3">
        <v>2</v>
      </c>
      <c r="C96" s="23" t="s">
        <v>697</v>
      </c>
      <c r="D96" s="47" t="s">
        <v>624</v>
      </c>
      <c r="E96" s="4" t="s">
        <v>192</v>
      </c>
      <c r="F96" s="36">
        <v>81897710001</v>
      </c>
      <c r="G96" s="24">
        <v>1925.9716304347826</v>
      </c>
      <c r="H96" s="24">
        <v>3851.9432608695652</v>
      </c>
      <c r="I96" s="4" t="s">
        <v>816</v>
      </c>
    </row>
    <row r="97" spans="1:9">
      <c r="A97" s="3">
        <v>29</v>
      </c>
      <c r="B97" s="3">
        <v>1</v>
      </c>
      <c r="C97" s="23" t="s">
        <v>193</v>
      </c>
      <c r="D97" s="47" t="s">
        <v>773</v>
      </c>
      <c r="E97" s="4" t="s">
        <v>194</v>
      </c>
      <c r="F97" s="4">
        <v>81897710023</v>
      </c>
      <c r="G97" s="24">
        <v>141.81163043478261</v>
      </c>
      <c r="H97" s="24">
        <v>141.81163043478261</v>
      </c>
      <c r="I97" s="4" t="s">
        <v>816</v>
      </c>
    </row>
    <row r="98" spans="1:9">
      <c r="A98" s="3">
        <v>30</v>
      </c>
      <c r="B98" s="3">
        <v>2</v>
      </c>
      <c r="C98" s="23" t="s">
        <v>195</v>
      </c>
      <c r="D98" s="47" t="s">
        <v>774</v>
      </c>
      <c r="E98" s="4" t="s">
        <v>196</v>
      </c>
      <c r="F98" s="4">
        <v>81897710023</v>
      </c>
      <c r="G98" s="24">
        <v>147.87195652173912</v>
      </c>
      <c r="H98" s="24">
        <v>295.74391304347824</v>
      </c>
      <c r="I98" s="4" t="s">
        <v>816</v>
      </c>
    </row>
    <row r="99" spans="1:9">
      <c r="A99" s="3">
        <v>31</v>
      </c>
      <c r="B99" s="3">
        <v>3</v>
      </c>
      <c r="C99" s="23" t="s">
        <v>197</v>
      </c>
      <c r="D99" s="47" t="s">
        <v>775</v>
      </c>
      <c r="E99" s="4" t="s">
        <v>198</v>
      </c>
      <c r="F99" s="4">
        <v>81897710023</v>
      </c>
      <c r="G99" s="24">
        <v>199.18271739130429</v>
      </c>
      <c r="H99" s="24">
        <v>597.54815217391285</v>
      </c>
      <c r="I99" s="4" t="s">
        <v>816</v>
      </c>
    </row>
    <row r="100" spans="1:9">
      <c r="A100" s="3">
        <v>32</v>
      </c>
      <c r="B100" s="3">
        <v>8</v>
      </c>
      <c r="C100" s="23" t="s">
        <v>199</v>
      </c>
      <c r="D100" s="47" t="s">
        <v>776</v>
      </c>
      <c r="E100" s="4" t="s">
        <v>200</v>
      </c>
      <c r="F100" s="4">
        <v>81897710001</v>
      </c>
      <c r="G100" s="24">
        <v>356.88586956521738</v>
      </c>
      <c r="H100" s="24">
        <v>2855.086956521739</v>
      </c>
      <c r="I100" s="4" t="s">
        <v>816</v>
      </c>
    </row>
    <row r="101" spans="1:9">
      <c r="A101" s="3">
        <v>33</v>
      </c>
      <c r="B101" s="3">
        <v>2</v>
      </c>
      <c r="C101" s="23" t="s">
        <v>201</v>
      </c>
      <c r="D101" s="47" t="s">
        <v>777</v>
      </c>
      <c r="E101" s="4" t="s">
        <v>202</v>
      </c>
      <c r="F101" s="4">
        <v>81897710023</v>
      </c>
      <c r="G101" s="24">
        <v>183.02184782608697</v>
      </c>
      <c r="H101" s="24">
        <v>366.04369565217394</v>
      </c>
      <c r="I101" s="4" t="s">
        <v>816</v>
      </c>
    </row>
    <row r="102" spans="1:9">
      <c r="A102" s="3">
        <v>34</v>
      </c>
      <c r="B102" s="38">
        <v>1</v>
      </c>
      <c r="C102" s="39" t="s">
        <v>203</v>
      </c>
      <c r="D102" s="48" t="s">
        <v>204</v>
      </c>
      <c r="E102" s="45" t="s">
        <v>814</v>
      </c>
      <c r="F102" s="43">
        <v>81897710023</v>
      </c>
      <c r="G102" s="55">
        <v>247.26</v>
      </c>
      <c r="H102" s="55">
        <v>247.26</v>
      </c>
      <c r="I102" s="4" t="s">
        <v>816</v>
      </c>
    </row>
    <row r="103" spans="1:9">
      <c r="A103" s="3">
        <v>35</v>
      </c>
      <c r="B103" s="3">
        <v>2</v>
      </c>
      <c r="C103" s="23" t="s">
        <v>205</v>
      </c>
      <c r="D103" s="52" t="s">
        <v>828</v>
      </c>
      <c r="E103" s="4" t="s">
        <v>206</v>
      </c>
      <c r="F103" s="4">
        <v>81897710023</v>
      </c>
      <c r="G103" s="24">
        <v>152.72021739130435</v>
      </c>
      <c r="H103" s="24">
        <v>305.44043478260869</v>
      </c>
      <c r="I103" s="4" t="s">
        <v>816</v>
      </c>
    </row>
    <row r="104" spans="1:9">
      <c r="A104" s="3">
        <v>36</v>
      </c>
      <c r="B104" s="3">
        <v>2</v>
      </c>
      <c r="C104" s="23" t="s">
        <v>207</v>
      </c>
      <c r="D104" s="52" t="s">
        <v>829</v>
      </c>
      <c r="E104" s="4" t="s">
        <v>208</v>
      </c>
      <c r="F104" s="4">
        <v>81897710023</v>
      </c>
      <c r="G104" s="24">
        <v>204.43499999999997</v>
      </c>
      <c r="H104" s="24">
        <v>408.86999999999995</v>
      </c>
      <c r="I104" s="4" t="s">
        <v>816</v>
      </c>
    </row>
    <row r="105" spans="1:9">
      <c r="A105" s="3">
        <v>37</v>
      </c>
      <c r="B105" s="3">
        <v>4</v>
      </c>
      <c r="C105" s="23" t="s">
        <v>209</v>
      </c>
      <c r="D105" s="47" t="s">
        <v>13</v>
      </c>
      <c r="E105" s="43" t="s">
        <v>687</v>
      </c>
      <c r="F105" s="4">
        <v>81897710001</v>
      </c>
      <c r="G105" s="24">
        <v>130.49902173913043</v>
      </c>
      <c r="H105" s="24">
        <v>521.99608695652171</v>
      </c>
      <c r="I105" s="4" t="s">
        <v>816</v>
      </c>
    </row>
    <row r="106" spans="1:9">
      <c r="A106" s="3">
        <v>38</v>
      </c>
      <c r="B106" s="3">
        <v>4</v>
      </c>
      <c r="C106" s="23" t="s">
        <v>210</v>
      </c>
      <c r="D106" s="47" t="s">
        <v>14</v>
      </c>
      <c r="E106" s="43" t="s">
        <v>688</v>
      </c>
      <c r="F106" s="4">
        <v>81897710001</v>
      </c>
      <c r="G106" s="24">
        <v>127.26684782608696</v>
      </c>
      <c r="H106" s="24">
        <v>509.06739130434784</v>
      </c>
      <c r="I106" s="4" t="s">
        <v>816</v>
      </c>
    </row>
    <row r="107" spans="1:9">
      <c r="A107" s="3">
        <v>39</v>
      </c>
      <c r="B107" s="3">
        <v>6</v>
      </c>
      <c r="C107" s="23" t="s">
        <v>211</v>
      </c>
      <c r="D107" s="47" t="s">
        <v>15</v>
      </c>
      <c r="E107" s="4" t="s">
        <v>16</v>
      </c>
      <c r="F107" s="4">
        <v>81897710001</v>
      </c>
      <c r="G107" s="24">
        <v>130.49902173913043</v>
      </c>
      <c r="H107" s="24">
        <v>782.99413043478262</v>
      </c>
      <c r="I107" s="4" t="s">
        <v>816</v>
      </c>
    </row>
    <row r="108" spans="1:9">
      <c r="A108" s="3">
        <v>40</v>
      </c>
      <c r="B108" s="3">
        <v>6</v>
      </c>
      <c r="C108" s="23" t="s">
        <v>212</v>
      </c>
      <c r="D108" s="47" t="s">
        <v>213</v>
      </c>
      <c r="E108" s="4" t="s">
        <v>214</v>
      </c>
      <c r="F108" s="4">
        <v>81897710001</v>
      </c>
      <c r="G108" s="24">
        <v>159.99260869565219</v>
      </c>
      <c r="H108" s="24">
        <v>959.95565217391322</v>
      </c>
      <c r="I108" s="4" t="s">
        <v>816</v>
      </c>
    </row>
    <row r="109" spans="1:9">
      <c r="A109" s="3">
        <v>41</v>
      </c>
      <c r="B109" s="3">
        <v>6</v>
      </c>
      <c r="C109" s="23" t="s">
        <v>215</v>
      </c>
      <c r="D109" s="47" t="s">
        <v>216</v>
      </c>
      <c r="E109" s="4" t="s">
        <v>217</v>
      </c>
      <c r="F109" s="4">
        <v>81897710001</v>
      </c>
      <c r="G109" s="24">
        <v>156.76043478260868</v>
      </c>
      <c r="H109" s="24">
        <v>940.5626086956521</v>
      </c>
      <c r="I109" s="4" t="s">
        <v>816</v>
      </c>
    </row>
    <row r="110" spans="1:9">
      <c r="A110" s="3">
        <v>42</v>
      </c>
      <c r="B110" s="3">
        <v>6</v>
      </c>
      <c r="C110" s="23" t="s">
        <v>218</v>
      </c>
      <c r="D110" s="47" t="s">
        <v>219</v>
      </c>
      <c r="E110" s="4" t="s">
        <v>220</v>
      </c>
      <c r="F110" s="4">
        <v>81897710001</v>
      </c>
      <c r="G110" s="24">
        <v>176.15347826086958</v>
      </c>
      <c r="H110" s="24">
        <v>1056.9208695652173</v>
      </c>
      <c r="I110" s="4" t="s">
        <v>816</v>
      </c>
    </row>
    <row r="111" spans="1:9">
      <c r="A111" s="3">
        <v>43</v>
      </c>
      <c r="B111" s="3">
        <v>6</v>
      </c>
      <c r="C111" s="23" t="s">
        <v>221</v>
      </c>
      <c r="D111" s="47" t="s">
        <v>222</v>
      </c>
      <c r="E111" s="4" t="s">
        <v>223</v>
      </c>
      <c r="F111" s="4">
        <v>81897710001</v>
      </c>
      <c r="G111" s="24">
        <v>203.62695652173912</v>
      </c>
      <c r="H111" s="24">
        <v>1221.7617391304348</v>
      </c>
      <c r="I111" s="4" t="s">
        <v>816</v>
      </c>
    </row>
    <row r="112" spans="1:9">
      <c r="A112" s="3">
        <v>44</v>
      </c>
      <c r="B112" s="3">
        <v>4</v>
      </c>
      <c r="C112" s="23" t="s">
        <v>224</v>
      </c>
      <c r="D112" s="47" t="s">
        <v>778</v>
      </c>
      <c r="E112" s="4" t="s">
        <v>225</v>
      </c>
      <c r="F112" s="4">
        <v>81897710001</v>
      </c>
      <c r="G112" s="24">
        <v>238.37282608695654</v>
      </c>
      <c r="H112" s="24">
        <v>953.49130434782614</v>
      </c>
      <c r="I112" s="4" t="s">
        <v>816</v>
      </c>
    </row>
    <row r="113" spans="1:10">
      <c r="A113" s="3">
        <v>45</v>
      </c>
      <c r="B113" s="3">
        <v>2</v>
      </c>
      <c r="C113" s="23" t="s">
        <v>226</v>
      </c>
      <c r="D113" s="47" t="s">
        <v>227</v>
      </c>
      <c r="E113" s="4" t="s">
        <v>228</v>
      </c>
      <c r="F113" s="4">
        <v>81897710011</v>
      </c>
      <c r="G113" s="24">
        <v>4938.5462608695652</v>
      </c>
      <c r="H113" s="24">
        <v>9877.0925217391305</v>
      </c>
      <c r="I113" s="4" t="s">
        <v>816</v>
      </c>
    </row>
    <row r="114" spans="1:10">
      <c r="A114" s="3">
        <v>46</v>
      </c>
      <c r="B114" s="3">
        <v>2</v>
      </c>
      <c r="C114" s="23" t="s">
        <v>229</v>
      </c>
      <c r="D114" s="47" t="s">
        <v>230</v>
      </c>
      <c r="E114" s="56" t="s">
        <v>812</v>
      </c>
      <c r="F114" s="54">
        <v>81897719006</v>
      </c>
      <c r="G114" s="24">
        <v>4938.5462608695652</v>
      </c>
      <c r="H114" s="24">
        <v>9877.0925217391305</v>
      </c>
      <c r="I114" s="4" t="s">
        <v>816</v>
      </c>
      <c r="J114" s="59" t="s">
        <v>231</v>
      </c>
    </row>
    <row r="115" spans="1:10">
      <c r="A115" s="3">
        <v>47</v>
      </c>
      <c r="B115" s="3">
        <v>3</v>
      </c>
      <c r="C115" s="23" t="s">
        <v>232</v>
      </c>
      <c r="D115" s="47" t="s">
        <v>627</v>
      </c>
      <c r="E115" s="4" t="s">
        <v>233</v>
      </c>
      <c r="F115" s="4">
        <v>81897710001</v>
      </c>
      <c r="G115" s="24">
        <v>327.66163043478258</v>
      </c>
      <c r="H115" s="24">
        <v>982.98489130434768</v>
      </c>
      <c r="I115" s="4" t="s">
        <v>816</v>
      </c>
    </row>
    <row r="116" spans="1:10">
      <c r="A116" s="3">
        <v>48</v>
      </c>
      <c r="B116" s="3">
        <v>2</v>
      </c>
      <c r="C116" s="23" t="s">
        <v>234</v>
      </c>
      <c r="D116" s="47" t="s">
        <v>626</v>
      </c>
      <c r="E116" s="4" t="s">
        <v>235</v>
      </c>
      <c r="F116" s="4">
        <v>81897710001</v>
      </c>
      <c r="G116" s="24">
        <v>178.57760869565215</v>
      </c>
      <c r="H116" s="24">
        <v>357.15521739130429</v>
      </c>
      <c r="I116" s="4" t="s">
        <v>816</v>
      </c>
    </row>
    <row r="117" spans="1:10">
      <c r="A117" s="3">
        <v>49</v>
      </c>
      <c r="B117" s="3">
        <v>3</v>
      </c>
      <c r="C117" s="23" t="s">
        <v>236</v>
      </c>
      <c r="D117" s="47" t="s">
        <v>625</v>
      </c>
      <c r="E117" s="4" t="s">
        <v>237</v>
      </c>
      <c r="F117" s="4">
        <v>81897710001</v>
      </c>
      <c r="G117" s="24">
        <v>941.37065217391296</v>
      </c>
      <c r="H117" s="24">
        <v>2824.1119565217386</v>
      </c>
      <c r="I117" s="4" t="s">
        <v>816</v>
      </c>
    </row>
    <row r="118" spans="1:10">
      <c r="A118" s="3">
        <v>50</v>
      </c>
      <c r="B118" s="3">
        <v>1</v>
      </c>
      <c r="C118" s="23" t="s">
        <v>238</v>
      </c>
      <c r="D118" s="47" t="s">
        <v>779</v>
      </c>
      <c r="E118" s="4" t="s">
        <v>239</v>
      </c>
      <c r="F118" s="4">
        <v>81897710018</v>
      </c>
      <c r="G118" s="24">
        <v>376.14423913043481</v>
      </c>
      <c r="H118" s="24">
        <v>376.14423913043481</v>
      </c>
      <c r="I118" s="4" t="s">
        <v>816</v>
      </c>
    </row>
    <row r="119" spans="1:10">
      <c r="A119" s="3">
        <v>51</v>
      </c>
      <c r="B119" s="3">
        <v>1</v>
      </c>
      <c r="C119" s="23" t="s">
        <v>240</v>
      </c>
      <c r="D119" s="47" t="s">
        <v>780</v>
      </c>
      <c r="E119" s="4" t="s">
        <v>189</v>
      </c>
      <c r="F119" s="4">
        <v>81897710001</v>
      </c>
      <c r="G119" s="24">
        <v>1843.9552173913044</v>
      </c>
      <c r="H119" s="24">
        <v>1843.9552173913044</v>
      </c>
      <c r="I119" s="4" t="s">
        <v>816</v>
      </c>
    </row>
    <row r="120" spans="1:10">
      <c r="A120" s="3">
        <v>52</v>
      </c>
      <c r="B120" s="3">
        <v>1</v>
      </c>
      <c r="C120" s="23" t="s">
        <v>241</v>
      </c>
      <c r="D120" s="47" t="s">
        <v>781</v>
      </c>
      <c r="E120" s="4" t="s">
        <v>44</v>
      </c>
      <c r="F120" s="4">
        <v>81897710001</v>
      </c>
      <c r="G120" s="24">
        <v>1878.7010869565215</v>
      </c>
      <c r="H120" s="24">
        <v>1878.7010869565215</v>
      </c>
      <c r="I120" s="4" t="s">
        <v>816</v>
      </c>
    </row>
    <row r="121" spans="1:10">
      <c r="A121" s="3">
        <v>53</v>
      </c>
      <c r="B121" s="3">
        <v>1</v>
      </c>
      <c r="C121" s="23" t="s">
        <v>242</v>
      </c>
      <c r="D121" s="47" t="s">
        <v>628</v>
      </c>
      <c r="E121" s="4" t="s">
        <v>243</v>
      </c>
      <c r="F121" s="4">
        <v>81897710017</v>
      </c>
      <c r="G121" s="24">
        <v>226.65619565217395</v>
      </c>
      <c r="H121" s="24">
        <v>226.65619565217395</v>
      </c>
      <c r="I121" s="4" t="s">
        <v>816</v>
      </c>
    </row>
    <row r="122" spans="1:10">
      <c r="A122" s="3">
        <v>54</v>
      </c>
      <c r="B122" s="3">
        <v>1</v>
      </c>
      <c r="C122" s="23" t="s">
        <v>244</v>
      </c>
      <c r="D122" s="47" t="s">
        <v>629</v>
      </c>
      <c r="E122" s="4" t="s">
        <v>246</v>
      </c>
      <c r="F122" s="4">
        <v>81897710017</v>
      </c>
      <c r="G122" s="24">
        <v>151.91217391304349</v>
      </c>
      <c r="H122" s="24">
        <v>151.91217391304349</v>
      </c>
      <c r="I122" s="4" t="s">
        <v>816</v>
      </c>
    </row>
    <row r="123" spans="1:10">
      <c r="A123" s="3">
        <v>55</v>
      </c>
      <c r="B123" s="3">
        <v>1</v>
      </c>
      <c r="C123" s="23" t="s">
        <v>247</v>
      </c>
      <c r="D123" s="47" t="s">
        <v>630</v>
      </c>
      <c r="E123" s="4" t="s">
        <v>249</v>
      </c>
      <c r="F123" s="4">
        <v>81897710017</v>
      </c>
      <c r="G123" s="24">
        <v>147.87195652173912</v>
      </c>
      <c r="H123" s="24">
        <v>147.87195652173912</v>
      </c>
      <c r="I123" s="4" t="s">
        <v>816</v>
      </c>
    </row>
    <row r="124" spans="1:10">
      <c r="A124" s="3">
        <v>56</v>
      </c>
      <c r="B124" s="3">
        <v>2</v>
      </c>
      <c r="C124" s="23" t="s">
        <v>250</v>
      </c>
      <c r="D124" s="47" t="s">
        <v>631</v>
      </c>
      <c r="E124" s="4" t="s">
        <v>251</v>
      </c>
      <c r="F124" s="4">
        <v>81897710017</v>
      </c>
      <c r="G124" s="24">
        <v>181.0017391304348</v>
      </c>
      <c r="H124" s="24">
        <v>362.0034782608696</v>
      </c>
      <c r="I124" s="4" t="s">
        <v>816</v>
      </c>
    </row>
    <row r="125" spans="1:10">
      <c r="A125" s="37">
        <v>57</v>
      </c>
      <c r="B125" s="38">
        <v>2</v>
      </c>
      <c r="C125" s="39" t="s">
        <v>698</v>
      </c>
      <c r="D125" s="48" t="s">
        <v>846</v>
      </c>
      <c r="E125" s="40" t="s">
        <v>144</v>
      </c>
      <c r="F125" s="38" t="s">
        <v>26</v>
      </c>
      <c r="G125" s="41">
        <v>17613.63</v>
      </c>
      <c r="H125" s="41">
        <f>B125*G125</f>
        <v>35227.26</v>
      </c>
      <c r="I125" s="4" t="s">
        <v>816</v>
      </c>
    </row>
    <row r="126" spans="1:10">
      <c r="E126" s="122" t="s">
        <v>27</v>
      </c>
      <c r="F126" s="122"/>
      <c r="G126" s="122"/>
      <c r="H126" s="62">
        <f>SUM(H69:H125)</f>
        <v>109431.3188478261</v>
      </c>
    </row>
    <row r="127" spans="1:10">
      <c r="A127" s="121" t="s">
        <v>512</v>
      </c>
      <c r="B127" s="121"/>
      <c r="C127" s="121"/>
    </row>
    <row r="128" spans="1:10">
      <c r="A128" s="5" t="s">
        <v>0</v>
      </c>
      <c r="B128" s="5" t="s">
        <v>509</v>
      </c>
      <c r="C128" s="5" t="s">
        <v>510</v>
      </c>
      <c r="D128" s="49" t="s">
        <v>809</v>
      </c>
      <c r="E128" s="50" t="s">
        <v>1</v>
      </c>
      <c r="F128" s="50" t="s">
        <v>2</v>
      </c>
      <c r="G128" s="51" t="s">
        <v>28</v>
      </c>
      <c r="H128" s="51" t="s">
        <v>3</v>
      </c>
      <c r="I128" s="61" t="s">
        <v>815</v>
      </c>
    </row>
    <row r="129" spans="1:10">
      <c r="A129" s="3">
        <v>1</v>
      </c>
      <c r="B129" s="3">
        <v>2</v>
      </c>
      <c r="C129" s="4" t="s">
        <v>252</v>
      </c>
      <c r="D129" s="47" t="s">
        <v>782</v>
      </c>
      <c r="E129" s="42" t="s">
        <v>689</v>
      </c>
      <c r="F129" s="4">
        <v>81897710017</v>
      </c>
      <c r="G129" s="24">
        <v>154.74032608695654</v>
      </c>
      <c r="H129" s="24">
        <f t="shared" ref="H129:H160" si="0">G129*B129</f>
        <v>309.48065217391309</v>
      </c>
      <c r="I129" s="4" t="s">
        <v>816</v>
      </c>
    </row>
    <row r="130" spans="1:10">
      <c r="A130" s="3">
        <v>2</v>
      </c>
      <c r="B130" s="3">
        <v>2</v>
      </c>
      <c r="C130" s="4" t="s">
        <v>253</v>
      </c>
      <c r="D130" s="47" t="s">
        <v>783</v>
      </c>
      <c r="E130" s="4" t="s">
        <v>254</v>
      </c>
      <c r="F130" s="4">
        <v>81897710017</v>
      </c>
      <c r="G130" s="24">
        <v>151.50815217391303</v>
      </c>
      <c r="H130" s="24">
        <f t="shared" si="0"/>
        <v>303.01630434782606</v>
      </c>
      <c r="I130" s="4" t="s">
        <v>816</v>
      </c>
    </row>
    <row r="131" spans="1:10">
      <c r="A131" s="3">
        <v>3</v>
      </c>
      <c r="B131" s="3">
        <v>2</v>
      </c>
      <c r="C131" s="4" t="s">
        <v>255</v>
      </c>
      <c r="D131" s="47" t="s">
        <v>24</v>
      </c>
      <c r="E131" s="4" t="s">
        <v>25</v>
      </c>
      <c r="F131" s="4">
        <v>81897710017</v>
      </c>
      <c r="G131" s="24">
        <v>116.76228260869566</v>
      </c>
      <c r="H131" s="24">
        <f t="shared" si="0"/>
        <v>233.52456521739131</v>
      </c>
      <c r="I131" s="4" t="s">
        <v>816</v>
      </c>
    </row>
    <row r="132" spans="1:10">
      <c r="A132" s="3">
        <v>4</v>
      </c>
      <c r="B132" s="3">
        <v>2</v>
      </c>
      <c r="C132" s="4" t="s">
        <v>256</v>
      </c>
      <c r="D132" s="47" t="s">
        <v>257</v>
      </c>
      <c r="E132" s="4" t="s">
        <v>258</v>
      </c>
      <c r="F132" s="4">
        <v>81897710017</v>
      </c>
      <c r="G132" s="24">
        <v>120.39847826086957</v>
      </c>
      <c r="H132" s="24">
        <f t="shared" si="0"/>
        <v>240.79695652173913</v>
      </c>
      <c r="I132" s="4" t="s">
        <v>816</v>
      </c>
    </row>
    <row r="133" spans="1:10">
      <c r="A133" s="3">
        <v>5</v>
      </c>
      <c r="B133" s="3">
        <v>2</v>
      </c>
      <c r="C133" s="4" t="s">
        <v>259</v>
      </c>
      <c r="D133" s="47" t="s">
        <v>784</v>
      </c>
      <c r="E133" s="4" t="s">
        <v>11</v>
      </c>
      <c r="F133" s="4">
        <v>81897710023</v>
      </c>
      <c r="G133" s="24">
        <v>105.85369565217393</v>
      </c>
      <c r="H133" s="24">
        <f t="shared" si="0"/>
        <v>211.70739130434785</v>
      </c>
      <c r="I133" s="4" t="s">
        <v>816</v>
      </c>
    </row>
    <row r="134" spans="1:10">
      <c r="A134" s="3">
        <v>6</v>
      </c>
      <c r="B134" s="3">
        <v>2</v>
      </c>
      <c r="C134" s="4" t="s">
        <v>260</v>
      </c>
      <c r="D134" s="52" t="s">
        <v>830</v>
      </c>
      <c r="E134" s="4" t="s">
        <v>12</v>
      </c>
      <c r="F134" s="4">
        <v>81897710023</v>
      </c>
      <c r="G134" s="24">
        <v>110.29793478260869</v>
      </c>
      <c r="H134" s="24">
        <f t="shared" si="0"/>
        <v>220.59586956521738</v>
      </c>
      <c r="I134" s="4" t="s">
        <v>816</v>
      </c>
    </row>
    <row r="135" spans="1:10">
      <c r="A135" s="3">
        <v>7</v>
      </c>
      <c r="B135" s="3">
        <v>2</v>
      </c>
      <c r="C135" s="4" t="s">
        <v>261</v>
      </c>
      <c r="D135" s="52" t="s">
        <v>843</v>
      </c>
      <c r="E135" s="4" t="s">
        <v>8</v>
      </c>
      <c r="F135" s="4">
        <v>81897710023</v>
      </c>
      <c r="G135" s="24">
        <v>109.08586956521739</v>
      </c>
      <c r="H135" s="24">
        <f t="shared" si="0"/>
        <v>218.17173913043479</v>
      </c>
      <c r="I135" s="4" t="s">
        <v>816</v>
      </c>
    </row>
    <row r="136" spans="1:10">
      <c r="A136" s="3">
        <v>8</v>
      </c>
      <c r="B136" s="3">
        <v>2</v>
      </c>
      <c r="C136" s="4" t="s">
        <v>262</v>
      </c>
      <c r="D136" s="47" t="s">
        <v>785</v>
      </c>
      <c r="E136" s="4" t="s">
        <v>9</v>
      </c>
      <c r="F136" s="4">
        <v>81897710023</v>
      </c>
      <c r="G136" s="24">
        <v>105.44967391304347</v>
      </c>
      <c r="H136" s="24">
        <f t="shared" si="0"/>
        <v>210.89934782608694</v>
      </c>
      <c r="I136" s="4" t="s">
        <v>816</v>
      </c>
    </row>
    <row r="137" spans="1:10">
      <c r="A137" s="3">
        <v>9</v>
      </c>
      <c r="B137" s="3">
        <v>3</v>
      </c>
      <c r="C137" s="4" t="s">
        <v>263</v>
      </c>
      <c r="D137" s="47" t="s">
        <v>786</v>
      </c>
      <c r="E137" s="4" t="s">
        <v>7</v>
      </c>
      <c r="F137" s="4">
        <v>81897710018</v>
      </c>
      <c r="G137" s="24">
        <v>343.82249999999999</v>
      </c>
      <c r="H137" s="24">
        <f t="shared" si="0"/>
        <v>1031.4675</v>
      </c>
      <c r="I137" s="4" t="s">
        <v>816</v>
      </c>
    </row>
    <row r="138" spans="1:10">
      <c r="A138" s="3">
        <v>10</v>
      </c>
      <c r="B138" s="3">
        <v>1</v>
      </c>
      <c r="C138" s="4" t="s">
        <v>264</v>
      </c>
      <c r="D138" s="47" t="s">
        <v>787</v>
      </c>
      <c r="E138" s="57" t="s">
        <v>813</v>
      </c>
      <c r="F138" s="54">
        <v>81897719006</v>
      </c>
      <c r="G138" s="24">
        <v>1318.9334565217391</v>
      </c>
      <c r="H138" s="24">
        <f t="shared" si="0"/>
        <v>1318.9334565217391</v>
      </c>
      <c r="I138" s="4" t="s">
        <v>816</v>
      </c>
      <c r="J138" s="59" t="s">
        <v>265</v>
      </c>
    </row>
    <row r="139" spans="1:10">
      <c r="A139" s="3">
        <v>11</v>
      </c>
      <c r="B139" s="3">
        <v>1</v>
      </c>
      <c r="C139" s="4" t="s">
        <v>266</v>
      </c>
      <c r="D139" s="47" t="s">
        <v>788</v>
      </c>
      <c r="E139" s="4" t="s">
        <v>267</v>
      </c>
      <c r="F139" s="4">
        <v>81897710010</v>
      </c>
      <c r="G139" s="24">
        <v>1318.9334565217391</v>
      </c>
      <c r="H139" s="24">
        <f t="shared" si="0"/>
        <v>1318.9334565217391</v>
      </c>
      <c r="I139" s="4" t="s">
        <v>816</v>
      </c>
    </row>
    <row r="140" spans="1:10">
      <c r="A140" s="3">
        <v>12</v>
      </c>
      <c r="B140" s="3">
        <v>1</v>
      </c>
      <c r="C140" s="4" t="s">
        <v>699</v>
      </c>
      <c r="D140" s="52" t="s">
        <v>831</v>
      </c>
      <c r="E140" s="4" t="s">
        <v>268</v>
      </c>
      <c r="F140" s="4">
        <v>81897710010</v>
      </c>
      <c r="G140" s="24">
        <v>896.71278260869565</v>
      </c>
      <c r="H140" s="24">
        <f t="shared" si="0"/>
        <v>896.71278260869565</v>
      </c>
      <c r="I140" s="4" t="s">
        <v>816</v>
      </c>
    </row>
    <row r="141" spans="1:10">
      <c r="A141" s="3">
        <v>13</v>
      </c>
      <c r="B141" s="3">
        <v>1</v>
      </c>
      <c r="C141" s="4" t="s">
        <v>700</v>
      </c>
      <c r="D141" s="52" t="s">
        <v>832</v>
      </c>
      <c r="E141" s="4" t="s">
        <v>269</v>
      </c>
      <c r="F141" s="4">
        <v>81897710010</v>
      </c>
      <c r="G141" s="24">
        <v>896.71278260869565</v>
      </c>
      <c r="H141" s="24">
        <f t="shared" si="0"/>
        <v>896.71278260869565</v>
      </c>
      <c r="I141" s="4" t="s">
        <v>816</v>
      </c>
    </row>
    <row r="142" spans="1:10">
      <c r="A142" s="3">
        <v>14</v>
      </c>
      <c r="B142" s="3">
        <v>1</v>
      </c>
      <c r="C142" s="4" t="s">
        <v>701</v>
      </c>
      <c r="D142" s="52" t="s">
        <v>833</v>
      </c>
      <c r="E142" s="4" t="s">
        <v>270</v>
      </c>
      <c r="F142" s="4">
        <v>81897710010</v>
      </c>
      <c r="G142" s="24">
        <v>896.71278260869565</v>
      </c>
      <c r="H142" s="24">
        <f t="shared" si="0"/>
        <v>896.71278260869565</v>
      </c>
      <c r="I142" s="4" t="s">
        <v>816</v>
      </c>
    </row>
    <row r="143" spans="1:10">
      <c r="A143" s="3">
        <v>15</v>
      </c>
      <c r="B143" s="3">
        <v>1</v>
      </c>
      <c r="C143" s="4" t="s">
        <v>702</v>
      </c>
      <c r="D143" s="52" t="s">
        <v>834</v>
      </c>
      <c r="E143" s="4" t="s">
        <v>271</v>
      </c>
      <c r="F143" s="4">
        <v>81897710010</v>
      </c>
      <c r="G143" s="24">
        <v>896.71278260869565</v>
      </c>
      <c r="H143" s="24">
        <f t="shared" si="0"/>
        <v>896.71278260869565</v>
      </c>
      <c r="I143" s="4" t="s">
        <v>816</v>
      </c>
    </row>
    <row r="144" spans="1:10">
      <c r="A144" s="3">
        <v>16</v>
      </c>
      <c r="B144" s="3">
        <v>1</v>
      </c>
      <c r="C144" s="4" t="s">
        <v>703</v>
      </c>
      <c r="D144" s="47" t="s">
        <v>272</v>
      </c>
      <c r="E144" s="4" t="s">
        <v>273</v>
      </c>
      <c r="F144" s="4">
        <v>81897710023</v>
      </c>
      <c r="G144" s="24">
        <v>1120.7563043478258</v>
      </c>
      <c r="H144" s="24">
        <f t="shared" si="0"/>
        <v>1120.7563043478258</v>
      </c>
      <c r="I144" s="4" t="s">
        <v>816</v>
      </c>
    </row>
    <row r="145" spans="1:9">
      <c r="A145" s="3">
        <v>17</v>
      </c>
      <c r="B145" s="3">
        <v>1</v>
      </c>
      <c r="C145" s="4" t="s">
        <v>704</v>
      </c>
      <c r="D145" s="47" t="s">
        <v>274</v>
      </c>
      <c r="E145" s="4" t="s">
        <v>275</v>
      </c>
      <c r="F145" s="4">
        <v>81897710023</v>
      </c>
      <c r="G145" s="24">
        <v>1063.7892391304347</v>
      </c>
      <c r="H145" s="24">
        <f t="shared" si="0"/>
        <v>1063.7892391304347</v>
      </c>
      <c r="I145" s="4" t="s">
        <v>816</v>
      </c>
    </row>
    <row r="146" spans="1:9">
      <c r="A146" s="3">
        <v>18</v>
      </c>
      <c r="B146" s="3">
        <v>1</v>
      </c>
      <c r="C146" s="4" t="s">
        <v>276</v>
      </c>
      <c r="D146" s="47" t="s">
        <v>601</v>
      </c>
      <c r="E146" s="4" t="s">
        <v>277</v>
      </c>
      <c r="F146" s="4">
        <v>81897710018</v>
      </c>
      <c r="G146" s="24">
        <v>223.42402173913047</v>
      </c>
      <c r="H146" s="24">
        <f t="shared" si="0"/>
        <v>223.42402173913047</v>
      </c>
      <c r="I146" s="4" t="s">
        <v>816</v>
      </c>
    </row>
    <row r="147" spans="1:9">
      <c r="A147" s="3">
        <v>19</v>
      </c>
      <c r="B147" s="3">
        <v>1</v>
      </c>
      <c r="C147" s="4" t="s">
        <v>278</v>
      </c>
      <c r="D147" s="47" t="s">
        <v>602</v>
      </c>
      <c r="E147" s="4" t="s">
        <v>279</v>
      </c>
      <c r="F147" s="4">
        <v>81897710018</v>
      </c>
      <c r="G147" s="24">
        <v>223.42402173913047</v>
      </c>
      <c r="H147" s="24">
        <f t="shared" si="0"/>
        <v>223.42402173913047</v>
      </c>
      <c r="I147" s="4" t="s">
        <v>816</v>
      </c>
    </row>
    <row r="148" spans="1:9">
      <c r="A148" s="3">
        <v>20</v>
      </c>
      <c r="B148" s="3">
        <v>1</v>
      </c>
      <c r="C148" s="4" t="s">
        <v>280</v>
      </c>
      <c r="D148" s="47" t="s">
        <v>594</v>
      </c>
      <c r="E148" s="4" t="s">
        <v>50</v>
      </c>
      <c r="F148" s="4">
        <v>81897710018</v>
      </c>
      <c r="G148" s="24">
        <v>228.67630434782609</v>
      </c>
      <c r="H148" s="24">
        <f t="shared" si="0"/>
        <v>228.67630434782609</v>
      </c>
      <c r="I148" s="4" t="s">
        <v>816</v>
      </c>
    </row>
    <row r="149" spans="1:9">
      <c r="A149" s="3">
        <v>21</v>
      </c>
      <c r="B149" s="3">
        <v>1</v>
      </c>
      <c r="C149" s="4" t="s">
        <v>281</v>
      </c>
      <c r="D149" s="47" t="s">
        <v>596</v>
      </c>
      <c r="E149" s="4" t="s">
        <v>54</v>
      </c>
      <c r="F149" s="4">
        <v>81897710018</v>
      </c>
      <c r="G149" s="24">
        <v>246.8572826086957</v>
      </c>
      <c r="H149" s="24">
        <f t="shared" si="0"/>
        <v>246.8572826086957</v>
      </c>
      <c r="I149" s="4" t="s">
        <v>816</v>
      </c>
    </row>
    <row r="150" spans="1:9">
      <c r="A150" s="3">
        <v>22</v>
      </c>
      <c r="B150" s="3">
        <v>1</v>
      </c>
      <c r="C150" s="4" t="s">
        <v>282</v>
      </c>
      <c r="D150" s="47" t="s">
        <v>632</v>
      </c>
      <c r="E150" s="4" t="s">
        <v>283</v>
      </c>
      <c r="F150" s="4">
        <v>81897710010</v>
      </c>
      <c r="G150" s="24">
        <v>419.64391304347828</v>
      </c>
      <c r="H150" s="24">
        <f t="shared" si="0"/>
        <v>419.64391304347828</v>
      </c>
      <c r="I150" s="4" t="s">
        <v>816</v>
      </c>
    </row>
    <row r="151" spans="1:9">
      <c r="A151" s="3">
        <v>23</v>
      </c>
      <c r="B151" s="3">
        <v>1</v>
      </c>
      <c r="C151" s="4" t="s">
        <v>284</v>
      </c>
      <c r="D151" s="47" t="s">
        <v>633</v>
      </c>
      <c r="E151" s="4" t="s">
        <v>285</v>
      </c>
      <c r="F151" s="4">
        <v>81897710010</v>
      </c>
      <c r="G151" s="24">
        <v>509.46243478260868</v>
      </c>
      <c r="H151" s="24">
        <f t="shared" si="0"/>
        <v>509.46243478260868</v>
      </c>
      <c r="I151" s="4" t="s">
        <v>816</v>
      </c>
    </row>
    <row r="152" spans="1:9">
      <c r="A152" s="3">
        <v>24</v>
      </c>
      <c r="B152" s="3">
        <v>1</v>
      </c>
      <c r="C152" s="4" t="s">
        <v>286</v>
      </c>
      <c r="D152" s="47" t="s">
        <v>634</v>
      </c>
      <c r="E152" s="4" t="s">
        <v>60</v>
      </c>
      <c r="F152" s="4">
        <v>81897710018</v>
      </c>
      <c r="G152" s="24">
        <v>264.63423913043471</v>
      </c>
      <c r="H152" s="24">
        <f t="shared" si="0"/>
        <v>264.63423913043471</v>
      </c>
      <c r="I152" s="4" t="s">
        <v>816</v>
      </c>
    </row>
    <row r="153" spans="1:9">
      <c r="A153" s="3">
        <v>25</v>
      </c>
      <c r="B153" s="3">
        <v>1</v>
      </c>
      <c r="C153" s="4" t="s">
        <v>287</v>
      </c>
      <c r="D153" s="47" t="s">
        <v>635</v>
      </c>
      <c r="E153" s="4" t="s">
        <v>62</v>
      </c>
      <c r="F153" s="4">
        <v>81897710018</v>
      </c>
      <c r="G153" s="24">
        <v>279.98706521739132</v>
      </c>
      <c r="H153" s="24">
        <f t="shared" si="0"/>
        <v>279.98706521739132</v>
      </c>
      <c r="I153" s="4" t="s">
        <v>816</v>
      </c>
    </row>
    <row r="154" spans="1:9">
      <c r="A154" s="3">
        <v>26</v>
      </c>
      <c r="B154" s="3">
        <v>8</v>
      </c>
      <c r="C154" s="4" t="s">
        <v>288</v>
      </c>
      <c r="D154" s="47" t="s">
        <v>583</v>
      </c>
      <c r="E154" s="4" t="s">
        <v>19</v>
      </c>
      <c r="F154" s="4">
        <v>81897710001</v>
      </c>
      <c r="G154" s="24">
        <v>127.26684782608696</v>
      </c>
      <c r="H154" s="24">
        <f t="shared" si="0"/>
        <v>1018.1347826086957</v>
      </c>
      <c r="I154" s="4" t="s">
        <v>816</v>
      </c>
    </row>
    <row r="155" spans="1:9">
      <c r="A155" s="3">
        <v>27</v>
      </c>
      <c r="B155" s="3">
        <v>1</v>
      </c>
      <c r="C155" s="4" t="s">
        <v>705</v>
      </c>
      <c r="D155" s="47" t="s">
        <v>636</v>
      </c>
      <c r="E155" s="4" t="s">
        <v>111</v>
      </c>
      <c r="F155" s="4">
        <v>81897710001</v>
      </c>
      <c r="G155" s="24">
        <v>655.32326086956516</v>
      </c>
      <c r="H155" s="24">
        <f t="shared" si="0"/>
        <v>655.32326086956516</v>
      </c>
      <c r="I155" s="4" t="s">
        <v>816</v>
      </c>
    </row>
    <row r="156" spans="1:9">
      <c r="A156" s="3">
        <v>28</v>
      </c>
      <c r="B156" s="3">
        <v>1</v>
      </c>
      <c r="C156" s="4" t="s">
        <v>706</v>
      </c>
      <c r="D156" s="47" t="s">
        <v>637</v>
      </c>
      <c r="E156" s="4" t="s">
        <v>289</v>
      </c>
      <c r="F156" s="4">
        <v>81897710001</v>
      </c>
      <c r="G156" s="24">
        <v>1577.7048913043477</v>
      </c>
      <c r="H156" s="24">
        <f t="shared" si="0"/>
        <v>1577.7048913043477</v>
      </c>
      <c r="I156" s="4" t="s">
        <v>816</v>
      </c>
    </row>
    <row r="157" spans="1:9">
      <c r="A157" s="3">
        <v>29</v>
      </c>
      <c r="B157" s="3">
        <v>1</v>
      </c>
      <c r="C157" s="4" t="s">
        <v>290</v>
      </c>
      <c r="D157" s="47" t="s">
        <v>789</v>
      </c>
      <c r="E157" s="4" t="s">
        <v>42</v>
      </c>
      <c r="F157" s="4">
        <v>81897710001</v>
      </c>
      <c r="G157" s="24">
        <v>1368.0176086956521</v>
      </c>
      <c r="H157" s="24">
        <f t="shared" si="0"/>
        <v>1368.0176086956521</v>
      </c>
      <c r="I157" s="4" t="s">
        <v>816</v>
      </c>
    </row>
    <row r="158" spans="1:9">
      <c r="A158" s="3">
        <v>30</v>
      </c>
      <c r="B158" s="3">
        <v>1</v>
      </c>
      <c r="C158" s="4" t="s">
        <v>291</v>
      </c>
      <c r="D158" s="47" t="s">
        <v>790</v>
      </c>
      <c r="E158" s="4" t="s">
        <v>292</v>
      </c>
      <c r="F158" s="4">
        <v>81897710001</v>
      </c>
      <c r="G158" s="24">
        <v>1397.5111956521741</v>
      </c>
      <c r="H158" s="24">
        <f t="shared" si="0"/>
        <v>1397.5111956521741</v>
      </c>
      <c r="I158" s="4" t="s">
        <v>816</v>
      </c>
    </row>
    <row r="159" spans="1:9">
      <c r="A159" s="3">
        <v>31</v>
      </c>
      <c r="B159" s="3">
        <v>8</v>
      </c>
      <c r="C159" s="4" t="s">
        <v>293</v>
      </c>
      <c r="D159" s="47" t="s">
        <v>638</v>
      </c>
      <c r="E159" s="4" t="s">
        <v>294</v>
      </c>
      <c r="F159" s="4">
        <v>81897710001</v>
      </c>
      <c r="G159" s="24">
        <v>127.26684782608696</v>
      </c>
      <c r="H159" s="24">
        <f t="shared" si="0"/>
        <v>1018.1347826086957</v>
      </c>
      <c r="I159" s="4" t="s">
        <v>816</v>
      </c>
    </row>
    <row r="160" spans="1:9">
      <c r="A160" s="3">
        <v>32</v>
      </c>
      <c r="B160" s="3">
        <v>8</v>
      </c>
      <c r="C160" s="4" t="s">
        <v>707</v>
      </c>
      <c r="D160" s="47" t="s">
        <v>639</v>
      </c>
      <c r="E160" s="42" t="s">
        <v>687</v>
      </c>
      <c r="F160" s="4">
        <v>81897710001</v>
      </c>
      <c r="G160" s="24">
        <v>130.49902173913043</v>
      </c>
      <c r="H160" s="24">
        <f t="shared" si="0"/>
        <v>1043.9921739130434</v>
      </c>
      <c r="I160" s="4" t="s">
        <v>816</v>
      </c>
    </row>
    <row r="161" spans="1:9">
      <c r="A161" s="3">
        <v>33</v>
      </c>
      <c r="B161" s="38">
        <v>1</v>
      </c>
      <c r="C161" s="40" t="s">
        <v>295</v>
      </c>
      <c r="D161" s="48" t="s">
        <v>21</v>
      </c>
      <c r="E161" s="40" t="s">
        <v>22</v>
      </c>
      <c r="F161" s="40">
        <v>81897719003</v>
      </c>
      <c r="G161" s="41">
        <v>565.63043478260863</v>
      </c>
      <c r="H161" s="41">
        <f t="shared" ref="H161:H192" si="1">G161*B161</f>
        <v>565.63043478260863</v>
      </c>
      <c r="I161" s="4" t="s">
        <v>816</v>
      </c>
    </row>
    <row r="162" spans="1:9">
      <c r="A162" s="3">
        <v>34</v>
      </c>
      <c r="B162" s="3">
        <v>1</v>
      </c>
      <c r="C162" s="4" t="s">
        <v>296</v>
      </c>
      <c r="D162" s="47" t="s">
        <v>572</v>
      </c>
      <c r="E162" s="4" t="s">
        <v>20</v>
      </c>
      <c r="F162" s="4">
        <v>81897710001</v>
      </c>
      <c r="G162" s="24">
        <v>867.43467391304341</v>
      </c>
      <c r="H162" s="24">
        <f t="shared" si="1"/>
        <v>867.43467391304341</v>
      </c>
      <c r="I162" s="4" t="s">
        <v>816</v>
      </c>
    </row>
    <row r="163" spans="1:9">
      <c r="A163" s="3">
        <v>35</v>
      </c>
      <c r="B163" s="3">
        <v>1</v>
      </c>
      <c r="C163" s="4" t="s">
        <v>297</v>
      </c>
      <c r="D163" s="47" t="s">
        <v>571</v>
      </c>
      <c r="E163" s="4" t="s">
        <v>237</v>
      </c>
      <c r="F163" s="4">
        <v>81897710001</v>
      </c>
      <c r="G163" s="24">
        <v>941.37065217391296</v>
      </c>
      <c r="H163" s="24">
        <f t="shared" si="1"/>
        <v>941.37065217391296</v>
      </c>
      <c r="I163" s="4" t="s">
        <v>816</v>
      </c>
    </row>
    <row r="164" spans="1:9">
      <c r="A164" s="3">
        <v>36</v>
      </c>
      <c r="B164" s="3">
        <v>1</v>
      </c>
      <c r="C164" s="4" t="s">
        <v>298</v>
      </c>
      <c r="D164" s="47" t="s">
        <v>573</v>
      </c>
      <c r="E164" s="4" t="s">
        <v>299</v>
      </c>
      <c r="F164" s="4">
        <v>81897710001</v>
      </c>
      <c r="G164" s="24">
        <v>1085.6064130434781</v>
      </c>
      <c r="H164" s="24">
        <f t="shared" si="1"/>
        <v>1085.6064130434781</v>
      </c>
      <c r="I164" s="4" t="s">
        <v>816</v>
      </c>
    </row>
    <row r="165" spans="1:9">
      <c r="A165" s="3">
        <v>37</v>
      </c>
      <c r="B165" s="3">
        <v>2</v>
      </c>
      <c r="C165" s="4" t="s">
        <v>708</v>
      </c>
      <c r="D165" s="47" t="s">
        <v>300</v>
      </c>
      <c r="E165" s="4" t="s">
        <v>301</v>
      </c>
      <c r="F165" s="4">
        <v>81897710021</v>
      </c>
      <c r="G165" s="24">
        <v>315.54097826086951</v>
      </c>
      <c r="H165" s="24">
        <f t="shared" si="1"/>
        <v>631.08195652173902</v>
      </c>
      <c r="I165" s="4" t="s">
        <v>816</v>
      </c>
    </row>
    <row r="166" spans="1:9">
      <c r="A166" s="3">
        <v>38</v>
      </c>
      <c r="B166" s="3">
        <v>2</v>
      </c>
      <c r="C166" s="4" t="s">
        <v>709</v>
      </c>
      <c r="D166" s="47" t="s">
        <v>4</v>
      </c>
      <c r="E166" s="4" t="s">
        <v>5</v>
      </c>
      <c r="F166" s="4">
        <v>81897710023</v>
      </c>
      <c r="G166" s="24">
        <v>315.54097826086951</v>
      </c>
      <c r="H166" s="24">
        <f t="shared" si="1"/>
        <v>631.08195652173902</v>
      </c>
      <c r="I166" s="4" t="s">
        <v>816</v>
      </c>
    </row>
    <row r="167" spans="1:9">
      <c r="A167" s="3">
        <v>39</v>
      </c>
      <c r="B167" s="3">
        <v>4</v>
      </c>
      <c r="C167" s="4" t="s">
        <v>710</v>
      </c>
      <c r="D167" s="47" t="s">
        <v>567</v>
      </c>
      <c r="E167" s="4" t="s">
        <v>6</v>
      </c>
      <c r="F167" s="4">
        <v>81897710023</v>
      </c>
      <c r="G167" s="24">
        <v>236.35271739130437</v>
      </c>
      <c r="H167" s="24">
        <f t="shared" si="1"/>
        <v>945.41086956521747</v>
      </c>
      <c r="I167" s="4" t="s">
        <v>816</v>
      </c>
    </row>
    <row r="168" spans="1:9">
      <c r="A168" s="3">
        <v>40</v>
      </c>
      <c r="B168" s="3">
        <v>2</v>
      </c>
      <c r="C168" s="4" t="s">
        <v>711</v>
      </c>
      <c r="D168" s="47" t="s">
        <v>140</v>
      </c>
      <c r="E168" s="4" t="s">
        <v>30</v>
      </c>
      <c r="F168" s="4">
        <v>81897710023</v>
      </c>
      <c r="G168" s="24">
        <v>256.95782608695657</v>
      </c>
      <c r="H168" s="24">
        <f t="shared" si="1"/>
        <v>513.91565217391314</v>
      </c>
      <c r="I168" s="4" t="s">
        <v>816</v>
      </c>
    </row>
    <row r="169" spans="1:9">
      <c r="A169" s="3">
        <v>41</v>
      </c>
      <c r="B169" s="3">
        <v>2</v>
      </c>
      <c r="C169" s="4" t="s">
        <v>712</v>
      </c>
      <c r="D169" s="47" t="s">
        <v>302</v>
      </c>
      <c r="E169" s="4" t="s">
        <v>303</v>
      </c>
      <c r="F169" s="4">
        <v>81897710023</v>
      </c>
      <c r="G169" s="24">
        <v>269.07847826086959</v>
      </c>
      <c r="H169" s="24">
        <f t="shared" si="1"/>
        <v>538.15695652173918</v>
      </c>
      <c r="I169" s="4" t="s">
        <v>816</v>
      </c>
    </row>
    <row r="170" spans="1:9">
      <c r="A170" s="3">
        <v>42</v>
      </c>
      <c r="B170" s="3">
        <v>2</v>
      </c>
      <c r="C170" s="4" t="s">
        <v>713</v>
      </c>
      <c r="D170" s="47" t="s">
        <v>640</v>
      </c>
      <c r="E170" s="4" t="s">
        <v>304</v>
      </c>
      <c r="F170" s="4">
        <v>81897710018</v>
      </c>
      <c r="G170" s="24">
        <v>201.60684782608698</v>
      </c>
      <c r="H170" s="24">
        <f t="shared" si="1"/>
        <v>403.21369565217395</v>
      </c>
      <c r="I170" s="4" t="s">
        <v>816</v>
      </c>
    </row>
    <row r="171" spans="1:9">
      <c r="A171" s="3">
        <v>43</v>
      </c>
      <c r="B171" s="3">
        <v>2</v>
      </c>
      <c r="C171" s="4" t="s">
        <v>714</v>
      </c>
      <c r="D171" s="47" t="s">
        <v>641</v>
      </c>
      <c r="E171" s="4" t="s">
        <v>103</v>
      </c>
      <c r="F171" s="4">
        <v>81897710018</v>
      </c>
      <c r="G171" s="24">
        <v>201.60684782608698</v>
      </c>
      <c r="H171" s="24">
        <f t="shared" si="1"/>
        <v>403.21369565217395</v>
      </c>
      <c r="I171" s="4" t="s">
        <v>816</v>
      </c>
    </row>
    <row r="172" spans="1:9">
      <c r="A172" s="3">
        <v>44</v>
      </c>
      <c r="B172" s="3">
        <v>2</v>
      </c>
      <c r="C172" s="4" t="s">
        <v>715</v>
      </c>
      <c r="D172" s="47" t="s">
        <v>143</v>
      </c>
      <c r="E172" s="4" t="s">
        <v>105</v>
      </c>
      <c r="F172" s="4">
        <v>81897710018</v>
      </c>
      <c r="G172" s="24">
        <v>256.95782608695657</v>
      </c>
      <c r="H172" s="24">
        <f t="shared" si="1"/>
        <v>513.91565217391314</v>
      </c>
      <c r="I172" s="4" t="s">
        <v>816</v>
      </c>
    </row>
    <row r="173" spans="1:9">
      <c r="A173" s="3">
        <v>45</v>
      </c>
      <c r="B173" s="3">
        <v>2</v>
      </c>
      <c r="C173" s="4" t="s">
        <v>716</v>
      </c>
      <c r="D173" s="47" t="s">
        <v>305</v>
      </c>
      <c r="E173" s="4" t="s">
        <v>306</v>
      </c>
      <c r="F173" s="4">
        <v>81897710018</v>
      </c>
      <c r="G173" s="24">
        <v>281.60315217391303</v>
      </c>
      <c r="H173" s="24">
        <f t="shared" si="1"/>
        <v>563.20630434782606</v>
      </c>
      <c r="I173" s="4" t="s">
        <v>816</v>
      </c>
    </row>
    <row r="174" spans="1:9">
      <c r="A174" s="3">
        <v>46</v>
      </c>
      <c r="B174" s="3">
        <v>1</v>
      </c>
      <c r="C174" s="4" t="s">
        <v>717</v>
      </c>
      <c r="D174" s="47" t="s">
        <v>643</v>
      </c>
      <c r="E174" s="4" t="s">
        <v>307</v>
      </c>
      <c r="F174" s="4">
        <v>81897710001</v>
      </c>
      <c r="G174" s="24">
        <v>1105.8075000000001</v>
      </c>
      <c r="H174" s="24">
        <f t="shared" si="1"/>
        <v>1105.8075000000001</v>
      </c>
      <c r="I174" s="4" t="s">
        <v>816</v>
      </c>
    </row>
    <row r="175" spans="1:9">
      <c r="A175" s="3">
        <v>47</v>
      </c>
      <c r="B175" s="3">
        <v>1</v>
      </c>
      <c r="C175" s="4" t="s">
        <v>718</v>
      </c>
      <c r="D175" s="47" t="s">
        <v>308</v>
      </c>
      <c r="E175" s="4" t="s">
        <v>309</v>
      </c>
      <c r="F175" s="4">
        <v>81897710001</v>
      </c>
      <c r="G175" s="24">
        <v>1105.8075000000001</v>
      </c>
      <c r="H175" s="24">
        <f t="shared" si="1"/>
        <v>1105.8075000000001</v>
      </c>
      <c r="I175" s="4" t="s">
        <v>816</v>
      </c>
    </row>
    <row r="176" spans="1:9">
      <c r="A176" s="3">
        <v>48</v>
      </c>
      <c r="B176" s="3">
        <v>1</v>
      </c>
      <c r="C176" s="4" t="s">
        <v>719</v>
      </c>
      <c r="D176" s="47" t="s">
        <v>642</v>
      </c>
      <c r="E176" s="4" t="s">
        <v>310</v>
      </c>
      <c r="F176" s="4">
        <v>81897710001</v>
      </c>
      <c r="G176" s="24">
        <v>1321.5551086956521</v>
      </c>
      <c r="H176" s="24">
        <f t="shared" si="1"/>
        <v>1321.5551086956521</v>
      </c>
      <c r="I176" s="4" t="s">
        <v>816</v>
      </c>
    </row>
    <row r="177" spans="1:10">
      <c r="A177" s="3">
        <v>49</v>
      </c>
      <c r="B177" s="3">
        <v>1</v>
      </c>
      <c r="C177" s="4" t="s">
        <v>720</v>
      </c>
      <c r="D177" s="47" t="s">
        <v>311</v>
      </c>
      <c r="E177" s="4" t="s">
        <v>312</v>
      </c>
      <c r="F177" s="4">
        <v>81897710001</v>
      </c>
      <c r="G177" s="24">
        <v>1321.5551086956521</v>
      </c>
      <c r="H177" s="24">
        <f t="shared" si="1"/>
        <v>1321.5551086956521</v>
      </c>
      <c r="I177" s="4" t="s">
        <v>816</v>
      </c>
    </row>
    <row r="178" spans="1:10">
      <c r="A178" s="3">
        <v>50</v>
      </c>
      <c r="B178" s="3">
        <v>1</v>
      </c>
      <c r="C178" s="4" t="s">
        <v>721</v>
      </c>
      <c r="D178" s="47" t="s">
        <v>644</v>
      </c>
      <c r="E178" s="4" t="s">
        <v>313</v>
      </c>
      <c r="F178" s="4">
        <v>81897710001</v>
      </c>
      <c r="G178" s="24">
        <v>1509.8292391304346</v>
      </c>
      <c r="H178" s="24">
        <f t="shared" si="1"/>
        <v>1509.8292391304346</v>
      </c>
      <c r="I178" s="4" t="s">
        <v>816</v>
      </c>
    </row>
    <row r="179" spans="1:10">
      <c r="A179" s="3">
        <v>51</v>
      </c>
      <c r="B179" s="3">
        <v>1</v>
      </c>
      <c r="C179" s="4" t="s">
        <v>722</v>
      </c>
      <c r="D179" s="47" t="s">
        <v>154</v>
      </c>
      <c r="E179" s="4" t="s">
        <v>155</v>
      </c>
      <c r="F179" s="4">
        <v>81897710001</v>
      </c>
      <c r="G179" s="24">
        <v>1509.8292391304346</v>
      </c>
      <c r="H179" s="24">
        <f t="shared" si="1"/>
        <v>1509.8292391304346</v>
      </c>
      <c r="I179" s="4" t="s">
        <v>816</v>
      </c>
    </row>
    <row r="180" spans="1:10" ht="15.75">
      <c r="A180" s="3">
        <v>52</v>
      </c>
      <c r="B180" s="38">
        <v>2</v>
      </c>
      <c r="C180" s="40" t="s">
        <v>130</v>
      </c>
      <c r="D180" s="48" t="s">
        <v>589</v>
      </c>
      <c r="E180" s="58" t="s">
        <v>810</v>
      </c>
      <c r="F180" s="54">
        <v>81897719006</v>
      </c>
      <c r="G180" s="41">
        <v>1692.4021739130437</v>
      </c>
      <c r="H180" s="41">
        <f t="shared" si="1"/>
        <v>3384.8043478260875</v>
      </c>
      <c r="I180" s="4" t="s">
        <v>816</v>
      </c>
      <c r="J180" s="60" t="s">
        <v>131</v>
      </c>
    </row>
    <row r="181" spans="1:10" ht="15.75">
      <c r="A181" s="3">
        <v>53</v>
      </c>
      <c r="B181" s="38">
        <v>2</v>
      </c>
      <c r="C181" s="40" t="s">
        <v>694</v>
      </c>
      <c r="D181" s="48" t="s">
        <v>590</v>
      </c>
      <c r="E181" s="58" t="s">
        <v>811</v>
      </c>
      <c r="F181" s="54">
        <v>81897719006</v>
      </c>
      <c r="G181" s="41">
        <v>1812.261956521739</v>
      </c>
      <c r="H181" s="41">
        <f t="shared" si="1"/>
        <v>3624.5239130434779</v>
      </c>
      <c r="I181" s="4" t="s">
        <v>816</v>
      </c>
      <c r="J181" s="60" t="s">
        <v>132</v>
      </c>
    </row>
    <row r="182" spans="1:10">
      <c r="A182" s="3">
        <v>54</v>
      </c>
      <c r="B182" s="38">
        <v>2</v>
      </c>
      <c r="C182" s="40" t="s">
        <v>314</v>
      </c>
      <c r="D182" s="48" t="s">
        <v>791</v>
      </c>
      <c r="E182" s="40" t="s">
        <v>315</v>
      </c>
      <c r="F182" s="40">
        <v>81897710001</v>
      </c>
      <c r="G182" s="41">
        <v>1719.5165217391304</v>
      </c>
      <c r="H182" s="41">
        <f t="shared" si="1"/>
        <v>3439.0330434782609</v>
      </c>
      <c r="I182" s="4" t="s">
        <v>816</v>
      </c>
    </row>
    <row r="183" spans="1:10">
      <c r="A183" s="3">
        <v>55</v>
      </c>
      <c r="B183" s="3">
        <v>2</v>
      </c>
      <c r="C183" s="4" t="s">
        <v>316</v>
      </c>
      <c r="D183" s="47" t="s">
        <v>792</v>
      </c>
      <c r="E183" s="4" t="s">
        <v>317</v>
      </c>
      <c r="F183" s="4">
        <v>81897710001</v>
      </c>
      <c r="G183" s="24">
        <v>1749.4141304347825</v>
      </c>
      <c r="H183" s="24">
        <f t="shared" si="1"/>
        <v>3498.8282608695649</v>
      </c>
      <c r="I183" s="4" t="s">
        <v>816</v>
      </c>
    </row>
    <row r="184" spans="1:10">
      <c r="A184" s="3">
        <v>56</v>
      </c>
      <c r="B184" s="3">
        <v>2</v>
      </c>
      <c r="C184" s="4" t="s">
        <v>318</v>
      </c>
      <c r="D184" s="47" t="s">
        <v>619</v>
      </c>
      <c r="E184" s="4" t="s">
        <v>319</v>
      </c>
      <c r="F184" s="4">
        <v>81897710001</v>
      </c>
      <c r="G184" s="24">
        <v>974.90445652173923</v>
      </c>
      <c r="H184" s="24">
        <f t="shared" si="1"/>
        <v>1949.8089130434785</v>
      </c>
      <c r="I184" s="4" t="s">
        <v>816</v>
      </c>
    </row>
    <row r="185" spans="1:10">
      <c r="A185" s="3">
        <v>57</v>
      </c>
      <c r="B185" s="3">
        <v>2</v>
      </c>
      <c r="C185" s="4" t="s">
        <v>320</v>
      </c>
      <c r="D185" s="47" t="s">
        <v>620</v>
      </c>
      <c r="E185" s="4" t="s">
        <v>321</v>
      </c>
      <c r="F185" s="4">
        <v>81897710001</v>
      </c>
      <c r="G185" s="24">
        <v>449.27217391304345</v>
      </c>
      <c r="H185" s="24">
        <f t="shared" si="1"/>
        <v>898.54434782608689</v>
      </c>
      <c r="I185" s="4" t="s">
        <v>816</v>
      </c>
    </row>
    <row r="186" spans="1:10">
      <c r="A186" s="3">
        <v>58</v>
      </c>
      <c r="B186" s="3">
        <v>1</v>
      </c>
      <c r="C186" s="4" t="s">
        <v>322</v>
      </c>
      <c r="D186" s="47" t="s">
        <v>323</v>
      </c>
      <c r="E186" s="4" t="s">
        <v>324</v>
      </c>
      <c r="F186" s="4">
        <v>81897710001</v>
      </c>
      <c r="G186" s="24">
        <v>1254.0834782608695</v>
      </c>
      <c r="H186" s="24">
        <f t="shared" si="1"/>
        <v>1254.0834782608695</v>
      </c>
      <c r="I186" s="4" t="s">
        <v>816</v>
      </c>
    </row>
    <row r="187" spans="1:10">
      <c r="A187" s="3">
        <v>59</v>
      </c>
      <c r="B187" s="3">
        <v>1</v>
      </c>
      <c r="C187" s="4" t="s">
        <v>325</v>
      </c>
      <c r="D187" s="47" t="s">
        <v>326</v>
      </c>
      <c r="E187" s="4" t="s">
        <v>327</v>
      </c>
      <c r="F187" s="4">
        <v>81897710001</v>
      </c>
      <c r="G187" s="24">
        <v>1710.6280434782611</v>
      </c>
      <c r="H187" s="24">
        <f t="shared" si="1"/>
        <v>1710.6280434782611</v>
      </c>
      <c r="I187" s="4" t="s">
        <v>816</v>
      </c>
    </row>
    <row r="188" spans="1:10">
      <c r="A188" s="3">
        <v>60</v>
      </c>
      <c r="B188" s="3">
        <v>1</v>
      </c>
      <c r="C188" s="4" t="s">
        <v>328</v>
      </c>
      <c r="D188" s="47" t="s">
        <v>329</v>
      </c>
      <c r="E188" s="4" t="s">
        <v>330</v>
      </c>
      <c r="F188" s="4">
        <v>81897710001</v>
      </c>
      <c r="G188" s="24">
        <v>1938.496304347826</v>
      </c>
      <c r="H188" s="24">
        <f t="shared" si="1"/>
        <v>1938.496304347826</v>
      </c>
      <c r="I188" s="4" t="s">
        <v>816</v>
      </c>
    </row>
    <row r="189" spans="1:10">
      <c r="A189" s="3">
        <v>61</v>
      </c>
      <c r="B189" s="3">
        <v>4</v>
      </c>
      <c r="C189" s="4" t="s">
        <v>331</v>
      </c>
      <c r="D189" s="47" t="s">
        <v>332</v>
      </c>
      <c r="E189" s="4" t="s">
        <v>333</v>
      </c>
      <c r="F189" s="4">
        <v>81897710001</v>
      </c>
      <c r="G189" s="24">
        <v>1217.7215217391304</v>
      </c>
      <c r="H189" s="24">
        <f t="shared" si="1"/>
        <v>4870.8860869565215</v>
      </c>
      <c r="I189" s="4" t="s">
        <v>816</v>
      </c>
    </row>
    <row r="190" spans="1:10">
      <c r="A190" s="3">
        <v>62</v>
      </c>
      <c r="B190" s="3">
        <v>1</v>
      </c>
      <c r="C190" s="4" t="s">
        <v>723</v>
      </c>
      <c r="D190" s="47" t="s">
        <v>621</v>
      </c>
      <c r="E190" s="4" t="s">
        <v>277</v>
      </c>
      <c r="F190" s="4">
        <v>81897710018</v>
      </c>
      <c r="G190" s="24">
        <v>223.42402173913047</v>
      </c>
      <c r="H190" s="24">
        <f t="shared" si="1"/>
        <v>223.42402173913047</v>
      </c>
      <c r="I190" s="4" t="s">
        <v>816</v>
      </c>
    </row>
    <row r="191" spans="1:10">
      <c r="A191" s="3">
        <v>63</v>
      </c>
      <c r="B191" s="3">
        <v>1</v>
      </c>
      <c r="C191" s="4" t="s">
        <v>724</v>
      </c>
      <c r="D191" s="47" t="s">
        <v>622</v>
      </c>
      <c r="E191" s="4" t="s">
        <v>279</v>
      </c>
      <c r="F191" s="4">
        <v>81897710018</v>
      </c>
      <c r="G191" s="24">
        <v>223.42402173913047</v>
      </c>
      <c r="H191" s="24">
        <f t="shared" si="1"/>
        <v>223.42402173913047</v>
      </c>
      <c r="I191" s="4" t="s">
        <v>816</v>
      </c>
    </row>
    <row r="192" spans="1:10">
      <c r="A192" s="3">
        <v>64</v>
      </c>
      <c r="B192" s="3">
        <v>1</v>
      </c>
      <c r="C192" s="4" t="s">
        <v>725</v>
      </c>
      <c r="D192" s="47" t="s">
        <v>594</v>
      </c>
      <c r="E192" s="4" t="s">
        <v>50</v>
      </c>
      <c r="F192" s="4">
        <v>81897710018</v>
      </c>
      <c r="G192" s="24">
        <v>228.67630434782609</v>
      </c>
      <c r="H192" s="24">
        <f t="shared" si="1"/>
        <v>228.67630434782609</v>
      </c>
      <c r="I192" s="4" t="s">
        <v>816</v>
      </c>
    </row>
    <row r="193" spans="1:9">
      <c r="A193" s="3">
        <v>65</v>
      </c>
      <c r="B193" s="3">
        <v>1</v>
      </c>
      <c r="C193" s="4" t="s">
        <v>726</v>
      </c>
      <c r="D193" s="47" t="s">
        <v>596</v>
      </c>
      <c r="E193" s="4" t="s">
        <v>54</v>
      </c>
      <c r="F193" s="4">
        <v>81897710018</v>
      </c>
      <c r="G193" s="24">
        <v>246.8572826086957</v>
      </c>
      <c r="H193" s="24">
        <f t="shared" ref="H193:H209" si="2">G193*B193</f>
        <v>246.8572826086957</v>
      </c>
      <c r="I193" s="4" t="s">
        <v>816</v>
      </c>
    </row>
    <row r="194" spans="1:9">
      <c r="A194" s="3">
        <v>66</v>
      </c>
      <c r="B194" s="3">
        <v>1</v>
      </c>
      <c r="C194" s="4" t="s">
        <v>727</v>
      </c>
      <c r="D194" s="47" t="s">
        <v>597</v>
      </c>
      <c r="E194" s="4" t="s">
        <v>56</v>
      </c>
      <c r="F194" s="4">
        <v>81897710018</v>
      </c>
      <c r="G194" s="24">
        <v>254.53369565217392</v>
      </c>
      <c r="H194" s="24">
        <f t="shared" si="2"/>
        <v>254.53369565217392</v>
      </c>
      <c r="I194" s="4" t="s">
        <v>816</v>
      </c>
    </row>
    <row r="195" spans="1:9">
      <c r="A195" s="3">
        <v>67</v>
      </c>
      <c r="B195" s="3">
        <v>1</v>
      </c>
      <c r="C195" s="4" t="s">
        <v>57</v>
      </c>
      <c r="D195" s="47" t="s">
        <v>598</v>
      </c>
      <c r="E195" s="4" t="s">
        <v>58</v>
      </c>
      <c r="F195" s="4">
        <v>81897710018</v>
      </c>
      <c r="G195" s="24">
        <v>264.63423913043471</v>
      </c>
      <c r="H195" s="24">
        <f t="shared" si="2"/>
        <v>264.63423913043471</v>
      </c>
      <c r="I195" s="4" t="s">
        <v>816</v>
      </c>
    </row>
    <row r="196" spans="1:9">
      <c r="A196" s="3">
        <v>68</v>
      </c>
      <c r="B196" s="3">
        <v>1</v>
      </c>
      <c r="C196" s="4" t="s">
        <v>334</v>
      </c>
      <c r="D196" s="47" t="s">
        <v>612</v>
      </c>
      <c r="E196" s="4" t="s">
        <v>60</v>
      </c>
      <c r="F196" s="4">
        <v>81897710018</v>
      </c>
      <c r="G196" s="24">
        <v>264.63423913043471</v>
      </c>
      <c r="H196" s="24">
        <f t="shared" si="2"/>
        <v>264.63423913043471</v>
      </c>
      <c r="I196" s="4" t="s">
        <v>816</v>
      </c>
    </row>
    <row r="197" spans="1:9">
      <c r="A197" s="3">
        <v>69</v>
      </c>
      <c r="B197" s="3">
        <v>1</v>
      </c>
      <c r="C197" s="4" t="s">
        <v>335</v>
      </c>
      <c r="D197" s="47" t="s">
        <v>613</v>
      </c>
      <c r="E197" s="4" t="s">
        <v>62</v>
      </c>
      <c r="F197" s="4">
        <v>81897710018</v>
      </c>
      <c r="G197" s="24">
        <v>279.98706521739132</v>
      </c>
      <c r="H197" s="24">
        <f t="shared" si="2"/>
        <v>279.98706521739132</v>
      </c>
      <c r="I197" s="4" t="s">
        <v>816</v>
      </c>
    </row>
    <row r="198" spans="1:9">
      <c r="A198" s="3">
        <v>70</v>
      </c>
      <c r="B198" s="3">
        <v>1</v>
      </c>
      <c r="C198" s="4" t="s">
        <v>336</v>
      </c>
      <c r="D198" s="47" t="s">
        <v>614</v>
      </c>
      <c r="E198" s="4" t="s">
        <v>337</v>
      </c>
      <c r="F198" s="4">
        <v>81897710018</v>
      </c>
      <c r="G198" s="24">
        <v>290.49163043478268</v>
      </c>
      <c r="H198" s="24">
        <f t="shared" si="2"/>
        <v>290.49163043478268</v>
      </c>
      <c r="I198" s="4" t="s">
        <v>816</v>
      </c>
    </row>
    <row r="199" spans="1:9">
      <c r="A199" s="3">
        <v>71</v>
      </c>
      <c r="B199" s="3">
        <v>1</v>
      </c>
      <c r="C199" s="4" t="s">
        <v>338</v>
      </c>
      <c r="D199" s="47" t="s">
        <v>615</v>
      </c>
      <c r="E199" s="4" t="s">
        <v>339</v>
      </c>
      <c r="F199" s="4">
        <v>81897710018</v>
      </c>
      <c r="G199" s="24">
        <v>290.49163043478268</v>
      </c>
      <c r="H199" s="24">
        <f t="shared" si="2"/>
        <v>290.49163043478268</v>
      </c>
      <c r="I199" s="4" t="s">
        <v>816</v>
      </c>
    </row>
    <row r="200" spans="1:9">
      <c r="A200" s="3">
        <v>72</v>
      </c>
      <c r="B200" s="3">
        <v>1</v>
      </c>
      <c r="C200" s="4" t="s">
        <v>340</v>
      </c>
      <c r="D200" s="47" t="s">
        <v>616</v>
      </c>
      <c r="E200" s="4" t="s">
        <v>341</v>
      </c>
      <c r="F200" s="4">
        <v>81897710018</v>
      </c>
      <c r="G200" s="24">
        <v>298.16804347826087</v>
      </c>
      <c r="H200" s="24">
        <f t="shared" si="2"/>
        <v>298.16804347826087</v>
      </c>
      <c r="I200" s="4" t="s">
        <v>816</v>
      </c>
    </row>
    <row r="201" spans="1:9">
      <c r="A201" s="3">
        <v>73</v>
      </c>
      <c r="B201" s="3">
        <v>1</v>
      </c>
      <c r="C201" s="4" t="s">
        <v>342</v>
      </c>
      <c r="D201" s="47" t="s">
        <v>617</v>
      </c>
      <c r="E201" s="4" t="s">
        <v>343</v>
      </c>
      <c r="F201" s="4">
        <v>81897710018</v>
      </c>
      <c r="G201" s="24">
        <v>303.42032608695649</v>
      </c>
      <c r="H201" s="24">
        <f t="shared" si="2"/>
        <v>303.42032608695649</v>
      </c>
      <c r="I201" s="4" t="s">
        <v>816</v>
      </c>
    </row>
    <row r="202" spans="1:9">
      <c r="A202" s="3">
        <v>74</v>
      </c>
      <c r="B202" s="3">
        <v>1</v>
      </c>
      <c r="C202" s="4" t="s">
        <v>344</v>
      </c>
      <c r="D202" s="47" t="s">
        <v>618</v>
      </c>
      <c r="E202" s="4" t="s">
        <v>345</v>
      </c>
      <c r="F202" s="4">
        <v>81897710018</v>
      </c>
      <c r="G202" s="24">
        <v>308.26858695652174</v>
      </c>
      <c r="H202" s="24">
        <f t="shared" si="2"/>
        <v>308.26858695652174</v>
      </c>
      <c r="I202" s="4" t="s">
        <v>816</v>
      </c>
    </row>
    <row r="203" spans="1:9">
      <c r="A203" s="3">
        <v>75</v>
      </c>
      <c r="B203" s="3">
        <v>1</v>
      </c>
      <c r="C203" s="4" t="s">
        <v>346</v>
      </c>
      <c r="D203" s="47" t="s">
        <v>605</v>
      </c>
      <c r="E203" s="4" t="s">
        <v>184</v>
      </c>
      <c r="F203" s="4">
        <v>81897710018</v>
      </c>
      <c r="G203" s="24">
        <v>285.23934782608694</v>
      </c>
      <c r="H203" s="24">
        <f t="shared" si="2"/>
        <v>285.23934782608694</v>
      </c>
      <c r="I203" s="4" t="s">
        <v>816</v>
      </c>
    </row>
    <row r="204" spans="1:9">
      <c r="A204" s="3">
        <v>76</v>
      </c>
      <c r="B204" s="3">
        <v>1</v>
      </c>
      <c r="C204" s="4" t="s">
        <v>347</v>
      </c>
      <c r="D204" s="47" t="s">
        <v>606</v>
      </c>
      <c r="E204" s="4" t="s">
        <v>348</v>
      </c>
      <c r="F204" s="4">
        <v>81897710018</v>
      </c>
      <c r="G204" s="24">
        <v>295.33989130434782</v>
      </c>
      <c r="H204" s="24">
        <f t="shared" si="2"/>
        <v>295.33989130434782</v>
      </c>
      <c r="I204" s="4" t="s">
        <v>816</v>
      </c>
    </row>
    <row r="205" spans="1:9">
      <c r="A205" s="3">
        <v>77</v>
      </c>
      <c r="B205" s="3">
        <v>1</v>
      </c>
      <c r="C205" s="4" t="s">
        <v>349</v>
      </c>
      <c r="D205" s="47" t="s">
        <v>607</v>
      </c>
      <c r="E205" s="4" t="s">
        <v>350</v>
      </c>
      <c r="F205" s="4">
        <v>81897710018</v>
      </c>
      <c r="G205" s="24">
        <v>295.33989130434782</v>
      </c>
      <c r="H205" s="24">
        <f t="shared" si="2"/>
        <v>295.33989130434782</v>
      </c>
      <c r="I205" s="4" t="s">
        <v>816</v>
      </c>
    </row>
    <row r="206" spans="1:9">
      <c r="A206" s="3">
        <v>78</v>
      </c>
      <c r="B206" s="3">
        <v>1</v>
      </c>
      <c r="C206" s="4" t="s">
        <v>351</v>
      </c>
      <c r="D206" s="47" t="s">
        <v>608</v>
      </c>
      <c r="E206" s="4" t="s">
        <v>352</v>
      </c>
      <c r="F206" s="4">
        <v>81897710018</v>
      </c>
      <c r="G206" s="24">
        <v>303.42032608695649</v>
      </c>
      <c r="H206" s="24">
        <f t="shared" si="2"/>
        <v>303.42032608695649</v>
      </c>
      <c r="I206" s="4" t="s">
        <v>816</v>
      </c>
    </row>
    <row r="207" spans="1:9">
      <c r="A207" s="3">
        <v>79</v>
      </c>
      <c r="B207" s="3">
        <v>1</v>
      </c>
      <c r="C207" s="4" t="s">
        <v>353</v>
      </c>
      <c r="D207" s="47" t="s">
        <v>609</v>
      </c>
      <c r="E207" s="4" t="s">
        <v>354</v>
      </c>
      <c r="F207" s="4">
        <v>81897710018</v>
      </c>
      <c r="G207" s="24">
        <v>308.26858695652174</v>
      </c>
      <c r="H207" s="24">
        <f t="shared" si="2"/>
        <v>308.26858695652174</v>
      </c>
      <c r="I207" s="4" t="s">
        <v>816</v>
      </c>
    </row>
    <row r="208" spans="1:9">
      <c r="A208" s="3">
        <v>80</v>
      </c>
      <c r="B208" s="3">
        <v>1</v>
      </c>
      <c r="C208" s="4" t="s">
        <v>355</v>
      </c>
      <c r="D208" s="47" t="s">
        <v>610</v>
      </c>
      <c r="E208" s="4" t="s">
        <v>356</v>
      </c>
      <c r="F208" s="4">
        <v>81897710018</v>
      </c>
      <c r="G208" s="24">
        <v>313.52086956521737</v>
      </c>
      <c r="H208" s="24">
        <f t="shared" si="2"/>
        <v>313.52086956521737</v>
      </c>
      <c r="I208" s="4" t="s">
        <v>816</v>
      </c>
    </row>
    <row r="209" spans="1:9">
      <c r="A209" s="3">
        <v>81</v>
      </c>
      <c r="B209" s="3">
        <v>1</v>
      </c>
      <c r="C209" s="4" t="s">
        <v>357</v>
      </c>
      <c r="D209" s="47" t="s">
        <v>611</v>
      </c>
      <c r="E209" s="4" t="s">
        <v>358</v>
      </c>
      <c r="F209" s="4">
        <v>81897710018</v>
      </c>
      <c r="G209" s="24">
        <v>321.19728260869562</v>
      </c>
      <c r="H209" s="24">
        <f t="shared" si="2"/>
        <v>321.19728260869562</v>
      </c>
      <c r="I209" s="4" t="s">
        <v>816</v>
      </c>
    </row>
    <row r="210" spans="1:9">
      <c r="A210" s="3">
        <v>82</v>
      </c>
      <c r="B210" s="38">
        <v>4</v>
      </c>
      <c r="C210" s="40" t="s">
        <v>728</v>
      </c>
      <c r="D210" s="48" t="s">
        <v>846</v>
      </c>
      <c r="E210" s="40" t="s">
        <v>144</v>
      </c>
      <c r="F210" s="38" t="s">
        <v>26</v>
      </c>
      <c r="G210" s="41">
        <v>17613.63</v>
      </c>
      <c r="H210" s="41">
        <f>B210*G210</f>
        <v>70454.52</v>
      </c>
      <c r="I210" s="4" t="s">
        <v>816</v>
      </c>
    </row>
    <row r="211" spans="1:9">
      <c r="E211" s="122" t="s">
        <v>27</v>
      </c>
      <c r="F211" s="122"/>
      <c r="G211" s="122"/>
      <c r="H211" s="62">
        <f>SUM(H129:H210)</f>
        <v>140964.96852173912</v>
      </c>
    </row>
    <row r="213" spans="1:9">
      <c r="A213" s="121" t="s">
        <v>513</v>
      </c>
      <c r="B213" s="121"/>
      <c r="C213" s="121"/>
    </row>
    <row r="214" spans="1:9">
      <c r="A214" s="5" t="s">
        <v>0</v>
      </c>
      <c r="B214" s="5" t="s">
        <v>509</v>
      </c>
      <c r="C214" s="5" t="s">
        <v>510</v>
      </c>
      <c r="D214" s="49" t="s">
        <v>809</v>
      </c>
      <c r="E214" s="50" t="s">
        <v>1</v>
      </c>
      <c r="F214" s="50" t="s">
        <v>2</v>
      </c>
      <c r="G214" s="51" t="s">
        <v>28</v>
      </c>
      <c r="H214" s="51" t="s">
        <v>3</v>
      </c>
      <c r="I214" s="61" t="s">
        <v>815</v>
      </c>
    </row>
    <row r="215" spans="1:9">
      <c r="A215" s="3">
        <v>1</v>
      </c>
      <c r="B215" s="3">
        <v>2</v>
      </c>
      <c r="C215" s="4" t="s">
        <v>359</v>
      </c>
      <c r="D215" s="52" t="s">
        <v>835</v>
      </c>
      <c r="E215" s="4" t="s">
        <v>562</v>
      </c>
      <c r="F215" s="4">
        <v>81897710023</v>
      </c>
      <c r="G215" s="24">
        <v>81.208369565217382</v>
      </c>
      <c r="H215" s="24">
        <v>162.41673913043476</v>
      </c>
      <c r="I215" s="4" t="s">
        <v>816</v>
      </c>
    </row>
    <row r="216" spans="1:9">
      <c r="A216" s="3">
        <v>2</v>
      </c>
      <c r="B216" s="3">
        <v>2</v>
      </c>
      <c r="C216" s="4" t="s">
        <v>360</v>
      </c>
      <c r="D216" s="52" t="s">
        <v>836</v>
      </c>
      <c r="E216" s="4" t="s">
        <v>12</v>
      </c>
      <c r="F216" s="4">
        <v>81897710023</v>
      </c>
      <c r="G216" s="24">
        <v>110.29793478260869</v>
      </c>
      <c r="H216" s="24">
        <v>220.59586956521738</v>
      </c>
      <c r="I216" s="4" t="s">
        <v>816</v>
      </c>
    </row>
    <row r="217" spans="1:9">
      <c r="A217" s="3">
        <v>3</v>
      </c>
      <c r="B217" s="3">
        <v>2</v>
      </c>
      <c r="C217" s="4" t="s">
        <v>259</v>
      </c>
      <c r="D217" s="47" t="s">
        <v>793</v>
      </c>
      <c r="E217" s="4" t="s">
        <v>11</v>
      </c>
      <c r="F217" s="4">
        <v>81897710023</v>
      </c>
      <c r="G217" s="24">
        <v>105.85369565217393</v>
      </c>
      <c r="H217" s="24">
        <v>211.70739130434785</v>
      </c>
      <c r="I217" s="4" t="s">
        <v>816</v>
      </c>
    </row>
    <row r="218" spans="1:9">
      <c r="A218" s="3">
        <v>4</v>
      </c>
      <c r="B218" s="3">
        <v>4</v>
      </c>
      <c r="C218" s="4" t="s">
        <v>361</v>
      </c>
      <c r="D218" s="47" t="s">
        <v>647</v>
      </c>
      <c r="E218" s="42" t="s">
        <v>687</v>
      </c>
      <c r="F218" s="4">
        <v>81897710001</v>
      </c>
      <c r="G218" s="24">
        <v>130.49902173913043</v>
      </c>
      <c r="H218" s="24">
        <v>521.99608695652171</v>
      </c>
      <c r="I218" s="4" t="s">
        <v>816</v>
      </c>
    </row>
    <row r="219" spans="1:9">
      <c r="A219" s="3">
        <v>5</v>
      </c>
      <c r="B219" s="3">
        <v>4</v>
      </c>
      <c r="C219" s="4" t="s">
        <v>362</v>
      </c>
      <c r="D219" s="47" t="s">
        <v>15</v>
      </c>
      <c r="E219" s="4" t="s">
        <v>16</v>
      </c>
      <c r="F219" s="4">
        <v>81897710001</v>
      </c>
      <c r="G219" s="24">
        <v>130.49902173913043</v>
      </c>
      <c r="H219" s="24">
        <v>521.99608695652171</v>
      </c>
      <c r="I219" s="4" t="s">
        <v>816</v>
      </c>
    </row>
    <row r="220" spans="1:9">
      <c r="A220" s="3">
        <v>6</v>
      </c>
      <c r="B220" s="3">
        <v>2</v>
      </c>
      <c r="C220" s="4" t="s">
        <v>363</v>
      </c>
      <c r="D220" s="47" t="s">
        <v>213</v>
      </c>
      <c r="E220" s="4" t="s">
        <v>214</v>
      </c>
      <c r="F220" s="4">
        <v>81897710001</v>
      </c>
      <c r="G220" s="24">
        <v>159.99260869565219</v>
      </c>
      <c r="H220" s="24">
        <v>319.98521739130439</v>
      </c>
      <c r="I220" s="4" t="s">
        <v>816</v>
      </c>
    </row>
    <row r="221" spans="1:9">
      <c r="A221" s="3">
        <v>7</v>
      </c>
      <c r="B221" s="3">
        <v>4</v>
      </c>
      <c r="C221" s="4" t="s">
        <v>17</v>
      </c>
      <c r="D221" s="47" t="s">
        <v>18</v>
      </c>
      <c r="E221" s="4" t="s">
        <v>19</v>
      </c>
      <c r="F221" s="4">
        <v>81897710001</v>
      </c>
      <c r="G221" s="24">
        <v>127.26684782608696</v>
      </c>
      <c r="H221" s="24">
        <v>509.06739130434784</v>
      </c>
      <c r="I221" s="4" t="s">
        <v>816</v>
      </c>
    </row>
    <row r="222" spans="1:9">
      <c r="A222" s="3">
        <v>8</v>
      </c>
      <c r="B222" s="3">
        <v>2</v>
      </c>
      <c r="C222" s="4" t="s">
        <v>364</v>
      </c>
      <c r="D222" s="47" t="s">
        <v>216</v>
      </c>
      <c r="E222" s="4" t="s">
        <v>217</v>
      </c>
      <c r="F222" s="4">
        <v>81897710001</v>
      </c>
      <c r="G222" s="24">
        <v>156.76043478260868</v>
      </c>
      <c r="H222" s="24">
        <v>313.52086956521737</v>
      </c>
      <c r="I222" s="4" t="s">
        <v>816</v>
      </c>
    </row>
    <row r="223" spans="1:9">
      <c r="A223" s="3">
        <v>9</v>
      </c>
      <c r="B223" s="3">
        <v>4</v>
      </c>
      <c r="C223" s="4" t="s">
        <v>365</v>
      </c>
      <c r="D223" s="47" t="s">
        <v>794</v>
      </c>
      <c r="E223" s="4" t="s">
        <v>366</v>
      </c>
      <c r="F223" s="4">
        <v>81897710001</v>
      </c>
      <c r="G223" s="24">
        <v>170.09315217391304</v>
      </c>
      <c r="H223" s="24">
        <v>680.37260869565216</v>
      </c>
      <c r="I223" s="4" t="s">
        <v>816</v>
      </c>
    </row>
    <row r="224" spans="1:9">
      <c r="A224" s="3">
        <v>10</v>
      </c>
      <c r="B224" s="3">
        <v>5</v>
      </c>
      <c r="C224" s="4" t="s">
        <v>367</v>
      </c>
      <c r="D224" s="47" t="s">
        <v>584</v>
      </c>
      <c r="E224" s="4" t="s">
        <v>109</v>
      </c>
      <c r="F224" s="4">
        <v>81897710001</v>
      </c>
      <c r="G224" s="24">
        <v>172.92130434782612</v>
      </c>
      <c r="H224" s="24">
        <v>864.60652173913059</v>
      </c>
      <c r="I224" s="4" t="s">
        <v>816</v>
      </c>
    </row>
    <row r="225" spans="1:9">
      <c r="A225" s="3">
        <v>11</v>
      </c>
      <c r="B225" s="3">
        <v>4</v>
      </c>
      <c r="C225" s="4" t="s">
        <v>368</v>
      </c>
      <c r="D225" s="47" t="s">
        <v>645</v>
      </c>
      <c r="E225" s="4" t="s">
        <v>220</v>
      </c>
      <c r="F225" s="4">
        <v>81897710001</v>
      </c>
      <c r="G225" s="24">
        <v>176.15347826086958</v>
      </c>
      <c r="H225" s="24">
        <v>704.61391304347831</v>
      </c>
      <c r="I225" s="4" t="s">
        <v>816</v>
      </c>
    </row>
    <row r="226" spans="1:9">
      <c r="A226" s="3">
        <v>12</v>
      </c>
      <c r="B226" s="3">
        <v>4</v>
      </c>
      <c r="C226" s="4" t="s">
        <v>369</v>
      </c>
      <c r="D226" s="47" t="s">
        <v>646</v>
      </c>
      <c r="E226" s="4" t="s">
        <v>370</v>
      </c>
      <c r="F226" s="4">
        <v>81897710001</v>
      </c>
      <c r="G226" s="24">
        <v>295.33989130434782</v>
      </c>
      <c r="H226" s="24">
        <v>1181.3595652173913</v>
      </c>
      <c r="I226" s="4" t="s">
        <v>816</v>
      </c>
    </row>
    <row r="227" spans="1:9">
      <c r="A227" s="3">
        <v>13</v>
      </c>
      <c r="B227" s="3">
        <v>2</v>
      </c>
      <c r="C227" s="4" t="s">
        <v>371</v>
      </c>
      <c r="D227" s="47" t="s">
        <v>795</v>
      </c>
      <c r="E227" s="4" t="s">
        <v>372</v>
      </c>
      <c r="F227" s="4">
        <v>81897710018</v>
      </c>
      <c r="G227" s="24">
        <v>350.28684782608696</v>
      </c>
      <c r="H227" s="24">
        <v>700.57369565217391</v>
      </c>
      <c r="I227" s="4" t="s">
        <v>816</v>
      </c>
    </row>
    <row r="228" spans="1:9">
      <c r="A228" s="3">
        <v>14</v>
      </c>
      <c r="B228" s="3">
        <v>1</v>
      </c>
      <c r="C228" s="4" t="s">
        <v>373</v>
      </c>
      <c r="D228" s="47" t="s">
        <v>567</v>
      </c>
      <c r="E228" s="4" t="s">
        <v>6</v>
      </c>
      <c r="F228" s="4">
        <v>81897710023</v>
      </c>
      <c r="G228" s="24">
        <v>236.35271739130437</v>
      </c>
      <c r="H228" s="24">
        <v>236.35271739130437</v>
      </c>
      <c r="I228" s="4" t="s">
        <v>816</v>
      </c>
    </row>
    <row r="229" spans="1:9">
      <c r="A229" s="3">
        <v>15</v>
      </c>
      <c r="B229" s="3">
        <v>2</v>
      </c>
      <c r="C229" s="4" t="s">
        <v>374</v>
      </c>
      <c r="D229" s="47" t="s">
        <v>796</v>
      </c>
      <c r="E229" s="4" t="s">
        <v>189</v>
      </c>
      <c r="F229" s="4">
        <v>81897710001</v>
      </c>
      <c r="G229" s="24">
        <v>1843.9552173913044</v>
      </c>
      <c r="H229" s="24">
        <v>3687.9104347826087</v>
      </c>
      <c r="I229" s="4" t="s">
        <v>816</v>
      </c>
    </row>
    <row r="230" spans="1:9">
      <c r="A230" s="3">
        <v>16</v>
      </c>
      <c r="B230" s="3">
        <v>1</v>
      </c>
      <c r="C230" s="4" t="s">
        <v>375</v>
      </c>
      <c r="D230" s="47" t="s">
        <v>797</v>
      </c>
      <c r="E230" s="4" t="s">
        <v>44</v>
      </c>
      <c r="F230" s="4">
        <v>81897710001</v>
      </c>
      <c r="G230" s="24">
        <v>1878.7010869565215</v>
      </c>
      <c r="H230" s="24">
        <v>1878.7010869565215</v>
      </c>
      <c r="I230" s="4" t="s">
        <v>816</v>
      </c>
    </row>
    <row r="231" spans="1:9">
      <c r="A231" s="3">
        <v>17</v>
      </c>
      <c r="B231" s="3">
        <v>1</v>
      </c>
      <c r="C231" s="4" t="s">
        <v>376</v>
      </c>
      <c r="D231" s="47" t="s">
        <v>798</v>
      </c>
      <c r="E231" s="4" t="s">
        <v>377</v>
      </c>
      <c r="F231" s="4">
        <v>81897710001</v>
      </c>
      <c r="G231" s="24">
        <v>2287.1670652173916</v>
      </c>
      <c r="H231" s="24">
        <v>2287.1670652173916</v>
      </c>
      <c r="I231" s="4" t="s">
        <v>816</v>
      </c>
    </row>
    <row r="232" spans="1:9">
      <c r="A232" s="3">
        <v>18</v>
      </c>
      <c r="B232" s="3">
        <v>1</v>
      </c>
      <c r="C232" s="4" t="s">
        <v>378</v>
      </c>
      <c r="D232" s="47" t="s">
        <v>379</v>
      </c>
      <c r="E232" s="4" t="s">
        <v>380</v>
      </c>
      <c r="F232" s="4">
        <v>81897710023</v>
      </c>
      <c r="G232" s="24">
        <v>313.52086956521737</v>
      </c>
      <c r="H232" s="24">
        <v>313.52086956521737</v>
      </c>
      <c r="I232" s="4" t="s">
        <v>816</v>
      </c>
    </row>
    <row r="233" spans="1:9">
      <c r="A233" s="3">
        <v>19</v>
      </c>
      <c r="B233" s="3">
        <v>2</v>
      </c>
      <c r="C233" s="4" t="s">
        <v>381</v>
      </c>
      <c r="D233" s="47" t="s">
        <v>382</v>
      </c>
      <c r="E233" s="4" t="s">
        <v>383</v>
      </c>
      <c r="F233" s="4">
        <v>81897710023</v>
      </c>
      <c r="G233" s="24">
        <v>291.70369565217391</v>
      </c>
      <c r="H233" s="24">
        <v>583.40739130434781</v>
      </c>
      <c r="I233" s="4" t="s">
        <v>816</v>
      </c>
    </row>
    <row r="234" spans="1:9">
      <c r="A234" s="3">
        <v>20</v>
      </c>
      <c r="B234" s="3">
        <v>2</v>
      </c>
      <c r="C234" s="4" t="s">
        <v>384</v>
      </c>
      <c r="D234" s="47" t="s">
        <v>571</v>
      </c>
      <c r="E234" s="4" t="s">
        <v>237</v>
      </c>
      <c r="F234" s="4">
        <v>81897710001</v>
      </c>
      <c r="G234" s="24">
        <v>941.37065217391296</v>
      </c>
      <c r="H234" s="24">
        <v>1882.7413043478259</v>
      </c>
      <c r="I234" s="4" t="s">
        <v>816</v>
      </c>
    </row>
    <row r="235" spans="1:9">
      <c r="A235" s="3">
        <v>21</v>
      </c>
      <c r="B235" s="3">
        <v>2</v>
      </c>
      <c r="C235" s="4" t="s">
        <v>385</v>
      </c>
      <c r="D235" s="47" t="s">
        <v>573</v>
      </c>
      <c r="E235" s="4" t="s">
        <v>299</v>
      </c>
      <c r="F235" s="4">
        <v>81897710001</v>
      </c>
      <c r="G235" s="24">
        <v>1085.6064130434781</v>
      </c>
      <c r="H235" s="24">
        <v>2171.2128260869563</v>
      </c>
      <c r="I235" s="4" t="s">
        <v>816</v>
      </c>
    </row>
    <row r="236" spans="1:9">
      <c r="A236" s="3">
        <v>22</v>
      </c>
      <c r="B236" s="3">
        <v>2</v>
      </c>
      <c r="C236" s="4" t="s">
        <v>386</v>
      </c>
      <c r="D236" s="47" t="s">
        <v>387</v>
      </c>
      <c r="E236" s="4" t="s">
        <v>388</v>
      </c>
      <c r="F236" s="4">
        <v>81897710017</v>
      </c>
      <c r="G236" s="24">
        <v>141.81163043478261</v>
      </c>
      <c r="H236" s="24">
        <v>283.62326086956523</v>
      </c>
      <c r="I236" s="4" t="s">
        <v>816</v>
      </c>
    </row>
    <row r="237" spans="1:9">
      <c r="A237" s="3">
        <v>23</v>
      </c>
      <c r="B237" s="3">
        <v>2</v>
      </c>
      <c r="C237" s="4" t="s">
        <v>389</v>
      </c>
      <c r="D237" s="47" t="s">
        <v>248</v>
      </c>
      <c r="E237" s="4" t="s">
        <v>249</v>
      </c>
      <c r="F237" s="4">
        <v>81897710017</v>
      </c>
      <c r="G237" s="24">
        <v>147.87195652173912</v>
      </c>
      <c r="H237" s="24">
        <v>295.74391304347824</v>
      </c>
      <c r="I237" s="4" t="s">
        <v>816</v>
      </c>
    </row>
    <row r="238" spans="1:9">
      <c r="A238" s="3">
        <v>24</v>
      </c>
      <c r="B238" s="3">
        <v>1</v>
      </c>
      <c r="C238" s="4" t="s">
        <v>390</v>
      </c>
      <c r="D238" s="47" t="s">
        <v>245</v>
      </c>
      <c r="E238" s="4" t="s">
        <v>246</v>
      </c>
      <c r="F238" s="4">
        <v>81897710017</v>
      </c>
      <c r="G238" s="24">
        <v>151.91217391304349</v>
      </c>
      <c r="H238" s="24">
        <v>151.91217391304349</v>
      </c>
      <c r="I238" s="4" t="s">
        <v>816</v>
      </c>
    </row>
    <row r="239" spans="1:9">
      <c r="A239" s="3">
        <v>25</v>
      </c>
      <c r="B239" s="3">
        <v>1</v>
      </c>
      <c r="C239" s="4" t="s">
        <v>391</v>
      </c>
      <c r="D239" s="47" t="s">
        <v>603</v>
      </c>
      <c r="E239" s="4" t="s">
        <v>60</v>
      </c>
      <c r="F239" s="4">
        <v>81897710018</v>
      </c>
      <c r="G239" s="24">
        <v>264.63423913043471</v>
      </c>
      <c r="H239" s="24">
        <v>264.63423913043471</v>
      </c>
      <c r="I239" s="4" t="s">
        <v>816</v>
      </c>
    </row>
    <row r="240" spans="1:9">
      <c r="A240" s="3">
        <v>26</v>
      </c>
      <c r="B240" s="3">
        <v>1</v>
      </c>
      <c r="C240" s="4" t="s">
        <v>392</v>
      </c>
      <c r="D240" s="47" t="s">
        <v>605</v>
      </c>
      <c r="E240" s="4" t="s">
        <v>184</v>
      </c>
      <c r="F240" s="4">
        <v>81897710018</v>
      </c>
      <c r="G240" s="24">
        <v>285.23934782608694</v>
      </c>
      <c r="H240" s="24">
        <v>285.23934782608694</v>
      </c>
      <c r="I240" s="4" t="s">
        <v>816</v>
      </c>
    </row>
    <row r="241" spans="1:9">
      <c r="A241" s="3">
        <v>27</v>
      </c>
      <c r="B241" s="3">
        <v>1</v>
      </c>
      <c r="C241" s="4" t="s">
        <v>393</v>
      </c>
      <c r="D241" s="47" t="s">
        <v>604</v>
      </c>
      <c r="E241" s="4" t="s">
        <v>339</v>
      </c>
      <c r="F241" s="4">
        <v>81897710018</v>
      </c>
      <c r="G241" s="24">
        <v>290.49163043478268</v>
      </c>
      <c r="H241" s="24">
        <v>290.49163043478268</v>
      </c>
      <c r="I241" s="4" t="s">
        <v>816</v>
      </c>
    </row>
    <row r="242" spans="1:9">
      <c r="A242" s="3">
        <v>28</v>
      </c>
      <c r="B242" s="3">
        <v>1</v>
      </c>
      <c r="C242" s="4" t="s">
        <v>157</v>
      </c>
      <c r="D242" s="47" t="s">
        <v>158</v>
      </c>
      <c r="E242" s="4" t="s">
        <v>159</v>
      </c>
      <c r="F242" s="4">
        <v>81897710023</v>
      </c>
      <c r="G242" s="24">
        <v>315.54097826086951</v>
      </c>
      <c r="H242" s="24">
        <v>315.54097826086951</v>
      </c>
      <c r="I242" s="4" t="s">
        <v>816</v>
      </c>
    </row>
    <row r="243" spans="1:9">
      <c r="A243" s="3">
        <v>29</v>
      </c>
      <c r="B243" s="3">
        <v>2</v>
      </c>
      <c r="C243" s="4" t="s">
        <v>33</v>
      </c>
      <c r="D243" s="47" t="s">
        <v>4</v>
      </c>
      <c r="E243" s="4" t="s">
        <v>5</v>
      </c>
      <c r="F243" s="4">
        <v>81897710023</v>
      </c>
      <c r="G243" s="24">
        <v>315.54097826086951</v>
      </c>
      <c r="H243" s="24">
        <v>631.08195652173902</v>
      </c>
      <c r="I243" s="4" t="s">
        <v>816</v>
      </c>
    </row>
    <row r="244" spans="1:9">
      <c r="A244" s="3">
        <v>30</v>
      </c>
      <c r="B244" s="3">
        <v>2</v>
      </c>
      <c r="C244" s="4" t="s">
        <v>729</v>
      </c>
      <c r="D244" s="47" t="s">
        <v>648</v>
      </c>
      <c r="E244" s="4" t="s">
        <v>394</v>
      </c>
      <c r="F244" s="4">
        <v>81897710023</v>
      </c>
      <c r="G244" s="24">
        <v>223.02</v>
      </c>
      <c r="H244" s="24">
        <v>446.04</v>
      </c>
      <c r="I244" s="4" t="s">
        <v>816</v>
      </c>
    </row>
    <row r="245" spans="1:9">
      <c r="A245" s="3">
        <v>31</v>
      </c>
      <c r="B245" s="3">
        <v>1</v>
      </c>
      <c r="C245" s="4" t="s">
        <v>395</v>
      </c>
      <c r="D245" s="47" t="s">
        <v>396</v>
      </c>
      <c r="E245" s="4" t="s">
        <v>397</v>
      </c>
      <c r="F245" s="4">
        <v>81897710023</v>
      </c>
      <c r="G245" s="24">
        <v>1261.3558695652173</v>
      </c>
      <c r="H245" s="24">
        <v>1261.3558695652173</v>
      </c>
      <c r="I245" s="4" t="s">
        <v>816</v>
      </c>
    </row>
    <row r="246" spans="1:9">
      <c r="A246" s="3">
        <v>32</v>
      </c>
      <c r="B246" s="3">
        <v>1</v>
      </c>
      <c r="C246" s="4" t="s">
        <v>730</v>
      </c>
      <c r="D246" s="47" t="s">
        <v>649</v>
      </c>
      <c r="E246" s="4" t="s">
        <v>398</v>
      </c>
      <c r="F246" s="4">
        <v>81897710018</v>
      </c>
      <c r="G246" s="24">
        <v>219.38380434782607</v>
      </c>
      <c r="H246" s="24">
        <v>219.38380434782607</v>
      </c>
      <c r="I246" s="4" t="s">
        <v>816</v>
      </c>
    </row>
    <row r="247" spans="1:9">
      <c r="A247" s="3">
        <v>33</v>
      </c>
      <c r="B247" s="3">
        <v>1</v>
      </c>
      <c r="C247" s="4" t="s">
        <v>731</v>
      </c>
      <c r="D247" s="47" t="s">
        <v>650</v>
      </c>
      <c r="E247" s="4" t="s">
        <v>399</v>
      </c>
      <c r="F247" s="4">
        <v>81897710018</v>
      </c>
      <c r="G247" s="24">
        <v>241.60500000000005</v>
      </c>
      <c r="H247" s="24">
        <v>241.60500000000005</v>
      </c>
      <c r="I247" s="4" t="s">
        <v>816</v>
      </c>
    </row>
    <row r="248" spans="1:9">
      <c r="A248" s="3">
        <v>34</v>
      </c>
      <c r="B248" s="3">
        <v>1</v>
      </c>
      <c r="C248" s="4" t="s">
        <v>732</v>
      </c>
      <c r="D248" s="47" t="s">
        <v>651</v>
      </c>
      <c r="E248" s="4" t="s">
        <v>400</v>
      </c>
      <c r="F248" s="4">
        <v>81897710018</v>
      </c>
      <c r="G248" s="24">
        <v>268.27043478260867</v>
      </c>
      <c r="H248" s="24">
        <v>268.27043478260867</v>
      </c>
      <c r="I248" s="4" t="s">
        <v>816</v>
      </c>
    </row>
    <row r="249" spans="1:9">
      <c r="A249" s="3">
        <v>35</v>
      </c>
      <c r="B249" s="3">
        <v>1</v>
      </c>
      <c r="C249" s="4" t="s">
        <v>401</v>
      </c>
      <c r="D249" s="47" t="s">
        <v>652</v>
      </c>
      <c r="E249" s="4" t="s">
        <v>306</v>
      </c>
      <c r="F249" s="4">
        <v>81897710018</v>
      </c>
      <c r="G249" s="24">
        <v>281.60315217391303</v>
      </c>
      <c r="H249" s="24">
        <v>281.60315217391303</v>
      </c>
      <c r="I249" s="4" t="s">
        <v>816</v>
      </c>
    </row>
    <row r="250" spans="1:9">
      <c r="A250" s="3">
        <v>36</v>
      </c>
      <c r="B250" s="3">
        <v>2</v>
      </c>
      <c r="C250" s="4" t="s">
        <v>402</v>
      </c>
      <c r="D250" s="47" t="s">
        <v>653</v>
      </c>
      <c r="E250" s="4" t="s">
        <v>107</v>
      </c>
      <c r="F250" s="4">
        <v>81897710018</v>
      </c>
      <c r="G250" s="24">
        <v>314.73293478260871</v>
      </c>
      <c r="H250" s="24">
        <v>629.46586956521742</v>
      </c>
      <c r="I250" s="4" t="s">
        <v>816</v>
      </c>
    </row>
    <row r="251" spans="1:9">
      <c r="A251" s="3">
        <v>37</v>
      </c>
      <c r="B251" s="38">
        <v>2</v>
      </c>
      <c r="C251" s="40" t="s">
        <v>403</v>
      </c>
      <c r="D251" s="48" t="s">
        <v>654</v>
      </c>
      <c r="E251" s="40" t="s">
        <v>105</v>
      </c>
      <c r="F251" s="40">
        <v>81897710018</v>
      </c>
      <c r="G251" s="41">
        <v>256.95782608695657</v>
      </c>
      <c r="H251" s="41">
        <v>513.91565217391314</v>
      </c>
      <c r="I251" s="4" t="s">
        <v>816</v>
      </c>
    </row>
    <row r="252" spans="1:9">
      <c r="A252" s="3">
        <v>38</v>
      </c>
      <c r="B252" s="38">
        <v>1</v>
      </c>
      <c r="C252" s="40" t="s">
        <v>728</v>
      </c>
      <c r="D252" s="48" t="s">
        <v>846</v>
      </c>
      <c r="E252" s="40" t="s">
        <v>144</v>
      </c>
      <c r="F252" s="38" t="s">
        <v>26</v>
      </c>
      <c r="G252" s="41">
        <v>17613.63</v>
      </c>
      <c r="H252" s="41">
        <f>B252*G252</f>
        <v>17613.63</v>
      </c>
      <c r="I252" s="4" t="s">
        <v>816</v>
      </c>
    </row>
    <row r="253" spans="1:9">
      <c r="E253" s="123" t="s">
        <v>27</v>
      </c>
      <c r="F253" s="123"/>
      <c r="G253" s="123"/>
      <c r="H253" s="63">
        <f>SUM(H215:H252)</f>
        <v>43947.362934782606</v>
      </c>
    </row>
    <row r="254" spans="1:9">
      <c r="A254" s="121" t="s">
        <v>514</v>
      </c>
      <c r="B254" s="121"/>
      <c r="C254" s="121"/>
    </row>
    <row r="255" spans="1:9">
      <c r="A255" s="5" t="s">
        <v>0</v>
      </c>
      <c r="B255" s="5" t="s">
        <v>509</v>
      </c>
      <c r="C255" s="5" t="s">
        <v>510</v>
      </c>
      <c r="D255" s="49" t="s">
        <v>809</v>
      </c>
      <c r="E255" s="50" t="s">
        <v>1</v>
      </c>
      <c r="F255" s="50" t="s">
        <v>2</v>
      </c>
      <c r="G255" s="51" t="s">
        <v>28</v>
      </c>
      <c r="H255" s="51" t="s">
        <v>3</v>
      </c>
      <c r="I255" s="61" t="s">
        <v>815</v>
      </c>
    </row>
    <row r="256" spans="1:9">
      <c r="A256" s="3">
        <v>1</v>
      </c>
      <c r="B256" s="3">
        <v>2</v>
      </c>
      <c r="C256" s="4" t="s">
        <v>404</v>
      </c>
      <c r="D256" s="47" t="s">
        <v>799</v>
      </c>
      <c r="E256" s="4" t="s">
        <v>405</v>
      </c>
      <c r="F256" s="4">
        <v>81897710023</v>
      </c>
      <c r="G256" s="24">
        <v>117.57032608695653</v>
      </c>
      <c r="H256" s="24">
        <v>235.14065217391305</v>
      </c>
      <c r="I256" s="4" t="s">
        <v>816</v>
      </c>
    </row>
    <row r="257" spans="1:9">
      <c r="A257" s="3">
        <v>2</v>
      </c>
      <c r="B257" s="3">
        <v>2</v>
      </c>
      <c r="C257" s="4" t="s">
        <v>406</v>
      </c>
      <c r="D257" s="52" t="s">
        <v>837</v>
      </c>
      <c r="E257" s="4" t="s">
        <v>407</v>
      </c>
      <c r="F257" s="4">
        <v>81897710023</v>
      </c>
      <c r="G257" s="24">
        <v>122.41858695652175</v>
      </c>
      <c r="H257" s="24">
        <v>244.8371739130435</v>
      </c>
      <c r="I257" s="4" t="s">
        <v>816</v>
      </c>
    </row>
    <row r="258" spans="1:9">
      <c r="A258" s="3">
        <v>3</v>
      </c>
      <c r="B258" s="3">
        <v>1</v>
      </c>
      <c r="C258" s="4" t="s">
        <v>408</v>
      </c>
      <c r="D258" s="52" t="s">
        <v>838</v>
      </c>
      <c r="E258" s="4" t="s">
        <v>409</v>
      </c>
      <c r="F258" s="4">
        <v>81897710023</v>
      </c>
      <c r="G258" s="24">
        <v>128.47891304347829</v>
      </c>
      <c r="H258" s="24">
        <v>128.47891304347829</v>
      </c>
      <c r="I258" s="4" t="s">
        <v>816</v>
      </c>
    </row>
    <row r="259" spans="1:9">
      <c r="A259" s="3">
        <v>4</v>
      </c>
      <c r="B259" s="3">
        <v>6</v>
      </c>
      <c r="C259" s="4" t="s">
        <v>364</v>
      </c>
      <c r="D259" s="47" t="s">
        <v>655</v>
      </c>
      <c r="E259" s="4" t="s">
        <v>217</v>
      </c>
      <c r="F259" s="4">
        <v>81897710001</v>
      </c>
      <c r="G259" s="24">
        <v>156.76043478260868</v>
      </c>
      <c r="H259" s="24">
        <v>940.5626086956521</v>
      </c>
      <c r="I259" s="4" t="s">
        <v>816</v>
      </c>
    </row>
    <row r="260" spans="1:9">
      <c r="A260" s="3">
        <v>5</v>
      </c>
      <c r="B260" s="3">
        <v>6</v>
      </c>
      <c r="C260" s="4" t="s">
        <v>363</v>
      </c>
      <c r="D260" s="47" t="s">
        <v>656</v>
      </c>
      <c r="E260" s="4" t="s">
        <v>214</v>
      </c>
      <c r="F260" s="4">
        <v>81897710001</v>
      </c>
      <c r="G260" s="24">
        <v>159.99260869565219</v>
      </c>
      <c r="H260" s="24">
        <v>959.95565217391322</v>
      </c>
      <c r="I260" s="4" t="s">
        <v>816</v>
      </c>
    </row>
    <row r="261" spans="1:9">
      <c r="A261" s="3">
        <v>6</v>
      </c>
      <c r="B261" s="3">
        <v>4</v>
      </c>
      <c r="C261" s="4" t="s">
        <v>368</v>
      </c>
      <c r="D261" s="47" t="s">
        <v>645</v>
      </c>
      <c r="E261" s="4" t="s">
        <v>220</v>
      </c>
      <c r="F261" s="4">
        <v>81897710001</v>
      </c>
      <c r="G261" s="24">
        <v>176.15347826086958</v>
      </c>
      <c r="H261" s="24">
        <v>704.61391304347831</v>
      </c>
      <c r="I261" s="4" t="s">
        <v>816</v>
      </c>
    </row>
    <row r="262" spans="1:9">
      <c r="A262" s="3">
        <v>7</v>
      </c>
      <c r="B262" s="3">
        <v>4</v>
      </c>
      <c r="C262" s="4" t="s">
        <v>410</v>
      </c>
      <c r="D262" s="52" t="s">
        <v>839</v>
      </c>
      <c r="E262" s="4" t="s">
        <v>411</v>
      </c>
      <c r="F262" s="4">
        <v>81897710001</v>
      </c>
      <c r="G262" s="24">
        <v>321.19728260869562</v>
      </c>
      <c r="H262" s="24">
        <v>1284.7891304347825</v>
      </c>
      <c r="I262" s="4" t="s">
        <v>816</v>
      </c>
    </row>
    <row r="263" spans="1:9">
      <c r="A263" s="3">
        <v>8</v>
      </c>
      <c r="B263" s="3">
        <v>2</v>
      </c>
      <c r="C263" s="4" t="s">
        <v>412</v>
      </c>
      <c r="D263" s="47" t="s">
        <v>158</v>
      </c>
      <c r="E263" s="4" t="s">
        <v>159</v>
      </c>
      <c r="F263" s="4">
        <v>81897710023</v>
      </c>
      <c r="G263" s="24">
        <v>315.54097826086951</v>
      </c>
      <c r="H263" s="24">
        <v>631.08195652173902</v>
      </c>
      <c r="I263" s="4" t="s">
        <v>816</v>
      </c>
    </row>
    <row r="264" spans="1:9">
      <c r="A264" s="3">
        <v>9</v>
      </c>
      <c r="B264" s="3">
        <v>2</v>
      </c>
      <c r="C264" s="4" t="s">
        <v>413</v>
      </c>
      <c r="D264" s="47" t="s">
        <v>414</v>
      </c>
      <c r="E264" s="4" t="s">
        <v>415</v>
      </c>
      <c r="F264" s="4">
        <v>81897710023</v>
      </c>
      <c r="G264" s="24">
        <v>391.90108695652168</v>
      </c>
      <c r="H264" s="24">
        <v>783.80217391304336</v>
      </c>
      <c r="I264" s="4" t="s">
        <v>816</v>
      </c>
    </row>
    <row r="265" spans="1:9">
      <c r="A265" s="3">
        <v>10</v>
      </c>
      <c r="B265" s="3">
        <v>2</v>
      </c>
      <c r="C265" s="4" t="s">
        <v>416</v>
      </c>
      <c r="D265" s="47" t="s">
        <v>417</v>
      </c>
      <c r="E265" s="4" t="s">
        <v>418</v>
      </c>
      <c r="F265" s="4">
        <v>81897710023</v>
      </c>
      <c r="G265" s="24">
        <v>421.3946739130435</v>
      </c>
      <c r="H265" s="24">
        <v>842.78934782608701</v>
      </c>
      <c r="I265" s="4" t="s">
        <v>816</v>
      </c>
    </row>
    <row r="266" spans="1:9">
      <c r="A266" s="3">
        <v>11</v>
      </c>
      <c r="B266" s="3">
        <v>2</v>
      </c>
      <c r="C266" s="4" t="s">
        <v>419</v>
      </c>
      <c r="D266" s="47" t="s">
        <v>420</v>
      </c>
      <c r="E266" s="4" t="s">
        <v>421</v>
      </c>
      <c r="F266" s="4">
        <v>81897710012</v>
      </c>
      <c r="G266" s="24">
        <v>908.86036956521752</v>
      </c>
      <c r="H266" s="24">
        <v>1817.720739130435</v>
      </c>
      <c r="I266" s="4" t="s">
        <v>816</v>
      </c>
    </row>
    <row r="267" spans="1:9">
      <c r="A267" s="3">
        <v>12</v>
      </c>
      <c r="B267" s="3">
        <v>2</v>
      </c>
      <c r="C267" s="4" t="s">
        <v>422</v>
      </c>
      <c r="D267" s="47" t="s">
        <v>423</v>
      </c>
      <c r="E267" s="4" t="s">
        <v>424</v>
      </c>
      <c r="F267" s="4">
        <v>81897710012</v>
      </c>
      <c r="G267" s="24">
        <v>938.67717391304359</v>
      </c>
      <c r="H267" s="24">
        <v>1877.3543478260872</v>
      </c>
      <c r="I267" s="4" t="s">
        <v>816</v>
      </c>
    </row>
    <row r="268" spans="1:9">
      <c r="A268" s="3">
        <v>13</v>
      </c>
      <c r="B268" s="3">
        <v>2</v>
      </c>
      <c r="C268" s="4" t="s">
        <v>425</v>
      </c>
      <c r="D268" s="47" t="s">
        <v>426</v>
      </c>
      <c r="E268" s="4" t="s">
        <v>427</v>
      </c>
      <c r="F268" s="4">
        <v>81897710012</v>
      </c>
      <c r="G268" s="24">
        <v>952.66530434782601</v>
      </c>
      <c r="H268" s="24">
        <v>1905.330608695652</v>
      </c>
      <c r="I268" s="4" t="s">
        <v>816</v>
      </c>
    </row>
    <row r="269" spans="1:9">
      <c r="A269" s="3">
        <v>14</v>
      </c>
      <c r="B269" s="3">
        <v>2</v>
      </c>
      <c r="C269" s="4" t="s">
        <v>733</v>
      </c>
      <c r="D269" s="47" t="s">
        <v>567</v>
      </c>
      <c r="E269" s="4" t="s">
        <v>6</v>
      </c>
      <c r="F269" s="4">
        <v>81897710023</v>
      </c>
      <c r="G269" s="24">
        <v>236.35271739130437</v>
      </c>
      <c r="H269" s="24">
        <v>472.70543478260873</v>
      </c>
      <c r="I269" s="4" t="s">
        <v>816</v>
      </c>
    </row>
    <row r="270" spans="1:9">
      <c r="A270" s="3">
        <v>15</v>
      </c>
      <c r="B270" s="3">
        <v>1</v>
      </c>
      <c r="C270" s="4" t="s">
        <v>734</v>
      </c>
      <c r="D270" s="47" t="s">
        <v>657</v>
      </c>
      <c r="E270" s="4" t="s">
        <v>428</v>
      </c>
      <c r="F270" s="4">
        <v>81897710012</v>
      </c>
      <c r="G270" s="24">
        <v>2038.9540652173914</v>
      </c>
      <c r="H270" s="24">
        <v>2038.9540652173914</v>
      </c>
      <c r="I270" s="4" t="s">
        <v>816</v>
      </c>
    </row>
    <row r="271" spans="1:9">
      <c r="A271" s="3">
        <v>16</v>
      </c>
      <c r="B271" s="3">
        <v>1</v>
      </c>
      <c r="C271" s="4" t="s">
        <v>429</v>
      </c>
      <c r="D271" s="47" t="s">
        <v>658</v>
      </c>
      <c r="E271" s="4" t="s">
        <v>430</v>
      </c>
      <c r="F271" s="4">
        <v>81897710012</v>
      </c>
      <c r="G271" s="24">
        <v>1791.9531304347827</v>
      </c>
      <c r="H271" s="24">
        <v>1791.9531304347827</v>
      </c>
      <c r="I271" s="4" t="s">
        <v>816</v>
      </c>
    </row>
    <row r="272" spans="1:9">
      <c r="A272" s="3">
        <v>17</v>
      </c>
      <c r="B272" s="3">
        <v>1</v>
      </c>
      <c r="C272" s="4" t="s">
        <v>431</v>
      </c>
      <c r="D272" s="47" t="s">
        <v>659</v>
      </c>
      <c r="E272" s="4" t="s">
        <v>327</v>
      </c>
      <c r="F272" s="4">
        <v>81897710001</v>
      </c>
      <c r="G272" s="24">
        <v>1710.6280434782611</v>
      </c>
      <c r="H272" s="24">
        <v>1710.6280434782611</v>
      </c>
      <c r="I272" s="4" t="s">
        <v>816</v>
      </c>
    </row>
    <row r="273" spans="1:9">
      <c r="A273" s="3">
        <v>18</v>
      </c>
      <c r="B273" s="3">
        <v>1</v>
      </c>
      <c r="C273" s="4" t="s">
        <v>432</v>
      </c>
      <c r="D273" s="47" t="s">
        <v>660</v>
      </c>
      <c r="E273" s="4" t="s">
        <v>330</v>
      </c>
      <c r="F273" s="4">
        <v>81897710001</v>
      </c>
      <c r="G273" s="24">
        <v>1938.496304347826</v>
      </c>
      <c r="H273" s="24">
        <v>1938.496304347826</v>
      </c>
      <c r="I273" s="4" t="s">
        <v>816</v>
      </c>
    </row>
    <row r="274" spans="1:9">
      <c r="A274" s="3">
        <v>19</v>
      </c>
      <c r="B274" s="3">
        <v>1</v>
      </c>
      <c r="C274" s="4" t="s">
        <v>433</v>
      </c>
      <c r="D274" s="47" t="s">
        <v>661</v>
      </c>
      <c r="E274" s="4" t="s">
        <v>434</v>
      </c>
      <c r="F274" s="4">
        <v>81897710012</v>
      </c>
      <c r="G274" s="24">
        <v>1581.7630652173912</v>
      </c>
      <c r="H274" s="24">
        <v>1581.7630652173912</v>
      </c>
      <c r="I274" s="4" t="s">
        <v>816</v>
      </c>
    </row>
    <row r="275" spans="1:9">
      <c r="A275" s="3">
        <v>20</v>
      </c>
      <c r="B275" s="3">
        <v>1</v>
      </c>
      <c r="C275" s="4" t="s">
        <v>435</v>
      </c>
      <c r="D275" s="47" t="s">
        <v>662</v>
      </c>
      <c r="E275" s="4" t="s">
        <v>436</v>
      </c>
      <c r="F275" s="4">
        <v>81897710012</v>
      </c>
      <c r="G275" s="24">
        <v>1581.7630652173912</v>
      </c>
      <c r="H275" s="24">
        <v>1581.7630652173912</v>
      </c>
      <c r="I275" s="4" t="s">
        <v>816</v>
      </c>
    </row>
    <row r="276" spans="1:9">
      <c r="A276" s="3">
        <v>21</v>
      </c>
      <c r="B276" s="3">
        <v>1</v>
      </c>
      <c r="C276" s="4" t="s">
        <v>437</v>
      </c>
      <c r="D276" s="47" t="s">
        <v>663</v>
      </c>
      <c r="E276" s="4" t="s">
        <v>438</v>
      </c>
      <c r="F276" s="4">
        <v>81897710012</v>
      </c>
      <c r="G276" s="24">
        <v>1581.7630652173912</v>
      </c>
      <c r="H276" s="24">
        <v>1581.7630652173912</v>
      </c>
      <c r="I276" s="4" t="s">
        <v>816</v>
      </c>
    </row>
    <row r="277" spans="1:9">
      <c r="A277" s="3">
        <v>22</v>
      </c>
      <c r="B277" s="3">
        <v>1</v>
      </c>
      <c r="C277" s="4" t="s">
        <v>439</v>
      </c>
      <c r="D277" s="47" t="s">
        <v>664</v>
      </c>
      <c r="E277" s="4" t="s">
        <v>105</v>
      </c>
      <c r="F277" s="4">
        <v>81897710018</v>
      </c>
      <c r="G277" s="24">
        <v>256.95782608695657</v>
      </c>
      <c r="H277" s="24">
        <v>256.95782608695657</v>
      </c>
      <c r="I277" s="4" t="s">
        <v>816</v>
      </c>
    </row>
    <row r="278" spans="1:9">
      <c r="A278" s="3">
        <v>23</v>
      </c>
      <c r="B278" s="3">
        <v>1</v>
      </c>
      <c r="C278" s="4" t="s">
        <v>104</v>
      </c>
      <c r="D278" s="47" t="s">
        <v>665</v>
      </c>
      <c r="E278" s="4" t="s">
        <v>306</v>
      </c>
      <c r="F278" s="4">
        <v>81897710018</v>
      </c>
      <c r="G278" s="24">
        <v>281.60315217391303</v>
      </c>
      <c r="H278" s="24">
        <v>281.60315217391303</v>
      </c>
      <c r="I278" s="4" t="s">
        <v>816</v>
      </c>
    </row>
    <row r="279" spans="1:9">
      <c r="A279" s="3">
        <v>24</v>
      </c>
      <c r="B279" s="3">
        <v>2</v>
      </c>
      <c r="C279" s="4" t="s">
        <v>440</v>
      </c>
      <c r="D279" s="47" t="s">
        <v>441</v>
      </c>
      <c r="E279" s="4" t="s">
        <v>442</v>
      </c>
      <c r="F279" s="4">
        <v>81897710017</v>
      </c>
      <c r="G279" s="24">
        <v>199.99076086956521</v>
      </c>
      <c r="H279" s="24">
        <v>399.98152173913041</v>
      </c>
      <c r="I279" s="4" t="s">
        <v>816</v>
      </c>
    </row>
    <row r="280" spans="1:9">
      <c r="A280" s="3">
        <v>25</v>
      </c>
      <c r="B280" s="3">
        <v>1</v>
      </c>
      <c r="C280" s="4" t="s">
        <v>443</v>
      </c>
      <c r="D280" s="47" t="s">
        <v>444</v>
      </c>
      <c r="E280" s="4" t="s">
        <v>445</v>
      </c>
      <c r="F280" s="4">
        <v>81897710017</v>
      </c>
      <c r="G280" s="24">
        <v>228.67630434782609</v>
      </c>
      <c r="H280" s="24">
        <v>228.67630434782609</v>
      </c>
      <c r="I280" s="4" t="s">
        <v>816</v>
      </c>
    </row>
    <row r="281" spans="1:9">
      <c r="A281" s="3">
        <v>26</v>
      </c>
      <c r="B281" s="3">
        <v>1</v>
      </c>
      <c r="C281" s="4" t="s">
        <v>446</v>
      </c>
      <c r="D281" s="47" t="s">
        <v>447</v>
      </c>
      <c r="E281" s="4" t="s">
        <v>448</v>
      </c>
      <c r="F281" s="4">
        <v>81897710017</v>
      </c>
      <c r="G281" s="24">
        <v>232.3125</v>
      </c>
      <c r="H281" s="24">
        <v>232.3125</v>
      </c>
      <c r="I281" s="4" t="s">
        <v>816</v>
      </c>
    </row>
    <row r="282" spans="1:9">
      <c r="A282" s="3">
        <v>27</v>
      </c>
      <c r="B282" s="3">
        <v>2</v>
      </c>
      <c r="C282" s="4" t="s">
        <v>449</v>
      </c>
      <c r="D282" s="47" t="s">
        <v>625</v>
      </c>
      <c r="E282" s="4" t="s">
        <v>237</v>
      </c>
      <c r="F282" s="4">
        <v>81897710001</v>
      </c>
      <c r="G282" s="24">
        <v>941.37065217391296</v>
      </c>
      <c r="H282" s="24">
        <v>1882.7413043478259</v>
      </c>
      <c r="I282" s="4" t="s">
        <v>816</v>
      </c>
    </row>
    <row r="283" spans="1:9">
      <c r="A283" s="3">
        <v>28</v>
      </c>
      <c r="B283" s="3">
        <v>2</v>
      </c>
      <c r="C283" s="4" t="s">
        <v>450</v>
      </c>
      <c r="D283" s="47" t="s">
        <v>666</v>
      </c>
      <c r="E283" s="4" t="s">
        <v>451</v>
      </c>
      <c r="F283" s="4">
        <v>81897710001</v>
      </c>
      <c r="G283" s="24">
        <v>941.37065217391296</v>
      </c>
      <c r="H283" s="24">
        <v>1882.7413043478259</v>
      </c>
      <c r="I283" s="4" t="s">
        <v>816</v>
      </c>
    </row>
    <row r="284" spans="1:9">
      <c r="A284" s="3">
        <v>29</v>
      </c>
      <c r="B284" s="3">
        <v>1</v>
      </c>
      <c r="C284" s="4" t="s">
        <v>452</v>
      </c>
      <c r="D284" s="47" t="s">
        <v>800</v>
      </c>
      <c r="E284" s="4" t="s">
        <v>239</v>
      </c>
      <c r="F284" s="4">
        <v>81897710018</v>
      </c>
      <c r="G284" s="24">
        <v>376.14423913043481</v>
      </c>
      <c r="H284" s="24">
        <v>376.14423913043481</v>
      </c>
      <c r="I284" s="4" t="s">
        <v>816</v>
      </c>
    </row>
    <row r="285" spans="1:9">
      <c r="A285" s="3">
        <v>30</v>
      </c>
      <c r="B285" s="3">
        <v>1</v>
      </c>
      <c r="C285" s="4" t="s">
        <v>453</v>
      </c>
      <c r="D285" s="47" t="s">
        <v>593</v>
      </c>
      <c r="E285" s="4" t="s">
        <v>139</v>
      </c>
      <c r="F285" s="4">
        <v>81897710018</v>
      </c>
      <c r="G285" s="24">
        <v>946.62293478260858</v>
      </c>
      <c r="H285" s="24">
        <v>946.62293478260858</v>
      </c>
      <c r="I285" s="4" t="s">
        <v>816</v>
      </c>
    </row>
    <row r="286" spans="1:9">
      <c r="A286" s="3">
        <v>31</v>
      </c>
      <c r="B286" s="3">
        <v>6</v>
      </c>
      <c r="C286" s="4" t="s">
        <v>454</v>
      </c>
      <c r="D286" s="47" t="s">
        <v>801</v>
      </c>
      <c r="E286" s="4" t="s">
        <v>10</v>
      </c>
      <c r="F286" s="4">
        <v>81897710001</v>
      </c>
      <c r="G286" s="24">
        <v>239.18086956521742</v>
      </c>
      <c r="H286" s="24">
        <v>1435.0852173913045</v>
      </c>
      <c r="I286" s="4" t="s">
        <v>816</v>
      </c>
    </row>
    <row r="287" spans="1:9">
      <c r="A287" s="3">
        <v>32</v>
      </c>
      <c r="B287" s="38">
        <v>4</v>
      </c>
      <c r="C287" s="40" t="s">
        <v>455</v>
      </c>
      <c r="D287" s="48" t="s">
        <v>667</v>
      </c>
      <c r="E287" s="40" t="s">
        <v>366</v>
      </c>
      <c r="F287" s="40">
        <v>81897710001</v>
      </c>
      <c r="G287" s="41">
        <v>170.09315217391304</v>
      </c>
      <c r="H287" s="41">
        <v>680.37260869565216</v>
      </c>
      <c r="I287" s="4" t="s">
        <v>816</v>
      </c>
    </row>
    <row r="288" spans="1:9">
      <c r="A288" s="3">
        <v>33</v>
      </c>
      <c r="B288" s="38">
        <v>1</v>
      </c>
      <c r="C288" s="40" t="s">
        <v>728</v>
      </c>
      <c r="D288" s="48" t="s">
        <v>846</v>
      </c>
      <c r="E288" s="40" t="s">
        <v>144</v>
      </c>
      <c r="F288" s="40" t="s">
        <v>26</v>
      </c>
      <c r="G288" s="41">
        <v>17613.63</v>
      </c>
      <c r="H288" s="41">
        <f>B288*G288</f>
        <v>17613.63</v>
      </c>
      <c r="I288" s="4" t="s">
        <v>816</v>
      </c>
    </row>
    <row r="289" spans="1:9">
      <c r="E289" s="122" t="s">
        <v>27</v>
      </c>
      <c r="F289" s="122"/>
      <c r="G289" s="122"/>
      <c r="H289" s="62">
        <f>SUM(H256:H288)</f>
        <v>51271.35230434782</v>
      </c>
    </row>
    <row r="291" spans="1:9">
      <c r="A291" s="121" t="s">
        <v>545</v>
      </c>
      <c r="B291" s="121"/>
      <c r="C291" s="121"/>
    </row>
    <row r="292" spans="1:9">
      <c r="A292" s="5" t="s">
        <v>0</v>
      </c>
      <c r="B292" s="5" t="s">
        <v>509</v>
      </c>
      <c r="C292" s="5" t="s">
        <v>510</v>
      </c>
      <c r="D292" s="49" t="s">
        <v>809</v>
      </c>
      <c r="E292" s="50" t="s">
        <v>1</v>
      </c>
      <c r="F292" s="50" t="s">
        <v>2</v>
      </c>
      <c r="G292" s="51" t="s">
        <v>28</v>
      </c>
      <c r="H292" s="51" t="s">
        <v>3</v>
      </c>
      <c r="I292" s="61" t="s">
        <v>815</v>
      </c>
    </row>
    <row r="293" spans="1:9">
      <c r="A293" s="3">
        <v>1</v>
      </c>
      <c r="B293" s="3">
        <v>2</v>
      </c>
      <c r="C293" s="4" t="s">
        <v>456</v>
      </c>
      <c r="D293" s="47" t="s">
        <v>802</v>
      </c>
      <c r="E293" s="4" t="s">
        <v>194</v>
      </c>
      <c r="F293" s="4">
        <v>81897710023</v>
      </c>
      <c r="G293" s="24">
        <v>141.81163043478261</v>
      </c>
      <c r="H293" s="24">
        <v>283.62326086956523</v>
      </c>
      <c r="I293" s="4" t="s">
        <v>816</v>
      </c>
    </row>
    <row r="294" spans="1:9">
      <c r="A294" s="3">
        <v>2</v>
      </c>
      <c r="B294" s="3">
        <v>2</v>
      </c>
      <c r="C294" s="4" t="s">
        <v>457</v>
      </c>
      <c r="D294" s="52" t="s">
        <v>840</v>
      </c>
      <c r="E294" s="4" t="s">
        <v>458</v>
      </c>
      <c r="F294" s="4">
        <v>81897710023</v>
      </c>
      <c r="G294" s="24">
        <v>146.65989130434784</v>
      </c>
      <c r="H294" s="24">
        <v>293.31978260869568</v>
      </c>
      <c r="I294" s="4" t="s">
        <v>816</v>
      </c>
    </row>
    <row r="295" spans="1:9">
      <c r="A295" s="3">
        <v>3</v>
      </c>
      <c r="B295" s="3">
        <v>2</v>
      </c>
      <c r="C295" s="4" t="s">
        <v>459</v>
      </c>
      <c r="D295" s="52" t="s">
        <v>829</v>
      </c>
      <c r="E295" s="4" t="s">
        <v>208</v>
      </c>
      <c r="F295" s="4">
        <v>81897710023</v>
      </c>
      <c r="G295" s="24">
        <v>204.43499999999997</v>
      </c>
      <c r="H295" s="24">
        <v>408.86999999999995</v>
      </c>
      <c r="I295" s="4" t="s">
        <v>816</v>
      </c>
    </row>
    <row r="296" spans="1:9">
      <c r="A296" s="3">
        <v>4</v>
      </c>
      <c r="B296" s="38">
        <v>2</v>
      </c>
      <c r="C296" s="40" t="s">
        <v>460</v>
      </c>
      <c r="D296" s="48" t="s">
        <v>21</v>
      </c>
      <c r="E296" s="40" t="s">
        <v>22</v>
      </c>
      <c r="F296" s="40">
        <v>81897719003</v>
      </c>
      <c r="G296" s="41">
        <v>565.63043478260863</v>
      </c>
      <c r="H296" s="41">
        <v>1131.2608695652173</v>
      </c>
      <c r="I296" s="4" t="s">
        <v>816</v>
      </c>
    </row>
    <row r="297" spans="1:9">
      <c r="A297" s="3">
        <v>5</v>
      </c>
      <c r="B297" s="3">
        <v>2</v>
      </c>
      <c r="C297" s="4" t="s">
        <v>461</v>
      </c>
      <c r="D297" s="47" t="s">
        <v>668</v>
      </c>
      <c r="E297" s="4" t="s">
        <v>299</v>
      </c>
      <c r="F297" s="4">
        <v>81897710001</v>
      </c>
      <c r="G297" s="24">
        <v>1085.6064130434781</v>
      </c>
      <c r="H297" s="24">
        <v>2171.2128260869563</v>
      </c>
      <c r="I297" s="4" t="s">
        <v>816</v>
      </c>
    </row>
    <row r="298" spans="1:9">
      <c r="A298" s="3">
        <v>6</v>
      </c>
      <c r="B298" s="3">
        <v>5</v>
      </c>
      <c r="C298" s="4" t="s">
        <v>462</v>
      </c>
      <c r="D298" s="47" t="s">
        <v>669</v>
      </c>
      <c r="E298" s="4" t="s">
        <v>16</v>
      </c>
      <c r="F298" s="4">
        <v>81897710001</v>
      </c>
      <c r="G298" s="24">
        <v>130.49902173913043</v>
      </c>
      <c r="H298" s="24">
        <v>652.49510869565211</v>
      </c>
      <c r="I298" s="4" t="s">
        <v>816</v>
      </c>
    </row>
    <row r="299" spans="1:9">
      <c r="A299" s="3">
        <v>7</v>
      </c>
      <c r="B299" s="3">
        <v>5</v>
      </c>
      <c r="C299" s="4" t="s">
        <v>463</v>
      </c>
      <c r="D299" s="47" t="s">
        <v>670</v>
      </c>
      <c r="E299" s="4" t="s">
        <v>217</v>
      </c>
      <c r="F299" s="4">
        <v>81897710001</v>
      </c>
      <c r="G299" s="24">
        <v>156.76043478260868</v>
      </c>
      <c r="H299" s="24">
        <v>783.80217391304336</v>
      </c>
      <c r="I299" s="4" t="s">
        <v>816</v>
      </c>
    </row>
    <row r="300" spans="1:9">
      <c r="A300" s="3">
        <v>8</v>
      </c>
      <c r="B300" s="3">
        <v>5</v>
      </c>
      <c r="C300" s="4" t="s">
        <v>464</v>
      </c>
      <c r="D300" s="47" t="s">
        <v>803</v>
      </c>
      <c r="E300" s="4" t="s">
        <v>465</v>
      </c>
      <c r="F300" s="4">
        <v>81897710001</v>
      </c>
      <c r="G300" s="24">
        <v>323.21739130434787</v>
      </c>
      <c r="H300" s="24">
        <v>1616.0869565217395</v>
      </c>
      <c r="I300" s="4" t="s">
        <v>816</v>
      </c>
    </row>
    <row r="301" spans="1:9">
      <c r="A301" s="3">
        <v>9</v>
      </c>
      <c r="B301" s="3">
        <v>5</v>
      </c>
      <c r="C301" s="4" t="s">
        <v>466</v>
      </c>
      <c r="D301" s="47" t="s">
        <v>667</v>
      </c>
      <c r="E301" s="4" t="s">
        <v>366</v>
      </c>
      <c r="F301" s="4">
        <v>81897710001</v>
      </c>
      <c r="G301" s="24">
        <v>170.09315217391304</v>
      </c>
      <c r="H301" s="24">
        <v>850.4657608695652</v>
      </c>
      <c r="I301" s="4" t="s">
        <v>816</v>
      </c>
    </row>
    <row r="302" spans="1:9">
      <c r="A302" s="3">
        <v>10</v>
      </c>
      <c r="B302" s="3">
        <v>1</v>
      </c>
      <c r="C302" s="4" t="s">
        <v>467</v>
      </c>
      <c r="D302" s="52" t="s">
        <v>841</v>
      </c>
      <c r="E302" s="4" t="s">
        <v>169</v>
      </c>
      <c r="F302" s="4">
        <v>81897710001</v>
      </c>
      <c r="G302" s="24">
        <v>635.93021739130438</v>
      </c>
      <c r="H302" s="24">
        <v>635.93021739130438</v>
      </c>
      <c r="I302" s="4" t="s">
        <v>816</v>
      </c>
    </row>
    <row r="303" spans="1:9">
      <c r="A303" s="3">
        <v>11</v>
      </c>
      <c r="B303" s="3">
        <v>4</v>
      </c>
      <c r="C303" s="4" t="s">
        <v>468</v>
      </c>
      <c r="D303" s="47" t="s">
        <v>671</v>
      </c>
      <c r="E303" s="4" t="s">
        <v>469</v>
      </c>
      <c r="F303" s="4">
        <v>81897710001</v>
      </c>
      <c r="G303" s="24">
        <v>305.03641304347826</v>
      </c>
      <c r="H303" s="24">
        <v>1220.145652173913</v>
      </c>
      <c r="I303" s="4" t="s">
        <v>816</v>
      </c>
    </row>
    <row r="304" spans="1:9">
      <c r="A304" s="3">
        <v>12</v>
      </c>
      <c r="B304" s="3">
        <v>4</v>
      </c>
      <c r="C304" s="4" t="s">
        <v>470</v>
      </c>
      <c r="D304" s="47" t="s">
        <v>672</v>
      </c>
      <c r="E304" s="4" t="s">
        <v>471</v>
      </c>
      <c r="F304" s="4">
        <v>81897710001</v>
      </c>
      <c r="G304" s="24">
        <v>281.19913043478266</v>
      </c>
      <c r="H304" s="24">
        <v>1124.7965217391306</v>
      </c>
      <c r="I304" s="4" t="s">
        <v>816</v>
      </c>
    </row>
    <row r="305" spans="1:9">
      <c r="A305" s="3">
        <v>13</v>
      </c>
      <c r="B305" s="3">
        <v>4</v>
      </c>
      <c r="C305" s="4" t="s">
        <v>472</v>
      </c>
      <c r="D305" s="47" t="s">
        <v>673</v>
      </c>
      <c r="E305" s="4" t="s">
        <v>473</v>
      </c>
      <c r="F305" s="4">
        <v>81897710001</v>
      </c>
      <c r="G305" s="24">
        <v>278.77500000000003</v>
      </c>
      <c r="H305" s="24">
        <v>1115.1000000000001</v>
      </c>
      <c r="I305" s="4" t="s">
        <v>816</v>
      </c>
    </row>
    <row r="306" spans="1:9">
      <c r="A306" s="3">
        <v>14</v>
      </c>
      <c r="B306" s="3">
        <v>2</v>
      </c>
      <c r="C306" s="4" t="s">
        <v>474</v>
      </c>
      <c r="D306" s="47" t="s">
        <v>674</v>
      </c>
      <c r="E306" s="4" t="s">
        <v>475</v>
      </c>
      <c r="F306" s="4">
        <v>81897710001</v>
      </c>
      <c r="G306" s="24">
        <v>182.61782608695654</v>
      </c>
      <c r="H306" s="24">
        <v>365.23565217391308</v>
      </c>
      <c r="I306" s="4" t="s">
        <v>816</v>
      </c>
    </row>
    <row r="307" spans="1:9">
      <c r="A307" s="3">
        <v>15</v>
      </c>
      <c r="B307" s="3">
        <v>2</v>
      </c>
      <c r="C307" s="4" t="s">
        <v>476</v>
      </c>
      <c r="D307" s="47" t="s">
        <v>675</v>
      </c>
      <c r="E307" s="4" t="s">
        <v>235</v>
      </c>
      <c r="F307" s="4">
        <v>81897710001</v>
      </c>
      <c r="G307" s="24">
        <v>178.57760869565215</v>
      </c>
      <c r="H307" s="24">
        <v>357.15521739130429</v>
      </c>
      <c r="I307" s="4" t="s">
        <v>816</v>
      </c>
    </row>
    <row r="308" spans="1:9">
      <c r="A308" s="3">
        <v>16</v>
      </c>
      <c r="B308" s="3">
        <v>4</v>
      </c>
      <c r="C308" s="4" t="s">
        <v>477</v>
      </c>
      <c r="D308" s="52" t="s">
        <v>842</v>
      </c>
      <c r="E308" s="4" t="s">
        <v>411</v>
      </c>
      <c r="F308" s="4">
        <v>81897710001</v>
      </c>
      <c r="G308" s="24">
        <v>321.19728260869562</v>
      </c>
      <c r="H308" s="24">
        <v>1284.7891304347825</v>
      </c>
      <c r="I308" s="4" t="s">
        <v>816</v>
      </c>
    </row>
    <row r="309" spans="1:9">
      <c r="A309" s="3">
        <v>17</v>
      </c>
      <c r="B309" s="3">
        <v>1</v>
      </c>
      <c r="C309" s="4" t="s">
        <v>478</v>
      </c>
      <c r="D309" s="47" t="s">
        <v>629</v>
      </c>
      <c r="E309" s="4" t="s">
        <v>246</v>
      </c>
      <c r="F309" s="4">
        <v>81897710017</v>
      </c>
      <c r="G309" s="24">
        <v>151.91217391304349</v>
      </c>
      <c r="H309" s="24">
        <v>151.91217391304349</v>
      </c>
      <c r="I309" s="4" t="s">
        <v>816</v>
      </c>
    </row>
    <row r="310" spans="1:9">
      <c r="A310" s="3">
        <v>18</v>
      </c>
      <c r="B310" s="3">
        <v>1</v>
      </c>
      <c r="C310" s="4" t="s">
        <v>479</v>
      </c>
      <c r="D310" s="47" t="s">
        <v>630</v>
      </c>
      <c r="E310" s="4" t="s">
        <v>249</v>
      </c>
      <c r="F310" s="4">
        <v>81897710017</v>
      </c>
      <c r="G310" s="24">
        <v>147.87195652173912</v>
      </c>
      <c r="H310" s="24">
        <v>147.87195652173912</v>
      </c>
      <c r="I310" s="4" t="s">
        <v>816</v>
      </c>
    </row>
    <row r="311" spans="1:9">
      <c r="A311" s="3">
        <v>19</v>
      </c>
      <c r="B311" s="3">
        <v>2</v>
      </c>
      <c r="C311" s="4" t="s">
        <v>480</v>
      </c>
      <c r="D311" s="47" t="s">
        <v>676</v>
      </c>
      <c r="E311" s="4" t="s">
        <v>442</v>
      </c>
      <c r="F311" s="4">
        <v>81897710017</v>
      </c>
      <c r="G311" s="24">
        <v>199.99076086956521</v>
      </c>
      <c r="H311" s="24">
        <v>399.98152173913041</v>
      </c>
      <c r="I311" s="4" t="s">
        <v>816</v>
      </c>
    </row>
    <row r="312" spans="1:9">
      <c r="A312" s="3">
        <v>20</v>
      </c>
      <c r="B312" s="3">
        <v>1</v>
      </c>
      <c r="C312" s="4" t="s">
        <v>138</v>
      </c>
      <c r="D312" s="47" t="s">
        <v>593</v>
      </c>
      <c r="E312" s="4" t="s">
        <v>139</v>
      </c>
      <c r="F312" s="4">
        <v>81897710018</v>
      </c>
      <c r="G312" s="24">
        <v>946.62293478260858</v>
      </c>
      <c r="H312" s="24">
        <v>946.62293478260858</v>
      </c>
      <c r="I312" s="4" t="s">
        <v>816</v>
      </c>
    </row>
    <row r="313" spans="1:9">
      <c r="A313" s="3">
        <v>21</v>
      </c>
      <c r="B313" s="3">
        <v>1</v>
      </c>
      <c r="C313" s="4" t="s">
        <v>481</v>
      </c>
      <c r="D313" s="47" t="s">
        <v>804</v>
      </c>
      <c r="E313" s="4" t="s">
        <v>82</v>
      </c>
      <c r="F313" s="4">
        <v>81897710018</v>
      </c>
      <c r="G313" s="24">
        <v>591.08380434782612</v>
      </c>
      <c r="H313" s="24">
        <v>591.08380434782612</v>
      </c>
      <c r="I313" s="4" t="s">
        <v>816</v>
      </c>
    </row>
    <row r="314" spans="1:9">
      <c r="A314" s="3">
        <v>22</v>
      </c>
      <c r="B314" s="3">
        <v>2</v>
      </c>
      <c r="C314" s="4" t="s">
        <v>735</v>
      </c>
      <c r="D314" s="47" t="s">
        <v>677</v>
      </c>
      <c r="E314" s="4" t="s">
        <v>162</v>
      </c>
      <c r="F314" s="4">
        <v>81897710023</v>
      </c>
      <c r="G314" s="24">
        <v>384.22467391304349</v>
      </c>
      <c r="H314" s="24">
        <v>768.44934782608698</v>
      </c>
      <c r="I314" s="4" t="s">
        <v>816</v>
      </c>
    </row>
    <row r="315" spans="1:9">
      <c r="A315" s="3">
        <v>23</v>
      </c>
      <c r="B315" s="3">
        <v>2</v>
      </c>
      <c r="C315" s="4" t="s">
        <v>157</v>
      </c>
      <c r="D315" s="47" t="s">
        <v>158</v>
      </c>
      <c r="E315" s="4" t="s">
        <v>159</v>
      </c>
      <c r="F315" s="4">
        <v>81897710023</v>
      </c>
      <c r="G315" s="24">
        <v>315.54097826086951</v>
      </c>
      <c r="H315" s="24">
        <v>631.08195652173902</v>
      </c>
      <c r="I315" s="4" t="s">
        <v>816</v>
      </c>
    </row>
    <row r="316" spans="1:9">
      <c r="A316" s="3">
        <v>24</v>
      </c>
      <c r="B316" s="3">
        <v>2</v>
      </c>
      <c r="C316" s="4" t="s">
        <v>736</v>
      </c>
      <c r="D316" s="47" t="s">
        <v>678</v>
      </c>
      <c r="E316" s="4" t="s">
        <v>380</v>
      </c>
      <c r="F316" s="4">
        <v>81897710023</v>
      </c>
      <c r="G316" s="24">
        <v>313.52086956521737</v>
      </c>
      <c r="H316" s="24">
        <v>627.04173913043473</v>
      </c>
      <c r="I316" s="4" t="s">
        <v>816</v>
      </c>
    </row>
    <row r="317" spans="1:9">
      <c r="A317" s="3">
        <v>25</v>
      </c>
      <c r="B317" s="3">
        <v>2</v>
      </c>
      <c r="C317" s="4" t="s">
        <v>482</v>
      </c>
      <c r="D317" s="47" t="s">
        <v>483</v>
      </c>
      <c r="E317" s="4" t="s">
        <v>484</v>
      </c>
      <c r="F317" s="4">
        <v>81897710001</v>
      </c>
      <c r="G317" s="24">
        <v>1670.2258695652176</v>
      </c>
      <c r="H317" s="24">
        <v>3340.4517391304353</v>
      </c>
      <c r="I317" s="4" t="s">
        <v>816</v>
      </c>
    </row>
    <row r="318" spans="1:9">
      <c r="A318" s="3">
        <v>26</v>
      </c>
      <c r="B318" s="3">
        <v>1</v>
      </c>
      <c r="C318" s="4" t="s">
        <v>485</v>
      </c>
      <c r="D318" s="47" t="s">
        <v>679</v>
      </c>
      <c r="E318" s="4" t="s">
        <v>486</v>
      </c>
      <c r="F318" s="4">
        <v>81897710001</v>
      </c>
      <c r="G318" s="24">
        <v>1522.3539130434783</v>
      </c>
      <c r="H318" s="24">
        <v>1522.3539130434783</v>
      </c>
      <c r="I318" s="4" t="s">
        <v>816</v>
      </c>
    </row>
    <row r="319" spans="1:9">
      <c r="A319" s="3">
        <v>27</v>
      </c>
      <c r="B319" s="3">
        <v>1</v>
      </c>
      <c r="C319" s="4" t="s">
        <v>737</v>
      </c>
      <c r="D319" s="47" t="s">
        <v>805</v>
      </c>
      <c r="E319" s="4" t="s">
        <v>487</v>
      </c>
      <c r="F319" s="4">
        <v>81897710001</v>
      </c>
      <c r="G319" s="24">
        <v>2384.9403260869567</v>
      </c>
      <c r="H319" s="24">
        <v>2384.9403260869567</v>
      </c>
      <c r="I319" s="4" t="s">
        <v>816</v>
      </c>
    </row>
    <row r="320" spans="1:9">
      <c r="A320" s="3">
        <v>28</v>
      </c>
      <c r="B320" s="3">
        <v>1</v>
      </c>
      <c r="C320" s="4" t="s">
        <v>738</v>
      </c>
      <c r="D320" s="47" t="s">
        <v>806</v>
      </c>
      <c r="E320" s="4" t="s">
        <v>488</v>
      </c>
      <c r="F320" s="4">
        <v>81897710001</v>
      </c>
      <c r="G320" s="24">
        <v>2414.029891304348</v>
      </c>
      <c r="H320" s="24">
        <v>2414.029891304348</v>
      </c>
      <c r="I320" s="4" t="s">
        <v>816</v>
      </c>
    </row>
    <row r="321" spans="1:9">
      <c r="A321" s="3">
        <v>29</v>
      </c>
      <c r="B321" s="3">
        <v>1</v>
      </c>
      <c r="C321" s="4" t="s">
        <v>489</v>
      </c>
      <c r="D321" s="47" t="s">
        <v>807</v>
      </c>
      <c r="E321" s="4" t="s">
        <v>72</v>
      </c>
      <c r="F321" s="4">
        <v>81897710001</v>
      </c>
      <c r="G321" s="24">
        <v>2177.2731521739133</v>
      </c>
      <c r="H321" s="24">
        <v>2177.2731521739133</v>
      </c>
      <c r="I321" s="4" t="s">
        <v>816</v>
      </c>
    </row>
    <row r="322" spans="1:9">
      <c r="A322" s="3">
        <v>30</v>
      </c>
      <c r="B322" s="3">
        <v>1</v>
      </c>
      <c r="C322" s="4" t="s">
        <v>490</v>
      </c>
      <c r="D322" s="47" t="s">
        <v>680</v>
      </c>
      <c r="E322" s="4" t="s">
        <v>491</v>
      </c>
      <c r="F322" s="4">
        <v>81897710023</v>
      </c>
      <c r="G322" s="24">
        <v>239.18086956521742</v>
      </c>
      <c r="H322" s="24">
        <v>239.18086956521742</v>
      </c>
      <c r="I322" s="4" t="s">
        <v>816</v>
      </c>
    </row>
    <row r="323" spans="1:9">
      <c r="A323" s="3">
        <v>31</v>
      </c>
      <c r="B323" s="3">
        <v>1</v>
      </c>
      <c r="C323" s="4" t="s">
        <v>492</v>
      </c>
      <c r="D323" s="47" t="s">
        <v>681</v>
      </c>
      <c r="E323" s="4" t="s">
        <v>184</v>
      </c>
      <c r="F323" s="4">
        <v>81897710018</v>
      </c>
      <c r="G323" s="24">
        <v>285.23934782608694</v>
      </c>
      <c r="H323" s="24">
        <v>285.23934782608694</v>
      </c>
      <c r="I323" s="4" t="s">
        <v>816</v>
      </c>
    </row>
    <row r="324" spans="1:9">
      <c r="A324" s="3">
        <v>32</v>
      </c>
      <c r="B324" s="3">
        <v>1</v>
      </c>
      <c r="C324" s="4" t="s">
        <v>493</v>
      </c>
      <c r="D324" s="47" t="s">
        <v>595</v>
      </c>
      <c r="E324" s="4" t="s">
        <v>52</v>
      </c>
      <c r="F324" s="4">
        <v>81897710018</v>
      </c>
      <c r="G324" s="24">
        <v>239.18086956521742</v>
      </c>
      <c r="H324" s="24">
        <v>239.18086956521742</v>
      </c>
      <c r="I324" s="4" t="s">
        <v>816</v>
      </c>
    </row>
    <row r="325" spans="1:9">
      <c r="A325" s="3">
        <v>33</v>
      </c>
      <c r="B325" s="3">
        <v>1</v>
      </c>
      <c r="C325" s="4" t="s">
        <v>494</v>
      </c>
      <c r="D325" s="47" t="s">
        <v>634</v>
      </c>
      <c r="E325" s="4" t="s">
        <v>60</v>
      </c>
      <c r="F325" s="4">
        <v>81897710018</v>
      </c>
      <c r="G325" s="24">
        <v>264.63423913043471</v>
      </c>
      <c r="H325" s="24">
        <v>264.63423913043471</v>
      </c>
      <c r="I325" s="4" t="s">
        <v>816</v>
      </c>
    </row>
    <row r="326" spans="1:9">
      <c r="A326" s="3">
        <v>34</v>
      </c>
      <c r="B326" s="3">
        <v>1</v>
      </c>
      <c r="C326" s="4" t="s">
        <v>495</v>
      </c>
      <c r="D326" s="47" t="s">
        <v>496</v>
      </c>
      <c r="E326" s="4" t="s">
        <v>497</v>
      </c>
      <c r="F326" s="4">
        <v>81897710018</v>
      </c>
      <c r="G326" s="24">
        <v>333.72195652173906</v>
      </c>
      <c r="H326" s="24">
        <v>333.72195652173906</v>
      </c>
      <c r="I326" s="4" t="s">
        <v>816</v>
      </c>
    </row>
    <row r="327" spans="1:9">
      <c r="A327" s="3">
        <v>35</v>
      </c>
      <c r="B327" s="3">
        <v>1</v>
      </c>
      <c r="C327" s="4" t="s">
        <v>739</v>
      </c>
      <c r="D327" s="47" t="s">
        <v>498</v>
      </c>
      <c r="E327" s="4" t="s">
        <v>499</v>
      </c>
      <c r="F327" s="4">
        <v>81897710018</v>
      </c>
      <c r="G327" s="24">
        <v>614.51706521739129</v>
      </c>
      <c r="H327" s="24">
        <v>614.51706521739129</v>
      </c>
      <c r="I327" s="4" t="s">
        <v>816</v>
      </c>
    </row>
    <row r="328" spans="1:9">
      <c r="A328" s="3">
        <v>36</v>
      </c>
      <c r="B328" s="3">
        <v>1</v>
      </c>
      <c r="C328" s="4" t="s">
        <v>500</v>
      </c>
      <c r="D328" s="47" t="s">
        <v>682</v>
      </c>
      <c r="E328" s="4" t="s">
        <v>501</v>
      </c>
      <c r="F328" s="4">
        <v>81897710018</v>
      </c>
      <c r="G328" s="24">
        <v>3015.2142391304346</v>
      </c>
      <c r="H328" s="24">
        <v>3015.2142391304346</v>
      </c>
      <c r="I328" s="4" t="s">
        <v>816</v>
      </c>
    </row>
    <row r="329" spans="1:9">
      <c r="A329" s="3">
        <v>37</v>
      </c>
      <c r="B329" s="3">
        <v>1</v>
      </c>
      <c r="C329" s="4" t="s">
        <v>502</v>
      </c>
      <c r="D329" s="47" t="s">
        <v>582</v>
      </c>
      <c r="E329" s="4" t="s">
        <v>105</v>
      </c>
      <c r="F329" s="4">
        <v>81897710018</v>
      </c>
      <c r="G329" s="24">
        <v>256.95782608695657</v>
      </c>
      <c r="H329" s="24">
        <v>256.95782608695657</v>
      </c>
      <c r="I329" s="4" t="s">
        <v>816</v>
      </c>
    </row>
    <row r="330" spans="1:9">
      <c r="A330" s="3">
        <v>38</v>
      </c>
      <c r="B330" s="3">
        <v>1</v>
      </c>
      <c r="C330" s="4" t="s">
        <v>503</v>
      </c>
      <c r="D330" s="47" t="s">
        <v>683</v>
      </c>
      <c r="E330" s="4" t="s">
        <v>306</v>
      </c>
      <c r="F330" s="4">
        <v>81897710018</v>
      </c>
      <c r="G330" s="24">
        <v>281.60315217391303</v>
      </c>
      <c r="H330" s="24">
        <v>281.60315217391303</v>
      </c>
      <c r="I330" s="4" t="s">
        <v>816</v>
      </c>
    </row>
    <row r="331" spans="1:9">
      <c r="A331" s="3">
        <v>39</v>
      </c>
      <c r="B331" s="3">
        <v>1</v>
      </c>
      <c r="C331" s="4" t="s">
        <v>504</v>
      </c>
      <c r="D331" s="47" t="s">
        <v>684</v>
      </c>
      <c r="E331" s="4" t="s">
        <v>505</v>
      </c>
      <c r="F331" s="4">
        <v>81897710018</v>
      </c>
      <c r="G331" s="24">
        <v>321.19728260869562</v>
      </c>
      <c r="H331" s="24">
        <v>321.19728260869562</v>
      </c>
      <c r="I331" s="4" t="s">
        <v>816</v>
      </c>
    </row>
    <row r="332" spans="1:9">
      <c r="A332" s="3">
        <v>40</v>
      </c>
      <c r="B332" s="3">
        <v>1</v>
      </c>
      <c r="C332" s="4" t="s">
        <v>506</v>
      </c>
      <c r="D332" s="47" t="s">
        <v>685</v>
      </c>
      <c r="E332" s="4" t="s">
        <v>275</v>
      </c>
      <c r="F332" s="4">
        <v>81897710023</v>
      </c>
      <c r="G332" s="24">
        <v>1063.7892391304347</v>
      </c>
      <c r="H332" s="24">
        <v>1063.7892391304347</v>
      </c>
      <c r="I332" s="4" t="s">
        <v>816</v>
      </c>
    </row>
    <row r="333" spans="1:9">
      <c r="A333" s="3">
        <v>41</v>
      </c>
      <c r="B333" s="38">
        <v>1</v>
      </c>
      <c r="C333" s="40" t="s">
        <v>740</v>
      </c>
      <c r="D333" s="48" t="s">
        <v>847</v>
      </c>
      <c r="E333" s="40" t="s">
        <v>507</v>
      </c>
      <c r="F333" s="38" t="s">
        <v>26</v>
      </c>
      <c r="G333" s="41">
        <v>17768.240000000002</v>
      </c>
      <c r="H333" s="41">
        <f>G333*B333</f>
        <v>17768.240000000002</v>
      </c>
      <c r="I333" s="4" t="s">
        <v>816</v>
      </c>
    </row>
    <row r="334" spans="1:9">
      <c r="E334" s="122" t="s">
        <v>27</v>
      </c>
      <c r="F334" s="122"/>
      <c r="G334" s="122"/>
      <c r="H334" s="62">
        <f>SUM(H293:H333)</f>
        <v>55080.859673913044</v>
      </c>
    </row>
  </sheetData>
  <autoFilter ref="A2:I2"/>
  <mergeCells count="11">
    <mergeCell ref="E126:G126"/>
    <mergeCell ref="A1:C1"/>
    <mergeCell ref="A67:C67"/>
    <mergeCell ref="A127:C127"/>
    <mergeCell ref="A213:C213"/>
    <mergeCell ref="A291:C291"/>
    <mergeCell ref="E334:G334"/>
    <mergeCell ref="E289:G289"/>
    <mergeCell ref="E253:G253"/>
    <mergeCell ref="E211:G211"/>
    <mergeCell ref="A254:C254"/>
  </mergeCells>
  <phoneticPr fontId="14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showGridLines="0" tabSelected="1" zoomScale="80" zoomScaleNormal="80" workbookViewId="0">
      <selection activeCell="A2" sqref="A2:H7"/>
    </sheetView>
  </sheetViews>
  <sheetFormatPr defaultRowHeight="14.25"/>
  <cols>
    <col min="1" max="1" width="5.75" customWidth="1"/>
    <col min="2" max="2" width="49.375" customWidth="1"/>
    <col min="3" max="3" width="10" customWidth="1"/>
    <col min="4" max="4" width="11" customWidth="1"/>
    <col min="5" max="5" width="12.125" customWidth="1"/>
    <col min="6" max="6" width="15" customWidth="1"/>
    <col min="7" max="7" width="16.75" style="67" customWidth="1"/>
    <col min="8" max="8" width="21.125" style="67" customWidth="1"/>
    <col min="9" max="9" width="17.25" style="92" customWidth="1"/>
    <col min="10" max="10" width="16.875" style="92" customWidth="1"/>
    <col min="11" max="11" width="6.75" style="91" customWidth="1"/>
    <col min="12" max="12" width="19.25" style="99" customWidth="1"/>
    <col min="13" max="13" width="4.375" customWidth="1"/>
    <col min="14" max="14" width="19.125" customWidth="1"/>
  </cols>
  <sheetData>
    <row r="1" spans="1:14" ht="15" thickBot="1">
      <c r="H1" s="93"/>
    </row>
    <row r="2" spans="1:14" ht="28.5">
      <c r="A2" s="109" t="s">
        <v>0</v>
      </c>
      <c r="B2" s="110" t="s">
        <v>857</v>
      </c>
      <c r="C2" s="110" t="s">
        <v>858</v>
      </c>
      <c r="D2" s="110" t="s">
        <v>859</v>
      </c>
      <c r="E2" s="110" t="s">
        <v>860</v>
      </c>
      <c r="F2" s="110" t="s">
        <v>861</v>
      </c>
      <c r="G2" s="111" t="s">
        <v>844</v>
      </c>
      <c r="H2" s="112" t="s">
        <v>845</v>
      </c>
      <c r="I2" s="108" t="s">
        <v>851</v>
      </c>
      <c r="J2" s="94" t="s">
        <v>852</v>
      </c>
      <c r="K2" s="95" t="s">
        <v>850</v>
      </c>
    </row>
    <row r="3" spans="1:14" ht="124.5" customHeight="1">
      <c r="A3" s="113">
        <v>1</v>
      </c>
      <c r="B3" s="101" t="s">
        <v>864</v>
      </c>
      <c r="C3" s="102">
        <v>395938</v>
      </c>
      <c r="D3" s="102">
        <v>5153298</v>
      </c>
      <c r="E3" s="103" t="s">
        <v>862</v>
      </c>
      <c r="F3" s="102">
        <v>1</v>
      </c>
      <c r="G3" s="104">
        <v>125800</v>
      </c>
      <c r="H3" s="114">
        <f>G3*F3</f>
        <v>125800</v>
      </c>
      <c r="I3" s="108">
        <v>125792.84</v>
      </c>
      <c r="J3" s="94">
        <f>I3*F3</f>
        <v>125792.84</v>
      </c>
      <c r="K3" s="95">
        <v>3.84</v>
      </c>
      <c r="L3" s="99">
        <v>132288</v>
      </c>
    </row>
    <row r="4" spans="1:14" ht="99" customHeight="1">
      <c r="A4" s="113">
        <v>2</v>
      </c>
      <c r="B4" s="101" t="s">
        <v>849</v>
      </c>
      <c r="C4" s="102">
        <v>395938</v>
      </c>
      <c r="D4" s="102">
        <v>5745659</v>
      </c>
      <c r="E4" s="103" t="s">
        <v>862</v>
      </c>
      <c r="F4" s="102">
        <v>1</v>
      </c>
      <c r="G4" s="105">
        <v>116940</v>
      </c>
      <c r="H4" s="114">
        <f>G4*F4</f>
        <v>116940</v>
      </c>
      <c r="I4" s="108">
        <v>116942.26</v>
      </c>
      <c r="J4" s="94">
        <f t="shared" ref="J4:J7" si="0">I4*F4</f>
        <v>116942.26</v>
      </c>
      <c r="K4" s="95">
        <v>3.76</v>
      </c>
      <c r="L4" s="99">
        <v>118798</v>
      </c>
      <c r="N4" s="100"/>
    </row>
    <row r="5" spans="1:14" ht="99" customHeight="1">
      <c r="A5" s="113">
        <v>3</v>
      </c>
      <c r="B5" s="101" t="s">
        <v>854</v>
      </c>
      <c r="C5" s="102">
        <v>395938</v>
      </c>
      <c r="D5" s="102">
        <v>5745640</v>
      </c>
      <c r="E5" s="103" t="s">
        <v>862</v>
      </c>
      <c r="F5" s="102">
        <v>3</v>
      </c>
      <c r="G5" s="104">
        <v>160960</v>
      </c>
      <c r="H5" s="114">
        <f t="shared" ref="H5:H7" si="1">G5*F5</f>
        <v>482880</v>
      </c>
      <c r="I5" s="108">
        <v>160917.91</v>
      </c>
      <c r="J5" s="94">
        <f t="shared" si="0"/>
        <v>482753.73</v>
      </c>
      <c r="K5" s="95">
        <v>4.0199999999999996</v>
      </c>
      <c r="L5" s="99">
        <v>165581</v>
      </c>
    </row>
    <row r="6" spans="1:14" ht="99" customHeight="1">
      <c r="A6" s="113">
        <v>5</v>
      </c>
      <c r="B6" s="101" t="s">
        <v>855</v>
      </c>
      <c r="C6" s="102">
        <v>395939</v>
      </c>
      <c r="D6" s="102">
        <v>5826560</v>
      </c>
      <c r="E6" s="103" t="s">
        <v>862</v>
      </c>
      <c r="F6" s="102">
        <v>2</v>
      </c>
      <c r="G6" s="104">
        <v>62270</v>
      </c>
      <c r="H6" s="114">
        <f t="shared" si="1"/>
        <v>124540</v>
      </c>
      <c r="I6" s="108">
        <v>62176.69</v>
      </c>
      <c r="J6" s="94">
        <f t="shared" si="0"/>
        <v>124353.38</v>
      </c>
      <c r="K6" s="95">
        <v>4.24</v>
      </c>
      <c r="L6" s="99">
        <v>69151</v>
      </c>
    </row>
    <row r="7" spans="1:14" ht="99" customHeight="1" thickBot="1">
      <c r="A7" s="115">
        <v>6</v>
      </c>
      <c r="B7" s="116" t="s">
        <v>856</v>
      </c>
      <c r="C7" s="117">
        <v>395938</v>
      </c>
      <c r="D7" s="117">
        <v>5825601</v>
      </c>
      <c r="E7" s="118" t="s">
        <v>862</v>
      </c>
      <c r="F7" s="117">
        <v>4</v>
      </c>
      <c r="G7" s="119">
        <v>75080</v>
      </c>
      <c r="H7" s="120">
        <f t="shared" si="1"/>
        <v>300320</v>
      </c>
      <c r="I7" s="108">
        <v>74983.03</v>
      </c>
      <c r="J7" s="94">
        <f t="shared" si="0"/>
        <v>299932.12</v>
      </c>
      <c r="K7" s="95">
        <v>4.76</v>
      </c>
      <c r="L7" s="99">
        <v>85572</v>
      </c>
    </row>
    <row r="8" spans="1:14" ht="25.5" customHeight="1">
      <c r="A8" s="106"/>
      <c r="B8" s="106"/>
      <c r="C8" s="106"/>
      <c r="D8" s="106"/>
      <c r="E8" s="106"/>
      <c r="F8" s="106"/>
      <c r="G8" s="107" t="s">
        <v>530</v>
      </c>
      <c r="H8" s="107">
        <f>SUM(H3:H7)</f>
        <v>1150480</v>
      </c>
      <c r="I8" s="96"/>
      <c r="J8" s="97">
        <f>SUM(J3:J7)</f>
        <v>1149774.33</v>
      </c>
      <c r="K8" s="9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showGridLines="0" topLeftCell="A4" zoomScale="80" zoomScaleNormal="80" workbookViewId="0">
      <selection activeCell="H10" sqref="H10"/>
    </sheetView>
  </sheetViews>
  <sheetFormatPr defaultRowHeight="14.25"/>
  <cols>
    <col min="1" max="1" width="5.75" customWidth="1"/>
    <col min="2" max="2" width="49.375" customWidth="1"/>
    <col min="3" max="3" width="10" customWidth="1"/>
    <col min="4" max="4" width="11" customWidth="1"/>
    <col min="5" max="5" width="12.125" customWidth="1"/>
    <col min="6" max="6" width="15" customWidth="1"/>
    <col min="7" max="7" width="16.75" style="67" customWidth="1"/>
    <col min="8" max="8" width="21.125" style="67" customWidth="1"/>
    <col min="9" max="9" width="17.25" style="92" customWidth="1"/>
    <col min="10" max="10" width="16.875" style="92" customWidth="1"/>
    <col min="11" max="11" width="6.75" style="91" customWidth="1"/>
    <col min="12" max="12" width="19.25" style="99" customWidth="1"/>
    <col min="13" max="13" width="4.375" customWidth="1"/>
    <col min="14" max="14" width="19.125" customWidth="1"/>
  </cols>
  <sheetData>
    <row r="1" spans="1:14" ht="15" thickBot="1">
      <c r="H1" s="93"/>
    </row>
    <row r="2" spans="1:14" ht="28.5">
      <c r="A2" s="109" t="s">
        <v>0</v>
      </c>
      <c r="B2" s="110" t="s">
        <v>857</v>
      </c>
      <c r="C2" s="110" t="s">
        <v>858</v>
      </c>
      <c r="D2" s="110" t="s">
        <v>859</v>
      </c>
      <c r="E2" s="110" t="s">
        <v>860</v>
      </c>
      <c r="F2" s="110" t="s">
        <v>861</v>
      </c>
      <c r="G2" s="111" t="s">
        <v>844</v>
      </c>
      <c r="H2" s="112" t="s">
        <v>845</v>
      </c>
      <c r="I2" s="108" t="s">
        <v>851</v>
      </c>
      <c r="J2" s="94" t="s">
        <v>852</v>
      </c>
      <c r="K2" s="95" t="s">
        <v>850</v>
      </c>
    </row>
    <row r="3" spans="1:14" ht="99" customHeight="1">
      <c r="A3" s="113">
        <v>2</v>
      </c>
      <c r="B3" s="101" t="s">
        <v>849</v>
      </c>
      <c r="C3" s="102">
        <v>395938</v>
      </c>
      <c r="D3" s="102">
        <v>5745659</v>
      </c>
      <c r="E3" s="103" t="s">
        <v>862</v>
      </c>
      <c r="F3" s="102">
        <v>1</v>
      </c>
      <c r="G3" s="105">
        <v>116940</v>
      </c>
      <c r="H3" s="114">
        <f>G3*F3</f>
        <v>116940</v>
      </c>
      <c r="I3" s="108">
        <v>116942.26</v>
      </c>
      <c r="J3" s="94">
        <f t="shared" ref="J3:J6" si="0">I3*F3</f>
        <v>116942.26</v>
      </c>
      <c r="K3" s="95">
        <v>3.76</v>
      </c>
      <c r="L3" s="99">
        <v>118798</v>
      </c>
      <c r="N3" s="100"/>
    </row>
    <row r="4" spans="1:14" ht="99" customHeight="1">
      <c r="A4" s="113">
        <v>3</v>
      </c>
      <c r="B4" s="101" t="s">
        <v>854</v>
      </c>
      <c r="C4" s="102">
        <v>395938</v>
      </c>
      <c r="D4" s="102">
        <v>5745640</v>
      </c>
      <c r="E4" s="103" t="s">
        <v>862</v>
      </c>
      <c r="F4" s="102">
        <v>3</v>
      </c>
      <c r="G4" s="104">
        <v>160960</v>
      </c>
      <c r="H4" s="114">
        <f t="shared" ref="H4:H6" si="1">G4*F4</f>
        <v>482880</v>
      </c>
      <c r="I4" s="108">
        <v>160917.91</v>
      </c>
      <c r="J4" s="94">
        <f t="shared" si="0"/>
        <v>482753.73</v>
      </c>
      <c r="K4" s="95">
        <v>4.0199999999999996</v>
      </c>
      <c r="L4" s="99">
        <v>165581</v>
      </c>
    </row>
    <row r="5" spans="1:14" ht="99" customHeight="1">
      <c r="A5" s="113">
        <v>5</v>
      </c>
      <c r="B5" s="101" t="s">
        <v>855</v>
      </c>
      <c r="C5" s="102">
        <v>395939</v>
      </c>
      <c r="D5" s="102">
        <v>5826560</v>
      </c>
      <c r="E5" s="103" t="s">
        <v>862</v>
      </c>
      <c r="F5" s="102">
        <v>2</v>
      </c>
      <c r="G5" s="104">
        <v>62270</v>
      </c>
      <c r="H5" s="114">
        <f t="shared" si="1"/>
        <v>124540</v>
      </c>
      <c r="I5" s="108">
        <v>62176.69</v>
      </c>
      <c r="J5" s="94">
        <f t="shared" si="0"/>
        <v>124353.38</v>
      </c>
      <c r="K5" s="95">
        <v>4.24</v>
      </c>
      <c r="L5" s="99">
        <v>69151</v>
      </c>
    </row>
    <row r="6" spans="1:14" ht="99" customHeight="1" thickBot="1">
      <c r="A6" s="115">
        <v>6</v>
      </c>
      <c r="B6" s="116" t="s">
        <v>856</v>
      </c>
      <c r="C6" s="117">
        <v>395938</v>
      </c>
      <c r="D6" s="117">
        <v>5825601</v>
      </c>
      <c r="E6" s="118" t="s">
        <v>862</v>
      </c>
      <c r="F6" s="117">
        <v>4</v>
      </c>
      <c r="G6" s="119">
        <v>75080</v>
      </c>
      <c r="H6" s="120">
        <f t="shared" si="1"/>
        <v>300320</v>
      </c>
      <c r="I6" s="108">
        <v>74983.03</v>
      </c>
      <c r="J6" s="94">
        <f t="shared" si="0"/>
        <v>299932.12</v>
      </c>
      <c r="K6" s="95">
        <v>4.76</v>
      </c>
      <c r="L6" s="99">
        <v>85572</v>
      </c>
    </row>
    <row r="7" spans="1:14" ht="25.5" customHeight="1">
      <c r="A7" s="106"/>
      <c r="B7" s="106"/>
      <c r="C7" s="106"/>
      <c r="D7" s="106"/>
      <c r="E7" s="106"/>
      <c r="F7" s="106"/>
      <c r="G7" s="107" t="s">
        <v>530</v>
      </c>
      <c r="H7" s="107">
        <f>SUM(H3:H6)</f>
        <v>1024680</v>
      </c>
      <c r="I7" s="96"/>
      <c r="J7" s="97">
        <f>SUM(J3:J6)</f>
        <v>1023981.49</v>
      </c>
      <c r="K7" s="98"/>
    </row>
    <row r="10" spans="1:14">
      <c r="H10" s="67">
        <v>1024680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6"/>
  <sheetViews>
    <sheetView showGridLines="0" topLeftCell="A58" workbookViewId="0">
      <selection activeCell="J69" sqref="J69"/>
    </sheetView>
  </sheetViews>
  <sheetFormatPr defaultColWidth="9.125" defaultRowHeight="14.25"/>
  <cols>
    <col min="1" max="1" width="4.875" style="86" customWidth="1"/>
    <col min="2" max="2" width="5.625" style="86" customWidth="1"/>
    <col min="3" max="3" width="65.125" style="78" customWidth="1"/>
    <col min="4" max="4" width="10.875" style="69" bestFit="1" customWidth="1"/>
    <col min="5" max="5" width="13.25" style="69" bestFit="1" customWidth="1"/>
    <col min="6" max="6" width="8.625" style="69" customWidth="1"/>
    <col min="7" max="16384" width="9.125" style="42"/>
  </cols>
  <sheetData>
    <row r="1" spans="1:6">
      <c r="A1" s="125"/>
      <c r="B1" s="126"/>
      <c r="C1" s="77" t="s">
        <v>863</v>
      </c>
      <c r="D1" s="84"/>
      <c r="E1" s="84"/>
      <c r="F1" s="79"/>
    </row>
    <row r="2" spans="1:6">
      <c r="A2" s="80" t="s">
        <v>0</v>
      </c>
      <c r="B2" s="80" t="s">
        <v>509</v>
      </c>
      <c r="C2" s="74" t="s">
        <v>848</v>
      </c>
      <c r="D2" s="81" t="s">
        <v>1</v>
      </c>
      <c r="E2" s="81" t="s">
        <v>2</v>
      </c>
      <c r="F2" s="81" t="s">
        <v>815</v>
      </c>
    </row>
    <row r="3" spans="1:6">
      <c r="A3" s="82">
        <v>1</v>
      </c>
      <c r="B3" s="82">
        <v>2</v>
      </c>
      <c r="C3" s="75" t="s">
        <v>568</v>
      </c>
      <c r="D3" s="71" t="s">
        <v>30</v>
      </c>
      <c r="E3" s="71">
        <v>81897710023</v>
      </c>
      <c r="F3" s="71" t="s">
        <v>816</v>
      </c>
    </row>
    <row r="4" spans="1:6">
      <c r="A4" s="82">
        <v>2</v>
      </c>
      <c r="B4" s="82">
        <v>2</v>
      </c>
      <c r="C4" s="75" t="s">
        <v>569</v>
      </c>
      <c r="D4" s="71" t="s">
        <v>32</v>
      </c>
      <c r="E4" s="71">
        <v>81897710023</v>
      </c>
      <c r="F4" s="71" t="s">
        <v>816</v>
      </c>
    </row>
    <row r="5" spans="1:6">
      <c r="A5" s="82">
        <v>3</v>
      </c>
      <c r="B5" s="82">
        <v>1</v>
      </c>
      <c r="C5" s="75" t="s">
        <v>4</v>
      </c>
      <c r="D5" s="71" t="s">
        <v>5</v>
      </c>
      <c r="E5" s="71">
        <v>81897710023</v>
      </c>
      <c r="F5" s="71" t="s">
        <v>816</v>
      </c>
    </row>
    <row r="6" spans="1:6">
      <c r="A6" s="82">
        <v>4</v>
      </c>
      <c r="B6" s="82">
        <v>1</v>
      </c>
      <c r="C6" s="75" t="s">
        <v>142</v>
      </c>
      <c r="D6" s="71" t="s">
        <v>35</v>
      </c>
      <c r="E6" s="71">
        <v>81897710021</v>
      </c>
      <c r="F6" s="71" t="s">
        <v>816</v>
      </c>
    </row>
    <row r="7" spans="1:6">
      <c r="A7" s="82">
        <v>5</v>
      </c>
      <c r="B7" s="82">
        <v>4</v>
      </c>
      <c r="C7" s="76" t="s">
        <v>570</v>
      </c>
      <c r="D7" s="71" t="s">
        <v>37</v>
      </c>
      <c r="E7" s="71">
        <v>81897710001</v>
      </c>
      <c r="F7" s="71" t="s">
        <v>816</v>
      </c>
    </row>
    <row r="8" spans="1:6">
      <c r="A8" s="82">
        <v>6</v>
      </c>
      <c r="B8" s="82">
        <v>4</v>
      </c>
      <c r="C8" s="75" t="s">
        <v>741</v>
      </c>
      <c r="D8" s="71" t="s">
        <v>10</v>
      </c>
      <c r="E8" s="71">
        <v>81897710001</v>
      </c>
      <c r="F8" s="71" t="s">
        <v>816</v>
      </c>
    </row>
    <row r="9" spans="1:6">
      <c r="A9" s="82">
        <v>7</v>
      </c>
      <c r="B9" s="82">
        <v>4</v>
      </c>
      <c r="C9" s="75" t="s">
        <v>742</v>
      </c>
      <c r="D9" s="71" t="s">
        <v>40</v>
      </c>
      <c r="E9" s="71">
        <v>81897710001</v>
      </c>
      <c r="F9" s="71" t="s">
        <v>816</v>
      </c>
    </row>
    <row r="10" spans="1:6">
      <c r="A10" s="82">
        <v>8</v>
      </c>
      <c r="B10" s="82">
        <v>1</v>
      </c>
      <c r="C10" s="75" t="s">
        <v>743</v>
      </c>
      <c r="D10" s="71" t="s">
        <v>42</v>
      </c>
      <c r="E10" s="71">
        <v>81897710001</v>
      </c>
      <c r="F10" s="71" t="s">
        <v>816</v>
      </c>
    </row>
    <row r="11" spans="1:6">
      <c r="A11" s="82">
        <v>9</v>
      </c>
      <c r="B11" s="82">
        <v>1</v>
      </c>
      <c r="C11" s="75" t="s">
        <v>744</v>
      </c>
      <c r="D11" s="71" t="s">
        <v>44</v>
      </c>
      <c r="E11" s="71">
        <v>81897710001</v>
      </c>
      <c r="F11" s="71" t="s">
        <v>816</v>
      </c>
    </row>
    <row r="12" spans="1:6">
      <c r="A12" s="82">
        <v>10</v>
      </c>
      <c r="B12" s="82">
        <v>2</v>
      </c>
      <c r="C12" s="75" t="s">
        <v>574</v>
      </c>
      <c r="D12" s="71" t="s">
        <v>46</v>
      </c>
      <c r="E12" s="71">
        <v>81897710001</v>
      </c>
      <c r="F12" s="71" t="s">
        <v>816</v>
      </c>
    </row>
    <row r="13" spans="1:6">
      <c r="A13" s="82">
        <v>11</v>
      </c>
      <c r="B13" s="82">
        <v>2</v>
      </c>
      <c r="C13" s="75" t="s">
        <v>575</v>
      </c>
      <c r="D13" s="71" t="s">
        <v>48</v>
      </c>
      <c r="E13" s="71">
        <v>81897710001</v>
      </c>
      <c r="F13" s="71" t="s">
        <v>816</v>
      </c>
    </row>
    <row r="14" spans="1:6">
      <c r="A14" s="82">
        <v>12</v>
      </c>
      <c r="B14" s="82">
        <v>1</v>
      </c>
      <c r="C14" s="75" t="s">
        <v>594</v>
      </c>
      <c r="D14" s="71" t="s">
        <v>50</v>
      </c>
      <c r="E14" s="71">
        <v>81897710018</v>
      </c>
      <c r="F14" s="71" t="s">
        <v>816</v>
      </c>
    </row>
    <row r="15" spans="1:6">
      <c r="A15" s="82">
        <v>13</v>
      </c>
      <c r="B15" s="82">
        <v>1</v>
      </c>
      <c r="C15" s="75" t="s">
        <v>595</v>
      </c>
      <c r="D15" s="71" t="s">
        <v>52</v>
      </c>
      <c r="E15" s="71">
        <v>81897710018</v>
      </c>
      <c r="F15" s="71" t="s">
        <v>816</v>
      </c>
    </row>
    <row r="16" spans="1:6">
      <c r="A16" s="82">
        <v>14</v>
      </c>
      <c r="B16" s="82">
        <v>1</v>
      </c>
      <c r="C16" s="75" t="s">
        <v>596</v>
      </c>
      <c r="D16" s="71" t="s">
        <v>54</v>
      </c>
      <c r="E16" s="71">
        <v>81897710018</v>
      </c>
      <c r="F16" s="71" t="s">
        <v>816</v>
      </c>
    </row>
    <row r="17" spans="1:6">
      <c r="A17" s="82">
        <v>15</v>
      </c>
      <c r="B17" s="82">
        <v>1</v>
      </c>
      <c r="C17" s="75" t="s">
        <v>597</v>
      </c>
      <c r="D17" s="71" t="s">
        <v>56</v>
      </c>
      <c r="E17" s="71">
        <v>81897710018</v>
      </c>
      <c r="F17" s="71" t="s">
        <v>816</v>
      </c>
    </row>
    <row r="18" spans="1:6">
      <c r="A18" s="82">
        <v>16</v>
      </c>
      <c r="B18" s="82">
        <v>1</v>
      </c>
      <c r="C18" s="75" t="s">
        <v>598</v>
      </c>
      <c r="D18" s="71" t="s">
        <v>58</v>
      </c>
      <c r="E18" s="71">
        <v>81897710018</v>
      </c>
      <c r="F18" s="71" t="s">
        <v>816</v>
      </c>
    </row>
    <row r="19" spans="1:6">
      <c r="A19" s="82">
        <v>17</v>
      </c>
      <c r="B19" s="82">
        <v>1</v>
      </c>
      <c r="C19" s="75" t="s">
        <v>599</v>
      </c>
      <c r="D19" s="71" t="s">
        <v>60</v>
      </c>
      <c r="E19" s="71">
        <v>81897710018</v>
      </c>
      <c r="F19" s="71" t="s">
        <v>816</v>
      </c>
    </row>
    <row r="20" spans="1:6">
      <c r="A20" s="82">
        <v>18</v>
      </c>
      <c r="B20" s="82">
        <v>1</v>
      </c>
      <c r="C20" s="75" t="s">
        <v>600</v>
      </c>
      <c r="D20" s="71" t="s">
        <v>62</v>
      </c>
      <c r="E20" s="71">
        <v>81897710018</v>
      </c>
      <c r="F20" s="71" t="s">
        <v>816</v>
      </c>
    </row>
    <row r="21" spans="1:6">
      <c r="A21" s="82">
        <v>19</v>
      </c>
      <c r="B21" s="82">
        <v>1</v>
      </c>
      <c r="C21" s="75" t="s">
        <v>576</v>
      </c>
      <c r="D21" s="71" t="s">
        <v>64</v>
      </c>
      <c r="E21" s="71">
        <v>81897710018</v>
      </c>
      <c r="F21" s="71" t="s">
        <v>816</v>
      </c>
    </row>
    <row r="22" spans="1:6">
      <c r="A22" s="82">
        <v>20</v>
      </c>
      <c r="B22" s="82">
        <v>1</v>
      </c>
      <c r="C22" s="75" t="s">
        <v>577</v>
      </c>
      <c r="D22" s="71" t="s">
        <v>66</v>
      </c>
      <c r="E22" s="71">
        <v>81897710018</v>
      </c>
      <c r="F22" s="71" t="s">
        <v>816</v>
      </c>
    </row>
    <row r="23" spans="1:6">
      <c r="A23" s="82">
        <v>21</v>
      </c>
      <c r="B23" s="82">
        <v>1</v>
      </c>
      <c r="C23" s="75" t="s">
        <v>578</v>
      </c>
      <c r="D23" s="71" t="s">
        <v>68</v>
      </c>
      <c r="E23" s="71">
        <v>81897710018</v>
      </c>
      <c r="F23" s="71" t="s">
        <v>816</v>
      </c>
    </row>
    <row r="24" spans="1:6">
      <c r="A24" s="82">
        <v>22</v>
      </c>
      <c r="B24" s="82">
        <v>1</v>
      </c>
      <c r="C24" s="75" t="s">
        <v>818</v>
      </c>
      <c r="D24" s="71">
        <v>11602</v>
      </c>
      <c r="E24" s="71">
        <v>81087610008</v>
      </c>
      <c r="F24" s="71" t="s">
        <v>817</v>
      </c>
    </row>
    <row r="25" spans="1:6">
      <c r="A25" s="82">
        <v>23</v>
      </c>
      <c r="B25" s="82">
        <v>2</v>
      </c>
      <c r="C25" s="75" t="s">
        <v>745</v>
      </c>
      <c r="D25" s="71" t="s">
        <v>69</v>
      </c>
      <c r="E25" s="71">
        <v>81897710001</v>
      </c>
      <c r="F25" s="71" t="s">
        <v>816</v>
      </c>
    </row>
    <row r="26" spans="1:6">
      <c r="A26" s="82">
        <v>24</v>
      </c>
      <c r="B26" s="82">
        <v>2</v>
      </c>
      <c r="C26" s="75" t="s">
        <v>746</v>
      </c>
      <c r="D26" s="71" t="s">
        <v>40</v>
      </c>
      <c r="E26" s="71">
        <v>81897710001</v>
      </c>
      <c r="F26" s="71" t="s">
        <v>816</v>
      </c>
    </row>
    <row r="27" spans="1:6">
      <c r="A27" s="82">
        <v>25</v>
      </c>
      <c r="B27" s="82">
        <v>2</v>
      </c>
      <c r="C27" s="75" t="s">
        <v>747</v>
      </c>
      <c r="D27" s="71" t="s">
        <v>71</v>
      </c>
      <c r="E27" s="71">
        <v>81897710017</v>
      </c>
      <c r="F27" s="71" t="s">
        <v>816</v>
      </c>
    </row>
    <row r="28" spans="1:6">
      <c r="A28" s="82">
        <v>26</v>
      </c>
      <c r="B28" s="82">
        <v>1</v>
      </c>
      <c r="C28" s="75" t="s">
        <v>579</v>
      </c>
      <c r="D28" s="71" t="s">
        <v>72</v>
      </c>
      <c r="E28" s="71">
        <v>81897710001</v>
      </c>
      <c r="F28" s="71" t="s">
        <v>816</v>
      </c>
    </row>
    <row r="29" spans="1:6">
      <c r="A29" s="82">
        <v>27</v>
      </c>
      <c r="B29" s="82">
        <v>1</v>
      </c>
      <c r="C29" s="75" t="s">
        <v>748</v>
      </c>
      <c r="D29" s="71" t="s">
        <v>74</v>
      </c>
      <c r="E29" s="71">
        <v>81897710001</v>
      </c>
      <c r="F29" s="71" t="s">
        <v>816</v>
      </c>
    </row>
    <row r="30" spans="1:6">
      <c r="A30" s="82">
        <v>28</v>
      </c>
      <c r="B30" s="82">
        <v>1</v>
      </c>
      <c r="C30" s="75" t="s">
        <v>749</v>
      </c>
      <c r="D30" s="71" t="s">
        <v>76</v>
      </c>
      <c r="E30" s="71">
        <v>81897710001</v>
      </c>
      <c r="F30" s="71" t="s">
        <v>816</v>
      </c>
    </row>
    <row r="31" spans="1:6">
      <c r="A31" s="82">
        <v>29</v>
      </c>
      <c r="B31" s="82">
        <v>1</v>
      </c>
      <c r="C31" s="75" t="s">
        <v>750</v>
      </c>
      <c r="D31" s="71" t="s">
        <v>78</v>
      </c>
      <c r="E31" s="71">
        <v>81897710012</v>
      </c>
      <c r="F31" s="71" t="s">
        <v>816</v>
      </c>
    </row>
    <row r="32" spans="1:6">
      <c r="A32" s="82">
        <v>30</v>
      </c>
      <c r="B32" s="82">
        <v>1</v>
      </c>
      <c r="C32" s="75" t="s">
        <v>751</v>
      </c>
      <c r="D32" s="71" t="s">
        <v>80</v>
      </c>
      <c r="E32" s="71">
        <v>81897710018</v>
      </c>
      <c r="F32" s="71" t="s">
        <v>816</v>
      </c>
    </row>
    <row r="33" spans="1:6">
      <c r="A33" s="82">
        <v>31</v>
      </c>
      <c r="B33" s="82">
        <v>1</v>
      </c>
      <c r="C33" s="75" t="s">
        <v>752</v>
      </c>
      <c r="D33" s="71" t="s">
        <v>82</v>
      </c>
      <c r="E33" s="71">
        <v>81897710018</v>
      </c>
      <c r="F33" s="71" t="s">
        <v>816</v>
      </c>
    </row>
    <row r="34" spans="1:6">
      <c r="A34" s="82">
        <v>32</v>
      </c>
      <c r="B34" s="82">
        <v>1</v>
      </c>
      <c r="C34" s="75" t="s">
        <v>819</v>
      </c>
      <c r="D34" s="71" t="s">
        <v>85</v>
      </c>
      <c r="E34" s="71">
        <v>81897710018</v>
      </c>
      <c r="F34" s="71" t="s">
        <v>816</v>
      </c>
    </row>
    <row r="35" spans="1:6">
      <c r="A35" s="82">
        <v>33</v>
      </c>
      <c r="B35" s="82">
        <v>1</v>
      </c>
      <c r="C35" s="75" t="s">
        <v>820</v>
      </c>
      <c r="D35" s="71" t="s">
        <v>87</v>
      </c>
      <c r="E35" s="71">
        <v>81897710018</v>
      </c>
      <c r="F35" s="71" t="s">
        <v>816</v>
      </c>
    </row>
    <row r="36" spans="1:6">
      <c r="A36" s="82">
        <v>34</v>
      </c>
      <c r="B36" s="82">
        <v>1</v>
      </c>
      <c r="C36" s="75" t="s">
        <v>821</v>
      </c>
      <c r="D36" s="71" t="s">
        <v>559</v>
      </c>
      <c r="E36" s="71">
        <v>81897710018</v>
      </c>
      <c r="F36" s="71" t="s">
        <v>816</v>
      </c>
    </row>
    <row r="37" spans="1:6">
      <c r="A37" s="82">
        <v>35</v>
      </c>
      <c r="B37" s="82">
        <v>1</v>
      </c>
      <c r="C37" s="75" t="s">
        <v>822</v>
      </c>
      <c r="D37" s="71" t="s">
        <v>89</v>
      </c>
      <c r="E37" s="71">
        <v>81897710018</v>
      </c>
      <c r="F37" s="71" t="s">
        <v>816</v>
      </c>
    </row>
    <row r="38" spans="1:6">
      <c r="A38" s="82">
        <v>36</v>
      </c>
      <c r="B38" s="82">
        <v>1</v>
      </c>
      <c r="C38" s="75" t="s">
        <v>823</v>
      </c>
      <c r="D38" s="71" t="s">
        <v>91</v>
      </c>
      <c r="E38" s="71">
        <v>81897710018</v>
      </c>
      <c r="F38" s="71" t="s">
        <v>816</v>
      </c>
    </row>
    <row r="39" spans="1:6">
      <c r="A39" s="82">
        <v>37</v>
      </c>
      <c r="B39" s="82">
        <v>1</v>
      </c>
      <c r="C39" s="75" t="s">
        <v>824</v>
      </c>
      <c r="D39" s="71" t="s">
        <v>93</v>
      </c>
      <c r="E39" s="71">
        <v>81897710018</v>
      </c>
      <c r="F39" s="71" t="s">
        <v>816</v>
      </c>
    </row>
    <row r="40" spans="1:6">
      <c r="A40" s="82">
        <v>38</v>
      </c>
      <c r="B40" s="82">
        <v>1</v>
      </c>
      <c r="C40" s="75" t="s">
        <v>825</v>
      </c>
      <c r="D40" s="71" t="s">
        <v>95</v>
      </c>
      <c r="E40" s="71">
        <v>81897710018</v>
      </c>
      <c r="F40" s="71" t="s">
        <v>816</v>
      </c>
    </row>
    <row r="41" spans="1:6">
      <c r="A41" s="82">
        <v>39</v>
      </c>
      <c r="B41" s="82">
        <v>1</v>
      </c>
      <c r="C41" s="75" t="s">
        <v>826</v>
      </c>
      <c r="D41" s="71" t="s">
        <v>97</v>
      </c>
      <c r="E41" s="71">
        <v>81897710018</v>
      </c>
      <c r="F41" s="71" t="s">
        <v>816</v>
      </c>
    </row>
    <row r="42" spans="1:6">
      <c r="A42" s="82">
        <v>40</v>
      </c>
      <c r="B42" s="82">
        <v>1</v>
      </c>
      <c r="C42" s="75" t="s">
        <v>580</v>
      </c>
      <c r="D42" s="71" t="s">
        <v>99</v>
      </c>
      <c r="E42" s="71">
        <v>81897710018</v>
      </c>
      <c r="F42" s="71" t="s">
        <v>816</v>
      </c>
    </row>
    <row r="43" spans="1:6">
      <c r="A43" s="82">
        <v>41</v>
      </c>
      <c r="B43" s="82">
        <v>1</v>
      </c>
      <c r="C43" s="75" t="s">
        <v>581</v>
      </c>
      <c r="D43" s="71" t="s">
        <v>101</v>
      </c>
      <c r="E43" s="71">
        <v>81897710018</v>
      </c>
      <c r="F43" s="71" t="s">
        <v>816</v>
      </c>
    </row>
    <row r="44" spans="1:6">
      <c r="A44" s="82">
        <v>42</v>
      </c>
      <c r="B44" s="82">
        <v>2</v>
      </c>
      <c r="C44" s="75" t="s">
        <v>753</v>
      </c>
      <c r="D44" s="71" t="s">
        <v>103</v>
      </c>
      <c r="E44" s="71">
        <v>81897710018</v>
      </c>
      <c r="F44" s="71" t="s">
        <v>816</v>
      </c>
    </row>
    <row r="45" spans="1:6">
      <c r="A45" s="82">
        <v>43</v>
      </c>
      <c r="B45" s="82">
        <v>2</v>
      </c>
      <c r="C45" s="75" t="s">
        <v>755</v>
      </c>
      <c r="D45" s="71" t="s">
        <v>306</v>
      </c>
      <c r="E45" s="71">
        <v>81897710018</v>
      </c>
      <c r="F45" s="71" t="s">
        <v>816</v>
      </c>
    </row>
    <row r="46" spans="1:6">
      <c r="A46" s="82">
        <v>44</v>
      </c>
      <c r="B46" s="82">
        <v>2</v>
      </c>
      <c r="C46" s="75" t="s">
        <v>754</v>
      </c>
      <c r="D46" s="71" t="s">
        <v>107</v>
      </c>
      <c r="E46" s="71">
        <v>81897710018</v>
      </c>
      <c r="F46" s="71" t="s">
        <v>816</v>
      </c>
    </row>
    <row r="47" spans="1:6">
      <c r="A47" s="82">
        <v>45</v>
      </c>
      <c r="B47" s="82">
        <v>8</v>
      </c>
      <c r="C47" s="75" t="s">
        <v>583</v>
      </c>
      <c r="D47" s="71" t="s">
        <v>19</v>
      </c>
      <c r="E47" s="71">
        <v>81897710001</v>
      </c>
      <c r="F47" s="71" t="s">
        <v>816</v>
      </c>
    </row>
    <row r="48" spans="1:6">
      <c r="A48" s="82">
        <v>46</v>
      </c>
      <c r="B48" s="82">
        <v>8</v>
      </c>
      <c r="C48" s="75" t="s">
        <v>584</v>
      </c>
      <c r="D48" s="71" t="s">
        <v>109</v>
      </c>
      <c r="E48" s="71">
        <v>81897710001</v>
      </c>
      <c r="F48" s="71" t="s">
        <v>816</v>
      </c>
    </row>
    <row r="49" spans="1:6">
      <c r="A49" s="82">
        <v>47</v>
      </c>
      <c r="B49" s="82">
        <v>1</v>
      </c>
      <c r="C49" s="75" t="s">
        <v>585</v>
      </c>
      <c r="D49" s="71" t="s">
        <v>111</v>
      </c>
      <c r="E49" s="71">
        <v>81897710001</v>
      </c>
      <c r="F49" s="71" t="s">
        <v>816</v>
      </c>
    </row>
    <row r="50" spans="1:6">
      <c r="A50" s="82">
        <v>48</v>
      </c>
      <c r="B50" s="82">
        <v>1</v>
      </c>
      <c r="C50" s="75" t="s">
        <v>586</v>
      </c>
      <c r="D50" s="71" t="s">
        <v>113</v>
      </c>
      <c r="E50" s="71">
        <v>81897710001</v>
      </c>
      <c r="F50" s="71" t="s">
        <v>816</v>
      </c>
    </row>
    <row r="51" spans="1:6">
      <c r="A51" s="82">
        <v>49</v>
      </c>
      <c r="B51" s="82">
        <v>1</v>
      </c>
      <c r="C51" s="75" t="s">
        <v>587</v>
      </c>
      <c r="D51" s="71" t="s">
        <v>115</v>
      </c>
      <c r="E51" s="71">
        <v>81897710001</v>
      </c>
      <c r="F51" s="71" t="s">
        <v>816</v>
      </c>
    </row>
    <row r="52" spans="1:6">
      <c r="A52" s="82">
        <v>50</v>
      </c>
      <c r="B52" s="82">
        <v>1</v>
      </c>
      <c r="C52" s="75" t="s">
        <v>756</v>
      </c>
      <c r="D52" s="71" t="s">
        <v>117</v>
      </c>
      <c r="E52" s="71">
        <v>81897710018</v>
      </c>
      <c r="F52" s="71" t="s">
        <v>816</v>
      </c>
    </row>
    <row r="53" spans="1:6">
      <c r="A53" s="82">
        <v>51</v>
      </c>
      <c r="B53" s="82">
        <v>1</v>
      </c>
      <c r="C53" s="75" t="s">
        <v>757</v>
      </c>
      <c r="D53" s="71" t="s">
        <v>119</v>
      </c>
      <c r="E53" s="71">
        <v>81897710018</v>
      </c>
      <c r="F53" s="71" t="s">
        <v>816</v>
      </c>
    </row>
    <row r="54" spans="1:6">
      <c r="A54" s="82">
        <v>52</v>
      </c>
      <c r="B54" s="82">
        <v>1</v>
      </c>
      <c r="C54" s="75" t="s">
        <v>758</v>
      </c>
      <c r="D54" s="71" t="s">
        <v>121</v>
      </c>
      <c r="E54" s="71">
        <v>81897710001</v>
      </c>
      <c r="F54" s="71" t="s">
        <v>816</v>
      </c>
    </row>
    <row r="55" spans="1:6">
      <c r="A55" s="82">
        <v>53</v>
      </c>
      <c r="B55" s="82">
        <v>1</v>
      </c>
      <c r="C55" s="75" t="s">
        <v>759</v>
      </c>
      <c r="D55" s="71" t="s">
        <v>123</v>
      </c>
      <c r="E55" s="71">
        <v>81897710001</v>
      </c>
      <c r="F55" s="71" t="s">
        <v>816</v>
      </c>
    </row>
    <row r="56" spans="1:6">
      <c r="A56" s="82">
        <v>54</v>
      </c>
      <c r="B56" s="82">
        <v>1</v>
      </c>
      <c r="C56" s="75" t="s">
        <v>760</v>
      </c>
      <c r="D56" s="71" t="s">
        <v>125</v>
      </c>
      <c r="E56" s="71">
        <v>81897710001</v>
      </c>
      <c r="F56" s="71" t="s">
        <v>816</v>
      </c>
    </row>
    <row r="57" spans="1:6">
      <c r="A57" s="82">
        <v>55</v>
      </c>
      <c r="B57" s="82">
        <v>1</v>
      </c>
      <c r="C57" s="75" t="s">
        <v>761</v>
      </c>
      <c r="D57" s="71" t="s">
        <v>127</v>
      </c>
      <c r="E57" s="71">
        <v>81897710001</v>
      </c>
      <c r="F57" s="71" t="s">
        <v>816</v>
      </c>
    </row>
    <row r="58" spans="1:6">
      <c r="A58" s="82">
        <v>56</v>
      </c>
      <c r="B58" s="82">
        <v>4</v>
      </c>
      <c r="C58" s="75" t="s">
        <v>588</v>
      </c>
      <c r="D58" s="71" t="s">
        <v>129</v>
      </c>
      <c r="E58" s="71">
        <v>81897710023</v>
      </c>
      <c r="F58" s="71" t="s">
        <v>816</v>
      </c>
    </row>
    <row r="59" spans="1:6">
      <c r="A59" s="82">
        <v>57</v>
      </c>
      <c r="B59" s="83">
        <v>2</v>
      </c>
      <c r="C59" s="76" t="s">
        <v>589</v>
      </c>
      <c r="D59" s="68" t="s">
        <v>810</v>
      </c>
      <c r="E59" s="68">
        <v>81897719006</v>
      </c>
      <c r="F59" s="71" t="s">
        <v>816</v>
      </c>
    </row>
    <row r="60" spans="1:6">
      <c r="A60" s="82">
        <v>58</v>
      </c>
      <c r="B60" s="83">
        <v>2</v>
      </c>
      <c r="C60" s="76" t="s">
        <v>590</v>
      </c>
      <c r="D60" s="68" t="s">
        <v>811</v>
      </c>
      <c r="E60" s="68">
        <v>81897719006</v>
      </c>
      <c r="F60" s="71" t="s">
        <v>816</v>
      </c>
    </row>
    <row r="61" spans="1:6">
      <c r="A61" s="82">
        <v>59</v>
      </c>
      <c r="B61" s="83">
        <v>1</v>
      </c>
      <c r="C61" s="76" t="s">
        <v>591</v>
      </c>
      <c r="D61" s="68" t="s">
        <v>23</v>
      </c>
      <c r="E61" s="68">
        <v>81897710018</v>
      </c>
      <c r="F61" s="71" t="s">
        <v>816</v>
      </c>
    </row>
    <row r="62" spans="1:6">
      <c r="A62" s="82">
        <v>60</v>
      </c>
      <c r="B62" s="83">
        <v>1</v>
      </c>
      <c r="C62" s="76" t="s">
        <v>592</v>
      </c>
      <c r="D62" s="68" t="s">
        <v>135</v>
      </c>
      <c r="E62" s="68">
        <v>81897710018</v>
      </c>
      <c r="F62" s="71" t="s">
        <v>816</v>
      </c>
    </row>
    <row r="63" spans="1:6">
      <c r="A63" s="82">
        <v>61</v>
      </c>
      <c r="B63" s="83">
        <v>1</v>
      </c>
      <c r="C63" s="76" t="s">
        <v>762</v>
      </c>
      <c r="D63" s="68" t="s">
        <v>137</v>
      </c>
      <c r="E63" s="68">
        <v>81897710018</v>
      </c>
      <c r="F63" s="71" t="s">
        <v>816</v>
      </c>
    </row>
    <row r="64" spans="1:6">
      <c r="A64" s="82">
        <v>62</v>
      </c>
      <c r="B64" s="83">
        <v>1</v>
      </c>
      <c r="C64" s="76" t="s">
        <v>853</v>
      </c>
      <c r="D64" s="68" t="s">
        <v>139</v>
      </c>
      <c r="E64" s="68">
        <v>81897710018</v>
      </c>
      <c r="F64" s="71" t="s">
        <v>816</v>
      </c>
    </row>
    <row r="65" spans="1:6" ht="28.5">
      <c r="A65" s="82">
        <v>63</v>
      </c>
      <c r="B65" s="83">
        <v>2</v>
      </c>
      <c r="C65" s="76" t="s">
        <v>846</v>
      </c>
      <c r="D65" s="68" t="s">
        <v>144</v>
      </c>
      <c r="E65" s="68" t="s">
        <v>26</v>
      </c>
      <c r="F65" s="71" t="s">
        <v>816</v>
      </c>
    </row>
    <row r="66" spans="1:6">
      <c r="A66" s="124"/>
      <c r="B66" s="124"/>
      <c r="C66" s="77" t="s">
        <v>511</v>
      </c>
      <c r="D66" s="84"/>
      <c r="E66" s="84"/>
      <c r="F66" s="84"/>
    </row>
    <row r="67" spans="1:6">
      <c r="A67" s="80" t="s">
        <v>0</v>
      </c>
      <c r="B67" s="80" t="s">
        <v>509</v>
      </c>
      <c r="C67" s="74" t="s">
        <v>848</v>
      </c>
      <c r="D67" s="81" t="s">
        <v>1</v>
      </c>
      <c r="E67" s="81" t="s">
        <v>2</v>
      </c>
      <c r="F67" s="81" t="s">
        <v>815</v>
      </c>
    </row>
    <row r="68" spans="1:6" ht="28.5">
      <c r="A68" s="82">
        <v>1</v>
      </c>
      <c r="B68" s="82">
        <v>2</v>
      </c>
      <c r="C68" s="75" t="s">
        <v>763</v>
      </c>
      <c r="D68" s="71" t="s">
        <v>145</v>
      </c>
      <c r="E68" s="71">
        <v>81897710001</v>
      </c>
      <c r="F68" s="71" t="s">
        <v>816</v>
      </c>
    </row>
    <row r="69" spans="1:6">
      <c r="A69" s="82">
        <v>2</v>
      </c>
      <c r="B69" s="82">
        <v>2</v>
      </c>
      <c r="C69" s="75" t="s">
        <v>563</v>
      </c>
      <c r="D69" s="71" t="s">
        <v>147</v>
      </c>
      <c r="E69" s="71">
        <v>81897710023</v>
      </c>
      <c r="F69" s="71" t="s">
        <v>816</v>
      </c>
    </row>
    <row r="70" spans="1:6">
      <c r="A70" s="82">
        <v>3</v>
      </c>
      <c r="B70" s="82">
        <v>2</v>
      </c>
      <c r="C70" s="75" t="s">
        <v>564</v>
      </c>
      <c r="D70" s="71" t="s">
        <v>149</v>
      </c>
      <c r="E70" s="71">
        <v>81897710023</v>
      </c>
      <c r="F70" s="71" t="s">
        <v>816</v>
      </c>
    </row>
    <row r="71" spans="1:6">
      <c r="A71" s="82">
        <v>4</v>
      </c>
      <c r="B71" s="82">
        <v>2</v>
      </c>
      <c r="C71" s="75" t="s">
        <v>565</v>
      </c>
      <c r="D71" s="69" t="s">
        <v>686</v>
      </c>
      <c r="E71" s="71">
        <v>81897710023</v>
      </c>
      <c r="F71" s="71" t="s">
        <v>816</v>
      </c>
    </row>
    <row r="72" spans="1:6">
      <c r="A72" s="82">
        <v>5</v>
      </c>
      <c r="B72" s="82">
        <v>2</v>
      </c>
      <c r="C72" s="75" t="s">
        <v>566</v>
      </c>
      <c r="D72" s="71" t="s">
        <v>152</v>
      </c>
      <c r="E72" s="71">
        <v>81897710023</v>
      </c>
      <c r="F72" s="71" t="s">
        <v>816</v>
      </c>
    </row>
    <row r="73" spans="1:6">
      <c r="A73" s="82">
        <v>6</v>
      </c>
      <c r="B73" s="82">
        <v>2</v>
      </c>
      <c r="C73" s="75" t="s">
        <v>764</v>
      </c>
      <c r="D73" s="71" t="s">
        <v>155</v>
      </c>
      <c r="E73" s="71">
        <v>81897710001</v>
      </c>
      <c r="F73" s="71" t="s">
        <v>816</v>
      </c>
    </row>
    <row r="74" spans="1:6">
      <c r="A74" s="82">
        <v>7</v>
      </c>
      <c r="B74" s="82">
        <v>1</v>
      </c>
      <c r="C74" s="75" t="s">
        <v>142</v>
      </c>
      <c r="D74" s="71" t="s">
        <v>35</v>
      </c>
      <c r="E74" s="71">
        <v>81897710021</v>
      </c>
      <c r="F74" s="71" t="s">
        <v>816</v>
      </c>
    </row>
    <row r="75" spans="1:6">
      <c r="A75" s="82">
        <v>8</v>
      </c>
      <c r="B75" s="82">
        <v>1</v>
      </c>
      <c r="C75" s="75" t="s">
        <v>158</v>
      </c>
      <c r="D75" s="71" t="s">
        <v>159</v>
      </c>
      <c r="E75" s="71">
        <v>81897710023</v>
      </c>
      <c r="F75" s="71" t="s">
        <v>816</v>
      </c>
    </row>
    <row r="76" spans="1:6">
      <c r="A76" s="82">
        <v>9</v>
      </c>
      <c r="B76" s="82">
        <v>1</v>
      </c>
      <c r="C76" s="75" t="s">
        <v>4</v>
      </c>
      <c r="D76" s="71" t="s">
        <v>5</v>
      </c>
      <c r="E76" s="71">
        <v>81897710023</v>
      </c>
      <c r="F76" s="71" t="s">
        <v>816</v>
      </c>
    </row>
    <row r="77" spans="1:6">
      <c r="A77" s="82">
        <v>10</v>
      </c>
      <c r="B77" s="82">
        <v>2</v>
      </c>
      <c r="C77" s="75" t="s">
        <v>161</v>
      </c>
      <c r="D77" s="71" t="s">
        <v>162</v>
      </c>
      <c r="E77" s="71">
        <v>81897710023</v>
      </c>
      <c r="F77" s="71" t="s">
        <v>816</v>
      </c>
    </row>
    <row r="78" spans="1:6">
      <c r="A78" s="82">
        <v>11</v>
      </c>
      <c r="B78" s="82">
        <v>2</v>
      </c>
      <c r="C78" s="75" t="s">
        <v>141</v>
      </c>
      <c r="D78" s="71" t="s">
        <v>32</v>
      </c>
      <c r="E78" s="71">
        <v>81897710023</v>
      </c>
      <c r="F78" s="71" t="s">
        <v>816</v>
      </c>
    </row>
    <row r="79" spans="1:6">
      <c r="A79" s="82">
        <v>12</v>
      </c>
      <c r="B79" s="82">
        <v>2</v>
      </c>
      <c r="C79" s="75" t="s">
        <v>165</v>
      </c>
      <c r="D79" s="71" t="s">
        <v>166</v>
      </c>
      <c r="E79" s="71">
        <v>81897710023</v>
      </c>
      <c r="F79" s="71" t="s">
        <v>816</v>
      </c>
    </row>
    <row r="80" spans="1:6">
      <c r="A80" s="82">
        <v>13</v>
      </c>
      <c r="B80" s="82">
        <v>2</v>
      </c>
      <c r="C80" s="75" t="s">
        <v>567</v>
      </c>
      <c r="D80" s="71" t="s">
        <v>6</v>
      </c>
      <c r="E80" s="71">
        <v>81897710023</v>
      </c>
      <c r="F80" s="71" t="s">
        <v>816</v>
      </c>
    </row>
    <row r="81" spans="1:6">
      <c r="A81" s="82">
        <v>14</v>
      </c>
      <c r="B81" s="82">
        <v>1</v>
      </c>
      <c r="C81" s="75" t="s">
        <v>827</v>
      </c>
      <c r="D81" s="70" t="s">
        <v>765</v>
      </c>
      <c r="E81" s="71">
        <v>81897710001</v>
      </c>
      <c r="F81" s="71" t="s">
        <v>816</v>
      </c>
    </row>
    <row r="82" spans="1:6">
      <c r="A82" s="82">
        <v>15</v>
      </c>
      <c r="B82" s="82">
        <v>1</v>
      </c>
      <c r="C82" s="75" t="s">
        <v>560</v>
      </c>
      <c r="D82" s="71" t="s">
        <v>171</v>
      </c>
      <c r="E82" s="71">
        <v>81897710018</v>
      </c>
      <c r="F82" s="71" t="s">
        <v>816</v>
      </c>
    </row>
    <row r="83" spans="1:6">
      <c r="A83" s="82">
        <v>16</v>
      </c>
      <c r="B83" s="82">
        <v>1</v>
      </c>
      <c r="C83" s="75" t="s">
        <v>561</v>
      </c>
      <c r="D83" s="71" t="s">
        <v>173</v>
      </c>
      <c r="E83" s="71">
        <v>81897710018</v>
      </c>
      <c r="F83" s="71" t="s">
        <v>816</v>
      </c>
    </row>
    <row r="84" spans="1:6">
      <c r="A84" s="82">
        <v>17</v>
      </c>
      <c r="B84" s="82">
        <v>1</v>
      </c>
      <c r="C84" s="75" t="s">
        <v>766</v>
      </c>
      <c r="D84" s="71" t="s">
        <v>175</v>
      </c>
      <c r="E84" s="71">
        <v>81897710018</v>
      </c>
      <c r="F84" s="71" t="s">
        <v>816</v>
      </c>
    </row>
    <row r="85" spans="1:6">
      <c r="A85" s="82">
        <v>18</v>
      </c>
      <c r="B85" s="82">
        <v>1</v>
      </c>
      <c r="C85" s="75" t="s">
        <v>767</v>
      </c>
      <c r="D85" s="71" t="s">
        <v>177</v>
      </c>
      <c r="E85" s="71">
        <v>81897710018</v>
      </c>
      <c r="F85" s="71" t="s">
        <v>816</v>
      </c>
    </row>
    <row r="86" spans="1:6">
      <c r="A86" s="82">
        <v>19</v>
      </c>
      <c r="B86" s="82">
        <v>1</v>
      </c>
      <c r="C86" s="75" t="s">
        <v>768</v>
      </c>
      <c r="D86" s="71" t="s">
        <v>179</v>
      </c>
      <c r="E86" s="71">
        <v>81897710018</v>
      </c>
      <c r="F86" s="71" t="s">
        <v>816</v>
      </c>
    </row>
    <row r="87" spans="1:6">
      <c r="A87" s="82">
        <v>20</v>
      </c>
      <c r="B87" s="82">
        <v>1</v>
      </c>
      <c r="C87" s="75" t="s">
        <v>623</v>
      </c>
      <c r="D87" s="71" t="s">
        <v>181</v>
      </c>
      <c r="E87" s="71">
        <v>81897710018</v>
      </c>
      <c r="F87" s="71" t="s">
        <v>816</v>
      </c>
    </row>
    <row r="88" spans="1:6">
      <c r="A88" s="82">
        <v>21</v>
      </c>
      <c r="B88" s="82">
        <v>2</v>
      </c>
      <c r="C88" s="75" t="s">
        <v>769</v>
      </c>
      <c r="D88" s="71" t="s">
        <v>7</v>
      </c>
      <c r="E88" s="71">
        <v>81897710018</v>
      </c>
      <c r="F88" s="71" t="s">
        <v>816</v>
      </c>
    </row>
    <row r="89" spans="1:6">
      <c r="A89" s="82">
        <v>22</v>
      </c>
      <c r="B89" s="82">
        <v>1</v>
      </c>
      <c r="C89" s="75" t="s">
        <v>605</v>
      </c>
      <c r="D89" s="71" t="s">
        <v>184</v>
      </c>
      <c r="E89" s="71">
        <v>81897710018</v>
      </c>
      <c r="F89" s="71" t="s">
        <v>816</v>
      </c>
    </row>
    <row r="90" spans="1:6">
      <c r="A90" s="82">
        <v>23</v>
      </c>
      <c r="B90" s="82">
        <v>1</v>
      </c>
      <c r="C90" s="75" t="s">
        <v>603</v>
      </c>
      <c r="D90" s="71" t="s">
        <v>60</v>
      </c>
      <c r="E90" s="71">
        <v>81897710018</v>
      </c>
      <c r="F90" s="71" t="s">
        <v>816</v>
      </c>
    </row>
    <row r="91" spans="1:6">
      <c r="A91" s="82">
        <v>24</v>
      </c>
      <c r="B91" s="82">
        <v>1</v>
      </c>
      <c r="C91" s="75" t="s">
        <v>770</v>
      </c>
      <c r="D91" s="71" t="s">
        <v>187</v>
      </c>
      <c r="E91" s="71">
        <v>81897710001</v>
      </c>
      <c r="F91" s="71" t="s">
        <v>816</v>
      </c>
    </row>
    <row r="92" spans="1:6">
      <c r="A92" s="82">
        <v>25</v>
      </c>
      <c r="B92" s="82">
        <v>1</v>
      </c>
      <c r="C92" s="75" t="s">
        <v>771</v>
      </c>
      <c r="D92" s="71" t="s">
        <v>189</v>
      </c>
      <c r="E92" s="71">
        <v>81897710001</v>
      </c>
      <c r="F92" s="71" t="s">
        <v>816</v>
      </c>
    </row>
    <row r="93" spans="1:6">
      <c r="A93" s="82">
        <v>26</v>
      </c>
      <c r="B93" s="82">
        <v>1</v>
      </c>
      <c r="C93" s="75" t="s">
        <v>772</v>
      </c>
      <c r="D93" s="71" t="s">
        <v>44</v>
      </c>
      <c r="E93" s="71">
        <v>81897710001</v>
      </c>
      <c r="F93" s="71" t="s">
        <v>816</v>
      </c>
    </row>
    <row r="94" spans="1:6">
      <c r="A94" s="82">
        <v>27</v>
      </c>
      <c r="B94" s="82">
        <v>6</v>
      </c>
      <c r="C94" s="76" t="s">
        <v>808</v>
      </c>
      <c r="D94" s="71" t="s">
        <v>37</v>
      </c>
      <c r="E94" s="71">
        <v>81897710001</v>
      </c>
      <c r="F94" s="71" t="s">
        <v>816</v>
      </c>
    </row>
    <row r="95" spans="1:6">
      <c r="A95" s="82">
        <v>28</v>
      </c>
      <c r="B95" s="82">
        <v>2</v>
      </c>
      <c r="C95" s="75" t="s">
        <v>624</v>
      </c>
      <c r="D95" s="71" t="s">
        <v>192</v>
      </c>
      <c r="E95" s="85">
        <v>81897710001</v>
      </c>
      <c r="F95" s="71" t="s">
        <v>816</v>
      </c>
    </row>
    <row r="96" spans="1:6">
      <c r="A96" s="82">
        <v>29</v>
      </c>
      <c r="B96" s="82">
        <v>1</v>
      </c>
      <c r="C96" s="75" t="s">
        <v>773</v>
      </c>
      <c r="D96" s="71" t="s">
        <v>194</v>
      </c>
      <c r="E96" s="71">
        <v>81897710023</v>
      </c>
      <c r="F96" s="71" t="s">
        <v>816</v>
      </c>
    </row>
    <row r="97" spans="1:6">
      <c r="A97" s="82">
        <v>30</v>
      </c>
      <c r="B97" s="82">
        <v>2</v>
      </c>
      <c r="C97" s="75" t="s">
        <v>774</v>
      </c>
      <c r="D97" s="71" t="s">
        <v>196</v>
      </c>
      <c r="E97" s="71">
        <v>81897710023</v>
      </c>
      <c r="F97" s="71" t="s">
        <v>816</v>
      </c>
    </row>
    <row r="98" spans="1:6">
      <c r="A98" s="82">
        <v>31</v>
      </c>
      <c r="B98" s="82">
        <v>3</v>
      </c>
      <c r="C98" s="75" t="s">
        <v>775</v>
      </c>
      <c r="D98" s="71" t="s">
        <v>198</v>
      </c>
      <c r="E98" s="71">
        <v>81897710023</v>
      </c>
      <c r="F98" s="71" t="s">
        <v>816</v>
      </c>
    </row>
    <row r="99" spans="1:6">
      <c r="A99" s="82">
        <v>32</v>
      </c>
      <c r="B99" s="82">
        <v>8</v>
      </c>
      <c r="C99" s="75" t="s">
        <v>776</v>
      </c>
      <c r="D99" s="71" t="s">
        <v>200</v>
      </c>
      <c r="E99" s="71">
        <v>81897710001</v>
      </c>
      <c r="F99" s="71" t="s">
        <v>816</v>
      </c>
    </row>
    <row r="100" spans="1:6">
      <c r="A100" s="82">
        <v>33</v>
      </c>
      <c r="B100" s="82">
        <v>2</v>
      </c>
      <c r="C100" s="75" t="s">
        <v>777</v>
      </c>
      <c r="D100" s="71" t="s">
        <v>202</v>
      </c>
      <c r="E100" s="71">
        <v>81897710023</v>
      </c>
      <c r="F100" s="71" t="s">
        <v>816</v>
      </c>
    </row>
    <row r="101" spans="1:6">
      <c r="A101" s="82">
        <v>34</v>
      </c>
      <c r="B101" s="83">
        <v>1</v>
      </c>
      <c r="C101" s="76" t="s">
        <v>204</v>
      </c>
      <c r="D101" s="70" t="s">
        <v>814</v>
      </c>
      <c r="E101" s="71">
        <v>81897710023</v>
      </c>
      <c r="F101" s="71" t="s">
        <v>816</v>
      </c>
    </row>
    <row r="102" spans="1:6">
      <c r="A102" s="82">
        <v>35</v>
      </c>
      <c r="B102" s="82">
        <v>2</v>
      </c>
      <c r="C102" s="75" t="s">
        <v>828</v>
      </c>
      <c r="D102" s="71" t="s">
        <v>206</v>
      </c>
      <c r="E102" s="71">
        <v>81897710023</v>
      </c>
      <c r="F102" s="71" t="s">
        <v>816</v>
      </c>
    </row>
    <row r="103" spans="1:6">
      <c r="A103" s="82">
        <v>36</v>
      </c>
      <c r="B103" s="82">
        <v>2</v>
      </c>
      <c r="C103" s="75" t="s">
        <v>829</v>
      </c>
      <c r="D103" s="71" t="s">
        <v>208</v>
      </c>
      <c r="E103" s="71">
        <v>81897710023</v>
      </c>
      <c r="F103" s="71" t="s">
        <v>816</v>
      </c>
    </row>
    <row r="104" spans="1:6">
      <c r="A104" s="82">
        <v>37</v>
      </c>
      <c r="B104" s="82">
        <v>4</v>
      </c>
      <c r="C104" s="75" t="s">
        <v>13</v>
      </c>
      <c r="D104" s="71" t="s">
        <v>687</v>
      </c>
      <c r="E104" s="71">
        <v>81897710001</v>
      </c>
      <c r="F104" s="71" t="s">
        <v>816</v>
      </c>
    </row>
    <row r="105" spans="1:6">
      <c r="A105" s="82">
        <v>38</v>
      </c>
      <c r="B105" s="82">
        <v>4</v>
      </c>
      <c r="C105" s="75" t="s">
        <v>14</v>
      </c>
      <c r="D105" s="71" t="s">
        <v>688</v>
      </c>
      <c r="E105" s="71">
        <v>81897710001</v>
      </c>
      <c r="F105" s="71" t="s">
        <v>816</v>
      </c>
    </row>
    <row r="106" spans="1:6">
      <c r="A106" s="82">
        <v>39</v>
      </c>
      <c r="B106" s="82">
        <v>6</v>
      </c>
      <c r="C106" s="75" t="s">
        <v>15</v>
      </c>
      <c r="D106" s="71" t="s">
        <v>16</v>
      </c>
      <c r="E106" s="71">
        <v>81897710001</v>
      </c>
      <c r="F106" s="71" t="s">
        <v>816</v>
      </c>
    </row>
    <row r="107" spans="1:6">
      <c r="A107" s="82">
        <v>40</v>
      </c>
      <c r="B107" s="82">
        <v>6</v>
      </c>
      <c r="C107" s="75" t="s">
        <v>213</v>
      </c>
      <c r="D107" s="71" t="s">
        <v>214</v>
      </c>
      <c r="E107" s="71">
        <v>81897710001</v>
      </c>
      <c r="F107" s="71" t="s">
        <v>816</v>
      </c>
    </row>
    <row r="108" spans="1:6">
      <c r="A108" s="82">
        <v>41</v>
      </c>
      <c r="B108" s="82">
        <v>6</v>
      </c>
      <c r="C108" s="75" t="s">
        <v>216</v>
      </c>
      <c r="D108" s="71" t="s">
        <v>217</v>
      </c>
      <c r="E108" s="71">
        <v>81897710001</v>
      </c>
      <c r="F108" s="71" t="s">
        <v>816</v>
      </c>
    </row>
    <row r="109" spans="1:6">
      <c r="A109" s="82">
        <v>42</v>
      </c>
      <c r="B109" s="82">
        <v>6</v>
      </c>
      <c r="C109" s="75" t="s">
        <v>219</v>
      </c>
      <c r="D109" s="71" t="s">
        <v>220</v>
      </c>
      <c r="E109" s="71">
        <v>81897710001</v>
      </c>
      <c r="F109" s="71" t="s">
        <v>816</v>
      </c>
    </row>
    <row r="110" spans="1:6">
      <c r="A110" s="82">
        <v>43</v>
      </c>
      <c r="B110" s="82">
        <v>6</v>
      </c>
      <c r="C110" s="75" t="s">
        <v>222</v>
      </c>
      <c r="D110" s="71" t="s">
        <v>223</v>
      </c>
      <c r="E110" s="71">
        <v>81897710001</v>
      </c>
      <c r="F110" s="71" t="s">
        <v>816</v>
      </c>
    </row>
    <row r="111" spans="1:6">
      <c r="A111" s="82">
        <v>44</v>
      </c>
      <c r="B111" s="82">
        <v>4</v>
      </c>
      <c r="C111" s="75" t="s">
        <v>778</v>
      </c>
      <c r="D111" s="71" t="s">
        <v>225</v>
      </c>
      <c r="E111" s="71">
        <v>81897710001</v>
      </c>
      <c r="F111" s="71" t="s">
        <v>816</v>
      </c>
    </row>
    <row r="112" spans="1:6">
      <c r="A112" s="82">
        <v>45</v>
      </c>
      <c r="B112" s="82">
        <v>2</v>
      </c>
      <c r="C112" s="75" t="s">
        <v>227</v>
      </c>
      <c r="D112" s="71" t="s">
        <v>228</v>
      </c>
      <c r="E112" s="71">
        <v>81897710011</v>
      </c>
      <c r="F112" s="71" t="s">
        <v>816</v>
      </c>
    </row>
    <row r="113" spans="1:6">
      <c r="A113" s="82">
        <v>46</v>
      </c>
      <c r="B113" s="82">
        <v>2</v>
      </c>
      <c r="C113" s="75" t="s">
        <v>230</v>
      </c>
      <c r="D113" s="72" t="s">
        <v>812</v>
      </c>
      <c r="E113" s="68">
        <v>81897719006</v>
      </c>
      <c r="F113" s="71" t="s">
        <v>816</v>
      </c>
    </row>
    <row r="114" spans="1:6">
      <c r="A114" s="82">
        <v>47</v>
      </c>
      <c r="B114" s="82">
        <v>3</v>
      </c>
      <c r="C114" s="75" t="s">
        <v>627</v>
      </c>
      <c r="D114" s="71" t="s">
        <v>233</v>
      </c>
      <c r="E114" s="71">
        <v>81897710001</v>
      </c>
      <c r="F114" s="71" t="s">
        <v>816</v>
      </c>
    </row>
    <row r="115" spans="1:6">
      <c r="A115" s="82">
        <v>48</v>
      </c>
      <c r="B115" s="82">
        <v>2</v>
      </c>
      <c r="C115" s="75" t="s">
        <v>626</v>
      </c>
      <c r="D115" s="71" t="s">
        <v>235</v>
      </c>
      <c r="E115" s="71">
        <v>81897710001</v>
      </c>
      <c r="F115" s="71" t="s">
        <v>816</v>
      </c>
    </row>
    <row r="116" spans="1:6">
      <c r="A116" s="82">
        <v>49</v>
      </c>
      <c r="B116" s="82">
        <v>3</v>
      </c>
      <c r="C116" s="75" t="s">
        <v>625</v>
      </c>
      <c r="D116" s="71" t="s">
        <v>237</v>
      </c>
      <c r="E116" s="71">
        <v>81897710001</v>
      </c>
      <c r="F116" s="71" t="s">
        <v>816</v>
      </c>
    </row>
    <row r="117" spans="1:6">
      <c r="A117" s="82">
        <v>50</v>
      </c>
      <c r="B117" s="82">
        <v>1</v>
      </c>
      <c r="C117" s="75" t="s">
        <v>779</v>
      </c>
      <c r="D117" s="71" t="s">
        <v>239</v>
      </c>
      <c r="E117" s="71">
        <v>81897710018</v>
      </c>
      <c r="F117" s="71" t="s">
        <v>816</v>
      </c>
    </row>
    <row r="118" spans="1:6">
      <c r="A118" s="82">
        <v>51</v>
      </c>
      <c r="B118" s="82">
        <v>1</v>
      </c>
      <c r="C118" s="75" t="s">
        <v>780</v>
      </c>
      <c r="D118" s="71" t="s">
        <v>189</v>
      </c>
      <c r="E118" s="71">
        <v>81897710001</v>
      </c>
      <c r="F118" s="71" t="s">
        <v>816</v>
      </c>
    </row>
    <row r="119" spans="1:6">
      <c r="A119" s="82">
        <v>52</v>
      </c>
      <c r="B119" s="82">
        <v>1</v>
      </c>
      <c r="C119" s="75" t="s">
        <v>781</v>
      </c>
      <c r="D119" s="71" t="s">
        <v>44</v>
      </c>
      <c r="E119" s="71">
        <v>81897710001</v>
      </c>
      <c r="F119" s="71" t="s">
        <v>816</v>
      </c>
    </row>
    <row r="120" spans="1:6">
      <c r="A120" s="82">
        <v>53</v>
      </c>
      <c r="B120" s="82">
        <v>1</v>
      </c>
      <c r="C120" s="75" t="s">
        <v>628</v>
      </c>
      <c r="D120" s="71" t="s">
        <v>243</v>
      </c>
      <c r="E120" s="71">
        <v>81897710017</v>
      </c>
      <c r="F120" s="71" t="s">
        <v>816</v>
      </c>
    </row>
    <row r="121" spans="1:6">
      <c r="A121" s="82">
        <v>54</v>
      </c>
      <c r="B121" s="82">
        <v>1</v>
      </c>
      <c r="C121" s="75" t="s">
        <v>629</v>
      </c>
      <c r="D121" s="71" t="s">
        <v>246</v>
      </c>
      <c r="E121" s="71">
        <v>81897710017</v>
      </c>
      <c r="F121" s="71" t="s">
        <v>816</v>
      </c>
    </row>
    <row r="122" spans="1:6">
      <c r="A122" s="82">
        <v>55</v>
      </c>
      <c r="B122" s="82">
        <v>1</v>
      </c>
      <c r="C122" s="75" t="s">
        <v>630</v>
      </c>
      <c r="D122" s="71" t="s">
        <v>249</v>
      </c>
      <c r="E122" s="71">
        <v>81897710017</v>
      </c>
      <c r="F122" s="71" t="s">
        <v>816</v>
      </c>
    </row>
    <row r="123" spans="1:6">
      <c r="A123" s="82">
        <v>56</v>
      </c>
      <c r="B123" s="82">
        <v>2</v>
      </c>
      <c r="C123" s="75" t="s">
        <v>631</v>
      </c>
      <c r="D123" s="71" t="s">
        <v>251</v>
      </c>
      <c r="E123" s="71">
        <v>81897710017</v>
      </c>
      <c r="F123" s="71" t="s">
        <v>816</v>
      </c>
    </row>
    <row r="124" spans="1:6" ht="28.5">
      <c r="A124" s="83">
        <v>57</v>
      </c>
      <c r="B124" s="83">
        <v>2</v>
      </c>
      <c r="C124" s="76" t="s">
        <v>846</v>
      </c>
      <c r="D124" s="68" t="s">
        <v>144</v>
      </c>
      <c r="E124" s="68" t="s">
        <v>26</v>
      </c>
      <c r="F124" s="71" t="s">
        <v>816</v>
      </c>
    </row>
    <row r="125" spans="1:6">
      <c r="A125" s="124"/>
      <c r="B125" s="124"/>
      <c r="C125" s="77" t="s">
        <v>512</v>
      </c>
      <c r="D125" s="84"/>
      <c r="E125" s="84"/>
      <c r="F125" s="84"/>
    </row>
    <row r="126" spans="1:6">
      <c r="A126" s="80" t="s">
        <v>0</v>
      </c>
      <c r="B126" s="80" t="s">
        <v>509</v>
      </c>
      <c r="C126" s="74" t="s">
        <v>848</v>
      </c>
      <c r="D126" s="81" t="s">
        <v>1</v>
      </c>
      <c r="E126" s="81" t="s">
        <v>2</v>
      </c>
      <c r="F126" s="81" t="s">
        <v>815</v>
      </c>
    </row>
    <row r="127" spans="1:6" ht="28.5">
      <c r="A127" s="82">
        <v>1</v>
      </c>
      <c r="B127" s="82">
        <v>2</v>
      </c>
      <c r="C127" s="75" t="s">
        <v>782</v>
      </c>
      <c r="D127" s="69" t="s">
        <v>689</v>
      </c>
      <c r="E127" s="71">
        <v>81897710017</v>
      </c>
      <c r="F127" s="71" t="s">
        <v>816</v>
      </c>
    </row>
    <row r="128" spans="1:6">
      <c r="A128" s="82">
        <v>2</v>
      </c>
      <c r="B128" s="82">
        <v>2</v>
      </c>
      <c r="C128" s="75" t="s">
        <v>783</v>
      </c>
      <c r="D128" s="71" t="s">
        <v>254</v>
      </c>
      <c r="E128" s="71">
        <v>81897710017</v>
      </c>
      <c r="F128" s="71" t="s">
        <v>816</v>
      </c>
    </row>
    <row r="129" spans="1:6">
      <c r="A129" s="82">
        <v>3</v>
      </c>
      <c r="B129" s="82">
        <v>2</v>
      </c>
      <c r="C129" s="75" t="s">
        <v>24</v>
      </c>
      <c r="D129" s="71" t="s">
        <v>25</v>
      </c>
      <c r="E129" s="71">
        <v>81897710017</v>
      </c>
      <c r="F129" s="71" t="s">
        <v>816</v>
      </c>
    </row>
    <row r="130" spans="1:6">
      <c r="A130" s="82">
        <v>4</v>
      </c>
      <c r="B130" s="82">
        <v>2</v>
      </c>
      <c r="C130" s="75" t="s">
        <v>257</v>
      </c>
      <c r="D130" s="71" t="s">
        <v>258</v>
      </c>
      <c r="E130" s="71">
        <v>81897710017</v>
      </c>
      <c r="F130" s="71" t="s">
        <v>816</v>
      </c>
    </row>
    <row r="131" spans="1:6">
      <c r="A131" s="82">
        <v>5</v>
      </c>
      <c r="B131" s="82">
        <v>2</v>
      </c>
      <c r="C131" s="75" t="s">
        <v>784</v>
      </c>
      <c r="D131" s="71" t="s">
        <v>11</v>
      </c>
      <c r="E131" s="71">
        <v>81897710023</v>
      </c>
      <c r="F131" s="71" t="s">
        <v>816</v>
      </c>
    </row>
    <row r="132" spans="1:6">
      <c r="A132" s="82">
        <v>6</v>
      </c>
      <c r="B132" s="82">
        <v>2</v>
      </c>
      <c r="C132" s="75" t="s">
        <v>830</v>
      </c>
      <c r="D132" s="71" t="s">
        <v>12</v>
      </c>
      <c r="E132" s="71">
        <v>81897710023</v>
      </c>
      <c r="F132" s="71" t="s">
        <v>816</v>
      </c>
    </row>
    <row r="133" spans="1:6">
      <c r="A133" s="82">
        <v>7</v>
      </c>
      <c r="B133" s="82">
        <v>2</v>
      </c>
      <c r="C133" s="75" t="s">
        <v>843</v>
      </c>
      <c r="D133" s="71" t="s">
        <v>8</v>
      </c>
      <c r="E133" s="71">
        <v>81897710023</v>
      </c>
      <c r="F133" s="71" t="s">
        <v>816</v>
      </c>
    </row>
    <row r="134" spans="1:6">
      <c r="A134" s="82">
        <v>8</v>
      </c>
      <c r="B134" s="82">
        <v>2</v>
      </c>
      <c r="C134" s="75" t="s">
        <v>785</v>
      </c>
      <c r="D134" s="71" t="s">
        <v>9</v>
      </c>
      <c r="E134" s="71">
        <v>81897710023</v>
      </c>
      <c r="F134" s="71" t="s">
        <v>816</v>
      </c>
    </row>
    <row r="135" spans="1:6">
      <c r="A135" s="82">
        <v>9</v>
      </c>
      <c r="B135" s="82">
        <v>3</v>
      </c>
      <c r="C135" s="75" t="s">
        <v>786</v>
      </c>
      <c r="D135" s="71" t="s">
        <v>7</v>
      </c>
      <c r="E135" s="71">
        <v>81897710018</v>
      </c>
      <c r="F135" s="71" t="s">
        <v>816</v>
      </c>
    </row>
    <row r="136" spans="1:6">
      <c r="A136" s="82">
        <v>10</v>
      </c>
      <c r="B136" s="82">
        <v>1</v>
      </c>
      <c r="C136" s="75" t="s">
        <v>787</v>
      </c>
      <c r="D136" s="68" t="s">
        <v>813</v>
      </c>
      <c r="E136" s="68">
        <v>81897719006</v>
      </c>
      <c r="F136" s="71" t="s">
        <v>816</v>
      </c>
    </row>
    <row r="137" spans="1:6">
      <c r="A137" s="82">
        <v>11</v>
      </c>
      <c r="B137" s="82">
        <v>1</v>
      </c>
      <c r="C137" s="75" t="s">
        <v>788</v>
      </c>
      <c r="D137" s="71" t="s">
        <v>267</v>
      </c>
      <c r="E137" s="71">
        <v>81897710010</v>
      </c>
      <c r="F137" s="71" t="s">
        <v>816</v>
      </c>
    </row>
    <row r="138" spans="1:6">
      <c r="A138" s="82">
        <v>12</v>
      </c>
      <c r="B138" s="82">
        <v>1</v>
      </c>
      <c r="C138" s="75" t="s">
        <v>831</v>
      </c>
      <c r="D138" s="71" t="s">
        <v>268</v>
      </c>
      <c r="E138" s="71">
        <v>81897710010</v>
      </c>
      <c r="F138" s="71" t="s">
        <v>816</v>
      </c>
    </row>
    <row r="139" spans="1:6">
      <c r="A139" s="82">
        <v>13</v>
      </c>
      <c r="B139" s="82">
        <v>1</v>
      </c>
      <c r="C139" s="75" t="s">
        <v>832</v>
      </c>
      <c r="D139" s="71" t="s">
        <v>269</v>
      </c>
      <c r="E139" s="71">
        <v>81897710010</v>
      </c>
      <c r="F139" s="71" t="s">
        <v>816</v>
      </c>
    </row>
    <row r="140" spans="1:6">
      <c r="A140" s="82">
        <v>14</v>
      </c>
      <c r="B140" s="82">
        <v>1</v>
      </c>
      <c r="C140" s="75" t="s">
        <v>833</v>
      </c>
      <c r="D140" s="71" t="s">
        <v>270</v>
      </c>
      <c r="E140" s="71">
        <v>81897710010</v>
      </c>
      <c r="F140" s="71" t="s">
        <v>816</v>
      </c>
    </row>
    <row r="141" spans="1:6">
      <c r="A141" s="82">
        <v>15</v>
      </c>
      <c r="B141" s="82">
        <v>1</v>
      </c>
      <c r="C141" s="75" t="s">
        <v>834</v>
      </c>
      <c r="D141" s="71" t="s">
        <v>271</v>
      </c>
      <c r="E141" s="71">
        <v>81897710010</v>
      </c>
      <c r="F141" s="71" t="s">
        <v>816</v>
      </c>
    </row>
    <row r="142" spans="1:6">
      <c r="A142" s="82">
        <v>16</v>
      </c>
      <c r="B142" s="82">
        <v>1</v>
      </c>
      <c r="C142" s="75" t="s">
        <v>272</v>
      </c>
      <c r="D142" s="71" t="s">
        <v>273</v>
      </c>
      <c r="E142" s="71">
        <v>81897710023</v>
      </c>
      <c r="F142" s="71" t="s">
        <v>816</v>
      </c>
    </row>
    <row r="143" spans="1:6">
      <c r="A143" s="82">
        <v>17</v>
      </c>
      <c r="B143" s="82">
        <v>1</v>
      </c>
      <c r="C143" s="75" t="s">
        <v>274</v>
      </c>
      <c r="D143" s="71" t="s">
        <v>275</v>
      </c>
      <c r="E143" s="71">
        <v>81897710023</v>
      </c>
      <c r="F143" s="71" t="s">
        <v>816</v>
      </c>
    </row>
    <row r="144" spans="1:6">
      <c r="A144" s="82">
        <v>18</v>
      </c>
      <c r="B144" s="82">
        <v>1</v>
      </c>
      <c r="C144" s="75" t="s">
        <v>601</v>
      </c>
      <c r="D144" s="71" t="s">
        <v>277</v>
      </c>
      <c r="E144" s="71">
        <v>81897710018</v>
      </c>
      <c r="F144" s="71" t="s">
        <v>816</v>
      </c>
    </row>
    <row r="145" spans="1:6">
      <c r="A145" s="82">
        <v>19</v>
      </c>
      <c r="B145" s="82">
        <v>1</v>
      </c>
      <c r="C145" s="75" t="s">
        <v>602</v>
      </c>
      <c r="D145" s="71" t="s">
        <v>279</v>
      </c>
      <c r="E145" s="71">
        <v>81897710018</v>
      </c>
      <c r="F145" s="71" t="s">
        <v>816</v>
      </c>
    </row>
    <row r="146" spans="1:6">
      <c r="A146" s="82">
        <v>20</v>
      </c>
      <c r="B146" s="82">
        <v>1</v>
      </c>
      <c r="C146" s="75" t="s">
        <v>594</v>
      </c>
      <c r="D146" s="71" t="s">
        <v>50</v>
      </c>
      <c r="E146" s="71">
        <v>81897710018</v>
      </c>
      <c r="F146" s="71" t="s">
        <v>816</v>
      </c>
    </row>
    <row r="147" spans="1:6">
      <c r="A147" s="82">
        <v>21</v>
      </c>
      <c r="B147" s="82">
        <v>1</v>
      </c>
      <c r="C147" s="75" t="s">
        <v>596</v>
      </c>
      <c r="D147" s="71" t="s">
        <v>54</v>
      </c>
      <c r="E147" s="71">
        <v>81897710018</v>
      </c>
      <c r="F147" s="71" t="s">
        <v>816</v>
      </c>
    </row>
    <row r="148" spans="1:6">
      <c r="A148" s="82">
        <v>22</v>
      </c>
      <c r="B148" s="82">
        <v>1</v>
      </c>
      <c r="C148" s="75" t="s">
        <v>632</v>
      </c>
      <c r="D148" s="71" t="s">
        <v>283</v>
      </c>
      <c r="E148" s="71">
        <v>81897710010</v>
      </c>
      <c r="F148" s="71" t="s">
        <v>816</v>
      </c>
    </row>
    <row r="149" spans="1:6">
      <c r="A149" s="82">
        <v>23</v>
      </c>
      <c r="B149" s="82">
        <v>1</v>
      </c>
      <c r="C149" s="75" t="s">
        <v>633</v>
      </c>
      <c r="D149" s="71" t="s">
        <v>285</v>
      </c>
      <c r="E149" s="71">
        <v>81897710010</v>
      </c>
      <c r="F149" s="71" t="s">
        <v>816</v>
      </c>
    </row>
    <row r="150" spans="1:6">
      <c r="A150" s="82">
        <v>24</v>
      </c>
      <c r="B150" s="82">
        <v>1</v>
      </c>
      <c r="C150" s="75" t="s">
        <v>634</v>
      </c>
      <c r="D150" s="71" t="s">
        <v>60</v>
      </c>
      <c r="E150" s="71">
        <v>81897710018</v>
      </c>
      <c r="F150" s="71" t="s">
        <v>816</v>
      </c>
    </row>
    <row r="151" spans="1:6">
      <c r="A151" s="82">
        <v>25</v>
      </c>
      <c r="B151" s="82">
        <v>1</v>
      </c>
      <c r="C151" s="75" t="s">
        <v>635</v>
      </c>
      <c r="D151" s="71" t="s">
        <v>62</v>
      </c>
      <c r="E151" s="71">
        <v>81897710018</v>
      </c>
      <c r="F151" s="71" t="s">
        <v>816</v>
      </c>
    </row>
    <row r="152" spans="1:6">
      <c r="A152" s="82">
        <v>26</v>
      </c>
      <c r="B152" s="82">
        <v>8</v>
      </c>
      <c r="C152" s="75" t="s">
        <v>583</v>
      </c>
      <c r="D152" s="71" t="s">
        <v>19</v>
      </c>
      <c r="E152" s="71">
        <v>81897710001</v>
      </c>
      <c r="F152" s="71" t="s">
        <v>816</v>
      </c>
    </row>
    <row r="153" spans="1:6">
      <c r="A153" s="82">
        <v>27</v>
      </c>
      <c r="B153" s="82">
        <v>1</v>
      </c>
      <c r="C153" s="75" t="s">
        <v>636</v>
      </c>
      <c r="D153" s="71" t="s">
        <v>111</v>
      </c>
      <c r="E153" s="71">
        <v>81897710001</v>
      </c>
      <c r="F153" s="71" t="s">
        <v>816</v>
      </c>
    </row>
    <row r="154" spans="1:6">
      <c r="A154" s="82">
        <v>28</v>
      </c>
      <c r="B154" s="82">
        <v>1</v>
      </c>
      <c r="C154" s="75" t="s">
        <v>637</v>
      </c>
      <c r="D154" s="71" t="s">
        <v>289</v>
      </c>
      <c r="E154" s="71">
        <v>81897710001</v>
      </c>
      <c r="F154" s="71" t="s">
        <v>816</v>
      </c>
    </row>
    <row r="155" spans="1:6">
      <c r="A155" s="82">
        <v>29</v>
      </c>
      <c r="B155" s="82">
        <v>1</v>
      </c>
      <c r="C155" s="75" t="s">
        <v>789</v>
      </c>
      <c r="D155" s="71" t="s">
        <v>42</v>
      </c>
      <c r="E155" s="71">
        <v>81897710001</v>
      </c>
      <c r="F155" s="71" t="s">
        <v>816</v>
      </c>
    </row>
    <row r="156" spans="1:6">
      <c r="A156" s="82">
        <v>30</v>
      </c>
      <c r="B156" s="82">
        <v>1</v>
      </c>
      <c r="C156" s="75" t="s">
        <v>790</v>
      </c>
      <c r="D156" s="71" t="s">
        <v>292</v>
      </c>
      <c r="E156" s="71">
        <v>81897710001</v>
      </c>
      <c r="F156" s="71" t="s">
        <v>816</v>
      </c>
    </row>
    <row r="157" spans="1:6">
      <c r="A157" s="82">
        <v>31</v>
      </c>
      <c r="B157" s="82">
        <v>8</v>
      </c>
      <c r="C157" s="75" t="s">
        <v>638</v>
      </c>
      <c r="D157" s="71" t="s">
        <v>294</v>
      </c>
      <c r="E157" s="71">
        <v>81897710001</v>
      </c>
      <c r="F157" s="71" t="s">
        <v>816</v>
      </c>
    </row>
    <row r="158" spans="1:6">
      <c r="A158" s="82">
        <v>32</v>
      </c>
      <c r="B158" s="82">
        <v>8</v>
      </c>
      <c r="C158" s="75" t="s">
        <v>639</v>
      </c>
      <c r="D158" s="69" t="s">
        <v>687</v>
      </c>
      <c r="E158" s="71">
        <v>81897710001</v>
      </c>
      <c r="F158" s="71" t="s">
        <v>816</v>
      </c>
    </row>
    <row r="159" spans="1:6">
      <c r="A159" s="82">
        <v>33</v>
      </c>
      <c r="B159" s="83">
        <v>1</v>
      </c>
      <c r="C159" s="76" t="s">
        <v>21</v>
      </c>
      <c r="D159" s="68" t="s">
        <v>22</v>
      </c>
      <c r="E159" s="68">
        <v>81897719003</v>
      </c>
      <c r="F159" s="71" t="s">
        <v>816</v>
      </c>
    </row>
    <row r="160" spans="1:6">
      <c r="A160" s="82">
        <v>34</v>
      </c>
      <c r="B160" s="82">
        <v>1</v>
      </c>
      <c r="C160" s="75" t="s">
        <v>572</v>
      </c>
      <c r="D160" s="71" t="s">
        <v>20</v>
      </c>
      <c r="E160" s="71">
        <v>81897710001</v>
      </c>
      <c r="F160" s="71" t="s">
        <v>816</v>
      </c>
    </row>
    <row r="161" spans="1:6">
      <c r="A161" s="82">
        <v>35</v>
      </c>
      <c r="B161" s="82">
        <v>1</v>
      </c>
      <c r="C161" s="75" t="s">
        <v>571</v>
      </c>
      <c r="D161" s="71" t="s">
        <v>237</v>
      </c>
      <c r="E161" s="71">
        <v>81897710001</v>
      </c>
      <c r="F161" s="71" t="s">
        <v>816</v>
      </c>
    </row>
    <row r="162" spans="1:6">
      <c r="A162" s="82">
        <v>36</v>
      </c>
      <c r="B162" s="82">
        <v>1</v>
      </c>
      <c r="C162" s="75" t="s">
        <v>573</v>
      </c>
      <c r="D162" s="71" t="s">
        <v>299</v>
      </c>
      <c r="E162" s="71">
        <v>81897710001</v>
      </c>
      <c r="F162" s="71" t="s">
        <v>816</v>
      </c>
    </row>
    <row r="163" spans="1:6">
      <c r="A163" s="82">
        <v>37</v>
      </c>
      <c r="B163" s="82">
        <v>2</v>
      </c>
      <c r="C163" s="75" t="s">
        <v>300</v>
      </c>
      <c r="D163" s="71" t="s">
        <v>301</v>
      </c>
      <c r="E163" s="71">
        <v>81897710021</v>
      </c>
      <c r="F163" s="71" t="s">
        <v>816</v>
      </c>
    </row>
    <row r="164" spans="1:6">
      <c r="A164" s="82">
        <v>38</v>
      </c>
      <c r="B164" s="82">
        <v>2</v>
      </c>
      <c r="C164" s="75" t="s">
        <v>4</v>
      </c>
      <c r="D164" s="71" t="s">
        <v>5</v>
      </c>
      <c r="E164" s="71">
        <v>81897710023</v>
      </c>
      <c r="F164" s="71" t="s">
        <v>816</v>
      </c>
    </row>
    <row r="165" spans="1:6">
      <c r="A165" s="82">
        <v>39</v>
      </c>
      <c r="B165" s="82">
        <v>4</v>
      </c>
      <c r="C165" s="75" t="s">
        <v>567</v>
      </c>
      <c r="D165" s="71" t="s">
        <v>6</v>
      </c>
      <c r="E165" s="71">
        <v>81897710023</v>
      </c>
      <c r="F165" s="71" t="s">
        <v>816</v>
      </c>
    </row>
    <row r="166" spans="1:6">
      <c r="A166" s="82">
        <v>40</v>
      </c>
      <c r="B166" s="82">
        <v>2</v>
      </c>
      <c r="C166" s="75" t="s">
        <v>140</v>
      </c>
      <c r="D166" s="71" t="s">
        <v>30</v>
      </c>
      <c r="E166" s="71">
        <v>81897710023</v>
      </c>
      <c r="F166" s="71" t="s">
        <v>816</v>
      </c>
    </row>
    <row r="167" spans="1:6">
      <c r="A167" s="82">
        <v>41</v>
      </c>
      <c r="B167" s="82">
        <v>2</v>
      </c>
      <c r="C167" s="75" t="s">
        <v>302</v>
      </c>
      <c r="D167" s="71" t="s">
        <v>303</v>
      </c>
      <c r="E167" s="71">
        <v>81897710023</v>
      </c>
      <c r="F167" s="71" t="s">
        <v>816</v>
      </c>
    </row>
    <row r="168" spans="1:6">
      <c r="A168" s="82">
        <v>42</v>
      </c>
      <c r="B168" s="82">
        <v>2</v>
      </c>
      <c r="C168" s="75" t="s">
        <v>640</v>
      </c>
      <c r="D168" s="71" t="s">
        <v>304</v>
      </c>
      <c r="E168" s="71">
        <v>81897710018</v>
      </c>
      <c r="F168" s="71" t="s">
        <v>816</v>
      </c>
    </row>
    <row r="169" spans="1:6">
      <c r="A169" s="82">
        <v>43</v>
      </c>
      <c r="B169" s="82">
        <v>2</v>
      </c>
      <c r="C169" s="75" t="s">
        <v>641</v>
      </c>
      <c r="D169" s="71" t="s">
        <v>103</v>
      </c>
      <c r="E169" s="71">
        <v>81897710018</v>
      </c>
      <c r="F169" s="71" t="s">
        <v>816</v>
      </c>
    </row>
    <row r="170" spans="1:6">
      <c r="A170" s="82">
        <v>44</v>
      </c>
      <c r="B170" s="82">
        <v>2</v>
      </c>
      <c r="C170" s="75" t="s">
        <v>143</v>
      </c>
      <c r="D170" s="71" t="s">
        <v>105</v>
      </c>
      <c r="E170" s="71">
        <v>81897710018</v>
      </c>
      <c r="F170" s="71" t="s">
        <v>816</v>
      </c>
    </row>
    <row r="171" spans="1:6">
      <c r="A171" s="82">
        <v>45</v>
      </c>
      <c r="B171" s="82">
        <v>2</v>
      </c>
      <c r="C171" s="75" t="s">
        <v>305</v>
      </c>
      <c r="D171" s="71" t="s">
        <v>306</v>
      </c>
      <c r="E171" s="71">
        <v>81897710018</v>
      </c>
      <c r="F171" s="71" t="s">
        <v>816</v>
      </c>
    </row>
    <row r="172" spans="1:6">
      <c r="A172" s="82">
        <v>46</v>
      </c>
      <c r="B172" s="82">
        <v>1</v>
      </c>
      <c r="C172" s="75" t="s">
        <v>643</v>
      </c>
      <c r="D172" s="71" t="s">
        <v>307</v>
      </c>
      <c r="E172" s="71">
        <v>81897710001</v>
      </c>
      <c r="F172" s="71" t="s">
        <v>816</v>
      </c>
    </row>
    <row r="173" spans="1:6">
      <c r="A173" s="82">
        <v>47</v>
      </c>
      <c r="B173" s="82">
        <v>1</v>
      </c>
      <c r="C173" s="75" t="s">
        <v>308</v>
      </c>
      <c r="D173" s="71" t="s">
        <v>309</v>
      </c>
      <c r="E173" s="71">
        <v>81897710001</v>
      </c>
      <c r="F173" s="71" t="s">
        <v>816</v>
      </c>
    </row>
    <row r="174" spans="1:6">
      <c r="A174" s="82">
        <v>48</v>
      </c>
      <c r="B174" s="82">
        <v>1</v>
      </c>
      <c r="C174" s="75" t="s">
        <v>642</v>
      </c>
      <c r="D174" s="71" t="s">
        <v>310</v>
      </c>
      <c r="E174" s="71">
        <v>81897710001</v>
      </c>
      <c r="F174" s="71" t="s">
        <v>816</v>
      </c>
    </row>
    <row r="175" spans="1:6">
      <c r="A175" s="82">
        <v>49</v>
      </c>
      <c r="B175" s="82">
        <v>1</v>
      </c>
      <c r="C175" s="75" t="s">
        <v>311</v>
      </c>
      <c r="D175" s="71" t="s">
        <v>312</v>
      </c>
      <c r="E175" s="71">
        <v>81897710001</v>
      </c>
      <c r="F175" s="71" t="s">
        <v>816</v>
      </c>
    </row>
    <row r="176" spans="1:6">
      <c r="A176" s="82">
        <v>50</v>
      </c>
      <c r="B176" s="82">
        <v>1</v>
      </c>
      <c r="C176" s="75" t="s">
        <v>644</v>
      </c>
      <c r="D176" s="71" t="s">
        <v>313</v>
      </c>
      <c r="E176" s="71">
        <v>81897710001</v>
      </c>
      <c r="F176" s="71" t="s">
        <v>816</v>
      </c>
    </row>
    <row r="177" spans="1:6">
      <c r="A177" s="82">
        <v>51</v>
      </c>
      <c r="B177" s="82">
        <v>1</v>
      </c>
      <c r="C177" s="75" t="s">
        <v>154</v>
      </c>
      <c r="D177" s="71" t="s">
        <v>155</v>
      </c>
      <c r="E177" s="71">
        <v>81897710001</v>
      </c>
      <c r="F177" s="71" t="s">
        <v>816</v>
      </c>
    </row>
    <row r="178" spans="1:6" ht="15">
      <c r="A178" s="82">
        <v>52</v>
      </c>
      <c r="B178" s="83">
        <v>2</v>
      </c>
      <c r="C178" s="76" t="s">
        <v>589</v>
      </c>
      <c r="D178" s="73" t="s">
        <v>810</v>
      </c>
      <c r="E178" s="68">
        <v>81897719006</v>
      </c>
      <c r="F178" s="71" t="s">
        <v>816</v>
      </c>
    </row>
    <row r="179" spans="1:6" ht="15">
      <c r="A179" s="82">
        <v>53</v>
      </c>
      <c r="B179" s="83">
        <v>2</v>
      </c>
      <c r="C179" s="76" t="s">
        <v>590</v>
      </c>
      <c r="D179" s="73" t="s">
        <v>811</v>
      </c>
      <c r="E179" s="68">
        <v>81897719006</v>
      </c>
      <c r="F179" s="71" t="s">
        <v>816</v>
      </c>
    </row>
    <row r="180" spans="1:6">
      <c r="A180" s="82">
        <v>54</v>
      </c>
      <c r="B180" s="83">
        <v>2</v>
      </c>
      <c r="C180" s="76" t="s">
        <v>791</v>
      </c>
      <c r="D180" s="68" t="s">
        <v>315</v>
      </c>
      <c r="E180" s="68">
        <v>81897710001</v>
      </c>
      <c r="F180" s="71" t="s">
        <v>816</v>
      </c>
    </row>
    <row r="181" spans="1:6">
      <c r="A181" s="82">
        <v>55</v>
      </c>
      <c r="B181" s="82">
        <v>2</v>
      </c>
      <c r="C181" s="75" t="s">
        <v>792</v>
      </c>
      <c r="D181" s="71" t="s">
        <v>317</v>
      </c>
      <c r="E181" s="71">
        <v>81897710001</v>
      </c>
      <c r="F181" s="71" t="s">
        <v>816</v>
      </c>
    </row>
    <row r="182" spans="1:6">
      <c r="A182" s="82">
        <v>56</v>
      </c>
      <c r="B182" s="82">
        <v>2</v>
      </c>
      <c r="C182" s="75" t="s">
        <v>619</v>
      </c>
      <c r="D182" s="71" t="s">
        <v>319</v>
      </c>
      <c r="E182" s="71">
        <v>81897710001</v>
      </c>
      <c r="F182" s="71" t="s">
        <v>816</v>
      </c>
    </row>
    <row r="183" spans="1:6">
      <c r="A183" s="82">
        <v>57</v>
      </c>
      <c r="B183" s="82">
        <v>2</v>
      </c>
      <c r="C183" s="75" t="s">
        <v>620</v>
      </c>
      <c r="D183" s="71" t="s">
        <v>321</v>
      </c>
      <c r="E183" s="71">
        <v>81897710001</v>
      </c>
      <c r="F183" s="71" t="s">
        <v>816</v>
      </c>
    </row>
    <row r="184" spans="1:6">
      <c r="A184" s="82">
        <v>58</v>
      </c>
      <c r="B184" s="82">
        <v>1</v>
      </c>
      <c r="C184" s="75" t="s">
        <v>323</v>
      </c>
      <c r="D184" s="71" t="s">
        <v>324</v>
      </c>
      <c r="E184" s="71">
        <v>81897710001</v>
      </c>
      <c r="F184" s="71" t="s">
        <v>816</v>
      </c>
    </row>
    <row r="185" spans="1:6">
      <c r="A185" s="82">
        <v>59</v>
      </c>
      <c r="B185" s="82">
        <v>1</v>
      </c>
      <c r="C185" s="75" t="s">
        <v>326</v>
      </c>
      <c r="D185" s="71" t="s">
        <v>327</v>
      </c>
      <c r="E185" s="71">
        <v>81897710001</v>
      </c>
      <c r="F185" s="71" t="s">
        <v>816</v>
      </c>
    </row>
    <row r="186" spans="1:6">
      <c r="A186" s="82">
        <v>60</v>
      </c>
      <c r="B186" s="82">
        <v>1</v>
      </c>
      <c r="C186" s="75" t="s">
        <v>329</v>
      </c>
      <c r="D186" s="71" t="s">
        <v>330</v>
      </c>
      <c r="E186" s="71">
        <v>81897710001</v>
      </c>
      <c r="F186" s="71" t="s">
        <v>816</v>
      </c>
    </row>
    <row r="187" spans="1:6">
      <c r="A187" s="82">
        <v>61</v>
      </c>
      <c r="B187" s="82">
        <v>4</v>
      </c>
      <c r="C187" s="75" t="s">
        <v>332</v>
      </c>
      <c r="D187" s="71" t="s">
        <v>333</v>
      </c>
      <c r="E187" s="71">
        <v>81897710001</v>
      </c>
      <c r="F187" s="71" t="s">
        <v>816</v>
      </c>
    </row>
    <row r="188" spans="1:6">
      <c r="A188" s="82">
        <v>62</v>
      </c>
      <c r="B188" s="82">
        <v>1</v>
      </c>
      <c r="C188" s="75" t="s">
        <v>621</v>
      </c>
      <c r="D188" s="71" t="s">
        <v>277</v>
      </c>
      <c r="E188" s="71">
        <v>81897710018</v>
      </c>
      <c r="F188" s="71" t="s">
        <v>816</v>
      </c>
    </row>
    <row r="189" spans="1:6">
      <c r="A189" s="82">
        <v>63</v>
      </c>
      <c r="B189" s="82">
        <v>1</v>
      </c>
      <c r="C189" s="75" t="s">
        <v>622</v>
      </c>
      <c r="D189" s="71" t="s">
        <v>279</v>
      </c>
      <c r="E189" s="71">
        <v>81897710018</v>
      </c>
      <c r="F189" s="71" t="s">
        <v>816</v>
      </c>
    </row>
    <row r="190" spans="1:6">
      <c r="A190" s="82">
        <v>64</v>
      </c>
      <c r="B190" s="82">
        <v>1</v>
      </c>
      <c r="C190" s="75" t="s">
        <v>594</v>
      </c>
      <c r="D190" s="71" t="s">
        <v>50</v>
      </c>
      <c r="E190" s="71">
        <v>81897710018</v>
      </c>
      <c r="F190" s="71" t="s">
        <v>816</v>
      </c>
    </row>
    <row r="191" spans="1:6">
      <c r="A191" s="82">
        <v>65</v>
      </c>
      <c r="B191" s="82">
        <v>1</v>
      </c>
      <c r="C191" s="75" t="s">
        <v>596</v>
      </c>
      <c r="D191" s="71" t="s">
        <v>54</v>
      </c>
      <c r="E191" s="71">
        <v>81897710018</v>
      </c>
      <c r="F191" s="71" t="s">
        <v>816</v>
      </c>
    </row>
    <row r="192" spans="1:6">
      <c r="A192" s="82">
        <v>66</v>
      </c>
      <c r="B192" s="82">
        <v>1</v>
      </c>
      <c r="C192" s="75" t="s">
        <v>597</v>
      </c>
      <c r="D192" s="71" t="s">
        <v>56</v>
      </c>
      <c r="E192" s="71">
        <v>81897710018</v>
      </c>
      <c r="F192" s="71" t="s">
        <v>816</v>
      </c>
    </row>
    <row r="193" spans="1:6">
      <c r="A193" s="82">
        <v>67</v>
      </c>
      <c r="B193" s="82">
        <v>1</v>
      </c>
      <c r="C193" s="75" t="s">
        <v>598</v>
      </c>
      <c r="D193" s="71" t="s">
        <v>58</v>
      </c>
      <c r="E193" s="71">
        <v>81897710018</v>
      </c>
      <c r="F193" s="71" t="s">
        <v>816</v>
      </c>
    </row>
    <row r="194" spans="1:6">
      <c r="A194" s="82">
        <v>68</v>
      </c>
      <c r="B194" s="82">
        <v>1</v>
      </c>
      <c r="C194" s="75" t="s">
        <v>612</v>
      </c>
      <c r="D194" s="71" t="s">
        <v>60</v>
      </c>
      <c r="E194" s="71">
        <v>81897710018</v>
      </c>
      <c r="F194" s="71" t="s">
        <v>816</v>
      </c>
    </row>
    <row r="195" spans="1:6">
      <c r="A195" s="82">
        <v>69</v>
      </c>
      <c r="B195" s="82">
        <v>1</v>
      </c>
      <c r="C195" s="75" t="s">
        <v>613</v>
      </c>
      <c r="D195" s="71" t="s">
        <v>62</v>
      </c>
      <c r="E195" s="71">
        <v>81897710018</v>
      </c>
      <c r="F195" s="71" t="s">
        <v>816</v>
      </c>
    </row>
    <row r="196" spans="1:6">
      <c r="A196" s="82">
        <v>70</v>
      </c>
      <c r="B196" s="82">
        <v>1</v>
      </c>
      <c r="C196" s="75" t="s">
        <v>614</v>
      </c>
      <c r="D196" s="71" t="s">
        <v>337</v>
      </c>
      <c r="E196" s="71">
        <v>81897710018</v>
      </c>
      <c r="F196" s="71" t="s">
        <v>816</v>
      </c>
    </row>
    <row r="197" spans="1:6">
      <c r="A197" s="82">
        <v>71</v>
      </c>
      <c r="B197" s="82">
        <v>1</v>
      </c>
      <c r="C197" s="75" t="s">
        <v>615</v>
      </c>
      <c r="D197" s="71" t="s">
        <v>339</v>
      </c>
      <c r="E197" s="71">
        <v>81897710018</v>
      </c>
      <c r="F197" s="71" t="s">
        <v>816</v>
      </c>
    </row>
    <row r="198" spans="1:6">
      <c r="A198" s="82">
        <v>72</v>
      </c>
      <c r="B198" s="82">
        <v>1</v>
      </c>
      <c r="C198" s="75" t="s">
        <v>616</v>
      </c>
      <c r="D198" s="71" t="s">
        <v>341</v>
      </c>
      <c r="E198" s="71">
        <v>81897710018</v>
      </c>
      <c r="F198" s="71" t="s">
        <v>816</v>
      </c>
    </row>
    <row r="199" spans="1:6">
      <c r="A199" s="82">
        <v>73</v>
      </c>
      <c r="B199" s="82">
        <v>1</v>
      </c>
      <c r="C199" s="75" t="s">
        <v>617</v>
      </c>
      <c r="D199" s="71" t="s">
        <v>343</v>
      </c>
      <c r="E199" s="71">
        <v>81897710018</v>
      </c>
      <c r="F199" s="71" t="s">
        <v>816</v>
      </c>
    </row>
    <row r="200" spans="1:6">
      <c r="A200" s="82">
        <v>74</v>
      </c>
      <c r="B200" s="82">
        <v>1</v>
      </c>
      <c r="C200" s="75" t="s">
        <v>618</v>
      </c>
      <c r="D200" s="71" t="s">
        <v>345</v>
      </c>
      <c r="E200" s="71">
        <v>81897710018</v>
      </c>
      <c r="F200" s="71" t="s">
        <v>816</v>
      </c>
    </row>
    <row r="201" spans="1:6">
      <c r="A201" s="82">
        <v>75</v>
      </c>
      <c r="B201" s="82">
        <v>1</v>
      </c>
      <c r="C201" s="75" t="s">
        <v>605</v>
      </c>
      <c r="D201" s="71" t="s">
        <v>184</v>
      </c>
      <c r="E201" s="71">
        <v>81897710018</v>
      </c>
      <c r="F201" s="71" t="s">
        <v>816</v>
      </c>
    </row>
    <row r="202" spans="1:6">
      <c r="A202" s="82">
        <v>76</v>
      </c>
      <c r="B202" s="82">
        <v>1</v>
      </c>
      <c r="C202" s="75" t="s">
        <v>606</v>
      </c>
      <c r="D202" s="71" t="s">
        <v>348</v>
      </c>
      <c r="E202" s="71">
        <v>81897710018</v>
      </c>
      <c r="F202" s="71" t="s">
        <v>816</v>
      </c>
    </row>
    <row r="203" spans="1:6">
      <c r="A203" s="82">
        <v>77</v>
      </c>
      <c r="B203" s="82">
        <v>1</v>
      </c>
      <c r="C203" s="75" t="s">
        <v>607</v>
      </c>
      <c r="D203" s="71" t="s">
        <v>350</v>
      </c>
      <c r="E203" s="71">
        <v>81897710018</v>
      </c>
      <c r="F203" s="71" t="s">
        <v>816</v>
      </c>
    </row>
    <row r="204" spans="1:6">
      <c r="A204" s="82">
        <v>78</v>
      </c>
      <c r="B204" s="82">
        <v>1</v>
      </c>
      <c r="C204" s="75" t="s">
        <v>608</v>
      </c>
      <c r="D204" s="71" t="s">
        <v>352</v>
      </c>
      <c r="E204" s="71">
        <v>81897710018</v>
      </c>
      <c r="F204" s="71" t="s">
        <v>816</v>
      </c>
    </row>
    <row r="205" spans="1:6">
      <c r="A205" s="82">
        <v>79</v>
      </c>
      <c r="B205" s="82">
        <v>1</v>
      </c>
      <c r="C205" s="75" t="s">
        <v>609</v>
      </c>
      <c r="D205" s="71" t="s">
        <v>354</v>
      </c>
      <c r="E205" s="71">
        <v>81897710018</v>
      </c>
      <c r="F205" s="71" t="s">
        <v>816</v>
      </c>
    </row>
    <row r="206" spans="1:6">
      <c r="A206" s="82">
        <v>80</v>
      </c>
      <c r="B206" s="82">
        <v>1</v>
      </c>
      <c r="C206" s="75" t="s">
        <v>610</v>
      </c>
      <c r="D206" s="71" t="s">
        <v>356</v>
      </c>
      <c r="E206" s="71">
        <v>81897710018</v>
      </c>
      <c r="F206" s="71" t="s">
        <v>816</v>
      </c>
    </row>
    <row r="207" spans="1:6">
      <c r="A207" s="82">
        <v>81</v>
      </c>
      <c r="B207" s="82">
        <v>1</v>
      </c>
      <c r="C207" s="75" t="s">
        <v>611</v>
      </c>
      <c r="D207" s="71" t="s">
        <v>358</v>
      </c>
      <c r="E207" s="71">
        <v>81897710018</v>
      </c>
      <c r="F207" s="71" t="s">
        <v>816</v>
      </c>
    </row>
    <row r="208" spans="1:6" ht="28.5">
      <c r="A208" s="82">
        <v>82</v>
      </c>
      <c r="B208" s="83">
        <v>4</v>
      </c>
      <c r="C208" s="76" t="s">
        <v>846</v>
      </c>
      <c r="D208" s="68" t="s">
        <v>144</v>
      </c>
      <c r="E208" s="68" t="s">
        <v>26</v>
      </c>
      <c r="F208" s="71" t="s">
        <v>816</v>
      </c>
    </row>
    <row r="209" spans="1:6">
      <c r="A209" s="124"/>
      <c r="B209" s="124"/>
      <c r="C209" s="77" t="s">
        <v>514</v>
      </c>
      <c r="D209" s="84"/>
      <c r="E209" s="84"/>
      <c r="F209" s="79"/>
    </row>
    <row r="210" spans="1:6">
      <c r="A210" s="80" t="s">
        <v>0</v>
      </c>
      <c r="B210" s="80" t="s">
        <v>509</v>
      </c>
      <c r="C210" s="74" t="s">
        <v>848</v>
      </c>
      <c r="D210" s="81" t="s">
        <v>1</v>
      </c>
      <c r="E210" s="81" t="s">
        <v>2</v>
      </c>
      <c r="F210" s="81" t="s">
        <v>815</v>
      </c>
    </row>
    <row r="211" spans="1:6">
      <c r="A211" s="82">
        <v>1</v>
      </c>
      <c r="B211" s="82">
        <v>2</v>
      </c>
      <c r="C211" s="75" t="s">
        <v>799</v>
      </c>
      <c r="D211" s="71" t="s">
        <v>405</v>
      </c>
      <c r="E211" s="71">
        <v>81897710023</v>
      </c>
      <c r="F211" s="71" t="s">
        <v>816</v>
      </c>
    </row>
    <row r="212" spans="1:6">
      <c r="A212" s="82">
        <v>2</v>
      </c>
      <c r="B212" s="82">
        <v>2</v>
      </c>
      <c r="C212" s="75" t="s">
        <v>837</v>
      </c>
      <c r="D212" s="71" t="s">
        <v>407</v>
      </c>
      <c r="E212" s="71">
        <v>81897710023</v>
      </c>
      <c r="F212" s="71" t="s">
        <v>816</v>
      </c>
    </row>
    <row r="213" spans="1:6">
      <c r="A213" s="82">
        <v>3</v>
      </c>
      <c r="B213" s="82">
        <v>1</v>
      </c>
      <c r="C213" s="75" t="s">
        <v>838</v>
      </c>
      <c r="D213" s="71" t="s">
        <v>409</v>
      </c>
      <c r="E213" s="71">
        <v>81897710023</v>
      </c>
      <c r="F213" s="71" t="s">
        <v>816</v>
      </c>
    </row>
    <row r="214" spans="1:6">
      <c r="A214" s="82">
        <v>4</v>
      </c>
      <c r="B214" s="82">
        <v>6</v>
      </c>
      <c r="C214" s="75" t="s">
        <v>655</v>
      </c>
      <c r="D214" s="71" t="s">
        <v>217</v>
      </c>
      <c r="E214" s="71">
        <v>81897710001</v>
      </c>
      <c r="F214" s="71" t="s">
        <v>816</v>
      </c>
    </row>
    <row r="215" spans="1:6">
      <c r="A215" s="82">
        <v>5</v>
      </c>
      <c r="B215" s="82">
        <v>6</v>
      </c>
      <c r="C215" s="75" t="s">
        <v>656</v>
      </c>
      <c r="D215" s="71" t="s">
        <v>214</v>
      </c>
      <c r="E215" s="71">
        <v>81897710001</v>
      </c>
      <c r="F215" s="71" t="s">
        <v>816</v>
      </c>
    </row>
    <row r="216" spans="1:6">
      <c r="A216" s="82">
        <v>6</v>
      </c>
      <c r="B216" s="82">
        <v>4</v>
      </c>
      <c r="C216" s="75" t="s">
        <v>645</v>
      </c>
      <c r="D216" s="71" t="s">
        <v>220</v>
      </c>
      <c r="E216" s="71">
        <v>81897710001</v>
      </c>
      <c r="F216" s="71" t="s">
        <v>816</v>
      </c>
    </row>
    <row r="217" spans="1:6">
      <c r="A217" s="82">
        <v>7</v>
      </c>
      <c r="B217" s="82">
        <v>4</v>
      </c>
      <c r="C217" s="75" t="s">
        <v>839</v>
      </c>
      <c r="D217" s="71" t="s">
        <v>411</v>
      </c>
      <c r="E217" s="71">
        <v>81897710001</v>
      </c>
      <c r="F217" s="71" t="s">
        <v>816</v>
      </c>
    </row>
    <row r="218" spans="1:6">
      <c r="A218" s="82">
        <v>8</v>
      </c>
      <c r="B218" s="82">
        <v>2</v>
      </c>
      <c r="C218" s="75" t="s">
        <v>158</v>
      </c>
      <c r="D218" s="71" t="s">
        <v>159</v>
      </c>
      <c r="E218" s="71">
        <v>81897710023</v>
      </c>
      <c r="F218" s="71" t="s">
        <v>816</v>
      </c>
    </row>
    <row r="219" spans="1:6">
      <c r="A219" s="82">
        <v>9</v>
      </c>
      <c r="B219" s="82">
        <v>2</v>
      </c>
      <c r="C219" s="75" t="s">
        <v>414</v>
      </c>
      <c r="D219" s="71" t="s">
        <v>415</v>
      </c>
      <c r="E219" s="71">
        <v>81897710023</v>
      </c>
      <c r="F219" s="71" t="s">
        <v>816</v>
      </c>
    </row>
    <row r="220" spans="1:6">
      <c r="A220" s="82">
        <v>10</v>
      </c>
      <c r="B220" s="82">
        <v>2</v>
      </c>
      <c r="C220" s="75" t="s">
        <v>417</v>
      </c>
      <c r="D220" s="71" t="s">
        <v>418</v>
      </c>
      <c r="E220" s="71">
        <v>81897710023</v>
      </c>
      <c r="F220" s="71" t="s">
        <v>816</v>
      </c>
    </row>
    <row r="221" spans="1:6">
      <c r="A221" s="82">
        <v>11</v>
      </c>
      <c r="B221" s="82">
        <v>2</v>
      </c>
      <c r="C221" s="75" t="s">
        <v>420</v>
      </c>
      <c r="D221" s="71" t="s">
        <v>421</v>
      </c>
      <c r="E221" s="71">
        <v>81897710012</v>
      </c>
      <c r="F221" s="71" t="s">
        <v>816</v>
      </c>
    </row>
    <row r="222" spans="1:6">
      <c r="A222" s="82">
        <v>12</v>
      </c>
      <c r="B222" s="82">
        <v>2</v>
      </c>
      <c r="C222" s="75" t="s">
        <v>423</v>
      </c>
      <c r="D222" s="71" t="s">
        <v>424</v>
      </c>
      <c r="E222" s="71">
        <v>81897710012</v>
      </c>
      <c r="F222" s="71" t="s">
        <v>816</v>
      </c>
    </row>
    <row r="223" spans="1:6">
      <c r="A223" s="82">
        <v>13</v>
      </c>
      <c r="B223" s="82">
        <v>2</v>
      </c>
      <c r="C223" s="75" t="s">
        <v>426</v>
      </c>
      <c r="D223" s="71" t="s">
        <v>427</v>
      </c>
      <c r="E223" s="71">
        <v>81897710012</v>
      </c>
      <c r="F223" s="71" t="s">
        <v>816</v>
      </c>
    </row>
    <row r="224" spans="1:6">
      <c r="A224" s="82">
        <v>14</v>
      </c>
      <c r="B224" s="82">
        <v>2</v>
      </c>
      <c r="C224" s="75" t="s">
        <v>567</v>
      </c>
      <c r="D224" s="71" t="s">
        <v>6</v>
      </c>
      <c r="E224" s="71">
        <v>81897710023</v>
      </c>
      <c r="F224" s="71" t="s">
        <v>816</v>
      </c>
    </row>
    <row r="225" spans="1:6">
      <c r="A225" s="82">
        <v>15</v>
      </c>
      <c r="B225" s="82">
        <v>1</v>
      </c>
      <c r="C225" s="75" t="s">
        <v>657</v>
      </c>
      <c r="D225" s="71" t="s">
        <v>428</v>
      </c>
      <c r="E225" s="71">
        <v>81897710012</v>
      </c>
      <c r="F225" s="71" t="s">
        <v>816</v>
      </c>
    </row>
    <row r="226" spans="1:6">
      <c r="A226" s="82">
        <v>16</v>
      </c>
      <c r="B226" s="82">
        <v>1</v>
      </c>
      <c r="C226" s="75" t="s">
        <v>658</v>
      </c>
      <c r="D226" s="71" t="s">
        <v>430</v>
      </c>
      <c r="E226" s="71">
        <v>81897710012</v>
      </c>
      <c r="F226" s="71" t="s">
        <v>816</v>
      </c>
    </row>
    <row r="227" spans="1:6">
      <c r="A227" s="82">
        <v>17</v>
      </c>
      <c r="B227" s="82">
        <v>1</v>
      </c>
      <c r="C227" s="75" t="s">
        <v>659</v>
      </c>
      <c r="D227" s="71" t="s">
        <v>327</v>
      </c>
      <c r="E227" s="71">
        <v>81897710001</v>
      </c>
      <c r="F227" s="71" t="s">
        <v>816</v>
      </c>
    </row>
    <row r="228" spans="1:6">
      <c r="A228" s="82">
        <v>18</v>
      </c>
      <c r="B228" s="82">
        <v>1</v>
      </c>
      <c r="C228" s="75" t="s">
        <v>660</v>
      </c>
      <c r="D228" s="71" t="s">
        <v>330</v>
      </c>
      <c r="E228" s="71">
        <v>81897710001</v>
      </c>
      <c r="F228" s="71" t="s">
        <v>816</v>
      </c>
    </row>
    <row r="229" spans="1:6">
      <c r="A229" s="82">
        <v>19</v>
      </c>
      <c r="B229" s="82">
        <v>1</v>
      </c>
      <c r="C229" s="75" t="s">
        <v>661</v>
      </c>
      <c r="D229" s="71" t="s">
        <v>434</v>
      </c>
      <c r="E229" s="71">
        <v>81897710012</v>
      </c>
      <c r="F229" s="71" t="s">
        <v>816</v>
      </c>
    </row>
    <row r="230" spans="1:6">
      <c r="A230" s="82">
        <v>20</v>
      </c>
      <c r="B230" s="82">
        <v>1</v>
      </c>
      <c r="C230" s="75" t="s">
        <v>662</v>
      </c>
      <c r="D230" s="71" t="s">
        <v>436</v>
      </c>
      <c r="E230" s="71">
        <v>81897710012</v>
      </c>
      <c r="F230" s="71" t="s">
        <v>816</v>
      </c>
    </row>
    <row r="231" spans="1:6">
      <c r="A231" s="82">
        <v>21</v>
      </c>
      <c r="B231" s="82">
        <v>1</v>
      </c>
      <c r="C231" s="75" t="s">
        <v>663</v>
      </c>
      <c r="D231" s="71" t="s">
        <v>438</v>
      </c>
      <c r="E231" s="71">
        <v>81897710012</v>
      </c>
      <c r="F231" s="71" t="s">
        <v>816</v>
      </c>
    </row>
    <row r="232" spans="1:6">
      <c r="A232" s="82">
        <v>22</v>
      </c>
      <c r="B232" s="82">
        <v>1</v>
      </c>
      <c r="C232" s="75" t="s">
        <v>664</v>
      </c>
      <c r="D232" s="71" t="s">
        <v>105</v>
      </c>
      <c r="E232" s="71">
        <v>81897710018</v>
      </c>
      <c r="F232" s="71" t="s">
        <v>816</v>
      </c>
    </row>
    <row r="233" spans="1:6">
      <c r="A233" s="82">
        <v>23</v>
      </c>
      <c r="B233" s="82">
        <v>1</v>
      </c>
      <c r="C233" s="75" t="s">
        <v>665</v>
      </c>
      <c r="D233" s="71" t="s">
        <v>306</v>
      </c>
      <c r="E233" s="71">
        <v>81897710018</v>
      </c>
      <c r="F233" s="71" t="s">
        <v>816</v>
      </c>
    </row>
    <row r="234" spans="1:6">
      <c r="A234" s="82">
        <v>24</v>
      </c>
      <c r="B234" s="82">
        <v>2</v>
      </c>
      <c r="C234" s="75" t="s">
        <v>441</v>
      </c>
      <c r="D234" s="71" t="s">
        <v>442</v>
      </c>
      <c r="E234" s="71">
        <v>81897710017</v>
      </c>
      <c r="F234" s="71" t="s">
        <v>816</v>
      </c>
    </row>
    <row r="235" spans="1:6">
      <c r="A235" s="82">
        <v>25</v>
      </c>
      <c r="B235" s="82">
        <v>1</v>
      </c>
      <c r="C235" s="75" t="s">
        <v>444</v>
      </c>
      <c r="D235" s="71" t="s">
        <v>445</v>
      </c>
      <c r="E235" s="71">
        <v>81897710017</v>
      </c>
      <c r="F235" s="71" t="s">
        <v>816</v>
      </c>
    </row>
    <row r="236" spans="1:6">
      <c r="A236" s="82">
        <v>26</v>
      </c>
      <c r="B236" s="82">
        <v>1</v>
      </c>
      <c r="C236" s="75" t="s">
        <v>447</v>
      </c>
      <c r="D236" s="71" t="s">
        <v>448</v>
      </c>
      <c r="E236" s="71">
        <v>81897710017</v>
      </c>
      <c r="F236" s="71" t="s">
        <v>816</v>
      </c>
    </row>
    <row r="237" spans="1:6">
      <c r="A237" s="82">
        <v>27</v>
      </c>
      <c r="B237" s="82">
        <v>2</v>
      </c>
      <c r="C237" s="75" t="s">
        <v>625</v>
      </c>
      <c r="D237" s="71" t="s">
        <v>237</v>
      </c>
      <c r="E237" s="71">
        <v>81897710001</v>
      </c>
      <c r="F237" s="71" t="s">
        <v>816</v>
      </c>
    </row>
    <row r="238" spans="1:6">
      <c r="A238" s="82">
        <v>28</v>
      </c>
      <c r="B238" s="82">
        <v>2</v>
      </c>
      <c r="C238" s="75" t="s">
        <v>666</v>
      </c>
      <c r="D238" s="71" t="s">
        <v>451</v>
      </c>
      <c r="E238" s="71">
        <v>81897710001</v>
      </c>
      <c r="F238" s="71" t="s">
        <v>816</v>
      </c>
    </row>
    <row r="239" spans="1:6">
      <c r="A239" s="82">
        <v>29</v>
      </c>
      <c r="B239" s="82">
        <v>1</v>
      </c>
      <c r="C239" s="75" t="s">
        <v>800</v>
      </c>
      <c r="D239" s="71" t="s">
        <v>239</v>
      </c>
      <c r="E239" s="71">
        <v>81897710018</v>
      </c>
      <c r="F239" s="71" t="s">
        <v>816</v>
      </c>
    </row>
    <row r="240" spans="1:6">
      <c r="A240" s="82">
        <v>30</v>
      </c>
      <c r="B240" s="82">
        <v>1</v>
      </c>
      <c r="C240" s="75" t="s">
        <v>593</v>
      </c>
      <c r="D240" s="71" t="s">
        <v>139</v>
      </c>
      <c r="E240" s="71">
        <v>81897710018</v>
      </c>
      <c r="F240" s="71" t="s">
        <v>816</v>
      </c>
    </row>
    <row r="241" spans="1:6">
      <c r="A241" s="82">
        <v>31</v>
      </c>
      <c r="B241" s="82">
        <v>6</v>
      </c>
      <c r="C241" s="75" t="s">
        <v>801</v>
      </c>
      <c r="D241" s="71" t="s">
        <v>10</v>
      </c>
      <c r="E241" s="71">
        <v>81897710001</v>
      </c>
      <c r="F241" s="71" t="s">
        <v>816</v>
      </c>
    </row>
    <row r="242" spans="1:6">
      <c r="A242" s="82">
        <v>32</v>
      </c>
      <c r="B242" s="83">
        <v>4</v>
      </c>
      <c r="C242" s="76" t="s">
        <v>667</v>
      </c>
      <c r="D242" s="68" t="s">
        <v>366</v>
      </c>
      <c r="E242" s="68">
        <v>81897710001</v>
      </c>
      <c r="F242" s="71" t="s">
        <v>816</v>
      </c>
    </row>
    <row r="243" spans="1:6" ht="28.5">
      <c r="A243" s="82">
        <v>33</v>
      </c>
      <c r="B243" s="83">
        <v>1</v>
      </c>
      <c r="C243" s="76" t="s">
        <v>846</v>
      </c>
      <c r="D243" s="68" t="s">
        <v>144</v>
      </c>
      <c r="E243" s="68" t="s">
        <v>26</v>
      </c>
      <c r="F243" s="71" t="s">
        <v>816</v>
      </c>
    </row>
    <row r="244" spans="1:6">
      <c r="A244" s="124"/>
      <c r="B244" s="124"/>
      <c r="C244" s="77" t="s">
        <v>545</v>
      </c>
      <c r="D244" s="84"/>
      <c r="E244" s="84"/>
      <c r="F244" s="79"/>
    </row>
    <row r="245" spans="1:6">
      <c r="A245" s="80" t="s">
        <v>0</v>
      </c>
      <c r="B245" s="80" t="s">
        <v>509</v>
      </c>
      <c r="C245" s="74" t="s">
        <v>848</v>
      </c>
      <c r="D245" s="81" t="s">
        <v>1</v>
      </c>
      <c r="E245" s="81" t="s">
        <v>2</v>
      </c>
      <c r="F245" s="81" t="s">
        <v>815</v>
      </c>
    </row>
    <row r="246" spans="1:6">
      <c r="A246" s="82">
        <v>1</v>
      </c>
      <c r="B246" s="82">
        <v>2</v>
      </c>
      <c r="C246" s="75" t="s">
        <v>802</v>
      </c>
      <c r="D246" s="71" t="s">
        <v>194</v>
      </c>
      <c r="E246" s="71">
        <v>81897710023</v>
      </c>
      <c r="F246" s="71" t="s">
        <v>816</v>
      </c>
    </row>
    <row r="247" spans="1:6">
      <c r="A247" s="82">
        <v>2</v>
      </c>
      <c r="B247" s="82">
        <v>2</v>
      </c>
      <c r="C247" s="75" t="s">
        <v>840</v>
      </c>
      <c r="D247" s="71" t="s">
        <v>458</v>
      </c>
      <c r="E247" s="71">
        <v>81897710023</v>
      </c>
      <c r="F247" s="71" t="s">
        <v>816</v>
      </c>
    </row>
    <row r="248" spans="1:6">
      <c r="A248" s="82">
        <v>3</v>
      </c>
      <c r="B248" s="82">
        <v>2</v>
      </c>
      <c r="C248" s="75" t="s">
        <v>829</v>
      </c>
      <c r="D248" s="71" t="s">
        <v>208</v>
      </c>
      <c r="E248" s="71">
        <v>81897710023</v>
      </c>
      <c r="F248" s="71" t="s">
        <v>816</v>
      </c>
    </row>
    <row r="249" spans="1:6">
      <c r="A249" s="82">
        <v>4</v>
      </c>
      <c r="B249" s="83">
        <v>2</v>
      </c>
      <c r="C249" s="76" t="s">
        <v>21</v>
      </c>
      <c r="D249" s="68" t="s">
        <v>22</v>
      </c>
      <c r="E249" s="68">
        <v>81897719003</v>
      </c>
      <c r="F249" s="71" t="s">
        <v>816</v>
      </c>
    </row>
    <row r="250" spans="1:6">
      <c r="A250" s="82">
        <v>5</v>
      </c>
      <c r="B250" s="82">
        <v>2</v>
      </c>
      <c r="C250" s="75" t="s">
        <v>668</v>
      </c>
      <c r="D250" s="71" t="s">
        <v>299</v>
      </c>
      <c r="E250" s="71">
        <v>81897710001</v>
      </c>
      <c r="F250" s="71" t="s">
        <v>816</v>
      </c>
    </row>
    <row r="251" spans="1:6">
      <c r="A251" s="82">
        <v>6</v>
      </c>
      <c r="B251" s="82">
        <v>5</v>
      </c>
      <c r="C251" s="75" t="s">
        <v>669</v>
      </c>
      <c r="D251" s="71" t="s">
        <v>16</v>
      </c>
      <c r="E251" s="71">
        <v>81897710001</v>
      </c>
      <c r="F251" s="71" t="s">
        <v>816</v>
      </c>
    </row>
    <row r="252" spans="1:6">
      <c r="A252" s="82">
        <v>7</v>
      </c>
      <c r="B252" s="82">
        <v>5</v>
      </c>
      <c r="C252" s="75" t="s">
        <v>670</v>
      </c>
      <c r="D252" s="71" t="s">
        <v>217</v>
      </c>
      <c r="E252" s="71">
        <v>81897710001</v>
      </c>
      <c r="F252" s="71" t="s">
        <v>816</v>
      </c>
    </row>
    <row r="253" spans="1:6">
      <c r="A253" s="82">
        <v>8</v>
      </c>
      <c r="B253" s="82">
        <v>5</v>
      </c>
      <c r="C253" s="75" t="s">
        <v>803</v>
      </c>
      <c r="D253" s="71" t="s">
        <v>465</v>
      </c>
      <c r="E253" s="71">
        <v>81897710001</v>
      </c>
      <c r="F253" s="71" t="s">
        <v>816</v>
      </c>
    </row>
    <row r="254" spans="1:6">
      <c r="A254" s="82">
        <v>9</v>
      </c>
      <c r="B254" s="82">
        <v>5</v>
      </c>
      <c r="C254" s="75" t="s">
        <v>667</v>
      </c>
      <c r="D254" s="71" t="s">
        <v>366</v>
      </c>
      <c r="E254" s="71">
        <v>81897710001</v>
      </c>
      <c r="F254" s="71" t="s">
        <v>816</v>
      </c>
    </row>
    <row r="255" spans="1:6">
      <c r="A255" s="82">
        <v>10</v>
      </c>
      <c r="B255" s="82">
        <v>1</v>
      </c>
      <c r="C255" s="75" t="s">
        <v>841</v>
      </c>
      <c r="D255" s="71" t="s">
        <v>169</v>
      </c>
      <c r="E255" s="71">
        <v>81897710001</v>
      </c>
      <c r="F255" s="71" t="s">
        <v>816</v>
      </c>
    </row>
    <row r="256" spans="1:6">
      <c r="A256" s="82">
        <v>11</v>
      </c>
      <c r="B256" s="82">
        <v>4</v>
      </c>
      <c r="C256" s="75" t="s">
        <v>671</v>
      </c>
      <c r="D256" s="71" t="s">
        <v>469</v>
      </c>
      <c r="E256" s="71">
        <v>81897710001</v>
      </c>
      <c r="F256" s="71" t="s">
        <v>816</v>
      </c>
    </row>
    <row r="257" spans="1:6">
      <c r="A257" s="82">
        <v>12</v>
      </c>
      <c r="B257" s="82">
        <v>4</v>
      </c>
      <c r="C257" s="75" t="s">
        <v>672</v>
      </c>
      <c r="D257" s="71" t="s">
        <v>471</v>
      </c>
      <c r="E257" s="71">
        <v>81897710001</v>
      </c>
      <c r="F257" s="71" t="s">
        <v>816</v>
      </c>
    </row>
    <row r="258" spans="1:6">
      <c r="A258" s="82">
        <v>13</v>
      </c>
      <c r="B258" s="82">
        <v>4</v>
      </c>
      <c r="C258" s="75" t="s">
        <v>673</v>
      </c>
      <c r="D258" s="71" t="s">
        <v>473</v>
      </c>
      <c r="E258" s="71">
        <v>81897710001</v>
      </c>
      <c r="F258" s="71" t="s">
        <v>816</v>
      </c>
    </row>
    <row r="259" spans="1:6">
      <c r="A259" s="82">
        <v>14</v>
      </c>
      <c r="B259" s="82">
        <v>2</v>
      </c>
      <c r="C259" s="75" t="s">
        <v>674</v>
      </c>
      <c r="D259" s="71" t="s">
        <v>475</v>
      </c>
      <c r="E259" s="71">
        <v>81897710001</v>
      </c>
      <c r="F259" s="71" t="s">
        <v>816</v>
      </c>
    </row>
    <row r="260" spans="1:6">
      <c r="A260" s="82">
        <v>15</v>
      </c>
      <c r="B260" s="82">
        <v>2</v>
      </c>
      <c r="C260" s="75" t="s">
        <v>675</v>
      </c>
      <c r="D260" s="71" t="s">
        <v>235</v>
      </c>
      <c r="E260" s="71">
        <v>81897710001</v>
      </c>
      <c r="F260" s="71" t="s">
        <v>816</v>
      </c>
    </row>
    <row r="261" spans="1:6">
      <c r="A261" s="82">
        <v>16</v>
      </c>
      <c r="B261" s="82">
        <v>4</v>
      </c>
      <c r="C261" s="75" t="s">
        <v>842</v>
      </c>
      <c r="D261" s="71" t="s">
        <v>411</v>
      </c>
      <c r="E261" s="71">
        <v>81897710001</v>
      </c>
      <c r="F261" s="71" t="s">
        <v>816</v>
      </c>
    </row>
    <row r="262" spans="1:6">
      <c r="A262" s="82">
        <v>17</v>
      </c>
      <c r="B262" s="82">
        <v>1</v>
      </c>
      <c r="C262" s="75" t="s">
        <v>629</v>
      </c>
      <c r="D262" s="71" t="s">
        <v>246</v>
      </c>
      <c r="E262" s="71">
        <v>81897710017</v>
      </c>
      <c r="F262" s="71" t="s">
        <v>816</v>
      </c>
    </row>
    <row r="263" spans="1:6">
      <c r="A263" s="82">
        <v>18</v>
      </c>
      <c r="B263" s="82">
        <v>1</v>
      </c>
      <c r="C263" s="75" t="s">
        <v>630</v>
      </c>
      <c r="D263" s="71" t="s">
        <v>249</v>
      </c>
      <c r="E263" s="71">
        <v>81897710017</v>
      </c>
      <c r="F263" s="71" t="s">
        <v>816</v>
      </c>
    </row>
    <row r="264" spans="1:6">
      <c r="A264" s="82">
        <v>19</v>
      </c>
      <c r="B264" s="82">
        <v>2</v>
      </c>
      <c r="C264" s="75" t="s">
        <v>676</v>
      </c>
      <c r="D264" s="71" t="s">
        <v>442</v>
      </c>
      <c r="E264" s="71">
        <v>81897710017</v>
      </c>
      <c r="F264" s="71" t="s">
        <v>816</v>
      </c>
    </row>
    <row r="265" spans="1:6">
      <c r="A265" s="82">
        <v>20</v>
      </c>
      <c r="B265" s="82">
        <v>1</v>
      </c>
      <c r="C265" s="75" t="s">
        <v>593</v>
      </c>
      <c r="D265" s="71" t="s">
        <v>139</v>
      </c>
      <c r="E265" s="71">
        <v>81897710018</v>
      </c>
      <c r="F265" s="71" t="s">
        <v>816</v>
      </c>
    </row>
    <row r="266" spans="1:6">
      <c r="A266" s="82">
        <v>21</v>
      </c>
      <c r="B266" s="82">
        <v>1</v>
      </c>
      <c r="C266" s="75" t="s">
        <v>804</v>
      </c>
      <c r="D266" s="71" t="s">
        <v>82</v>
      </c>
      <c r="E266" s="71">
        <v>81897710018</v>
      </c>
      <c r="F266" s="71" t="s">
        <v>816</v>
      </c>
    </row>
    <row r="267" spans="1:6">
      <c r="A267" s="82">
        <v>22</v>
      </c>
      <c r="B267" s="82">
        <v>2</v>
      </c>
      <c r="C267" s="75" t="s">
        <v>677</v>
      </c>
      <c r="D267" s="71" t="s">
        <v>162</v>
      </c>
      <c r="E267" s="71">
        <v>81897710023</v>
      </c>
      <c r="F267" s="71" t="s">
        <v>816</v>
      </c>
    </row>
    <row r="268" spans="1:6">
      <c r="A268" s="82">
        <v>23</v>
      </c>
      <c r="B268" s="82">
        <v>2</v>
      </c>
      <c r="C268" s="75" t="s">
        <v>158</v>
      </c>
      <c r="D268" s="71" t="s">
        <v>159</v>
      </c>
      <c r="E268" s="71">
        <v>81897710023</v>
      </c>
      <c r="F268" s="71" t="s">
        <v>816</v>
      </c>
    </row>
    <row r="269" spans="1:6">
      <c r="A269" s="82">
        <v>24</v>
      </c>
      <c r="B269" s="82">
        <v>2</v>
      </c>
      <c r="C269" s="75" t="s">
        <v>678</v>
      </c>
      <c r="D269" s="71" t="s">
        <v>380</v>
      </c>
      <c r="E269" s="71">
        <v>81897710023</v>
      </c>
      <c r="F269" s="71" t="s">
        <v>816</v>
      </c>
    </row>
    <row r="270" spans="1:6">
      <c r="A270" s="82">
        <v>25</v>
      </c>
      <c r="B270" s="82">
        <v>2</v>
      </c>
      <c r="C270" s="75" t="s">
        <v>483</v>
      </c>
      <c r="D270" s="71" t="s">
        <v>484</v>
      </c>
      <c r="E270" s="71">
        <v>81897710001</v>
      </c>
      <c r="F270" s="71" t="s">
        <v>816</v>
      </c>
    </row>
    <row r="271" spans="1:6">
      <c r="A271" s="82">
        <v>26</v>
      </c>
      <c r="B271" s="82">
        <v>1</v>
      </c>
      <c r="C271" s="75" t="s">
        <v>679</v>
      </c>
      <c r="D271" s="71" t="s">
        <v>486</v>
      </c>
      <c r="E271" s="71">
        <v>81897710001</v>
      </c>
      <c r="F271" s="71" t="s">
        <v>816</v>
      </c>
    </row>
    <row r="272" spans="1:6">
      <c r="A272" s="82">
        <v>27</v>
      </c>
      <c r="B272" s="82">
        <v>1</v>
      </c>
      <c r="C272" s="75" t="s">
        <v>805</v>
      </c>
      <c r="D272" s="71" t="s">
        <v>487</v>
      </c>
      <c r="E272" s="71">
        <v>81897710001</v>
      </c>
      <c r="F272" s="71" t="s">
        <v>816</v>
      </c>
    </row>
    <row r="273" spans="1:6">
      <c r="A273" s="82">
        <v>28</v>
      </c>
      <c r="B273" s="82">
        <v>1</v>
      </c>
      <c r="C273" s="75" t="s">
        <v>806</v>
      </c>
      <c r="D273" s="71" t="s">
        <v>488</v>
      </c>
      <c r="E273" s="71">
        <v>81897710001</v>
      </c>
      <c r="F273" s="71" t="s">
        <v>816</v>
      </c>
    </row>
    <row r="274" spans="1:6">
      <c r="A274" s="82">
        <v>29</v>
      </c>
      <c r="B274" s="82">
        <v>1</v>
      </c>
      <c r="C274" s="75" t="s">
        <v>807</v>
      </c>
      <c r="D274" s="71" t="s">
        <v>72</v>
      </c>
      <c r="E274" s="71">
        <v>81897710001</v>
      </c>
      <c r="F274" s="71" t="s">
        <v>816</v>
      </c>
    </row>
    <row r="275" spans="1:6">
      <c r="A275" s="82">
        <v>30</v>
      </c>
      <c r="B275" s="82">
        <v>1</v>
      </c>
      <c r="C275" s="75" t="s">
        <v>680</v>
      </c>
      <c r="D275" s="71" t="s">
        <v>491</v>
      </c>
      <c r="E275" s="71">
        <v>81897710023</v>
      </c>
      <c r="F275" s="71" t="s">
        <v>816</v>
      </c>
    </row>
    <row r="276" spans="1:6">
      <c r="A276" s="82">
        <v>31</v>
      </c>
      <c r="B276" s="82">
        <v>1</v>
      </c>
      <c r="C276" s="75" t="s">
        <v>681</v>
      </c>
      <c r="D276" s="71" t="s">
        <v>184</v>
      </c>
      <c r="E276" s="71">
        <v>81897710018</v>
      </c>
      <c r="F276" s="71" t="s">
        <v>816</v>
      </c>
    </row>
    <row r="277" spans="1:6">
      <c r="A277" s="82">
        <v>32</v>
      </c>
      <c r="B277" s="82">
        <v>1</v>
      </c>
      <c r="C277" s="75" t="s">
        <v>595</v>
      </c>
      <c r="D277" s="71" t="s">
        <v>52</v>
      </c>
      <c r="E277" s="71">
        <v>81897710018</v>
      </c>
      <c r="F277" s="71" t="s">
        <v>816</v>
      </c>
    </row>
    <row r="278" spans="1:6">
      <c r="A278" s="82">
        <v>33</v>
      </c>
      <c r="B278" s="82">
        <v>1</v>
      </c>
      <c r="C278" s="75" t="s">
        <v>634</v>
      </c>
      <c r="D278" s="71" t="s">
        <v>60</v>
      </c>
      <c r="E278" s="71">
        <v>81897710018</v>
      </c>
      <c r="F278" s="71" t="s">
        <v>816</v>
      </c>
    </row>
    <row r="279" spans="1:6">
      <c r="A279" s="82">
        <v>34</v>
      </c>
      <c r="B279" s="82">
        <v>1</v>
      </c>
      <c r="C279" s="75" t="s">
        <v>496</v>
      </c>
      <c r="D279" s="71" t="s">
        <v>497</v>
      </c>
      <c r="E279" s="71">
        <v>81897710018</v>
      </c>
      <c r="F279" s="71" t="s">
        <v>816</v>
      </c>
    </row>
    <row r="280" spans="1:6">
      <c r="A280" s="82">
        <v>35</v>
      </c>
      <c r="B280" s="82">
        <v>1</v>
      </c>
      <c r="C280" s="75" t="s">
        <v>498</v>
      </c>
      <c r="D280" s="71" t="s">
        <v>499</v>
      </c>
      <c r="E280" s="71">
        <v>81897710018</v>
      </c>
      <c r="F280" s="71" t="s">
        <v>816</v>
      </c>
    </row>
    <row r="281" spans="1:6">
      <c r="A281" s="82">
        <v>36</v>
      </c>
      <c r="B281" s="82">
        <v>1</v>
      </c>
      <c r="C281" s="75" t="s">
        <v>682</v>
      </c>
      <c r="D281" s="71" t="s">
        <v>501</v>
      </c>
      <c r="E281" s="71">
        <v>81897710018</v>
      </c>
      <c r="F281" s="71" t="s">
        <v>816</v>
      </c>
    </row>
    <row r="282" spans="1:6">
      <c r="A282" s="82">
        <v>37</v>
      </c>
      <c r="B282" s="82">
        <v>1</v>
      </c>
      <c r="C282" s="75" t="s">
        <v>582</v>
      </c>
      <c r="D282" s="71" t="s">
        <v>105</v>
      </c>
      <c r="E282" s="71">
        <v>81897710018</v>
      </c>
      <c r="F282" s="71" t="s">
        <v>816</v>
      </c>
    </row>
    <row r="283" spans="1:6">
      <c r="A283" s="82">
        <v>38</v>
      </c>
      <c r="B283" s="82">
        <v>1</v>
      </c>
      <c r="C283" s="75" t="s">
        <v>683</v>
      </c>
      <c r="D283" s="71" t="s">
        <v>306</v>
      </c>
      <c r="E283" s="71">
        <v>81897710018</v>
      </c>
      <c r="F283" s="71" t="s">
        <v>816</v>
      </c>
    </row>
    <row r="284" spans="1:6">
      <c r="A284" s="82">
        <v>39</v>
      </c>
      <c r="B284" s="82">
        <v>1</v>
      </c>
      <c r="C284" s="75" t="s">
        <v>684</v>
      </c>
      <c r="D284" s="71" t="s">
        <v>505</v>
      </c>
      <c r="E284" s="71">
        <v>81897710018</v>
      </c>
      <c r="F284" s="71" t="s">
        <v>816</v>
      </c>
    </row>
    <row r="285" spans="1:6">
      <c r="A285" s="82">
        <v>40</v>
      </c>
      <c r="B285" s="82">
        <v>1</v>
      </c>
      <c r="C285" s="75" t="s">
        <v>685</v>
      </c>
      <c r="D285" s="71" t="s">
        <v>275</v>
      </c>
      <c r="E285" s="71">
        <v>81897710023</v>
      </c>
      <c r="F285" s="71" t="s">
        <v>816</v>
      </c>
    </row>
    <row r="286" spans="1:6" ht="28.5">
      <c r="A286" s="82">
        <v>41</v>
      </c>
      <c r="B286" s="83">
        <v>1</v>
      </c>
      <c r="C286" s="76" t="s">
        <v>847</v>
      </c>
      <c r="D286" s="68" t="s">
        <v>507</v>
      </c>
      <c r="E286" s="68" t="s">
        <v>26</v>
      </c>
      <c r="F286" s="71" t="s">
        <v>816</v>
      </c>
    </row>
  </sheetData>
  <mergeCells count="5">
    <mergeCell ref="A209:B209"/>
    <mergeCell ref="A244:B244"/>
    <mergeCell ref="A1:B1"/>
    <mergeCell ref="A66:B66"/>
    <mergeCell ref="A125:B125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opLeftCell="A4" workbookViewId="0">
      <selection activeCell="B30" sqref="B30"/>
    </sheetView>
  </sheetViews>
  <sheetFormatPr defaultRowHeight="15"/>
  <cols>
    <col min="1" max="1" width="5.875" style="6" customWidth="1"/>
    <col min="2" max="2" width="26.625" style="6" customWidth="1"/>
    <col min="3" max="3" width="4.375" style="6" bestFit="1" customWidth="1"/>
    <col min="4" max="4" width="35.625" style="6" bestFit="1" customWidth="1"/>
    <col min="5" max="5" width="13.375" style="6" bestFit="1" customWidth="1"/>
    <col min="6" max="6" width="15" style="6" bestFit="1" customWidth="1"/>
    <col min="7" max="7" width="2.375" style="6" customWidth="1"/>
  </cols>
  <sheetData>
    <row r="1" spans="2:7">
      <c r="E1" s="128"/>
      <c r="F1" s="128"/>
      <c r="G1" s="128"/>
    </row>
    <row r="8" spans="2:7">
      <c r="D8" s="129" t="s">
        <v>515</v>
      </c>
      <c r="E8" s="129"/>
    </row>
    <row r="9" spans="2:7">
      <c r="D9" s="129"/>
      <c r="E9" s="129"/>
    </row>
    <row r="10" spans="2:7">
      <c r="D10" s="129"/>
      <c r="E10" s="129"/>
    </row>
    <row r="11" spans="2:7">
      <c r="C11" s="7"/>
      <c r="D11" s="8"/>
      <c r="E11" s="8"/>
      <c r="F11"/>
      <c r="G11"/>
    </row>
    <row r="12" spans="2:7">
      <c r="B12" s="9" t="s">
        <v>516</v>
      </c>
      <c r="C12" s="130" t="s">
        <v>517</v>
      </c>
      <c r="D12" s="131"/>
      <c r="E12" s="9" t="s">
        <v>518</v>
      </c>
      <c r="F12" s="11"/>
      <c r="G12" s="12"/>
    </row>
    <row r="13" spans="2:7">
      <c r="B13" s="13" t="s">
        <v>519</v>
      </c>
      <c r="C13" s="131"/>
      <c r="D13" s="131"/>
      <c r="E13" s="13" t="s">
        <v>520</v>
      </c>
      <c r="F13" s="10" t="s">
        <v>521</v>
      </c>
      <c r="G13" s="12"/>
    </row>
    <row r="15" spans="2:7">
      <c r="B15" s="14" t="s">
        <v>522</v>
      </c>
      <c r="C15" s="14" t="s">
        <v>523</v>
      </c>
      <c r="D15" s="14" t="s">
        <v>524</v>
      </c>
      <c r="E15" s="14" t="s">
        <v>525</v>
      </c>
      <c r="F15" s="14" t="s">
        <v>526</v>
      </c>
    </row>
    <row r="16" spans="2:7">
      <c r="B16" s="15">
        <v>1</v>
      </c>
      <c r="C16" s="15">
        <v>1</v>
      </c>
      <c r="D16" s="16" t="s">
        <v>508</v>
      </c>
      <c r="E16" s="17">
        <f>cotação!H66</f>
        <v>112820.75650000002</v>
      </c>
      <c r="F16" s="18">
        <f t="shared" ref="F16:F21" si="0">C16*E16</f>
        <v>112820.75650000002</v>
      </c>
    </row>
    <row r="17" spans="2:6">
      <c r="B17" s="15">
        <v>2</v>
      </c>
      <c r="C17" s="15">
        <v>1</v>
      </c>
      <c r="D17" s="16" t="s">
        <v>511</v>
      </c>
      <c r="E17" s="17">
        <f>cotação!H126</f>
        <v>109431.3188478261</v>
      </c>
      <c r="F17" s="18">
        <f t="shared" si="0"/>
        <v>109431.3188478261</v>
      </c>
    </row>
    <row r="18" spans="2:6">
      <c r="B18" s="15">
        <v>3</v>
      </c>
      <c r="C18" s="15">
        <v>3</v>
      </c>
      <c r="D18" s="16" t="s">
        <v>512</v>
      </c>
      <c r="E18" s="17">
        <f>cotação!H211</f>
        <v>140964.96852173912</v>
      </c>
      <c r="F18" s="18">
        <f t="shared" si="0"/>
        <v>422894.90556521737</v>
      </c>
    </row>
    <row r="19" spans="2:6">
      <c r="B19" s="15">
        <v>4</v>
      </c>
      <c r="C19" s="15">
        <v>2</v>
      </c>
      <c r="D19" s="16" t="s">
        <v>527</v>
      </c>
      <c r="E19" s="17">
        <f>cotação!H253</f>
        <v>43947.362934782606</v>
      </c>
      <c r="F19" s="18">
        <f t="shared" si="0"/>
        <v>87894.725869565213</v>
      </c>
    </row>
    <row r="20" spans="2:6">
      <c r="B20" s="15">
        <v>5</v>
      </c>
      <c r="C20" s="15">
        <v>2</v>
      </c>
      <c r="D20" s="16" t="s">
        <v>528</v>
      </c>
      <c r="E20" s="17">
        <f>cotação!H289</f>
        <v>51271.35230434782</v>
      </c>
      <c r="F20" s="18">
        <f t="shared" si="0"/>
        <v>102542.70460869564</v>
      </c>
    </row>
    <row r="21" spans="2:6">
      <c r="B21" s="15">
        <v>6</v>
      </c>
      <c r="C21" s="15">
        <v>4</v>
      </c>
      <c r="D21" s="16" t="s">
        <v>529</v>
      </c>
      <c r="E21" s="17">
        <f>cotação!H334</f>
        <v>55080.859673913044</v>
      </c>
      <c r="F21" s="18">
        <f t="shared" si="0"/>
        <v>220323.43869565218</v>
      </c>
    </row>
    <row r="22" spans="2:6">
      <c r="D22" s="132" t="s">
        <v>530</v>
      </c>
      <c r="E22" s="132"/>
      <c r="F22" s="19">
        <f>SUM(F16:F21)</f>
        <v>1055907.8500869565</v>
      </c>
    </row>
    <row r="25" spans="2:6" ht="15.75">
      <c r="B25" s="20" t="s">
        <v>531</v>
      </c>
    </row>
    <row r="26" spans="2:6">
      <c r="B26" s="21"/>
    </row>
    <row r="27" spans="2:6">
      <c r="B27" s="7" t="s">
        <v>532</v>
      </c>
      <c r="D27" s="6" t="s">
        <v>533</v>
      </c>
    </row>
    <row r="28" spans="2:6">
      <c r="B28" s="7" t="s">
        <v>534</v>
      </c>
      <c r="D28" s="6" t="s">
        <v>535</v>
      </c>
    </row>
    <row r="29" spans="2:6">
      <c r="B29" s="7" t="s">
        <v>536</v>
      </c>
      <c r="D29" s="6" t="s">
        <v>537</v>
      </c>
    </row>
    <row r="30" spans="2:6">
      <c r="B30" s="7" t="s">
        <v>538</v>
      </c>
      <c r="D30" s="6" t="s">
        <v>539</v>
      </c>
    </row>
    <row r="31" spans="2:6">
      <c r="B31" s="7" t="s">
        <v>540</v>
      </c>
      <c r="D31" s="6" t="s">
        <v>541</v>
      </c>
    </row>
    <row r="32" spans="2:6">
      <c r="B32" s="7"/>
    </row>
    <row r="33" spans="2:6">
      <c r="B33" s="127" t="s">
        <v>542</v>
      </c>
      <c r="C33" s="127"/>
      <c r="D33" s="127"/>
      <c r="E33" s="127"/>
      <c r="F33" s="127"/>
    </row>
    <row r="35" spans="2:6" ht="15.75">
      <c r="B35" s="20" t="s">
        <v>543</v>
      </c>
    </row>
    <row r="38" spans="2:6" ht="15.75">
      <c r="B38" s="20" t="s">
        <v>544</v>
      </c>
    </row>
  </sheetData>
  <mergeCells count="6">
    <mergeCell ref="B33:F33"/>
    <mergeCell ref="E1:G1"/>
    <mergeCell ref="D8:E10"/>
    <mergeCell ref="C12:D12"/>
    <mergeCell ref="C13:D13"/>
    <mergeCell ref="D22:E2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5"/>
  <sheetViews>
    <sheetView workbookViewId="0">
      <selection activeCell="A2" sqref="A2:G8"/>
    </sheetView>
  </sheetViews>
  <sheetFormatPr defaultColWidth="9.125" defaultRowHeight="14.25"/>
  <cols>
    <col min="1" max="1" width="5.125" style="27" customWidth="1"/>
    <col min="2" max="2" width="45.25" style="27" customWidth="1"/>
    <col min="3" max="3" width="8.375" style="27" bestFit="1" customWidth="1"/>
    <col min="4" max="4" width="10.125" style="27" bestFit="1" customWidth="1"/>
    <col min="5" max="5" width="20.25" style="27" bestFit="1" customWidth="1"/>
    <col min="6" max="6" width="19.625" style="27" customWidth="1"/>
    <col min="7" max="7" width="14.125" style="27" customWidth="1"/>
    <col min="8" max="16384" width="9.125" style="27"/>
  </cols>
  <sheetData>
    <row r="2" spans="1:7">
      <c r="A2" s="25" t="s">
        <v>546</v>
      </c>
      <c r="B2" s="25" t="s">
        <v>547</v>
      </c>
      <c r="C2" s="25" t="s">
        <v>548</v>
      </c>
      <c r="D2" s="25" t="s">
        <v>549</v>
      </c>
      <c r="E2" s="25" t="s">
        <v>550</v>
      </c>
      <c r="F2" s="25" t="s">
        <v>551</v>
      </c>
      <c r="G2" s="26"/>
    </row>
    <row r="3" spans="1:7">
      <c r="A3" s="28">
        <v>1</v>
      </c>
      <c r="B3" s="29" t="s">
        <v>552</v>
      </c>
      <c r="C3" s="28">
        <v>395938</v>
      </c>
      <c r="D3" s="28">
        <v>5153298</v>
      </c>
      <c r="E3" s="25" t="s">
        <v>553</v>
      </c>
      <c r="F3" s="28">
        <v>1</v>
      </c>
      <c r="G3" s="30"/>
    </row>
    <row r="4" spans="1:7" ht="15">
      <c r="A4" s="28">
        <v>2</v>
      </c>
      <c r="B4" s="31" t="s">
        <v>554</v>
      </c>
      <c r="C4" s="28">
        <v>395938</v>
      </c>
      <c r="D4" s="28">
        <v>5745659</v>
      </c>
      <c r="E4" s="25" t="s">
        <v>553</v>
      </c>
      <c r="F4" s="28">
        <v>1</v>
      </c>
      <c r="G4" s="32"/>
    </row>
    <row r="5" spans="1:7" ht="15">
      <c r="A5" s="28">
        <v>3</v>
      </c>
      <c r="B5" s="31" t="s">
        <v>555</v>
      </c>
      <c r="C5" s="28">
        <v>395938</v>
      </c>
      <c r="D5" s="28">
        <v>5745640</v>
      </c>
      <c r="E5" s="25" t="s">
        <v>553</v>
      </c>
      <c r="F5" s="28">
        <v>3</v>
      </c>
      <c r="G5" s="32"/>
    </row>
    <row r="6" spans="1:7" ht="15">
      <c r="A6" s="28">
        <v>4</v>
      </c>
      <c r="B6" s="31" t="s">
        <v>556</v>
      </c>
      <c r="C6" s="28">
        <v>395938</v>
      </c>
      <c r="D6" s="28">
        <v>5151724</v>
      </c>
      <c r="E6" s="25" t="s">
        <v>553</v>
      </c>
      <c r="F6" s="28">
        <v>2</v>
      </c>
      <c r="G6" s="32"/>
    </row>
    <row r="7" spans="1:7" ht="15">
      <c r="A7" s="28">
        <v>5</v>
      </c>
      <c r="B7" s="31" t="s">
        <v>557</v>
      </c>
      <c r="C7" s="28">
        <v>395939</v>
      </c>
      <c r="D7" s="28">
        <v>5826560</v>
      </c>
      <c r="E7" s="25" t="s">
        <v>553</v>
      </c>
      <c r="F7" s="28">
        <v>2</v>
      </c>
      <c r="G7" s="32"/>
    </row>
    <row r="8" spans="1:7" ht="15">
      <c r="A8" s="28">
        <v>6</v>
      </c>
      <c r="B8" s="33" t="s">
        <v>558</v>
      </c>
      <c r="C8" s="28">
        <v>395938</v>
      </c>
      <c r="D8" s="28">
        <v>5825601</v>
      </c>
      <c r="E8" s="25" t="s">
        <v>553</v>
      </c>
      <c r="F8" s="28">
        <v>4</v>
      </c>
      <c r="G8" s="34"/>
    </row>
    <row r="9" spans="1:7">
      <c r="A9" s="35"/>
      <c r="B9" s="35"/>
      <c r="C9" s="35"/>
      <c r="D9" s="35"/>
      <c r="E9" s="35"/>
      <c r="F9" s="35"/>
      <c r="G9" s="35"/>
    </row>
    <row r="10" spans="1:7">
      <c r="A10" s="35"/>
      <c r="B10" s="35"/>
      <c r="C10" s="35"/>
      <c r="D10" s="35"/>
      <c r="E10" s="35"/>
      <c r="F10" s="35"/>
      <c r="G10" s="35"/>
    </row>
    <row r="11" spans="1:7">
      <c r="A11" s="35"/>
      <c r="B11" s="35"/>
      <c r="C11" s="35"/>
      <c r="D11" s="35"/>
      <c r="E11" s="35"/>
      <c r="F11" s="35"/>
      <c r="G11" s="35"/>
    </row>
    <row r="12" spans="1:7">
      <c r="A12" s="35"/>
      <c r="B12" s="35"/>
      <c r="C12" s="35"/>
      <c r="D12" s="35"/>
      <c r="E12" s="35"/>
      <c r="F12" s="35"/>
      <c r="G12" s="35"/>
    </row>
    <row r="13" spans="1:7">
      <c r="A13" s="35"/>
      <c r="B13" s="35"/>
      <c r="C13" s="35"/>
      <c r="D13" s="35"/>
      <c r="E13" s="35"/>
      <c r="F13" s="35"/>
      <c r="G13" s="35"/>
    </row>
    <row r="14" spans="1:7">
      <c r="A14" s="35"/>
      <c r="B14" s="35"/>
      <c r="C14" s="35"/>
      <c r="D14" s="35"/>
      <c r="E14" s="35"/>
      <c r="F14" s="35"/>
      <c r="G14" s="35"/>
    </row>
    <row r="15" spans="1:7">
      <c r="A15" s="35"/>
      <c r="B15" s="35"/>
      <c r="C15" s="35"/>
      <c r="D15" s="35"/>
      <c r="E15" s="35"/>
      <c r="F15" s="35"/>
      <c r="G15" s="35"/>
    </row>
    <row r="16" spans="1:7">
      <c r="A16" s="35"/>
      <c r="B16" s="35"/>
      <c r="C16" s="35"/>
      <c r="D16" s="35"/>
      <c r="E16" s="35"/>
      <c r="F16" s="35"/>
      <c r="G16" s="35"/>
    </row>
    <row r="17" spans="1:7">
      <c r="A17" s="35"/>
      <c r="B17" s="35"/>
      <c r="C17" s="35"/>
      <c r="D17" s="35"/>
      <c r="E17" s="35"/>
      <c r="F17" s="35"/>
      <c r="G17" s="35"/>
    </row>
    <row r="18" spans="1:7">
      <c r="A18" s="35"/>
      <c r="B18" s="35"/>
      <c r="C18" s="35"/>
      <c r="D18" s="35"/>
      <c r="E18" s="35"/>
      <c r="F18" s="35"/>
      <c r="G18" s="35"/>
    </row>
    <row r="19" spans="1:7">
      <c r="A19" s="35"/>
      <c r="B19" s="35"/>
      <c r="C19" s="35"/>
      <c r="D19" s="35"/>
      <c r="E19" s="35"/>
      <c r="F19" s="35"/>
      <c r="G19" s="35"/>
    </row>
    <row r="20" spans="1:7">
      <c r="A20" s="35"/>
      <c r="B20" s="35"/>
      <c r="C20" s="35"/>
      <c r="D20" s="35"/>
      <c r="E20" s="35"/>
      <c r="F20" s="35"/>
      <c r="G20" s="35"/>
    </row>
    <row r="21" spans="1:7">
      <c r="A21" s="35"/>
      <c r="B21" s="35"/>
      <c r="C21" s="35"/>
      <c r="D21" s="35"/>
      <c r="E21" s="35"/>
      <c r="F21" s="35"/>
      <c r="G21" s="35"/>
    </row>
    <row r="22" spans="1:7">
      <c r="A22" s="35"/>
      <c r="B22" s="35"/>
      <c r="C22" s="35"/>
      <c r="D22" s="35"/>
      <c r="E22" s="35"/>
      <c r="F22" s="35"/>
      <c r="G22" s="35"/>
    </row>
    <row r="23" spans="1:7">
      <c r="A23" s="35"/>
      <c r="B23" s="35"/>
      <c r="C23" s="35"/>
      <c r="D23" s="35"/>
      <c r="E23" s="35"/>
      <c r="F23" s="35"/>
      <c r="G23" s="35"/>
    </row>
    <row r="24" spans="1:7">
      <c r="A24" s="35"/>
      <c r="B24" s="35"/>
      <c r="C24" s="35"/>
      <c r="D24" s="35"/>
      <c r="E24" s="35"/>
      <c r="F24" s="35"/>
      <c r="G24" s="35"/>
    </row>
    <row r="25" spans="1:7">
      <c r="A25" s="35"/>
      <c r="B25" s="35"/>
      <c r="C25" s="35"/>
      <c r="D25" s="35"/>
      <c r="E25" s="35"/>
      <c r="F25" s="35"/>
      <c r="G25" s="35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5"/>
  <sheetViews>
    <sheetView workbookViewId="0">
      <selection activeCell="J17" sqref="J17"/>
    </sheetView>
  </sheetViews>
  <sheetFormatPr defaultRowHeight="14.25"/>
  <cols>
    <col min="1" max="1" width="10.875" style="69" bestFit="1" customWidth="1"/>
    <col min="2" max="2" width="13.25" style="69" bestFit="1" customWidth="1"/>
  </cols>
  <sheetData>
    <row r="1" spans="1:2">
      <c r="A1" s="81" t="s">
        <v>1</v>
      </c>
      <c r="B1" s="81" t="s">
        <v>2</v>
      </c>
    </row>
    <row r="2" spans="1:2">
      <c r="A2" s="71">
        <v>11602</v>
      </c>
      <c r="B2" s="71">
        <v>81087610008</v>
      </c>
    </row>
    <row r="3" spans="1:2">
      <c r="A3" s="71" t="s">
        <v>37</v>
      </c>
      <c r="B3" s="71">
        <v>81897710001</v>
      </c>
    </row>
    <row r="4" spans="1:2">
      <c r="A4" s="71" t="s">
        <v>10</v>
      </c>
      <c r="B4" s="71">
        <v>81897710001</v>
      </c>
    </row>
    <row r="5" spans="1:2">
      <c r="A5" s="71" t="s">
        <v>40</v>
      </c>
      <c r="B5" s="71">
        <v>81897710001</v>
      </c>
    </row>
    <row r="6" spans="1:2">
      <c r="A6" s="71" t="s">
        <v>42</v>
      </c>
      <c r="B6" s="71">
        <v>81897710001</v>
      </c>
    </row>
    <row r="7" spans="1:2">
      <c r="A7" s="71" t="s">
        <v>44</v>
      </c>
      <c r="B7" s="71">
        <v>81897710001</v>
      </c>
    </row>
    <row r="8" spans="1:2">
      <c r="A8" s="71" t="s">
        <v>46</v>
      </c>
      <c r="B8" s="71">
        <v>81897710001</v>
      </c>
    </row>
    <row r="9" spans="1:2">
      <c r="A9" s="71" t="s">
        <v>48</v>
      </c>
      <c r="B9" s="71">
        <v>81897710001</v>
      </c>
    </row>
    <row r="10" spans="1:2">
      <c r="A10" s="71" t="s">
        <v>69</v>
      </c>
      <c r="B10" s="71">
        <v>81897710001</v>
      </c>
    </row>
    <row r="11" spans="1:2">
      <c r="A11" s="71" t="s">
        <v>40</v>
      </c>
      <c r="B11" s="71">
        <v>81897710001</v>
      </c>
    </row>
    <row r="12" spans="1:2">
      <c r="A12" s="71" t="s">
        <v>72</v>
      </c>
      <c r="B12" s="71">
        <v>81897710001</v>
      </c>
    </row>
    <row r="13" spans="1:2">
      <c r="A13" s="71" t="s">
        <v>74</v>
      </c>
      <c r="B13" s="71">
        <v>81897710001</v>
      </c>
    </row>
    <row r="14" spans="1:2">
      <c r="A14" s="71" t="s">
        <v>76</v>
      </c>
      <c r="B14" s="71">
        <v>81897710001</v>
      </c>
    </row>
    <row r="15" spans="1:2">
      <c r="A15" s="71" t="s">
        <v>19</v>
      </c>
      <c r="B15" s="71">
        <v>81897710001</v>
      </c>
    </row>
    <row r="16" spans="1:2">
      <c r="A16" s="71" t="s">
        <v>109</v>
      </c>
      <c r="B16" s="71">
        <v>81897710001</v>
      </c>
    </row>
    <row r="17" spans="1:2">
      <c r="A17" s="71" t="s">
        <v>111</v>
      </c>
      <c r="B17" s="71">
        <v>81897710001</v>
      </c>
    </row>
    <row r="18" spans="1:2">
      <c r="A18" s="71" t="s">
        <v>113</v>
      </c>
      <c r="B18" s="71">
        <v>81897710001</v>
      </c>
    </row>
    <row r="19" spans="1:2">
      <c r="A19" s="71" t="s">
        <v>115</v>
      </c>
      <c r="B19" s="71">
        <v>81897710001</v>
      </c>
    </row>
    <row r="20" spans="1:2">
      <c r="A20" s="71" t="s">
        <v>121</v>
      </c>
      <c r="B20" s="71">
        <v>81897710001</v>
      </c>
    </row>
    <row r="21" spans="1:2">
      <c r="A21" s="71" t="s">
        <v>123</v>
      </c>
      <c r="B21" s="71">
        <v>81897710001</v>
      </c>
    </row>
    <row r="22" spans="1:2">
      <c r="A22" s="71" t="s">
        <v>125</v>
      </c>
      <c r="B22" s="71">
        <v>81897710001</v>
      </c>
    </row>
    <row r="23" spans="1:2">
      <c r="A23" s="71" t="s">
        <v>127</v>
      </c>
      <c r="B23" s="71">
        <v>81897710001</v>
      </c>
    </row>
    <row r="24" spans="1:2">
      <c r="A24" s="71" t="s">
        <v>145</v>
      </c>
      <c r="B24" s="71">
        <v>81897710001</v>
      </c>
    </row>
    <row r="25" spans="1:2">
      <c r="A25" s="71" t="s">
        <v>155</v>
      </c>
      <c r="B25" s="71">
        <v>81897710001</v>
      </c>
    </row>
    <row r="26" spans="1:2">
      <c r="A26" s="70" t="s">
        <v>765</v>
      </c>
      <c r="B26" s="71">
        <v>81897710001</v>
      </c>
    </row>
    <row r="27" spans="1:2">
      <c r="A27" s="71" t="s">
        <v>187</v>
      </c>
      <c r="B27" s="71">
        <v>81897710001</v>
      </c>
    </row>
    <row r="28" spans="1:2">
      <c r="A28" s="71" t="s">
        <v>189</v>
      </c>
      <c r="B28" s="71">
        <v>81897710001</v>
      </c>
    </row>
    <row r="29" spans="1:2">
      <c r="A29" s="71" t="s">
        <v>44</v>
      </c>
      <c r="B29" s="71">
        <v>81897710001</v>
      </c>
    </row>
    <row r="30" spans="1:2">
      <c r="A30" s="71" t="s">
        <v>37</v>
      </c>
      <c r="B30" s="71">
        <v>81897710001</v>
      </c>
    </row>
    <row r="31" spans="1:2">
      <c r="A31" s="71" t="s">
        <v>192</v>
      </c>
      <c r="B31" s="85">
        <v>81897710001</v>
      </c>
    </row>
    <row r="32" spans="1:2">
      <c r="A32" s="71" t="s">
        <v>200</v>
      </c>
      <c r="B32" s="71">
        <v>81897710001</v>
      </c>
    </row>
    <row r="33" spans="1:2">
      <c r="A33" s="71" t="s">
        <v>687</v>
      </c>
      <c r="B33" s="71">
        <v>81897710001</v>
      </c>
    </row>
    <row r="34" spans="1:2">
      <c r="A34" s="71" t="s">
        <v>688</v>
      </c>
      <c r="B34" s="71">
        <v>81897710001</v>
      </c>
    </row>
    <row r="35" spans="1:2">
      <c r="A35" s="71" t="s">
        <v>16</v>
      </c>
      <c r="B35" s="71">
        <v>81897710001</v>
      </c>
    </row>
    <row r="36" spans="1:2">
      <c r="A36" s="71" t="s">
        <v>214</v>
      </c>
      <c r="B36" s="71">
        <v>81897710001</v>
      </c>
    </row>
    <row r="37" spans="1:2">
      <c r="A37" s="71" t="s">
        <v>217</v>
      </c>
      <c r="B37" s="71">
        <v>81897710001</v>
      </c>
    </row>
    <row r="38" spans="1:2">
      <c r="A38" s="71" t="s">
        <v>220</v>
      </c>
      <c r="B38" s="71">
        <v>81897710001</v>
      </c>
    </row>
    <row r="39" spans="1:2">
      <c r="A39" s="71" t="s">
        <v>223</v>
      </c>
      <c r="B39" s="71">
        <v>81897710001</v>
      </c>
    </row>
    <row r="40" spans="1:2">
      <c r="A40" s="71" t="s">
        <v>225</v>
      </c>
      <c r="B40" s="71">
        <v>81897710001</v>
      </c>
    </row>
    <row r="41" spans="1:2">
      <c r="A41" s="71" t="s">
        <v>233</v>
      </c>
      <c r="B41" s="71">
        <v>81897710001</v>
      </c>
    </row>
    <row r="42" spans="1:2">
      <c r="A42" s="71" t="s">
        <v>235</v>
      </c>
      <c r="B42" s="71">
        <v>81897710001</v>
      </c>
    </row>
    <row r="43" spans="1:2">
      <c r="A43" s="71" t="s">
        <v>237</v>
      </c>
      <c r="B43" s="71">
        <v>81897710001</v>
      </c>
    </row>
    <row r="44" spans="1:2">
      <c r="A44" s="71" t="s">
        <v>189</v>
      </c>
      <c r="B44" s="71">
        <v>81897710001</v>
      </c>
    </row>
    <row r="45" spans="1:2">
      <c r="A45" s="71" t="s">
        <v>44</v>
      </c>
      <c r="B45" s="71">
        <v>81897710001</v>
      </c>
    </row>
    <row r="46" spans="1:2">
      <c r="A46" s="71" t="s">
        <v>19</v>
      </c>
      <c r="B46" s="71">
        <v>81897710001</v>
      </c>
    </row>
    <row r="47" spans="1:2">
      <c r="A47" s="71" t="s">
        <v>111</v>
      </c>
      <c r="B47" s="71">
        <v>81897710001</v>
      </c>
    </row>
    <row r="48" spans="1:2">
      <c r="A48" s="71" t="s">
        <v>289</v>
      </c>
      <c r="B48" s="71">
        <v>81897710001</v>
      </c>
    </row>
    <row r="49" spans="1:2">
      <c r="A49" s="71" t="s">
        <v>42</v>
      </c>
      <c r="B49" s="71">
        <v>81897710001</v>
      </c>
    </row>
    <row r="50" spans="1:2">
      <c r="A50" s="71" t="s">
        <v>292</v>
      </c>
      <c r="B50" s="71">
        <v>81897710001</v>
      </c>
    </row>
    <row r="51" spans="1:2">
      <c r="A51" s="71" t="s">
        <v>294</v>
      </c>
      <c r="B51" s="71">
        <v>81897710001</v>
      </c>
    </row>
    <row r="52" spans="1:2">
      <c r="A52" s="71" t="s">
        <v>687</v>
      </c>
      <c r="B52" s="71">
        <v>81897710001</v>
      </c>
    </row>
    <row r="53" spans="1:2">
      <c r="A53" s="71" t="s">
        <v>20</v>
      </c>
      <c r="B53" s="71">
        <v>81897710001</v>
      </c>
    </row>
    <row r="54" spans="1:2">
      <c r="A54" s="71" t="s">
        <v>237</v>
      </c>
      <c r="B54" s="71">
        <v>81897710001</v>
      </c>
    </row>
    <row r="55" spans="1:2">
      <c r="A55" s="71" t="s">
        <v>299</v>
      </c>
      <c r="B55" s="71">
        <v>81897710001</v>
      </c>
    </row>
    <row r="56" spans="1:2">
      <c r="A56" s="71" t="s">
        <v>307</v>
      </c>
      <c r="B56" s="71">
        <v>81897710001</v>
      </c>
    </row>
    <row r="57" spans="1:2">
      <c r="A57" s="71" t="s">
        <v>309</v>
      </c>
      <c r="B57" s="71">
        <v>81897710001</v>
      </c>
    </row>
    <row r="58" spans="1:2">
      <c r="A58" s="71" t="s">
        <v>310</v>
      </c>
      <c r="B58" s="71">
        <v>81897710001</v>
      </c>
    </row>
    <row r="59" spans="1:2">
      <c r="A59" s="71" t="s">
        <v>312</v>
      </c>
      <c r="B59" s="71">
        <v>81897710001</v>
      </c>
    </row>
    <row r="60" spans="1:2">
      <c r="A60" s="71" t="s">
        <v>313</v>
      </c>
      <c r="B60" s="71">
        <v>81897710001</v>
      </c>
    </row>
    <row r="61" spans="1:2">
      <c r="A61" s="71" t="s">
        <v>155</v>
      </c>
      <c r="B61" s="71">
        <v>81897710001</v>
      </c>
    </row>
    <row r="62" spans="1:2">
      <c r="A62" s="68" t="s">
        <v>315</v>
      </c>
      <c r="B62" s="68">
        <v>81897710001</v>
      </c>
    </row>
    <row r="63" spans="1:2">
      <c r="A63" s="71" t="s">
        <v>317</v>
      </c>
      <c r="B63" s="71">
        <v>81897710001</v>
      </c>
    </row>
    <row r="64" spans="1:2">
      <c r="A64" s="71" t="s">
        <v>319</v>
      </c>
      <c r="B64" s="71">
        <v>81897710001</v>
      </c>
    </row>
    <row r="65" spans="1:2">
      <c r="A65" s="89" t="s">
        <v>321</v>
      </c>
      <c r="B65" s="89">
        <v>81897710001</v>
      </c>
    </row>
    <row r="66" spans="1:2">
      <c r="A66" s="71" t="s">
        <v>324</v>
      </c>
      <c r="B66" s="71">
        <v>81897710001</v>
      </c>
    </row>
    <row r="67" spans="1:2">
      <c r="A67" s="71" t="s">
        <v>327</v>
      </c>
      <c r="B67" s="71">
        <v>81897710001</v>
      </c>
    </row>
    <row r="68" spans="1:2">
      <c r="A68" s="71" t="s">
        <v>330</v>
      </c>
      <c r="B68" s="71">
        <v>81897710001</v>
      </c>
    </row>
    <row r="69" spans="1:2">
      <c r="A69" s="71" t="s">
        <v>333</v>
      </c>
      <c r="B69" s="71">
        <v>81897710001</v>
      </c>
    </row>
    <row r="70" spans="1:2">
      <c r="A70" s="90" t="s">
        <v>217</v>
      </c>
      <c r="B70" s="71">
        <v>81897710001</v>
      </c>
    </row>
    <row r="71" spans="1:2">
      <c r="A71" s="71" t="s">
        <v>214</v>
      </c>
      <c r="B71" s="71">
        <v>81897710001</v>
      </c>
    </row>
    <row r="72" spans="1:2">
      <c r="A72" s="71" t="s">
        <v>220</v>
      </c>
      <c r="B72" s="71">
        <v>81897710001</v>
      </c>
    </row>
    <row r="73" spans="1:2">
      <c r="A73" s="71" t="s">
        <v>411</v>
      </c>
      <c r="B73" s="71">
        <v>81897710001</v>
      </c>
    </row>
    <row r="74" spans="1:2">
      <c r="A74" s="71" t="s">
        <v>327</v>
      </c>
      <c r="B74" s="71">
        <v>81897710001</v>
      </c>
    </row>
    <row r="75" spans="1:2">
      <c r="A75" s="71" t="s">
        <v>330</v>
      </c>
      <c r="B75" s="71">
        <v>81897710001</v>
      </c>
    </row>
    <row r="76" spans="1:2">
      <c r="A76" s="71" t="s">
        <v>237</v>
      </c>
      <c r="B76" s="71">
        <v>81897710001</v>
      </c>
    </row>
    <row r="77" spans="1:2">
      <c r="A77" s="71" t="s">
        <v>451</v>
      </c>
      <c r="B77" s="71">
        <v>81897710001</v>
      </c>
    </row>
    <row r="78" spans="1:2">
      <c r="A78" s="71" t="s">
        <v>10</v>
      </c>
      <c r="B78" s="71">
        <v>81897710001</v>
      </c>
    </row>
    <row r="79" spans="1:2">
      <c r="A79" s="68" t="s">
        <v>366</v>
      </c>
      <c r="B79" s="68">
        <v>81897710001</v>
      </c>
    </row>
    <row r="80" spans="1:2">
      <c r="A80" s="71" t="s">
        <v>299</v>
      </c>
      <c r="B80" s="71">
        <v>81897710001</v>
      </c>
    </row>
    <row r="81" spans="1:2">
      <c r="A81" s="71" t="s">
        <v>16</v>
      </c>
      <c r="B81" s="71">
        <v>81897710001</v>
      </c>
    </row>
    <row r="82" spans="1:2">
      <c r="A82" s="71" t="s">
        <v>217</v>
      </c>
      <c r="B82" s="71">
        <v>81897710001</v>
      </c>
    </row>
    <row r="83" spans="1:2">
      <c r="A83" s="71" t="s">
        <v>465</v>
      </c>
      <c r="B83" s="71">
        <v>81897710001</v>
      </c>
    </row>
    <row r="84" spans="1:2">
      <c r="A84" s="71" t="s">
        <v>366</v>
      </c>
      <c r="B84" s="71">
        <v>81897710001</v>
      </c>
    </row>
    <row r="85" spans="1:2">
      <c r="A85" s="71" t="s">
        <v>169</v>
      </c>
      <c r="B85" s="71">
        <v>81897710001</v>
      </c>
    </row>
    <row r="86" spans="1:2">
      <c r="A86" s="71" t="s">
        <v>469</v>
      </c>
      <c r="B86" s="71">
        <v>81897710001</v>
      </c>
    </row>
    <row r="87" spans="1:2">
      <c r="A87" s="71" t="s">
        <v>471</v>
      </c>
      <c r="B87" s="71">
        <v>81897710001</v>
      </c>
    </row>
    <row r="88" spans="1:2">
      <c r="A88" s="71" t="s">
        <v>473</v>
      </c>
      <c r="B88" s="71">
        <v>81897710001</v>
      </c>
    </row>
    <row r="89" spans="1:2">
      <c r="A89" s="71" t="s">
        <v>475</v>
      </c>
      <c r="B89" s="71">
        <v>81897710001</v>
      </c>
    </row>
    <row r="90" spans="1:2">
      <c r="A90" s="71" t="s">
        <v>235</v>
      </c>
      <c r="B90" s="71">
        <v>81897710001</v>
      </c>
    </row>
    <row r="91" spans="1:2">
      <c r="A91" s="71" t="s">
        <v>411</v>
      </c>
      <c r="B91" s="71">
        <v>81897710001</v>
      </c>
    </row>
    <row r="92" spans="1:2">
      <c r="A92" s="71" t="s">
        <v>484</v>
      </c>
      <c r="B92" s="71">
        <v>81897710001</v>
      </c>
    </row>
    <row r="93" spans="1:2">
      <c r="A93" s="71" t="s">
        <v>486</v>
      </c>
      <c r="B93" s="71">
        <v>81897710001</v>
      </c>
    </row>
    <row r="94" spans="1:2">
      <c r="A94" s="71" t="s">
        <v>487</v>
      </c>
      <c r="B94" s="71">
        <v>81897710001</v>
      </c>
    </row>
    <row r="95" spans="1:2">
      <c r="A95" s="71" t="s">
        <v>488</v>
      </c>
      <c r="B95" s="71">
        <v>81897710001</v>
      </c>
    </row>
    <row r="96" spans="1:2">
      <c r="A96" s="71" t="s">
        <v>72</v>
      </c>
      <c r="B96" s="71">
        <v>81897710001</v>
      </c>
    </row>
    <row r="97" spans="1:2">
      <c r="A97" s="71" t="s">
        <v>267</v>
      </c>
      <c r="B97" s="71">
        <v>81897710010</v>
      </c>
    </row>
    <row r="98" spans="1:2">
      <c r="A98" s="71" t="s">
        <v>268</v>
      </c>
      <c r="B98" s="71">
        <v>81897710010</v>
      </c>
    </row>
    <row r="99" spans="1:2">
      <c r="A99" s="71" t="s">
        <v>269</v>
      </c>
      <c r="B99" s="71">
        <v>81897710010</v>
      </c>
    </row>
    <row r="100" spans="1:2">
      <c r="A100" s="71" t="s">
        <v>270</v>
      </c>
      <c r="B100" s="71">
        <v>81897710010</v>
      </c>
    </row>
    <row r="101" spans="1:2">
      <c r="A101" s="71" t="s">
        <v>271</v>
      </c>
      <c r="B101" s="71">
        <v>81897710010</v>
      </c>
    </row>
    <row r="102" spans="1:2">
      <c r="A102" s="71" t="s">
        <v>283</v>
      </c>
      <c r="B102" s="71">
        <v>81897710010</v>
      </c>
    </row>
    <row r="103" spans="1:2">
      <c r="A103" s="71" t="s">
        <v>285</v>
      </c>
      <c r="B103" s="71">
        <v>81897710010</v>
      </c>
    </row>
    <row r="104" spans="1:2">
      <c r="A104" s="71" t="s">
        <v>228</v>
      </c>
      <c r="B104" s="71">
        <v>81897710011</v>
      </c>
    </row>
    <row r="105" spans="1:2">
      <c r="A105" s="68" t="s">
        <v>78</v>
      </c>
      <c r="B105" s="71">
        <v>81897710012</v>
      </c>
    </row>
    <row r="106" spans="1:2">
      <c r="A106" s="68" t="s">
        <v>421</v>
      </c>
      <c r="B106" s="71">
        <v>81897710012</v>
      </c>
    </row>
    <row r="107" spans="1:2">
      <c r="A107" s="68" t="s">
        <v>424</v>
      </c>
      <c r="B107" s="71">
        <v>81897710012</v>
      </c>
    </row>
    <row r="108" spans="1:2">
      <c r="A108" s="68" t="s">
        <v>427</v>
      </c>
      <c r="B108" s="71">
        <v>81897710012</v>
      </c>
    </row>
    <row r="109" spans="1:2">
      <c r="A109" s="68" t="s">
        <v>428</v>
      </c>
      <c r="B109" s="71">
        <v>81897710012</v>
      </c>
    </row>
    <row r="110" spans="1:2">
      <c r="A110" s="68" t="s">
        <v>430</v>
      </c>
      <c r="B110" s="71">
        <v>81897710012</v>
      </c>
    </row>
    <row r="111" spans="1:2">
      <c r="A111" s="68" t="s">
        <v>434</v>
      </c>
      <c r="B111" s="71">
        <v>81897710012</v>
      </c>
    </row>
    <row r="112" spans="1:2">
      <c r="A112" s="68" t="s">
        <v>436</v>
      </c>
      <c r="B112" s="71">
        <v>81897710012</v>
      </c>
    </row>
    <row r="113" spans="1:2">
      <c r="A113" s="68" t="s">
        <v>438</v>
      </c>
      <c r="B113" s="71">
        <v>81897710012</v>
      </c>
    </row>
    <row r="114" spans="1:2">
      <c r="A114" s="71" t="s">
        <v>71</v>
      </c>
      <c r="B114" s="71">
        <v>81897710017</v>
      </c>
    </row>
    <row r="115" spans="1:2">
      <c r="A115" s="71" t="s">
        <v>243</v>
      </c>
      <c r="B115" s="71">
        <v>81897710017</v>
      </c>
    </row>
    <row r="116" spans="1:2">
      <c r="A116" s="71" t="s">
        <v>246</v>
      </c>
      <c r="B116" s="71">
        <v>81897710017</v>
      </c>
    </row>
    <row r="117" spans="1:2">
      <c r="A117" s="71" t="s">
        <v>249</v>
      </c>
      <c r="B117" s="71">
        <v>81897710017</v>
      </c>
    </row>
    <row r="118" spans="1:2">
      <c r="A118" s="71" t="s">
        <v>251</v>
      </c>
      <c r="B118" s="71">
        <v>81897710017</v>
      </c>
    </row>
    <row r="119" spans="1:2">
      <c r="A119" s="71" t="s">
        <v>689</v>
      </c>
      <c r="B119" s="71">
        <v>81897710017</v>
      </c>
    </row>
    <row r="120" spans="1:2">
      <c r="A120" s="71" t="s">
        <v>254</v>
      </c>
      <c r="B120" s="71">
        <v>81897710017</v>
      </c>
    </row>
    <row r="121" spans="1:2">
      <c r="A121" s="71" t="s">
        <v>25</v>
      </c>
      <c r="B121" s="71">
        <v>81897710017</v>
      </c>
    </row>
    <row r="122" spans="1:2">
      <c r="A122" s="71" t="s">
        <v>258</v>
      </c>
      <c r="B122" s="71">
        <v>81897710017</v>
      </c>
    </row>
    <row r="123" spans="1:2">
      <c r="A123" s="71" t="s">
        <v>442</v>
      </c>
      <c r="B123" s="71">
        <v>81897710017</v>
      </c>
    </row>
    <row r="124" spans="1:2">
      <c r="A124" s="89" t="s">
        <v>445</v>
      </c>
      <c r="B124" s="89">
        <v>81897710017</v>
      </c>
    </row>
    <row r="125" spans="1:2">
      <c r="A125" s="71" t="s">
        <v>448</v>
      </c>
      <c r="B125" s="71">
        <v>81897710017</v>
      </c>
    </row>
    <row r="126" spans="1:2">
      <c r="A126" s="90" t="s">
        <v>246</v>
      </c>
      <c r="B126" s="71">
        <v>81897710017</v>
      </c>
    </row>
    <row r="127" spans="1:2">
      <c r="A127" s="71" t="s">
        <v>249</v>
      </c>
      <c r="B127" s="71">
        <v>81897710017</v>
      </c>
    </row>
    <row r="128" spans="1:2">
      <c r="A128" s="71" t="s">
        <v>442</v>
      </c>
      <c r="B128" s="71">
        <v>81897710017</v>
      </c>
    </row>
    <row r="129" spans="1:2">
      <c r="A129" s="71" t="s">
        <v>50</v>
      </c>
      <c r="B129" s="71">
        <v>81897710018</v>
      </c>
    </row>
    <row r="130" spans="1:2">
      <c r="A130" s="71" t="s">
        <v>52</v>
      </c>
      <c r="B130" s="71">
        <v>81897710018</v>
      </c>
    </row>
    <row r="131" spans="1:2">
      <c r="A131" s="71" t="s">
        <v>54</v>
      </c>
      <c r="B131" s="71">
        <v>81897710018</v>
      </c>
    </row>
    <row r="132" spans="1:2">
      <c r="A132" s="71" t="s">
        <v>56</v>
      </c>
      <c r="B132" s="71">
        <v>81897710018</v>
      </c>
    </row>
    <row r="133" spans="1:2">
      <c r="A133" s="71" t="s">
        <v>58</v>
      </c>
      <c r="B133" s="71">
        <v>81897710018</v>
      </c>
    </row>
    <row r="134" spans="1:2">
      <c r="A134" s="71" t="s">
        <v>60</v>
      </c>
      <c r="B134" s="71">
        <v>81897710018</v>
      </c>
    </row>
    <row r="135" spans="1:2">
      <c r="A135" s="71" t="s">
        <v>62</v>
      </c>
      <c r="B135" s="71">
        <v>81897710018</v>
      </c>
    </row>
    <row r="136" spans="1:2">
      <c r="A136" s="71" t="s">
        <v>64</v>
      </c>
      <c r="B136" s="71">
        <v>81897710018</v>
      </c>
    </row>
    <row r="137" spans="1:2">
      <c r="A137" s="71" t="s">
        <v>66</v>
      </c>
      <c r="B137" s="71">
        <v>81897710018</v>
      </c>
    </row>
    <row r="138" spans="1:2">
      <c r="A138" s="71" t="s">
        <v>68</v>
      </c>
      <c r="B138" s="71">
        <v>81897710018</v>
      </c>
    </row>
    <row r="139" spans="1:2">
      <c r="A139" s="71" t="s">
        <v>80</v>
      </c>
      <c r="B139" s="71">
        <v>81897710018</v>
      </c>
    </row>
    <row r="140" spans="1:2">
      <c r="A140" s="71" t="s">
        <v>82</v>
      </c>
      <c r="B140" s="71">
        <v>81897710018</v>
      </c>
    </row>
    <row r="141" spans="1:2">
      <c r="A141" s="71" t="s">
        <v>85</v>
      </c>
      <c r="B141" s="71">
        <v>81897710018</v>
      </c>
    </row>
    <row r="142" spans="1:2">
      <c r="A142" s="71" t="s">
        <v>87</v>
      </c>
      <c r="B142" s="71">
        <v>81897710018</v>
      </c>
    </row>
    <row r="143" spans="1:2">
      <c r="A143" s="71" t="s">
        <v>559</v>
      </c>
      <c r="B143" s="71">
        <v>81897710018</v>
      </c>
    </row>
    <row r="144" spans="1:2">
      <c r="A144" s="71" t="s">
        <v>89</v>
      </c>
      <c r="B144" s="71">
        <v>81897710018</v>
      </c>
    </row>
    <row r="145" spans="1:2">
      <c r="A145" s="71" t="s">
        <v>91</v>
      </c>
      <c r="B145" s="71">
        <v>81897710018</v>
      </c>
    </row>
    <row r="146" spans="1:2">
      <c r="A146" s="71" t="s">
        <v>93</v>
      </c>
      <c r="B146" s="71">
        <v>81897710018</v>
      </c>
    </row>
    <row r="147" spans="1:2">
      <c r="A147" s="71" t="s">
        <v>95</v>
      </c>
      <c r="B147" s="71">
        <v>81897710018</v>
      </c>
    </row>
    <row r="148" spans="1:2">
      <c r="A148" s="71" t="s">
        <v>97</v>
      </c>
      <c r="B148" s="71">
        <v>81897710018</v>
      </c>
    </row>
    <row r="149" spans="1:2">
      <c r="A149" s="71" t="s">
        <v>99</v>
      </c>
      <c r="B149" s="71">
        <v>81897710018</v>
      </c>
    </row>
    <row r="150" spans="1:2">
      <c r="A150" s="71" t="s">
        <v>101</v>
      </c>
      <c r="B150" s="71">
        <v>81897710018</v>
      </c>
    </row>
    <row r="151" spans="1:2">
      <c r="A151" s="71" t="s">
        <v>103</v>
      </c>
      <c r="B151" s="71">
        <v>81897710018</v>
      </c>
    </row>
    <row r="152" spans="1:2">
      <c r="A152" s="71" t="s">
        <v>306</v>
      </c>
      <c r="B152" s="71">
        <v>81897710018</v>
      </c>
    </row>
    <row r="153" spans="1:2">
      <c r="A153" s="71" t="s">
        <v>107</v>
      </c>
      <c r="B153" s="71">
        <v>81897710018</v>
      </c>
    </row>
    <row r="154" spans="1:2">
      <c r="A154" s="71" t="s">
        <v>117</v>
      </c>
      <c r="B154" s="71">
        <v>81897710018</v>
      </c>
    </row>
    <row r="155" spans="1:2">
      <c r="A155" s="71" t="s">
        <v>119</v>
      </c>
      <c r="B155" s="71">
        <v>81897710018</v>
      </c>
    </row>
    <row r="156" spans="1:2">
      <c r="A156" s="68" t="s">
        <v>23</v>
      </c>
      <c r="B156" s="68">
        <v>81897710018</v>
      </c>
    </row>
    <row r="157" spans="1:2">
      <c r="A157" s="87" t="s">
        <v>135</v>
      </c>
      <c r="B157" s="68">
        <v>81897710018</v>
      </c>
    </row>
    <row r="158" spans="1:2">
      <c r="A158" s="68" t="s">
        <v>137</v>
      </c>
      <c r="B158" s="68">
        <v>81897710018</v>
      </c>
    </row>
    <row r="159" spans="1:2">
      <c r="A159" s="68" t="s">
        <v>139</v>
      </c>
      <c r="B159" s="68">
        <v>81897710018</v>
      </c>
    </row>
    <row r="160" spans="1:2">
      <c r="A160" s="71" t="s">
        <v>171</v>
      </c>
      <c r="B160" s="71">
        <v>81897710018</v>
      </c>
    </row>
    <row r="161" spans="1:2">
      <c r="A161" s="71" t="s">
        <v>173</v>
      </c>
      <c r="B161" s="71">
        <v>81897710018</v>
      </c>
    </row>
    <row r="162" spans="1:2">
      <c r="A162" s="71" t="s">
        <v>175</v>
      </c>
      <c r="B162" s="71">
        <v>81897710018</v>
      </c>
    </row>
    <row r="163" spans="1:2">
      <c r="A163" s="71" t="s">
        <v>177</v>
      </c>
      <c r="B163" s="71">
        <v>81897710018</v>
      </c>
    </row>
    <row r="164" spans="1:2">
      <c r="A164" s="71" t="s">
        <v>179</v>
      </c>
      <c r="B164" s="71">
        <v>81897710018</v>
      </c>
    </row>
    <row r="165" spans="1:2">
      <c r="A165" s="71" t="s">
        <v>181</v>
      </c>
      <c r="B165" s="71">
        <v>81897710018</v>
      </c>
    </row>
    <row r="166" spans="1:2">
      <c r="A166" s="71" t="s">
        <v>7</v>
      </c>
      <c r="B166" s="71">
        <v>81897710018</v>
      </c>
    </row>
    <row r="167" spans="1:2">
      <c r="A167" s="71" t="s">
        <v>184</v>
      </c>
      <c r="B167" s="71">
        <v>81897710018</v>
      </c>
    </row>
    <row r="168" spans="1:2">
      <c r="A168" s="71" t="s">
        <v>60</v>
      </c>
      <c r="B168" s="71">
        <v>81897710018</v>
      </c>
    </row>
    <row r="169" spans="1:2">
      <c r="A169" s="71" t="s">
        <v>239</v>
      </c>
      <c r="B169" s="71">
        <v>81897710018</v>
      </c>
    </row>
    <row r="170" spans="1:2">
      <c r="A170" s="71" t="s">
        <v>7</v>
      </c>
      <c r="B170" s="71">
        <v>81897710018</v>
      </c>
    </row>
    <row r="171" spans="1:2">
      <c r="A171" s="71" t="s">
        <v>277</v>
      </c>
      <c r="B171" s="71">
        <v>81897710018</v>
      </c>
    </row>
    <row r="172" spans="1:2">
      <c r="A172" s="71" t="s">
        <v>279</v>
      </c>
      <c r="B172" s="71">
        <v>81897710018</v>
      </c>
    </row>
    <row r="173" spans="1:2">
      <c r="A173" s="71" t="s">
        <v>50</v>
      </c>
      <c r="B173" s="71">
        <v>81897710018</v>
      </c>
    </row>
    <row r="174" spans="1:2">
      <c r="A174" s="71" t="s">
        <v>54</v>
      </c>
      <c r="B174" s="71">
        <v>81897710018</v>
      </c>
    </row>
    <row r="175" spans="1:2">
      <c r="A175" s="71" t="s">
        <v>60</v>
      </c>
      <c r="B175" s="71">
        <v>81897710018</v>
      </c>
    </row>
    <row r="176" spans="1:2">
      <c r="A176" s="71" t="s">
        <v>62</v>
      </c>
      <c r="B176" s="71">
        <v>81897710018</v>
      </c>
    </row>
    <row r="177" spans="1:2">
      <c r="A177" s="71" t="s">
        <v>304</v>
      </c>
      <c r="B177" s="71">
        <v>81897710018</v>
      </c>
    </row>
    <row r="178" spans="1:2">
      <c r="A178" s="71" t="s">
        <v>103</v>
      </c>
      <c r="B178" s="71">
        <v>81897710018</v>
      </c>
    </row>
    <row r="179" spans="1:2">
      <c r="A179" s="71" t="s">
        <v>105</v>
      </c>
      <c r="B179" s="71">
        <v>81897710018</v>
      </c>
    </row>
    <row r="180" spans="1:2">
      <c r="A180" s="71" t="s">
        <v>306</v>
      </c>
      <c r="B180" s="71">
        <v>81897710018</v>
      </c>
    </row>
    <row r="181" spans="1:2">
      <c r="A181" s="71" t="s">
        <v>277</v>
      </c>
      <c r="B181" s="71">
        <v>81897710018</v>
      </c>
    </row>
    <row r="182" spans="1:2">
      <c r="A182" s="71" t="s">
        <v>279</v>
      </c>
      <c r="B182" s="71">
        <v>81897710018</v>
      </c>
    </row>
    <row r="183" spans="1:2">
      <c r="A183" s="71" t="s">
        <v>50</v>
      </c>
      <c r="B183" s="71">
        <v>81897710018</v>
      </c>
    </row>
    <row r="184" spans="1:2">
      <c r="A184" s="71" t="s">
        <v>54</v>
      </c>
      <c r="B184" s="71">
        <v>81897710018</v>
      </c>
    </row>
    <row r="185" spans="1:2">
      <c r="A185" s="71" t="s">
        <v>56</v>
      </c>
      <c r="B185" s="71">
        <v>81897710018</v>
      </c>
    </row>
    <row r="186" spans="1:2">
      <c r="A186" s="71" t="s">
        <v>58</v>
      </c>
      <c r="B186" s="71">
        <v>81897710018</v>
      </c>
    </row>
    <row r="187" spans="1:2">
      <c r="A187" s="71" t="s">
        <v>60</v>
      </c>
      <c r="B187" s="71">
        <v>81897710018</v>
      </c>
    </row>
    <row r="188" spans="1:2">
      <c r="A188" s="71" t="s">
        <v>62</v>
      </c>
      <c r="B188" s="71">
        <v>81897710018</v>
      </c>
    </row>
    <row r="189" spans="1:2">
      <c r="A189" s="71" t="s">
        <v>337</v>
      </c>
      <c r="B189" s="71">
        <v>81897710018</v>
      </c>
    </row>
    <row r="190" spans="1:2">
      <c r="A190" s="71" t="s">
        <v>339</v>
      </c>
      <c r="B190" s="71">
        <v>81897710018</v>
      </c>
    </row>
    <row r="191" spans="1:2">
      <c r="A191" s="71" t="s">
        <v>341</v>
      </c>
      <c r="B191" s="71">
        <v>81897710018</v>
      </c>
    </row>
    <row r="192" spans="1:2">
      <c r="A192" s="71" t="s">
        <v>343</v>
      </c>
      <c r="B192" s="71">
        <v>81897710018</v>
      </c>
    </row>
    <row r="193" spans="1:2">
      <c r="A193" s="71" t="s">
        <v>345</v>
      </c>
      <c r="B193" s="71">
        <v>81897710018</v>
      </c>
    </row>
    <row r="194" spans="1:2">
      <c r="A194" s="71" t="s">
        <v>184</v>
      </c>
      <c r="B194" s="71">
        <v>81897710018</v>
      </c>
    </row>
    <row r="195" spans="1:2">
      <c r="A195" s="71" t="s">
        <v>348</v>
      </c>
      <c r="B195" s="71">
        <v>81897710018</v>
      </c>
    </row>
    <row r="196" spans="1:2">
      <c r="A196" s="71" t="s">
        <v>350</v>
      </c>
      <c r="B196" s="71">
        <v>81897710018</v>
      </c>
    </row>
    <row r="197" spans="1:2">
      <c r="A197" s="71" t="s">
        <v>352</v>
      </c>
      <c r="B197" s="71">
        <v>81897710018</v>
      </c>
    </row>
    <row r="198" spans="1:2">
      <c r="A198" s="71" t="s">
        <v>354</v>
      </c>
      <c r="B198" s="71">
        <v>81897710018</v>
      </c>
    </row>
    <row r="199" spans="1:2">
      <c r="A199" s="71" t="s">
        <v>356</v>
      </c>
      <c r="B199" s="71">
        <v>81897710018</v>
      </c>
    </row>
    <row r="200" spans="1:2">
      <c r="A200" s="71" t="s">
        <v>358</v>
      </c>
      <c r="B200" s="71">
        <v>81897710018</v>
      </c>
    </row>
    <row r="201" spans="1:2">
      <c r="A201" s="71" t="s">
        <v>105</v>
      </c>
      <c r="B201" s="71">
        <v>81897710018</v>
      </c>
    </row>
    <row r="202" spans="1:2">
      <c r="A202" s="71" t="s">
        <v>306</v>
      </c>
      <c r="B202" s="71">
        <v>81897710018</v>
      </c>
    </row>
    <row r="203" spans="1:2">
      <c r="A203" s="71" t="s">
        <v>239</v>
      </c>
      <c r="B203" s="71">
        <v>81897710018</v>
      </c>
    </row>
    <row r="204" spans="1:2">
      <c r="A204" s="71" t="s">
        <v>139</v>
      </c>
      <c r="B204" s="71">
        <v>81897710018</v>
      </c>
    </row>
    <row r="205" spans="1:2">
      <c r="A205" s="71" t="s">
        <v>139</v>
      </c>
      <c r="B205" s="71">
        <v>81897710018</v>
      </c>
    </row>
    <row r="206" spans="1:2">
      <c r="A206" s="71" t="s">
        <v>82</v>
      </c>
      <c r="B206" s="71">
        <v>81897710018</v>
      </c>
    </row>
    <row r="207" spans="1:2">
      <c r="A207" s="71" t="s">
        <v>184</v>
      </c>
      <c r="B207" s="71">
        <v>81897710018</v>
      </c>
    </row>
    <row r="208" spans="1:2">
      <c r="A208" s="89" t="s">
        <v>52</v>
      </c>
      <c r="B208" s="89">
        <v>81897710018</v>
      </c>
    </row>
    <row r="209" spans="1:2">
      <c r="A209" s="71" t="s">
        <v>60</v>
      </c>
      <c r="B209" s="71">
        <v>81897710018</v>
      </c>
    </row>
    <row r="210" spans="1:2">
      <c r="A210" s="71" t="s">
        <v>497</v>
      </c>
      <c r="B210" s="71">
        <v>81897710018</v>
      </c>
    </row>
    <row r="211" spans="1:2">
      <c r="A211" s="71" t="s">
        <v>499</v>
      </c>
      <c r="B211" s="71">
        <v>81897710018</v>
      </c>
    </row>
    <row r="212" spans="1:2">
      <c r="A212" s="71" t="s">
        <v>501</v>
      </c>
      <c r="B212" s="71">
        <v>81897710018</v>
      </c>
    </row>
    <row r="213" spans="1:2">
      <c r="A213" s="71" t="s">
        <v>105</v>
      </c>
      <c r="B213" s="71">
        <v>81897710018</v>
      </c>
    </row>
    <row r="214" spans="1:2">
      <c r="A214" s="71" t="s">
        <v>306</v>
      </c>
      <c r="B214" s="71">
        <v>81897710018</v>
      </c>
    </row>
    <row r="215" spans="1:2">
      <c r="A215" s="71" t="s">
        <v>505</v>
      </c>
      <c r="B215" s="71">
        <v>81897710018</v>
      </c>
    </row>
    <row r="216" spans="1:2">
      <c r="A216" s="71" t="s">
        <v>35</v>
      </c>
      <c r="B216" s="71">
        <v>81897710021</v>
      </c>
    </row>
    <row r="217" spans="1:2">
      <c r="A217" s="71" t="s">
        <v>35</v>
      </c>
      <c r="B217" s="71">
        <v>81897710021</v>
      </c>
    </row>
    <row r="218" spans="1:2">
      <c r="A218" s="71" t="s">
        <v>301</v>
      </c>
      <c r="B218" s="71">
        <v>81897710021</v>
      </c>
    </row>
    <row r="219" spans="1:2">
      <c r="A219" s="71" t="s">
        <v>30</v>
      </c>
      <c r="B219" s="71">
        <v>81897710023</v>
      </c>
    </row>
    <row r="220" spans="1:2">
      <c r="A220" s="71" t="s">
        <v>32</v>
      </c>
      <c r="B220" s="71">
        <v>81897710023</v>
      </c>
    </row>
    <row r="221" spans="1:2">
      <c r="A221" s="71" t="s">
        <v>5</v>
      </c>
      <c r="B221" s="71">
        <v>81897710023</v>
      </c>
    </row>
    <row r="222" spans="1:2">
      <c r="A222" s="71" t="s">
        <v>129</v>
      </c>
      <c r="B222" s="71">
        <v>81897710023</v>
      </c>
    </row>
    <row r="223" spans="1:2">
      <c r="A223" s="71" t="s">
        <v>147</v>
      </c>
      <c r="B223" s="71">
        <v>81897710023</v>
      </c>
    </row>
    <row r="224" spans="1:2">
      <c r="A224" s="71" t="s">
        <v>149</v>
      </c>
      <c r="B224" s="71">
        <v>81897710023</v>
      </c>
    </row>
    <row r="225" spans="1:2">
      <c r="A225" s="71" t="s">
        <v>686</v>
      </c>
      <c r="B225" s="71">
        <v>81897710023</v>
      </c>
    </row>
    <row r="226" spans="1:2">
      <c r="A226" s="71" t="s">
        <v>152</v>
      </c>
      <c r="B226" s="71">
        <v>81897710023</v>
      </c>
    </row>
    <row r="227" spans="1:2">
      <c r="A227" s="71" t="s">
        <v>159</v>
      </c>
      <c r="B227" s="71">
        <v>81897710023</v>
      </c>
    </row>
    <row r="228" spans="1:2">
      <c r="A228" s="71" t="s">
        <v>5</v>
      </c>
      <c r="B228" s="71">
        <v>81897710023</v>
      </c>
    </row>
    <row r="229" spans="1:2">
      <c r="A229" s="71" t="s">
        <v>162</v>
      </c>
      <c r="B229" s="71">
        <v>81897710023</v>
      </c>
    </row>
    <row r="230" spans="1:2">
      <c r="A230" s="71" t="s">
        <v>32</v>
      </c>
      <c r="B230" s="71">
        <v>81897710023</v>
      </c>
    </row>
    <row r="231" spans="1:2">
      <c r="A231" s="71" t="s">
        <v>166</v>
      </c>
      <c r="B231" s="71">
        <v>81897710023</v>
      </c>
    </row>
    <row r="232" spans="1:2">
      <c r="A232" s="71" t="s">
        <v>6</v>
      </c>
      <c r="B232" s="71">
        <v>81897710023</v>
      </c>
    </row>
    <row r="233" spans="1:2">
      <c r="A233" s="71" t="s">
        <v>194</v>
      </c>
      <c r="B233" s="71">
        <v>81897710023</v>
      </c>
    </row>
    <row r="234" spans="1:2">
      <c r="A234" s="71" t="s">
        <v>196</v>
      </c>
      <c r="B234" s="71">
        <v>81897710023</v>
      </c>
    </row>
    <row r="235" spans="1:2">
      <c r="A235" s="71" t="s">
        <v>198</v>
      </c>
      <c r="B235" s="71">
        <v>81897710023</v>
      </c>
    </row>
    <row r="236" spans="1:2">
      <c r="A236" s="71" t="s">
        <v>202</v>
      </c>
      <c r="B236" s="71">
        <v>81897710023</v>
      </c>
    </row>
    <row r="237" spans="1:2">
      <c r="A237" s="70" t="s">
        <v>814</v>
      </c>
      <c r="B237" s="71">
        <v>81897710023</v>
      </c>
    </row>
    <row r="238" spans="1:2">
      <c r="A238" s="71" t="s">
        <v>206</v>
      </c>
      <c r="B238" s="71">
        <v>81897710023</v>
      </c>
    </row>
    <row r="239" spans="1:2">
      <c r="A239" s="71" t="s">
        <v>208</v>
      </c>
      <c r="B239" s="71">
        <v>81897710023</v>
      </c>
    </row>
    <row r="240" spans="1:2">
      <c r="A240" s="71" t="s">
        <v>11</v>
      </c>
      <c r="B240" s="71">
        <v>81897710023</v>
      </c>
    </row>
    <row r="241" spans="1:2">
      <c r="A241" s="71" t="s">
        <v>12</v>
      </c>
      <c r="B241" s="71">
        <v>81897710023</v>
      </c>
    </row>
    <row r="242" spans="1:2">
      <c r="A242" s="71" t="s">
        <v>8</v>
      </c>
      <c r="B242" s="71">
        <v>81897710023</v>
      </c>
    </row>
    <row r="243" spans="1:2">
      <c r="A243" s="89" t="s">
        <v>9</v>
      </c>
      <c r="B243" s="89">
        <v>81897710023</v>
      </c>
    </row>
    <row r="244" spans="1:2">
      <c r="A244" s="71" t="s">
        <v>273</v>
      </c>
      <c r="B244" s="71">
        <v>81897710023</v>
      </c>
    </row>
    <row r="245" spans="1:2">
      <c r="A245" s="71" t="s">
        <v>275</v>
      </c>
      <c r="B245" s="71">
        <v>81897710023</v>
      </c>
    </row>
    <row r="246" spans="1:2">
      <c r="A246" s="71" t="s">
        <v>5</v>
      </c>
      <c r="B246" s="71">
        <v>81897710023</v>
      </c>
    </row>
    <row r="247" spans="1:2">
      <c r="A247" s="71" t="s">
        <v>6</v>
      </c>
      <c r="B247" s="71">
        <v>81897710023</v>
      </c>
    </row>
    <row r="248" spans="1:2">
      <c r="A248" s="71" t="s">
        <v>30</v>
      </c>
      <c r="B248" s="71">
        <v>81897710023</v>
      </c>
    </row>
    <row r="249" spans="1:2">
      <c r="A249" s="71" t="s">
        <v>303</v>
      </c>
      <c r="B249" s="71">
        <v>81897710023</v>
      </c>
    </row>
    <row r="250" spans="1:2">
      <c r="A250" s="71" t="s">
        <v>405</v>
      </c>
      <c r="B250" s="71">
        <v>81897710023</v>
      </c>
    </row>
    <row r="251" spans="1:2">
      <c r="A251" s="71" t="s">
        <v>407</v>
      </c>
      <c r="B251" s="71">
        <v>81897710023</v>
      </c>
    </row>
    <row r="252" spans="1:2">
      <c r="A252" s="71" t="s">
        <v>409</v>
      </c>
      <c r="B252" s="71">
        <v>81897710023</v>
      </c>
    </row>
    <row r="253" spans="1:2">
      <c r="A253" s="71" t="s">
        <v>159</v>
      </c>
      <c r="B253" s="71">
        <v>81897710023</v>
      </c>
    </row>
    <row r="254" spans="1:2">
      <c r="A254" s="71" t="s">
        <v>415</v>
      </c>
      <c r="B254" s="71">
        <v>81897710023</v>
      </c>
    </row>
    <row r="255" spans="1:2">
      <c r="A255" s="71" t="s">
        <v>418</v>
      </c>
      <c r="B255" s="71">
        <v>81897710023</v>
      </c>
    </row>
    <row r="256" spans="1:2">
      <c r="A256" s="71" t="s">
        <v>6</v>
      </c>
      <c r="B256" s="71">
        <v>81897710023</v>
      </c>
    </row>
    <row r="257" spans="1:2">
      <c r="A257" s="71" t="s">
        <v>194</v>
      </c>
      <c r="B257" s="71">
        <v>81897710023</v>
      </c>
    </row>
    <row r="258" spans="1:2">
      <c r="A258" s="71" t="s">
        <v>458</v>
      </c>
      <c r="B258" s="71">
        <v>81897710023</v>
      </c>
    </row>
    <row r="259" spans="1:2">
      <c r="A259" s="71" t="s">
        <v>208</v>
      </c>
      <c r="B259" s="71">
        <v>81897710023</v>
      </c>
    </row>
    <row r="260" spans="1:2">
      <c r="A260" s="71" t="s">
        <v>162</v>
      </c>
      <c r="B260" s="71">
        <v>81897710023</v>
      </c>
    </row>
    <row r="261" spans="1:2">
      <c r="A261" s="71" t="s">
        <v>159</v>
      </c>
      <c r="B261" s="71">
        <v>81897710023</v>
      </c>
    </row>
    <row r="262" spans="1:2">
      <c r="A262" s="71" t="s">
        <v>380</v>
      </c>
      <c r="B262" s="71">
        <v>81897710023</v>
      </c>
    </row>
    <row r="263" spans="1:2">
      <c r="A263" s="71" t="s">
        <v>491</v>
      </c>
      <c r="B263" s="71">
        <v>81897710023</v>
      </c>
    </row>
    <row r="264" spans="1:2">
      <c r="A264" s="71" t="s">
        <v>275</v>
      </c>
      <c r="B264" s="71">
        <v>81897710023</v>
      </c>
    </row>
    <row r="265" spans="1:2">
      <c r="A265" s="68" t="s">
        <v>22</v>
      </c>
      <c r="B265" s="68">
        <v>81897719003</v>
      </c>
    </row>
    <row r="266" spans="1:2">
      <c r="A266" s="68" t="s">
        <v>22</v>
      </c>
      <c r="B266" s="68">
        <v>81897719003</v>
      </c>
    </row>
    <row r="267" spans="1:2">
      <c r="A267" s="68" t="s">
        <v>810</v>
      </c>
      <c r="B267" s="68">
        <v>81897719006</v>
      </c>
    </row>
    <row r="268" spans="1:2">
      <c r="A268" s="68" t="s">
        <v>811</v>
      </c>
      <c r="B268" s="68">
        <v>81897719006</v>
      </c>
    </row>
    <row r="269" spans="1:2">
      <c r="A269" s="72" t="s">
        <v>812</v>
      </c>
      <c r="B269" s="68">
        <v>81897719006</v>
      </c>
    </row>
    <row r="270" spans="1:2">
      <c r="A270" s="68" t="s">
        <v>813</v>
      </c>
      <c r="B270" s="68">
        <v>81897719006</v>
      </c>
    </row>
    <row r="271" spans="1:2" ht="15">
      <c r="A271" s="73" t="s">
        <v>810</v>
      </c>
      <c r="B271" s="68">
        <v>81897719006</v>
      </c>
    </row>
    <row r="272" spans="1:2" ht="15">
      <c r="A272" s="73" t="s">
        <v>811</v>
      </c>
      <c r="B272" s="68">
        <v>81897719006</v>
      </c>
    </row>
    <row r="273" spans="1:2">
      <c r="A273" s="81" t="s">
        <v>1</v>
      </c>
      <c r="B273" s="81" t="s">
        <v>2</v>
      </c>
    </row>
    <row r="274" spans="1:2">
      <c r="A274" s="81" t="s">
        <v>1</v>
      </c>
      <c r="B274" s="81" t="s">
        <v>2</v>
      </c>
    </row>
    <row r="275" spans="1:2">
      <c r="A275" s="81" t="s">
        <v>1</v>
      </c>
      <c r="B275" s="81" t="s">
        <v>2</v>
      </c>
    </row>
    <row r="276" spans="1:2">
      <c r="A276" s="81" t="s">
        <v>1</v>
      </c>
      <c r="B276" s="81" t="s">
        <v>2</v>
      </c>
    </row>
    <row r="277" spans="1:2">
      <c r="A277" s="68" t="s">
        <v>144</v>
      </c>
      <c r="B277" s="68" t="s">
        <v>26</v>
      </c>
    </row>
    <row r="278" spans="1:2">
      <c r="A278" s="68" t="s">
        <v>144</v>
      </c>
      <c r="B278" s="68" t="s">
        <v>26</v>
      </c>
    </row>
    <row r="279" spans="1:2">
      <c r="A279" s="68" t="s">
        <v>144</v>
      </c>
      <c r="B279" s="68" t="s">
        <v>26</v>
      </c>
    </row>
    <row r="280" spans="1:2">
      <c r="A280" s="68" t="s">
        <v>144</v>
      </c>
      <c r="B280" s="68" t="s">
        <v>26</v>
      </c>
    </row>
    <row r="281" spans="1:2">
      <c r="A281" s="68" t="s">
        <v>507</v>
      </c>
      <c r="B281" s="68" t="s">
        <v>26</v>
      </c>
    </row>
    <row r="282" spans="1:2">
      <c r="A282" s="88"/>
      <c r="B282" s="88"/>
    </row>
    <row r="283" spans="1:2">
      <c r="A283" s="88"/>
      <c r="B283" s="88"/>
    </row>
    <row r="284" spans="1:2">
      <c r="A284" s="88"/>
      <c r="B284" s="88"/>
    </row>
    <row r="285" spans="1:2">
      <c r="A285" s="88"/>
      <c r="B285" s="88"/>
    </row>
  </sheetData>
  <autoFilter ref="A1:B281"/>
  <sortState ref="A2:B334">
    <sortCondition ref="B2:B334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cotação</vt:lpstr>
      <vt:lpstr>proposta RESUMIDA</vt:lpstr>
      <vt:lpstr>Planilha5</vt:lpstr>
      <vt:lpstr>PROPOSTA ITEM A ITEM</vt:lpstr>
      <vt:lpstr>Planilha2</vt:lpstr>
      <vt:lpstr>Planilha4</vt:lpstr>
      <vt:lpstr>Planilha1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Mergulhao</dc:creator>
  <cp:lastModifiedBy>Estoque</cp:lastModifiedBy>
  <dcterms:created xsi:type="dcterms:W3CDTF">2025-10-15T20:30:41Z</dcterms:created>
  <dcterms:modified xsi:type="dcterms:W3CDTF">2025-12-08T12:47:37Z</dcterms:modified>
</cp:coreProperties>
</file>