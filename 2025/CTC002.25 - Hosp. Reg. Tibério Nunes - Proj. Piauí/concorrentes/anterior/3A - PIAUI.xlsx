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le\Downloads\"/>
    </mc:Choice>
  </mc:AlternateContent>
  <xr:revisionPtr revIDLastSave="0" documentId="13_ncr:1_{BCA1AEC9-9D61-4466-B7B5-A617BB6B609E}" xr6:coauthVersionLast="47" xr6:coauthVersionMax="47" xr10:uidLastSave="{00000000-0000-0000-0000-000000000000}"/>
  <bookViews>
    <workbookView xWindow="-120" yWindow="-120" windowWidth="20730" windowHeight="11040" xr2:uid="{102989DC-AF2C-45EF-9388-31688E350D7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  <c r="E25" i="1" s="1"/>
</calcChain>
</file>

<file path=xl/sharedStrings.xml><?xml version="1.0" encoding="utf-8"?>
<sst xmlns="http://schemas.openxmlformats.org/spreadsheetml/2006/main" count="39" uniqueCount="39">
  <si>
    <t>Cont</t>
  </si>
  <si>
    <t>QTD</t>
  </si>
  <si>
    <t xml:space="preserve">Caixa de Instrumental </t>
  </si>
  <si>
    <t xml:space="preserve">Caixa Básica </t>
  </si>
  <si>
    <t xml:space="preserve">Caixa Básica para video </t>
  </si>
  <si>
    <t>Hipospádia</t>
  </si>
  <si>
    <t>Histerectomia</t>
  </si>
  <si>
    <t>Vascular</t>
  </si>
  <si>
    <t>Curetagem Uterina</t>
  </si>
  <si>
    <t>Hemorroidectomia</t>
  </si>
  <si>
    <t>Bucomaxilofacial</t>
  </si>
  <si>
    <t xml:space="preserve">Laminectomia </t>
  </si>
  <si>
    <t xml:space="preserve">Laparotomia Infantil </t>
  </si>
  <si>
    <t xml:space="preserve">Laparotomia </t>
  </si>
  <si>
    <t>Craniotomia</t>
  </si>
  <si>
    <t>Túnel do carpo</t>
  </si>
  <si>
    <t>Caixa de DVP/DVE</t>
  </si>
  <si>
    <t>DVP complemento de obeso</t>
  </si>
  <si>
    <t>Velas de Hegar</t>
  </si>
  <si>
    <t>Caixa Infantil</t>
  </si>
  <si>
    <t xml:space="preserve">Apendicectomia </t>
  </si>
  <si>
    <t>Colecistectomia</t>
  </si>
  <si>
    <t>Caixa Ortopédica</t>
  </si>
  <si>
    <t>Pagamento</t>
  </si>
  <si>
    <t>Antecipado</t>
  </si>
  <si>
    <t>Entrega</t>
  </si>
  <si>
    <t>120 dias</t>
  </si>
  <si>
    <t>Frete</t>
  </si>
  <si>
    <t>Procedencia</t>
  </si>
  <si>
    <t>Nacional</t>
  </si>
  <si>
    <t>Marca</t>
  </si>
  <si>
    <t>Quinelato</t>
  </si>
  <si>
    <t>não incluso</t>
  </si>
  <si>
    <t>Videolaparoscopia</t>
  </si>
  <si>
    <t>Pediatria</t>
  </si>
  <si>
    <t>Caixa Neolnatologia</t>
  </si>
  <si>
    <t>Valor por Caixa</t>
  </si>
  <si>
    <t>Valor Total</t>
  </si>
  <si>
    <t>TOTAL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</si>
</sst>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44" fontId="1" fillId="0" borderId="1" xfId="0" applyNumberFormat="1" applyFont="1" applyBorder="1" applyAlignment="1">
      <alignment horizontal="center"/>
    </xf>
    <xf numFmtId="0" fontId="1" fillId="0" borderId="0" xfId="0" applyFont="1"/>
    <xf numFmtId="44" fontId="1" fillId="0" borderId="1" xfId="0" applyNumberFormat="1" applyFont="1" applyBorder="1"/>
    <xf numFmtId="44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/>
    <xf numFmtId="4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3E7F-A62A-4099-8BE1-2281966D461D}">
  <dimension ref="A1:E34"/>
  <sheetViews>
    <sheetView tabSelected="1" topLeftCell="A16" workbookViewId="0">
      <selection activeCell="D18" sqref="D18"/>
    </sheetView>
  </sheetViews>
  <sheetFormatPr defaultColWidth="9" defaultRowHeight="14.25" x14ac:dyDescent="0.2"/>
  <cols>
    <col min="1" max="1" width="5.42578125" style="7" customWidth="1"/>
    <col min="2" max="2" width="5" style="7" bestFit="1" customWidth="1"/>
    <col min="3" max="3" width="37" style="4" customWidth="1"/>
    <col min="4" max="4" width="15" style="4" bestFit="1" customWidth="1"/>
    <col min="5" max="5" width="18" style="4" bestFit="1" customWidth="1"/>
    <col min="6" max="16384" width="9" style="4"/>
  </cols>
  <sheetData>
    <row r="1" spans="1:5" x14ac:dyDescent="0.2">
      <c r="A1" s="1" t="s">
        <v>0</v>
      </c>
      <c r="B1" s="1" t="s">
        <v>1</v>
      </c>
      <c r="C1" s="2" t="s">
        <v>2</v>
      </c>
      <c r="D1" s="3" t="s">
        <v>36</v>
      </c>
      <c r="E1" s="3" t="s">
        <v>37</v>
      </c>
    </row>
    <row r="2" spans="1:5" x14ac:dyDescent="0.2">
      <c r="A2" s="1">
        <v>1</v>
      </c>
      <c r="B2" s="1">
        <v>10</v>
      </c>
      <c r="C2" s="2" t="s">
        <v>3</v>
      </c>
      <c r="D2" s="5">
        <v>19920.3</v>
      </c>
      <c r="E2" s="5">
        <f>D2*B2</f>
        <v>199203</v>
      </c>
    </row>
    <row r="3" spans="1:5" x14ac:dyDescent="0.2">
      <c r="A3" s="1">
        <v>2</v>
      </c>
      <c r="B3" s="1">
        <v>1</v>
      </c>
      <c r="C3" s="2" t="s">
        <v>4</v>
      </c>
      <c r="D3" s="5">
        <v>15960.04</v>
      </c>
      <c r="E3" s="5">
        <f t="shared" ref="E3:E24" si="0">D3*B3</f>
        <v>15960.04</v>
      </c>
    </row>
    <row r="4" spans="1:5" x14ac:dyDescent="0.2">
      <c r="A4" s="1">
        <v>3</v>
      </c>
      <c r="B4" s="1">
        <v>1</v>
      </c>
      <c r="C4" s="2" t="s">
        <v>33</v>
      </c>
      <c r="D4" s="5">
        <v>70960</v>
      </c>
      <c r="E4" s="5">
        <f t="shared" si="0"/>
        <v>70960</v>
      </c>
    </row>
    <row r="5" spans="1:5" x14ac:dyDescent="0.2">
      <c r="A5" s="1">
        <v>4</v>
      </c>
      <c r="B5" s="1">
        <v>1</v>
      </c>
      <c r="C5" s="2" t="s">
        <v>5</v>
      </c>
      <c r="D5" s="5">
        <v>14197.3</v>
      </c>
      <c r="E5" s="5">
        <f t="shared" si="0"/>
        <v>14197.3</v>
      </c>
    </row>
    <row r="6" spans="1:5" x14ac:dyDescent="0.2">
      <c r="A6" s="1">
        <v>5</v>
      </c>
      <c r="B6" s="1">
        <v>5</v>
      </c>
      <c r="C6" s="2" t="s">
        <v>6</v>
      </c>
      <c r="D6" s="5">
        <v>32785</v>
      </c>
      <c r="E6" s="5">
        <f t="shared" si="0"/>
        <v>163925</v>
      </c>
    </row>
    <row r="7" spans="1:5" x14ac:dyDescent="0.2">
      <c r="A7" s="1">
        <v>6</v>
      </c>
      <c r="B7" s="1">
        <v>2</v>
      </c>
      <c r="C7" s="2" t="s">
        <v>7</v>
      </c>
      <c r="D7" s="5">
        <v>23368.3</v>
      </c>
      <c r="E7" s="5">
        <f t="shared" si="0"/>
        <v>46736.6</v>
      </c>
    </row>
    <row r="8" spans="1:5" x14ac:dyDescent="0.2">
      <c r="A8" s="1">
        <v>7</v>
      </c>
      <c r="B8" s="1">
        <v>4</v>
      </c>
      <c r="C8" s="2" t="s">
        <v>34</v>
      </c>
      <c r="D8" s="5">
        <v>14725.33</v>
      </c>
      <c r="E8" s="5">
        <f t="shared" si="0"/>
        <v>58901.32</v>
      </c>
    </row>
    <row r="9" spans="1:5" x14ac:dyDescent="0.2">
      <c r="A9" s="1">
        <v>8</v>
      </c>
      <c r="B9" s="1">
        <v>9</v>
      </c>
      <c r="C9" s="2" t="s">
        <v>8</v>
      </c>
      <c r="D9" s="5">
        <v>19191.95</v>
      </c>
      <c r="E9" s="5">
        <f t="shared" si="0"/>
        <v>172727.55000000002</v>
      </c>
    </row>
    <row r="10" spans="1:5" x14ac:dyDescent="0.2">
      <c r="A10" s="1">
        <v>9</v>
      </c>
      <c r="B10" s="1">
        <v>2</v>
      </c>
      <c r="C10" s="2" t="s">
        <v>9</v>
      </c>
      <c r="D10" s="5">
        <v>22755.360000000001</v>
      </c>
      <c r="E10" s="5">
        <f t="shared" si="0"/>
        <v>45510.720000000001</v>
      </c>
    </row>
    <row r="11" spans="1:5" x14ac:dyDescent="0.2">
      <c r="A11" s="1">
        <v>10</v>
      </c>
      <c r="B11" s="1">
        <v>1</v>
      </c>
      <c r="C11" s="2" t="s">
        <v>10</v>
      </c>
      <c r="D11" s="5">
        <v>62750</v>
      </c>
      <c r="E11" s="5">
        <f t="shared" si="0"/>
        <v>62750</v>
      </c>
    </row>
    <row r="12" spans="1:5" x14ac:dyDescent="0.2">
      <c r="A12" s="1">
        <v>11</v>
      </c>
      <c r="B12" s="1">
        <v>1</v>
      </c>
      <c r="C12" s="2" t="s">
        <v>11</v>
      </c>
      <c r="D12" s="5">
        <v>76377.850000000006</v>
      </c>
      <c r="E12" s="5">
        <f t="shared" si="0"/>
        <v>76377.850000000006</v>
      </c>
    </row>
    <row r="13" spans="1:5" x14ac:dyDescent="0.2">
      <c r="A13" s="1">
        <v>12</v>
      </c>
      <c r="B13" s="1">
        <v>5</v>
      </c>
      <c r="C13" s="2" t="s">
        <v>12</v>
      </c>
      <c r="D13" s="5">
        <v>24240.799999999999</v>
      </c>
      <c r="E13" s="5">
        <f t="shared" si="0"/>
        <v>121204</v>
      </c>
    </row>
    <row r="14" spans="1:5" x14ac:dyDescent="0.2">
      <c r="A14" s="1">
        <v>13</v>
      </c>
      <c r="B14" s="1">
        <v>5</v>
      </c>
      <c r="C14" s="2" t="s">
        <v>13</v>
      </c>
      <c r="D14" s="5">
        <v>58420</v>
      </c>
      <c r="E14" s="5">
        <f t="shared" si="0"/>
        <v>292100</v>
      </c>
    </row>
    <row r="15" spans="1:5" x14ac:dyDescent="0.2">
      <c r="A15" s="1">
        <v>14</v>
      </c>
      <c r="B15" s="1">
        <v>3</v>
      </c>
      <c r="C15" s="2" t="s">
        <v>14</v>
      </c>
      <c r="D15" s="5">
        <v>67779.06</v>
      </c>
      <c r="E15" s="5">
        <f t="shared" si="0"/>
        <v>203337.18</v>
      </c>
    </row>
    <row r="16" spans="1:5" x14ac:dyDescent="0.2">
      <c r="A16" s="1">
        <v>15</v>
      </c>
      <c r="B16" s="1">
        <v>1</v>
      </c>
      <c r="C16" s="2" t="s">
        <v>15</v>
      </c>
      <c r="D16" s="5">
        <v>4460</v>
      </c>
      <c r="E16" s="5">
        <f t="shared" si="0"/>
        <v>4460</v>
      </c>
    </row>
    <row r="17" spans="1:5" x14ac:dyDescent="0.2">
      <c r="A17" s="1">
        <v>16</v>
      </c>
      <c r="B17" s="1">
        <v>2</v>
      </c>
      <c r="C17" s="2" t="s">
        <v>16</v>
      </c>
      <c r="D17" s="5">
        <v>42758.55</v>
      </c>
      <c r="E17" s="5">
        <f t="shared" si="0"/>
        <v>85517.1</v>
      </c>
    </row>
    <row r="18" spans="1:5" x14ac:dyDescent="0.2">
      <c r="A18" s="1">
        <v>17</v>
      </c>
      <c r="B18" s="1">
        <v>1</v>
      </c>
      <c r="C18" s="2" t="s">
        <v>17</v>
      </c>
      <c r="D18" s="5">
        <v>22030.66</v>
      </c>
      <c r="E18" s="5">
        <f t="shared" si="0"/>
        <v>22030.66</v>
      </c>
    </row>
    <row r="19" spans="1:5" x14ac:dyDescent="0.2">
      <c r="A19" s="1">
        <v>18</v>
      </c>
      <c r="B19" s="1">
        <v>3</v>
      </c>
      <c r="C19" s="2" t="s">
        <v>18</v>
      </c>
      <c r="D19" s="5">
        <v>10752.33</v>
      </c>
      <c r="E19" s="5">
        <f t="shared" si="0"/>
        <v>32256.989999999998</v>
      </c>
    </row>
    <row r="20" spans="1:5" x14ac:dyDescent="0.2">
      <c r="A20" s="1">
        <v>19</v>
      </c>
      <c r="B20" s="1">
        <v>1</v>
      </c>
      <c r="C20" s="2" t="s">
        <v>19</v>
      </c>
      <c r="D20" s="5">
        <v>11971.55</v>
      </c>
      <c r="E20" s="5">
        <f t="shared" si="0"/>
        <v>11971.55</v>
      </c>
    </row>
    <row r="21" spans="1:5" x14ac:dyDescent="0.2">
      <c r="A21" s="1">
        <v>20</v>
      </c>
      <c r="B21" s="1">
        <v>1</v>
      </c>
      <c r="C21" s="2" t="s">
        <v>35</v>
      </c>
      <c r="D21" s="5">
        <v>7625.83</v>
      </c>
      <c r="E21" s="5">
        <f t="shared" si="0"/>
        <v>7625.83</v>
      </c>
    </row>
    <row r="22" spans="1:5" x14ac:dyDescent="0.2">
      <c r="A22" s="1">
        <v>21</v>
      </c>
      <c r="B22" s="1">
        <v>2</v>
      </c>
      <c r="C22" s="2" t="s">
        <v>20</v>
      </c>
      <c r="D22" s="5">
        <v>21090</v>
      </c>
      <c r="E22" s="5">
        <f t="shared" si="0"/>
        <v>42180</v>
      </c>
    </row>
    <row r="23" spans="1:5" x14ac:dyDescent="0.2">
      <c r="A23" s="1">
        <v>22</v>
      </c>
      <c r="B23" s="1">
        <v>5</v>
      </c>
      <c r="C23" s="2" t="s">
        <v>21</v>
      </c>
      <c r="D23" s="5">
        <v>33520.25</v>
      </c>
      <c r="E23" s="5">
        <f t="shared" si="0"/>
        <v>167601.25</v>
      </c>
    </row>
    <row r="24" spans="1:5" x14ac:dyDescent="0.2">
      <c r="A24" s="1">
        <v>23</v>
      </c>
      <c r="B24" s="1">
        <v>10</v>
      </c>
      <c r="C24" s="2" t="s">
        <v>22</v>
      </c>
      <c r="D24" s="5">
        <v>51350</v>
      </c>
      <c r="E24" s="5">
        <f t="shared" si="0"/>
        <v>513500</v>
      </c>
    </row>
    <row r="25" spans="1:5" ht="15" x14ac:dyDescent="0.25">
      <c r="C25" s="8" t="s">
        <v>38</v>
      </c>
      <c r="D25" s="8"/>
      <c r="E25" s="9">
        <f>SUM(E2:E24)</f>
        <v>2431033.94</v>
      </c>
    </row>
    <row r="26" spans="1:5" x14ac:dyDescent="0.2">
      <c r="E26" s="6"/>
    </row>
    <row r="27" spans="1:5" x14ac:dyDescent="0.2">
      <c r="E27" s="6"/>
    </row>
    <row r="28" spans="1:5" x14ac:dyDescent="0.2">
      <c r="E28" s="6"/>
    </row>
    <row r="30" spans="1:5" x14ac:dyDescent="0.2">
      <c r="D30" s="4" t="s">
        <v>23</v>
      </c>
      <c r="E30" s="4" t="s">
        <v>24</v>
      </c>
    </row>
    <row r="31" spans="1:5" x14ac:dyDescent="0.2">
      <c r="D31" s="4" t="s">
        <v>25</v>
      </c>
      <c r="E31" s="4" t="s">
        <v>26</v>
      </c>
    </row>
    <row r="32" spans="1:5" x14ac:dyDescent="0.2">
      <c r="D32" s="4" t="s">
        <v>27</v>
      </c>
      <c r="E32" s="4" t="s">
        <v>32</v>
      </c>
    </row>
    <row r="33" spans="4:5" x14ac:dyDescent="0.2">
      <c r="D33" s="4" t="s">
        <v>28</v>
      </c>
      <c r="E33" s="4" t="s">
        <v>29</v>
      </c>
    </row>
    <row r="34" spans="4:5" x14ac:dyDescent="0.2">
      <c r="D34" s="4" t="s">
        <v>30</v>
      </c>
      <c r="E34" s="4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Mergulhao</dc:creator>
  <cp:lastModifiedBy>Danielle  Portella</cp:lastModifiedBy>
  <dcterms:created xsi:type="dcterms:W3CDTF">2025-07-02T01:54:09Z</dcterms:created>
  <dcterms:modified xsi:type="dcterms:W3CDTF">2025-07-02T13:02:36Z</dcterms:modified>
</cp:coreProperties>
</file>