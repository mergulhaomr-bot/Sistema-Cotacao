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H:\Meu Drive\COTAÇÕES clientes\2025\UNIMED LONDRINA\"/>
    </mc:Choice>
  </mc:AlternateContent>
  <xr:revisionPtr revIDLastSave="0" documentId="8_{B4F4B2E9-32BE-4602-9942-C30428E4262C}" xr6:coauthVersionLast="47" xr6:coauthVersionMax="47" xr10:uidLastSave="{00000000-0000-0000-0000-000000000000}"/>
  <bookViews>
    <workbookView xWindow="-120" yWindow="-120" windowWidth="20730" windowHeight="11160" tabRatio="1000" xr2:uid="{00000000-000D-0000-FFFF-FFFF00000000}"/>
  </bookViews>
  <sheets>
    <sheet name=" Mat avulso Conjuntos pequenos" sheetId="4" r:id="rId1"/>
    <sheet name="Caixas Peq Amb" sheetId="5" r:id="rId2"/>
    <sheet name="Geral" sheetId="6" r:id="rId3"/>
    <sheet name="Gastro" sheetId="7" r:id="rId4"/>
    <sheet name="Gineco" sheetId="8" r:id="rId5"/>
    <sheet name="Procto" sheetId="9" r:id="rId6"/>
    <sheet name="Urolog" sheetId="10" r:id="rId7"/>
    <sheet name="Torax" sheetId="11" r:id="rId8"/>
    <sheet name="Cab e Pes" sheetId="12" r:id="rId9"/>
    <sheet name="Neuro" sheetId="13" r:id="rId10"/>
    <sheet name="Cardio" sheetId="14" r:id="rId11"/>
    <sheet name="Ortop" sheetId="16" r:id="rId12"/>
    <sheet name="Otorri" sheetId="18" r:id="rId13"/>
    <sheet name="Vasc" sheetId="19" r:id="rId14"/>
    <sheet name="Pediat" sheetId="20" r:id="rId15"/>
    <sheet name="Buco" sheetId="15" r:id="rId16"/>
    <sheet name="Masto" sheetId="21" r:id="rId17"/>
    <sheet name="Oftalmo" sheetId="32" r:id="rId18"/>
    <sheet name="LEGENDA" sheetId="23" r:id="rId19"/>
  </sheets>
  <definedNames>
    <definedName name="_xlnm._FilterDatabase" localSheetId="10" hidden="1">Cardio!$G$3:$G$74</definedName>
    <definedName name="_xlnm._FilterDatabase" localSheetId="12" hidden="1">Otorri!$B$36:$F$167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18" l="1"/>
  <c r="F139" i="6" l="1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38" i="6"/>
  <c r="F67" i="14"/>
  <c r="F191" i="18"/>
  <c r="F258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35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196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70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31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00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37" i="18"/>
  <c r="E5" i="32" l="1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4" i="32"/>
  <c r="D223" i="14" l="1"/>
  <c r="D197" i="14"/>
  <c r="D172" i="14"/>
  <c r="F230" i="18"/>
  <c r="F165" i="18"/>
  <c r="F96" i="18"/>
  <c r="F54" i="8" l="1"/>
  <c r="G71" i="15"/>
  <c r="G23" i="15"/>
  <c r="F47" i="6" l="1"/>
  <c r="G80" i="15" l="1"/>
  <c r="F173" i="13" l="1"/>
  <c r="F27" i="5"/>
  <c r="E51" i="13" l="1"/>
  <c r="F34" i="11"/>
  <c r="F36" i="11"/>
  <c r="F119" i="6"/>
  <c r="F85" i="6"/>
  <c r="F4" i="6"/>
  <c r="F5" i="6"/>
  <c r="F6" i="6"/>
  <c r="F7" i="6"/>
  <c r="F4" i="5" l="1"/>
  <c r="F41" i="21"/>
  <c r="F73" i="19"/>
  <c r="F32" i="18"/>
  <c r="F83" i="16"/>
  <c r="F91" i="16"/>
  <c r="F72" i="14"/>
  <c r="F4" i="16"/>
  <c r="F141" i="13"/>
  <c r="F3" i="13"/>
  <c r="F4" i="12"/>
  <c r="F20" i="7" l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4" i="9"/>
  <c r="F39" i="21" l="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44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6" i="20"/>
  <c r="F4" i="20"/>
  <c r="F132" i="19"/>
  <c r="F131" i="19"/>
  <c r="F130" i="19"/>
  <c r="F129" i="19"/>
  <c r="F128" i="19"/>
  <c r="F127" i="19"/>
  <c r="F126" i="19"/>
  <c r="F125" i="19"/>
  <c r="F134" i="19"/>
  <c r="F124" i="19"/>
  <c r="F116" i="19"/>
  <c r="F115" i="19"/>
  <c r="F114" i="19"/>
  <c r="F113" i="19"/>
  <c r="F112" i="19"/>
  <c r="F111" i="19"/>
  <c r="F110" i="19"/>
  <c r="F118" i="19"/>
  <c r="F109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104" i="19"/>
  <c r="F78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F4" i="18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104" i="16"/>
  <c r="F103" i="16"/>
  <c r="F102" i="16"/>
  <c r="F101" i="16"/>
  <c r="F100" i="16"/>
  <c r="F99" i="16"/>
  <c r="F127" i="16"/>
  <c r="F98" i="16"/>
  <c r="F89" i="16"/>
  <c r="F88" i="16"/>
  <c r="F87" i="16"/>
  <c r="F86" i="16"/>
  <c r="F85" i="16"/>
  <c r="F84" i="16"/>
  <c r="F75" i="16"/>
  <c r="F74" i="16"/>
  <c r="F73" i="16"/>
  <c r="F72" i="16"/>
  <c r="F71" i="16"/>
  <c r="F70" i="16"/>
  <c r="F69" i="16"/>
  <c r="F68" i="16"/>
  <c r="F67" i="16"/>
  <c r="F77" i="16"/>
  <c r="F66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59" i="16"/>
  <c r="G92" i="15"/>
  <c r="G91" i="15"/>
  <c r="G90" i="15"/>
  <c r="G89" i="15"/>
  <c r="G88" i="15"/>
  <c r="G87" i="15"/>
  <c r="G86" i="15"/>
  <c r="G85" i="15"/>
  <c r="G84" i="15"/>
  <c r="G83" i="15"/>
  <c r="G82" i="15"/>
  <c r="G81" i="15"/>
  <c r="G79" i="15"/>
  <c r="G78" i="15"/>
  <c r="G77" i="15"/>
  <c r="G76" i="15"/>
  <c r="G75" i="15"/>
  <c r="G74" i="15"/>
  <c r="G73" i="15"/>
  <c r="G72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94" i="15"/>
  <c r="G4" i="15"/>
  <c r="F70" i="14"/>
  <c r="F69" i="14"/>
  <c r="F68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D89" i="13"/>
  <c r="F56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38" i="12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31" i="10"/>
  <c r="F4" i="10"/>
  <c r="F28" i="9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76" i="8"/>
  <c r="F147" i="8"/>
  <c r="F140" i="8"/>
  <c r="F139" i="8"/>
  <c r="F138" i="8"/>
  <c r="F137" i="8"/>
  <c r="F136" i="8"/>
  <c r="F135" i="8"/>
  <c r="F134" i="8"/>
  <c r="F133" i="8"/>
  <c r="F132" i="8"/>
  <c r="F131" i="8"/>
  <c r="F142" i="8"/>
  <c r="F130" i="8"/>
  <c r="F122" i="8"/>
  <c r="F121" i="8"/>
  <c r="F120" i="8"/>
  <c r="F119" i="8"/>
  <c r="F118" i="8"/>
  <c r="F117" i="8"/>
  <c r="F124" i="8"/>
  <c r="F116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111" i="8"/>
  <c r="F80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75" i="8"/>
  <c r="F38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33" i="8"/>
  <c r="F4" i="8"/>
  <c r="F22" i="7"/>
  <c r="F21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E24" i="7"/>
  <c r="F4" i="7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48" i="5"/>
  <c r="F32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G122" i="4"/>
  <c r="G121" i="4"/>
  <c r="G120" i="4"/>
  <c r="G119" i="4"/>
  <c r="G118" i="4"/>
  <c r="G57" i="4"/>
  <c r="G56" i="4"/>
  <c r="G55" i="4"/>
  <c r="G54" i="4"/>
  <c r="G40" i="4"/>
  <c r="G39" i="4"/>
  <c r="G38" i="4"/>
  <c r="G37" i="4"/>
  <c r="G36" i="4"/>
  <c r="G115" i="4"/>
  <c r="G114" i="4"/>
  <c r="G90" i="4"/>
  <c r="G86" i="4"/>
  <c r="G85" i="4"/>
  <c r="G84" i="4"/>
  <c r="G83" i="4"/>
  <c r="G82" i="4"/>
  <c r="G81" i="4"/>
  <c r="G80" i="4"/>
  <c r="G79" i="4"/>
  <c r="G25" i="4"/>
  <c r="G23" i="4"/>
  <c r="G71" i="4"/>
  <c r="G70" i="4"/>
  <c r="G69" i="4"/>
  <c r="G22" i="4"/>
  <c r="G21" i="4"/>
  <c r="G17" i="4"/>
  <c r="G16" i="4"/>
  <c r="G12" i="4"/>
  <c r="G3" i="4"/>
  <c r="D40" i="4"/>
  <c r="D50" i="4"/>
  <c r="D53" i="4"/>
  <c r="D39" i="4"/>
  <c r="D52" i="4"/>
  <c r="D46" i="4"/>
  <c r="D48" i="4"/>
  <c r="D44" i="4"/>
  <c r="D45" i="4"/>
  <c r="D54" i="4"/>
  <c r="D51" i="4"/>
  <c r="D43" i="4"/>
  <c r="D47" i="4"/>
  <c r="D41" i="4"/>
  <c r="D49" i="4"/>
  <c r="E62" i="12"/>
</calcChain>
</file>

<file path=xl/sharedStrings.xml><?xml version="1.0" encoding="utf-8"?>
<sst xmlns="http://schemas.openxmlformats.org/spreadsheetml/2006/main" count="3951" uniqueCount="1708">
  <si>
    <t>Afastador de Obeso</t>
  </si>
  <si>
    <t>Caixa Básica Otorrino</t>
  </si>
  <si>
    <t>Caixa de Agulhas para Varizes</t>
  </si>
  <si>
    <t>Caixa de Biópsia de colo de útero</t>
  </si>
  <si>
    <t>Caixa de Bucomaxilo</t>
  </si>
  <si>
    <t>Caixa de Cesárea</t>
  </si>
  <si>
    <t>Caixa de Curetagem</t>
  </si>
  <si>
    <t>Caixa de Curetas Fenestradas Ginecológicas</t>
  </si>
  <si>
    <t>Caixa de Curetas Ortopédicas</t>
  </si>
  <si>
    <t>Caixa de Derivação Ventriculo Peritoneal (DVP)</t>
  </si>
  <si>
    <t>Caixa de Dilatadores Vascular</t>
  </si>
  <si>
    <t>Caixa de Histerectomia Via Vaginal</t>
  </si>
  <si>
    <t>Caixa de Material de Perfusão Cardio</t>
  </si>
  <si>
    <t>Caixa de Ortopedia Básica</t>
  </si>
  <si>
    <t>Caixa de Ortopedia Delicada</t>
  </si>
  <si>
    <t>Caixa de Osteótomos</t>
  </si>
  <si>
    <t>Caixa de Vascular</t>
  </si>
  <si>
    <t>Afastador Autoestático Jansen</t>
  </si>
  <si>
    <t>Afastador Autoestático Weitlaner 14 cm</t>
  </si>
  <si>
    <t>Afastador Autoestático Weitlaner 16 cm</t>
  </si>
  <si>
    <t>Afastador Balfour Grande</t>
  </si>
  <si>
    <t>Afastador Balfour Médio</t>
  </si>
  <si>
    <t>Afastador Burford</t>
  </si>
  <si>
    <t>Afastador de Colo Uterino</t>
  </si>
  <si>
    <t>Afastador Finochietto Grande</t>
  </si>
  <si>
    <t>Afastador Finochietto Médio</t>
  </si>
  <si>
    <t>Afastador Finochietto para Bebe</t>
  </si>
  <si>
    <t>Afastador Finochietto Pequeno</t>
  </si>
  <si>
    <t>Afastador Gosset Grande</t>
  </si>
  <si>
    <t>Afastador Gosset Médio</t>
  </si>
  <si>
    <t>Afastador Gosset Pequeno</t>
  </si>
  <si>
    <t>Afastador Harrington</t>
  </si>
  <si>
    <t>Afastador Maleável Grande</t>
  </si>
  <si>
    <t>Afastador Maleável Médio</t>
  </si>
  <si>
    <t>Afastador Maleável Pequeno</t>
  </si>
  <si>
    <t>Alicate Steinmann</t>
  </si>
  <si>
    <t>Anuscópio</t>
  </si>
  <si>
    <t>Bico de aspirador Yankauer</t>
  </si>
  <si>
    <t>Cateterismo</t>
  </si>
  <si>
    <t>Curativo</t>
  </si>
  <si>
    <t>Espéculo Grande</t>
  </si>
  <si>
    <t>Espéculo Médio</t>
  </si>
  <si>
    <t>Espéculo Pequeno</t>
  </si>
  <si>
    <t>Especulo Retal</t>
  </si>
  <si>
    <t>Kit Afastador Deaver</t>
  </si>
  <si>
    <t>Kit Afastados Afastador Atrio</t>
  </si>
  <si>
    <t>Kit Afastador Doyan Grande</t>
  </si>
  <si>
    <t>Kit Afastador Doyan Longo</t>
  </si>
  <si>
    <t>Kit Afastador Doyan Médio</t>
  </si>
  <si>
    <t>Kit Afastador Doyan Pequeno</t>
  </si>
  <si>
    <t>Kit Afastador Farabeuf Delicado</t>
  </si>
  <si>
    <t>Kit Afastador Farabeuf Grande</t>
  </si>
  <si>
    <t>Kit Afastador Langenbeck Grande</t>
  </si>
  <si>
    <t>Kit Afastador Langenbeck Médio</t>
  </si>
  <si>
    <t>Kit Afastador Langenbeck Pequeno</t>
  </si>
  <si>
    <t>Kit Afastador Richarson Grande</t>
  </si>
  <si>
    <t>Kit Afastador Richarson Médio</t>
  </si>
  <si>
    <t>Kit Afastador Richarson Pequeno</t>
  </si>
  <si>
    <t>Kit Afastador Senn Mueller</t>
  </si>
  <si>
    <t>Kit Afastador Volkmann 1 dente rombo</t>
  </si>
  <si>
    <t>Kit Afastador Volkmann 2 dente rombo</t>
  </si>
  <si>
    <t>Kit Afastador Volkmann 3 dente rombo</t>
  </si>
  <si>
    <t>Kit Afastador Volkmann 4 dente rombo</t>
  </si>
  <si>
    <t>Kit de Fleboextrator</t>
  </si>
  <si>
    <t>Passador de DVP</t>
  </si>
  <si>
    <t>Pinça de biópsia uterina Faure</t>
  </si>
  <si>
    <t>Pinça de biópsia uterina Prof. Medina</t>
  </si>
  <si>
    <t>Pinça de biópsia uterina Thoms-Gaylor</t>
  </si>
  <si>
    <t>Pinça de intubação Adulto</t>
  </si>
  <si>
    <t>Pinça de intubação Infantil</t>
  </si>
  <si>
    <t>Pinça de Tubo Circulação Extra Corpórea</t>
  </si>
  <si>
    <t>Pinça Winter Curva</t>
  </si>
  <si>
    <t>Pinça Winter Reta</t>
  </si>
  <si>
    <t>Porta Agulha Microcirurgia Castroviejo 14 cm</t>
  </si>
  <si>
    <t>Porta Agulha Microcirurgia Castroviejo 17 cm</t>
  </si>
  <si>
    <t>Porta Agulha Microcirurgia Castroviejo 20 cm</t>
  </si>
  <si>
    <t>Porta Agulhas Mathieu 14 cm sem videa</t>
  </si>
  <si>
    <t>Porta Agulhas Mathieu 17 cm sem videa</t>
  </si>
  <si>
    <t>Porta Agulhas Mayo-Hegar 14 cm com videa</t>
  </si>
  <si>
    <t>Porta Agulhas Mayo-Hegar 14 cm sem videa</t>
  </si>
  <si>
    <t>Porta Agulhas Mayo-Hegar 16 cm com videa</t>
  </si>
  <si>
    <t>Porta Agulhas Mayo-Hegar 16 cm sem videa</t>
  </si>
  <si>
    <t>Porta Agulhas Mayo-Hegar 18 cm com videa</t>
  </si>
  <si>
    <t>Porta Agulhas Mayo-Hegar 18 cm sem videa</t>
  </si>
  <si>
    <t>Porta Agulhas Mayo-Hegar 20 cm com videa</t>
  </si>
  <si>
    <t>Porta Agulhas Mayo-Hegar 20 cm sem videa</t>
  </si>
  <si>
    <t>Porta Agulhas Mayo-Hegar 23 cm com videa</t>
  </si>
  <si>
    <t>Porta Agulhas Mayo-Hegar 23 cm sem videa</t>
  </si>
  <si>
    <t>Porta Agulhas Mayo-Hegar 26 cm com videa</t>
  </si>
  <si>
    <t>Porta Agulhas Mayo-Hegar 26 cm sem videa</t>
  </si>
  <si>
    <t>Porta Agulhas Mayo-Hegar 30 cm com videa</t>
  </si>
  <si>
    <t>Porta Agulhas Mayo-Hegar 30 cm sem videa</t>
  </si>
  <si>
    <t>Porta Agulhas Para Coronárias 17 cm</t>
  </si>
  <si>
    <t>Porta Agulhas Para Coronárias 19 cm</t>
  </si>
  <si>
    <t>Porta Agulhas Para Coronárias 22 cm</t>
  </si>
  <si>
    <t>Porta Agulhas para fio de aço</t>
  </si>
  <si>
    <t>Porta Agulhas Ryder 13 cm</t>
  </si>
  <si>
    <t>Porta Agulhas Ryder 17,5cm</t>
  </si>
  <si>
    <t>Porta Agulhas Ryder 20 cm</t>
  </si>
  <si>
    <t>Porta Agulhas Ryder 23 cm</t>
  </si>
  <si>
    <t>Porta Agulhas Ryder 26 cm</t>
  </si>
  <si>
    <t>Retirada de ponto</t>
  </si>
  <si>
    <t>Rugina Farabeuf Curva</t>
  </si>
  <si>
    <t>Rugina Farabeuf Reta</t>
  </si>
  <si>
    <t>Serra Gigli</t>
  </si>
  <si>
    <t>Valvula de peso Steiner Longa</t>
  </si>
  <si>
    <t>Tamanho</t>
  </si>
  <si>
    <t>Quantidade</t>
  </si>
  <si>
    <t>Abaixador De Língua Bruenings</t>
  </si>
  <si>
    <t>Abaixador De Língua Wieder</t>
  </si>
  <si>
    <t>Afastador Adson</t>
  </si>
  <si>
    <t>25 cm</t>
  </si>
  <si>
    <t>Afastador Adson Baby Articulado</t>
  </si>
  <si>
    <t>14 cm</t>
  </si>
  <si>
    <t>Afastador Alm</t>
  </si>
  <si>
    <t>7 cm</t>
  </si>
  <si>
    <t>10 cm</t>
  </si>
  <si>
    <t>Afastador Autoestático Weitlaner rombo</t>
  </si>
  <si>
    <t>16 cm</t>
  </si>
  <si>
    <t>Afastador Balfour com valva curva de 45mm X 80mm</t>
  </si>
  <si>
    <t>100mm X 32mm X 270mm X 200mm</t>
  </si>
  <si>
    <t>60mm X 32mm X 270mm X 200mm</t>
  </si>
  <si>
    <t>Afastador Beckmann Adson ponta romba</t>
  </si>
  <si>
    <t>30 cm</t>
  </si>
  <si>
    <t>Afastador Breisky</t>
  </si>
  <si>
    <t>30 mm X 130mm X 32 cm</t>
  </si>
  <si>
    <t>Afastador Burford com 4 pás</t>
  </si>
  <si>
    <t>50mm X 60mm X 210mm X 230mm</t>
  </si>
  <si>
    <t>Afastador Cooley Atrial Direito</t>
  </si>
  <si>
    <t>45mm X 48mm X 21,5cm</t>
  </si>
  <si>
    <t>Afastador Cooley Atrial Esquerdo</t>
  </si>
  <si>
    <t>Afastador de Base Mandibular Largo</t>
  </si>
  <si>
    <t>Afastador Deaver Nº 1</t>
  </si>
  <si>
    <t>19mm X 18cm</t>
  </si>
  <si>
    <t>Afastador Deaver Nº 2</t>
  </si>
  <si>
    <t>22mm X 21,5cm</t>
  </si>
  <si>
    <t>Afastador Deaver Nº 4</t>
  </si>
  <si>
    <t>25mm X 30cm</t>
  </si>
  <si>
    <t>Afastador Deaver Nº 5</t>
  </si>
  <si>
    <t>25mm X 33cm</t>
  </si>
  <si>
    <t>Afastador Deaver Nº 6</t>
  </si>
  <si>
    <t>25mm X 36cm</t>
  </si>
  <si>
    <t>Afastador Deaver Nº 7</t>
  </si>
  <si>
    <t>38mm X 30cm</t>
  </si>
  <si>
    <t xml:space="preserve">Afastador Desmarres </t>
  </si>
  <si>
    <t>Afastador Farabeuf</t>
  </si>
  <si>
    <t>6mm X 10cm</t>
  </si>
  <si>
    <t>20mm X 17cm X 6cm</t>
  </si>
  <si>
    <t>10mm X 12cm X 4cm</t>
  </si>
  <si>
    <t>Afastador Farabeuf Para Atm</t>
  </si>
  <si>
    <t>Afastador Finochietto</t>
  </si>
  <si>
    <t>47mm X 54mm X 170mm X 220mm</t>
  </si>
  <si>
    <t>47mm X 54mm X 165mm X 188mm</t>
  </si>
  <si>
    <t>16mm X 18mm X 72mm X 70mm</t>
  </si>
  <si>
    <t>35mm X 45mm X 130mm X 170mm</t>
  </si>
  <si>
    <t>Afastador Fonon Duplo</t>
  </si>
  <si>
    <t>Afastador Gillies N. 1 Ponta romba</t>
  </si>
  <si>
    <t>18 cm</t>
  </si>
  <si>
    <t>Afastador Gillies N. 2 Ponta romba</t>
  </si>
  <si>
    <t>Afastador Gosset N° 1</t>
  </si>
  <si>
    <t>43mm X 18mm X 100 mm</t>
  </si>
  <si>
    <t>Afastador Gosset N° 2</t>
  </si>
  <si>
    <t>58mm X 65mm X 160mm</t>
  </si>
  <si>
    <t>Afastador Gosset N° 3</t>
  </si>
  <si>
    <t>73mm X 85mm X 200mm</t>
  </si>
  <si>
    <t>127mm X 62mm X 32cm</t>
  </si>
  <si>
    <t>Afastador Jansen rombo</t>
  </si>
  <si>
    <t>Afastador Labial Oringer</t>
  </si>
  <si>
    <t>Afastador Langenbeck N°1</t>
  </si>
  <si>
    <t>14 mm X 30 cm</t>
  </si>
  <si>
    <t>Afastador Langenbeck N°2</t>
  </si>
  <si>
    <t>16 mm X 30 cm</t>
  </si>
  <si>
    <t>Afastador Langenbeck N°3</t>
  </si>
  <si>
    <t>40 mm X 30 cm</t>
  </si>
  <si>
    <t>Afastador Minnesota</t>
  </si>
  <si>
    <t>Afastador Obwegeser</t>
  </si>
  <si>
    <t>40mm X 30mm X 21cm</t>
  </si>
  <si>
    <t>Afastador Obwegeser para Baixo</t>
  </si>
  <si>
    <t>11mm X 42mm X 21cm</t>
  </si>
  <si>
    <t>Afastador Obwegeser para Cima</t>
  </si>
  <si>
    <t>Afastador Obwegeser para Progenismo</t>
  </si>
  <si>
    <t>Afastador Obwegeser para Progenismo Modificado</t>
  </si>
  <si>
    <t>Afastador Obwegeser para Ramo</t>
  </si>
  <si>
    <t>Afastador para ATM Afastador de Borda Anterior de Côndilo</t>
  </si>
  <si>
    <t>Afastador para ATM Afastador de Borda Posterior de Côndilo</t>
  </si>
  <si>
    <t>Afastador Richarson</t>
  </si>
  <si>
    <t>50mm X 22mm X 25cm</t>
  </si>
  <si>
    <t>33mm X 29mm X 25cm</t>
  </si>
  <si>
    <t>24mm X 20mm X 25cm</t>
  </si>
  <si>
    <t xml:space="preserve">Afastador Senn Muller garra romba </t>
  </si>
  <si>
    <t>Afastador Suprapúbico Doyan</t>
  </si>
  <si>
    <t>Afastador Volkman 1 Dente</t>
  </si>
  <si>
    <t>21 cm</t>
  </si>
  <si>
    <t>Afastador Volkmann N° 1 rombo</t>
  </si>
  <si>
    <t>2,5 mm X 21,5 cm</t>
  </si>
  <si>
    <t>Afastador Volkmann N° 2 rombo</t>
  </si>
  <si>
    <t>8 mm X 21,5 cm</t>
  </si>
  <si>
    <t>Afastador Volkmann N° 3 rombo</t>
  </si>
  <si>
    <t>13 mm X 21,5 cm</t>
  </si>
  <si>
    <t>Afastador Volkmann N° 4 rombo</t>
  </si>
  <si>
    <t>18 mm X 21,5 cm</t>
  </si>
  <si>
    <t>Afastador Weitlaner 3x4 dentes</t>
  </si>
  <si>
    <t>Afastador Weitlaner 3x4 garra romba</t>
  </si>
  <si>
    <t>Afastador Wolkmann 2 dentes rombo</t>
  </si>
  <si>
    <t>Afastador Wolkmann 4 dentes rombo</t>
  </si>
  <si>
    <t>Afastador Wolkmann 6 dentes rombo</t>
  </si>
  <si>
    <t>Agulha de Varizes Nº 00</t>
  </si>
  <si>
    <t>1,75mm</t>
  </si>
  <si>
    <t>Agulha de Varizes Nº 02</t>
  </si>
  <si>
    <t>1,5mm</t>
  </si>
  <si>
    <t>Agulha de Varizes Nº 04</t>
  </si>
  <si>
    <t>1,25mm</t>
  </si>
  <si>
    <t>Agulha de Varizes Nº 06</t>
  </si>
  <si>
    <t>1mm</t>
  </si>
  <si>
    <t>Agulha de Varizes Nº 08</t>
  </si>
  <si>
    <t>0,9mm</t>
  </si>
  <si>
    <t>Agulha de Varizes Nº 10</t>
  </si>
  <si>
    <t>0,75mm</t>
  </si>
  <si>
    <t>Agulha de Varizes Nº 12</t>
  </si>
  <si>
    <t>0,6mm</t>
  </si>
  <si>
    <t>45 cm</t>
  </si>
  <si>
    <t>Anuscópio cirurgico médio</t>
  </si>
  <si>
    <t>60 X 32 mm</t>
  </si>
  <si>
    <t>Aspirador Cautério</t>
  </si>
  <si>
    <t xml:space="preserve">Aspirador de Laringe </t>
  </si>
  <si>
    <t>2,5mm X 40cm</t>
  </si>
  <si>
    <t xml:space="preserve">Aspirador Frazier </t>
  </si>
  <si>
    <t>16cm x 2,0mm</t>
  </si>
  <si>
    <t>16cm x 3,0mm</t>
  </si>
  <si>
    <t>16cm x 4,0mm</t>
  </si>
  <si>
    <t>16cm x 1,5mm</t>
  </si>
  <si>
    <t>Aspirador Frazier Angulado</t>
  </si>
  <si>
    <t>3mm X 20cm</t>
  </si>
  <si>
    <t>4mm X 20cm</t>
  </si>
  <si>
    <t>Aspirador Frazier Haste Distal</t>
  </si>
  <si>
    <t>Aureolótimo G</t>
  </si>
  <si>
    <t>42 mm</t>
  </si>
  <si>
    <t>Aureolótimo M</t>
  </si>
  <si>
    <t>38 mm</t>
  </si>
  <si>
    <t>Aureolótimo P</t>
  </si>
  <si>
    <t>24 mm</t>
  </si>
  <si>
    <t>Baliú</t>
  </si>
  <si>
    <t>20 cm</t>
  </si>
  <si>
    <t>Bandeja de Inox</t>
  </si>
  <si>
    <t>30X20X4 cm</t>
  </si>
  <si>
    <t>28 cm</t>
  </si>
  <si>
    <t>6 cm</t>
  </si>
  <si>
    <t>Cabo de aço de 75 cm</t>
  </si>
  <si>
    <t>75 cm</t>
  </si>
  <si>
    <t>Cabo de aço de 95 cm</t>
  </si>
  <si>
    <t>95 cm</t>
  </si>
  <si>
    <t>12 cm</t>
  </si>
  <si>
    <t>Cabo de Bisturi n° 4</t>
  </si>
  <si>
    <t>Cabo de Bisturi n° 7</t>
  </si>
  <si>
    <t>Cabo de Bisturi n°3 Longo</t>
  </si>
  <si>
    <t>Cabo de Serra Gigli</t>
  </si>
  <si>
    <t>Cabo Para Espelho</t>
  </si>
  <si>
    <t>15 cm</t>
  </si>
  <si>
    <t>Cânula Curva Para Perfusão Raiz de Aorta Adulto</t>
  </si>
  <si>
    <t>4 mm</t>
  </si>
  <si>
    <t>6 mm</t>
  </si>
  <si>
    <t>8 cm</t>
  </si>
  <si>
    <t>Cânula Dinkhuysen (Cardioplegia) 90°</t>
  </si>
  <si>
    <t>Cânula Frazier 19 Cm</t>
  </si>
  <si>
    <t>3mm X 19cm</t>
  </si>
  <si>
    <t>Cânula Frazier 22 Cm</t>
  </si>
  <si>
    <t>4mm X 22cm</t>
  </si>
  <si>
    <t>Cânula Graduada Frazier</t>
  </si>
  <si>
    <t>2mm</t>
  </si>
  <si>
    <t>Cânula Vascular Arterial Femural Adulto</t>
  </si>
  <si>
    <t>Cizalha Liston reta dupla articulação</t>
  </si>
  <si>
    <t>27 cm</t>
  </si>
  <si>
    <t>12 mm</t>
  </si>
  <si>
    <t>7 mm</t>
  </si>
  <si>
    <t>Clamp Bulldog De Bakey Curvo</t>
  </si>
  <si>
    <t>8,5 cm</t>
  </si>
  <si>
    <t>10,5 cm</t>
  </si>
  <si>
    <t>Clamp Bulldog De Bakey Reto</t>
  </si>
  <si>
    <t>Clamp Bulldog Dietrich Curvo</t>
  </si>
  <si>
    <t>5 cm</t>
  </si>
  <si>
    <t>Clamp Bulldog Dietrich Reto</t>
  </si>
  <si>
    <t>6,5 cm</t>
  </si>
  <si>
    <t>5,5 cm</t>
  </si>
  <si>
    <t xml:space="preserve">Clamp de Lees </t>
  </si>
  <si>
    <t>Conjunto de Laringoscópio Para Micro cirurgia de Laringe com 7 peças</t>
  </si>
  <si>
    <t>Costotomo de Collin</t>
  </si>
  <si>
    <t>19 cm</t>
  </si>
  <si>
    <t>Costótomo Gluck 22cm</t>
  </si>
  <si>
    <t>22 cm</t>
  </si>
  <si>
    <t xml:space="preserve">Cuba Rim </t>
  </si>
  <si>
    <t>700 ml</t>
  </si>
  <si>
    <t>Cúpula</t>
  </si>
  <si>
    <t>200 cm</t>
  </si>
  <si>
    <t>500 ml</t>
  </si>
  <si>
    <t xml:space="preserve">Cureta Hardy </t>
  </si>
  <si>
    <t>4mm X 26 cm</t>
  </si>
  <si>
    <t>6mm X 26 cm</t>
  </si>
  <si>
    <t>Cureta Lucas N. 84</t>
  </si>
  <si>
    <t>Cureta Lucas N. 85</t>
  </si>
  <si>
    <t xml:space="preserve">Cureta Lucas N. 87 </t>
  </si>
  <si>
    <t>Cureta Nicola Angulação Direita</t>
  </si>
  <si>
    <t>Cureta Nicola Angulação Esquerda</t>
  </si>
  <si>
    <t>Cureta Óssea Bruns 0</t>
  </si>
  <si>
    <t>17 cm</t>
  </si>
  <si>
    <t>Cureta Óssea Bruns 00</t>
  </si>
  <si>
    <t>Cureta Óssea Bruns 000</t>
  </si>
  <si>
    <t>Cureta Óssea Bruns 1</t>
  </si>
  <si>
    <t>Cureta Óssea Bruns 2</t>
  </si>
  <si>
    <t>Cureta Óssea Bruns 3</t>
  </si>
  <si>
    <t>Cureta Óssea Bruns 4</t>
  </si>
  <si>
    <t>Cureta Óssea Bruns 5</t>
  </si>
  <si>
    <t>Cureta Óssea Bruns 6</t>
  </si>
  <si>
    <t>Cureta Recamier N° 1</t>
  </si>
  <si>
    <t>Cureta Recamier N° 2</t>
  </si>
  <si>
    <t>Cureta Recamier N° 3</t>
  </si>
  <si>
    <t>Cureta Recamier N° 4</t>
  </si>
  <si>
    <t>Cureta Recamier N° 5</t>
  </si>
  <si>
    <t>Cureta Schroeder N°1</t>
  </si>
  <si>
    <t>Cureta Schroeder N°2</t>
  </si>
  <si>
    <t>Cureta Schroeder N°3</t>
  </si>
  <si>
    <t>Cureta Schroeder N°4</t>
  </si>
  <si>
    <t>Cureta Schroeder N°5</t>
  </si>
  <si>
    <t>Cureta Schroeder N°6</t>
  </si>
  <si>
    <t>Cureta Simon N°0 reta</t>
  </si>
  <si>
    <t xml:space="preserve">5,2mm X 22cm </t>
  </si>
  <si>
    <t>Cureta Sims N° 1</t>
  </si>
  <si>
    <t>Cureta Sims N° 2</t>
  </si>
  <si>
    <t>Cureta Sims N° 3</t>
  </si>
  <si>
    <t>Cureta Sims N° 4</t>
  </si>
  <si>
    <t>Cureta Sims N° 5</t>
  </si>
  <si>
    <t>Cureta Sims N° 6</t>
  </si>
  <si>
    <t>Descolador Davis</t>
  </si>
  <si>
    <t>Descolador Freer Duplo</t>
  </si>
  <si>
    <t>Descolador Molt N. 9</t>
  </si>
  <si>
    <t xml:space="preserve">Descolador Olivercrona </t>
  </si>
  <si>
    <t>23 cm</t>
  </si>
  <si>
    <t>Descolador Ramo Sverzut</t>
  </si>
  <si>
    <t>Dilatador vascular Bakes 1</t>
  </si>
  <si>
    <t>1,2mm X 1,2mm X 32 cm</t>
  </si>
  <si>
    <t>Dilatador vascular Bakes 10</t>
  </si>
  <si>
    <t>10mm X 2,2mm X 32 cm</t>
  </si>
  <si>
    <t>Dilatador vascular Bakes 11</t>
  </si>
  <si>
    <t>11mm X 2,2mm X 32 cm</t>
  </si>
  <si>
    <t>Dilatador vascular Bakes 12</t>
  </si>
  <si>
    <t>12mm X 2,2mm X 32 cm</t>
  </si>
  <si>
    <t>Dilatador vascular Bakes 13</t>
  </si>
  <si>
    <t>13mm X 2,2mm X 32 cm</t>
  </si>
  <si>
    <t>Dilatador vascular Bakes 2</t>
  </si>
  <si>
    <t>2mm X 1,6mm X 32 cm</t>
  </si>
  <si>
    <t>Dilatador vascular Bakes 3</t>
  </si>
  <si>
    <t>3mm X 1,6mm X 32 cm</t>
  </si>
  <si>
    <t>Dilatador vascular Bakes 4</t>
  </si>
  <si>
    <t>4mm X 1,6mm X 32 cm</t>
  </si>
  <si>
    <t>Dilatador vascular Bakes 5</t>
  </si>
  <si>
    <t>5mm X 1,6mm X 32 cm</t>
  </si>
  <si>
    <t>Dilatador vascular Bakes 6</t>
  </si>
  <si>
    <t>6mm X 2,2mm X 32 cm</t>
  </si>
  <si>
    <t>Dilatador vascular Bakes 7</t>
  </si>
  <si>
    <t>7mm X 2,2mm X 32 cm</t>
  </si>
  <si>
    <t>Dilatador vascular Bakes 8</t>
  </si>
  <si>
    <t>8mm X 2,2mm X 32 cm</t>
  </si>
  <si>
    <t>Dilatador vascular Bakes 9</t>
  </si>
  <si>
    <t>9mm X 2,2mm X 32 cm</t>
  </si>
  <si>
    <t>Dilatador vascular De Bakey</t>
  </si>
  <si>
    <t>1mm X 1mm X 20 cm</t>
  </si>
  <si>
    <t>1mm X 1,25mm X 20 cm</t>
  </si>
  <si>
    <t>1mm X 1,5mm X 20 cm</t>
  </si>
  <si>
    <t>1mm X 1,75mm X 20 cm</t>
  </si>
  <si>
    <t>1mm X 2mm X 20 cm</t>
  </si>
  <si>
    <t>1mm X 2,5mm X 20 cm</t>
  </si>
  <si>
    <t>1mm X 3mm X 20 cm</t>
  </si>
  <si>
    <t>1mm X 3,5mm X 20 cm</t>
  </si>
  <si>
    <t>1mm X 4mm X 20 cm</t>
  </si>
  <si>
    <t>1mm X 4,5mm X 20 cm</t>
  </si>
  <si>
    <t>1mm X 5mm X 20 cm</t>
  </si>
  <si>
    <t>Dilatadores Benique</t>
  </si>
  <si>
    <t>2,3mm</t>
  </si>
  <si>
    <t>2,7mm</t>
  </si>
  <si>
    <t>3mm</t>
  </si>
  <si>
    <t>3,3mm</t>
  </si>
  <si>
    <t>3,7mm</t>
  </si>
  <si>
    <t>4mm</t>
  </si>
  <si>
    <t>4,3mm</t>
  </si>
  <si>
    <t>4,7mm</t>
  </si>
  <si>
    <t>5mm</t>
  </si>
  <si>
    <t>5,3mm</t>
  </si>
  <si>
    <t>5,7mm</t>
  </si>
  <si>
    <t>6mm</t>
  </si>
  <si>
    <t>6,3mm</t>
  </si>
  <si>
    <t>6,7mm</t>
  </si>
  <si>
    <t>7mm</t>
  </si>
  <si>
    <t>7,3mm</t>
  </si>
  <si>
    <t>7,7mm</t>
  </si>
  <si>
    <t>8mm</t>
  </si>
  <si>
    <t>8,3mm</t>
  </si>
  <si>
    <t>8,7mm</t>
  </si>
  <si>
    <t>9mm</t>
  </si>
  <si>
    <t>9,3mm</t>
  </si>
  <si>
    <t>9,7mm</t>
  </si>
  <si>
    <t>10mm</t>
  </si>
  <si>
    <t>Elevador de Cushing Reto</t>
  </si>
  <si>
    <t xml:space="preserve">Espátula Abdominal Hibbon </t>
  </si>
  <si>
    <t>50mm X 33mm</t>
  </si>
  <si>
    <t>40mm X 33cm</t>
  </si>
  <si>
    <t>30mm X 33cm</t>
  </si>
  <si>
    <t>Espatula Maleável</t>
  </si>
  <si>
    <t>20mm X 14cm</t>
  </si>
  <si>
    <t>Espátula Maleável</t>
  </si>
  <si>
    <t>6mm X 20 cm</t>
  </si>
  <si>
    <t>8mm X 20 cm</t>
  </si>
  <si>
    <t>10mm X 20 cm</t>
  </si>
  <si>
    <t>12mm X 20 cm</t>
  </si>
  <si>
    <t xml:space="preserve">Espéculo Auricular </t>
  </si>
  <si>
    <t>Espéculo Collin com aspirador n° 1</t>
  </si>
  <si>
    <t>28x95mm</t>
  </si>
  <si>
    <t>Espéculo Collin com aspirador n° 2</t>
  </si>
  <si>
    <t>35x110mm</t>
  </si>
  <si>
    <t>Espéculo Collin com aspirador n° 3</t>
  </si>
  <si>
    <t>40x120mm</t>
  </si>
  <si>
    <t>Espéculo Collins N° 1</t>
  </si>
  <si>
    <t>28X95mm</t>
  </si>
  <si>
    <t>Espéculo Collins N° 2</t>
  </si>
  <si>
    <t>35X110mm</t>
  </si>
  <si>
    <t>Espéculo Collins N° 3</t>
  </si>
  <si>
    <t>40X120mm</t>
  </si>
  <si>
    <t>31mm X 15cm</t>
  </si>
  <si>
    <t>35mm X 15cm</t>
  </si>
  <si>
    <t>Espéculo Nasal de Killian Nº1</t>
  </si>
  <si>
    <t>35 mm</t>
  </si>
  <si>
    <t>Espéculo Nasal de Killian Nº3</t>
  </si>
  <si>
    <t>55 mm</t>
  </si>
  <si>
    <t>Espéculo Nasal de Killian Nº5</t>
  </si>
  <si>
    <t>75 mm</t>
  </si>
  <si>
    <t>Espéculo nasal infantil Hartmann</t>
  </si>
  <si>
    <t>Especulo Retal Mathieu Trivalve</t>
  </si>
  <si>
    <t>90 x 16mm</t>
  </si>
  <si>
    <t>Espelho N° 5 Sem Aumento com Cabo - Golgran</t>
  </si>
  <si>
    <t>Estilete Rummel</t>
  </si>
  <si>
    <t>Estojo perfurado</t>
  </si>
  <si>
    <t>32x16x8cm</t>
  </si>
  <si>
    <t>48x22x12cm</t>
  </si>
  <si>
    <t>32x22x09cm</t>
  </si>
  <si>
    <t>42x18x9cm</t>
  </si>
  <si>
    <t>30x7x5cm</t>
  </si>
  <si>
    <t>52x28x10cm</t>
  </si>
  <si>
    <t>18x8x5cm</t>
  </si>
  <si>
    <t>Forceps Exodontia Para molares inferiores ambos os lados, Chifre de Touro</t>
  </si>
  <si>
    <t>Forceps Exodontia Para molares superiores, lado direito</t>
  </si>
  <si>
    <t>Forceps Exodontia Para molares superiores, lado esquerdo</t>
  </si>
  <si>
    <t>Forceps Exodontia Para pré-molares incisivos,raízes inferiores,ambos os lados</t>
  </si>
  <si>
    <t>Forceps Exodontia Para prémolares e caninos superiores,ambosos lados</t>
  </si>
  <si>
    <t>Forceps Exodontia Para prémolares, incisivos e raízes superiores.</t>
  </si>
  <si>
    <t>Forceps Exodontia Para prémolares, universal</t>
  </si>
  <si>
    <t>Forceps Exodontia Para raízes inferiores, ambos os lados</t>
  </si>
  <si>
    <t>Forceps Exodontia Para sisos inferiores ambos os lados</t>
  </si>
  <si>
    <t>Forceps Exodontia Para sisos superiores ambos os lados Cabo emgancho</t>
  </si>
  <si>
    <t>Gancho Afastador Gillies Delicado</t>
  </si>
  <si>
    <t>Gancho Barros</t>
  </si>
  <si>
    <t>Gancho Fomon de Chapa</t>
  </si>
  <si>
    <t>Gancho Gilles</t>
  </si>
  <si>
    <t>Gancho Gilles Forte</t>
  </si>
  <si>
    <t>Gancho Para Movimentação Tessier</t>
  </si>
  <si>
    <t>Gancho para nervos Crile 90°</t>
  </si>
  <si>
    <t>Goiva Duck Bill bi-Articulada Boca 4mm</t>
  </si>
  <si>
    <t>Goiva Luer Curva</t>
  </si>
  <si>
    <t>4mm X 15cm</t>
  </si>
  <si>
    <t>Goiva Stille</t>
  </si>
  <si>
    <t>6mm X 23cm</t>
  </si>
  <si>
    <t>Histerômetro</t>
  </si>
  <si>
    <t>Localizador De Nervo N. 1</t>
  </si>
  <si>
    <t>Martelo Mead</t>
  </si>
  <si>
    <t>200g</t>
  </si>
  <si>
    <t>Martelo Neufield</t>
  </si>
  <si>
    <t>300g</t>
  </si>
  <si>
    <t>Micro Cortador N° 1</t>
  </si>
  <si>
    <t>Micro Cortador N° 2</t>
  </si>
  <si>
    <t>Micro Cortador N° 3</t>
  </si>
  <si>
    <t>Micro Cortador N° 4</t>
  </si>
  <si>
    <t>Micro Dissector Adson</t>
  </si>
  <si>
    <t>Micro Dissector Cushing n° 1</t>
  </si>
  <si>
    <t>Micro Dissector Cushing n° 2</t>
  </si>
  <si>
    <t>Micro Dissector Dandy Angulado</t>
  </si>
  <si>
    <t>Micro Dissector Dandy Reto</t>
  </si>
  <si>
    <t>Micro Dissector Hardy Direita</t>
  </si>
  <si>
    <t>Micro Dissector Hardy Esquerda</t>
  </si>
  <si>
    <t>Micro Dissector Hoen Angulado</t>
  </si>
  <si>
    <t>Micro Dissector Hoen Reto</t>
  </si>
  <si>
    <t>Micro Dissector Rhoton N° 1</t>
  </si>
  <si>
    <t>Micro Dissector Rhoton N° 10</t>
  </si>
  <si>
    <t>Micro Dissector Rhoton N° 11</t>
  </si>
  <si>
    <t>Micro Dissector Rhoton N° 12</t>
  </si>
  <si>
    <t>Micro Dissector Rhoton N° 13</t>
  </si>
  <si>
    <t>Micro Dissector Rhoton N° 14</t>
  </si>
  <si>
    <t>Micro Dissector Rhoton N° 2</t>
  </si>
  <si>
    <t>Micro Dissector Rhoton N° 3</t>
  </si>
  <si>
    <t>Micro Dissector Rhoton N° 4</t>
  </si>
  <si>
    <t>Micro Dissector Rhoton N° 5</t>
  </si>
  <si>
    <t>Micro Dissector Rhoton N° 6</t>
  </si>
  <si>
    <t>Micro Dissector Rhoton N° 7</t>
  </si>
  <si>
    <t>Micro Dissector Rhoton N° 8</t>
  </si>
  <si>
    <t>Micro Dissector Rhoton N° 9</t>
  </si>
  <si>
    <t>Ogiva</t>
  </si>
  <si>
    <t>11mm</t>
  </si>
  <si>
    <t>13mm</t>
  </si>
  <si>
    <t>15mm</t>
  </si>
  <si>
    <t>17mm</t>
  </si>
  <si>
    <t>25mm</t>
  </si>
  <si>
    <t>Osteótomo Lambotte</t>
  </si>
  <si>
    <t>4X4mm X 17 cm</t>
  </si>
  <si>
    <t>6X4mm X 17 cm</t>
  </si>
  <si>
    <t>8X4mm X 17 cm</t>
  </si>
  <si>
    <t>10X4mm X 17 cm</t>
  </si>
  <si>
    <t>12X4mm X 17 cm</t>
  </si>
  <si>
    <t>Osteótomo Stille</t>
  </si>
  <si>
    <t>10mm X 20cm</t>
  </si>
  <si>
    <t>20mm X 20cm</t>
  </si>
  <si>
    <t>Paquímetro Tipo Régua</t>
  </si>
  <si>
    <t>11 cm</t>
  </si>
  <si>
    <t>Parafuso Birdy</t>
  </si>
  <si>
    <t xml:space="preserve">Passador de cateter </t>
  </si>
  <si>
    <t>Passador de serra Gigli</t>
  </si>
  <si>
    <t>Periótomo Reto Flexível</t>
  </si>
  <si>
    <t>Pinça Adson com Dente</t>
  </si>
  <si>
    <t xml:space="preserve">Pinça Adson com Serrilha </t>
  </si>
  <si>
    <t>Pinça Adson protetora de Duramater</t>
  </si>
  <si>
    <t>Pinça Adson sem dente</t>
  </si>
  <si>
    <t>Pinça Allis</t>
  </si>
  <si>
    <t>Pinça Allis serrilha De Bakey</t>
  </si>
  <si>
    <t>Pinça Anatômica com Serrilha</t>
  </si>
  <si>
    <t>24 cm</t>
  </si>
  <si>
    <t>Pinça auricular Mcgee</t>
  </si>
  <si>
    <t>Pinça Baby Cook</t>
  </si>
  <si>
    <t>Pinça Backhaus</t>
  </si>
  <si>
    <t>13 cm</t>
  </si>
  <si>
    <t>Pinça Barret</t>
  </si>
  <si>
    <t>9 cm</t>
  </si>
  <si>
    <t>Pinça Blakesley Adulto Reta</t>
  </si>
  <si>
    <t>Pinça Bruchae Reta para Microlaringe</t>
  </si>
  <si>
    <t>Pinça Canal Deferente</t>
  </si>
  <si>
    <t>Pinça Cheron</t>
  </si>
  <si>
    <t xml:space="preserve">Pinça Clamp Anastomose Cooley </t>
  </si>
  <si>
    <t>20mm X 15 cm</t>
  </si>
  <si>
    <t>Pinça Clamp De Bakey Aneurisma Curva</t>
  </si>
  <si>
    <t>85mm X 26cm</t>
  </si>
  <si>
    <t>Pinça Clamp De Bakey Angulada 60°</t>
  </si>
  <si>
    <t>90mm X 20cm</t>
  </si>
  <si>
    <t>90mm X 28cm</t>
  </si>
  <si>
    <t>Pinça Clamp De Bakey Curvo</t>
  </si>
  <si>
    <t>70mm X 26cm</t>
  </si>
  <si>
    <t>Pinça Clamp De Bakey Reta</t>
  </si>
  <si>
    <t>75mm X 22cm</t>
  </si>
  <si>
    <t>Pinça Clamp Intestinal Kocher Curvo</t>
  </si>
  <si>
    <t>Pinça Clamp Intestinal Kocher Reto</t>
  </si>
  <si>
    <t>Pinça Clamp Lambert-Kay</t>
  </si>
  <si>
    <t>40mm X 21cm</t>
  </si>
  <si>
    <t>Pinça Clamp Leland-Jones 15°</t>
  </si>
  <si>
    <t>75mm X 19cm</t>
  </si>
  <si>
    <t>Pinça Clamp Leland-Jones 30°</t>
  </si>
  <si>
    <t xml:space="preserve">Pinça Clamp Satinsky </t>
  </si>
  <si>
    <t>35 mm X 26 cm</t>
  </si>
  <si>
    <t>55 mm X 26 cm</t>
  </si>
  <si>
    <t>60 mm X 26 cm</t>
  </si>
  <si>
    <t>Pinça Clamp Vascular Castañeda 30°</t>
  </si>
  <si>
    <t>48mm X 13 cm</t>
  </si>
  <si>
    <t>Pinça Clamp Vascular Castañeda 45°</t>
  </si>
  <si>
    <t>Pinça Clamp Vascular Castañeda S</t>
  </si>
  <si>
    <t>15mm X 12 cm</t>
  </si>
  <si>
    <t>23mm X 12 cm</t>
  </si>
  <si>
    <t>Pinça Collin Coração</t>
  </si>
  <si>
    <t>Pinça Cooley</t>
  </si>
  <si>
    <t>Pinça Dande</t>
  </si>
  <si>
    <t>Pinça De Bakey Angulada 60°</t>
  </si>
  <si>
    <t>Pinça De Bakey Angulada 90°</t>
  </si>
  <si>
    <t>Pinça De Bakey Coartação Reta</t>
  </si>
  <si>
    <t>Pinça De Bakey Curva</t>
  </si>
  <si>
    <t>Pinça De Biópsia Orofaringe</t>
  </si>
  <si>
    <t>Pinça De Enxerto Fenestrada</t>
  </si>
  <si>
    <t>Pinça de ordenha</t>
  </si>
  <si>
    <t>21,5cm</t>
  </si>
  <si>
    <t>Pinça Debakey Dissecção Intratunel</t>
  </si>
  <si>
    <t xml:space="preserve">Pinça Dente de Rato </t>
  </si>
  <si>
    <t>Pinça Desjardins</t>
  </si>
  <si>
    <t>Pinça Dietrich</t>
  </si>
  <si>
    <t xml:space="preserve">Pinça Dietrich </t>
  </si>
  <si>
    <t>Pinça Duval</t>
  </si>
  <si>
    <t>Pinça Espanhola</t>
  </si>
  <si>
    <t>Pinça Faure</t>
  </si>
  <si>
    <t>Pinça Forester Curva</t>
  </si>
  <si>
    <t>26 cm</t>
  </si>
  <si>
    <t>Pinça Forester Reta</t>
  </si>
  <si>
    <t>Pinça Forester Reto</t>
  </si>
  <si>
    <t>Pinça Gemini</t>
  </si>
  <si>
    <t>Pinça Gerald com dente de rato</t>
  </si>
  <si>
    <t>Pinça Goiva Echlin 23cm x 3mm</t>
  </si>
  <si>
    <t>3mm X 23cm</t>
  </si>
  <si>
    <t xml:space="preserve">Pinça Goiva Jansen </t>
  </si>
  <si>
    <t>Pinça Goiva Jansen 18cm x 3mm</t>
  </si>
  <si>
    <t>3mm X 18 cm</t>
  </si>
  <si>
    <t>Pinça Halsted Mosquito Curvo</t>
  </si>
  <si>
    <t>Pinça Halsted Mosquito Reto</t>
  </si>
  <si>
    <t>Pinça Handall Nº 1</t>
  </si>
  <si>
    <t>Pinça Handall Nº 2</t>
  </si>
  <si>
    <t>Pinça Handall Nº 3</t>
  </si>
  <si>
    <t>Pinça Handall Nº 4</t>
  </si>
  <si>
    <t>Pinça Hartmann Jacaré para Nariz</t>
  </si>
  <si>
    <t>Pinça Hartmann Sacabocado Direita</t>
  </si>
  <si>
    <t>Pinça Hartmann Sacabocado Esquerda</t>
  </si>
  <si>
    <t>Pinça Hemostáticas Adson</t>
  </si>
  <si>
    <t>Pinça Hipofaringe Jacaré</t>
  </si>
  <si>
    <t>Pinça Jaboma Com Widea</t>
  </si>
  <si>
    <t>Pinça Kelly Curva</t>
  </si>
  <si>
    <t>Pinça Kelly Reta</t>
  </si>
  <si>
    <t>Pinça Kerrison Boca Para Baixo 45°</t>
  </si>
  <si>
    <t>3mm X 28cm</t>
  </si>
  <si>
    <t>5mm X 28cm</t>
  </si>
  <si>
    <t>Pinça Kerrison Boca Para Baixo 90°</t>
  </si>
  <si>
    <t xml:space="preserve">Pinça Kerrison boca para cima 40º </t>
  </si>
  <si>
    <t>2mm X 28cm</t>
  </si>
  <si>
    <t>4mm X 28cm</t>
  </si>
  <si>
    <t xml:space="preserve">Pinça Kerrison reta para cima 90º </t>
  </si>
  <si>
    <t>Pinça Kocher</t>
  </si>
  <si>
    <t>Pinça Kocher Angulada Com Corrente</t>
  </si>
  <si>
    <t>Pinça Kocher Curva</t>
  </si>
  <si>
    <t>Pinça Kogan Mencke</t>
  </si>
  <si>
    <t>Pinça Lahey</t>
  </si>
  <si>
    <t>Pinça Lambotte</t>
  </si>
  <si>
    <t>Pinça Love Boca Para Baixo</t>
  </si>
  <si>
    <t>2mm X 18 cm</t>
  </si>
  <si>
    <t>4mm X 18 cm</t>
  </si>
  <si>
    <t>Pinça Love Boca Para Cima</t>
  </si>
  <si>
    <t>Pinça Love Boca Reta</t>
  </si>
  <si>
    <t xml:space="preserve">Pinça Love Boca Reta </t>
  </si>
  <si>
    <t xml:space="preserve">Pinça Love Gruenwald </t>
  </si>
  <si>
    <t>4mm X 14cm</t>
  </si>
  <si>
    <t>Pinça Lucae Baioneta Para Curativo Auricular</t>
  </si>
  <si>
    <t>14,5 cm</t>
  </si>
  <si>
    <t>Pinça Magill</t>
  </si>
  <si>
    <t>Pinça Micro Laringe Sacabocado Reta</t>
  </si>
  <si>
    <t>32 cm</t>
  </si>
  <si>
    <t>Pinça Mini Friedman Angulada</t>
  </si>
  <si>
    <t>Pinça Mixter</t>
  </si>
  <si>
    <t>Pinça Mixter Baby</t>
  </si>
  <si>
    <t>Pinça Museux</t>
  </si>
  <si>
    <t>Pinça Museux Jacobs Reta</t>
  </si>
  <si>
    <t>Pinça Nelson</t>
  </si>
  <si>
    <t>Pinça Nicola Para Biopsia</t>
  </si>
  <si>
    <t>Pinça para tumor Yasargil</t>
  </si>
  <si>
    <t>5mm X 22cm</t>
  </si>
  <si>
    <t>Pinça Pean</t>
  </si>
  <si>
    <t>Pinça Pean-Murphy</t>
  </si>
  <si>
    <t>Pinça Potts-Smith</t>
  </si>
  <si>
    <t>Pinça Pozzi</t>
  </si>
  <si>
    <t>Pinça Reynald</t>
  </si>
  <si>
    <t>Pinça Reynald para Tubos</t>
  </si>
  <si>
    <t>Pinça Rochester Curvo sem Dente</t>
  </si>
  <si>
    <t>Pinça Rochester Reto sem Dente</t>
  </si>
  <si>
    <t>Pinça Sacabocado para Biópsia Faure</t>
  </si>
  <si>
    <t>Pinça Sacabocado para Biópsia Prof. Medina</t>
  </si>
  <si>
    <t>Pinça Sacabocado para Biópsia Thomas-Gaylor</t>
  </si>
  <si>
    <t xml:space="preserve">Pinça Samil </t>
  </si>
  <si>
    <t>3mm X 22cm</t>
  </si>
  <si>
    <t>Pinça Satinsky</t>
  </si>
  <si>
    <t>Pinça Schinidt</t>
  </si>
  <si>
    <t>Pinça Takahashi Adulto Reta</t>
  </si>
  <si>
    <t xml:space="preserve">Pinça Tração de Vasectomia (Mosquito lisa) </t>
  </si>
  <si>
    <t>Pinça Yasargil Ponta regular baioneta</t>
  </si>
  <si>
    <t>Pinça Z Clamp Curva</t>
  </si>
  <si>
    <t>Pinças de dissecção Cushing</t>
  </si>
  <si>
    <t>Pinças de dissecção De Bakey</t>
  </si>
  <si>
    <t>Pinças de dissecção delicada</t>
  </si>
  <si>
    <t>Ponta Aspiradora Adulto Angulada 1/4</t>
  </si>
  <si>
    <t>Ponta Aspiradora Adulto Curva 1/4</t>
  </si>
  <si>
    <t>Ponta Aspiradora Adulto Reta 1/4</t>
  </si>
  <si>
    <t>Ponta Aspiradora Infantil Angulada 3/16</t>
  </si>
  <si>
    <t>Ponta Aspiradora Infantil Curva 3/16</t>
  </si>
  <si>
    <t>Ponta Aspiradora Infantil Reta 3/16</t>
  </si>
  <si>
    <t>Porta Agulha Castroviejo com Videa Curvo Cabo Redondo</t>
  </si>
  <si>
    <t xml:space="preserve">18 cm </t>
  </si>
  <si>
    <t xml:space="preserve">Porta Agulha Castroviejo com Videa e Trava Cabo Redondo </t>
  </si>
  <si>
    <t xml:space="preserve">Porta Agulha De Fio De Aço </t>
  </si>
  <si>
    <t>Porta Agulha Debakey Com Videa</t>
  </si>
  <si>
    <t xml:space="preserve">Porta Agulha Derf Com Widea </t>
  </si>
  <si>
    <t>14cm</t>
  </si>
  <si>
    <t xml:space="preserve">17cm </t>
  </si>
  <si>
    <t>20cm</t>
  </si>
  <si>
    <t>Porta Agulha para Coronária com Videa</t>
  </si>
  <si>
    <t>17cm</t>
  </si>
  <si>
    <t>Porta Agulhas Mayo Hegar com Widea</t>
  </si>
  <si>
    <t>Porta Agulhas Mayo Hegar sem Widea</t>
  </si>
  <si>
    <t>13cm</t>
  </si>
  <si>
    <t>Porta-agulha De Bakey com vídea</t>
  </si>
  <si>
    <t>Porta-agulha Rayder Micro</t>
  </si>
  <si>
    <t>23cm</t>
  </si>
  <si>
    <t>Porta-agulha Rayder Mini</t>
  </si>
  <si>
    <t>Puxador</t>
  </si>
  <si>
    <t xml:space="preserve">Rugina Lambotte curva </t>
  </si>
  <si>
    <t>Separador de Cavidade Smith</t>
  </si>
  <si>
    <t>Separador de Palato Turvey</t>
  </si>
  <si>
    <t>Tesoura Baliú</t>
  </si>
  <si>
    <t>Tesoura Bellucci Curva para Direita</t>
  </si>
  <si>
    <t xml:space="preserve">Tesoura Bellucci Curva para Esquerda </t>
  </si>
  <si>
    <t xml:space="preserve">Tesoura Castrovejo Curva </t>
  </si>
  <si>
    <t xml:space="preserve">Tesoura de Micro Laringe Reta </t>
  </si>
  <si>
    <t>Tesoura Dean Serrilhada</t>
  </si>
  <si>
    <t>Tesoura Frazier 18cm</t>
  </si>
  <si>
    <t>Tesoura Iris com Faceta Curva Ponta Fina</t>
  </si>
  <si>
    <t>Tesoura Iris Curva</t>
  </si>
  <si>
    <t>Tesoura Iris Reta</t>
  </si>
  <si>
    <t>Tesoura Joseph Curva</t>
  </si>
  <si>
    <t>Tesoura Joseph Reta</t>
  </si>
  <si>
    <t>Tesoura Mayo Curva</t>
  </si>
  <si>
    <t>Tesoura Mayo reta</t>
  </si>
  <si>
    <t>Tesoura Mayo Reta</t>
  </si>
  <si>
    <t xml:space="preserve">Tesoura Mayo Reta </t>
  </si>
  <si>
    <t>Tesoura Mayo-Harrington Curva</t>
  </si>
  <si>
    <t>Tesoura Mayo-Harrington Reta</t>
  </si>
  <si>
    <t>Tesoura Metzembaun Curva</t>
  </si>
  <si>
    <t>Tesoura Metzembaun Reta</t>
  </si>
  <si>
    <t>Tesoura Para Microendonasal</t>
  </si>
  <si>
    <t>Tesoura Potts 25°</t>
  </si>
  <si>
    <t xml:space="preserve">Tesoura Potts 40° </t>
  </si>
  <si>
    <t>Tesoura Potts 60°</t>
  </si>
  <si>
    <t>Tesoura Spencer</t>
  </si>
  <si>
    <t>Tesoura Yasargil Baioneta Ponta Curva</t>
  </si>
  <si>
    <t>Tesoura Yasargil Baioneta Ponta Reta</t>
  </si>
  <si>
    <t xml:space="preserve">Valva Doyen </t>
  </si>
  <si>
    <t>120mm X 60mm</t>
  </si>
  <si>
    <t>210mm X 70mm</t>
  </si>
  <si>
    <t>90mm X 60mm</t>
  </si>
  <si>
    <t>60mm X 60mm</t>
  </si>
  <si>
    <t>Valvula de peso Steiner lâmina Longa</t>
  </si>
  <si>
    <t>Velas de Hegar n° 1</t>
  </si>
  <si>
    <t>Velas de Hegar n° 10</t>
  </si>
  <si>
    <t>Velas de Hegar n° 11</t>
  </si>
  <si>
    <t>Velas de Hegar n° 12</t>
  </si>
  <si>
    <t>Velas de Hegar n° 13</t>
  </si>
  <si>
    <t>Velas de Hegar n° 14</t>
  </si>
  <si>
    <t>Velas de Hegar n° 15</t>
  </si>
  <si>
    <t>Velas de Hegar n° 2</t>
  </si>
  <si>
    <t>Velas de Hegar n° 3</t>
  </si>
  <si>
    <t>Velas de Hegar n° 4</t>
  </si>
  <si>
    <t>Velas de Hegar n° 5</t>
  </si>
  <si>
    <t>Velas de Hegar n° 6</t>
  </si>
  <si>
    <t>Velas de Hegar n° 7</t>
  </si>
  <si>
    <t>Velas de Hegar n° 8</t>
  </si>
  <si>
    <t>Velas de Hegar n° 9</t>
  </si>
  <si>
    <t>Conjunto</t>
  </si>
  <si>
    <t>Peça</t>
  </si>
  <si>
    <t xml:space="preserve">Unidades </t>
  </si>
  <si>
    <t>Quantidade Proposta</t>
  </si>
  <si>
    <t xml:space="preserve">Quantidade de Itens necessários </t>
  </si>
  <si>
    <t>24cm</t>
  </si>
  <si>
    <t xml:space="preserve">Bandeja de Bloqueio </t>
  </si>
  <si>
    <t xml:space="preserve">Pinça anatómica com serrilha </t>
  </si>
  <si>
    <t>Pinça dente de rato</t>
  </si>
  <si>
    <t>20mm X 17cm</t>
  </si>
  <si>
    <t xml:space="preserve">Afastador Sean Muller </t>
  </si>
  <si>
    <t>Mandril</t>
  </si>
  <si>
    <t>Pinças Sacabocado para biópsia Faure</t>
  </si>
  <si>
    <t>Pinças Sacabocado para biópsia Prof. Medina</t>
  </si>
  <si>
    <t>3mm X 24cm</t>
  </si>
  <si>
    <t>Pinças Sacabocado para biópsia Thoms-Gaylor</t>
  </si>
  <si>
    <t>19cm</t>
  </si>
  <si>
    <t>22cm</t>
  </si>
  <si>
    <t>17,5cm</t>
  </si>
  <si>
    <t>26cm</t>
  </si>
  <si>
    <t>15cm</t>
  </si>
  <si>
    <t>Caixas para cirurgias ambulatoriais</t>
  </si>
  <si>
    <t>Caixas de Pequenas Cirurgias - Ambulatorial - Pode ser usado em suturas, exerese de pequenas lesões, implante de portocath, vasectomia</t>
  </si>
  <si>
    <t>Quantidade Total Prevista de itens</t>
  </si>
  <si>
    <t>Total de peças</t>
  </si>
  <si>
    <t>Cabo de Bisturi n° 3</t>
  </si>
  <si>
    <t>200 ml</t>
  </si>
  <si>
    <t xml:space="preserve">Quantidade de Caixas </t>
  </si>
  <si>
    <t xml:space="preserve">Pinça Backhaus </t>
  </si>
  <si>
    <t>Pinça Pean Murphy</t>
  </si>
  <si>
    <t>20x10x05cm</t>
  </si>
  <si>
    <t xml:space="preserve">Caixas de Pequenos Procedimentos Ginecológicos - Ambulatorial - Pode ser usado em colposcopia, inserção de DIU, biópsias. </t>
  </si>
  <si>
    <t xml:space="preserve">Pinça Cheron </t>
  </si>
  <si>
    <t>Pinça Shinidt</t>
  </si>
  <si>
    <t>Caixas para cirurgias Gerais</t>
  </si>
  <si>
    <t xml:space="preserve">Caixa de Laparotomia Grande - atende cirurgias gastricas (gastrectomia, colectomia, hepatectomia, gastroplastia, esofagectomia), urológicas (nefrectomia, cistectomia, cistoplastia, prostatectomia) e ginecologicas (histerectomia, pan-histerectomia, anexerectomia) com acesso por via abdominal </t>
  </si>
  <si>
    <t>Unidades</t>
  </si>
  <si>
    <t>Pinça Kocher Reta</t>
  </si>
  <si>
    <t xml:space="preserve">Caixa de Laparotomia Básica - atende cirurgias gastricas (colecistectomia, apendicectomia), ginecologicas (laqueadura tubária) e cirurgia geral (hernioplastias) com acesso por via abdominal </t>
  </si>
  <si>
    <t>Caixa de Pequenos Procedimentos - atende cirurgias ginecologicas (bartolinectomia, plastica de vulva) e cirurgia geral (hernioplastias, biópsias, procedimentos de pele), amputação de pequenas partes, parto normal e ainda serve de apoio para várias cirurgias pequenas</t>
  </si>
  <si>
    <t>32 x 16 x 8 cm</t>
  </si>
  <si>
    <t>Conjunto de afastador thompson</t>
  </si>
  <si>
    <t>Conjunto de Afastador Blackwolker</t>
  </si>
  <si>
    <t xml:space="preserve">Caixas para cirurgias Gastrointestinais </t>
  </si>
  <si>
    <t>Caixa de Extração de Cálculo - Pode ser usada em colecistectomia e litotripsia</t>
  </si>
  <si>
    <t>Caixas para cirurgias ginegologicas e obstétricas</t>
  </si>
  <si>
    <t>Caixa Básica Ginecologia - Pode ser usada em colposcopia, perineoplastia, vulvectomia, bartolinectomia</t>
  </si>
  <si>
    <t xml:space="preserve">Pinça Kogan Mencke </t>
  </si>
  <si>
    <t>26cm X 12cm X 6cm</t>
  </si>
  <si>
    <t xml:space="preserve">Pinça Anatômica com serrilha </t>
  </si>
  <si>
    <t>26 x 12 x 6 cm</t>
  </si>
  <si>
    <t>Pinça Kocher reta</t>
  </si>
  <si>
    <t>Caixas para cirurgias Proctológicas</t>
  </si>
  <si>
    <t>Caixa de Proctologia - atende hemorroidectomia, amputação retal, fistula anal</t>
  </si>
  <si>
    <t>10mm X 12cm</t>
  </si>
  <si>
    <t xml:space="preserve">Pinça Adson com dente </t>
  </si>
  <si>
    <t xml:space="preserve">Pinça Adson sem dente </t>
  </si>
  <si>
    <t>Caixas para cirurgias Urológicas</t>
  </si>
  <si>
    <t>Caixa de Dilatador Benique - Dilatadores de uretra</t>
  </si>
  <si>
    <t>Caixas para cirurgias de Tórax</t>
  </si>
  <si>
    <t>Caixa de Torax - atende toracotomia, simpatectomia, drenagem de torax</t>
  </si>
  <si>
    <t xml:space="preserve">Pinça Mixter </t>
  </si>
  <si>
    <t>Rugina Farabeuf reta</t>
  </si>
  <si>
    <t>Caixas para cirurgias de Cabeça e Pescoço</t>
  </si>
  <si>
    <t>Caixa de Cabeça e Pescoço - atende tireoidectomia, linfadenectomia cervical, paratireoidectomia, laringectomia, laringoplastia</t>
  </si>
  <si>
    <t>13mm X 14cm</t>
  </si>
  <si>
    <t>Pinça Schimidt</t>
  </si>
  <si>
    <t>Tesoura Metzembaun curva</t>
  </si>
  <si>
    <t>Tesoura Metzembaun reta</t>
  </si>
  <si>
    <t>Caixa de Laringe - atende a laringectomia, biópsia de laringe, auxiliar em broncoscopia</t>
  </si>
  <si>
    <t>Pinça Cherron</t>
  </si>
  <si>
    <t>Pinça Backaus</t>
  </si>
  <si>
    <t>Pinça Mosquito Curva</t>
  </si>
  <si>
    <t>42 x 18 x 09cm</t>
  </si>
  <si>
    <t>Caixas para cirurgias Neurológicas</t>
  </si>
  <si>
    <t>Caixa de Neuro - atende cirurgias neurológicas de crânio e coluna em geral</t>
  </si>
  <si>
    <t>Pinça Dandy 14cm</t>
  </si>
  <si>
    <t>Porta Agulhas Rider</t>
  </si>
  <si>
    <t>Rugina Lambotte ponta 10 mm</t>
  </si>
  <si>
    <t>Caixa de Apoio para Microcirurgia Neurologia - usada em retirada de tumor, lobectomia e outras cirurgias com retiradas em áreas delicadas</t>
  </si>
  <si>
    <t xml:space="preserve">Caixa de material de apoio para coluna </t>
  </si>
  <si>
    <t>Caixas para cirurgias cardiacas</t>
  </si>
  <si>
    <t>Caixa de Cardiaca - atende cirurgias revascularização, troca de válvula, transplante</t>
  </si>
  <si>
    <t xml:space="preserve">Cúpula </t>
  </si>
  <si>
    <t>300 ml</t>
  </si>
  <si>
    <t>Porta Agulha Para Coronaria Com Videa</t>
  </si>
  <si>
    <t>Tesoura Metzenbaum Curva</t>
  </si>
  <si>
    <t>Tesoura Metzenbaum-Cardio Curva</t>
  </si>
  <si>
    <t>Caixas para cirurgias Bucomaxilofacial</t>
  </si>
  <si>
    <t>Afastador Senn Muller</t>
  </si>
  <si>
    <t>Cabo De Bisturi N. 3</t>
  </si>
  <si>
    <t>Pinça Adson Com Dente</t>
  </si>
  <si>
    <t xml:space="preserve">Pinça Kocher Reta </t>
  </si>
  <si>
    <t xml:space="preserve">Pinça Mosquito Curva </t>
  </si>
  <si>
    <t xml:space="preserve">Porta Agulha Mayo Hegar </t>
  </si>
  <si>
    <t xml:space="preserve">Tesoura Joseph Curva </t>
  </si>
  <si>
    <t xml:space="preserve">Tesoura Metzembaun Reta </t>
  </si>
  <si>
    <t>Caixas para cirurgias Ortopédicas</t>
  </si>
  <si>
    <t>Pinça Forester</t>
  </si>
  <si>
    <t>Régua de Aço Inox</t>
  </si>
  <si>
    <t>Rigina Farebeuf Curva</t>
  </si>
  <si>
    <t>Rigina Farebeuf Reta</t>
  </si>
  <si>
    <t>20X10X3 cm</t>
  </si>
  <si>
    <t>Afastador Sean Muller</t>
  </si>
  <si>
    <t>Caixas para cirurgias para Otorrinolaringologia</t>
  </si>
  <si>
    <t xml:space="preserve">Pinça Allis </t>
  </si>
  <si>
    <t>Pinça Anatomica</t>
  </si>
  <si>
    <t>Pinça Dente De Rato</t>
  </si>
  <si>
    <t>Pinças Schimidt</t>
  </si>
  <si>
    <t>Caixas para cirurgias vasculares</t>
  </si>
  <si>
    <t>Pinça Babcock</t>
  </si>
  <si>
    <t>Pinça Schnidt curva</t>
  </si>
  <si>
    <t>18 x 8 x 2 cm</t>
  </si>
  <si>
    <t xml:space="preserve">Caixa de Clamp Vascular Bulldog - Utilizado em cirurgia urológica, neuro e vascular, por isso melhor ser um kit separado </t>
  </si>
  <si>
    <t>Caixas para cirurgias Gerais Pediátricas</t>
  </si>
  <si>
    <t xml:space="preserve">Caixa de Laparotomia Infantil - atende cirurgias abdominais e toraxicas em pediatria, gastricas (colectomia, hepatectomia, gastroplastia, apendicectomia), urológicas (nefrectomia, cistectomia, cistoplastia) </t>
  </si>
  <si>
    <t xml:space="preserve">Caixas para cirurgias para Maste </t>
  </si>
  <si>
    <t>Caixa de Mastologia - Atende Mastectomia, mastoplastia, quadrantectomia, biópsias</t>
  </si>
  <si>
    <t>AFASTADOR FREEMAN LARGO 4 GARRAS</t>
  </si>
  <si>
    <t>GANCHOS DE CABO VERMELHO</t>
  </si>
  <si>
    <t>GANCHOS DELICADOS</t>
  </si>
  <si>
    <t>70 mm</t>
  </si>
  <si>
    <t>80 mm</t>
  </si>
  <si>
    <r>
      <t xml:space="preserve">Pinça Forester </t>
    </r>
    <r>
      <rPr>
        <sz val="10"/>
        <color rgb="FFFF0000"/>
        <rFont val="Arial"/>
        <family val="2"/>
        <scheme val="minor"/>
      </rPr>
      <t>reta</t>
    </r>
  </si>
  <si>
    <t>20x6x4cm</t>
  </si>
  <si>
    <t>117mmx37x3,0mm</t>
  </si>
  <si>
    <t>Forceps Exodontia Para fragmentos de raízes e raízes pequenas ,superior e inferiores</t>
  </si>
  <si>
    <t>Goiva Biarticulada Beyer reta</t>
  </si>
  <si>
    <t>26X3X3cm</t>
  </si>
  <si>
    <t>20mmX17cmX6cm</t>
  </si>
  <si>
    <t>13mmX14cmX4cm</t>
  </si>
  <si>
    <t>25mmX16 cm</t>
  </si>
  <si>
    <t>75mmX18 cm</t>
  </si>
  <si>
    <t xml:space="preserve">90mmX20cm </t>
  </si>
  <si>
    <t>90mmX28cm</t>
  </si>
  <si>
    <t>40mmX11 cm</t>
  </si>
  <si>
    <t>75mmX22cm</t>
  </si>
  <si>
    <t>65mmX18cm</t>
  </si>
  <si>
    <t>45mmX26cm</t>
  </si>
  <si>
    <t>55mmX26 cm</t>
  </si>
  <si>
    <t>60mmX27,5cm</t>
  </si>
  <si>
    <t>4,5mm</t>
  </si>
  <si>
    <t>5,5mm</t>
  </si>
  <si>
    <t>16cm</t>
  </si>
  <si>
    <t>25cm</t>
  </si>
  <si>
    <t>11cm</t>
  </si>
  <si>
    <t>9cm</t>
  </si>
  <si>
    <t>1/2X1/2</t>
  </si>
  <si>
    <t>Conector Reto 1/4X3/16</t>
  </si>
  <si>
    <t>Conector Reto 1/2X1/2</t>
  </si>
  <si>
    <t>Conector Reto 3/16X3/16</t>
  </si>
  <si>
    <t>Conector Reto 3/8X1/2</t>
  </si>
  <si>
    <t>Conector Reto 3/8X1/4</t>
  </si>
  <si>
    <t>Conector Reto 3/8X3/8</t>
  </si>
  <si>
    <t>Conector Y 3/8X3/8X3/8</t>
  </si>
  <si>
    <t>3/8X3/8X3/8</t>
  </si>
  <si>
    <t>3/8X3/8</t>
  </si>
  <si>
    <t>3/8X1/4</t>
  </si>
  <si>
    <t>3/8X1/2</t>
  </si>
  <si>
    <t>3/16X3/16</t>
  </si>
  <si>
    <t>1/4X3/16</t>
  </si>
  <si>
    <t>10mmX12cmX4cm</t>
  </si>
  <si>
    <t>20mmX 17cmX6cm</t>
  </si>
  <si>
    <t>16cmX6mm</t>
  </si>
  <si>
    <t>32x16x8 cm</t>
  </si>
  <si>
    <t>1,2mmX1,2mmX32 cm</t>
  </si>
  <si>
    <t>10mmX2,2mmX32 cm</t>
  </si>
  <si>
    <t>11mmX2,2mmX32 cm</t>
  </si>
  <si>
    <t>12mmX2,2mmX32 cm</t>
  </si>
  <si>
    <t>13mmX2,2mmX32 cm</t>
  </si>
  <si>
    <t>2mmX1,6mmX32 cm</t>
  </si>
  <si>
    <t>3mmX1,6mmX32 cm</t>
  </si>
  <si>
    <t>4mmX1,6mmX32 cm</t>
  </si>
  <si>
    <t>5mmX1,6mmX32 cm</t>
  </si>
  <si>
    <t>6mmX2,2mmX32 cm</t>
  </si>
  <si>
    <t>7mmX2,2mmX32 cm</t>
  </si>
  <si>
    <t>8mmX2,2mmX32 cm</t>
  </si>
  <si>
    <t>9mmX2,2mmX32 cm</t>
  </si>
  <si>
    <t>1mmX22cm</t>
  </si>
  <si>
    <t>10mmX22cm</t>
  </si>
  <si>
    <t>12mmX22cm</t>
  </si>
  <si>
    <t>14mmX22cm</t>
  </si>
  <si>
    <t>11mmX22cm</t>
  </si>
  <si>
    <t>13mmX22cm</t>
  </si>
  <si>
    <t>15mmX22cm</t>
  </si>
  <si>
    <t>2mmX22cm</t>
  </si>
  <si>
    <t>3mmX22cm</t>
  </si>
  <si>
    <t>4mmX22cm</t>
  </si>
  <si>
    <t>5mmX22cm</t>
  </si>
  <si>
    <t>6mmX22cm</t>
  </si>
  <si>
    <t>7mmX22cm</t>
  </si>
  <si>
    <t>9mmX22cm</t>
  </si>
  <si>
    <t>8mmX22cm</t>
  </si>
  <si>
    <t>28cm</t>
  </si>
  <si>
    <t>200ml</t>
  </si>
  <si>
    <t>31cm</t>
  </si>
  <si>
    <t>21cm</t>
  </si>
  <si>
    <t>10mmX12cm</t>
  </si>
  <si>
    <t>8X16X6cm</t>
  </si>
  <si>
    <t>21cmx20mm</t>
  </si>
  <si>
    <t>18cmx5mm</t>
  </si>
  <si>
    <t>6x18X10cm</t>
  </si>
  <si>
    <t>11mmX 65mm X 21cm</t>
  </si>
  <si>
    <t>8x50mm</t>
  </si>
  <si>
    <t>Cinzel 1 Guia Direito</t>
  </si>
  <si>
    <t>Cinzel 1 Guia Esquerdo</t>
  </si>
  <si>
    <t>Cinzel Com Ponta V</t>
  </si>
  <si>
    <t xml:space="preserve">Cinzel Marca Profundidade Curva Forte </t>
  </si>
  <si>
    <t xml:space="preserve">Cinzel Marca Profundidade Reto </t>
  </si>
  <si>
    <t>Cinzel Wagner Angulado</t>
  </si>
  <si>
    <t>Afastador para ATM Afastador de Fossa Mandibula n°3</t>
  </si>
  <si>
    <t>N°3</t>
  </si>
  <si>
    <t>N.84</t>
  </si>
  <si>
    <t>N.85</t>
  </si>
  <si>
    <t>N.87</t>
  </si>
  <si>
    <t>Cureta Molt 2-4</t>
  </si>
  <si>
    <t>Descolador Molt/2 Duplo Reto</t>
  </si>
  <si>
    <t>Espéculo Hartmann Adulto N.2</t>
  </si>
  <si>
    <t>Espéculo Hartmann Adulto N.3</t>
  </si>
  <si>
    <t>15 cm 5x6 dentes</t>
  </si>
  <si>
    <t>Régua milimetrada</t>
  </si>
  <si>
    <t>Seringa para Anestesia com Refluxo</t>
  </si>
  <si>
    <t>31x16x8cm</t>
  </si>
  <si>
    <t>Tesoura de Fio De Aço</t>
  </si>
  <si>
    <t>LEGENDA</t>
  </si>
  <si>
    <t>A</t>
  </si>
  <si>
    <t>Aberta</t>
  </si>
  <si>
    <t>V</t>
  </si>
  <si>
    <t xml:space="preserve">Vídeo </t>
  </si>
  <si>
    <t>NEUROPED</t>
  </si>
  <si>
    <t>Neuropediatria</t>
  </si>
  <si>
    <t>URO INF</t>
  </si>
  <si>
    <t>Urologia Infantil</t>
  </si>
  <si>
    <t>TOR</t>
  </si>
  <si>
    <t>Torácica</t>
  </si>
  <si>
    <t>MAT VID</t>
  </si>
  <si>
    <t xml:space="preserve">Material Vídeo </t>
  </si>
  <si>
    <t>MAT AVU</t>
  </si>
  <si>
    <t>Material Avulso</t>
  </si>
  <si>
    <t>PIN VID</t>
  </si>
  <si>
    <t xml:space="preserve">Pinça Vídeo </t>
  </si>
  <si>
    <t>GINEC VID</t>
  </si>
  <si>
    <t>Ginecologia Vídeo</t>
  </si>
  <si>
    <t>HIST AMB</t>
  </si>
  <si>
    <t>Histeroscopia Ambulatorial</t>
  </si>
  <si>
    <t>HIST CIR</t>
  </si>
  <si>
    <t>Histeroscopia Cirurgica</t>
  </si>
  <si>
    <t>RTU MONO</t>
  </si>
  <si>
    <t>RTU Monopolar</t>
  </si>
  <si>
    <t>RTU BIP</t>
  </si>
  <si>
    <t>RTU Bipolar</t>
  </si>
  <si>
    <t>ANEST</t>
  </si>
  <si>
    <t>Anestesia</t>
  </si>
  <si>
    <t>OTIC</t>
  </si>
  <si>
    <t>Óticas</t>
  </si>
  <si>
    <t>Caixa Pequena Ambulatorio</t>
  </si>
  <si>
    <t>Geral</t>
  </si>
  <si>
    <t>Gastroenterologia</t>
  </si>
  <si>
    <t>Ginecologia</t>
  </si>
  <si>
    <t>Proctologia</t>
  </si>
  <si>
    <t>Urologia</t>
  </si>
  <si>
    <t>Torax</t>
  </si>
  <si>
    <t>Cabeça e Pescoço</t>
  </si>
  <si>
    <t>Neurologia</t>
  </si>
  <si>
    <t>Cardiologia</t>
  </si>
  <si>
    <t>Ortopedia</t>
  </si>
  <si>
    <t>Otorrinolaringologista</t>
  </si>
  <si>
    <t>Vascular</t>
  </si>
  <si>
    <t>Pediatria</t>
  </si>
  <si>
    <t>Mastologia</t>
  </si>
  <si>
    <t>Buco</t>
  </si>
  <si>
    <t>Anestesia e Ventilação</t>
  </si>
  <si>
    <t>CX PEQ AMB</t>
  </si>
  <si>
    <t>URO</t>
  </si>
  <si>
    <t>ORT</t>
  </si>
  <si>
    <t>OTO</t>
  </si>
  <si>
    <t>VAS</t>
  </si>
  <si>
    <t>PED</t>
  </si>
  <si>
    <t>GAST</t>
  </si>
  <si>
    <t>GINEC</t>
  </si>
  <si>
    <t>PROCT</t>
  </si>
  <si>
    <t>CAB PES</t>
  </si>
  <si>
    <t>NEURO</t>
  </si>
  <si>
    <t>MAST</t>
  </si>
  <si>
    <t>BUCO</t>
  </si>
  <si>
    <t>ANEST/ VENT</t>
  </si>
  <si>
    <t>Conjuntos Pequenos</t>
  </si>
  <si>
    <t>CJ PEQ</t>
  </si>
  <si>
    <t>A-MAT AVU-01</t>
  </si>
  <si>
    <t>CÓDIGO INTERNO</t>
  </si>
  <si>
    <t>A-MAT AVU-02</t>
  </si>
  <si>
    <t>A-MAT AVU-03</t>
  </si>
  <si>
    <t>A-MAT AVU-04</t>
  </si>
  <si>
    <t>A-MAT AVU-05</t>
  </si>
  <si>
    <t>A-MAT AVU-06</t>
  </si>
  <si>
    <t>A-MAT AVU-07</t>
  </si>
  <si>
    <t>A-MAT AVU-08</t>
  </si>
  <si>
    <t>A-MAT AVU-09</t>
  </si>
  <si>
    <t>A-MAT AVU-10</t>
  </si>
  <si>
    <t>A-MAT AVU-11</t>
  </si>
  <si>
    <t>A-MAT AVU-12</t>
  </si>
  <si>
    <t>A-MAT AVU-13</t>
  </si>
  <si>
    <t>A-MAT AVU-14</t>
  </si>
  <si>
    <t>A-MAT AVU-15</t>
  </si>
  <si>
    <t>A-MAT AVU-16</t>
  </si>
  <si>
    <t>A-MAT AVU-17</t>
  </si>
  <si>
    <t>A-MAT AVU-18</t>
  </si>
  <si>
    <t>A-MAT AVU-19</t>
  </si>
  <si>
    <t>A-MAT AVU-20</t>
  </si>
  <si>
    <t>A-CJ PEQ-01</t>
  </si>
  <si>
    <t>A-CJ PEQ-02</t>
  </si>
  <si>
    <t>A-CJ PEQ-03</t>
  </si>
  <si>
    <t>A-MAT AVU-21</t>
  </si>
  <si>
    <t>A-MAT AVU-22</t>
  </si>
  <si>
    <t>A-MAT AVU-23</t>
  </si>
  <si>
    <t>A-MAT AVU-24</t>
  </si>
  <si>
    <t>A-CJ PEQ-04</t>
  </si>
  <si>
    <t>A-CJ PEQ-05</t>
  </si>
  <si>
    <t>A-CJ PEQ-06</t>
  </si>
  <si>
    <t>A-CJ PEQ-07</t>
  </si>
  <si>
    <t>A-CJ PEQ-08</t>
  </si>
  <si>
    <t>A-CJ PEQ-09</t>
  </si>
  <si>
    <t>A-CJ PEQ-10</t>
  </si>
  <si>
    <t>A-CJ PEQ-11</t>
  </si>
  <si>
    <t>A-CJ PEQ-12</t>
  </si>
  <si>
    <t>A-CJ PEQ-13</t>
  </si>
  <si>
    <t>A-CJ PEQ-14</t>
  </si>
  <si>
    <t>A-CJ PEQ-15</t>
  </si>
  <si>
    <t>A-CJ PEQ-16</t>
  </si>
  <si>
    <t>A-CJ PEQ-17</t>
  </si>
  <si>
    <t>A-CJ PEQ-18</t>
  </si>
  <si>
    <t>A-CJ PEQ-19</t>
  </si>
  <si>
    <t>A-CJ PEQ-20</t>
  </si>
  <si>
    <t>A-CJ PEQ-21</t>
  </si>
  <si>
    <t>A-CJ PEQ-22</t>
  </si>
  <si>
    <t>A-CJ PEQ-23</t>
  </si>
  <si>
    <t>A-CJ PEQ-24</t>
  </si>
  <si>
    <t>A-MAT AVU-25</t>
  </si>
  <si>
    <t>A-MAT AVU-26</t>
  </si>
  <si>
    <t>A-MAT AVU-27</t>
  </si>
  <si>
    <t>A-MAT AVU-28</t>
  </si>
  <si>
    <t>A-MAT AVU-29</t>
  </si>
  <si>
    <t>A-MAT AVU-30</t>
  </si>
  <si>
    <t>A-MAT AVU-31</t>
  </si>
  <si>
    <t>A-MAT AVU-32</t>
  </si>
  <si>
    <t>A-MAT AVU-33</t>
  </si>
  <si>
    <t>A-MAT AVU-34</t>
  </si>
  <si>
    <t>A-MAT AVU-35</t>
  </si>
  <si>
    <t>A-MAT AVU-36</t>
  </si>
  <si>
    <t>A-MAT AVU-37</t>
  </si>
  <si>
    <t>A-MAT AVU-38</t>
  </si>
  <si>
    <t>A-MAT AVU-39</t>
  </si>
  <si>
    <t>A-MAT AVU-40</t>
  </si>
  <si>
    <t>A-MAT AVU-41</t>
  </si>
  <si>
    <t>A-MAT AVU-42</t>
  </si>
  <si>
    <t>A-MAT AVU-43</t>
  </si>
  <si>
    <t>A-MAT AVU-44</t>
  </si>
  <si>
    <t>A-MAT AVU-45</t>
  </si>
  <si>
    <t>A-MAT AVU-46</t>
  </si>
  <si>
    <t>A-MAT AVU-47</t>
  </si>
  <si>
    <t>A-MAT AVU-48</t>
  </si>
  <si>
    <t>A-MAT AVU-49</t>
  </si>
  <si>
    <t>A-MAT AVU-50</t>
  </si>
  <si>
    <t>A-MAT AVU-51</t>
  </si>
  <si>
    <t>A-MAT AVU-52</t>
  </si>
  <si>
    <t>A-MAT AVU-53</t>
  </si>
  <si>
    <t>A-MAT AVU-54</t>
  </si>
  <si>
    <t>A-MAT AVU-55</t>
  </si>
  <si>
    <t>A-MAT AVU-56</t>
  </si>
  <si>
    <t>A-MAT AVU-57</t>
  </si>
  <si>
    <t>A-MAT AVU-58</t>
  </si>
  <si>
    <t>A-MAT AVU-59</t>
  </si>
  <si>
    <t>A-MAT AVU-60</t>
  </si>
  <si>
    <t>A-CJ PEQ-25</t>
  </si>
  <si>
    <t>A-CJ PEQ-26</t>
  </si>
  <si>
    <t>A-MAT AVU-61</t>
  </si>
  <si>
    <t>A-MAT AVU-62</t>
  </si>
  <si>
    <t>A-MAT AVU-63</t>
  </si>
  <si>
    <t>MATERIAIS AVULSO</t>
  </si>
  <si>
    <t>CONJUNTOS PEQUENOS</t>
  </si>
  <si>
    <t>GERAL</t>
  </si>
  <si>
    <t>Item</t>
  </si>
  <si>
    <t>A-CX PEQ AMB-01</t>
  </si>
  <si>
    <t>A-CX PEQ AMB-02</t>
  </si>
  <si>
    <t>A-GERAL-01</t>
  </si>
  <si>
    <t>A-GERAL-02</t>
  </si>
  <si>
    <t>A-GERAL-03</t>
  </si>
  <si>
    <t>A-GERAL-04</t>
  </si>
  <si>
    <t>A-GAST-01</t>
  </si>
  <si>
    <t>CÓDIGO  INTERNO</t>
  </si>
  <si>
    <t>A-GINEC-01</t>
  </si>
  <si>
    <t>A-GINEC-02</t>
  </si>
  <si>
    <t>A-GINEC-03</t>
  </si>
  <si>
    <t>A-GINEC-04</t>
  </si>
  <si>
    <t>A-GINEC-05</t>
  </si>
  <si>
    <t>A-GINEC-06</t>
  </si>
  <si>
    <t>A-PROCT-01</t>
  </si>
  <si>
    <t>A-URO-01</t>
  </si>
  <si>
    <t>A-CAB PES-01</t>
  </si>
  <si>
    <t>A-NEURO-01</t>
  </si>
  <si>
    <t>A-NEURO-02</t>
  </si>
  <si>
    <t>A-NEURO-03</t>
  </si>
  <si>
    <t>A-NEURO-04</t>
  </si>
  <si>
    <t>A-CARD-01</t>
  </si>
  <si>
    <t>CARD</t>
  </si>
  <si>
    <t>A-CARD-02</t>
  </si>
  <si>
    <t>A-ORT-01</t>
  </si>
  <si>
    <t>A-ORT-02</t>
  </si>
  <si>
    <t>A-ORT-03</t>
  </si>
  <si>
    <t>A-ORT-04</t>
  </si>
  <si>
    <t>A-OTO-01</t>
  </si>
  <si>
    <t>A-VASC-01</t>
  </si>
  <si>
    <t>A-VASC-02</t>
  </si>
  <si>
    <t>A-VASC-03</t>
  </si>
  <si>
    <t>A-VASC-04</t>
  </si>
  <si>
    <t>A-PED-01</t>
  </si>
  <si>
    <t>A-MAST-01</t>
  </si>
  <si>
    <t>A-BUCO-01</t>
  </si>
  <si>
    <t>A-TORAC-01</t>
  </si>
  <si>
    <t>TORAC</t>
  </si>
  <si>
    <t>R$ UNIT</t>
  </si>
  <si>
    <t>A-LARING-01</t>
  </si>
  <si>
    <t>POSTE DE MESA 45CM, COM DUAS JUNTAS ARTICULADAS</t>
  </si>
  <si>
    <t>BRAÇO ANGULADO DE 61,0 CM (28,0 CM X 33,0 CM) 45°</t>
  </si>
  <si>
    <t>BARRA BILATERAL ARTICULADA 27,0 CM X 22,0 CM X 27,0 CM</t>
  </si>
  <si>
    <t>VÁLVULA BALFOUR COM ABA PEQUENA 7,0 CM X 7,0 CM</t>
  </si>
  <si>
    <t>VÁLVULA BALFOUR COM ABA PEQUENA 8,0 CM X 7,0 CM</t>
  </si>
  <si>
    <t>VÁLVULA HARRINGTON 6,0 CM X 15,0 CM</t>
  </si>
  <si>
    <t>VÁLVULA KELLY 6,0 CM X 8,0 CM</t>
  </si>
  <si>
    <t>VÁLVULA KELLY 8,0 CM X 9,0 CM</t>
  </si>
  <si>
    <t>VÁLVULA DEDOS MALEÁVEIS 15,0 CM</t>
  </si>
  <si>
    <t>VÁLVULA MALEÁVEL 2,5 CM X 20,0 CM</t>
  </si>
  <si>
    <t>ADAPTADOR REGULÁVEL COM ANGULAÇÃO RÁPIDA 20 CM</t>
  </si>
  <si>
    <t>ADAPTADOR MICROAJUSTÁVEL COM ANGULAÇÃO RÁPIDA 25,0 CM</t>
  </si>
  <si>
    <t>ESTOJO PARA INSTRUMENTOS (66,0 CM X 28,0 CM X 12,0 CM)</t>
  </si>
  <si>
    <t>Peça/ tamanho</t>
  </si>
  <si>
    <t>POSTE DE MESA, 45CM</t>
  </si>
  <si>
    <t>BARRA HORIZONTAL 2.5CM</t>
  </si>
  <si>
    <t>CONECTOR COM BLOQUEIO RÁPIDO, 2.5CM X 2.5CM</t>
  </si>
  <si>
    <t>MECANISMO DE TRINCO INCLINADO</t>
  </si>
  <si>
    <t>EXTENSOR DE TRINCO</t>
  </si>
  <si>
    <t>ANEL OVAL MÉDIO, 26.3CM X 36.3CM</t>
  </si>
  <si>
    <t>AFASTADOR KELLY 51MM X 76MM</t>
  </si>
  <si>
    <t>AFASTADOR KELLY 5CM X 10CM</t>
  </si>
  <si>
    <t>AFASTADOR KELLY, 5CM X 20CM</t>
  </si>
  <si>
    <t>AFASTADOR BALFOUR 8.8CM X 6.9CM</t>
  </si>
  <si>
    <t>AFASTADOR MAL.BORDA PROTEGIDA 7.5CM X 25CM</t>
  </si>
  <si>
    <t>AFASTADOR MAL.BORDA PROTEGIDA 5CM X 20CM</t>
  </si>
  <si>
    <t>AFASTADOR MAL.BORDA PROTEGIDA 5CM X 25CM</t>
  </si>
  <si>
    <t>AFASTADOR MAL.BORDA PROTEGIDA 10CM X 20CM</t>
  </si>
  <si>
    <t>AFASTADOR HARRINGTON 6.3 X 20 X8.8CM</t>
  </si>
  <si>
    <t>CONTAINER PARA BOOKLER</t>
  </si>
  <si>
    <t>Pinça Rowe DIREITA</t>
  </si>
  <si>
    <t>Pinça Rowe ESQUERDA</t>
  </si>
  <si>
    <t>76.1</t>
  </si>
  <si>
    <t xml:space="preserve">R$ TOTAL </t>
  </si>
  <si>
    <t>Total</t>
  </si>
  <si>
    <t>KIT</t>
  </si>
  <si>
    <t>ok</t>
  </si>
  <si>
    <t>Caixa Básica de Oftalmo</t>
  </si>
  <si>
    <t xml:space="preserve">CÓDIGO </t>
  </si>
  <si>
    <t>Caixa Septo</t>
  </si>
  <si>
    <t>Abaixador de lingua Bruennings 19 cm</t>
  </si>
  <si>
    <t>19 CM</t>
  </si>
  <si>
    <t>Afastador Aba nasal 19 cm n°1</t>
  </si>
  <si>
    <t>Afastador Love 14 cm</t>
  </si>
  <si>
    <t>14 CM</t>
  </si>
  <si>
    <t>Afastador malianic nº 1 65 mm</t>
  </si>
  <si>
    <t>65 MM</t>
  </si>
  <si>
    <t>Aspirador Atraumatico diam. 3,0 mm</t>
  </si>
  <si>
    <t>Diversos</t>
  </si>
  <si>
    <t>Aspirador Descolador de septo</t>
  </si>
  <si>
    <t>Aspirador descolador de septo diam. 3,5 mm</t>
  </si>
  <si>
    <t>diam. 3,5 MM</t>
  </si>
  <si>
    <t>Cabo p/ bisturi N° 7 17 cm</t>
  </si>
  <si>
    <t>17 CM</t>
  </si>
  <si>
    <t>Cabo p/ Bisturi nº 3 13 cm</t>
  </si>
  <si>
    <t>13 CM</t>
  </si>
  <si>
    <t>Cinzel p/ rinoseptoplastia 2 mm ( Cabo Azul)</t>
  </si>
  <si>
    <t>2 x 180 MM</t>
  </si>
  <si>
    <t>Compasso 40 mm</t>
  </si>
  <si>
    <t>40 MM</t>
  </si>
  <si>
    <t>Descolador de Joseph curvo 18 cm</t>
  </si>
  <si>
    <t>18 CM</t>
  </si>
  <si>
    <t>Especulo nasal Cotle M</t>
  </si>
  <si>
    <t>62 x 60 x 154 mm</t>
  </si>
  <si>
    <t>Especulo nasal Cotle P</t>
  </si>
  <si>
    <t>48 x 60 x 149 mm</t>
  </si>
  <si>
    <t>Especulo nasal de Killian n.1</t>
  </si>
  <si>
    <t>45 x 150 mm</t>
  </si>
  <si>
    <t>Especulo nasal de Killian n.2</t>
  </si>
  <si>
    <t>60 x 160 mm</t>
  </si>
  <si>
    <t>Especulo nasal de Killian n.3</t>
  </si>
  <si>
    <t>75 x 170 mm</t>
  </si>
  <si>
    <t>Especulo nasal hartman n.1</t>
  </si>
  <si>
    <t>25 x 57 x 143 mm</t>
  </si>
  <si>
    <t>Formão guia curva p/ direita 5 x 180 mm</t>
  </si>
  <si>
    <t>5 x 180 MM</t>
  </si>
  <si>
    <t>Formão guia curva p/ esquerda 5 x 180 mm</t>
  </si>
  <si>
    <t>Formão lambotte liso 3 x 180 mm</t>
  </si>
  <si>
    <t>3 x 180 MM</t>
  </si>
  <si>
    <t>Gancho de Gillies</t>
  </si>
  <si>
    <t>Gancho em V 16 cm</t>
  </si>
  <si>
    <t>16 CM</t>
  </si>
  <si>
    <t>Goiva angulada</t>
  </si>
  <si>
    <t>175 mm</t>
  </si>
  <si>
    <t>Goiva reta</t>
  </si>
  <si>
    <t>Martelo 250 gr diam. 22 x 185 mm</t>
  </si>
  <si>
    <t>diam. 22 x 185</t>
  </si>
  <si>
    <t>Paquimetro Nasal (Projetometro)</t>
  </si>
  <si>
    <t>Pinça anatomica adson brown 12 cm</t>
  </si>
  <si>
    <t>12 CM</t>
  </si>
  <si>
    <t>Pinça anatomica adson c/ dente 12 cm</t>
  </si>
  <si>
    <t>Pinça anatômica adson delicada c/ dente 12 cm</t>
  </si>
  <si>
    <t>Pinça anatômica Adson s/ dente 12 cm</t>
  </si>
  <si>
    <t>Pinça Backaus 13 cm</t>
  </si>
  <si>
    <t>Pinça Baioneta 14 cm</t>
  </si>
  <si>
    <t>Pinça Baioneta 16 cm</t>
  </si>
  <si>
    <t>Pinça Bico de pato 18 cm</t>
  </si>
  <si>
    <t>Pinça Hartmann 150 mm</t>
  </si>
  <si>
    <t>190 mm</t>
  </si>
  <si>
    <t>Pinça hemostática Kelly curva 14 cm</t>
  </si>
  <si>
    <t>Pinça Midleton-Jansen</t>
  </si>
  <si>
    <t>21 CM</t>
  </si>
  <si>
    <t>Pinça nasal Bruenings 19 cm nº 2</t>
  </si>
  <si>
    <t>Pinça nasal Takahashi reta adulto 14 cm</t>
  </si>
  <si>
    <t>Pinça pean 14 cm</t>
  </si>
  <si>
    <t>Placa de medição de cartilagem 60 x 80 mm</t>
  </si>
  <si>
    <t>60 x 80 MM</t>
  </si>
  <si>
    <t>Porta agulha Derf 12 cm c/ widia</t>
  </si>
  <si>
    <t>Porta agulha Mayo-Hegar 15 cm c/ widia</t>
  </si>
  <si>
    <t>15 CM</t>
  </si>
  <si>
    <t>Porta agulha mayo-hegar 16 cm c/ widia</t>
  </si>
  <si>
    <t>Raspa dupla diamantada</t>
  </si>
  <si>
    <t>23 CM</t>
  </si>
  <si>
    <t>Régua 15 cm</t>
  </si>
  <si>
    <t>Seringa de carpule</t>
  </si>
  <si>
    <t>Tesoura converse angulada 11 cm</t>
  </si>
  <si>
    <t>11 CM</t>
  </si>
  <si>
    <t>Tesoura especial p/ Rino</t>
  </si>
  <si>
    <t>Tesoura fomom angulada 14 cm</t>
  </si>
  <si>
    <t>Tesoura Heyman 17 cm</t>
  </si>
  <si>
    <t>Tesoura iris curva 12 cm</t>
  </si>
  <si>
    <t>Tesoura Iris reta 12 cm</t>
  </si>
  <si>
    <t>Tesoura Kilner curva 12 cm</t>
  </si>
  <si>
    <t>Tesoura mayo reta 17 cm</t>
  </si>
  <si>
    <t>Tesoura Metzembaun curva 14cm</t>
  </si>
  <si>
    <t>Estojo de inox 28 x 14 x 6 cm Perfurado</t>
  </si>
  <si>
    <t>28 x 14 x 6 CM</t>
  </si>
  <si>
    <t>Caixa Micro-laringe</t>
  </si>
  <si>
    <t>Aspirador de laringe</t>
  </si>
  <si>
    <t>Estilete 90° 25 cm</t>
  </si>
  <si>
    <t>25 CM</t>
  </si>
  <si>
    <t>Estilete ligeiramente curvo 25 cm</t>
  </si>
  <si>
    <t>Estilete redondo corte vertical 25 cm</t>
  </si>
  <si>
    <t>Estilete forte 25 cm</t>
  </si>
  <si>
    <t>Estilete angulado 25 cm</t>
  </si>
  <si>
    <t>Micro Tesoura laringe corte reto</t>
  </si>
  <si>
    <t>230 mm</t>
  </si>
  <si>
    <t>Micro Tesoura laringe corte angulado 45 °</t>
  </si>
  <si>
    <t>Micro Tesoura laringe curva direita</t>
  </si>
  <si>
    <t>Micro Tesoura laringe curva esquerda</t>
  </si>
  <si>
    <t>Pinça Bouchayer angulada</t>
  </si>
  <si>
    <t>Pinça Bouchayer curva direita</t>
  </si>
  <si>
    <t>Pinça Bouchayer curva esquerda</t>
  </si>
  <si>
    <t>Pinça de Biópsia de laringe reta</t>
  </si>
  <si>
    <t>Pinça de Biópsia de laringe angulada</t>
  </si>
  <si>
    <t>Pinça de Biópsia de laringe curva direita</t>
  </si>
  <si>
    <t>Pinça de Biópsia de laringe curva esquerda</t>
  </si>
  <si>
    <t>Pinça Jacaré de laringe reta</t>
  </si>
  <si>
    <t>Pinça Jacaré de laringe angulada</t>
  </si>
  <si>
    <t>Pinça Jacaré de laringe curva direita</t>
  </si>
  <si>
    <t>Pinça Jacaré de laringe curva esquerda</t>
  </si>
  <si>
    <t>Pinça Saito direita</t>
  </si>
  <si>
    <t>Pinça Saito esquerda</t>
  </si>
  <si>
    <t>Suporte para bisturi 110 mm</t>
  </si>
  <si>
    <t>110 mm</t>
  </si>
  <si>
    <t>Kit Laringe Factory (4 laringos + 2 Suspensores + 1Balancin)</t>
  </si>
  <si>
    <t>Caixa Micro-endonasal</t>
  </si>
  <si>
    <t>Aspirador p/ Seio maxilar 3,5 mm</t>
  </si>
  <si>
    <t>Aspirador Atraumatico diam.3,0 mm</t>
  </si>
  <si>
    <t>Diâmetro 3,0 mm</t>
  </si>
  <si>
    <t>Aspirador Atraumatico diam.3,5 mm</t>
  </si>
  <si>
    <t>Diâmetro 3,5 mm</t>
  </si>
  <si>
    <t>Bisturi Vertical</t>
  </si>
  <si>
    <t>Cureta Microendonasal 45º (Frontal)</t>
  </si>
  <si>
    <t>190 MM</t>
  </si>
  <si>
    <t>Cureta Microendonasal 90º (Maxilar)</t>
  </si>
  <si>
    <t>Espátula de Conchas nasais 21 cm</t>
  </si>
  <si>
    <t>Especulo nasal Autostático n.1</t>
  </si>
  <si>
    <t>45 x 150 MM</t>
  </si>
  <si>
    <t>Especulo nasal Autostático n.2</t>
  </si>
  <si>
    <t>60 x 160 MM</t>
  </si>
  <si>
    <t>Especulo nasal Autostático n.3</t>
  </si>
  <si>
    <t>75 x 170 MM</t>
  </si>
  <si>
    <t>Micro Bisturi Descolador 20 cm</t>
  </si>
  <si>
    <t>20 CM</t>
  </si>
  <si>
    <t>Micro Dissector fino 20 cm</t>
  </si>
  <si>
    <t>Micro Dissector grosso 20 cm</t>
  </si>
  <si>
    <t>Micro Osteotomo 18 cm</t>
  </si>
  <si>
    <t>Palpador Seio maxilar 185 mm</t>
  </si>
  <si>
    <t>185 MM</t>
  </si>
  <si>
    <t>Pinça nasal Blaskeley reta 14 cm adulto</t>
  </si>
  <si>
    <t>Pinça nasal Blaskeley angulada 14 cm adulto</t>
  </si>
  <si>
    <t>Pinça Cogumelo reta 160 mm</t>
  </si>
  <si>
    <t>160 MM</t>
  </si>
  <si>
    <t>Pinça Cogumelo curva 160 mm</t>
  </si>
  <si>
    <t>Pinça Come p/ frente angulada</t>
  </si>
  <si>
    <t>120 MM</t>
  </si>
  <si>
    <t>Pinça Come p/ frente reta</t>
  </si>
  <si>
    <t>Pinça Microendonasal Jacaré 140 mm</t>
  </si>
  <si>
    <t>140 MM</t>
  </si>
  <si>
    <t>Pinça Kerrison 2 x 160 mm p/ cima</t>
  </si>
  <si>
    <t>2 x 160 MM</t>
  </si>
  <si>
    <t>Pinça nasal Back Bite 14 cm</t>
  </si>
  <si>
    <t>Pinça nasal Takahashi angulada adulto 14 cm</t>
  </si>
  <si>
    <t>Pinça nasal Takahashi angulada infantil 12 cm</t>
  </si>
  <si>
    <t>Pinça nasal Takahashi reta infantil 12 cm</t>
  </si>
  <si>
    <t>Tesoura Microendonasal reta</t>
  </si>
  <si>
    <t>Pinça p/seio Maxilar Fixa</t>
  </si>
  <si>
    <t>Pinça p/seio Maxilar GIRATORIA</t>
  </si>
  <si>
    <t>Pinça p/seio Frontal vertical</t>
  </si>
  <si>
    <t>Caixa 
Amigdalas</t>
  </si>
  <si>
    <t>Abre boca MC Ivor c/ 3 abaixa lingua</t>
  </si>
  <si>
    <t>Aspirador descolador de amigdala diam.4,0 mm</t>
  </si>
  <si>
    <t>Diâmetro de 4,0 mm</t>
  </si>
  <si>
    <t>Aspirador yankauer adulto 28 cm</t>
  </si>
  <si>
    <t>28 CM</t>
  </si>
  <si>
    <t>Cureta de beckmann Nº 1</t>
  </si>
  <si>
    <t>24 CM</t>
  </si>
  <si>
    <t>Cureta de beckmann Nº 3</t>
  </si>
  <si>
    <t>Cureta de beckmann Nº 5</t>
  </si>
  <si>
    <t>Descolador Hurd p/ amígdalas 23 cm</t>
  </si>
  <si>
    <t>Descolador serrilhado 21 cm</t>
  </si>
  <si>
    <t>Pinça Hartmann 190 mm</t>
  </si>
  <si>
    <t>Pinça hemostática Schnidt curva leve 21 cm</t>
  </si>
  <si>
    <t>Pinça hemostática Scobee- Allis angulada</t>
  </si>
  <si>
    <t>Porta agulha Mayo-Hegar 18 cm s/ widia</t>
  </si>
  <si>
    <t>Serra nó Bruenings</t>
  </si>
  <si>
    <t>27 CM</t>
  </si>
  <si>
    <t>Suporte de abre boca 10 x 13 cm</t>
  </si>
  <si>
    <t>10 x 13 CM</t>
  </si>
  <si>
    <t>Tesoura Metzembaum curva 18 cm</t>
  </si>
  <si>
    <t>Caixa 
Timpanomastóidectomia</t>
  </si>
  <si>
    <t>Afastador Weitlaner 14 cm agudo</t>
  </si>
  <si>
    <t>Afastador Farabeuf 7 x 100 mm</t>
  </si>
  <si>
    <t>7 x 100 mm</t>
  </si>
  <si>
    <t>Amassador de Fascia</t>
  </si>
  <si>
    <t>Aspirador Frazier diam. 3,0 mm</t>
  </si>
  <si>
    <t>diâmetro 3,0mm</t>
  </si>
  <si>
    <t>Aspirador Frazier diam. 3,5 mm</t>
  </si>
  <si>
    <t>diâmetro 3,5mm</t>
  </si>
  <si>
    <t>Aspirador de ouvido diam. 1,0 mm</t>
  </si>
  <si>
    <t>Diâm. 1,0 mm</t>
  </si>
  <si>
    <t>Aspirador de ouvido diam. 1,5 mm</t>
  </si>
  <si>
    <t>Diâm. 1,5 mm</t>
  </si>
  <si>
    <t>Aspirador de ouvido diam. 1,8 mm</t>
  </si>
  <si>
    <t>Diâm. 1,8 mm</t>
  </si>
  <si>
    <t>Aspirador de ouvido diam. 2,0 mm</t>
  </si>
  <si>
    <t>Diâm. 2,0 mm</t>
  </si>
  <si>
    <t>Aspirador de ouvido diam. 2,5 mm</t>
  </si>
  <si>
    <t>Diâm. 2,5 mm</t>
  </si>
  <si>
    <t>Cabo p/ bisturi N° 3 13 cm</t>
  </si>
  <si>
    <t>Conector Intermediário 70 mm</t>
  </si>
  <si>
    <t>Pinça anatômica Adson c/ dente 12 cm</t>
  </si>
  <si>
    <t>Pinça Biopsia de Ouvido reta</t>
  </si>
  <si>
    <t>Pinça Hartmann 80 mm delicada</t>
  </si>
  <si>
    <t>Pinça Jacaré delicada cirurgica</t>
  </si>
  <si>
    <t>Pinça hemostática Kelly reta 14 cm</t>
  </si>
  <si>
    <t>Pinça Pean 14 cm</t>
  </si>
  <si>
    <t>Porta agulha Mayo-Hegar 16 cm s/ widia</t>
  </si>
  <si>
    <t>Porta Especulo de Holder</t>
  </si>
  <si>
    <t>300 mm</t>
  </si>
  <si>
    <t>Rugina de periosteo</t>
  </si>
  <si>
    <t>Tesoura Belucci  80 mm</t>
  </si>
  <si>
    <t>Tesoura Mayo curva 15 cm</t>
  </si>
  <si>
    <t>Tesoura Iris curva 12 cm</t>
  </si>
  <si>
    <t>Tesoura Metzembaun curva 14 cm</t>
  </si>
  <si>
    <t>Estojo de Ouvido c/ 19 peças</t>
  </si>
  <si>
    <t>19 x 18 x 2 cm</t>
  </si>
  <si>
    <t>Estojo de inox 26 x 12 x 6 cm Perfurado</t>
  </si>
  <si>
    <t>26 x 12 x 6 CM</t>
  </si>
  <si>
    <t xml:space="preserve">Caixa Básica Cirurgia Cardíaca </t>
  </si>
  <si>
    <t>Descrição</t>
  </si>
  <si>
    <t xml:space="preserve">Pinça Backhaus 13 cm  </t>
  </si>
  <si>
    <t xml:space="preserve">Clip Mayo Porta Pinça 14cm </t>
  </si>
  <si>
    <t>Quantidade de caixas</t>
  </si>
  <si>
    <t xml:space="preserve">Pinça Halstead Mosquito Curva 12,5cm </t>
  </si>
  <si>
    <t>Pinça Halstead Mosquito Reta 12,5cm</t>
  </si>
  <si>
    <t xml:space="preserve">Pinça Kelly Curva 14cm </t>
  </si>
  <si>
    <t xml:space="preserve">Pinça Kelly Reta 14cm </t>
  </si>
  <si>
    <t xml:space="preserve"> Halstead Mosquito Longuete C. 23cm </t>
  </si>
  <si>
    <t xml:space="preserve">Pinça Baby Mixter Curva forte 14 cm </t>
  </si>
  <si>
    <t xml:space="preserve">Pinça Kocher Reta 18cm </t>
  </si>
  <si>
    <t xml:space="preserve">Pinça Mixter 20cm </t>
  </si>
  <si>
    <t xml:space="preserve">Pinça Reynald 20cm </t>
  </si>
  <si>
    <t xml:space="preserve">Afast. Farabeuf Adulto13mm15cm par </t>
  </si>
  <si>
    <t xml:space="preserve">Afastador Finochietto Adulto </t>
  </si>
  <si>
    <t xml:space="preserve">Afastador Weitlaner Agudo 14cm </t>
  </si>
  <si>
    <t xml:space="preserve">Cabo Bisturi n. 4 </t>
  </si>
  <si>
    <t xml:space="preserve">Cabo Bisturi n. 7 </t>
  </si>
  <si>
    <t xml:space="preserve">Pinça Ordenha 25cm </t>
  </si>
  <si>
    <t xml:space="preserve">Pinça Magill 25cm </t>
  </si>
  <si>
    <t xml:space="preserve">Afastador Volkmann 4 dentes rombos </t>
  </si>
  <si>
    <t xml:space="preserve">Pinça Dissecção 16cm </t>
  </si>
  <si>
    <t xml:space="preserve">Pinça Dissecção 30cm </t>
  </si>
  <si>
    <t>Pinça Dente de Rato 16cm</t>
  </si>
  <si>
    <t>Pinça Cushing Reta com Serrilha 17cm</t>
  </si>
  <si>
    <t xml:space="preserve">Pinça Cheron 10301950026 </t>
  </si>
  <si>
    <t xml:space="preserve">Pinça Collin Oval 19 cm </t>
  </si>
  <si>
    <t xml:space="preserve">Pinça Foerster com Serrilha Reta 22cm </t>
  </si>
  <si>
    <t xml:space="preserve">Porta Agulha Derf com Widia 12cm </t>
  </si>
  <si>
    <t xml:space="preserve">Porta Agulha Mayo Hegar 17cm </t>
  </si>
  <si>
    <t xml:space="preserve">Porta Agulha Mayo Hegar 20cm </t>
  </si>
  <si>
    <t xml:space="preserve">Porta Agulha Mayo Hegar 30cm  </t>
  </si>
  <si>
    <t xml:space="preserve">Porta Agulha Mayo Hegar com Widia 17cm </t>
  </si>
  <si>
    <t xml:space="preserve">Porta Agulha Mayo Hegar com Widia 20cm </t>
  </si>
  <si>
    <t xml:space="preserve">Porta Agulha Ryder com Widia 18cm </t>
  </si>
  <si>
    <t xml:space="preserve">Porta Agulha Quinelato para Fio de Aço 20cm </t>
  </si>
  <si>
    <t>Tesoura Cirúrg. Romba-Romba Reta 16cm</t>
  </si>
  <si>
    <t xml:space="preserve">Tesoura Cirúrg. Romba-Romba Curva 16cm </t>
  </si>
  <si>
    <t xml:space="preserve">Tesoura Quinelato Íris F F Curva 11,5cm </t>
  </si>
  <si>
    <t xml:space="preserve">Tesoura Mayo Stille Reta 14cm </t>
  </si>
  <si>
    <t xml:space="preserve">Tesoura Mayo Stille Curva 19cm </t>
  </si>
  <si>
    <t xml:space="preserve">Tesoura Mayo Stille Curva 22cm </t>
  </si>
  <si>
    <t xml:space="preserve">Tesoura Quinelato para Tubos </t>
  </si>
  <si>
    <t>Tesoura Metzenbaum Curva 18cm 10</t>
  </si>
  <si>
    <t xml:space="preserve">Tesoura Metzenbaum Curva 15cm </t>
  </si>
  <si>
    <t xml:space="preserve">Tesoura Metzenbaum Curva 23cm </t>
  </si>
  <si>
    <t xml:space="preserve">Tesoura Metzenbaum Delicada Curva 15cm </t>
  </si>
  <si>
    <t xml:space="preserve">Tesoura Metzenbaum Delicada Curva 18cm </t>
  </si>
  <si>
    <t xml:space="preserve">Pinça Allis 20cm - 5X6 Dentes </t>
  </si>
  <si>
    <t xml:space="preserve">Pinça Winter Curva n. 1 </t>
  </si>
  <si>
    <t xml:space="preserve">Afastador Ankeney Médio </t>
  </si>
  <si>
    <t xml:space="preserve">Pinça Debakey Angulada no Cabo para Coarctação 23 cm </t>
  </si>
  <si>
    <t xml:space="preserve">Pinça Quinelato Média para Aorta 23cm </t>
  </si>
  <si>
    <t>Pinça Lambert Kay 22cm 1</t>
  </si>
  <si>
    <t xml:space="preserve">P. Deb. Ang. no Cabo p.Coarctação 17cm </t>
  </si>
  <si>
    <t xml:space="preserve">Pinça Cooley 16,5cm  </t>
  </si>
  <si>
    <t xml:space="preserve">Pinça Satinsky 24,5cm - Ponta 55mm </t>
  </si>
  <si>
    <t xml:space="preserve">Alicate Quinelato Dup. Articulação 20cm  </t>
  </si>
  <si>
    <t xml:space="preserve">Pinça Debakey Castanheda Angulado 60º 12,5cm nº 4 - Cabo </t>
  </si>
  <si>
    <t>Cuba Rim Inox 26x12cm - 700ml</t>
  </si>
  <si>
    <t xml:space="preserve">Cuba Ass. Dia. 9x5cm - 200ml </t>
  </si>
  <si>
    <t xml:space="preserve">Cânula Yankauer 10301950053 </t>
  </si>
  <si>
    <t xml:space="preserve">Tesoura Metzenbaum Delicada Curva 20cm </t>
  </si>
  <si>
    <t>Caixa de válvula</t>
  </si>
  <si>
    <t>Afastador Quinelato Atrial Esquerdo</t>
  </si>
  <si>
    <t xml:space="preserve">Afastador Quinelato Atrial Direito </t>
  </si>
  <si>
    <t xml:space="preserve">Quantidade de caixas </t>
  </si>
  <si>
    <t>Porta Agulha Mayo Hegar com Widia 25cm 1</t>
  </si>
  <si>
    <t xml:space="preserve">Pinça Pozzi 25cm </t>
  </si>
  <si>
    <t xml:space="preserve">Pinça Dissecção 25cm </t>
  </si>
  <si>
    <t xml:space="preserve">Afastador Richardson n. 1 - 28x20mm </t>
  </si>
  <si>
    <t xml:space="preserve">Afastador Richardson n. 2 - 36x28mm </t>
  </si>
  <si>
    <t xml:space="preserve">Afastador Langenbeck n. 3 - 30x16mm </t>
  </si>
  <si>
    <t xml:space="preserve">Cabo Bisturi Longo </t>
  </si>
  <si>
    <t xml:space="preserve">Tesoura Metzenbaum Curva 26cm </t>
  </si>
  <si>
    <t>Pinça Saca Cálcio Reta</t>
  </si>
  <si>
    <t xml:space="preserve">Pinça Saca Cálcio para Direita </t>
  </si>
  <si>
    <t xml:space="preserve">Pinça Saca Cálcio para Esquerda </t>
  </si>
  <si>
    <t xml:space="preserve">Cânula Cardioplegia 30 Graus </t>
  </si>
  <si>
    <t xml:space="preserve">Cânula Cardioplegia 90 Graus </t>
  </si>
  <si>
    <t xml:space="preserve">Gancho Quinelato para Simpatectomia </t>
  </si>
  <si>
    <t xml:space="preserve">Caixa de Coronária </t>
  </si>
  <si>
    <t xml:space="preserve">Pinça Quinelato Delicada c. Widia 20cm </t>
  </si>
  <si>
    <t xml:space="preserve">Potts Smith com Serrilha 20cm </t>
  </si>
  <si>
    <t xml:space="preserve">Pinça Potts Smith com Widia 20cm </t>
  </si>
  <si>
    <t xml:space="preserve">Pinça Dietrich 20cm </t>
  </si>
  <si>
    <t xml:space="preserve">Tesoura Debakey 60 Graus </t>
  </si>
  <si>
    <t>Tesoura Dietrich 130 Graus</t>
  </si>
  <si>
    <t>Tesoura Dietrich 60 Graus</t>
  </si>
  <si>
    <t xml:space="preserve">Porta Agulha Castroviejo com Widia 14cm </t>
  </si>
  <si>
    <t xml:space="preserve">Porta Agulha Castroviejo com Widia 18cm </t>
  </si>
  <si>
    <t xml:space="preserve">Porta Agulha castroviejo Cabo Redondo 18cm </t>
  </si>
  <si>
    <t>Porta Agulha Quinelato para Coronaria com Widia 17 cm</t>
  </si>
  <si>
    <t xml:space="preserve">Porta Agulha Microvascular com Widia 18cm </t>
  </si>
  <si>
    <t xml:space="preserve">Tesoura Boyd Curva 15cm </t>
  </si>
  <si>
    <t xml:space="preserve">Tesoura Boyd Curva 18cm </t>
  </si>
  <si>
    <t xml:space="preserve">Dilatador de Coronária 1mm </t>
  </si>
  <si>
    <t xml:space="preserve">Dilatador de Coronária 1,25mm </t>
  </si>
  <si>
    <t xml:space="preserve">Pinça Bulldog Clamp Angulada com Ponta 12mm </t>
  </si>
  <si>
    <t xml:space="preserve">Pinça Bulldog Clamp Angulada com Ponta 8mm </t>
  </si>
  <si>
    <t>Pinça Debakey Castanheda 60º 12,5cm nº 4 - Cabo Angulado</t>
  </si>
  <si>
    <t xml:space="preserve">Cirurgia Toracica </t>
  </si>
  <si>
    <t>PINÇAS BIARTICULADAS</t>
  </si>
  <si>
    <t>Código</t>
  </si>
  <si>
    <t xml:space="preserve">Quantidade </t>
  </si>
  <si>
    <t xml:space="preserve">Tesoura Metzenbaum </t>
  </si>
  <si>
    <t xml:space="preserve"> 0V044F19</t>
  </si>
  <si>
    <t xml:space="preserve">Porta Agulha </t>
  </si>
  <si>
    <t>0V646D5N</t>
  </si>
  <si>
    <t xml:space="preserve">Aspirador </t>
  </si>
  <si>
    <t>0VA5205P</t>
  </si>
  <si>
    <t xml:space="preserve">Pinça de apreensão Debakey </t>
  </si>
  <si>
    <t>0V424B5B</t>
  </si>
  <si>
    <t>0V413F5D</t>
  </si>
  <si>
    <t>0V539F59</t>
  </si>
  <si>
    <t xml:space="preserve">Pinça de apreensão 90° </t>
  </si>
  <si>
    <t>0V405F1J</t>
  </si>
  <si>
    <t>Pinças de apreensão Foerster</t>
  </si>
  <si>
    <t>0V432D10</t>
  </si>
  <si>
    <t xml:space="preserve">Pinça de apreensão de Linfonodo </t>
  </si>
  <si>
    <t>0V406F50</t>
  </si>
  <si>
    <t>Pinça de dissecção Snake (pedir essa sem cremalheira)</t>
  </si>
  <si>
    <t>0V458D50</t>
  </si>
  <si>
    <t>Pinça de dissecção Denis</t>
  </si>
  <si>
    <t xml:space="preserve"> 0V537F70</t>
  </si>
  <si>
    <t>Empurrador de nó</t>
  </si>
  <si>
    <t>0VG41E54</t>
  </si>
  <si>
    <t>avaliar tamanho das pinças</t>
  </si>
  <si>
    <t>Caixa Cir. Torácica (Dr Ricardo Baida)</t>
  </si>
  <si>
    <t>60X85X25cm</t>
  </si>
  <si>
    <t>10mmX12cm
Avulso</t>
  </si>
  <si>
    <t>40X80X25cm</t>
  </si>
  <si>
    <t>45X115X240cM</t>
  </si>
  <si>
    <t>Avulso</t>
  </si>
  <si>
    <t>7mmX10cm</t>
  </si>
  <si>
    <t>20mmX18cm</t>
  </si>
  <si>
    <t>8cmX10mmX26cm</t>
  </si>
  <si>
    <t>16cm- 4 dentes</t>
  </si>
  <si>
    <t xml:space="preserve"> 13 cm - 25 x 40 mm</t>
  </si>
  <si>
    <t xml:space="preserve">Afastador Finochietto </t>
  </si>
  <si>
    <t>16 cm - 38 x 45 mm</t>
  </si>
  <si>
    <t>18 cm - 40 x 65 mm</t>
  </si>
  <si>
    <t xml:space="preserve">afastador richardsom </t>
  </si>
  <si>
    <t>44mmX38mm</t>
  </si>
  <si>
    <t>alicate para cortar fio de aço</t>
  </si>
  <si>
    <t>10cm</t>
  </si>
  <si>
    <t>cabo de bisturi longo n3</t>
  </si>
  <si>
    <t>longo</t>
  </si>
  <si>
    <t>cinzel de esterno</t>
  </si>
  <si>
    <t>n</t>
  </si>
  <si>
    <t xml:space="preserve">Cizalha Liston reta </t>
  </si>
  <si>
    <t>Clamp Bulldog Debakey</t>
  </si>
  <si>
    <t>7,5cm</t>
  </si>
  <si>
    <t>Caixa vascular bulldog</t>
  </si>
  <si>
    <t>8,5cm</t>
  </si>
  <si>
    <t>10,5cm</t>
  </si>
  <si>
    <t>12cm</t>
  </si>
  <si>
    <t>Costotomo Sauerbruch</t>
  </si>
  <si>
    <t>descolador de freer</t>
  </si>
  <si>
    <t>espatula pulmonar allison formato asa de borboleta</t>
  </si>
  <si>
    <t>espatula pulmonar allison formato gota</t>
  </si>
  <si>
    <t>martelo para cinzel de esterno de 1'50 gramas</t>
  </si>
  <si>
    <t>pinça mixter</t>
  </si>
  <si>
    <t>30cm</t>
  </si>
  <si>
    <t>pinça de babcook</t>
  </si>
  <si>
    <t>pinça de schindt</t>
  </si>
  <si>
    <t>pinça de kerrison boca para baixo 40graus</t>
  </si>
  <si>
    <t>4mmX 28cm</t>
  </si>
  <si>
    <t>Coluna</t>
  </si>
  <si>
    <t>pinça de kerrison boca para cima 40graus</t>
  </si>
  <si>
    <t>pinça de kerrison boca para cima 90graus</t>
  </si>
  <si>
    <t>6mmX 28cm</t>
  </si>
  <si>
    <t>pinça de kerrison curvo boca para cima</t>
  </si>
  <si>
    <t>4 mmX28cm</t>
  </si>
  <si>
    <t>pinça de lee curva (foerester)</t>
  </si>
  <si>
    <t>pinça de lee reta (foerster)</t>
  </si>
  <si>
    <t xml:space="preserve">Pinça Duval Collin </t>
  </si>
  <si>
    <t>pinça Goiva Luer</t>
  </si>
  <si>
    <t>18cm</t>
  </si>
  <si>
    <t xml:space="preserve">pinça rochester curva </t>
  </si>
  <si>
    <t>Cx. Cesarea, ortop, cardio UD</t>
  </si>
  <si>
    <t>pinça russa (pata de gato)</t>
  </si>
  <si>
    <t xml:space="preserve">pinças anatomicas longas </t>
  </si>
  <si>
    <t>Avulsa</t>
  </si>
  <si>
    <t>pinças vasculares debakey   curva 45graus</t>
  </si>
  <si>
    <t>26CM</t>
  </si>
  <si>
    <t>Caixa vascular</t>
  </si>
  <si>
    <t>pinças vasculares debakey   reta 45graus</t>
  </si>
  <si>
    <t>pinças vasculares debakey curva 10graus</t>
  </si>
  <si>
    <t>pinças vasculares debakey reta 10graus</t>
  </si>
  <si>
    <t>Porta Agulhas de fio de aço</t>
  </si>
  <si>
    <t>quiver hoster</t>
  </si>
  <si>
    <t>40cm</t>
  </si>
  <si>
    <t>Rugina doyen direita curva</t>
  </si>
  <si>
    <t>Rugina doyen direita semi-curva</t>
  </si>
  <si>
    <t>Rugina doyen esquerda curva</t>
  </si>
  <si>
    <t>Rugina doyen esquerda semi-curva</t>
  </si>
  <si>
    <t>Afastador de doyen</t>
  </si>
  <si>
    <t>Pinça Saca Bocado Curvo</t>
  </si>
  <si>
    <t>Pinça Saca Bocado Reto dupla articulação</t>
  </si>
  <si>
    <t xml:space="preserve">Pinça anatômica longa </t>
  </si>
  <si>
    <t>1,60x200,00 mm</t>
  </si>
  <si>
    <t>1,60mm</t>
  </si>
  <si>
    <t xml:space="preserve">Pinça Petean </t>
  </si>
  <si>
    <t xml:space="preserve">Afastador especulo Pitanga </t>
  </si>
  <si>
    <t xml:space="preserve">Estilete de fistula maleável </t>
  </si>
  <si>
    <t>Estilete de fistula rígido</t>
  </si>
  <si>
    <t>Formão Reto,curvo, canulado</t>
  </si>
  <si>
    <t>Tentacânula</t>
  </si>
  <si>
    <t>Afastador Gelpi</t>
  </si>
  <si>
    <t>Descolador Cobb</t>
  </si>
  <si>
    <t>Pinça Pozzi Laparoscopia</t>
  </si>
  <si>
    <t>Bico de aspirador com ponta para cisto ovariano</t>
  </si>
  <si>
    <t>Clamp de Crawford Aorta</t>
  </si>
  <si>
    <t>Taylor</t>
  </si>
  <si>
    <t xml:space="preserve">Espatula maleável </t>
  </si>
  <si>
    <t xml:space="preserve">Trépano Manual </t>
  </si>
  <si>
    <t>LONGO</t>
  </si>
  <si>
    <t>Cabo de Bisturo nº 3</t>
  </si>
  <si>
    <t>Cabo de Bisturo nº 4</t>
  </si>
  <si>
    <t>10mmx12cm</t>
  </si>
  <si>
    <t xml:space="preserve">Afastador de Farabeuf </t>
  </si>
  <si>
    <t>Afastador de langnbeck</t>
  </si>
  <si>
    <t>Afastador de Weitlaner</t>
  </si>
  <si>
    <t>Costotomo Gluck</t>
  </si>
  <si>
    <t>Rugina Farabeuf reta 8x16x6cm</t>
  </si>
  <si>
    <t>Rugina lambotte curva 21cmx 20mm</t>
  </si>
  <si>
    <t xml:space="preserve">Rugina Farabeuf 
reta 8x16x6cm
Rugina Lambotte curva
21cmx20mm </t>
  </si>
  <si>
    <t>Blefarostato aramado temporal</t>
  </si>
  <si>
    <t>Cabo de bisturi duplo n°3 e n°4</t>
  </si>
  <si>
    <t>Cânula de Hidrossecção reta</t>
  </si>
  <si>
    <t>Cautério Passarinho</t>
  </si>
  <si>
    <t>Colher de enucleação</t>
  </si>
  <si>
    <t xml:space="preserve">Compasso Castroviejo Angulado </t>
  </si>
  <si>
    <t>Cureta Para Evisceração</t>
  </si>
  <si>
    <t>Dilatador Lacrimal</t>
  </si>
  <si>
    <t>Gancho de estrabismo</t>
  </si>
  <si>
    <t>Pinça Bishop curva serrilhada</t>
  </si>
  <si>
    <t>Pinça conjuntiva com plataforma e dente de rato curva</t>
  </si>
  <si>
    <t>Pinça Conjuntiva Dente de Rato Reta</t>
  </si>
  <si>
    <t>Pinça conjuntiva lisa curva</t>
  </si>
  <si>
    <t>Pinça iris curva</t>
  </si>
  <si>
    <t>Pinça Mcpherson</t>
  </si>
  <si>
    <t>Pinça Para Calázio Media Cega</t>
  </si>
  <si>
    <t>Pinça para conjuntiva serrilhada curva</t>
  </si>
  <si>
    <t>Pinça Utrata Capsulorhexis Curva</t>
  </si>
  <si>
    <t>Pinças Backhaus</t>
  </si>
  <si>
    <t>Pinças Mosquitos Reta</t>
  </si>
  <si>
    <t>Porta Agulha Castroviejo Curvo com Trava</t>
  </si>
  <si>
    <t>Porta Agulha Castroviejo Oftalmico Fio 10.0</t>
  </si>
  <si>
    <t>Sonda lacrimal 0,6mm</t>
  </si>
  <si>
    <t>Tesoura Castroviejo Serrilhada Microcirurgia Curva</t>
  </si>
  <si>
    <t>Tesoura Iris Curva Com Videa</t>
  </si>
  <si>
    <t>Tesoura Iris Reta Com Videa</t>
  </si>
  <si>
    <t>Tesoura Metzembaum curva delicada</t>
  </si>
  <si>
    <t>Pinça Bipolar reta ponta curva 0,5mm</t>
  </si>
  <si>
    <t>Manta de Silicone</t>
  </si>
  <si>
    <t>20 mm</t>
  </si>
  <si>
    <t>0,6 mm</t>
  </si>
  <si>
    <t>20x10cm</t>
  </si>
  <si>
    <t>20x10x3cm</t>
  </si>
  <si>
    <t>21CM</t>
  </si>
  <si>
    <t>CAIXA RINOSSEEPTOPLASTIA (JURADO)</t>
  </si>
  <si>
    <t>Pinça anatomica adson com dente 12cm</t>
  </si>
  <si>
    <t xml:space="preserve">Pinça anatomica adson brown </t>
  </si>
  <si>
    <t>Pinça baioneta</t>
  </si>
  <si>
    <t>afastador aba nasal n1</t>
  </si>
  <si>
    <t>Martelo 250g Diam. 22/185mm</t>
  </si>
  <si>
    <t>Pinça backhaus</t>
  </si>
  <si>
    <t>tesoura iris curva</t>
  </si>
  <si>
    <t>tesoura iris reta</t>
  </si>
  <si>
    <t xml:space="preserve">pinça hemostatica Kelly curva </t>
  </si>
  <si>
    <t>tesoura heymann</t>
  </si>
  <si>
    <t>pinça nasal takahashi reta adulto</t>
  </si>
  <si>
    <t xml:space="preserve">Pinça Pean </t>
  </si>
  <si>
    <t>Estojo Inox perfurado 28/14/6  EAC</t>
  </si>
  <si>
    <t>Quantidasde sugerida</t>
  </si>
  <si>
    <t>QUANTIDADE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</si>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</sst>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32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&quot;Times New Roman&quot;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8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name val="Arial"/>
      <family val="2"/>
      <scheme val="major"/>
    </font>
    <font>
      <sz val="10"/>
      <color rgb="FF000000"/>
      <name val="Times New Roman"/>
      <family val="1"/>
    </font>
    <font>
      <sz val="10"/>
      <name val="Arial"/>
      <family val="2"/>
      <scheme val="minor"/>
    </font>
    <font>
      <b/>
      <sz val="10"/>
      <color rgb="FFFF0000"/>
      <name val="Arial"/>
      <family val="2"/>
      <scheme val="major"/>
    </font>
    <font>
      <sz val="10"/>
      <color rgb="FFC00000"/>
      <name val="Arial"/>
      <family val="2"/>
    </font>
    <font>
      <sz val="10"/>
      <color rgb="FFC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Times New Roman Bold"/>
      <family val="2"/>
    </font>
    <font>
      <sz val="10"/>
      <color rgb="FFE40000"/>
      <name val="Arial"/>
      <family val="2"/>
      <scheme val="minor"/>
    </font>
    <font>
      <sz val="10"/>
      <color rgb="FFE4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FFFFFF"/>
      </patternFill>
    </fill>
  </fills>
  <borders count="8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6">
    <xf numFmtId="0" fontId="0" fillId="0" borderId="0"/>
    <xf numFmtId="0" fontId="1" fillId="0" borderId="0"/>
    <xf numFmtId="0" fontId="9" fillId="0" borderId="0"/>
    <xf numFmtId="43" fontId="17" fillId="0" borderId="0" applyFont="0" applyFill="0" applyBorder="0" applyAlignment="0" applyProtection="0"/>
    <xf numFmtId="0" fontId="23" fillId="0" borderId="0"/>
    <xf numFmtId="44" fontId="28" fillId="0" borderId="0" applyFont="0" applyFill="0" applyBorder="0" applyAlignment="0" applyProtection="0"/>
  </cellStyleXfs>
  <cellXfs count="547">
    <xf numFmtId="0" fontId="0" fillId="0" borderId="0" xfId="0"/>
    <xf numFmtId="0" fontId="2" fillId="0" borderId="0" xfId="0" applyFont="1"/>
    <xf numFmtId="0" fontId="4" fillId="2" borderId="4" xfId="0" applyFont="1" applyFill="1" applyBorder="1"/>
    <xf numFmtId="0" fontId="2" fillId="2" borderId="4" xfId="0" applyFont="1" applyFill="1" applyBorder="1"/>
    <xf numFmtId="0" fontId="5" fillId="2" borderId="4" xfId="0" applyFont="1" applyFill="1" applyBorder="1" applyAlignment="1">
      <alignment horizontal="left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/>
    <xf numFmtId="0" fontId="6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4" fillId="2" borderId="4" xfId="0" applyFont="1" applyFill="1" applyBorder="1" applyAlignment="1">
      <alignment horizontal="right"/>
    </xf>
    <xf numFmtId="0" fontId="7" fillId="0" borderId="4" xfId="0" applyFont="1" applyBorder="1"/>
    <xf numFmtId="0" fontId="7" fillId="2" borderId="4" xfId="0" applyFont="1" applyFill="1" applyBorder="1"/>
    <xf numFmtId="0" fontId="2" fillId="2" borderId="3" xfId="0" applyFont="1" applyFill="1" applyBorder="1"/>
    <xf numFmtId="0" fontId="10" fillId="0" borderId="14" xfId="0" applyFont="1" applyBorder="1"/>
    <xf numFmtId="0" fontId="11" fillId="0" borderId="14" xfId="0" applyFont="1" applyBorder="1"/>
    <xf numFmtId="0" fontId="2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0" fontId="2" fillId="0" borderId="9" xfId="0" applyFont="1" applyBorder="1"/>
    <xf numFmtId="0" fontId="2" fillId="2" borderId="9" xfId="0" applyFont="1" applyFill="1" applyBorder="1"/>
    <xf numFmtId="0" fontId="2" fillId="4" borderId="9" xfId="0" applyFont="1" applyFill="1" applyBorder="1"/>
    <xf numFmtId="0" fontId="5" fillId="2" borderId="9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0" fillId="0" borderId="14" xfId="0" applyBorder="1"/>
    <xf numFmtId="0" fontId="2" fillId="0" borderId="14" xfId="0" applyFont="1" applyBorder="1" applyAlignment="1">
      <alignment horizontal="center"/>
    </xf>
    <xf numFmtId="0" fontId="2" fillId="2" borderId="10" xfId="0" applyFont="1" applyFill="1" applyBorder="1"/>
    <xf numFmtId="0" fontId="2" fillId="2" borderId="14" xfId="0" applyFont="1" applyFill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1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7" borderId="14" xfId="2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left" vertical="center"/>
    </xf>
    <xf numFmtId="0" fontId="2" fillId="8" borderId="16" xfId="0" applyFont="1" applyFill="1" applyBorder="1" applyAlignment="1">
      <alignment vertical="center" wrapText="1"/>
    </xf>
    <xf numFmtId="0" fontId="11" fillId="8" borderId="14" xfId="2" applyFont="1" applyFill="1" applyBorder="1" applyAlignment="1">
      <alignment horizontal="center" vertical="center"/>
    </xf>
    <xf numFmtId="0" fontId="9" fillId="0" borderId="0" xfId="0" applyFont="1"/>
    <xf numFmtId="0" fontId="3" fillId="0" borderId="18" xfId="0" applyFont="1" applyBorder="1"/>
    <xf numFmtId="0" fontId="2" fillId="3" borderId="2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9" fillId="0" borderId="14" xfId="0" applyFont="1" applyBorder="1"/>
    <xf numFmtId="0" fontId="4" fillId="2" borderId="9" xfId="0" applyFont="1" applyFill="1" applyBorder="1"/>
    <xf numFmtId="0" fontId="2" fillId="2" borderId="12" xfId="0" applyFont="1" applyFill="1" applyBorder="1"/>
    <xf numFmtId="0" fontId="9" fillId="0" borderId="2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vertical="center"/>
    </xf>
    <xf numFmtId="0" fontId="20" fillId="3" borderId="4" xfId="0" applyFont="1" applyFill="1" applyBorder="1"/>
    <xf numFmtId="0" fontId="20" fillId="3" borderId="4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0" fontId="20" fillId="0" borderId="4" xfId="0" applyFont="1" applyBorder="1"/>
    <xf numFmtId="0" fontId="20" fillId="0" borderId="4" xfId="0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9" xfId="0" applyFont="1" applyBorder="1" applyAlignment="1">
      <alignment vertical="center" wrapText="1"/>
    </xf>
    <xf numFmtId="0" fontId="21" fillId="2" borderId="4" xfId="0" applyFont="1" applyFill="1" applyBorder="1" applyAlignment="1">
      <alignment horizontal="left"/>
    </xf>
    <xf numFmtId="0" fontId="21" fillId="3" borderId="4" xfId="0" applyFont="1" applyFill="1" applyBorder="1" applyAlignment="1">
      <alignment horizontal="left"/>
    </xf>
    <xf numFmtId="0" fontId="20" fillId="3" borderId="0" xfId="0" applyFont="1" applyFill="1"/>
    <xf numFmtId="0" fontId="20" fillId="6" borderId="9" xfId="0" applyFont="1" applyFill="1" applyBorder="1" applyAlignment="1">
      <alignment vertical="center"/>
    </xf>
    <xf numFmtId="0" fontId="20" fillId="6" borderId="4" xfId="0" applyFont="1" applyFill="1" applyBorder="1"/>
    <xf numFmtId="0" fontId="20" fillId="6" borderId="4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vertical="center"/>
    </xf>
    <xf numFmtId="0" fontId="20" fillId="5" borderId="4" xfId="0" applyFont="1" applyFill="1" applyBorder="1"/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20" fillId="0" borderId="4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vertical="center"/>
    </xf>
    <xf numFmtId="0" fontId="20" fillId="2" borderId="4" xfId="0" applyFont="1" applyFill="1" applyBorder="1"/>
    <xf numFmtId="0" fontId="20" fillId="3" borderId="4" xfId="0" applyFont="1" applyFill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0" fillId="2" borderId="10" xfId="0" applyFont="1" applyFill="1" applyBorder="1"/>
    <xf numFmtId="0" fontId="20" fillId="2" borderId="10" xfId="0" applyFont="1" applyFill="1" applyBorder="1" applyAlignment="1">
      <alignment horizontal="center" vertical="center"/>
    </xf>
    <xf numFmtId="0" fontId="11" fillId="0" borderId="24" xfId="2" applyFont="1" applyBorder="1" applyAlignment="1">
      <alignment horizontal="left" vertical="center"/>
    </xf>
    <xf numFmtId="0" fontId="19" fillId="0" borderId="7" xfId="0" applyFont="1" applyBorder="1"/>
    <xf numFmtId="0" fontId="20" fillId="3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64" fontId="2" fillId="0" borderId="4" xfId="0" applyNumberFormat="1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46" xfId="0" applyBorder="1"/>
    <xf numFmtId="0" fontId="0" fillId="0" borderId="49" xfId="0" applyBorder="1"/>
    <xf numFmtId="0" fontId="9" fillId="0" borderId="46" xfId="0" applyFont="1" applyBorder="1"/>
    <xf numFmtId="0" fontId="9" fillId="0" borderId="49" xfId="0" applyFont="1" applyBorder="1"/>
    <xf numFmtId="1" fontId="2" fillId="0" borderId="4" xfId="0" applyNumberFormat="1" applyFont="1" applyBorder="1"/>
    <xf numFmtId="1" fontId="2" fillId="0" borderId="7" xfId="0" applyNumberFormat="1" applyFont="1" applyBorder="1" applyAlignment="1">
      <alignment horizontal="center"/>
    </xf>
    <xf numFmtId="0" fontId="2" fillId="0" borderId="29" xfId="0" applyFont="1" applyBorder="1" applyAlignment="1">
      <alignment vertical="center" wrapText="1"/>
    </xf>
    <xf numFmtId="0" fontId="9" fillId="0" borderId="41" xfId="0" applyFont="1" applyBorder="1"/>
    <xf numFmtId="0" fontId="21" fillId="0" borderId="0" xfId="0" applyFont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0" fontId="18" fillId="0" borderId="0" xfId="0" applyFont="1" applyAlignment="1">
      <alignment vertical="center" wrapText="1"/>
    </xf>
    <xf numFmtId="0" fontId="20" fillId="2" borderId="4" xfId="0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1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0" fillId="2" borderId="10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2" borderId="0" xfId="0" applyFont="1" applyFill="1"/>
    <xf numFmtId="0" fontId="20" fillId="3" borderId="1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10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0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21" fillId="0" borderId="0" xfId="0" applyNumberFormat="1" applyFont="1"/>
    <xf numFmtId="0" fontId="9" fillId="0" borderId="28" xfId="0" applyFont="1" applyBorder="1" applyAlignment="1">
      <alignment vertical="center"/>
    </xf>
    <xf numFmtId="0" fontId="2" fillId="0" borderId="6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3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" fillId="0" borderId="14" xfId="0" applyFont="1" applyBorder="1"/>
    <xf numFmtId="0" fontId="16" fillId="2" borderId="14" xfId="0" applyFont="1" applyFill="1" applyBorder="1" applyAlignment="1">
      <alignment vertical="center"/>
    </xf>
    <xf numFmtId="0" fontId="16" fillId="2" borderId="14" xfId="0" applyFont="1" applyFill="1" applyBorder="1" applyAlignment="1">
      <alignment horizontal="center" vertical="center"/>
    </xf>
    <xf numFmtId="0" fontId="26" fillId="0" borderId="14" xfId="0" applyFont="1" applyBorder="1"/>
    <xf numFmtId="0" fontId="27" fillId="2" borderId="14" xfId="0" applyFont="1" applyFill="1" applyBorder="1"/>
    <xf numFmtId="0" fontId="2" fillId="0" borderId="21" xfId="0" applyFont="1" applyBorder="1" applyAlignment="1">
      <alignment horizontal="center"/>
    </xf>
    <xf numFmtId="164" fontId="9" fillId="0" borderId="52" xfId="0" applyNumberFormat="1" applyFont="1" applyBorder="1" applyAlignment="1">
      <alignment vertical="center"/>
    </xf>
    <xf numFmtId="164" fontId="9" fillId="0" borderId="40" xfId="0" applyNumberFormat="1" applyFont="1" applyBorder="1" applyAlignment="1">
      <alignment vertical="center"/>
    </xf>
    <xf numFmtId="164" fontId="9" fillId="0" borderId="42" xfId="0" applyNumberFormat="1" applyFont="1" applyBorder="1" applyAlignment="1">
      <alignment vertical="center"/>
    </xf>
    <xf numFmtId="0" fontId="2" fillId="0" borderId="14" xfId="0" applyFont="1" applyBorder="1"/>
    <xf numFmtId="0" fontId="0" fillId="0" borderId="14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1" fillId="0" borderId="40" xfId="2" applyFont="1" applyBorder="1" applyAlignment="1">
      <alignment horizontal="center" vertical="center"/>
    </xf>
    <xf numFmtId="0" fontId="11" fillId="8" borderId="40" xfId="2" applyFont="1" applyFill="1" applyBorder="1" applyAlignment="1">
      <alignment horizontal="center" vertical="center"/>
    </xf>
    <xf numFmtId="0" fontId="11" fillId="0" borderId="82" xfId="2" applyFont="1" applyBorder="1" applyAlignment="1">
      <alignment horizontal="left" vertical="center"/>
    </xf>
    <xf numFmtId="0" fontId="11" fillId="7" borderId="41" xfId="2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/>
    </xf>
    <xf numFmtId="0" fontId="2" fillId="3" borderId="52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0" fillId="3" borderId="9" xfId="0" applyFont="1" applyFill="1" applyBorder="1" applyAlignment="1">
      <alignment horizontal="left" vertical="center"/>
    </xf>
    <xf numFmtId="0" fontId="20" fillId="0" borderId="10" xfId="0" applyFont="1" applyBorder="1"/>
    <xf numFmtId="0" fontId="20" fillId="0" borderId="1" xfId="0" applyFont="1" applyBorder="1"/>
    <xf numFmtId="0" fontId="20" fillId="3" borderId="14" xfId="0" applyFont="1" applyFill="1" applyBorder="1"/>
    <xf numFmtId="0" fontId="9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vertical="center" wrapText="1"/>
    </xf>
    <xf numFmtId="0" fontId="20" fillId="3" borderId="12" xfId="0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 vertical="top" wrapText="1"/>
    </xf>
    <xf numFmtId="1" fontId="24" fillId="0" borderId="14" xfId="0" applyNumberFormat="1" applyFont="1" applyBorder="1" applyAlignment="1">
      <alignment horizontal="center" vertical="top" shrinkToFit="1"/>
    </xf>
    <xf numFmtId="1" fontId="24" fillId="0" borderId="21" xfId="0" applyNumberFormat="1" applyFont="1" applyBorder="1" applyAlignment="1">
      <alignment horizontal="center" vertical="top" shrinkToFit="1"/>
    </xf>
    <xf numFmtId="0" fontId="22" fillId="0" borderId="14" xfId="0" applyFont="1" applyBorder="1" applyAlignment="1">
      <alignment horizontal="left" vertical="top" wrapText="1"/>
    </xf>
    <xf numFmtId="0" fontId="22" fillId="0" borderId="14" xfId="0" applyFont="1" applyBorder="1" applyAlignment="1">
      <alignment horizontal="center" vertical="top" wrapText="1"/>
    </xf>
    <xf numFmtId="1" fontId="22" fillId="0" borderId="14" xfId="0" applyNumberFormat="1" applyFont="1" applyBorder="1" applyAlignment="1">
      <alignment horizontal="center" vertical="top" shrinkToFit="1"/>
    </xf>
    <xf numFmtId="0" fontId="22" fillId="0" borderId="14" xfId="0" applyFont="1" applyBorder="1" applyAlignment="1">
      <alignment horizontal="left" wrapText="1"/>
    </xf>
    <xf numFmtId="0" fontId="22" fillId="0" borderId="14" xfId="0" applyFont="1" applyBorder="1" applyAlignment="1">
      <alignment horizontal="left" vertical="center" wrapText="1"/>
    </xf>
    <xf numFmtId="0" fontId="22" fillId="3" borderId="14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9" fillId="0" borderId="14" xfId="0" applyFont="1" applyBorder="1"/>
    <xf numFmtId="1" fontId="29" fillId="0" borderId="14" xfId="0" applyNumberFormat="1" applyFont="1" applyBorder="1"/>
    <xf numFmtId="0" fontId="24" fillId="0" borderId="19" xfId="0" applyFont="1" applyBorder="1" applyAlignment="1">
      <alignment horizontal="center" vertical="center"/>
    </xf>
    <xf numFmtId="0" fontId="29" fillId="7" borderId="14" xfId="0" applyFont="1" applyFill="1" applyBorder="1"/>
    <xf numFmtId="0" fontId="2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" fontId="24" fillId="0" borderId="0" xfId="0" applyNumberFormat="1" applyFont="1" applyAlignment="1">
      <alignment horizontal="center" vertical="top" shrinkToFit="1"/>
    </xf>
    <xf numFmtId="0" fontId="24" fillId="0" borderId="0" xfId="0" applyFont="1"/>
    <xf numFmtId="0" fontId="22" fillId="3" borderId="19" xfId="0" applyFont="1" applyFill="1" applyBorder="1" applyAlignment="1">
      <alignment horizontal="center"/>
    </xf>
    <xf numFmtId="0" fontId="24" fillId="0" borderId="20" xfId="0" applyFont="1" applyBorder="1" applyAlignment="1">
      <alignment horizontal="left" vertical="top" wrapText="1"/>
    </xf>
    <xf numFmtId="0" fontId="24" fillId="0" borderId="10" xfId="0" applyFont="1" applyBorder="1" applyAlignment="1">
      <alignment horizontal="center" vertical="top" wrapText="1"/>
    </xf>
    <xf numFmtId="1" fontId="24" fillId="0" borderId="10" xfId="0" applyNumberFormat="1" applyFont="1" applyBorder="1" applyAlignment="1">
      <alignment horizontal="center" vertical="top" shrinkToFit="1"/>
    </xf>
    <xf numFmtId="1" fontId="24" fillId="0" borderId="11" xfId="0" applyNumberFormat="1" applyFont="1" applyBorder="1" applyAlignment="1">
      <alignment horizontal="center" vertical="top" shrinkToFit="1"/>
    </xf>
    <xf numFmtId="0" fontId="24" fillId="0" borderId="3" xfId="0" applyFont="1" applyBorder="1" applyAlignment="1">
      <alignment horizontal="center" vertical="top" wrapText="1"/>
    </xf>
    <xf numFmtId="1" fontId="24" fillId="0" borderId="3" xfId="0" applyNumberFormat="1" applyFont="1" applyBorder="1" applyAlignment="1">
      <alignment horizontal="center" vertical="top" shrinkToFit="1"/>
    </xf>
    <xf numFmtId="0" fontId="24" fillId="0" borderId="18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24" fillId="0" borderId="14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top" wrapText="1"/>
    </xf>
    <xf numFmtId="1" fontId="5" fillId="0" borderId="10" xfId="0" applyNumberFormat="1" applyFont="1" applyBorder="1" applyAlignment="1">
      <alignment horizontal="center" vertical="top" shrinkToFit="1"/>
    </xf>
    <xf numFmtId="1" fontId="5" fillId="0" borderId="11" xfId="0" applyNumberFormat="1" applyFont="1" applyBorder="1" applyAlignment="1">
      <alignment horizontal="center" vertical="top" shrinkToFit="1"/>
    </xf>
    <xf numFmtId="0" fontId="3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" fontId="5" fillId="0" borderId="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24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14" xfId="0" applyFill="1" applyBorder="1"/>
    <xf numFmtId="0" fontId="0" fillId="0" borderId="17" xfId="0" applyBorder="1"/>
    <xf numFmtId="0" fontId="3" fillId="0" borderId="7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9" xfId="0" applyFont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0" fontId="24" fillId="0" borderId="14" xfId="0" applyFont="1" applyBorder="1"/>
    <xf numFmtId="0" fontId="24" fillId="0" borderId="14" xfId="0" applyFont="1" applyBorder="1" applyAlignment="1">
      <alignment horizontal="center"/>
    </xf>
    <xf numFmtId="0" fontId="24" fillId="0" borderId="14" xfId="0" applyFont="1" applyBorder="1" applyAlignment="1">
      <alignment vertical="center" wrapText="1"/>
    </xf>
    <xf numFmtId="0" fontId="24" fillId="7" borderId="14" xfId="0" applyFont="1" applyFill="1" applyBorder="1"/>
    <xf numFmtId="0" fontId="24" fillId="7" borderId="14" xfId="0" applyFont="1" applyFill="1" applyBorder="1" applyAlignment="1">
      <alignment horizontal="center"/>
    </xf>
    <xf numFmtId="0" fontId="24" fillId="9" borderId="14" xfId="0" applyFont="1" applyFill="1" applyBorder="1"/>
    <xf numFmtId="0" fontId="24" fillId="9" borderId="14" xfId="0" applyFont="1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24" fillId="0" borderId="14" xfId="0" applyFont="1" applyBorder="1" applyAlignment="1">
      <alignment horizontal="left" vertical="center"/>
    </xf>
    <xf numFmtId="0" fontId="24" fillId="0" borderId="1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9" fillId="9" borderId="21" xfId="0" applyFont="1" applyFill="1" applyBorder="1" applyAlignment="1">
      <alignment horizontal="center"/>
    </xf>
    <xf numFmtId="0" fontId="24" fillId="9" borderId="14" xfId="0" applyFont="1" applyFill="1" applyBorder="1" applyAlignment="1">
      <alignment vertical="center" wrapText="1"/>
    </xf>
    <xf numFmtId="0" fontId="9" fillId="7" borderId="21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24" fillId="3" borderId="7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/>
    </xf>
    <xf numFmtId="0" fontId="24" fillId="5" borderId="14" xfId="0" applyFont="1" applyFill="1" applyBorder="1"/>
    <xf numFmtId="0" fontId="24" fillId="6" borderId="14" xfId="0" applyFont="1" applyFill="1" applyBorder="1"/>
    <xf numFmtId="0" fontId="24" fillId="6" borderId="21" xfId="0" applyFont="1" applyFill="1" applyBorder="1" applyAlignment="1">
      <alignment horizontal="center" vertical="center"/>
    </xf>
    <xf numFmtId="0" fontId="24" fillId="12" borderId="14" xfId="0" applyFont="1" applyFill="1" applyBorder="1"/>
    <xf numFmtId="0" fontId="24" fillId="12" borderId="21" xfId="0" applyFont="1" applyFill="1" applyBorder="1" applyAlignment="1">
      <alignment horizontal="center" vertical="center"/>
    </xf>
    <xf numFmtId="0" fontId="24" fillId="2" borderId="14" xfId="0" applyFont="1" applyFill="1" applyBorder="1"/>
    <xf numFmtId="0" fontId="24" fillId="2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4" fillId="5" borderId="14" xfId="0" applyFont="1" applyFill="1" applyBorder="1" applyAlignment="1">
      <alignment wrapText="1"/>
    </xf>
    <xf numFmtId="0" fontId="16" fillId="10" borderId="46" xfId="0" applyFont="1" applyFill="1" applyBorder="1" applyAlignment="1">
      <alignment horizontal="center" vertical="center"/>
    </xf>
    <xf numFmtId="0" fontId="0" fillId="11" borderId="79" xfId="0" applyFill="1" applyBorder="1"/>
    <xf numFmtId="0" fontId="0" fillId="11" borderId="81" xfId="0" applyFill="1" applyBorder="1"/>
    <xf numFmtId="0" fontId="0" fillId="11" borderId="69" xfId="0" applyFill="1" applyBorder="1"/>
    <xf numFmtId="0" fontId="9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0" borderId="14" xfId="0" applyFont="1" applyBorder="1"/>
    <xf numFmtId="0" fontId="24" fillId="0" borderId="0" xfId="0" applyFont="1" applyAlignment="1">
      <alignment horizontal="center"/>
    </xf>
    <xf numFmtId="0" fontId="8" fillId="0" borderId="21" xfId="0" applyFont="1" applyBorder="1" applyAlignment="1">
      <alignment horizontal="center" wrapText="1"/>
    </xf>
    <xf numFmtId="0" fontId="24" fillId="0" borderId="16" xfId="0" applyFont="1" applyBorder="1"/>
    <xf numFmtId="0" fontId="24" fillId="0" borderId="21" xfId="0" applyFont="1" applyBorder="1" applyAlignment="1">
      <alignment vertical="center" wrapText="1"/>
    </xf>
    <xf numFmtId="0" fontId="24" fillId="0" borderId="75" xfId="0" applyFont="1" applyBorder="1"/>
    <xf numFmtId="0" fontId="24" fillId="0" borderId="15" xfId="0" applyFont="1" applyBorder="1"/>
    <xf numFmtId="0" fontId="24" fillId="0" borderId="15" xfId="0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1" fontId="0" fillId="7" borderId="14" xfId="0" applyNumberFormat="1" applyFill="1" applyBorder="1" applyAlignment="1">
      <alignment horizontal="center"/>
    </xf>
    <xf numFmtId="0" fontId="24" fillId="3" borderId="14" xfId="0" applyFont="1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2" fillId="2" borderId="7" xfId="0" applyFont="1" applyFill="1" applyBorder="1"/>
    <xf numFmtId="0" fontId="3" fillId="0" borderId="21" xfId="0" applyFont="1" applyBorder="1" applyAlignment="1">
      <alignment horizontal="center"/>
    </xf>
    <xf numFmtId="0" fontId="13" fillId="0" borderId="60" xfId="0" applyFont="1" applyBorder="1"/>
    <xf numFmtId="0" fontId="13" fillId="0" borderId="68" xfId="0" applyFont="1" applyBorder="1"/>
    <xf numFmtId="0" fontId="0" fillId="0" borderId="53" xfId="0" applyBorder="1"/>
    <xf numFmtId="0" fontId="8" fillId="0" borderId="14" xfId="0" applyFont="1" applyBorder="1" applyAlignment="1">
      <alignment horizontal="left" vertical="top" wrapText="1"/>
    </xf>
    <xf numFmtId="0" fontId="0" fillId="0" borderId="28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3" fillId="0" borderId="43" xfId="0" applyFont="1" applyBorder="1" applyAlignment="1">
      <alignment horizontal="center"/>
    </xf>
    <xf numFmtId="1" fontId="24" fillId="0" borderId="14" xfId="0" applyNumberFormat="1" applyFont="1" applyBorder="1" applyAlignment="1">
      <alignment horizontal="center"/>
    </xf>
    <xf numFmtId="0" fontId="24" fillId="0" borderId="22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/>
    </xf>
    <xf numFmtId="43" fontId="19" fillId="0" borderId="36" xfId="3" applyFont="1" applyFill="1" applyBorder="1" applyAlignment="1">
      <alignment horizontal="center" vertical="center"/>
    </xf>
    <xf numFmtId="164" fontId="19" fillId="0" borderId="36" xfId="3" applyNumberFormat="1" applyFont="1" applyFill="1" applyBorder="1" applyAlignment="1">
      <alignment horizontal="center" vertical="center"/>
    </xf>
    <xf numFmtId="0" fontId="19" fillId="0" borderId="50" xfId="0" applyFont="1" applyBorder="1" applyAlignment="1">
      <alignment horizontal="center"/>
    </xf>
    <xf numFmtId="0" fontId="19" fillId="0" borderId="52" xfId="0" applyFont="1" applyBorder="1" applyAlignment="1">
      <alignment horizontal="center"/>
    </xf>
    <xf numFmtId="164" fontId="16" fillId="10" borderId="40" xfId="5" applyNumberFormat="1" applyFont="1" applyFill="1" applyBorder="1" applyAlignment="1">
      <alignment horizontal="center" vertical="center"/>
    </xf>
    <xf numFmtId="164" fontId="8" fillId="12" borderId="40" xfId="5" applyNumberFormat="1" applyFont="1" applyFill="1" applyBorder="1" applyAlignment="1">
      <alignment horizontal="center" vertical="center"/>
    </xf>
    <xf numFmtId="0" fontId="2" fillId="3" borderId="80" xfId="0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164" fontId="8" fillId="12" borderId="42" xfId="5" applyNumberFormat="1" applyFont="1" applyFill="1" applyBorder="1" applyAlignment="1">
      <alignment horizontal="center" vertical="center"/>
    </xf>
    <xf numFmtId="0" fontId="16" fillId="10" borderId="61" xfId="0" applyFont="1" applyFill="1" applyBorder="1" applyAlignment="1">
      <alignment horizontal="center" vertical="center"/>
    </xf>
    <xf numFmtId="0" fontId="16" fillId="10" borderId="62" xfId="0" applyFont="1" applyFill="1" applyBorder="1" applyAlignment="1">
      <alignment horizontal="center" vertical="center"/>
    </xf>
    <xf numFmtId="0" fontId="0" fillId="0" borderId="40" xfId="0" applyBorder="1"/>
    <xf numFmtId="0" fontId="0" fillId="0" borderId="74" xfId="0" applyBorder="1"/>
    <xf numFmtId="0" fontId="0" fillId="0" borderId="42" xfId="0" applyBorder="1"/>
    <xf numFmtId="0" fontId="3" fillId="3" borderId="7" xfId="0" applyFont="1" applyFill="1" applyBorder="1" applyAlignment="1">
      <alignment horizontal="center"/>
    </xf>
    <xf numFmtId="0" fontId="3" fillId="3" borderId="80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/>
    </xf>
    <xf numFmtId="164" fontId="9" fillId="0" borderId="48" xfId="0" applyNumberFormat="1" applyFont="1" applyBorder="1" applyAlignment="1">
      <alignment vertical="center"/>
    </xf>
    <xf numFmtId="164" fontId="9" fillId="0" borderId="65" xfId="0" applyNumberFormat="1" applyFont="1" applyBorder="1" applyAlignment="1">
      <alignment vertical="center"/>
    </xf>
    <xf numFmtId="164" fontId="9" fillId="0" borderId="67" xfId="0" applyNumberFormat="1" applyFont="1" applyBorder="1" applyAlignment="1">
      <alignment vertical="center"/>
    </xf>
    <xf numFmtId="164" fontId="9" fillId="0" borderId="46" xfId="0" applyNumberFormat="1" applyFont="1" applyBorder="1" applyAlignment="1">
      <alignment vertical="center"/>
    </xf>
    <xf numFmtId="0" fontId="9" fillId="0" borderId="46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9" fillId="0" borderId="40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11" fillId="0" borderId="48" xfId="2" applyFont="1" applyBorder="1" applyAlignment="1">
      <alignment horizontal="center" vertical="center"/>
    </xf>
    <xf numFmtId="0" fontId="11" fillId="7" borderId="64" xfId="2" applyFont="1" applyFill="1" applyBorder="1" applyAlignment="1">
      <alignment horizontal="center" vertical="center"/>
    </xf>
    <xf numFmtId="0" fontId="9" fillId="0" borderId="64" xfId="0" applyFont="1" applyBorder="1" applyAlignment="1">
      <alignment horizontal="center"/>
    </xf>
    <xf numFmtId="164" fontId="9" fillId="0" borderId="47" xfId="0" applyNumberFormat="1" applyFont="1" applyBorder="1" applyAlignment="1">
      <alignment vertical="center"/>
    </xf>
    <xf numFmtId="0" fontId="2" fillId="2" borderId="33" xfId="0" applyFont="1" applyFill="1" applyBorder="1"/>
    <xf numFmtId="0" fontId="2" fillId="0" borderId="33" xfId="0" applyFont="1" applyBorder="1"/>
    <xf numFmtId="0" fontId="2" fillId="0" borderId="34" xfId="0" applyFont="1" applyBorder="1" applyAlignment="1">
      <alignment horizontal="center"/>
    </xf>
    <xf numFmtId="164" fontId="9" fillId="0" borderId="58" xfId="0" applyNumberFormat="1" applyFont="1" applyBorder="1" applyAlignment="1">
      <alignment vertical="center"/>
    </xf>
    <xf numFmtId="164" fontId="9" fillId="0" borderId="55" xfId="0" applyNumberFormat="1" applyFont="1" applyBorder="1" applyAlignment="1">
      <alignment vertical="center"/>
    </xf>
    <xf numFmtId="0" fontId="3" fillId="3" borderId="50" xfId="0" applyFont="1" applyFill="1" applyBorder="1" applyAlignment="1">
      <alignment horizontal="center"/>
    </xf>
    <xf numFmtId="0" fontId="3" fillId="3" borderId="52" xfId="0" applyFont="1" applyFill="1" applyBorder="1" applyAlignment="1">
      <alignment horizontal="center"/>
    </xf>
    <xf numFmtId="0" fontId="9" fillId="0" borderId="40" xfId="0" applyFont="1" applyBorder="1"/>
    <xf numFmtId="0" fontId="9" fillId="0" borderId="42" xfId="0" applyFont="1" applyBorder="1"/>
    <xf numFmtId="0" fontId="2" fillId="3" borderId="7" xfId="0" applyFont="1" applyFill="1" applyBorder="1" applyAlignment="1">
      <alignment horizontal="center" vertical="center"/>
    </xf>
    <xf numFmtId="0" fontId="9" fillId="0" borderId="36" xfId="0" applyFont="1" applyBorder="1"/>
    <xf numFmtId="164" fontId="9" fillId="0" borderId="36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9" fillId="0" borderId="49" xfId="0" applyNumberFormat="1" applyFont="1" applyBorder="1" applyAlignment="1">
      <alignment vertical="center"/>
    </xf>
    <xf numFmtId="0" fontId="0" fillId="0" borderId="43" xfId="0" applyBorder="1"/>
    <xf numFmtId="0" fontId="2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left" vertical="top" wrapText="1"/>
    </xf>
    <xf numFmtId="164" fontId="0" fillId="0" borderId="0" xfId="0" applyNumberFormat="1"/>
    <xf numFmtId="49" fontId="2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11" fillId="0" borderId="46" xfId="1" applyFont="1" applyBorder="1" applyAlignment="1">
      <alignment horizontal="center"/>
    </xf>
    <xf numFmtId="44" fontId="11" fillId="0" borderId="14" xfId="5" applyFont="1" applyFill="1" applyBorder="1" applyAlignment="1">
      <alignment horizontal="left"/>
    </xf>
    <xf numFmtId="0" fontId="11" fillId="0" borderId="46" xfId="1" applyFont="1" applyBorder="1" applyAlignment="1">
      <alignment horizontal="center" vertical="center"/>
    </xf>
    <xf numFmtId="3" fontId="11" fillId="0" borderId="47" xfId="1" applyNumberFormat="1" applyFont="1" applyBorder="1" applyAlignment="1">
      <alignment horizontal="center"/>
    </xf>
    <xf numFmtId="44" fontId="11" fillId="0" borderId="15" xfId="5" applyFont="1" applyFill="1" applyBorder="1" applyAlignment="1">
      <alignment horizontal="left"/>
    </xf>
    <xf numFmtId="0" fontId="13" fillId="0" borderId="79" xfId="0" applyFont="1" applyBorder="1" applyAlignment="1">
      <alignment horizontal="center"/>
    </xf>
    <xf numFmtId="164" fontId="13" fillId="0" borderId="72" xfId="0" applyNumberFormat="1" applyFont="1" applyBorder="1"/>
    <xf numFmtId="164" fontId="9" fillId="0" borderId="83" xfId="0" applyNumberFormat="1" applyFont="1" applyBorder="1" applyAlignment="1">
      <alignment vertical="center"/>
    </xf>
    <xf numFmtId="164" fontId="2" fillId="0" borderId="37" xfId="2" applyNumberFormat="1" applyFont="1" applyBorder="1" applyAlignment="1">
      <alignment horizontal="center"/>
    </xf>
    <xf numFmtId="164" fontId="2" fillId="2" borderId="59" xfId="2" applyNumberFormat="1" applyFont="1" applyFill="1" applyBorder="1" applyAlignment="1">
      <alignment horizontal="center"/>
    </xf>
    <xf numFmtId="164" fontId="2" fillId="2" borderId="37" xfId="2" applyNumberFormat="1" applyFont="1" applyFill="1" applyBorder="1" applyAlignment="1">
      <alignment horizontal="center"/>
    </xf>
    <xf numFmtId="164" fontId="2" fillId="2" borderId="58" xfId="2" applyNumberFormat="1" applyFont="1" applyFill="1" applyBorder="1" applyAlignment="1">
      <alignment horizontal="center"/>
    </xf>
    <xf numFmtId="164" fontId="2" fillId="2" borderId="78" xfId="2" applyNumberFormat="1" applyFont="1" applyFill="1" applyBorder="1" applyAlignment="1">
      <alignment horizontal="center"/>
    </xf>
    <xf numFmtId="164" fontId="2" fillId="0" borderId="2" xfId="2" applyNumberFormat="1" applyFont="1" applyBorder="1" applyAlignment="1">
      <alignment horizontal="center"/>
    </xf>
    <xf numFmtId="164" fontId="2" fillId="0" borderId="58" xfId="2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56" xfId="0" applyFont="1" applyFill="1" applyBorder="1" applyAlignment="1">
      <alignment horizontal="center"/>
    </xf>
    <xf numFmtId="164" fontId="9" fillId="0" borderId="50" xfId="0" applyNumberFormat="1" applyFont="1" applyBorder="1" applyAlignment="1">
      <alignment vertical="center"/>
    </xf>
    <xf numFmtId="0" fontId="0" fillId="0" borderId="41" xfId="0" applyBorder="1" applyAlignment="1">
      <alignment horizontal="center"/>
    </xf>
    <xf numFmtId="164" fontId="3" fillId="0" borderId="36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5" borderId="21" xfId="0" applyFill="1" applyBorder="1"/>
    <xf numFmtId="0" fontId="0" fillId="0" borderId="46" xfId="0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" fontId="29" fillId="0" borderId="21" xfId="0" applyNumberFormat="1" applyFont="1" applyBorder="1" applyAlignment="1">
      <alignment horizontal="center"/>
    </xf>
    <xf numFmtId="0" fontId="5" fillId="2" borderId="12" xfId="0" applyFont="1" applyFill="1" applyBorder="1" applyAlignment="1">
      <alignment horizontal="left"/>
    </xf>
    <xf numFmtId="0" fontId="0" fillId="0" borderId="36" xfId="0" applyBorder="1"/>
    <xf numFmtId="0" fontId="24" fillId="0" borderId="57" xfId="0" applyFont="1" applyBorder="1" applyAlignment="1">
      <alignment horizontal="center"/>
    </xf>
    <xf numFmtId="0" fontId="24" fillId="2" borderId="61" xfId="0" applyFont="1" applyFill="1" applyBorder="1" applyAlignment="1">
      <alignment horizontal="center" vertical="center"/>
    </xf>
    <xf numFmtId="0" fontId="24" fillId="2" borderId="40" xfId="0" applyFont="1" applyFill="1" applyBorder="1" applyAlignment="1">
      <alignment horizontal="center" vertical="center"/>
    </xf>
    <xf numFmtId="0" fontId="24" fillId="6" borderId="61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12" borderId="61" xfId="0" applyFont="1" applyFill="1" applyBorder="1" applyAlignment="1">
      <alignment horizontal="center" vertical="center"/>
    </xf>
    <xf numFmtId="0" fontId="24" fillId="12" borderId="40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/>
    </xf>
    <xf numFmtId="0" fontId="24" fillId="5" borderId="40" xfId="0" applyFont="1" applyFill="1" applyBorder="1" applyAlignment="1">
      <alignment horizontal="center"/>
    </xf>
    <xf numFmtId="0" fontId="24" fillId="0" borderId="61" xfId="0" applyFont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24" fillId="5" borderId="62" xfId="0" applyFont="1" applyFill="1" applyBorder="1" applyAlignment="1">
      <alignment horizontal="center"/>
    </xf>
    <xf numFmtId="0" fontId="24" fillId="5" borderId="42" xfId="0" applyFont="1" applyFill="1" applyBorder="1" applyAlignment="1">
      <alignment horizontal="center"/>
    </xf>
    <xf numFmtId="0" fontId="20" fillId="3" borderId="86" xfId="0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2" borderId="86" xfId="0" applyFont="1" applyFill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/>
    </xf>
    <xf numFmtId="0" fontId="20" fillId="2" borderId="87" xfId="0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center" vertical="center"/>
    </xf>
    <xf numFmtId="0" fontId="20" fillId="3" borderId="76" xfId="0" applyFont="1" applyFill="1" applyBorder="1" applyAlignment="1">
      <alignment horizontal="center" vertical="center"/>
    </xf>
    <xf numFmtId="0" fontId="20" fillId="3" borderId="55" xfId="0" applyFont="1" applyFill="1" applyBorder="1" applyAlignment="1">
      <alignment horizontal="center" vertical="center"/>
    </xf>
    <xf numFmtId="0" fontId="20" fillId="0" borderId="86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6" borderId="86" xfId="0" applyFont="1" applyFill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0" fontId="20" fillId="5" borderId="86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0" fontId="20" fillId="5" borderId="76" xfId="0" applyFont="1" applyFill="1" applyBorder="1" applyAlignment="1">
      <alignment horizontal="center" vertical="center"/>
    </xf>
    <xf numFmtId="0" fontId="20" fillId="5" borderId="55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3" xfId="0" applyFont="1" applyBorder="1"/>
    <xf numFmtId="0" fontId="22" fillId="0" borderId="1" xfId="0" applyFont="1" applyBorder="1"/>
    <xf numFmtId="0" fontId="20" fillId="3" borderId="12" xfId="0" applyFont="1" applyFill="1" applyBorder="1" applyAlignment="1">
      <alignment vertical="center"/>
    </xf>
    <xf numFmtId="0" fontId="22" fillId="0" borderId="2" xfId="0" applyFont="1" applyBorder="1"/>
    <xf numFmtId="0" fontId="20" fillId="3" borderId="31" xfId="0" applyFont="1" applyFill="1" applyBorder="1" applyAlignment="1">
      <alignment vertical="center"/>
    </xf>
    <xf numFmtId="0" fontId="20" fillId="3" borderId="32" xfId="0" applyFont="1" applyFill="1" applyBorder="1" applyAlignment="1">
      <alignment vertical="center"/>
    </xf>
    <xf numFmtId="0" fontId="22" fillId="0" borderId="5" xfId="0" applyFont="1" applyBorder="1"/>
    <xf numFmtId="0" fontId="20" fillId="2" borderId="12" xfId="0" applyFont="1" applyFill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20" fillId="3" borderId="10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0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9" fillId="7" borderId="30" xfId="0" applyFont="1" applyFill="1" applyBorder="1" applyAlignment="1">
      <alignment horizontal="center" vertical="center" wrapText="1"/>
    </xf>
    <xf numFmtId="0" fontId="9" fillId="0" borderId="70" xfId="0" applyFont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8" fillId="0" borderId="85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9" fillId="5" borderId="14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13" fillId="5" borderId="74" xfId="0" applyFont="1" applyFill="1" applyBorder="1" applyAlignment="1">
      <alignment horizontal="center"/>
    </xf>
    <xf numFmtId="0" fontId="13" fillId="5" borderId="43" xfId="0" applyFont="1" applyFill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4" xfId="0" applyFont="1" applyBorder="1" applyAlignment="1">
      <alignment horizontal="center"/>
    </xf>
  </cellXfs>
  <cellStyles count="6">
    <cellStyle name="Moeda" xfId="5" builtinId="4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  <cellStyle name="Vírgula" xfId="3" builtinId="3"/>
  </cellStyles>
  <dxfs count="0"/>
  <tableStyles count="0" defaultTableStyle="TableStyleMedium2" defaultPivotStyle="PivotStyleLight16"/>
  <colors>
    <mruColors>
      <color rgb="FF9954CC"/>
      <color rgb="FF66FF66"/>
      <color rgb="FFCC3300"/>
      <color rgb="FFFF984B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36</xdr:row>
      <xdr:rowOff>0</xdr:rowOff>
    </xdr:from>
    <xdr:ext cx="44195" cy="694944"/>
    <xdr:pic>
      <xdr:nvPicPr>
        <xdr:cNvPr id="2" name="image2.png">
          <a:extLst>
            <a:ext uri="{FF2B5EF4-FFF2-40B4-BE49-F238E27FC236}">
              <a16:creationId xmlns:a16="http://schemas.microsoft.com/office/drawing/2014/main" id="{FC51ED02-EC24-455F-BD0F-62AC1DC22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400050"/>
          <a:ext cx="44195" cy="6949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file:///C:\Users\cadam\AppData\Local\Microsoft\Windows\DIAS_VERIDIANA\AppData\Local\Microsoft\Windows\INetCache\Content.Outlook\L3JTO46T\2049-%20Aspirador%20Atraumatico%20diam.3,0%20mm.JPG" TargetMode="External"/><Relationship Id="rId21" Type="http://schemas.openxmlformats.org/officeDocument/2006/relationships/hyperlink" Target="file:///C:\Users\cadam\AppData\Local\Microsoft\Windows\DIAS_VERIDIANA\AppData\Local\Microsoft\Windows\INetCache\Content.Outlook\L3JTO46T\Seringa%20de%20carpule.JPG" TargetMode="External"/><Relationship Id="rId42" Type="http://schemas.openxmlformats.org/officeDocument/2006/relationships/hyperlink" Target="file:///C:\Users\cadam\AppData\Local\Microsoft\Windows\DIAS_VERIDIANA\AppData\Local\Microsoft\Windows\INetCache\Content.Outlook\L3JTO46T\3064-%20Pin&#231;a%20come%20p%20frente%20angulada.JPG" TargetMode="External"/><Relationship Id="rId47" Type="http://schemas.openxmlformats.org/officeDocument/2006/relationships/hyperlink" Target="file:///C:\Users\cadam\AppData\Local\Microsoft\Windows\DIAS_VERIDIANA\AppData\Local\Microsoft\Windows\INetCache\Content.Outlook\L3JTO46T\3251-%20Pin&#231;a%20nasal%20takahashi%20angulada%2045&#176;adulto%2014%20cm.JPG" TargetMode="External"/><Relationship Id="rId63" Type="http://schemas.openxmlformats.org/officeDocument/2006/relationships/hyperlink" Target="file:///C:\Users\cadam\AppData\Local\Microsoft\Windows\DIAS_VERIDIANA\AppData\Local\Microsoft\Windows\INetCache\Content.Outlook\CX.de%20Amigdalas%202\2171-%20Cabo%20p%20bisturi%20N&#176;%207%2017%20cm.jpg" TargetMode="External"/><Relationship Id="rId68" Type="http://schemas.openxmlformats.org/officeDocument/2006/relationships/printerSettings" Target="../printerSettings/printerSettings5.bin"/><Relationship Id="rId7" Type="http://schemas.openxmlformats.org/officeDocument/2006/relationships/hyperlink" Target="file:///C:\Users\cadam\AppData\Local\Microsoft\Windows\DIAS_VERIDIANA\AppData\Local\Microsoft\Windows\INetCache\Content.Outlook\L3JTO46T\0494-%20Especulo%20nasal%20de%20killian%20n.2.JPG" TargetMode="External"/><Relationship Id="rId2" Type="http://schemas.openxmlformats.org/officeDocument/2006/relationships/hyperlink" Target="file:///C:\Users\cadam\AppData\Local\Microsoft\Windows\DIAS_VERIDIANA\AppData\Local\Microsoft\Windows\INetCache\Content.Outlook\L3JTO46T\1861-%20Afastador%20aba%20nasal%2019%20cm%20n&#176;1.JPG" TargetMode="External"/><Relationship Id="rId16" Type="http://schemas.openxmlformats.org/officeDocument/2006/relationships/hyperlink" Target="file:///C:\Users\cadam\AppData\Local\Microsoft\Windows\DIAS_VERIDIANA\AppData\Local\Microsoft\Windows\INetCache\Content.Outlook\L3JTO46T\1300-%20Pin&#231;a%20Hartmann%20150%20mm.JPG" TargetMode="External"/><Relationship Id="rId29" Type="http://schemas.openxmlformats.org/officeDocument/2006/relationships/hyperlink" Target="file:///C:\Users\cadam\AppData\Local\Microsoft\Windows\DIAS_VERIDIANA\AppData\Local\Microsoft\Windows\INetCache\Content.Outlook\L3JTO46T\2437-%20Esp&#225;tula%20de%20conchas%20nasais%2021%20cm.jpg" TargetMode="External"/><Relationship Id="rId11" Type="http://schemas.openxmlformats.org/officeDocument/2006/relationships/hyperlink" Target="file:///C:\Users\cadam\AppData\Local\Microsoft\Windows\DIAS_VERIDIANA\AppData\Local\Microsoft\Windows\INetCache\Content.Outlook\L3JTO46T\2766-%20Martelo%20250%20gr%20diam.%2022%20x%20185%20mm.JPG" TargetMode="External"/><Relationship Id="rId24" Type="http://schemas.openxmlformats.org/officeDocument/2006/relationships/hyperlink" Target="file:///C:\Users\cadam\AppData\Local\Microsoft\Windows\DIAS_VERIDIANA\AppData\Local\Microsoft\Windows\INetCache\Content.Outlook\L3JTO46T\Estojo%20de%20inox%2028%20x%2014%20x%206%20cm%20Perfurado.jpg" TargetMode="External"/><Relationship Id="rId32" Type="http://schemas.openxmlformats.org/officeDocument/2006/relationships/hyperlink" Target="file:///C:\Users\cadam\AppData\Local\Microsoft\Windows\DIAS_VERIDIANA\AppData\Local\Microsoft\Windows\INetCache\Content.Outlook\L3JTO46T\0489-%20Especulo%20nasal%20autost&#225;tico%20n.3.JPG" TargetMode="External"/><Relationship Id="rId37" Type="http://schemas.openxmlformats.org/officeDocument/2006/relationships/hyperlink" Target="file:///C:\Users\cadam\AppData\Local\Microsoft\Windows\DIAS_VERIDIANA\AppData\Local\Microsoft\Windows\INetCache\Content.Outlook\L3JTO46T\2893-%20Palpador%20seio%20maxilar%20185%20mm.JPG" TargetMode="External"/><Relationship Id="rId40" Type="http://schemas.openxmlformats.org/officeDocument/2006/relationships/hyperlink" Target="file:///C:\Users\cadam\AppData\Local\Microsoft\Windows\DIAS_VERIDIANA\AppData\Local\Microsoft\Windows\INetCache\Content.Outlook\L3JTO46T\3059-%20Pin&#231;a%20cogumelo%20reta%20160%20mm.jpg" TargetMode="External"/><Relationship Id="rId45" Type="http://schemas.openxmlformats.org/officeDocument/2006/relationships/hyperlink" Target="file:///C:\Users\cadam\AppData\Local\Microsoft\Windows\DIAS_VERIDIANA\AppData\Local\Microsoft\Windows\INetCache\Content.Outlook\L3JTO46T\3153-%20Pin&#231;a%20kerrison%202%20x%20160%20mm%20p%20cima.JPG" TargetMode="External"/><Relationship Id="rId53" Type="http://schemas.openxmlformats.org/officeDocument/2006/relationships/hyperlink" Target="file:///C:\Users\cadam\AppData\Local\Microsoft\Windows\DIAS_VERIDIANA\AppData\Local\Microsoft\Windows\INetCache\Content.Outlook\CX.de%20Amigdalas%202\Estojo%20de%20inox%2028%20x%2014%20x%206%20cm%20Perfurado.jpg" TargetMode="External"/><Relationship Id="rId58" Type="http://schemas.openxmlformats.org/officeDocument/2006/relationships/hyperlink" Target="file:///C:\Users\cadam\AppData\Local\Microsoft\Windows\DIAS_VERIDIANA\AppData\Local\Microsoft\Windows\INetCache\Content.Outlook\CX.de%20Amigdalas%202\2422-%20Descolador%20serrilhado%2021%20cm.JPG" TargetMode="External"/><Relationship Id="rId66" Type="http://schemas.openxmlformats.org/officeDocument/2006/relationships/hyperlink" Target="file:///C:\Users\cadam\AppData\Local\Microsoft\Windows\DIAS_VERIDIANA\AppData\Local\Microsoft\Windows\INetCache\Content.Outlook\CX.de%20Amigdalas%202\0017-Abre%20boca%20MC%20Ivor%20c%203%20abaixa%20lingua.JPG" TargetMode="External"/><Relationship Id="rId5" Type="http://schemas.openxmlformats.org/officeDocument/2006/relationships/hyperlink" Target="file:///C:\Users\cadam\AppData\Local\Microsoft\Windows\DIAS_VERIDIANA\AppData\Local\Microsoft\Windows\INetCache\Content.Outlook\L3JTO46T\2171-%20Cabo%20p%20bisturi%20N&#176;%207%2017%20cm.jpg" TargetMode="External"/><Relationship Id="rId61" Type="http://schemas.openxmlformats.org/officeDocument/2006/relationships/hyperlink" Target="file:///C:\Users\cadam\AppData\Local\Microsoft\Windows\DIAS_VERIDIANA\AppData\Local\Microsoft\Windows\INetCache\Content.Outlook\CX.de%20Amigdalas%202\3425-%20Cureta%20de%20beckmann%20N&#186;%203.JPG" TargetMode="External"/><Relationship Id="rId19" Type="http://schemas.openxmlformats.org/officeDocument/2006/relationships/hyperlink" Target="file:///C:\Users\cadam\AppData\Local\Microsoft\Windows\DIAS_VERIDIANA\AppData\Local\Microsoft\Windows\INetCache\Content.Outlook\L3JTO46T\3254-%20Pin&#231;a%20nasal%20takahashi%20reta%20adulto%2014%20cm.JPG" TargetMode="External"/><Relationship Id="rId14" Type="http://schemas.openxmlformats.org/officeDocument/2006/relationships/hyperlink" Target="file:///C:\Users\cadam\AppData\Local\Microsoft\Windows\DIAS_VERIDIANA\AppData\Local\Microsoft\Windows\INetCache\Content.Outlook\L3JTO46T\2827-%20Pin&#231;a%20Baioneta%2014%20cm.JPG" TargetMode="External"/><Relationship Id="rId22" Type="http://schemas.openxmlformats.org/officeDocument/2006/relationships/hyperlink" Target="file:///C:\Users\cadam\AppData\Local\Microsoft\Windows\DIAS_VERIDIANA\AppData\Local\Microsoft\Windows\INetCache\Content.Outlook\L3JTO46T\3359-%20Tesoura%20heyman%2019%20cm.jpg" TargetMode="External"/><Relationship Id="rId27" Type="http://schemas.openxmlformats.org/officeDocument/2006/relationships/hyperlink" Target="file:///C:\Users\cadam\AppData\Local\Microsoft\Windows\DIAS_VERIDIANA\AppData\Local\Microsoft\Windows\INetCache\Content.Outlook\L3JTO46T\2050-%20Aspirador%20Atraumatico%20diam.3,5%20mm.JPG" TargetMode="External"/><Relationship Id="rId30" Type="http://schemas.openxmlformats.org/officeDocument/2006/relationships/hyperlink" Target="file:///C:\Users\cadam\AppData\Local\Microsoft\Windows\DIAS_VERIDIANA\AppData\Local\Microsoft\Windows\INetCache\Content.Outlook\L3JTO46T\0487-%20Especulo%20nasal%20autost&#225;tico%20n.1.JPG" TargetMode="External"/><Relationship Id="rId35" Type="http://schemas.openxmlformats.org/officeDocument/2006/relationships/hyperlink" Target="file:///C:\Users\cadam\AppData\Local\Microsoft\Windows\DIAS_VERIDIANA\AppData\Local\Microsoft\Windows\INetCache\Content.Outlook\L3JTO46T\4872-%20Micro%20dissector%20grosso%2020%20cm.jpg" TargetMode="External"/><Relationship Id="rId43" Type="http://schemas.openxmlformats.org/officeDocument/2006/relationships/hyperlink" Target="file:///C:\Users\cadam\AppData\Local\Microsoft\Windows\DIAS_VERIDIANA\AppData\Local\Microsoft\Windows\INetCache\Content.Outlook\L3JTO46T\3065-%20Pin&#231;a%20come%20p%20frente%20reta.JPG" TargetMode="External"/><Relationship Id="rId48" Type="http://schemas.openxmlformats.org/officeDocument/2006/relationships/hyperlink" Target="file:///C:\Users\cadam\AppData\Local\Microsoft\Windows\DIAS_VERIDIANA\AppData\Local\Microsoft\Windows\INetCache\Content.Outlook\L3JTO46T\3252-%20Pin&#231;a%20nasal%20takahashi%20angulada%2045&#176;infantil%2012%20cm.JPG" TargetMode="External"/><Relationship Id="rId56" Type="http://schemas.openxmlformats.org/officeDocument/2006/relationships/hyperlink" Target="file:///C:\Users\cadam\AppData\Local\Microsoft\Windows\DIAS_VERIDIANA\AppData\Local\Microsoft\Windows\INetCache\Content.Outlook\CX.de%20Amigdalas%202\0632-%20Porta%20agulha%20mayo-hegar%2018%20cm%20s%20widia.jpg" TargetMode="External"/><Relationship Id="rId64" Type="http://schemas.openxmlformats.org/officeDocument/2006/relationships/hyperlink" Target="file:///C:\Users\cadam\AppData\Local\Microsoft\Windows\DIAS_VERIDIANA\AppData\Local\Microsoft\Windows\INetCache\Content.Outlook\CX.de%20Amigdalas%202\2015-Aspirador%20yankauer%20adulto%2028%20cm.JPG" TargetMode="External"/><Relationship Id="rId69" Type="http://schemas.openxmlformats.org/officeDocument/2006/relationships/drawing" Target="../drawings/drawing1.xml"/><Relationship Id="rId8" Type="http://schemas.openxmlformats.org/officeDocument/2006/relationships/hyperlink" Target="file:///C:\Users\cadam\AppData\Local\Microsoft\Windows\DIAS_VERIDIANA\AppData\Local\Microsoft\Windows\INetCache\Content.Outlook\L3JTO46T\0495-%20Especulo%20nasal%20de%20killian%20n.3.JPG" TargetMode="External"/><Relationship Id="rId51" Type="http://schemas.openxmlformats.org/officeDocument/2006/relationships/hyperlink" Target="file:///C:\Users\cadam\AppData\Local\Microsoft\Windows\DIAS_VERIDIANA\AppData\Local\Microsoft\Windows\INetCache\Content.Outlook\L3JTO46T\3392-%20Tesoura%20microendonasal%20reta.JPG" TargetMode="External"/><Relationship Id="rId3" Type="http://schemas.openxmlformats.org/officeDocument/2006/relationships/hyperlink" Target="file:///C:\Users\cadam\AppData\Local\Microsoft\Windows\DIAS_VERIDIANA\AppData\Local\Microsoft\Windows\INetCache\Content.Outlook\L3JTO46T\Aspirador%20Atraumatico.JPG" TargetMode="External"/><Relationship Id="rId12" Type="http://schemas.openxmlformats.org/officeDocument/2006/relationships/hyperlink" Target="file:///C:\Users\cadam\AppData\Local\Microsoft\Windows\DIAS_VERIDIANA\AppData\Local\Microsoft\Windows\INetCache\Content.Outlook\L3JTO46T\2833-%20Pin&#231;a%20anat&#244;mica%20adson%20s%20dente%2012%20cm.JPG" TargetMode="External"/><Relationship Id="rId17" Type="http://schemas.openxmlformats.org/officeDocument/2006/relationships/hyperlink" Target="file:///C:\Users\cadam\AppData\Local\Microsoft\Windows\DIAS_VERIDIANA\AppData\Local\Microsoft\Windows\INetCache\Content.Outlook\L3JTO46T\1317-%20Pin&#231;a%20hemost&#225;tica%20kelly%20curva%2014%20cm.JPG" TargetMode="External"/><Relationship Id="rId25" Type="http://schemas.openxmlformats.org/officeDocument/2006/relationships/hyperlink" Target="file:///C:\Users\cadam\AppData\Local\Microsoft\Windows\DIAS_VERIDIANA\AppData\Local\Microsoft\Windows\INetCache\Content.Outlook\L3JTO46T\Aspirador%20p%20seio%20maxilar.JPG" TargetMode="External"/><Relationship Id="rId33" Type="http://schemas.openxmlformats.org/officeDocument/2006/relationships/hyperlink" Target="file:///C:\Users\cadam\AppData\Local\Microsoft\Windows\DIAS_VERIDIANA\AppData\Local\Microsoft\Windows\INetCache\Content.Outlook\L3JTO46T\4878-%20Micro%20bisturi%20descolador%2020%20cm.jpg" TargetMode="External"/><Relationship Id="rId38" Type="http://schemas.openxmlformats.org/officeDocument/2006/relationships/hyperlink" Target="file:///C:\Users\cadam\AppData\Local\Microsoft\Windows\DIAS_VERIDIANA\AppData\Local\Microsoft\Windows\INetCache\Content.Outlook\L3JTO46T\3232-%20Pin&#231;a%20nasal%20blaskeley%20reta%2014%20cm%20adulto%20n&#186;%201.JPG" TargetMode="External"/><Relationship Id="rId46" Type="http://schemas.openxmlformats.org/officeDocument/2006/relationships/hyperlink" Target="file:///C:\Users\cadam\AppData\Local\Microsoft\Windows\DIAS_VERIDIANA\AppData\Local\Microsoft\Windows\INetCache\Content.Outlook\L3JTO46T\3262-%20Pin&#231;a%20nasal%20back%20bite%2014%20cm.JPG" TargetMode="External"/><Relationship Id="rId59" Type="http://schemas.openxmlformats.org/officeDocument/2006/relationships/hyperlink" Target="file:///C:\Users\cadam\AppData\Local\Microsoft\Windows\DIAS_VERIDIANA\AppData\Local\Microsoft\Windows\INetCache\Content.Outlook\CX.de%20Amigdalas%202\2432-%20Descolador%20hurd%20p%20am&#237;gdalas%2023%20cm.JPG" TargetMode="External"/><Relationship Id="rId67" Type="http://schemas.openxmlformats.org/officeDocument/2006/relationships/hyperlink" Target="file:///C:\Users\cadam\AppData\Local\Microsoft\Windows\DIAS_VERIDIANA\AppData\Local\Microsoft\Windows\INetCache\Content.Outlook\CX.de%20Amigdalas%202\2091-Abaixador%20de%20lingua%20Bruennings%2019%20cm.JPG" TargetMode="External"/><Relationship Id="rId20" Type="http://schemas.openxmlformats.org/officeDocument/2006/relationships/hyperlink" Target="file:///C:\Users\cadam\AppData\Local\Microsoft\Windows\DIAS_VERIDIANA\AppData\Local\Microsoft\Windows\INetCache\Content.Outlook\L3JTO46T\0645-%20Porta%20agulha%20mayo-hegar%2015%20cm%20c%20widia.JPG" TargetMode="External"/><Relationship Id="rId41" Type="http://schemas.openxmlformats.org/officeDocument/2006/relationships/hyperlink" Target="file:///C:\Users\cadam\AppData\Local\Microsoft\Windows\DIAS_VERIDIANA\AppData\Local\Microsoft\Windows\INetCache\Content.Outlook\L3JTO46T\3058-%20Pin&#231;a%20cogumelo%20curva%20160%20mm.jpg" TargetMode="External"/><Relationship Id="rId54" Type="http://schemas.openxmlformats.org/officeDocument/2006/relationships/hyperlink" Target="file:///C:\Users\cadam\AppData\Local\Microsoft\Windows\DIAS_VERIDIANA\AppData\Local\Microsoft\Windows\INetCache\Content.Outlook\CX.de%20Amigdalas%202\2931-%20Suporte%20de%20abre%20boca%2010%20x%2013%20cm.JPG" TargetMode="External"/><Relationship Id="rId62" Type="http://schemas.openxmlformats.org/officeDocument/2006/relationships/hyperlink" Target="file:///C:\Users\cadam\AppData\Local\Microsoft\Windows\DIAS_VERIDIANA\AppData\Local\Microsoft\Windows\INetCache\Content.Outlook\CX.de%20Amigdalas%202\3423-%20Cureta%20de%20beckmann%20N&#186;%201.JPG" TargetMode="External"/><Relationship Id="rId1" Type="http://schemas.openxmlformats.org/officeDocument/2006/relationships/hyperlink" Target="file:///C:\Users\cadam\AppData\Local\Microsoft\Windows\DIAS_VERIDIANA\AppData\Local\Microsoft\Windows\INetCache\Content.Outlook\L3JTO46T\2091-Abaixador%20de%20lingua%20Bruennings%2019%20cm.JPG" TargetMode="External"/><Relationship Id="rId6" Type="http://schemas.openxmlformats.org/officeDocument/2006/relationships/hyperlink" Target="file:///C:\Users\cadam\AppData\Local\Microsoft\Windows\DIAS_VERIDIANA\AppData\Local\Microsoft\Windows\INetCache\Content.Outlook\L3JTO46T\0493-%20Especulo%20nasal%20de%20killian%20n.1.JPG" TargetMode="External"/><Relationship Id="rId15" Type="http://schemas.openxmlformats.org/officeDocument/2006/relationships/hyperlink" Target="file:///C:\Users\cadam\AppData\Local\Microsoft\Windows\DIAS_VERIDIANA\AppData\Local\Microsoft\Windows\INetCache\Content.Outlook\L3JTO46T\3247-%20Pin&#231;a%20nasal%20bruenings%2019%20cm%20n&#186;%202.JPG" TargetMode="External"/><Relationship Id="rId23" Type="http://schemas.openxmlformats.org/officeDocument/2006/relationships/hyperlink" Target="file:///C:\Users\cadam\AppData\Local\Microsoft\Windows\DIAS_VERIDIANA\AppData\Local\Microsoft\Windows\INetCache\Content.Outlook\L3JTO46T\3320-%20Tesoura%20iris%20curva%2012%20cm.JPG" TargetMode="External"/><Relationship Id="rId28" Type="http://schemas.openxmlformats.org/officeDocument/2006/relationships/hyperlink" Target="file:///C:\Users\cadam\AppData\Local\Microsoft\Windows\DIAS_VERIDIANA\AppData\Local\Microsoft\Windows\INetCache\Content.Outlook\L3JTO46T\4909-%20Bisturi%20Vertical.JPG" TargetMode="External"/><Relationship Id="rId36" Type="http://schemas.openxmlformats.org/officeDocument/2006/relationships/hyperlink" Target="file:///C:\Users\cadam\AppData\Local\Microsoft\Windows\DIAS_VERIDIANA\AppData\Local\Microsoft\Windows\INetCache\Content.Outlook\L3JTO46T\4876-%20Micro%20osteotomo%2018%20cm.jpg" TargetMode="External"/><Relationship Id="rId49" Type="http://schemas.openxmlformats.org/officeDocument/2006/relationships/hyperlink" Target="file:///C:\Users\cadam\AppData\Local\Microsoft\Windows\DIAS_VERIDIANA\AppData\Local\Microsoft\Windows\INetCache\Content.Outlook\L3JTO46T\3254-%20Pin&#231;a%20nasal%20takahashi%20reta%20adulto%2014%20cm.JPG" TargetMode="External"/><Relationship Id="rId57" Type="http://schemas.openxmlformats.org/officeDocument/2006/relationships/hyperlink" Target="file:///C:\Users\cadam\AppData\Local\Microsoft\Windows\DIAS_VERIDIANA\AppData\Local\Microsoft\Windows\INetCache\Content.Outlook\CX.de%20Amigdalas%202\1412-%20Pin&#231;a%20hemost&#225;tica%20scobee-%20Allis%20angulada.JPG" TargetMode="External"/><Relationship Id="rId10" Type="http://schemas.openxmlformats.org/officeDocument/2006/relationships/hyperlink" Target="file:///C:\Users\cadam\AppData\Local\Microsoft\Windows\DIAS_VERIDIANA\AppData\Local\Microsoft\Windows\INetCache\Content.Outlook\L3JTO46T\3551-%20Goiva%20reta.JPG" TargetMode="External"/><Relationship Id="rId31" Type="http://schemas.openxmlformats.org/officeDocument/2006/relationships/hyperlink" Target="file:///C:\Users\cadam\AppData\Local\Microsoft\Windows\DIAS_VERIDIANA\AppData\Local\Microsoft\Windows\INetCache\Content.Outlook\L3JTO46T\0488-%20Especulo%20nasal%20autost&#225;tico%20n.2.JPG" TargetMode="External"/><Relationship Id="rId44" Type="http://schemas.openxmlformats.org/officeDocument/2006/relationships/hyperlink" Target="file:///C:\Users\cadam\AppData\Local\Microsoft\Windows\DIAS_VERIDIANA\AppData\Local\Microsoft\Windows\INetCache\Content.Outlook\L3JTO46T\1445-%20Pin&#231;a%20microendonasal%20jacar&#233;%20140%20mm.jpg" TargetMode="External"/><Relationship Id="rId52" Type="http://schemas.openxmlformats.org/officeDocument/2006/relationships/hyperlink" Target="file:///C:\Users\cadam\AppData\Local\Microsoft\Windows\DIAS_VERIDIANA\AppData\Local\Microsoft\Windows\INetCache\Content.Outlook\L3JTO46T\Estojo%20de%20inox%2028%20x%2014%20x%206%20cm%20Perfurado.jpg" TargetMode="External"/><Relationship Id="rId60" Type="http://schemas.openxmlformats.org/officeDocument/2006/relationships/hyperlink" Target="file:///C:\Users\cadam\AppData\Local\Microsoft\Windows\DIAS_VERIDIANA\AppData\Local\Microsoft\Windows\INetCache\Content.Outlook\CX.de%20Amigdalas%202\3427-%20Cureta%20de%20beckmann%20N&#186;%205.JPG" TargetMode="External"/><Relationship Id="rId65" Type="http://schemas.openxmlformats.org/officeDocument/2006/relationships/hyperlink" Target="file:///C:\Users\cadam\AppData\Local\Microsoft\Windows\DIAS_VERIDIANA\AppData\Local\Microsoft\Windows\INetCache\Content.Outlook\CX.de%20Amigdalas%202\1995-Aspirador%20descolador%20de%20amigdala%20diam.4,0%20mm.JPG" TargetMode="External"/><Relationship Id="rId4" Type="http://schemas.openxmlformats.org/officeDocument/2006/relationships/hyperlink" Target="file:///C:\Users\cadam\AppData\Local\Microsoft\Windows\DIAS_VERIDIANA\AppData\Local\Microsoft\Windows\INetCache\Content.Outlook\L3JTO46T\Aspirador%20descolador%20de%20septo.JPG" TargetMode="External"/><Relationship Id="rId9" Type="http://schemas.openxmlformats.org/officeDocument/2006/relationships/hyperlink" Target="file:///C:\Users\cadam\AppData\Local\Microsoft\Windows\DIAS_VERIDIANA\AppData\Local\Microsoft\Windows\INetCache\Content.Outlook\L3JTO46T\3550-%20Goiva%20angulada.JPG" TargetMode="External"/><Relationship Id="rId13" Type="http://schemas.openxmlformats.org/officeDocument/2006/relationships/hyperlink" Target="file:///C:\Users\cadam\AppData\Local\Microsoft\Windows\DIAS_VERIDIANA\AppData\Local\Microsoft\Windows\INetCache\Content.Outlook\L3JTO46T\0957-%20Pin&#231;a%20backaus%2013%20cm.JPG" TargetMode="External"/><Relationship Id="rId18" Type="http://schemas.openxmlformats.org/officeDocument/2006/relationships/hyperlink" Target="file:///C:\Users\cadam\AppData\Local\Microsoft\Windows\DIAS_VERIDIANA\AppData\Local\Microsoft\Windows\INetCache\Content.Outlook\L3JTO46T\3217-%20Pin&#231;a%20midleton-jansen.JPG" TargetMode="External"/><Relationship Id="rId39" Type="http://schemas.openxmlformats.org/officeDocument/2006/relationships/hyperlink" Target="file:///C:\Users\cadam\AppData\Local\Microsoft\Windows\DIAS_VERIDIANA\AppData\Local\Microsoft\Windows\INetCache\Content.Outlook\L3JTO46T\3220-%20Pin&#231;a%20nasal%20blaskeley%20angulada%2045&#186;%2014%20cm%20adulto%20n&#186;%201.JPG" TargetMode="External"/><Relationship Id="rId34" Type="http://schemas.openxmlformats.org/officeDocument/2006/relationships/hyperlink" Target="file:///C:\Users\cadam\AppData\Local\Microsoft\Windows\DIAS_VERIDIANA\AppData\Local\Microsoft\Windows\INetCache\Content.Outlook\L3JTO46T\4873-%20Micro%20dissector%20fino%2020%20cm.JPG" TargetMode="External"/><Relationship Id="rId50" Type="http://schemas.openxmlformats.org/officeDocument/2006/relationships/hyperlink" Target="file:///C:\Users\cadam\AppData\Local\Microsoft\Windows\DIAS_VERIDIANA\AppData\Local\Microsoft\Windows\INetCache\Content.Outlook\L3JTO46T\3255-%20Pin&#231;a%20nasal%20takahashi%20reta%20infantil%2012%20cm.JPG" TargetMode="External"/><Relationship Id="rId55" Type="http://schemas.openxmlformats.org/officeDocument/2006/relationships/hyperlink" Target="file:///C:\Users\cadam\AppData\Local\Microsoft\Windows\DIAS_VERIDIANA\AppData\Local\Microsoft\Windows\INetCache\Content.Outlook\CX.de%20Amigdalas%202\3295-%20Serra%20n&#243;%20bruenings.JP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00FF00"/>
    <outlinePr summaryBelow="0" summaryRight="0"/>
  </sheetPr>
  <dimension ref="A1:I145"/>
  <sheetViews>
    <sheetView tabSelected="1" zoomScale="85" zoomScaleNormal="85" workbookViewId="0">
      <selection activeCell="M23" sqref="M23"/>
    </sheetView>
  </sheetViews>
  <sheetFormatPr defaultColWidth="12.5703125" defaultRowHeight="15.75" customHeight="1"/>
  <cols>
    <col min="1" max="1" width="17.42578125" style="102" customWidth="1"/>
    <col min="2" max="2" width="39.140625" style="103" customWidth="1"/>
    <col min="3" max="3" width="45.28515625" style="103" customWidth="1"/>
    <col min="4" max="4" width="31.7109375" style="103" customWidth="1"/>
    <col min="5" max="5" width="9" style="103" customWidth="1"/>
    <col min="6" max="6" width="23" style="103" customWidth="1"/>
    <col min="7" max="7" width="31.7109375" style="103" customWidth="1"/>
    <col min="8" max="8" width="17.5703125" customWidth="1"/>
    <col min="9" max="9" width="31.7109375" customWidth="1"/>
  </cols>
  <sheetData>
    <row r="1" spans="1:9" ht="15.75" customHeight="1" thickBot="1">
      <c r="A1" s="441" t="s">
        <v>1124</v>
      </c>
      <c r="B1" s="442"/>
      <c r="C1" s="442"/>
      <c r="D1" s="442"/>
      <c r="E1" s="442"/>
      <c r="F1" s="442"/>
      <c r="G1" s="442"/>
    </row>
    <row r="2" spans="1:9" ht="12.75">
      <c r="A2" s="80" t="s">
        <v>1035</v>
      </c>
      <c r="B2" s="81" t="s">
        <v>746</v>
      </c>
      <c r="C2" s="81" t="s">
        <v>747</v>
      </c>
      <c r="D2" s="81" t="s">
        <v>106</v>
      </c>
      <c r="E2" s="81" t="s">
        <v>748</v>
      </c>
      <c r="F2" s="82" t="s">
        <v>749</v>
      </c>
      <c r="G2" s="114" t="s">
        <v>750</v>
      </c>
      <c r="H2" s="317" t="s">
        <v>1707</v>
      </c>
      <c r="I2" s="318" t="s">
        <v>1166</v>
      </c>
    </row>
    <row r="3" spans="1:9" ht="20.100000000000001" customHeight="1">
      <c r="A3" s="83" t="s">
        <v>1034</v>
      </c>
      <c r="B3" s="84" t="s">
        <v>17</v>
      </c>
      <c r="C3" s="85" t="s">
        <v>17</v>
      </c>
      <c r="D3" s="85" t="s">
        <v>116</v>
      </c>
      <c r="E3" s="86">
        <v>1</v>
      </c>
      <c r="F3" s="86">
        <v>2</v>
      </c>
      <c r="G3" s="115">
        <f t="shared" ref="G3:G69" si="0">SUM(F3*E3)</f>
        <v>2</v>
      </c>
      <c r="H3" s="413"/>
      <c r="I3" s="414"/>
    </row>
    <row r="4" spans="1:9" ht="20.100000000000001" customHeight="1">
      <c r="A4" s="87" t="s">
        <v>1036</v>
      </c>
      <c r="B4" s="88" t="s">
        <v>18</v>
      </c>
      <c r="C4" s="89" t="s">
        <v>117</v>
      </c>
      <c r="D4" s="89" t="s">
        <v>113</v>
      </c>
      <c r="E4" s="90">
        <v>1</v>
      </c>
      <c r="F4" s="90">
        <v>3</v>
      </c>
      <c r="G4" s="116">
        <v>2</v>
      </c>
      <c r="H4" s="415"/>
      <c r="I4" s="416"/>
    </row>
    <row r="5" spans="1:9" ht="20.100000000000001" customHeight="1">
      <c r="A5" s="83" t="s">
        <v>1037</v>
      </c>
      <c r="B5" s="84" t="s">
        <v>19</v>
      </c>
      <c r="C5" s="85" t="s">
        <v>117</v>
      </c>
      <c r="D5" s="85" t="s">
        <v>118</v>
      </c>
      <c r="E5" s="86">
        <v>1</v>
      </c>
      <c r="F5" s="86">
        <v>3</v>
      </c>
      <c r="G5" s="115">
        <v>2</v>
      </c>
      <c r="H5" s="413"/>
      <c r="I5" s="414"/>
    </row>
    <row r="6" spans="1:9" ht="20.100000000000001" customHeight="1">
      <c r="A6" s="87" t="s">
        <v>1038</v>
      </c>
      <c r="B6" s="88" t="s">
        <v>20</v>
      </c>
      <c r="C6" s="89" t="s">
        <v>119</v>
      </c>
      <c r="D6" s="89" t="s">
        <v>120</v>
      </c>
      <c r="E6" s="90">
        <v>1</v>
      </c>
      <c r="F6" s="90">
        <v>4</v>
      </c>
      <c r="G6" s="116">
        <v>2</v>
      </c>
      <c r="H6" s="415"/>
      <c r="I6" s="416"/>
    </row>
    <row r="7" spans="1:9" ht="20.100000000000001" customHeight="1">
      <c r="A7" s="83" t="s">
        <v>1039</v>
      </c>
      <c r="B7" s="84" t="s">
        <v>21</v>
      </c>
      <c r="C7" s="85" t="s">
        <v>119</v>
      </c>
      <c r="D7" s="85" t="s">
        <v>121</v>
      </c>
      <c r="E7" s="86">
        <v>1</v>
      </c>
      <c r="F7" s="86">
        <v>3</v>
      </c>
      <c r="G7" s="115">
        <v>2</v>
      </c>
      <c r="H7" s="413"/>
      <c r="I7" s="414"/>
    </row>
    <row r="8" spans="1:9" ht="20.100000000000001" customHeight="1">
      <c r="A8" s="87" t="s">
        <v>1040</v>
      </c>
      <c r="B8" s="92" t="s">
        <v>22</v>
      </c>
      <c r="C8" s="89" t="s">
        <v>126</v>
      </c>
      <c r="D8" s="89" t="s">
        <v>127</v>
      </c>
      <c r="E8" s="90">
        <v>1</v>
      </c>
      <c r="F8" s="90">
        <v>2</v>
      </c>
      <c r="G8" s="116">
        <v>1</v>
      </c>
      <c r="H8" s="415"/>
      <c r="I8" s="416"/>
    </row>
    <row r="9" spans="1:9" ht="20.100000000000001" customHeight="1">
      <c r="A9" s="83" t="s">
        <v>1041</v>
      </c>
      <c r="B9" s="84" t="s">
        <v>23</v>
      </c>
      <c r="C9" s="85" t="s">
        <v>623</v>
      </c>
      <c r="D9" s="85" t="s">
        <v>751</v>
      </c>
      <c r="E9" s="86">
        <v>1</v>
      </c>
      <c r="F9" s="86">
        <v>6</v>
      </c>
      <c r="G9" s="115">
        <v>3</v>
      </c>
      <c r="H9" s="413"/>
      <c r="I9" s="414"/>
    </row>
    <row r="10" spans="1:9" ht="20.100000000000001" customHeight="1">
      <c r="A10" s="87" t="s">
        <v>1042</v>
      </c>
      <c r="B10" s="88" t="s">
        <v>24</v>
      </c>
      <c r="C10" s="93" t="s">
        <v>150</v>
      </c>
      <c r="D10" s="89" t="s">
        <v>151</v>
      </c>
      <c r="E10" s="90">
        <v>1</v>
      </c>
      <c r="F10" s="90">
        <v>2</v>
      </c>
      <c r="G10" s="116">
        <v>1</v>
      </c>
      <c r="H10" s="415"/>
      <c r="I10" s="416"/>
    </row>
    <row r="11" spans="1:9" ht="20.100000000000001" customHeight="1">
      <c r="A11" s="83" t="s">
        <v>1043</v>
      </c>
      <c r="B11" s="84" t="s">
        <v>25</v>
      </c>
      <c r="C11" s="94" t="s">
        <v>150</v>
      </c>
      <c r="D11" s="85" t="s">
        <v>152</v>
      </c>
      <c r="E11" s="86">
        <v>1</v>
      </c>
      <c r="F11" s="86">
        <v>3</v>
      </c>
      <c r="G11" s="115">
        <v>2</v>
      </c>
      <c r="H11" s="413"/>
      <c r="I11" s="414"/>
    </row>
    <row r="12" spans="1:9" ht="20.100000000000001" customHeight="1">
      <c r="A12" s="87" t="s">
        <v>1044</v>
      </c>
      <c r="B12" s="88" t="s">
        <v>26</v>
      </c>
      <c r="C12" s="93" t="s">
        <v>150</v>
      </c>
      <c r="D12" s="89" t="s">
        <v>153</v>
      </c>
      <c r="E12" s="90">
        <v>1</v>
      </c>
      <c r="F12" s="90">
        <v>1</v>
      </c>
      <c r="G12" s="116">
        <f t="shared" si="0"/>
        <v>1</v>
      </c>
      <c r="H12" s="415"/>
      <c r="I12" s="416"/>
    </row>
    <row r="13" spans="1:9" ht="20.100000000000001" customHeight="1">
      <c r="A13" s="83" t="s">
        <v>1045</v>
      </c>
      <c r="B13" s="84" t="s">
        <v>27</v>
      </c>
      <c r="C13" s="94" t="s">
        <v>150</v>
      </c>
      <c r="D13" s="85" t="s">
        <v>154</v>
      </c>
      <c r="E13" s="86">
        <v>1</v>
      </c>
      <c r="F13" s="86">
        <v>2</v>
      </c>
      <c r="G13" s="115">
        <v>1</v>
      </c>
      <c r="H13" s="413"/>
      <c r="I13" s="414"/>
    </row>
    <row r="14" spans="1:9" ht="20.100000000000001" customHeight="1">
      <c r="A14" s="87" t="s">
        <v>1046</v>
      </c>
      <c r="B14" s="88" t="s">
        <v>28</v>
      </c>
      <c r="C14" s="93" t="s">
        <v>163</v>
      </c>
      <c r="D14" s="89" t="s">
        <v>164</v>
      </c>
      <c r="E14" s="90">
        <v>1</v>
      </c>
      <c r="F14" s="90">
        <v>3</v>
      </c>
      <c r="G14" s="116">
        <v>2</v>
      </c>
      <c r="H14" s="415"/>
      <c r="I14" s="416"/>
    </row>
    <row r="15" spans="1:9" ht="20.100000000000001" customHeight="1">
      <c r="A15" s="83" t="s">
        <v>1047</v>
      </c>
      <c r="B15" s="84" t="s">
        <v>29</v>
      </c>
      <c r="C15" s="94" t="s">
        <v>161</v>
      </c>
      <c r="D15" s="85" t="s">
        <v>162</v>
      </c>
      <c r="E15" s="86">
        <v>1</v>
      </c>
      <c r="F15" s="86">
        <v>5</v>
      </c>
      <c r="G15" s="115">
        <v>2</v>
      </c>
      <c r="H15" s="413"/>
      <c r="I15" s="414"/>
    </row>
    <row r="16" spans="1:9" ht="20.100000000000001" customHeight="1">
      <c r="A16" s="87" t="s">
        <v>1048</v>
      </c>
      <c r="B16" s="88" t="s">
        <v>30</v>
      </c>
      <c r="C16" s="93" t="s">
        <v>159</v>
      </c>
      <c r="D16" s="89" t="s">
        <v>160</v>
      </c>
      <c r="E16" s="90">
        <v>1</v>
      </c>
      <c r="F16" s="90">
        <v>2</v>
      </c>
      <c r="G16" s="116">
        <f t="shared" si="0"/>
        <v>2</v>
      </c>
      <c r="H16" s="415"/>
      <c r="I16" s="416"/>
    </row>
    <row r="17" spans="1:9" ht="20.100000000000001" customHeight="1">
      <c r="A17" s="83" t="s">
        <v>1049</v>
      </c>
      <c r="B17" s="84" t="s">
        <v>31</v>
      </c>
      <c r="C17" s="85" t="s">
        <v>31</v>
      </c>
      <c r="D17" s="85" t="s">
        <v>165</v>
      </c>
      <c r="E17" s="86">
        <v>1</v>
      </c>
      <c r="F17" s="86">
        <v>1</v>
      </c>
      <c r="G17" s="115">
        <f t="shared" si="0"/>
        <v>1</v>
      </c>
      <c r="H17" s="413"/>
      <c r="I17" s="414"/>
    </row>
    <row r="18" spans="1:9" ht="20.100000000000001" customHeight="1">
      <c r="A18" s="87" t="s">
        <v>1050</v>
      </c>
      <c r="B18" s="88" t="s">
        <v>32</v>
      </c>
      <c r="C18" s="89" t="s">
        <v>401</v>
      </c>
      <c r="D18" s="89" t="s">
        <v>402</v>
      </c>
      <c r="E18" s="90">
        <v>1</v>
      </c>
      <c r="F18" s="90">
        <v>4</v>
      </c>
      <c r="G18" s="116">
        <v>2</v>
      </c>
      <c r="H18" s="415"/>
      <c r="I18" s="416"/>
    </row>
    <row r="19" spans="1:9" ht="20.100000000000001" customHeight="1">
      <c r="A19" s="83" t="s">
        <v>1051</v>
      </c>
      <c r="B19" s="84" t="s">
        <v>33</v>
      </c>
      <c r="C19" s="85" t="s">
        <v>401</v>
      </c>
      <c r="D19" s="85" t="s">
        <v>403</v>
      </c>
      <c r="E19" s="86">
        <v>1</v>
      </c>
      <c r="F19" s="86">
        <v>4</v>
      </c>
      <c r="G19" s="115">
        <v>2</v>
      </c>
      <c r="H19" s="413"/>
      <c r="I19" s="414"/>
    </row>
    <row r="20" spans="1:9" ht="20.100000000000001" customHeight="1">
      <c r="A20" s="87" t="s">
        <v>1052</v>
      </c>
      <c r="B20" s="88" t="s">
        <v>34</v>
      </c>
      <c r="C20" s="89" t="s">
        <v>401</v>
      </c>
      <c r="D20" s="89" t="s">
        <v>404</v>
      </c>
      <c r="E20" s="90">
        <v>1</v>
      </c>
      <c r="F20" s="90">
        <v>4</v>
      </c>
      <c r="G20" s="116">
        <v>2</v>
      </c>
      <c r="H20" s="415"/>
      <c r="I20" s="416"/>
    </row>
    <row r="21" spans="1:9" ht="20.100000000000001" customHeight="1">
      <c r="A21" s="83" t="s">
        <v>1053</v>
      </c>
      <c r="B21" s="84" t="s">
        <v>35</v>
      </c>
      <c r="C21" s="94" t="s">
        <v>35</v>
      </c>
      <c r="D21" s="85" t="s">
        <v>220</v>
      </c>
      <c r="E21" s="86">
        <v>1</v>
      </c>
      <c r="F21" s="86">
        <v>1</v>
      </c>
      <c r="G21" s="115">
        <f t="shared" si="0"/>
        <v>1</v>
      </c>
      <c r="H21" s="413"/>
      <c r="I21" s="414"/>
    </row>
    <row r="22" spans="1:9" ht="20.100000000000001" customHeight="1">
      <c r="A22" s="87" t="s">
        <v>1054</v>
      </c>
      <c r="B22" s="88" t="s">
        <v>36</v>
      </c>
      <c r="C22" s="184" t="s">
        <v>221</v>
      </c>
      <c r="D22" s="89" t="s">
        <v>222</v>
      </c>
      <c r="E22" s="90">
        <v>1</v>
      </c>
      <c r="F22" s="90">
        <v>2</v>
      </c>
      <c r="G22" s="116">
        <f t="shared" si="0"/>
        <v>2</v>
      </c>
      <c r="H22" s="415"/>
      <c r="I22" s="416"/>
    </row>
    <row r="23" spans="1:9" ht="20.100000000000001" customHeight="1">
      <c r="A23" s="83" t="s">
        <v>1058</v>
      </c>
      <c r="B23" s="95" t="s">
        <v>37</v>
      </c>
      <c r="C23" s="186" t="s">
        <v>37</v>
      </c>
      <c r="D23" s="183" t="s">
        <v>245</v>
      </c>
      <c r="E23" s="86">
        <v>1</v>
      </c>
      <c r="F23" s="86">
        <v>30</v>
      </c>
      <c r="G23" s="115">
        <f>SUM(E23*F23)</f>
        <v>30</v>
      </c>
      <c r="H23" s="413"/>
      <c r="I23" s="414"/>
    </row>
    <row r="24" spans="1:9" ht="20.100000000000001" customHeight="1">
      <c r="A24" s="87" t="s">
        <v>1059</v>
      </c>
      <c r="B24" s="88" t="s">
        <v>40</v>
      </c>
      <c r="C24" s="185" t="s">
        <v>423</v>
      </c>
      <c r="D24" s="89" t="s">
        <v>424</v>
      </c>
      <c r="E24" s="90">
        <v>1</v>
      </c>
      <c r="F24" s="90">
        <v>6</v>
      </c>
      <c r="G24" s="116">
        <v>4</v>
      </c>
      <c r="H24" s="415"/>
      <c r="I24" s="416"/>
    </row>
    <row r="25" spans="1:9" ht="20.100000000000001" customHeight="1">
      <c r="A25" s="83" t="s">
        <v>1060</v>
      </c>
      <c r="B25" s="84" t="s">
        <v>41</v>
      </c>
      <c r="C25" s="85" t="s">
        <v>421</v>
      </c>
      <c r="D25" s="85" t="s">
        <v>422</v>
      </c>
      <c r="E25" s="86">
        <v>1</v>
      </c>
      <c r="F25" s="86">
        <v>15</v>
      </c>
      <c r="G25" s="115">
        <f t="shared" ref="G25:G57" si="1">SUM(F25*E25)</f>
        <v>15</v>
      </c>
      <c r="H25" s="413"/>
      <c r="I25" s="414"/>
    </row>
    <row r="26" spans="1:9" ht="20.100000000000001" customHeight="1">
      <c r="A26" s="87" t="s">
        <v>1061</v>
      </c>
      <c r="B26" s="88" t="s">
        <v>42</v>
      </c>
      <c r="C26" s="89" t="s">
        <v>419</v>
      </c>
      <c r="D26" s="89" t="s">
        <v>420</v>
      </c>
      <c r="E26" s="90">
        <v>1</v>
      </c>
      <c r="F26" s="90">
        <v>8</v>
      </c>
      <c r="G26" s="116">
        <v>6</v>
      </c>
      <c r="H26" s="415"/>
      <c r="I26" s="416"/>
    </row>
    <row r="27" spans="1:9" ht="20.100000000000001" customHeight="1">
      <c r="A27" s="83" t="s">
        <v>1083</v>
      </c>
      <c r="B27" s="84" t="s">
        <v>43</v>
      </c>
      <c r="C27" s="94" t="s">
        <v>434</v>
      </c>
      <c r="D27" s="94" t="s">
        <v>435</v>
      </c>
      <c r="E27" s="86">
        <v>1</v>
      </c>
      <c r="F27" s="86">
        <v>2</v>
      </c>
      <c r="G27" s="115">
        <v>1</v>
      </c>
      <c r="H27" s="413"/>
      <c r="I27" s="414"/>
    </row>
    <row r="28" spans="1:9" ht="20.100000000000001" customHeight="1">
      <c r="A28" s="87" t="s">
        <v>1084</v>
      </c>
      <c r="B28" s="88" t="s">
        <v>65</v>
      </c>
      <c r="C28" s="89" t="s">
        <v>758</v>
      </c>
      <c r="D28" s="89" t="s">
        <v>529</v>
      </c>
      <c r="E28" s="90">
        <v>1</v>
      </c>
      <c r="F28" s="90">
        <v>6</v>
      </c>
      <c r="G28" s="117">
        <v>4</v>
      </c>
      <c r="H28" s="421"/>
      <c r="I28" s="422"/>
    </row>
    <row r="29" spans="1:9" ht="20.100000000000001" customHeight="1">
      <c r="A29" s="83" t="s">
        <v>1085</v>
      </c>
      <c r="B29" s="96" t="s">
        <v>66</v>
      </c>
      <c r="C29" s="97" t="s">
        <v>759</v>
      </c>
      <c r="D29" s="97" t="s">
        <v>760</v>
      </c>
      <c r="E29" s="98">
        <v>1</v>
      </c>
      <c r="F29" s="99">
        <v>6</v>
      </c>
      <c r="G29" s="118">
        <v>4</v>
      </c>
      <c r="H29" s="423"/>
      <c r="I29" s="424"/>
    </row>
    <row r="30" spans="1:9" ht="20.100000000000001" customHeight="1">
      <c r="A30" s="87" t="s">
        <v>1086</v>
      </c>
      <c r="B30" s="88" t="s">
        <v>67</v>
      </c>
      <c r="C30" s="89" t="s">
        <v>761</v>
      </c>
      <c r="D30" s="89" t="s">
        <v>529</v>
      </c>
      <c r="E30" s="90">
        <v>1</v>
      </c>
      <c r="F30" s="90">
        <v>6</v>
      </c>
      <c r="G30" s="117">
        <v>4</v>
      </c>
      <c r="H30" s="421"/>
      <c r="I30" s="422"/>
    </row>
    <row r="31" spans="1:9" ht="20.100000000000001" customHeight="1">
      <c r="A31" s="83" t="s">
        <v>1087</v>
      </c>
      <c r="B31" s="100" t="s">
        <v>68</v>
      </c>
      <c r="C31" s="101" t="s">
        <v>636</v>
      </c>
      <c r="D31" s="101" t="s">
        <v>111</v>
      </c>
      <c r="E31" s="99">
        <v>1</v>
      </c>
      <c r="F31" s="99">
        <v>15</v>
      </c>
      <c r="G31" s="119">
        <v>12</v>
      </c>
      <c r="H31" s="425"/>
      <c r="I31" s="426"/>
    </row>
    <row r="32" spans="1:9" ht="20.100000000000001" customHeight="1">
      <c r="A32" s="87" t="s">
        <v>1088</v>
      </c>
      <c r="B32" s="88" t="s">
        <v>69</v>
      </c>
      <c r="C32" s="89" t="s">
        <v>636</v>
      </c>
      <c r="D32" s="89" t="s">
        <v>157</v>
      </c>
      <c r="E32" s="90">
        <v>1</v>
      </c>
      <c r="F32" s="90">
        <v>8</v>
      </c>
      <c r="G32" s="117">
        <v>6</v>
      </c>
      <c r="H32" s="421"/>
      <c r="I32" s="422"/>
    </row>
    <row r="33" spans="1:9" ht="20.100000000000001" customHeight="1">
      <c r="A33" s="83" t="s">
        <v>1089</v>
      </c>
      <c r="B33" s="100" t="s">
        <v>70</v>
      </c>
      <c r="C33" s="101" t="s">
        <v>652</v>
      </c>
      <c r="D33" s="101" t="s">
        <v>242</v>
      </c>
      <c r="E33" s="99">
        <v>4</v>
      </c>
      <c r="F33" s="99">
        <v>2</v>
      </c>
      <c r="G33" s="119">
        <v>2</v>
      </c>
      <c r="H33" s="425"/>
      <c r="I33" s="426"/>
    </row>
    <row r="34" spans="1:9" ht="20.100000000000001" customHeight="1">
      <c r="A34" s="87" t="s">
        <v>1090</v>
      </c>
      <c r="B34" s="88" t="s">
        <v>71</v>
      </c>
      <c r="C34" s="89" t="s">
        <v>71</v>
      </c>
      <c r="D34" s="89" t="s">
        <v>245</v>
      </c>
      <c r="E34" s="90">
        <v>1</v>
      </c>
      <c r="F34" s="90">
        <v>4</v>
      </c>
      <c r="G34" s="117">
        <v>2</v>
      </c>
      <c r="H34" s="421"/>
      <c r="I34" s="422"/>
    </row>
    <row r="35" spans="1:9" ht="20.100000000000001" customHeight="1">
      <c r="A35" s="83" t="s">
        <v>1091</v>
      </c>
      <c r="B35" s="100" t="s">
        <v>72</v>
      </c>
      <c r="C35" s="101" t="s">
        <v>72</v>
      </c>
      <c r="D35" s="101" t="s">
        <v>245</v>
      </c>
      <c r="E35" s="99">
        <v>1</v>
      </c>
      <c r="F35" s="99">
        <v>4</v>
      </c>
      <c r="G35" s="119">
        <v>2</v>
      </c>
      <c r="H35" s="425"/>
      <c r="I35" s="426"/>
    </row>
    <row r="36" spans="1:9" ht="20.100000000000001" customHeight="1">
      <c r="A36" s="87" t="s">
        <v>1092</v>
      </c>
      <c r="B36" s="88" t="s">
        <v>73</v>
      </c>
      <c r="C36" s="89" t="s">
        <v>73</v>
      </c>
      <c r="D36" s="89" t="s">
        <v>682</v>
      </c>
      <c r="E36" s="90">
        <v>1</v>
      </c>
      <c r="F36" s="90">
        <v>2</v>
      </c>
      <c r="G36" s="117">
        <f t="shared" si="1"/>
        <v>2</v>
      </c>
      <c r="H36" s="421"/>
      <c r="I36" s="422"/>
    </row>
    <row r="37" spans="1:9" ht="20.100000000000001" customHeight="1">
      <c r="A37" s="83" t="s">
        <v>1093</v>
      </c>
      <c r="B37" s="100" t="s">
        <v>74</v>
      </c>
      <c r="C37" s="101" t="s">
        <v>74</v>
      </c>
      <c r="D37" s="101" t="s">
        <v>683</v>
      </c>
      <c r="E37" s="99">
        <v>1</v>
      </c>
      <c r="F37" s="99">
        <v>2</v>
      </c>
      <c r="G37" s="119">
        <f t="shared" si="1"/>
        <v>2</v>
      </c>
      <c r="H37" s="425"/>
      <c r="I37" s="426"/>
    </row>
    <row r="38" spans="1:9" ht="20.100000000000001" customHeight="1">
      <c r="A38" s="87" t="s">
        <v>1094</v>
      </c>
      <c r="B38" s="88" t="s">
        <v>75</v>
      </c>
      <c r="C38" s="89" t="s">
        <v>75</v>
      </c>
      <c r="D38" s="89" t="s">
        <v>684</v>
      </c>
      <c r="E38" s="90">
        <v>1</v>
      </c>
      <c r="F38" s="90">
        <v>2</v>
      </c>
      <c r="G38" s="117">
        <f t="shared" si="1"/>
        <v>2</v>
      </c>
      <c r="H38" s="421"/>
      <c r="I38" s="422"/>
    </row>
    <row r="39" spans="1:9" ht="20.100000000000001" customHeight="1">
      <c r="A39" s="83" t="s">
        <v>1095</v>
      </c>
      <c r="B39" s="100" t="s">
        <v>76</v>
      </c>
      <c r="C39" s="101" t="s">
        <v>76</v>
      </c>
      <c r="D39" s="101" t="str">
        <f ca="1">IFERROR(__xludf.DUMMYFUNCTION("CONCATENATE(REGEXEXTRACT(A85,""[\d]+""),MID(A85,FIND(CHAR(160),SUBSTITUTE(A85,"" "",CHAR(160),4)) + 1,FIND(CHAR(160),SUBSTITUTE(A85,"" "",CHAR(160),5)) - 1 - (FIND(CHAR(160),SUBSTITUTE(A85,"" "",CHAR(160),4)))))"),"14cm")</f>
        <v>14cm</v>
      </c>
      <c r="E39" s="99">
        <v>1</v>
      </c>
      <c r="F39" s="99">
        <v>2</v>
      </c>
      <c r="G39" s="119">
        <f t="shared" si="1"/>
        <v>2</v>
      </c>
      <c r="H39" s="425"/>
      <c r="I39" s="426"/>
    </row>
    <row r="40" spans="1:9" ht="20.100000000000001" customHeight="1">
      <c r="A40" s="87" t="s">
        <v>1096</v>
      </c>
      <c r="B40" s="88" t="s">
        <v>77</v>
      </c>
      <c r="C40" s="89" t="s">
        <v>77</v>
      </c>
      <c r="D40" s="89" t="str">
        <f ca="1">IFERROR(__xludf.DUMMYFUNCTION("CONCATENATE(REGEXEXTRACT(A86,""[\d]+""),MID(A86,FIND(CHAR(160),SUBSTITUTE(A86,"" "",CHAR(160),4)) + 1,FIND(CHAR(160),SUBSTITUTE(A86,"" "",CHAR(160),5)) - 1 - (FIND(CHAR(160),SUBSTITUTE(A86,"" "",CHAR(160),4)))))"),"17cm")</f>
        <v>17cm</v>
      </c>
      <c r="E40" s="90">
        <v>1</v>
      </c>
      <c r="F40" s="90">
        <v>2</v>
      </c>
      <c r="G40" s="117">
        <f t="shared" si="1"/>
        <v>2</v>
      </c>
      <c r="H40" s="421"/>
      <c r="I40" s="422"/>
    </row>
    <row r="41" spans="1:9" ht="20.100000000000001" customHeight="1">
      <c r="A41" s="83" t="s">
        <v>1097</v>
      </c>
      <c r="B41" s="100" t="s">
        <v>78</v>
      </c>
      <c r="C41" s="101" t="s">
        <v>78</v>
      </c>
      <c r="D41" s="101" t="str">
        <f ca="1">IFERROR(__xludf.DUMMYFUNCTION("CONCATENATE(REGEXEXTRACT(A87,""[\d]+""),MID(A87,FIND(CHAR(160),SUBSTITUTE(A87,"" "",CHAR(160),4)) + 1,FIND(CHAR(160),SUBSTITUTE(A87,"" "",CHAR(160),5)) - 1 - (FIND(CHAR(160),SUBSTITUTE(A87,"" "",CHAR(160),4)))))"),"14cm")</f>
        <v>14cm</v>
      </c>
      <c r="E41" s="99">
        <v>1</v>
      </c>
      <c r="F41" s="99">
        <v>3</v>
      </c>
      <c r="G41" s="119">
        <v>2</v>
      </c>
      <c r="H41" s="425"/>
      <c r="I41" s="426"/>
    </row>
    <row r="42" spans="1:9" ht="20.100000000000001" customHeight="1">
      <c r="A42" s="87" t="s">
        <v>1098</v>
      </c>
      <c r="B42" s="88" t="s">
        <v>79</v>
      </c>
      <c r="C42" s="89" t="s">
        <v>79</v>
      </c>
      <c r="D42" s="89" t="s">
        <v>682</v>
      </c>
      <c r="E42" s="90">
        <v>1</v>
      </c>
      <c r="F42" s="90">
        <v>2</v>
      </c>
      <c r="G42" s="117">
        <v>1</v>
      </c>
      <c r="H42" s="421"/>
      <c r="I42" s="422"/>
    </row>
    <row r="43" spans="1:9" ht="20.100000000000001" customHeight="1">
      <c r="A43" s="83" t="s">
        <v>1099</v>
      </c>
      <c r="B43" s="100" t="s">
        <v>80</v>
      </c>
      <c r="C43" s="101" t="s">
        <v>80</v>
      </c>
      <c r="D43" s="101" t="str">
        <f ca="1">IFERROR(__xludf.DUMMYFUNCTION("CONCATENATE(REGEXEXTRACT(A89,""[\d]+""),MID(A89,FIND(CHAR(160),SUBSTITUTE(A89,"" "",CHAR(160),4)) + 1,FIND(CHAR(160),SUBSTITUTE(A89,"" "",CHAR(160),5)) - 1 - (FIND(CHAR(160),SUBSTITUTE(A89,"" "",CHAR(160),4)))))"),"16cm")</f>
        <v>16cm</v>
      </c>
      <c r="E43" s="99">
        <v>1</v>
      </c>
      <c r="F43" s="99">
        <v>3</v>
      </c>
      <c r="G43" s="119">
        <v>2</v>
      </c>
      <c r="H43" s="425"/>
      <c r="I43" s="426"/>
    </row>
    <row r="44" spans="1:9" ht="20.100000000000001" customHeight="1">
      <c r="A44" s="87" t="s">
        <v>1100</v>
      </c>
      <c r="B44" s="88" t="s">
        <v>81</v>
      </c>
      <c r="C44" s="89" t="s">
        <v>81</v>
      </c>
      <c r="D44" s="89" t="str">
        <f ca="1">IFERROR(__xludf.DUMMYFUNCTION("CONCATENATE(REGEXEXTRACT(A90,""[\d]+""),MID(A90,FIND(CHAR(160),SUBSTITUTE(A90,"" "",CHAR(160),4)) + 1,FIND(CHAR(160),SUBSTITUTE(A90,"" "",CHAR(160),5)) - 1 - (FIND(CHAR(160),SUBSTITUTE(A90,"" "",CHAR(160),4)))))"),"16cm")</f>
        <v>16cm</v>
      </c>
      <c r="E44" s="90">
        <v>1</v>
      </c>
      <c r="F44" s="90">
        <v>2</v>
      </c>
      <c r="G44" s="117">
        <v>1</v>
      </c>
      <c r="H44" s="421"/>
      <c r="I44" s="422"/>
    </row>
    <row r="45" spans="1:9" ht="20.100000000000001" customHeight="1">
      <c r="A45" s="83" t="s">
        <v>1101</v>
      </c>
      <c r="B45" s="100" t="s">
        <v>82</v>
      </c>
      <c r="C45" s="101" t="s">
        <v>82</v>
      </c>
      <c r="D45" s="101" t="str">
        <f ca="1">IFERROR(__xludf.DUMMYFUNCTION("CONCATENATE(REGEXEXTRACT(A91,""[\d]+""),MID(A91,FIND(CHAR(160),SUBSTITUTE(A91,"" "",CHAR(160),4)) + 1,FIND(CHAR(160),SUBSTITUTE(A91,"" "",CHAR(160),5)) - 1 - (FIND(CHAR(160),SUBSTITUTE(A91,"" "",CHAR(160),4)))))"),"18cm")</f>
        <v>18cm</v>
      </c>
      <c r="E45" s="99">
        <v>1</v>
      </c>
      <c r="F45" s="99">
        <v>4</v>
      </c>
      <c r="G45" s="119">
        <v>3</v>
      </c>
      <c r="H45" s="425"/>
      <c r="I45" s="426"/>
    </row>
    <row r="46" spans="1:9" ht="20.100000000000001" customHeight="1">
      <c r="A46" s="87" t="s">
        <v>1102</v>
      </c>
      <c r="B46" s="88" t="s">
        <v>83</v>
      </c>
      <c r="C46" s="89" t="s">
        <v>83</v>
      </c>
      <c r="D46" s="89" t="str">
        <f ca="1">IFERROR(__xludf.DUMMYFUNCTION("CONCATENATE(REGEXEXTRACT(A92,""[\d]+""),MID(A92,FIND(CHAR(160),SUBSTITUTE(A92,"" "",CHAR(160),4)) + 1,FIND(CHAR(160),SUBSTITUTE(A92,"" "",CHAR(160),5)) - 1 - (FIND(CHAR(160),SUBSTITUTE(A92,"" "",CHAR(160),4)))))"),"18cm")</f>
        <v>18cm</v>
      </c>
      <c r="E46" s="90">
        <v>1</v>
      </c>
      <c r="F46" s="90">
        <v>3</v>
      </c>
      <c r="G46" s="117">
        <v>2</v>
      </c>
      <c r="H46" s="421"/>
      <c r="I46" s="422"/>
    </row>
    <row r="47" spans="1:9" ht="20.100000000000001" customHeight="1">
      <c r="A47" s="83" t="s">
        <v>1103</v>
      </c>
      <c r="B47" s="100" t="s">
        <v>84</v>
      </c>
      <c r="C47" s="101" t="s">
        <v>84</v>
      </c>
      <c r="D47" s="101" t="str">
        <f ca="1">IFERROR(__xludf.DUMMYFUNCTION("CONCATENATE(REGEXEXTRACT(A93,""[\d]+""),MID(A93,FIND(CHAR(160),SUBSTITUTE(A93,"" "",CHAR(160),4)) + 1,FIND(CHAR(160),SUBSTITUTE(A93,"" "",CHAR(160),5)) - 1 - (FIND(CHAR(160),SUBSTITUTE(A93,"" "",CHAR(160),4)))))"),"20cm")</f>
        <v>20cm</v>
      </c>
      <c r="E47" s="99">
        <v>1</v>
      </c>
      <c r="F47" s="99">
        <v>4</v>
      </c>
      <c r="G47" s="119">
        <v>3</v>
      </c>
      <c r="H47" s="425"/>
      <c r="I47" s="426"/>
    </row>
    <row r="48" spans="1:9" ht="20.100000000000001" customHeight="1">
      <c r="A48" s="87" t="s">
        <v>1104</v>
      </c>
      <c r="B48" s="88" t="s">
        <v>85</v>
      </c>
      <c r="C48" s="89" t="s">
        <v>85</v>
      </c>
      <c r="D48" s="89" t="str">
        <f ca="1">IFERROR(__xludf.DUMMYFUNCTION("CONCATENATE(REGEXEXTRACT(A94,""[\d]+""),MID(A94,FIND(CHAR(160),SUBSTITUTE(A94,"" "",CHAR(160),4)) + 1,FIND(CHAR(160),SUBSTITUTE(A94,"" "",CHAR(160),5)) - 1 - (FIND(CHAR(160),SUBSTITUTE(A94,"" "",CHAR(160),4)))))"),"20cm")</f>
        <v>20cm</v>
      </c>
      <c r="E48" s="90">
        <v>1</v>
      </c>
      <c r="F48" s="90">
        <v>3</v>
      </c>
      <c r="G48" s="117">
        <v>2</v>
      </c>
      <c r="H48" s="421"/>
      <c r="I48" s="422"/>
    </row>
    <row r="49" spans="1:9" ht="20.100000000000001" customHeight="1">
      <c r="A49" s="83" t="s">
        <v>1105</v>
      </c>
      <c r="B49" s="100" t="s">
        <v>86</v>
      </c>
      <c r="C49" s="101" t="s">
        <v>86</v>
      </c>
      <c r="D49" s="101" t="str">
        <f ca="1">IFERROR(__xludf.DUMMYFUNCTION("CONCATENATE(REGEXEXTRACT(A95,""[\d]+""),MID(A95,FIND(CHAR(160),SUBSTITUTE(A95,"" "",CHAR(160),4)) + 1,FIND(CHAR(160),SUBSTITUTE(A95,"" "",CHAR(160),5)) - 1 - (FIND(CHAR(160),SUBSTITUTE(A95,"" "",CHAR(160),4)))))"),"23cm")</f>
        <v>23cm</v>
      </c>
      <c r="E49" s="99">
        <v>1</v>
      </c>
      <c r="F49" s="99">
        <v>5</v>
      </c>
      <c r="G49" s="119">
        <v>4</v>
      </c>
      <c r="H49" s="425"/>
      <c r="I49" s="426"/>
    </row>
    <row r="50" spans="1:9" ht="20.100000000000001" customHeight="1">
      <c r="A50" s="87" t="s">
        <v>1106</v>
      </c>
      <c r="B50" s="88" t="s">
        <v>87</v>
      </c>
      <c r="C50" s="89" t="s">
        <v>87</v>
      </c>
      <c r="D50" s="89" t="str">
        <f ca="1">IFERROR(__xludf.DUMMYFUNCTION("CONCATENATE(REGEXEXTRACT(A96,""[\d]+""),MID(A96,FIND(CHAR(160),SUBSTITUTE(A96,"" "",CHAR(160),4)) + 1,FIND(CHAR(160),SUBSTITUTE(A96,"" "",CHAR(160),5)) - 1 - (FIND(CHAR(160),SUBSTITUTE(A96,"" "",CHAR(160),4)))))"),"23cm")</f>
        <v>23cm</v>
      </c>
      <c r="E50" s="90">
        <v>1</v>
      </c>
      <c r="F50" s="90">
        <v>3</v>
      </c>
      <c r="G50" s="117">
        <v>2</v>
      </c>
      <c r="H50" s="421"/>
      <c r="I50" s="422"/>
    </row>
    <row r="51" spans="1:9" ht="20.100000000000001" customHeight="1">
      <c r="A51" s="83" t="s">
        <v>1107</v>
      </c>
      <c r="B51" s="100" t="s">
        <v>88</v>
      </c>
      <c r="C51" s="101" t="s">
        <v>88</v>
      </c>
      <c r="D51" s="101" t="str">
        <f ca="1">IFERROR(__xludf.DUMMYFUNCTION("CONCATENATE(REGEXEXTRACT(A97,""[\d]+""),MID(A97,FIND(CHAR(160),SUBSTITUTE(A97,"" "",CHAR(160),4)) + 1,FIND(CHAR(160),SUBSTITUTE(A97,"" "",CHAR(160),5)) - 1 - (FIND(CHAR(160),SUBSTITUTE(A97,"" "",CHAR(160),4)))))"),"26cm")</f>
        <v>26cm</v>
      </c>
      <c r="E51" s="99">
        <v>1</v>
      </c>
      <c r="F51" s="99">
        <v>5</v>
      </c>
      <c r="G51" s="119">
        <v>4</v>
      </c>
      <c r="H51" s="425"/>
      <c r="I51" s="426"/>
    </row>
    <row r="52" spans="1:9" ht="20.100000000000001" customHeight="1">
      <c r="A52" s="87" t="s">
        <v>1108</v>
      </c>
      <c r="B52" s="88" t="s">
        <v>89</v>
      </c>
      <c r="C52" s="89" t="s">
        <v>89</v>
      </c>
      <c r="D52" s="89" t="str">
        <f ca="1">IFERROR(__xludf.DUMMYFUNCTION("CONCATENATE(REGEXEXTRACT(A98,""[\d]+""),MID(A98,FIND(CHAR(160),SUBSTITUTE(A98,"" "",CHAR(160),4)) + 1,FIND(CHAR(160),SUBSTITUTE(A98,"" "",CHAR(160),5)) - 1 - (FIND(CHAR(160),SUBSTITUTE(A98,"" "",CHAR(160),4)))))"),"26cm")</f>
        <v>26cm</v>
      </c>
      <c r="E52" s="90">
        <v>1</v>
      </c>
      <c r="F52" s="90">
        <v>3</v>
      </c>
      <c r="G52" s="117">
        <v>2</v>
      </c>
      <c r="H52" s="421"/>
      <c r="I52" s="422"/>
    </row>
    <row r="53" spans="1:9" ht="20.100000000000001" customHeight="1">
      <c r="A53" s="83" t="s">
        <v>1109</v>
      </c>
      <c r="B53" s="100" t="s">
        <v>90</v>
      </c>
      <c r="C53" s="101" t="s">
        <v>90</v>
      </c>
      <c r="D53" s="101" t="str">
        <f ca="1">IFERROR(__xludf.DUMMYFUNCTION("CONCATENATE(REGEXEXTRACT(A99,""[\d]+""),MID(A99,FIND(CHAR(160),SUBSTITUTE(A99,"" "",CHAR(160),4)) + 1,FIND(CHAR(160),SUBSTITUTE(A99,"" "",CHAR(160),5)) - 1 - (FIND(CHAR(160),SUBSTITUTE(A99,"" "",CHAR(160),4)))))"),"30cm")</f>
        <v>30cm</v>
      </c>
      <c r="E53" s="99">
        <v>1</v>
      </c>
      <c r="F53" s="99">
        <v>2</v>
      </c>
      <c r="G53" s="119">
        <v>1</v>
      </c>
      <c r="H53" s="425"/>
      <c r="I53" s="426"/>
    </row>
    <row r="54" spans="1:9" ht="20.100000000000001" customHeight="1">
      <c r="A54" s="87" t="s">
        <v>1110</v>
      </c>
      <c r="B54" s="88" t="s">
        <v>91</v>
      </c>
      <c r="C54" s="89" t="s">
        <v>91</v>
      </c>
      <c r="D54" s="89" t="str">
        <f ca="1">IFERROR(__xludf.DUMMYFUNCTION("CONCATENATE(REGEXEXTRACT(A100,""[\d]+""),MID(A100,FIND(CHAR(160),SUBSTITUTE(A100,"" "",CHAR(160),4)) + 1,FIND(CHAR(160),SUBSTITUTE(A100,"" "",CHAR(160),5)) - 1 - (FIND(CHAR(160),SUBSTITUTE(A100,"" "",CHAR(160),4)))))"),"30cm")</f>
        <v>30cm</v>
      </c>
      <c r="E54" s="90">
        <v>1</v>
      </c>
      <c r="F54" s="90">
        <v>1</v>
      </c>
      <c r="G54" s="117">
        <f t="shared" si="1"/>
        <v>1</v>
      </c>
      <c r="H54" s="421"/>
      <c r="I54" s="422"/>
    </row>
    <row r="55" spans="1:9" ht="20.100000000000001" customHeight="1">
      <c r="A55" s="83" t="s">
        <v>1111</v>
      </c>
      <c r="B55" s="100" t="s">
        <v>92</v>
      </c>
      <c r="C55" s="101" t="s">
        <v>92</v>
      </c>
      <c r="D55" s="101" t="s">
        <v>686</v>
      </c>
      <c r="E55" s="99">
        <v>1</v>
      </c>
      <c r="F55" s="99">
        <v>1</v>
      </c>
      <c r="G55" s="119">
        <f t="shared" si="1"/>
        <v>1</v>
      </c>
      <c r="H55" s="425"/>
      <c r="I55" s="426"/>
    </row>
    <row r="56" spans="1:9" ht="20.100000000000001" customHeight="1">
      <c r="A56" s="87" t="s">
        <v>1112</v>
      </c>
      <c r="B56" s="88" t="s">
        <v>93</v>
      </c>
      <c r="C56" s="89" t="s">
        <v>93</v>
      </c>
      <c r="D56" s="89" t="s">
        <v>762</v>
      </c>
      <c r="E56" s="90">
        <v>1</v>
      </c>
      <c r="F56" s="90">
        <v>1</v>
      </c>
      <c r="G56" s="117">
        <f t="shared" si="1"/>
        <v>1</v>
      </c>
      <c r="H56" s="421"/>
      <c r="I56" s="422"/>
    </row>
    <row r="57" spans="1:9" ht="20.100000000000001" customHeight="1">
      <c r="A57" s="83" t="s">
        <v>1113</v>
      </c>
      <c r="B57" s="100" t="s">
        <v>94</v>
      </c>
      <c r="C57" s="101" t="s">
        <v>94</v>
      </c>
      <c r="D57" s="101" t="s">
        <v>763</v>
      </c>
      <c r="E57" s="99">
        <v>1</v>
      </c>
      <c r="F57" s="99">
        <v>1</v>
      </c>
      <c r="G57" s="119">
        <f t="shared" si="1"/>
        <v>1</v>
      </c>
      <c r="H57" s="425"/>
      <c r="I57" s="426"/>
    </row>
    <row r="58" spans="1:9" ht="20.100000000000001" customHeight="1">
      <c r="A58" s="87" t="s">
        <v>1114</v>
      </c>
      <c r="B58" s="88" t="s">
        <v>95</v>
      </c>
      <c r="C58" s="89" t="s">
        <v>95</v>
      </c>
      <c r="D58" s="89" t="s">
        <v>157</v>
      </c>
      <c r="E58" s="90">
        <v>1</v>
      </c>
      <c r="F58" s="90">
        <v>2</v>
      </c>
      <c r="G58" s="117">
        <v>1</v>
      </c>
      <c r="H58" s="421"/>
      <c r="I58" s="422"/>
    </row>
    <row r="59" spans="1:9" ht="20.100000000000001" customHeight="1">
      <c r="A59" s="83" t="s">
        <v>1115</v>
      </c>
      <c r="B59" s="100" t="s">
        <v>96</v>
      </c>
      <c r="C59" s="101" t="s">
        <v>96</v>
      </c>
      <c r="D59" s="101" t="s">
        <v>689</v>
      </c>
      <c r="E59" s="99">
        <v>1</v>
      </c>
      <c r="F59" s="99">
        <v>3</v>
      </c>
      <c r="G59" s="119">
        <v>2</v>
      </c>
      <c r="H59" s="425"/>
      <c r="I59" s="426"/>
    </row>
    <row r="60" spans="1:9" ht="20.100000000000001" customHeight="1">
      <c r="A60" s="87" t="s">
        <v>1116</v>
      </c>
      <c r="B60" s="88" t="s">
        <v>97</v>
      </c>
      <c r="C60" s="89" t="s">
        <v>97</v>
      </c>
      <c r="D60" s="89" t="s">
        <v>764</v>
      </c>
      <c r="E60" s="90">
        <v>1</v>
      </c>
      <c r="F60" s="90">
        <v>3</v>
      </c>
      <c r="G60" s="117">
        <v>2</v>
      </c>
      <c r="H60" s="421"/>
      <c r="I60" s="422"/>
    </row>
    <row r="61" spans="1:9" ht="20.100000000000001" customHeight="1">
      <c r="A61" s="83" t="s">
        <v>1117</v>
      </c>
      <c r="B61" s="100" t="s">
        <v>98</v>
      </c>
      <c r="C61" s="101" t="s">
        <v>98</v>
      </c>
      <c r="D61" s="101" t="s">
        <v>684</v>
      </c>
      <c r="E61" s="99">
        <v>1</v>
      </c>
      <c r="F61" s="99">
        <v>3</v>
      </c>
      <c r="G61" s="119">
        <v>2</v>
      </c>
      <c r="H61" s="425"/>
      <c r="I61" s="426"/>
    </row>
    <row r="62" spans="1:9" ht="20.100000000000001" customHeight="1">
      <c r="A62" s="87" t="s">
        <v>1118</v>
      </c>
      <c r="B62" s="88" t="s">
        <v>99</v>
      </c>
      <c r="C62" s="89" t="s">
        <v>99</v>
      </c>
      <c r="D62" s="89" t="s">
        <v>692</v>
      </c>
      <c r="E62" s="90">
        <v>1</v>
      </c>
      <c r="F62" s="90">
        <v>3</v>
      </c>
      <c r="G62" s="117">
        <v>2</v>
      </c>
      <c r="H62" s="421"/>
      <c r="I62" s="422"/>
    </row>
    <row r="63" spans="1:9" ht="20.100000000000001" customHeight="1" thickBot="1">
      <c r="A63" s="83" t="s">
        <v>1121</v>
      </c>
      <c r="B63" s="100" t="s">
        <v>100</v>
      </c>
      <c r="C63" s="101" t="s">
        <v>100</v>
      </c>
      <c r="D63" s="101" t="s">
        <v>765</v>
      </c>
      <c r="E63" s="99">
        <v>1</v>
      </c>
      <c r="F63" s="99">
        <v>3</v>
      </c>
      <c r="G63" s="119">
        <v>2</v>
      </c>
      <c r="H63" s="427"/>
      <c r="I63" s="428"/>
    </row>
    <row r="64" spans="1:9" ht="20.100000000000001" customHeight="1"/>
    <row r="65" spans="1:9" ht="20.100000000000001" customHeight="1"/>
    <row r="66" spans="1:9" ht="20.100000000000001" customHeight="1"/>
    <row r="67" spans="1:9" ht="20.100000000000001" customHeight="1" thickBot="1"/>
    <row r="68" spans="1:9" ht="20.100000000000001" customHeight="1">
      <c r="A68" s="441" t="s">
        <v>1125</v>
      </c>
      <c r="B68" s="442"/>
      <c r="C68" s="442"/>
      <c r="D68" s="442"/>
      <c r="E68" s="442"/>
      <c r="F68" s="442"/>
      <c r="G68" s="442"/>
      <c r="H68" s="317" t="s">
        <v>1707</v>
      </c>
      <c r="I68" s="318" t="s">
        <v>1166</v>
      </c>
    </row>
    <row r="69" spans="1:9" ht="20.100000000000001" customHeight="1">
      <c r="A69" s="446" t="s">
        <v>1055</v>
      </c>
      <c r="B69" s="432" t="s">
        <v>752</v>
      </c>
      <c r="C69" s="85" t="s">
        <v>539</v>
      </c>
      <c r="D69" s="85" t="s">
        <v>111</v>
      </c>
      <c r="E69" s="86">
        <v>1</v>
      </c>
      <c r="F69" s="448">
        <v>20</v>
      </c>
      <c r="G69" s="115">
        <f t="shared" si="0"/>
        <v>20</v>
      </c>
      <c r="H69" s="413"/>
      <c r="I69" s="414"/>
    </row>
    <row r="70" spans="1:9" ht="20.100000000000001" customHeight="1">
      <c r="A70" s="446"/>
      <c r="B70" s="436"/>
      <c r="C70" s="85" t="s">
        <v>243</v>
      </c>
      <c r="D70" s="85" t="s">
        <v>244</v>
      </c>
      <c r="E70" s="86">
        <v>1</v>
      </c>
      <c r="F70" s="430"/>
      <c r="G70" s="115">
        <f>SUM(F69*E70)</f>
        <v>20</v>
      </c>
      <c r="H70" s="413"/>
      <c r="I70" s="414"/>
    </row>
    <row r="71" spans="1:9" ht="20.100000000000001" customHeight="1">
      <c r="A71" s="446"/>
      <c r="B71" s="433"/>
      <c r="C71" s="85" t="s">
        <v>291</v>
      </c>
      <c r="D71" s="85" t="s">
        <v>292</v>
      </c>
      <c r="E71" s="86">
        <v>1</v>
      </c>
      <c r="F71" s="431"/>
      <c r="G71" s="115">
        <f>SUM(F69*E71)</f>
        <v>20</v>
      </c>
      <c r="H71" s="413"/>
      <c r="I71" s="414"/>
    </row>
    <row r="72" spans="1:9" ht="20.100000000000001" customHeight="1">
      <c r="A72" s="449" t="s">
        <v>1056</v>
      </c>
      <c r="B72" s="447" t="s">
        <v>38</v>
      </c>
      <c r="C72" s="89" t="s">
        <v>539</v>
      </c>
      <c r="D72" s="89" t="s">
        <v>111</v>
      </c>
      <c r="E72" s="90">
        <v>1</v>
      </c>
      <c r="F72" s="429">
        <v>40</v>
      </c>
      <c r="G72" s="116">
        <v>35</v>
      </c>
      <c r="H72" s="415"/>
      <c r="I72" s="416"/>
    </row>
    <row r="73" spans="1:9" ht="20.100000000000001" customHeight="1">
      <c r="A73" s="449"/>
      <c r="B73" s="436"/>
      <c r="C73" s="89" t="s">
        <v>289</v>
      </c>
      <c r="D73" s="89" t="s">
        <v>290</v>
      </c>
      <c r="E73" s="90">
        <v>1</v>
      </c>
      <c r="F73" s="430"/>
      <c r="G73" s="116">
        <v>35</v>
      </c>
      <c r="H73" s="415"/>
      <c r="I73" s="416"/>
    </row>
    <row r="74" spans="1:9" ht="20.100000000000001" customHeight="1">
      <c r="A74" s="449"/>
      <c r="B74" s="433"/>
      <c r="C74" s="89" t="s">
        <v>291</v>
      </c>
      <c r="D74" s="89" t="s">
        <v>292</v>
      </c>
      <c r="E74" s="90">
        <v>1</v>
      </c>
      <c r="F74" s="431"/>
      <c r="G74" s="116">
        <v>35</v>
      </c>
      <c r="H74" s="415"/>
      <c r="I74" s="416"/>
    </row>
    <row r="75" spans="1:9" ht="20.100000000000001" customHeight="1">
      <c r="A75" s="446" t="s">
        <v>1057</v>
      </c>
      <c r="B75" s="432" t="s">
        <v>39</v>
      </c>
      <c r="C75" s="85" t="s">
        <v>753</v>
      </c>
      <c r="D75" s="85" t="s">
        <v>113</v>
      </c>
      <c r="E75" s="86">
        <v>1</v>
      </c>
      <c r="F75" s="448">
        <v>200</v>
      </c>
      <c r="G75" s="115">
        <v>150</v>
      </c>
      <c r="H75" s="413"/>
      <c r="I75" s="414"/>
    </row>
    <row r="76" spans="1:9" ht="20.100000000000001" customHeight="1">
      <c r="A76" s="446"/>
      <c r="B76" s="436"/>
      <c r="C76" s="85" t="s">
        <v>754</v>
      </c>
      <c r="D76" s="85" t="s">
        <v>113</v>
      </c>
      <c r="E76" s="86">
        <v>1</v>
      </c>
      <c r="F76" s="430"/>
      <c r="G76" s="115">
        <v>150</v>
      </c>
      <c r="H76" s="413"/>
      <c r="I76" s="414"/>
    </row>
    <row r="77" spans="1:9" ht="20.100000000000001" customHeight="1">
      <c r="A77" s="446"/>
      <c r="B77" s="436"/>
      <c r="C77" s="85" t="s">
        <v>620</v>
      </c>
      <c r="D77" s="85" t="s">
        <v>113</v>
      </c>
      <c r="E77" s="86">
        <v>1</v>
      </c>
      <c r="F77" s="430"/>
      <c r="G77" s="115">
        <v>150</v>
      </c>
      <c r="H77" s="413"/>
      <c r="I77" s="414"/>
    </row>
    <row r="78" spans="1:9" ht="20.100000000000001" customHeight="1">
      <c r="A78" s="446"/>
      <c r="B78" s="433"/>
      <c r="C78" s="85" t="s">
        <v>611</v>
      </c>
      <c r="D78" s="85" t="s">
        <v>113</v>
      </c>
      <c r="E78" s="86">
        <v>1</v>
      </c>
      <c r="F78" s="431"/>
      <c r="G78" s="115">
        <v>150</v>
      </c>
      <c r="H78" s="413"/>
      <c r="I78" s="414"/>
    </row>
    <row r="79" spans="1:9" ht="20.100000000000001" customHeight="1">
      <c r="A79" s="449" t="s">
        <v>1062</v>
      </c>
      <c r="B79" s="447" t="s">
        <v>44</v>
      </c>
      <c r="C79" s="104" t="s">
        <v>132</v>
      </c>
      <c r="D79" s="104" t="s">
        <v>133</v>
      </c>
      <c r="E79" s="90">
        <v>1</v>
      </c>
      <c r="F79" s="429">
        <v>1</v>
      </c>
      <c r="G79" s="116">
        <f t="shared" ref="G79" si="2">SUM(F79*E79)</f>
        <v>1</v>
      </c>
      <c r="H79" s="415"/>
      <c r="I79" s="416"/>
    </row>
    <row r="80" spans="1:9" ht="20.100000000000001" customHeight="1">
      <c r="A80" s="449"/>
      <c r="B80" s="436"/>
      <c r="C80" s="104" t="s">
        <v>134</v>
      </c>
      <c r="D80" s="104" t="s">
        <v>135</v>
      </c>
      <c r="E80" s="90">
        <v>1</v>
      </c>
      <c r="F80" s="430"/>
      <c r="G80" s="116">
        <f>SUM(F79*E80)</f>
        <v>1</v>
      </c>
      <c r="H80" s="415"/>
      <c r="I80" s="416"/>
    </row>
    <row r="81" spans="1:9" ht="20.100000000000001" customHeight="1">
      <c r="A81" s="449"/>
      <c r="B81" s="436"/>
      <c r="C81" s="104" t="s">
        <v>136</v>
      </c>
      <c r="D81" s="104" t="s">
        <v>137</v>
      </c>
      <c r="E81" s="90">
        <v>1</v>
      </c>
      <c r="F81" s="430"/>
      <c r="G81" s="116">
        <f>SUM(F79*E81)</f>
        <v>1</v>
      </c>
      <c r="H81" s="415"/>
      <c r="I81" s="416"/>
    </row>
    <row r="82" spans="1:9" ht="20.100000000000001" customHeight="1">
      <c r="A82" s="449"/>
      <c r="B82" s="436"/>
      <c r="C82" s="104" t="s">
        <v>138</v>
      </c>
      <c r="D82" s="104" t="s">
        <v>139</v>
      </c>
      <c r="E82" s="90">
        <v>1</v>
      </c>
      <c r="F82" s="430"/>
      <c r="G82" s="116">
        <f>SUM(F79*E82)</f>
        <v>1</v>
      </c>
      <c r="H82" s="415"/>
      <c r="I82" s="416"/>
    </row>
    <row r="83" spans="1:9" ht="20.100000000000001" customHeight="1">
      <c r="A83" s="449"/>
      <c r="B83" s="436"/>
      <c r="C83" s="104" t="s">
        <v>140</v>
      </c>
      <c r="D83" s="104" t="s">
        <v>141</v>
      </c>
      <c r="E83" s="90">
        <v>1</v>
      </c>
      <c r="F83" s="430"/>
      <c r="G83" s="116">
        <f>SUM(F79*E83)</f>
        <v>1</v>
      </c>
      <c r="H83" s="415"/>
      <c r="I83" s="416"/>
    </row>
    <row r="84" spans="1:9" ht="20.100000000000001" customHeight="1">
      <c r="A84" s="449"/>
      <c r="B84" s="433"/>
      <c r="C84" s="104" t="s">
        <v>142</v>
      </c>
      <c r="D84" s="104" t="s">
        <v>143</v>
      </c>
      <c r="E84" s="90">
        <v>1</v>
      </c>
      <c r="F84" s="431"/>
      <c r="G84" s="116">
        <f>SUM(F79*E84)</f>
        <v>1</v>
      </c>
      <c r="H84" s="415"/>
      <c r="I84" s="416"/>
    </row>
    <row r="85" spans="1:9" ht="20.100000000000001" customHeight="1">
      <c r="A85" s="443" t="s">
        <v>1063</v>
      </c>
      <c r="B85" s="432" t="s">
        <v>45</v>
      </c>
      <c r="C85" s="85" t="s">
        <v>128</v>
      </c>
      <c r="D85" s="85" t="s">
        <v>129</v>
      </c>
      <c r="E85" s="86">
        <v>1</v>
      </c>
      <c r="F85" s="448">
        <v>1</v>
      </c>
      <c r="G85" s="115">
        <f>SUM(F85*E85)</f>
        <v>1</v>
      </c>
      <c r="H85" s="413"/>
      <c r="I85" s="414"/>
    </row>
    <row r="86" spans="1:9" ht="20.100000000000001" customHeight="1">
      <c r="A86" s="444"/>
      <c r="B86" s="433"/>
      <c r="C86" s="85" t="s">
        <v>130</v>
      </c>
      <c r="D86" s="85" t="s">
        <v>129</v>
      </c>
      <c r="E86" s="86">
        <v>1</v>
      </c>
      <c r="F86" s="431"/>
      <c r="G86" s="115">
        <f>SUM(F85*E86)</f>
        <v>1</v>
      </c>
      <c r="H86" s="413"/>
      <c r="I86" s="414"/>
    </row>
    <row r="87" spans="1:9" ht="20.100000000000001" customHeight="1">
      <c r="A87" s="105" t="s">
        <v>1064</v>
      </c>
      <c r="B87" s="88" t="s">
        <v>46</v>
      </c>
      <c r="C87" s="89" t="s">
        <v>725</v>
      </c>
      <c r="D87" s="89" t="s">
        <v>726</v>
      </c>
      <c r="E87" s="90">
        <v>2</v>
      </c>
      <c r="F87" s="90">
        <v>8</v>
      </c>
      <c r="G87" s="116">
        <v>4</v>
      </c>
      <c r="H87" s="415"/>
      <c r="I87" s="416"/>
    </row>
    <row r="88" spans="1:9" ht="20.100000000000001" customHeight="1">
      <c r="A88" s="106" t="s">
        <v>1065</v>
      </c>
      <c r="B88" s="84" t="s">
        <v>47</v>
      </c>
      <c r="C88" s="85" t="s">
        <v>725</v>
      </c>
      <c r="D88" s="85" t="s">
        <v>727</v>
      </c>
      <c r="E88" s="86">
        <v>2</v>
      </c>
      <c r="F88" s="86">
        <v>4</v>
      </c>
      <c r="G88" s="115">
        <v>4</v>
      </c>
      <c r="H88" s="413"/>
      <c r="I88" s="414"/>
    </row>
    <row r="89" spans="1:9" ht="20.100000000000001" customHeight="1">
      <c r="A89" s="105" t="s">
        <v>1066</v>
      </c>
      <c r="B89" s="107" t="s">
        <v>48</v>
      </c>
      <c r="C89" s="108" t="s">
        <v>725</v>
      </c>
      <c r="D89" s="108" t="s">
        <v>728</v>
      </c>
      <c r="E89" s="91">
        <v>2</v>
      </c>
      <c r="F89" s="90">
        <v>6</v>
      </c>
      <c r="G89" s="116">
        <v>4</v>
      </c>
      <c r="H89" s="415"/>
      <c r="I89" s="416"/>
    </row>
    <row r="90" spans="1:9" ht="20.100000000000001" customHeight="1">
      <c r="A90" s="106" t="s">
        <v>1067</v>
      </c>
      <c r="B90" s="84" t="s">
        <v>49</v>
      </c>
      <c r="C90" s="85" t="s">
        <v>725</v>
      </c>
      <c r="D90" s="85" t="s">
        <v>729</v>
      </c>
      <c r="E90" s="86">
        <v>2</v>
      </c>
      <c r="F90" s="86">
        <v>6</v>
      </c>
      <c r="G90" s="115">
        <f t="shared" ref="G90" si="3">SUM(F90*E90)</f>
        <v>12</v>
      </c>
      <c r="H90" s="413"/>
      <c r="I90" s="414"/>
    </row>
    <row r="91" spans="1:9" ht="20.100000000000001" customHeight="1">
      <c r="A91" s="105" t="s">
        <v>1068</v>
      </c>
      <c r="B91" s="107" t="s">
        <v>50</v>
      </c>
      <c r="C91" s="108" t="s">
        <v>145</v>
      </c>
      <c r="D91" s="108" t="s">
        <v>146</v>
      </c>
      <c r="E91" s="91">
        <v>2</v>
      </c>
      <c r="F91" s="90">
        <v>4</v>
      </c>
      <c r="G91" s="116">
        <v>3</v>
      </c>
      <c r="H91" s="415"/>
      <c r="I91" s="416"/>
    </row>
    <row r="92" spans="1:9" ht="20.100000000000001" customHeight="1">
      <c r="A92" s="106" t="s">
        <v>1069</v>
      </c>
      <c r="B92" s="84" t="s">
        <v>51</v>
      </c>
      <c r="C92" s="85" t="s">
        <v>145</v>
      </c>
      <c r="D92" s="85" t="s">
        <v>755</v>
      </c>
      <c r="E92" s="86">
        <v>2</v>
      </c>
      <c r="F92" s="86">
        <v>4</v>
      </c>
      <c r="G92" s="115">
        <v>3</v>
      </c>
      <c r="H92" s="413"/>
      <c r="I92" s="414"/>
    </row>
    <row r="93" spans="1:9" ht="20.100000000000001" customHeight="1">
      <c r="A93" s="105" t="s">
        <v>1070</v>
      </c>
      <c r="B93" s="88" t="s">
        <v>52</v>
      </c>
      <c r="C93" s="93" t="s">
        <v>172</v>
      </c>
      <c r="D93" s="89" t="s">
        <v>173</v>
      </c>
      <c r="E93" s="90">
        <v>2</v>
      </c>
      <c r="F93" s="90">
        <v>3</v>
      </c>
      <c r="G93" s="116">
        <v>2</v>
      </c>
      <c r="H93" s="415"/>
      <c r="I93" s="416"/>
    </row>
    <row r="94" spans="1:9" ht="20.100000000000001" customHeight="1">
      <c r="A94" s="106" t="s">
        <v>1071</v>
      </c>
      <c r="B94" s="84" t="s">
        <v>53</v>
      </c>
      <c r="C94" s="85" t="s">
        <v>170</v>
      </c>
      <c r="D94" s="85" t="s">
        <v>171</v>
      </c>
      <c r="E94" s="86">
        <v>2</v>
      </c>
      <c r="F94" s="86">
        <v>3</v>
      </c>
      <c r="G94" s="115">
        <v>2</v>
      </c>
      <c r="H94" s="413"/>
      <c r="I94" s="414"/>
    </row>
    <row r="95" spans="1:9" ht="20.100000000000001" customHeight="1">
      <c r="A95" s="105" t="s">
        <v>1072</v>
      </c>
      <c r="B95" s="88" t="s">
        <v>54</v>
      </c>
      <c r="C95" s="93" t="s">
        <v>168</v>
      </c>
      <c r="D95" s="89" t="s">
        <v>169</v>
      </c>
      <c r="E95" s="90">
        <v>2</v>
      </c>
      <c r="F95" s="90">
        <v>3</v>
      </c>
      <c r="G95" s="116">
        <v>2</v>
      </c>
      <c r="H95" s="415"/>
      <c r="I95" s="416"/>
    </row>
    <row r="96" spans="1:9" ht="20.100000000000001" customHeight="1">
      <c r="A96" s="106" t="s">
        <v>1073</v>
      </c>
      <c r="B96" s="84" t="s">
        <v>55</v>
      </c>
      <c r="C96" s="85" t="s">
        <v>185</v>
      </c>
      <c r="D96" s="85" t="s">
        <v>186</v>
      </c>
      <c r="E96" s="86">
        <v>2</v>
      </c>
      <c r="F96" s="86">
        <v>2</v>
      </c>
      <c r="G96" s="115">
        <v>1</v>
      </c>
      <c r="H96" s="413"/>
      <c r="I96" s="414"/>
    </row>
    <row r="97" spans="1:9" ht="20.100000000000001" customHeight="1">
      <c r="A97" s="105" t="s">
        <v>1074</v>
      </c>
      <c r="B97" s="107" t="s">
        <v>56</v>
      </c>
      <c r="C97" s="108" t="s">
        <v>185</v>
      </c>
      <c r="D97" s="108" t="s">
        <v>187</v>
      </c>
      <c r="E97" s="91">
        <v>2</v>
      </c>
      <c r="F97" s="90">
        <v>2</v>
      </c>
      <c r="G97" s="116">
        <v>1</v>
      </c>
      <c r="H97" s="415"/>
      <c r="I97" s="416"/>
    </row>
    <row r="98" spans="1:9" ht="20.100000000000001" customHeight="1">
      <c r="A98" s="106" t="s">
        <v>1075</v>
      </c>
      <c r="B98" s="84" t="s">
        <v>57</v>
      </c>
      <c r="C98" s="94" t="s">
        <v>185</v>
      </c>
      <c r="D98" s="85" t="s">
        <v>188</v>
      </c>
      <c r="E98" s="86">
        <v>2</v>
      </c>
      <c r="F98" s="86">
        <v>2</v>
      </c>
      <c r="G98" s="115">
        <v>1</v>
      </c>
      <c r="H98" s="413"/>
      <c r="I98" s="414"/>
    </row>
    <row r="99" spans="1:9" ht="20.100000000000001" customHeight="1">
      <c r="A99" s="105" t="s">
        <v>1076</v>
      </c>
      <c r="B99" s="107" t="s">
        <v>58</v>
      </c>
      <c r="C99" s="108" t="s">
        <v>756</v>
      </c>
      <c r="D99" s="108" t="s">
        <v>118</v>
      </c>
      <c r="E99" s="91">
        <v>2</v>
      </c>
      <c r="F99" s="90">
        <v>8</v>
      </c>
      <c r="G99" s="116">
        <v>6</v>
      </c>
      <c r="H99" s="415"/>
      <c r="I99" s="416"/>
    </row>
    <row r="100" spans="1:9" ht="20.100000000000001" customHeight="1">
      <c r="A100" s="106" t="s">
        <v>1077</v>
      </c>
      <c r="B100" s="84" t="s">
        <v>59</v>
      </c>
      <c r="C100" s="85" t="s">
        <v>193</v>
      </c>
      <c r="D100" s="85" t="s">
        <v>194</v>
      </c>
      <c r="E100" s="86">
        <v>2</v>
      </c>
      <c r="F100" s="86">
        <v>1</v>
      </c>
      <c r="G100" s="115">
        <v>1</v>
      </c>
      <c r="H100" s="413"/>
      <c r="I100" s="414"/>
    </row>
    <row r="101" spans="1:9" ht="20.100000000000001" customHeight="1">
      <c r="A101" s="105" t="s">
        <v>1078</v>
      </c>
      <c r="B101" s="107" t="s">
        <v>60</v>
      </c>
      <c r="C101" s="108" t="s">
        <v>195</v>
      </c>
      <c r="D101" s="108" t="s">
        <v>196</v>
      </c>
      <c r="E101" s="91">
        <v>2</v>
      </c>
      <c r="F101" s="90">
        <v>1</v>
      </c>
      <c r="G101" s="116">
        <v>1</v>
      </c>
      <c r="H101" s="415"/>
      <c r="I101" s="416"/>
    </row>
    <row r="102" spans="1:9" ht="20.100000000000001" customHeight="1">
      <c r="A102" s="106" t="s">
        <v>1079</v>
      </c>
      <c r="B102" s="84" t="s">
        <v>61</v>
      </c>
      <c r="C102" s="85" t="s">
        <v>197</v>
      </c>
      <c r="D102" s="85" t="s">
        <v>198</v>
      </c>
      <c r="E102" s="86">
        <v>2</v>
      </c>
      <c r="F102" s="86">
        <v>1</v>
      </c>
      <c r="G102" s="115">
        <v>1</v>
      </c>
      <c r="H102" s="413"/>
      <c r="I102" s="414"/>
    </row>
    <row r="103" spans="1:9" ht="20.100000000000001" customHeight="1">
      <c r="A103" s="105" t="s">
        <v>1080</v>
      </c>
      <c r="B103" s="107" t="s">
        <v>62</v>
      </c>
      <c r="C103" s="108" t="s">
        <v>199</v>
      </c>
      <c r="D103" s="108" t="s">
        <v>200</v>
      </c>
      <c r="E103" s="91">
        <v>2</v>
      </c>
      <c r="F103" s="90">
        <v>1</v>
      </c>
      <c r="G103" s="116">
        <v>1</v>
      </c>
      <c r="H103" s="415"/>
      <c r="I103" s="416"/>
    </row>
    <row r="104" spans="1:9" ht="20.100000000000001" customHeight="1">
      <c r="A104" s="443" t="s">
        <v>1081</v>
      </c>
      <c r="B104" s="432" t="s">
        <v>63</v>
      </c>
      <c r="C104" s="109" t="s">
        <v>247</v>
      </c>
      <c r="D104" s="109" t="s">
        <v>248</v>
      </c>
      <c r="E104" s="86">
        <v>1</v>
      </c>
      <c r="F104" s="448">
        <v>4</v>
      </c>
      <c r="G104" s="115">
        <v>3</v>
      </c>
      <c r="H104" s="413"/>
      <c r="I104" s="414"/>
    </row>
    <row r="105" spans="1:9" ht="20.100000000000001" customHeight="1">
      <c r="A105" s="445"/>
      <c r="B105" s="436"/>
      <c r="C105" s="109" t="s">
        <v>249</v>
      </c>
      <c r="D105" s="109" t="s">
        <v>250</v>
      </c>
      <c r="E105" s="86">
        <v>1</v>
      </c>
      <c r="F105" s="430"/>
      <c r="G105" s="115">
        <v>3</v>
      </c>
      <c r="H105" s="413"/>
      <c r="I105" s="414"/>
    </row>
    <row r="106" spans="1:9" ht="20.100000000000001" customHeight="1">
      <c r="A106" s="445"/>
      <c r="B106" s="436"/>
      <c r="C106" s="109" t="s">
        <v>694</v>
      </c>
      <c r="D106" s="109" t="s">
        <v>250</v>
      </c>
      <c r="E106" s="86">
        <v>1</v>
      </c>
      <c r="F106" s="430"/>
      <c r="G106" s="115">
        <v>3</v>
      </c>
      <c r="H106" s="413"/>
      <c r="I106" s="414"/>
    </row>
    <row r="107" spans="1:9" ht="20.100000000000001" customHeight="1">
      <c r="A107" s="445"/>
      <c r="B107" s="436"/>
      <c r="C107" s="109" t="s">
        <v>501</v>
      </c>
      <c r="D107" s="109" t="s">
        <v>390</v>
      </c>
      <c r="E107" s="86">
        <v>1</v>
      </c>
      <c r="F107" s="430"/>
      <c r="G107" s="115">
        <v>3</v>
      </c>
      <c r="H107" s="413"/>
      <c r="I107" s="414"/>
    </row>
    <row r="108" spans="1:9" ht="20.100000000000001" customHeight="1">
      <c r="A108" s="445"/>
      <c r="B108" s="436"/>
      <c r="C108" s="109" t="s">
        <v>501</v>
      </c>
      <c r="D108" s="109" t="s">
        <v>396</v>
      </c>
      <c r="E108" s="86">
        <v>1</v>
      </c>
      <c r="F108" s="430"/>
      <c r="G108" s="115">
        <v>3</v>
      </c>
      <c r="H108" s="413"/>
      <c r="I108" s="414"/>
    </row>
    <row r="109" spans="1:9" ht="20.100000000000001" customHeight="1">
      <c r="A109" s="445"/>
      <c r="B109" s="436"/>
      <c r="C109" s="109" t="s">
        <v>501</v>
      </c>
      <c r="D109" s="109" t="s">
        <v>502</v>
      </c>
      <c r="E109" s="86">
        <v>1</v>
      </c>
      <c r="F109" s="430"/>
      <c r="G109" s="115">
        <v>3</v>
      </c>
      <c r="H109" s="413"/>
      <c r="I109" s="414"/>
    </row>
    <row r="110" spans="1:9" ht="20.100000000000001" customHeight="1">
      <c r="A110" s="445"/>
      <c r="B110" s="436"/>
      <c r="C110" s="109" t="s">
        <v>501</v>
      </c>
      <c r="D110" s="109" t="s">
        <v>503</v>
      </c>
      <c r="E110" s="86">
        <v>1</v>
      </c>
      <c r="F110" s="430"/>
      <c r="G110" s="115">
        <v>3</v>
      </c>
      <c r="H110" s="413"/>
      <c r="I110" s="414"/>
    </row>
    <row r="111" spans="1:9" ht="20.100000000000001" customHeight="1">
      <c r="A111" s="445"/>
      <c r="B111" s="436"/>
      <c r="C111" s="109" t="s">
        <v>501</v>
      </c>
      <c r="D111" s="109" t="s">
        <v>504</v>
      </c>
      <c r="E111" s="86">
        <v>1</v>
      </c>
      <c r="F111" s="430"/>
      <c r="G111" s="115">
        <v>3</v>
      </c>
      <c r="H111" s="413"/>
      <c r="I111" s="414"/>
    </row>
    <row r="112" spans="1:9" ht="20.100000000000001" customHeight="1">
      <c r="A112" s="445"/>
      <c r="B112" s="436"/>
      <c r="C112" s="109" t="s">
        <v>501</v>
      </c>
      <c r="D112" s="109" t="s">
        <v>505</v>
      </c>
      <c r="E112" s="86">
        <v>1</v>
      </c>
      <c r="F112" s="430"/>
      <c r="G112" s="115">
        <v>3</v>
      </c>
      <c r="H112" s="413"/>
      <c r="I112" s="414"/>
    </row>
    <row r="113" spans="1:9" ht="20.100000000000001" customHeight="1">
      <c r="A113" s="444"/>
      <c r="B113" s="433"/>
      <c r="C113" s="109" t="s">
        <v>501</v>
      </c>
      <c r="D113" s="109" t="s">
        <v>506</v>
      </c>
      <c r="E113" s="86">
        <v>1</v>
      </c>
      <c r="F113" s="431"/>
      <c r="G113" s="115">
        <v>3</v>
      </c>
      <c r="H113" s="413"/>
      <c r="I113" s="414"/>
    </row>
    <row r="114" spans="1:9" ht="20.100000000000001" customHeight="1">
      <c r="A114" s="438" t="s">
        <v>1082</v>
      </c>
      <c r="B114" s="437" t="s">
        <v>64</v>
      </c>
      <c r="C114" s="108" t="s">
        <v>519</v>
      </c>
      <c r="D114" s="108" t="s">
        <v>123</v>
      </c>
      <c r="E114" s="91">
        <v>1</v>
      </c>
      <c r="F114" s="429">
        <v>2</v>
      </c>
      <c r="G114" s="116">
        <f>SUM(F114*E114)</f>
        <v>2</v>
      </c>
      <c r="H114" s="415"/>
      <c r="I114" s="416"/>
    </row>
    <row r="115" spans="1:9" ht="20.100000000000001" customHeight="1">
      <c r="A115" s="439"/>
      <c r="B115" s="436"/>
      <c r="C115" s="111" t="s">
        <v>757</v>
      </c>
      <c r="D115" s="111" t="s">
        <v>123</v>
      </c>
      <c r="E115" s="112">
        <v>1</v>
      </c>
      <c r="F115" s="430"/>
      <c r="G115" s="120">
        <f>SUM(F114*E115)</f>
        <v>2</v>
      </c>
      <c r="H115" s="417"/>
      <c r="I115" s="418"/>
    </row>
    <row r="116" spans="1:9" ht="20.100000000000001" customHeight="1">
      <c r="A116" s="434" t="s">
        <v>1119</v>
      </c>
      <c r="B116" s="434" t="s">
        <v>101</v>
      </c>
      <c r="C116" s="85" t="s">
        <v>525</v>
      </c>
      <c r="D116" s="85" t="s">
        <v>251</v>
      </c>
      <c r="E116" s="86">
        <v>1</v>
      </c>
      <c r="F116" s="448">
        <v>50</v>
      </c>
      <c r="G116" s="115">
        <v>30</v>
      </c>
      <c r="H116" s="413"/>
      <c r="I116" s="414"/>
    </row>
    <row r="117" spans="1:9" ht="20.100000000000001" customHeight="1">
      <c r="A117" s="435"/>
      <c r="B117" s="435"/>
      <c r="C117" s="85" t="s">
        <v>722</v>
      </c>
      <c r="D117" s="85" t="s">
        <v>251</v>
      </c>
      <c r="E117" s="86">
        <v>1</v>
      </c>
      <c r="F117" s="431"/>
      <c r="G117" s="115">
        <v>30</v>
      </c>
      <c r="H117" s="413"/>
      <c r="I117" s="414"/>
    </row>
    <row r="118" spans="1:9" ht="20.100000000000001" customHeight="1">
      <c r="A118" s="110" t="s">
        <v>1121</v>
      </c>
      <c r="B118" s="107" t="s">
        <v>102</v>
      </c>
      <c r="C118" s="108" t="s">
        <v>102</v>
      </c>
      <c r="D118" s="108" t="s">
        <v>766</v>
      </c>
      <c r="E118" s="91">
        <v>1</v>
      </c>
      <c r="F118" s="90">
        <v>2</v>
      </c>
      <c r="G118" s="116">
        <f t="shared" ref="G118:G120" si="4">SUM(F118*E118)</f>
        <v>2</v>
      </c>
      <c r="H118" s="415"/>
      <c r="I118" s="416"/>
    </row>
    <row r="119" spans="1:9" ht="20.100000000000001" customHeight="1">
      <c r="A119" s="84" t="s">
        <v>1122</v>
      </c>
      <c r="B119" s="84" t="s">
        <v>103</v>
      </c>
      <c r="C119" s="85" t="s">
        <v>103</v>
      </c>
      <c r="D119" s="85" t="s">
        <v>766</v>
      </c>
      <c r="E119" s="86">
        <v>1</v>
      </c>
      <c r="F119" s="86">
        <v>2</v>
      </c>
      <c r="G119" s="115">
        <f t="shared" si="4"/>
        <v>2</v>
      </c>
      <c r="H119" s="413"/>
      <c r="I119" s="414"/>
    </row>
    <row r="120" spans="1:9" ht="20.100000000000001" customHeight="1">
      <c r="A120" s="438" t="s">
        <v>1120</v>
      </c>
      <c r="B120" s="437" t="s">
        <v>104</v>
      </c>
      <c r="C120" s="108" t="s">
        <v>255</v>
      </c>
      <c r="D120" s="108" t="s">
        <v>246</v>
      </c>
      <c r="E120" s="91">
        <v>2</v>
      </c>
      <c r="F120" s="429">
        <v>2</v>
      </c>
      <c r="G120" s="116">
        <f t="shared" si="4"/>
        <v>4</v>
      </c>
      <c r="H120" s="415"/>
      <c r="I120" s="416"/>
    </row>
    <row r="121" spans="1:9" ht="20.100000000000001" customHeight="1">
      <c r="A121" s="439"/>
      <c r="B121" s="436"/>
      <c r="C121" s="108" t="s">
        <v>104</v>
      </c>
      <c r="D121" s="108" t="s">
        <v>123</v>
      </c>
      <c r="E121" s="91">
        <v>1</v>
      </c>
      <c r="F121" s="430"/>
      <c r="G121" s="116">
        <f>SUM(F120*E121)</f>
        <v>2</v>
      </c>
      <c r="H121" s="415"/>
      <c r="I121" s="416"/>
    </row>
    <row r="122" spans="1:9" ht="20.100000000000001" customHeight="1">
      <c r="A122" s="440"/>
      <c r="B122" s="433"/>
      <c r="C122" s="108" t="s">
        <v>520</v>
      </c>
      <c r="D122" s="108" t="s">
        <v>123</v>
      </c>
      <c r="E122" s="91">
        <v>1</v>
      </c>
      <c r="F122" s="431"/>
      <c r="G122" s="116">
        <f>SUM(F120*E122)</f>
        <v>2</v>
      </c>
      <c r="H122" s="415"/>
      <c r="I122" s="416"/>
    </row>
    <row r="123" spans="1:9" ht="20.100000000000001" customHeight="1" thickBot="1">
      <c r="A123" s="84" t="s">
        <v>1123</v>
      </c>
      <c r="B123" s="84" t="s">
        <v>105</v>
      </c>
      <c r="C123" s="85" t="s">
        <v>730</v>
      </c>
      <c r="D123" s="85" t="s">
        <v>257</v>
      </c>
      <c r="E123" s="86">
        <v>1</v>
      </c>
      <c r="F123" s="86">
        <v>4</v>
      </c>
      <c r="G123" s="115">
        <v>2</v>
      </c>
      <c r="H123" s="419"/>
      <c r="I123" s="420"/>
    </row>
    <row r="124" spans="1:9" ht="20.100000000000001" customHeight="1"/>
    <row r="125" spans="1:9" ht="20.100000000000001" customHeight="1" thickBot="1"/>
    <row r="126" spans="1:9" ht="20.100000000000001" customHeight="1">
      <c r="B126" s="173" t="s">
        <v>746</v>
      </c>
      <c r="C126" s="173" t="s">
        <v>747</v>
      </c>
      <c r="D126" s="173" t="s">
        <v>106</v>
      </c>
      <c r="E126" s="303" t="s">
        <v>748</v>
      </c>
      <c r="F126" s="317" t="s">
        <v>1707</v>
      </c>
      <c r="G126" s="318" t="s">
        <v>1166</v>
      </c>
    </row>
    <row r="127" spans="1:9" ht="20.100000000000001" customHeight="1">
      <c r="B127" s="254" t="s">
        <v>1627</v>
      </c>
      <c r="C127" s="254" t="s">
        <v>1627</v>
      </c>
      <c r="D127" s="278" t="s">
        <v>303</v>
      </c>
      <c r="E127" s="279">
        <v>1</v>
      </c>
      <c r="F127" s="401"/>
      <c r="G127" s="402"/>
    </row>
    <row r="128" spans="1:9" ht="20.100000000000001" customHeight="1">
      <c r="B128" s="273" t="s">
        <v>1628</v>
      </c>
      <c r="C128" s="273" t="s">
        <v>1628</v>
      </c>
      <c r="D128" s="274" t="s">
        <v>257</v>
      </c>
      <c r="E128" s="275">
        <v>1</v>
      </c>
      <c r="F128" s="403"/>
      <c r="G128" s="404"/>
    </row>
    <row r="129" spans="2:7" ht="20.100000000000001" customHeight="1">
      <c r="B129" s="257" t="s">
        <v>1629</v>
      </c>
      <c r="C129" s="257" t="s">
        <v>1629</v>
      </c>
      <c r="D129" s="276" t="s">
        <v>638</v>
      </c>
      <c r="E129" s="277">
        <v>10</v>
      </c>
      <c r="F129" s="405"/>
      <c r="G129" s="406"/>
    </row>
    <row r="130" spans="2:7" ht="20.100000000000001" customHeight="1">
      <c r="B130" s="273" t="s">
        <v>1632</v>
      </c>
      <c r="C130" s="273"/>
      <c r="D130" s="274"/>
      <c r="E130" s="275">
        <v>1</v>
      </c>
      <c r="F130" s="403"/>
      <c r="G130" s="404"/>
    </row>
    <row r="131" spans="2:7" ht="20.100000000000001" customHeight="1">
      <c r="B131" s="254" t="s">
        <v>1633</v>
      </c>
      <c r="C131" s="254"/>
      <c r="D131" s="278" t="s">
        <v>689</v>
      </c>
      <c r="E131" s="279">
        <v>3</v>
      </c>
      <c r="F131" s="401"/>
      <c r="G131" s="402"/>
    </row>
    <row r="132" spans="2:7" ht="20.100000000000001" customHeight="1">
      <c r="B132" s="273" t="s">
        <v>1634</v>
      </c>
      <c r="C132" s="273"/>
      <c r="D132" s="273" t="s">
        <v>1630</v>
      </c>
      <c r="E132" s="280">
        <v>1</v>
      </c>
      <c r="F132" s="407"/>
      <c r="G132" s="408"/>
    </row>
    <row r="133" spans="2:7" ht="20.100000000000001" customHeight="1">
      <c r="B133" s="254" t="s">
        <v>1635</v>
      </c>
      <c r="C133" s="254"/>
      <c r="D133" s="254" t="s">
        <v>1631</v>
      </c>
      <c r="E133" s="281">
        <v>1</v>
      </c>
      <c r="F133" s="409"/>
      <c r="G133" s="410"/>
    </row>
    <row r="134" spans="2:7" ht="15.75" customHeight="1">
      <c r="B134" s="273" t="s">
        <v>1636</v>
      </c>
      <c r="C134" s="273"/>
      <c r="D134" s="273" t="s">
        <v>242</v>
      </c>
      <c r="E134" s="280">
        <v>1</v>
      </c>
      <c r="F134" s="407"/>
      <c r="G134" s="408"/>
    </row>
    <row r="135" spans="2:7" ht="15.75" customHeight="1">
      <c r="B135" s="273"/>
      <c r="C135" s="273"/>
      <c r="D135" s="273"/>
      <c r="E135" s="280"/>
      <c r="F135" s="407"/>
      <c r="G135" s="408"/>
    </row>
    <row r="136" spans="2:7" ht="15.75" customHeight="1">
      <c r="B136" s="254" t="s">
        <v>1637</v>
      </c>
      <c r="C136" s="254"/>
      <c r="D136" s="254"/>
      <c r="E136" s="281">
        <v>1</v>
      </c>
      <c r="F136" s="409"/>
      <c r="G136" s="410"/>
    </row>
    <row r="137" spans="2:7" ht="15.75" customHeight="1">
      <c r="B137" s="282" t="s">
        <v>1638</v>
      </c>
      <c r="C137" s="273"/>
      <c r="D137" s="273"/>
      <c r="E137" s="280">
        <v>1</v>
      </c>
      <c r="F137" s="407"/>
      <c r="G137" s="408"/>
    </row>
    <row r="138" spans="2:7" ht="15.75" customHeight="1">
      <c r="B138" s="254" t="s">
        <v>1639</v>
      </c>
      <c r="C138" s="254"/>
      <c r="D138" s="254"/>
      <c r="E138" s="281">
        <v>2</v>
      </c>
      <c r="F138" s="409"/>
      <c r="G138" s="410"/>
    </row>
    <row r="139" spans="2:7" ht="15.75" customHeight="1">
      <c r="B139" s="273" t="s">
        <v>1640</v>
      </c>
      <c r="C139" s="273"/>
      <c r="D139" s="273"/>
      <c r="E139" s="280">
        <v>1</v>
      </c>
      <c r="F139" s="407"/>
      <c r="G139" s="408"/>
    </row>
    <row r="140" spans="2:7" ht="15.75" customHeight="1">
      <c r="B140" s="254" t="s">
        <v>1641</v>
      </c>
      <c r="C140" s="254"/>
      <c r="D140" s="254"/>
      <c r="E140" s="281">
        <v>1</v>
      </c>
      <c r="F140" s="409"/>
      <c r="G140" s="410"/>
    </row>
    <row r="141" spans="2:7" ht="15.75" customHeight="1">
      <c r="B141" s="273" t="s">
        <v>1642</v>
      </c>
      <c r="C141" s="273"/>
      <c r="D141" s="273"/>
      <c r="E141" s="280">
        <v>1</v>
      </c>
      <c r="F141" s="407"/>
      <c r="G141" s="408"/>
    </row>
    <row r="142" spans="2:7" ht="15.75" customHeight="1">
      <c r="B142" s="254" t="s">
        <v>1643</v>
      </c>
      <c r="C142" s="254"/>
      <c r="D142" s="254"/>
      <c r="E142" s="281">
        <v>1</v>
      </c>
      <c r="F142" s="409"/>
      <c r="G142" s="410"/>
    </row>
    <row r="143" spans="2:7" ht="15.75" customHeight="1" thickBot="1">
      <c r="B143" s="273" t="s">
        <v>1644</v>
      </c>
      <c r="C143" s="273"/>
      <c r="D143" s="273" t="s">
        <v>123</v>
      </c>
      <c r="E143" s="280">
        <v>3</v>
      </c>
      <c r="F143" s="411"/>
      <c r="G143" s="412"/>
    </row>
    <row r="144" spans="2:7" ht="15.75" customHeight="1" thickBot="1">
      <c r="B144" s="254" t="s">
        <v>1645</v>
      </c>
      <c r="C144" s="254"/>
      <c r="D144" s="254"/>
      <c r="E144" s="281">
        <v>1</v>
      </c>
      <c r="F144" s="400"/>
      <c r="G144" s="400"/>
    </row>
    <row r="145" spans="2:7" ht="15.75" customHeight="1">
      <c r="B145"/>
      <c r="C145"/>
      <c r="D145"/>
      <c r="E145" s="43"/>
      <c r="F145" s="315"/>
      <c r="G145" s="316"/>
    </row>
  </sheetData>
  <mergeCells count="29">
    <mergeCell ref="B69:B71"/>
    <mergeCell ref="F69:F71"/>
    <mergeCell ref="B72:B74"/>
    <mergeCell ref="F72:F74"/>
    <mergeCell ref="A1:G1"/>
    <mergeCell ref="A68:G68"/>
    <mergeCell ref="A85:A86"/>
    <mergeCell ref="A104:A113"/>
    <mergeCell ref="A114:A115"/>
    <mergeCell ref="A69:A71"/>
    <mergeCell ref="A75:A78"/>
    <mergeCell ref="F79:F84"/>
    <mergeCell ref="B79:B84"/>
    <mergeCell ref="F114:F115"/>
    <mergeCell ref="A79:A84"/>
    <mergeCell ref="A72:A74"/>
    <mergeCell ref="F85:F86"/>
    <mergeCell ref="B75:B78"/>
    <mergeCell ref="F75:F78"/>
    <mergeCell ref="F104:F113"/>
    <mergeCell ref="F120:F122"/>
    <mergeCell ref="B85:B86"/>
    <mergeCell ref="A116:A117"/>
    <mergeCell ref="B116:B117"/>
    <mergeCell ref="B104:B113"/>
    <mergeCell ref="B114:B115"/>
    <mergeCell ref="A120:A122"/>
    <mergeCell ref="F116:F117"/>
    <mergeCell ref="B120:B122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>
    <tabColor rgb="FF00FF00"/>
    <outlinePr summaryBelow="0" summaryRight="0"/>
  </sheetPr>
  <dimension ref="A1:H54"/>
  <sheetViews>
    <sheetView topLeftCell="C1" zoomScale="85" zoomScaleNormal="85" workbookViewId="0">
      <selection activeCell="G3" sqref="G3:H12"/>
    </sheetView>
  </sheetViews>
  <sheetFormatPr defaultColWidth="12.5703125" defaultRowHeight="15.75" customHeight="1"/>
  <cols>
    <col min="1" max="1" width="17.42578125" bestFit="1" customWidth="1"/>
    <col min="2" max="2" width="36.28515625" customWidth="1"/>
    <col min="3" max="3" width="46.42578125" customWidth="1"/>
    <col min="4" max="4" width="22.42578125" customWidth="1"/>
    <col min="6" max="6" width="30" bestFit="1" customWidth="1"/>
    <col min="7" max="7" width="23.140625" customWidth="1"/>
    <col min="8" max="8" width="32.7109375" customWidth="1"/>
  </cols>
  <sheetData>
    <row r="1" spans="1:8" ht="12.75"/>
    <row r="2" spans="1:8" ht="15.75" customHeight="1" thickBot="1">
      <c r="A2" s="459" t="s">
        <v>767</v>
      </c>
      <c r="B2" s="459"/>
      <c r="C2" s="459"/>
      <c r="D2" s="459"/>
      <c r="E2" s="459"/>
      <c r="F2" s="459"/>
    </row>
    <row r="3" spans="1:8" ht="12.75" customHeight="1">
      <c r="A3" s="31" t="s">
        <v>1035</v>
      </c>
      <c r="B3" s="13" t="s">
        <v>1127</v>
      </c>
      <c r="C3" s="13" t="s">
        <v>747</v>
      </c>
      <c r="D3" s="13" t="s">
        <v>106</v>
      </c>
      <c r="E3" s="13" t="s">
        <v>748</v>
      </c>
      <c r="F3" s="71" t="s">
        <v>769</v>
      </c>
      <c r="G3" s="321" t="s">
        <v>1707</v>
      </c>
      <c r="H3" s="322" t="s">
        <v>1166</v>
      </c>
    </row>
    <row r="4" spans="1:8" ht="12.75">
      <c r="A4" s="460" t="s">
        <v>1128</v>
      </c>
      <c r="B4" s="456" t="s">
        <v>768</v>
      </c>
      <c r="C4" s="5" t="s">
        <v>145</v>
      </c>
      <c r="D4" s="3" t="s">
        <v>907</v>
      </c>
      <c r="E4" s="5">
        <v>2</v>
      </c>
      <c r="F4" s="50">
        <f>SUM(E4*F29)</f>
        <v>24</v>
      </c>
      <c r="G4" s="283"/>
      <c r="H4" s="319"/>
    </row>
    <row r="5" spans="1:8" ht="12.75">
      <c r="A5" s="461"/>
      <c r="B5" s="457"/>
      <c r="C5" s="5" t="s">
        <v>771</v>
      </c>
      <c r="D5" s="5" t="s">
        <v>251</v>
      </c>
      <c r="E5" s="5">
        <v>1</v>
      </c>
      <c r="F5" s="50">
        <f>SUM(E5*F29)</f>
        <v>12</v>
      </c>
      <c r="G5" s="324"/>
      <c r="H5" s="319"/>
    </row>
    <row r="6" spans="1:8" ht="12.75">
      <c r="A6" s="461"/>
      <c r="B6" s="457"/>
      <c r="C6" s="5" t="s">
        <v>291</v>
      </c>
      <c r="D6" s="5" t="s">
        <v>772</v>
      </c>
      <c r="E6" s="5">
        <v>1</v>
      </c>
      <c r="F6" s="50">
        <f>SUM(E6*F29)</f>
        <v>12</v>
      </c>
      <c r="G6" s="324"/>
      <c r="H6" s="319"/>
    </row>
    <row r="7" spans="1:8" ht="12.75">
      <c r="A7" s="461"/>
      <c r="B7" s="457"/>
      <c r="C7" s="5" t="s">
        <v>522</v>
      </c>
      <c r="D7" s="5" t="s">
        <v>251</v>
      </c>
      <c r="E7" s="5">
        <v>1</v>
      </c>
      <c r="F7" s="50">
        <f>SUM(E7*F29)</f>
        <v>12</v>
      </c>
      <c r="G7" s="324"/>
      <c r="H7" s="320"/>
    </row>
    <row r="8" spans="1:8" ht="12.75">
      <c r="A8" s="461"/>
      <c r="B8" s="457"/>
      <c r="C8" s="5" t="s">
        <v>523</v>
      </c>
      <c r="D8" s="5" t="s">
        <v>251</v>
      </c>
      <c r="E8" s="5">
        <v>1</v>
      </c>
      <c r="F8" s="50">
        <f>SUM(E8*F29)</f>
        <v>12</v>
      </c>
      <c r="G8" s="306"/>
      <c r="H8" s="326"/>
    </row>
    <row r="9" spans="1:8" ht="12.75">
      <c r="A9" s="461"/>
      <c r="B9" s="457"/>
      <c r="C9" s="5" t="s">
        <v>526</v>
      </c>
      <c r="D9" s="5" t="s">
        <v>257</v>
      </c>
      <c r="E9" s="5">
        <v>1</v>
      </c>
      <c r="F9" s="50">
        <f>SUM(E9*F29)</f>
        <v>12</v>
      </c>
      <c r="G9" s="324"/>
      <c r="H9" s="320"/>
    </row>
    <row r="10" spans="1:8" ht="12.75">
      <c r="A10" s="461"/>
      <c r="B10" s="457"/>
      <c r="C10" s="5" t="s">
        <v>528</v>
      </c>
      <c r="D10" s="5" t="s">
        <v>113</v>
      </c>
      <c r="E10" s="5">
        <v>1</v>
      </c>
      <c r="F10" s="50">
        <f>SUM(E10*F29)</f>
        <v>12</v>
      </c>
      <c r="G10" s="306"/>
      <c r="H10" s="326"/>
    </row>
    <row r="11" spans="1:8" ht="12.75">
      <c r="A11" s="461"/>
      <c r="B11" s="457"/>
      <c r="C11" s="5" t="s">
        <v>774</v>
      </c>
      <c r="D11" s="5" t="s">
        <v>533</v>
      </c>
      <c r="E11" s="5">
        <v>2</v>
      </c>
      <c r="F11" s="50">
        <f>SUM(E11*F29)</f>
        <v>24</v>
      </c>
      <c r="G11" s="324"/>
      <c r="H11" s="320"/>
    </row>
    <row r="12" spans="1:8" ht="12.75">
      <c r="A12" s="461"/>
      <c r="B12" s="457"/>
      <c r="C12" s="5" t="s">
        <v>538</v>
      </c>
      <c r="D12" s="5" t="s">
        <v>113</v>
      </c>
      <c r="E12" s="5">
        <v>1</v>
      </c>
      <c r="F12" s="50">
        <f>SUM(E12*F29)</f>
        <v>12</v>
      </c>
      <c r="G12" s="306"/>
      <c r="H12" s="326"/>
    </row>
    <row r="13" spans="1:8" ht="12.75">
      <c r="A13" s="461"/>
      <c r="B13" s="457"/>
      <c r="C13" s="5" t="s">
        <v>580</v>
      </c>
      <c r="D13" s="5" t="s">
        <v>113</v>
      </c>
      <c r="E13" s="5">
        <v>1</v>
      </c>
      <c r="F13" s="50">
        <f>SUM(E13*F29)</f>
        <v>12</v>
      </c>
      <c r="G13" s="324"/>
      <c r="H13" s="320"/>
    </row>
    <row r="14" spans="1:8" ht="12.75">
      <c r="A14" s="461"/>
      <c r="B14" s="457"/>
      <c r="C14" s="5" t="s">
        <v>598</v>
      </c>
      <c r="D14" s="5" t="s">
        <v>251</v>
      </c>
      <c r="E14" s="5">
        <v>2</v>
      </c>
      <c r="F14" s="50">
        <f>SUM(E14*F29)</f>
        <v>24</v>
      </c>
      <c r="G14" s="306"/>
      <c r="H14" s="326"/>
    </row>
    <row r="15" spans="1:8" ht="12.75">
      <c r="A15" s="461"/>
      <c r="B15" s="457"/>
      <c r="C15" s="5" t="s">
        <v>599</v>
      </c>
      <c r="D15" s="5" t="s">
        <v>251</v>
      </c>
      <c r="E15" s="5">
        <v>2</v>
      </c>
      <c r="F15" s="50">
        <f>SUM(E15*F29)</f>
        <v>24</v>
      </c>
      <c r="G15" s="324"/>
      <c r="H15" s="320"/>
    </row>
    <row r="16" spans="1:8" ht="12.75">
      <c r="A16" s="461"/>
      <c r="B16" s="457"/>
      <c r="C16" s="5" t="s">
        <v>610</v>
      </c>
      <c r="D16" s="5" t="s">
        <v>113</v>
      </c>
      <c r="E16" s="5">
        <v>2</v>
      </c>
      <c r="F16" s="50">
        <f>SUM(E16*F29)</f>
        <v>24</v>
      </c>
      <c r="G16" s="306"/>
      <c r="H16" s="326"/>
    </row>
    <row r="17" spans="1:8" ht="12.75">
      <c r="A17" s="461"/>
      <c r="B17" s="457"/>
      <c r="C17" s="5" t="s">
        <v>611</v>
      </c>
      <c r="D17" s="5" t="s">
        <v>113</v>
      </c>
      <c r="E17" s="5">
        <v>1</v>
      </c>
      <c r="F17" s="50">
        <f>SUM(E17*F29)</f>
        <v>12</v>
      </c>
      <c r="G17" s="324"/>
      <c r="H17" s="320"/>
    </row>
    <row r="18" spans="1:8" ht="12.75">
      <c r="A18" s="461"/>
      <c r="B18" s="457"/>
      <c r="C18" s="5" t="s">
        <v>620</v>
      </c>
      <c r="D18" s="5" t="s">
        <v>113</v>
      </c>
      <c r="E18" s="5">
        <v>1</v>
      </c>
      <c r="F18" s="50">
        <f>SUM(E18*F29)</f>
        <v>12</v>
      </c>
      <c r="G18" s="306"/>
      <c r="H18" s="326"/>
    </row>
    <row r="19" spans="1:8" ht="12.75">
      <c r="A19" s="461"/>
      <c r="B19" s="457"/>
      <c r="C19" s="5" t="s">
        <v>775</v>
      </c>
      <c r="D19" s="5" t="s">
        <v>118</v>
      </c>
      <c r="E19" s="5">
        <v>1</v>
      </c>
      <c r="F19" s="50">
        <f>SUM(E19*F29)</f>
        <v>12</v>
      </c>
      <c r="G19" s="324"/>
      <c r="H19" s="320"/>
    </row>
    <row r="20" spans="1:8" ht="12.75">
      <c r="A20" s="461"/>
      <c r="B20" s="457"/>
      <c r="C20" s="5" t="s">
        <v>664</v>
      </c>
      <c r="D20" s="5" t="s">
        <v>251</v>
      </c>
      <c r="E20" s="5">
        <v>1</v>
      </c>
      <c r="F20" s="50">
        <f>SUM(E20*F29)</f>
        <v>12</v>
      </c>
      <c r="G20" s="306"/>
      <c r="H20" s="326"/>
    </row>
    <row r="21" spans="1:8" ht="12.75">
      <c r="A21" s="461"/>
      <c r="B21" s="457"/>
      <c r="C21" s="5" t="s">
        <v>687</v>
      </c>
      <c r="D21" s="5" t="s">
        <v>118</v>
      </c>
      <c r="E21" s="5">
        <v>1</v>
      </c>
      <c r="F21" s="50">
        <f>SUM(E21*F29)</f>
        <v>12</v>
      </c>
      <c r="G21" s="324"/>
      <c r="H21" s="320"/>
    </row>
    <row r="22" spans="1:8" ht="12.75">
      <c r="A22" s="461"/>
      <c r="B22" s="457"/>
      <c r="C22" s="5" t="s">
        <v>713</v>
      </c>
      <c r="D22" s="5" t="s">
        <v>257</v>
      </c>
      <c r="E22" s="5">
        <v>1</v>
      </c>
      <c r="F22" s="50">
        <f>SUM(E22*F29)</f>
        <v>12</v>
      </c>
      <c r="G22" s="306"/>
      <c r="H22" s="326"/>
    </row>
    <row r="23" spans="1:8" ht="12.75">
      <c r="A23" s="461"/>
      <c r="B23" s="457"/>
      <c r="C23" s="5" t="s">
        <v>716</v>
      </c>
      <c r="D23" s="5" t="s">
        <v>157</v>
      </c>
      <c r="E23" s="5">
        <v>1</v>
      </c>
      <c r="F23" s="50">
        <f>SUM(E23*F29)</f>
        <v>12</v>
      </c>
      <c r="G23" s="324"/>
      <c r="H23" s="320"/>
    </row>
    <row r="24" spans="1:8" ht="12.75">
      <c r="A24" s="461"/>
      <c r="B24" s="457"/>
      <c r="C24" s="5" t="s">
        <v>717</v>
      </c>
      <c r="D24" s="5" t="s">
        <v>157</v>
      </c>
      <c r="E24" s="5">
        <v>1</v>
      </c>
      <c r="F24" s="50">
        <f>SUM(E24*F29)</f>
        <v>12</v>
      </c>
      <c r="G24" s="306"/>
      <c r="H24" s="326"/>
    </row>
    <row r="25" spans="1:8" ht="13.5" thickBot="1">
      <c r="A25" s="462"/>
      <c r="B25" s="458"/>
      <c r="C25" s="5" t="s">
        <v>438</v>
      </c>
      <c r="D25" s="5" t="s">
        <v>776</v>
      </c>
      <c r="E25" s="5">
        <v>1</v>
      </c>
      <c r="F25" s="50">
        <f>SUM(E25*F29)</f>
        <v>12</v>
      </c>
      <c r="G25" s="325"/>
      <c r="H25" s="323"/>
    </row>
    <row r="26" spans="1:8" ht="12.75">
      <c r="A26" s="17"/>
      <c r="B26" s="51"/>
      <c r="C26" s="1"/>
      <c r="D26" s="1"/>
      <c r="E26" s="1"/>
      <c r="F26" s="12" t="s">
        <v>770</v>
      </c>
    </row>
    <row r="27" spans="1:8" ht="12.75">
      <c r="A27" s="17"/>
      <c r="B27" s="51"/>
      <c r="C27" s="1"/>
      <c r="D27" s="1"/>
      <c r="E27" s="1"/>
      <c r="F27" s="7">
        <f>SUM(E4:E24)</f>
        <v>26</v>
      </c>
    </row>
    <row r="28" spans="1:8" ht="12.75">
      <c r="A28" s="17"/>
      <c r="B28" s="51"/>
      <c r="C28" s="1"/>
      <c r="D28" s="1"/>
      <c r="E28" s="1"/>
      <c r="F28" s="12" t="s">
        <v>773</v>
      </c>
    </row>
    <row r="29" spans="1:8" ht="15.75" customHeight="1">
      <c r="A29" s="65"/>
      <c r="B29" s="65"/>
      <c r="C29" s="65"/>
      <c r="D29" s="65"/>
      <c r="E29" s="65"/>
      <c r="F29" s="7">
        <v>12</v>
      </c>
    </row>
    <row r="30" spans="1:8" ht="15.75" customHeight="1" thickBot="1">
      <c r="F30" s="17"/>
    </row>
    <row r="31" spans="1:8" ht="12.75" customHeight="1">
      <c r="A31" s="32" t="s">
        <v>1035</v>
      </c>
      <c r="B31" s="13" t="s">
        <v>1127</v>
      </c>
      <c r="C31" s="13" t="s">
        <v>747</v>
      </c>
      <c r="D31" s="13" t="s">
        <v>106</v>
      </c>
      <c r="E31" s="13" t="s">
        <v>748</v>
      </c>
      <c r="F31" s="71" t="s">
        <v>769</v>
      </c>
      <c r="G31" s="321" t="s">
        <v>1707</v>
      </c>
      <c r="H31" s="322" t="s">
        <v>1166</v>
      </c>
    </row>
    <row r="32" spans="1:8" ht="12.75">
      <c r="A32" s="453" t="s">
        <v>1129</v>
      </c>
      <c r="B32" s="450" t="s">
        <v>777</v>
      </c>
      <c r="C32" s="3" t="s">
        <v>37</v>
      </c>
      <c r="D32" s="3" t="s">
        <v>245</v>
      </c>
      <c r="E32" s="3">
        <v>1</v>
      </c>
      <c r="F32" s="50">
        <f t="shared" ref="F32:F46" si="0">SUM(E32*$F$50)</f>
        <v>6</v>
      </c>
      <c r="G32" s="283"/>
      <c r="H32" s="319"/>
    </row>
    <row r="33" spans="1:8" ht="12.75" customHeight="1">
      <c r="A33" s="454"/>
      <c r="B33" s="451"/>
      <c r="C33" s="3" t="s">
        <v>291</v>
      </c>
      <c r="D33" s="3" t="s">
        <v>772</v>
      </c>
      <c r="E33" s="3">
        <v>1</v>
      </c>
      <c r="F33" s="50">
        <f t="shared" si="0"/>
        <v>6</v>
      </c>
      <c r="G33" s="324"/>
      <c r="H33" s="319"/>
    </row>
    <row r="34" spans="1:8" ht="12.75" customHeight="1">
      <c r="A34" s="454"/>
      <c r="B34" s="451"/>
      <c r="C34" s="3" t="s">
        <v>413</v>
      </c>
      <c r="D34" s="3" t="s">
        <v>414</v>
      </c>
      <c r="E34" s="3">
        <v>1</v>
      </c>
      <c r="F34" s="50">
        <f t="shared" si="0"/>
        <v>6</v>
      </c>
      <c r="G34" s="324"/>
      <c r="H34" s="319"/>
    </row>
    <row r="35" spans="1:8" ht="12.75" customHeight="1">
      <c r="A35" s="454"/>
      <c r="B35" s="451"/>
      <c r="C35" s="3" t="s">
        <v>415</v>
      </c>
      <c r="D35" s="3" t="s">
        <v>416</v>
      </c>
      <c r="E35" s="3">
        <v>1</v>
      </c>
      <c r="F35" s="50">
        <f t="shared" si="0"/>
        <v>6</v>
      </c>
      <c r="G35" s="324"/>
      <c r="H35" s="320"/>
    </row>
    <row r="36" spans="1:8" ht="12.75" customHeight="1">
      <c r="A36" s="454"/>
      <c r="B36" s="451"/>
      <c r="C36" s="3" t="s">
        <v>417</v>
      </c>
      <c r="D36" s="3" t="s">
        <v>418</v>
      </c>
      <c r="E36" s="3">
        <v>1</v>
      </c>
      <c r="F36" s="50">
        <f t="shared" si="0"/>
        <v>6</v>
      </c>
      <c r="G36" s="306"/>
      <c r="H36" s="326"/>
    </row>
    <row r="37" spans="1:8" ht="12.75" customHeight="1">
      <c r="A37" s="454"/>
      <c r="B37" s="451"/>
      <c r="C37" s="3" t="s">
        <v>468</v>
      </c>
      <c r="D37" s="3" t="s">
        <v>245</v>
      </c>
      <c r="E37" s="3">
        <v>1</v>
      </c>
      <c r="F37" s="50">
        <f t="shared" si="0"/>
        <v>6</v>
      </c>
      <c r="G37" s="324"/>
      <c r="H37" s="320"/>
    </row>
    <row r="38" spans="1:8" ht="12.75" customHeight="1">
      <c r="A38" s="454"/>
      <c r="B38" s="451"/>
      <c r="C38" s="3" t="s">
        <v>528</v>
      </c>
      <c r="D38" s="3" t="s">
        <v>111</v>
      </c>
      <c r="E38" s="3">
        <v>1</v>
      </c>
      <c r="F38" s="50">
        <f t="shared" si="0"/>
        <v>6</v>
      </c>
      <c r="G38" s="306"/>
      <c r="H38" s="326"/>
    </row>
    <row r="39" spans="1:8" ht="12.75" customHeight="1">
      <c r="A39" s="454"/>
      <c r="B39" s="451"/>
      <c r="C39" s="3" t="s">
        <v>774</v>
      </c>
      <c r="D39" s="3" t="s">
        <v>533</v>
      </c>
      <c r="E39" s="3">
        <v>8</v>
      </c>
      <c r="F39" s="50">
        <f t="shared" si="0"/>
        <v>48</v>
      </c>
      <c r="G39" s="324"/>
      <c r="H39" s="320"/>
    </row>
    <row r="40" spans="1:8" ht="12.75" customHeight="1">
      <c r="A40" s="454"/>
      <c r="B40" s="451"/>
      <c r="C40" s="3" t="s">
        <v>778</v>
      </c>
      <c r="D40" s="3" t="s">
        <v>111</v>
      </c>
      <c r="E40" s="3">
        <v>1</v>
      </c>
      <c r="F40" s="50">
        <f t="shared" si="0"/>
        <v>6</v>
      </c>
      <c r="G40" s="306"/>
      <c r="H40" s="326"/>
    </row>
    <row r="41" spans="1:8" ht="12.75" customHeight="1">
      <c r="A41" s="454"/>
      <c r="B41" s="451"/>
      <c r="C41" s="3" t="s">
        <v>590</v>
      </c>
      <c r="D41" s="3" t="s">
        <v>111</v>
      </c>
      <c r="E41" s="3">
        <v>1</v>
      </c>
      <c r="F41" s="50">
        <f t="shared" si="0"/>
        <v>6</v>
      </c>
      <c r="G41" s="324"/>
      <c r="H41" s="320"/>
    </row>
    <row r="42" spans="1:8" ht="12.75" customHeight="1">
      <c r="A42" s="454"/>
      <c r="B42" s="451"/>
      <c r="C42" s="3" t="s">
        <v>651</v>
      </c>
      <c r="D42" s="3" t="s">
        <v>111</v>
      </c>
      <c r="E42" s="3">
        <v>2</v>
      </c>
      <c r="F42" s="50">
        <f t="shared" si="0"/>
        <v>12</v>
      </c>
      <c r="G42" s="324"/>
      <c r="H42" s="320"/>
    </row>
    <row r="43" spans="1:8" ht="12.75" customHeight="1">
      <c r="A43" s="454"/>
      <c r="B43" s="451"/>
      <c r="C43" s="3" t="s">
        <v>779</v>
      </c>
      <c r="D43" s="3" t="s">
        <v>192</v>
      </c>
      <c r="E43" s="3">
        <v>2</v>
      </c>
      <c r="F43" s="50">
        <f t="shared" si="0"/>
        <v>12</v>
      </c>
      <c r="G43" s="306"/>
      <c r="H43" s="326"/>
    </row>
    <row r="44" spans="1:8" ht="12.75" customHeight="1">
      <c r="A44" s="454"/>
      <c r="B44" s="451"/>
      <c r="C44" s="3" t="s">
        <v>688</v>
      </c>
      <c r="D44" s="3" t="s">
        <v>335</v>
      </c>
      <c r="E44" s="3">
        <v>1</v>
      </c>
      <c r="F44" s="50">
        <f t="shared" si="0"/>
        <v>6</v>
      </c>
      <c r="G44" s="324"/>
      <c r="H44" s="320"/>
    </row>
    <row r="45" spans="1:8" ht="12.75" customHeight="1">
      <c r="A45" s="454"/>
      <c r="B45" s="451"/>
      <c r="C45" s="3" t="s">
        <v>716</v>
      </c>
      <c r="D45" s="3" t="s">
        <v>288</v>
      </c>
      <c r="E45" s="3">
        <v>1</v>
      </c>
      <c r="F45" s="50">
        <f t="shared" si="0"/>
        <v>6</v>
      </c>
      <c r="G45" s="324"/>
      <c r="H45" s="320"/>
    </row>
    <row r="46" spans="1:8" ht="12.75" customHeight="1" thickBot="1">
      <c r="A46" s="455"/>
      <c r="B46" s="452"/>
      <c r="C46" s="3" t="s">
        <v>438</v>
      </c>
      <c r="D46" s="3" t="s">
        <v>439</v>
      </c>
      <c r="E46" s="3">
        <v>1</v>
      </c>
      <c r="F46" s="50">
        <f t="shared" si="0"/>
        <v>6</v>
      </c>
      <c r="G46" s="327"/>
      <c r="H46" s="328"/>
    </row>
    <row r="47" spans="1:8" ht="15.75" customHeight="1">
      <c r="A47" s="33"/>
      <c r="B47" s="65"/>
      <c r="C47" s="65"/>
      <c r="D47" s="65"/>
      <c r="E47" s="65"/>
      <c r="F47" s="12" t="s">
        <v>770</v>
      </c>
    </row>
    <row r="48" spans="1:8" ht="15.75" customHeight="1">
      <c r="A48" s="33"/>
      <c r="B48" s="65"/>
      <c r="C48" s="65"/>
      <c r="D48" s="65"/>
      <c r="E48" s="65"/>
      <c r="F48" s="7">
        <f>SUM(E32:E45)</f>
        <v>23</v>
      </c>
    </row>
    <row r="49" spans="1:6" ht="15.75" customHeight="1">
      <c r="A49" s="33"/>
      <c r="B49" s="65"/>
      <c r="C49" s="65"/>
      <c r="D49" s="65"/>
      <c r="E49" s="65"/>
      <c r="F49" s="12" t="s">
        <v>773</v>
      </c>
    </row>
    <row r="50" spans="1:6" ht="15.75" customHeight="1">
      <c r="A50" s="33"/>
      <c r="B50" s="65"/>
      <c r="C50" s="65"/>
      <c r="D50" s="65"/>
      <c r="E50" s="65"/>
      <c r="F50" s="59">
        <v>6</v>
      </c>
    </row>
    <row r="51" spans="1:6" ht="15.75" customHeight="1">
      <c r="A51" s="33"/>
      <c r="B51" s="65"/>
      <c r="C51" s="65"/>
      <c r="D51" s="65"/>
      <c r="E51" s="65"/>
      <c r="F51" s="65"/>
    </row>
    <row r="52" spans="1:6" ht="15.75" customHeight="1">
      <c r="A52" s="33"/>
      <c r="B52" s="65"/>
      <c r="C52" s="65"/>
      <c r="D52" s="65"/>
      <c r="E52" s="65"/>
      <c r="F52" s="65"/>
    </row>
    <row r="53" spans="1:6" ht="15.75" customHeight="1">
      <c r="A53" s="33"/>
      <c r="B53" s="65"/>
      <c r="C53" s="65"/>
      <c r="D53" s="65"/>
      <c r="E53" s="65"/>
      <c r="F53" s="65"/>
    </row>
    <row r="54" spans="1:6" ht="15.75" customHeight="1">
      <c r="B54" s="65"/>
      <c r="C54" s="65"/>
      <c r="D54" s="65"/>
      <c r="E54" s="65"/>
      <c r="F54" s="65"/>
    </row>
  </sheetData>
  <mergeCells count="5">
    <mergeCell ref="B32:B46"/>
    <mergeCell ref="A32:A46"/>
    <mergeCell ref="B4:B25"/>
    <mergeCell ref="A2:F2"/>
    <mergeCell ref="A4:A2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9">
    <tabColor rgb="FF00FF00"/>
    <outlinePr summaryBelow="0" summaryRight="0"/>
  </sheetPr>
  <dimension ref="A1:H163"/>
  <sheetViews>
    <sheetView topLeftCell="A93" zoomScale="70" zoomScaleNormal="70" workbookViewId="0">
      <selection activeCell="G123" sqref="G123:H128"/>
    </sheetView>
  </sheetViews>
  <sheetFormatPr defaultColWidth="12.5703125" defaultRowHeight="15.75" customHeight="1"/>
  <cols>
    <col min="1" max="1" width="17" style="65" bestFit="1" customWidth="1"/>
    <col min="2" max="2" width="20" style="65" customWidth="1"/>
    <col min="3" max="3" width="35.42578125" style="65" bestFit="1" customWidth="1"/>
    <col min="4" max="4" width="56" style="65" bestFit="1" customWidth="1"/>
    <col min="5" max="5" width="9.140625" style="65" bestFit="1" customWidth="1"/>
    <col min="6" max="6" width="31.28515625" style="65" customWidth="1"/>
    <col min="7" max="7" width="18.42578125" style="65" customWidth="1"/>
    <col min="8" max="8" width="28.85546875" style="65" customWidth="1"/>
    <col min="9" max="16384" width="12.5703125" style="65"/>
  </cols>
  <sheetData>
    <row r="1" spans="1:8" ht="12.75"/>
    <row r="2" spans="1:8" ht="15.75" customHeight="1" thickBot="1">
      <c r="A2" s="466" t="s">
        <v>780</v>
      </c>
      <c r="B2" s="467"/>
      <c r="C2" s="467"/>
      <c r="D2" s="467"/>
      <c r="E2" s="467"/>
      <c r="F2" s="467"/>
    </row>
    <row r="3" spans="1:8" ht="15.75" customHeight="1">
      <c r="A3" s="32" t="s">
        <v>1035</v>
      </c>
      <c r="B3" s="32" t="s">
        <v>1127</v>
      </c>
      <c r="C3" s="32" t="s">
        <v>747</v>
      </c>
      <c r="D3" s="32" t="s">
        <v>106</v>
      </c>
      <c r="E3" s="32" t="s">
        <v>782</v>
      </c>
      <c r="F3" s="329" t="s">
        <v>769</v>
      </c>
      <c r="G3" s="330" t="s">
        <v>1707</v>
      </c>
      <c r="H3" s="331" t="s">
        <v>1166</v>
      </c>
    </row>
    <row r="4" spans="1:8" ht="15.75" customHeight="1">
      <c r="A4" s="475" t="s">
        <v>1130</v>
      </c>
      <c r="B4" s="472" t="s">
        <v>781</v>
      </c>
      <c r="C4" s="122" t="s">
        <v>145</v>
      </c>
      <c r="D4" s="122" t="s">
        <v>908</v>
      </c>
      <c r="E4" s="129">
        <v>2</v>
      </c>
      <c r="F4" s="130">
        <f>SUM(E4*F49)</f>
        <v>12</v>
      </c>
      <c r="G4" s="283"/>
      <c r="H4" s="319"/>
    </row>
    <row r="5" spans="1:8" ht="15.75" customHeight="1">
      <c r="A5" s="476"/>
      <c r="B5" s="473"/>
      <c r="C5" s="122" t="s">
        <v>37</v>
      </c>
      <c r="D5" s="122" t="s">
        <v>245</v>
      </c>
      <c r="E5" s="129">
        <v>1</v>
      </c>
      <c r="F5" s="130">
        <f>SUM(E5*F49)</f>
        <v>6</v>
      </c>
      <c r="G5" s="324"/>
      <c r="H5" s="319"/>
    </row>
    <row r="6" spans="1:8" ht="15.75" customHeight="1">
      <c r="A6" s="476"/>
      <c r="B6" s="473"/>
      <c r="C6" s="122" t="s">
        <v>771</v>
      </c>
      <c r="D6" s="122" t="s">
        <v>251</v>
      </c>
      <c r="E6" s="129">
        <v>1</v>
      </c>
      <c r="F6" s="130">
        <f>SUM(E6*F49)</f>
        <v>6</v>
      </c>
      <c r="G6" s="324"/>
      <c r="H6" s="319"/>
    </row>
    <row r="7" spans="1:8" ht="15.75" customHeight="1">
      <c r="A7" s="476"/>
      <c r="B7" s="473"/>
      <c r="C7" s="122" t="s">
        <v>252</v>
      </c>
      <c r="D7" s="122" t="s">
        <v>251</v>
      </c>
      <c r="E7" s="129">
        <v>1</v>
      </c>
      <c r="F7" s="130">
        <f>SUM(E7*F49)</f>
        <v>6</v>
      </c>
      <c r="G7" s="324"/>
      <c r="H7" s="320"/>
    </row>
    <row r="8" spans="1:8" ht="15.75" customHeight="1">
      <c r="A8" s="476"/>
      <c r="B8" s="473"/>
      <c r="C8" s="122" t="s">
        <v>291</v>
      </c>
      <c r="D8" s="122" t="s">
        <v>293</v>
      </c>
      <c r="E8" s="129">
        <v>2</v>
      </c>
      <c r="F8" s="130">
        <f>SUM(E8*F49)</f>
        <v>12</v>
      </c>
      <c r="G8" s="125"/>
      <c r="H8" s="326"/>
    </row>
    <row r="9" spans="1:8" ht="15.75" customHeight="1">
      <c r="A9" s="476"/>
      <c r="B9" s="473"/>
      <c r="C9" s="122" t="s">
        <v>291</v>
      </c>
      <c r="D9" s="122" t="s">
        <v>772</v>
      </c>
      <c r="E9" s="129">
        <v>1</v>
      </c>
      <c r="F9" s="130">
        <f>SUM(E9*F49)</f>
        <v>6</v>
      </c>
      <c r="G9" s="283"/>
      <c r="H9" s="320"/>
    </row>
    <row r="10" spans="1:8" ht="15.75" customHeight="1">
      <c r="A10" s="476"/>
      <c r="B10" s="473"/>
      <c r="C10" s="122" t="s">
        <v>526</v>
      </c>
      <c r="D10" s="122" t="s">
        <v>257</v>
      </c>
      <c r="E10" s="129">
        <v>4</v>
      </c>
      <c r="F10" s="130">
        <f>SUM(E10*F49)</f>
        <v>24</v>
      </c>
      <c r="G10" s="125"/>
      <c r="H10" s="326"/>
    </row>
    <row r="11" spans="1:8" ht="15.75" customHeight="1">
      <c r="A11" s="476"/>
      <c r="B11" s="473"/>
      <c r="C11" s="122" t="s">
        <v>526</v>
      </c>
      <c r="D11" s="122" t="s">
        <v>286</v>
      </c>
      <c r="E11" s="129">
        <v>3</v>
      </c>
      <c r="F11" s="130">
        <f>SUM(E11*F49)</f>
        <v>18</v>
      </c>
      <c r="G11" s="283"/>
      <c r="H11" s="320"/>
    </row>
    <row r="12" spans="1:8" ht="15.75" customHeight="1">
      <c r="A12" s="476"/>
      <c r="B12" s="473"/>
      <c r="C12" s="122" t="s">
        <v>526</v>
      </c>
      <c r="D12" s="122" t="s">
        <v>335</v>
      </c>
      <c r="E12" s="129">
        <v>2</v>
      </c>
      <c r="F12" s="130">
        <f>SUM(E12*F49)</f>
        <v>12</v>
      </c>
      <c r="G12" s="125"/>
      <c r="H12" s="326"/>
    </row>
    <row r="13" spans="1:8" ht="15.75" customHeight="1">
      <c r="A13" s="476"/>
      <c r="B13" s="473"/>
      <c r="C13" s="122" t="s">
        <v>528</v>
      </c>
      <c r="D13" s="122" t="s">
        <v>242</v>
      </c>
      <c r="E13" s="129">
        <v>2</v>
      </c>
      <c r="F13" s="130">
        <f>SUM(E13*F49)</f>
        <v>12</v>
      </c>
      <c r="G13" s="125"/>
      <c r="H13" s="326"/>
    </row>
    <row r="14" spans="1:8" ht="15.75" customHeight="1">
      <c r="A14" s="476"/>
      <c r="B14" s="473"/>
      <c r="C14" s="122" t="s">
        <v>528</v>
      </c>
      <c r="D14" s="122" t="s">
        <v>111</v>
      </c>
      <c r="E14" s="129">
        <v>2</v>
      </c>
      <c r="F14" s="130">
        <f>SUM(E14*F49)</f>
        <v>12</v>
      </c>
      <c r="G14" s="283"/>
      <c r="H14" s="320"/>
    </row>
    <row r="15" spans="1:8" ht="15.75" customHeight="1">
      <c r="A15" s="476"/>
      <c r="B15" s="473"/>
      <c r="C15" s="122" t="s">
        <v>774</v>
      </c>
      <c r="D15" s="122" t="s">
        <v>533</v>
      </c>
      <c r="E15" s="129">
        <v>10</v>
      </c>
      <c r="F15" s="130">
        <f>SUM(E15*F49)</f>
        <v>60</v>
      </c>
      <c r="G15" s="125"/>
      <c r="H15" s="326"/>
    </row>
    <row r="16" spans="1:8" ht="15.75" customHeight="1">
      <c r="A16" s="476"/>
      <c r="B16" s="473"/>
      <c r="C16" s="122" t="s">
        <v>778</v>
      </c>
      <c r="D16" s="122" t="s">
        <v>111</v>
      </c>
      <c r="E16" s="129">
        <v>1</v>
      </c>
      <c r="F16" s="130">
        <f>SUM(E16*F49)</f>
        <v>6</v>
      </c>
      <c r="G16" s="125"/>
      <c r="H16" s="326"/>
    </row>
    <row r="17" spans="1:8" ht="15.75" customHeight="1">
      <c r="A17" s="476"/>
      <c r="B17" s="473"/>
      <c r="C17" s="122" t="s">
        <v>551</v>
      </c>
      <c r="D17" s="122" t="s">
        <v>111</v>
      </c>
      <c r="E17" s="129">
        <v>2</v>
      </c>
      <c r="F17" s="130">
        <f>SUM(E17*F49)</f>
        <v>12</v>
      </c>
      <c r="G17" s="283"/>
      <c r="H17" s="320"/>
    </row>
    <row r="18" spans="1:8" ht="15.75" customHeight="1">
      <c r="A18" s="476"/>
      <c r="B18" s="473"/>
      <c r="C18" s="122" t="s">
        <v>552</v>
      </c>
      <c r="D18" s="122" t="s">
        <v>111</v>
      </c>
      <c r="E18" s="129">
        <v>2</v>
      </c>
      <c r="F18" s="130">
        <f>SUM(E18*F49)</f>
        <v>12</v>
      </c>
      <c r="G18" s="125"/>
      <c r="H18" s="326"/>
    </row>
    <row r="19" spans="1:8" ht="15.75" customHeight="1">
      <c r="A19" s="476"/>
      <c r="B19" s="473"/>
      <c r="C19" s="122" t="s">
        <v>568</v>
      </c>
      <c r="D19" s="122" t="s">
        <v>118</v>
      </c>
      <c r="E19" s="129">
        <v>1</v>
      </c>
      <c r="F19" s="130">
        <f>SUM(E19*F49)</f>
        <v>6</v>
      </c>
      <c r="G19" s="125"/>
      <c r="H19" s="326"/>
    </row>
    <row r="20" spans="1:8" ht="15.75" customHeight="1">
      <c r="A20" s="476"/>
      <c r="B20" s="473"/>
      <c r="C20" s="122" t="s">
        <v>580</v>
      </c>
      <c r="D20" s="122" t="s">
        <v>242</v>
      </c>
      <c r="E20" s="129">
        <v>2</v>
      </c>
      <c r="F20" s="130">
        <f>SUM(E20*F49)</f>
        <v>12</v>
      </c>
      <c r="G20" s="283"/>
      <c r="H20" s="320"/>
    </row>
    <row r="21" spans="1:8" ht="15.75" customHeight="1">
      <c r="A21" s="476"/>
      <c r="B21" s="473"/>
      <c r="C21" s="122" t="s">
        <v>580</v>
      </c>
      <c r="D21" s="122" t="s">
        <v>111</v>
      </c>
      <c r="E21" s="129">
        <v>1</v>
      </c>
      <c r="F21" s="130">
        <f>SUM(E21*F49)</f>
        <v>6</v>
      </c>
      <c r="G21" s="125"/>
      <c r="H21" s="326"/>
    </row>
    <row r="22" spans="1:8" ht="15.75" customHeight="1">
      <c r="A22" s="476"/>
      <c r="B22" s="473"/>
      <c r="C22" s="122" t="s">
        <v>584</v>
      </c>
      <c r="D22" s="122" t="s">
        <v>192</v>
      </c>
      <c r="E22" s="129">
        <v>1</v>
      </c>
      <c r="F22" s="130">
        <f>SUM(E22*F49)</f>
        <v>6</v>
      </c>
      <c r="G22" s="125"/>
      <c r="H22" s="326"/>
    </row>
    <row r="23" spans="1:8" ht="15.75" customHeight="1">
      <c r="A23" s="476"/>
      <c r="B23" s="473"/>
      <c r="C23" s="122" t="s">
        <v>587</v>
      </c>
      <c r="D23" s="122" t="s">
        <v>588</v>
      </c>
      <c r="E23" s="129">
        <v>1</v>
      </c>
      <c r="F23" s="130">
        <f>SUM(E23*F49)</f>
        <v>6</v>
      </c>
      <c r="G23" s="283"/>
      <c r="H23" s="320"/>
    </row>
    <row r="24" spans="1:8" ht="15.75" customHeight="1">
      <c r="A24" s="476"/>
      <c r="B24" s="473"/>
      <c r="C24" s="122" t="s">
        <v>589</v>
      </c>
      <c r="D24" s="122" t="s">
        <v>588</v>
      </c>
      <c r="E24" s="129">
        <v>1</v>
      </c>
      <c r="F24" s="130">
        <f>SUM(E24*F49)</f>
        <v>6</v>
      </c>
      <c r="G24" s="125"/>
      <c r="H24" s="326"/>
    </row>
    <row r="25" spans="1:8" ht="15.75" customHeight="1">
      <c r="A25" s="476"/>
      <c r="B25" s="473"/>
      <c r="C25" s="122" t="s">
        <v>598</v>
      </c>
      <c r="D25" s="122" t="s">
        <v>251</v>
      </c>
      <c r="E25" s="129">
        <v>8</v>
      </c>
      <c r="F25" s="130">
        <f>SUM(E25*F49)</f>
        <v>48</v>
      </c>
      <c r="G25" s="125"/>
      <c r="H25" s="326"/>
    </row>
    <row r="26" spans="1:8" ht="15.75" customHeight="1">
      <c r="A26" s="476"/>
      <c r="B26" s="473"/>
      <c r="C26" s="122" t="s">
        <v>599</v>
      </c>
      <c r="D26" s="122" t="s">
        <v>251</v>
      </c>
      <c r="E26" s="129">
        <v>4</v>
      </c>
      <c r="F26" s="130">
        <f>SUM(E26*F49)</f>
        <v>24</v>
      </c>
      <c r="G26" s="283"/>
      <c r="H26" s="320"/>
    </row>
    <row r="27" spans="1:8" ht="15.75" customHeight="1">
      <c r="A27" s="476"/>
      <c r="B27" s="473"/>
      <c r="C27" s="122" t="s">
        <v>610</v>
      </c>
      <c r="D27" s="122" t="s">
        <v>118</v>
      </c>
      <c r="E27" s="129">
        <v>12</v>
      </c>
      <c r="F27" s="130">
        <f>SUM(E27*F49)</f>
        <v>72</v>
      </c>
      <c r="G27" s="125"/>
      <c r="H27" s="326"/>
    </row>
    <row r="28" spans="1:8" ht="15.75" customHeight="1">
      <c r="A28" s="476"/>
      <c r="B28" s="473"/>
      <c r="C28" s="122" t="s">
        <v>611</v>
      </c>
      <c r="D28" s="122" t="s">
        <v>118</v>
      </c>
      <c r="E28" s="129">
        <v>5</v>
      </c>
      <c r="F28" s="130">
        <f>SUM(E28*F49)</f>
        <v>30</v>
      </c>
      <c r="G28" s="125"/>
      <c r="H28" s="326"/>
    </row>
    <row r="29" spans="1:8" ht="15.75" customHeight="1">
      <c r="A29" s="476"/>
      <c r="B29" s="473"/>
      <c r="C29" s="122" t="s">
        <v>783</v>
      </c>
      <c r="D29" s="122" t="s">
        <v>118</v>
      </c>
      <c r="E29" s="129">
        <v>4</v>
      </c>
      <c r="F29" s="130">
        <f>SUM(E29*F49)</f>
        <v>24</v>
      </c>
      <c r="G29" s="283"/>
      <c r="H29" s="320"/>
    </row>
    <row r="30" spans="1:8" ht="15.75" customHeight="1">
      <c r="A30" s="476"/>
      <c r="B30" s="473"/>
      <c r="C30" s="122" t="s">
        <v>640</v>
      </c>
      <c r="D30" s="122" t="s">
        <v>335</v>
      </c>
      <c r="E30" s="129">
        <v>3</v>
      </c>
      <c r="F30" s="130">
        <f>SUM(E30*F49)</f>
        <v>18</v>
      </c>
      <c r="G30" s="125"/>
      <c r="H30" s="326"/>
    </row>
    <row r="31" spans="1:8" ht="15.75" customHeight="1">
      <c r="A31" s="476"/>
      <c r="B31" s="473"/>
      <c r="C31" s="122" t="s">
        <v>654</v>
      </c>
      <c r="D31" s="122" t="s">
        <v>288</v>
      </c>
      <c r="E31" s="129">
        <v>2</v>
      </c>
      <c r="F31" s="130">
        <f>SUM(E31*F49)</f>
        <v>12</v>
      </c>
      <c r="G31" s="125"/>
      <c r="H31" s="326"/>
    </row>
    <row r="32" spans="1:8" ht="15.75" customHeight="1">
      <c r="A32" s="476"/>
      <c r="B32" s="473"/>
      <c r="C32" s="122" t="s">
        <v>655</v>
      </c>
      <c r="D32" s="122" t="s">
        <v>288</v>
      </c>
      <c r="E32" s="129">
        <v>2</v>
      </c>
      <c r="F32" s="130">
        <f>SUM(E32*F49)</f>
        <v>12</v>
      </c>
      <c r="G32" s="283"/>
      <c r="H32" s="320"/>
    </row>
    <row r="33" spans="1:8" ht="15.75" customHeight="1">
      <c r="A33" s="476"/>
      <c r="B33" s="473"/>
      <c r="C33" s="122" t="s">
        <v>662</v>
      </c>
      <c r="D33" s="122" t="s">
        <v>192</v>
      </c>
      <c r="E33" s="129">
        <v>6</v>
      </c>
      <c r="F33" s="130">
        <f>SUM(E33*F49)</f>
        <v>36</v>
      </c>
      <c r="G33" s="125"/>
      <c r="H33" s="326"/>
    </row>
    <row r="34" spans="1:8" ht="15.75" customHeight="1">
      <c r="A34" s="476"/>
      <c r="B34" s="473"/>
      <c r="C34" s="122" t="s">
        <v>687</v>
      </c>
      <c r="D34" s="122" t="s">
        <v>118</v>
      </c>
      <c r="E34" s="129">
        <v>1</v>
      </c>
      <c r="F34" s="130">
        <f>SUM(E34*F49)</f>
        <v>6</v>
      </c>
      <c r="G34" s="125"/>
      <c r="H34" s="326"/>
    </row>
    <row r="35" spans="1:8" ht="15.75" customHeight="1">
      <c r="A35" s="476"/>
      <c r="B35" s="473"/>
      <c r="C35" s="122" t="s">
        <v>687</v>
      </c>
      <c r="D35" s="122" t="s">
        <v>157</v>
      </c>
      <c r="E35" s="129">
        <v>1</v>
      </c>
      <c r="F35" s="130">
        <f>SUM(E35*F49)</f>
        <v>6</v>
      </c>
      <c r="G35" s="283"/>
      <c r="H35" s="320"/>
    </row>
    <row r="36" spans="1:8" ht="15.75" customHeight="1">
      <c r="A36" s="476"/>
      <c r="B36" s="473"/>
      <c r="C36" s="122" t="s">
        <v>687</v>
      </c>
      <c r="D36" s="122" t="s">
        <v>242</v>
      </c>
      <c r="E36" s="129">
        <v>1</v>
      </c>
      <c r="F36" s="130">
        <f>SUM(E36*F49)</f>
        <v>6</v>
      </c>
      <c r="G36" s="125"/>
      <c r="H36" s="326"/>
    </row>
    <row r="37" spans="1:8" ht="15.75" customHeight="1">
      <c r="A37" s="476"/>
      <c r="B37" s="473"/>
      <c r="C37" s="122" t="s">
        <v>687</v>
      </c>
      <c r="D37" s="122" t="s">
        <v>111</v>
      </c>
      <c r="E37" s="129">
        <v>1</v>
      </c>
      <c r="F37" s="130">
        <f>SUM(E37*F49)</f>
        <v>6</v>
      </c>
      <c r="G37" s="125"/>
      <c r="H37" s="326"/>
    </row>
    <row r="38" spans="1:8" ht="15.75" customHeight="1">
      <c r="A38" s="476"/>
      <c r="B38" s="473"/>
      <c r="C38" s="122" t="s">
        <v>688</v>
      </c>
      <c r="D38" s="122" t="s">
        <v>118</v>
      </c>
      <c r="E38" s="129">
        <v>1</v>
      </c>
      <c r="F38" s="130">
        <f>SUM(E38*F49)</f>
        <v>6</v>
      </c>
      <c r="G38" s="283"/>
      <c r="H38" s="320"/>
    </row>
    <row r="39" spans="1:8" ht="15.75" customHeight="1">
      <c r="A39" s="476"/>
      <c r="B39" s="473"/>
      <c r="C39" s="122" t="s">
        <v>688</v>
      </c>
      <c r="D39" s="122" t="s">
        <v>111</v>
      </c>
      <c r="E39" s="129">
        <v>1</v>
      </c>
      <c r="F39" s="130">
        <f>SUM(E39*F49)</f>
        <v>6</v>
      </c>
      <c r="G39" s="125"/>
      <c r="H39" s="326"/>
    </row>
    <row r="40" spans="1:8" ht="15.75" customHeight="1">
      <c r="A40" s="476"/>
      <c r="B40" s="473"/>
      <c r="C40" s="122" t="s">
        <v>710</v>
      </c>
      <c r="D40" s="122" t="s">
        <v>303</v>
      </c>
      <c r="E40" s="129">
        <v>1</v>
      </c>
      <c r="F40" s="130">
        <f>SUM(E40*F49)</f>
        <v>6</v>
      </c>
      <c r="G40" s="125"/>
      <c r="H40" s="326"/>
    </row>
    <row r="41" spans="1:8" ht="15.75" customHeight="1">
      <c r="A41" s="476"/>
      <c r="B41" s="473"/>
      <c r="C41" s="122" t="s">
        <v>713</v>
      </c>
      <c r="D41" s="122" t="s">
        <v>303</v>
      </c>
      <c r="E41" s="129">
        <v>1</v>
      </c>
      <c r="F41" s="130">
        <f>SUM(E41*F49)</f>
        <v>6</v>
      </c>
      <c r="G41" s="283"/>
      <c r="H41" s="320"/>
    </row>
    <row r="42" spans="1:8" ht="15.75" customHeight="1">
      <c r="A42" s="476"/>
      <c r="B42" s="473"/>
      <c r="C42" s="122" t="s">
        <v>716</v>
      </c>
      <c r="D42" s="122" t="s">
        <v>288</v>
      </c>
      <c r="E42" s="129">
        <v>1</v>
      </c>
      <c r="F42" s="130">
        <f>SUM(E42*F49)</f>
        <v>6</v>
      </c>
      <c r="G42" s="125"/>
      <c r="H42" s="326"/>
    </row>
    <row r="43" spans="1:8" ht="15.75" customHeight="1">
      <c r="A43" s="476"/>
      <c r="B43" s="473"/>
      <c r="C43" s="122" t="s">
        <v>716</v>
      </c>
      <c r="D43" s="122" t="s">
        <v>242</v>
      </c>
      <c r="E43" s="129">
        <v>1</v>
      </c>
      <c r="F43" s="130">
        <f>SUM(E43*F49)</f>
        <v>6</v>
      </c>
      <c r="G43" s="125"/>
      <c r="H43" s="326"/>
    </row>
    <row r="44" spans="1:8" ht="15.75" customHeight="1">
      <c r="A44" s="476"/>
      <c r="B44" s="473"/>
      <c r="C44" s="122" t="s">
        <v>717</v>
      </c>
      <c r="D44" s="122" t="s">
        <v>242</v>
      </c>
      <c r="E44" s="129">
        <v>1</v>
      </c>
      <c r="F44" s="130">
        <f>SUM(E44*F49)</f>
        <v>6</v>
      </c>
      <c r="G44" s="125"/>
      <c r="H44" s="326"/>
    </row>
    <row r="45" spans="1:8" ht="13.5" thickBot="1">
      <c r="A45" s="477"/>
      <c r="B45" s="474"/>
      <c r="C45" s="122" t="s">
        <v>438</v>
      </c>
      <c r="D45" s="122" t="s">
        <v>440</v>
      </c>
      <c r="E45" s="129">
        <v>1</v>
      </c>
      <c r="F45" s="130">
        <f>SUM(E45*F49)</f>
        <v>6</v>
      </c>
      <c r="G45" s="126"/>
      <c r="H45" s="328"/>
    </row>
    <row r="46" spans="1:8" ht="12.75">
      <c r="A46" s="123"/>
      <c r="B46" s="51"/>
      <c r="C46" s="1"/>
      <c r="D46" s="1"/>
      <c r="E46" s="1"/>
      <c r="F46" s="13" t="s">
        <v>770</v>
      </c>
    </row>
    <row r="47" spans="1:8" ht="12.75">
      <c r="A47" s="123"/>
      <c r="B47" s="51"/>
      <c r="C47" s="1"/>
      <c r="D47" s="1"/>
      <c r="E47" s="1"/>
      <c r="F47" s="175">
        <f>SUM(E4:E45)</f>
        <v>101</v>
      </c>
    </row>
    <row r="48" spans="1:8" ht="12.75">
      <c r="A48" s="123"/>
      <c r="B48" s="51"/>
      <c r="C48" s="1"/>
      <c r="D48" s="1"/>
      <c r="E48" s="1"/>
      <c r="F48" s="12" t="s">
        <v>773</v>
      </c>
    </row>
    <row r="49" spans="1:8" ht="12.75">
      <c r="A49" s="123"/>
      <c r="B49" s="51"/>
      <c r="C49" s="1"/>
      <c r="D49" s="1"/>
      <c r="E49" s="1"/>
      <c r="F49" s="7">
        <v>6</v>
      </c>
    </row>
    <row r="50" spans="1:8" ht="13.5" thickBot="1">
      <c r="A50" s="123"/>
      <c r="B50" s="51"/>
      <c r="C50" s="1"/>
      <c r="D50" s="1"/>
      <c r="E50" s="1"/>
      <c r="F50" s="10"/>
    </row>
    <row r="51" spans="1:8" ht="15.75" customHeight="1">
      <c r="A51" s="13" t="s">
        <v>1035</v>
      </c>
      <c r="B51" s="13" t="s">
        <v>1127</v>
      </c>
      <c r="C51" s="13" t="s">
        <v>747</v>
      </c>
      <c r="D51" s="13" t="s">
        <v>106</v>
      </c>
      <c r="E51" s="13" t="s">
        <v>782</v>
      </c>
      <c r="F51" s="71" t="s">
        <v>769</v>
      </c>
      <c r="G51" s="330" t="s">
        <v>1707</v>
      </c>
      <c r="H51" s="331" t="s">
        <v>1166</v>
      </c>
    </row>
    <row r="52" spans="1:8" ht="15.75" customHeight="1">
      <c r="A52" s="478" t="s">
        <v>1131</v>
      </c>
      <c r="B52" s="481" t="s">
        <v>784</v>
      </c>
      <c r="C52" s="5" t="s">
        <v>145</v>
      </c>
      <c r="D52" s="5" t="s">
        <v>875</v>
      </c>
      <c r="E52" s="5">
        <v>2</v>
      </c>
      <c r="F52" s="50">
        <f>SUM(E52*F87)</f>
        <v>12</v>
      </c>
      <c r="G52" s="283"/>
      <c r="H52" s="319"/>
    </row>
    <row r="53" spans="1:8" ht="15.75" customHeight="1">
      <c r="A53" s="479"/>
      <c r="B53" s="482"/>
      <c r="C53" s="5" t="s">
        <v>37</v>
      </c>
      <c r="D53" s="5" t="s">
        <v>245</v>
      </c>
      <c r="E53" s="5">
        <v>1</v>
      </c>
      <c r="F53" s="50">
        <f>SUM(E53*F87)</f>
        <v>6</v>
      </c>
      <c r="G53" s="324"/>
      <c r="H53" s="319"/>
    </row>
    <row r="54" spans="1:8" ht="15.75" customHeight="1">
      <c r="A54" s="479"/>
      <c r="B54" s="482"/>
      <c r="C54" s="5" t="s">
        <v>771</v>
      </c>
      <c r="D54" s="5" t="s">
        <v>251</v>
      </c>
      <c r="E54" s="5">
        <v>1</v>
      </c>
      <c r="F54" s="50">
        <f>SUM(E54*F87)</f>
        <v>6</v>
      </c>
      <c r="G54" s="324"/>
      <c r="H54" s="319"/>
    </row>
    <row r="55" spans="1:8" ht="15.75" customHeight="1">
      <c r="A55" s="479"/>
      <c r="B55" s="482"/>
      <c r="C55" s="5" t="s">
        <v>252</v>
      </c>
      <c r="D55" s="5" t="s">
        <v>251</v>
      </c>
      <c r="E55" s="5">
        <v>1</v>
      </c>
      <c r="F55" s="50">
        <f>SUM(E55*F87)</f>
        <v>6</v>
      </c>
      <c r="G55" s="324"/>
      <c r="H55" s="320"/>
    </row>
    <row r="56" spans="1:8" ht="15.75" customHeight="1">
      <c r="A56" s="479"/>
      <c r="B56" s="482"/>
      <c r="C56" s="5" t="s">
        <v>291</v>
      </c>
      <c r="D56" s="5" t="s">
        <v>293</v>
      </c>
      <c r="E56" s="5">
        <v>1</v>
      </c>
      <c r="F56" s="50">
        <f>SUM(E56*F87)</f>
        <v>6</v>
      </c>
      <c r="G56" s="125"/>
      <c r="H56" s="326"/>
    </row>
    <row r="57" spans="1:8" ht="15.75" customHeight="1">
      <c r="A57" s="479"/>
      <c r="B57" s="482"/>
      <c r="C57" s="5" t="s">
        <v>291</v>
      </c>
      <c r="D57" s="5" t="s">
        <v>772</v>
      </c>
      <c r="E57" s="5">
        <v>1</v>
      </c>
      <c r="F57" s="50">
        <f>SUM(E57*F87)</f>
        <v>6</v>
      </c>
      <c r="G57" s="283"/>
      <c r="H57" s="320"/>
    </row>
    <row r="58" spans="1:8" ht="15.75" customHeight="1">
      <c r="A58" s="479"/>
      <c r="B58" s="482"/>
      <c r="C58" s="5" t="s">
        <v>526</v>
      </c>
      <c r="D58" s="5" t="s">
        <v>257</v>
      </c>
      <c r="E58" s="5">
        <v>4</v>
      </c>
      <c r="F58" s="50">
        <f>SUM(E58*F87)</f>
        <v>24</v>
      </c>
      <c r="G58" s="125"/>
      <c r="H58" s="326"/>
    </row>
    <row r="59" spans="1:8" ht="15.75" customHeight="1">
      <c r="A59" s="479"/>
      <c r="B59" s="482"/>
      <c r="C59" s="5" t="s">
        <v>526</v>
      </c>
      <c r="D59" s="5" t="s">
        <v>286</v>
      </c>
      <c r="E59" s="5">
        <v>2</v>
      </c>
      <c r="F59" s="50">
        <f>SUM(E59*F87)</f>
        <v>12</v>
      </c>
      <c r="G59" s="125"/>
      <c r="H59" s="326"/>
    </row>
    <row r="60" spans="1:8" ht="15.75" customHeight="1">
      <c r="A60" s="479"/>
      <c r="B60" s="482"/>
      <c r="C60" s="5" t="s">
        <v>528</v>
      </c>
      <c r="D60" s="5" t="s">
        <v>242</v>
      </c>
      <c r="E60" s="5">
        <v>2</v>
      </c>
      <c r="F60" s="50">
        <f>SUM(E60*F87)</f>
        <v>12</v>
      </c>
      <c r="G60" s="125"/>
      <c r="H60" s="326"/>
    </row>
    <row r="61" spans="1:8" ht="15.75" customHeight="1">
      <c r="A61" s="479"/>
      <c r="B61" s="482"/>
      <c r="C61" s="5" t="s">
        <v>774</v>
      </c>
      <c r="D61" s="5" t="s">
        <v>533</v>
      </c>
      <c r="E61" s="5">
        <v>10</v>
      </c>
      <c r="F61" s="50">
        <f>SUM(E61*F87)</f>
        <v>60</v>
      </c>
      <c r="G61" s="125"/>
      <c r="H61" s="326"/>
    </row>
    <row r="62" spans="1:8" ht="15.75" customHeight="1">
      <c r="A62" s="479"/>
      <c r="B62" s="482"/>
      <c r="C62" s="5" t="s">
        <v>778</v>
      </c>
      <c r="D62" s="5" t="s">
        <v>111</v>
      </c>
      <c r="E62" s="5">
        <v>1</v>
      </c>
      <c r="F62" s="50">
        <f>SUM(E62*F87)</f>
        <v>6</v>
      </c>
      <c r="G62" s="125"/>
      <c r="H62" s="326"/>
    </row>
    <row r="63" spans="1:8" ht="15.75" customHeight="1">
      <c r="A63" s="479"/>
      <c r="B63" s="482"/>
      <c r="C63" s="5" t="s">
        <v>551</v>
      </c>
      <c r="D63" s="5" t="s">
        <v>111</v>
      </c>
      <c r="E63" s="5">
        <v>2</v>
      </c>
      <c r="F63" s="50">
        <f>SUM(E63*F87)</f>
        <v>12</v>
      </c>
      <c r="G63" s="125"/>
      <c r="H63" s="326"/>
    </row>
    <row r="64" spans="1:8" ht="15.75" customHeight="1">
      <c r="A64" s="479"/>
      <c r="B64" s="482"/>
      <c r="C64" s="5" t="s">
        <v>552</v>
      </c>
      <c r="D64" s="5" t="s">
        <v>111</v>
      </c>
      <c r="E64" s="5">
        <v>2</v>
      </c>
      <c r="F64" s="50">
        <f>SUM(E64*F87)</f>
        <v>12</v>
      </c>
      <c r="G64" s="125"/>
      <c r="H64" s="326"/>
    </row>
    <row r="65" spans="1:8" ht="15.75" customHeight="1">
      <c r="A65" s="479"/>
      <c r="B65" s="482"/>
      <c r="C65" s="5" t="s">
        <v>568</v>
      </c>
      <c r="D65" s="5" t="s">
        <v>118</v>
      </c>
      <c r="E65" s="5">
        <v>1</v>
      </c>
      <c r="F65" s="50">
        <f>SUM(E65*F87)</f>
        <v>6</v>
      </c>
      <c r="G65" s="125"/>
      <c r="H65" s="326"/>
    </row>
    <row r="66" spans="1:8" ht="15.75" customHeight="1">
      <c r="A66" s="479"/>
      <c r="B66" s="482"/>
      <c r="C66" s="5" t="s">
        <v>580</v>
      </c>
      <c r="D66" s="5" t="s">
        <v>242</v>
      </c>
      <c r="E66" s="5">
        <v>2</v>
      </c>
      <c r="F66" s="50">
        <f>SUM(E66*F87)</f>
        <v>12</v>
      </c>
      <c r="G66" s="125"/>
      <c r="H66" s="326"/>
    </row>
    <row r="67" spans="1:8" ht="15.75" customHeight="1">
      <c r="A67" s="479"/>
      <c r="B67" s="482"/>
      <c r="C67" s="5" t="s">
        <v>589</v>
      </c>
      <c r="D67" s="5" t="s">
        <v>588</v>
      </c>
      <c r="E67" s="5">
        <v>1</v>
      </c>
      <c r="F67" s="50">
        <f>SUM(E67*F87)</f>
        <v>6</v>
      </c>
      <c r="G67" s="125"/>
      <c r="H67" s="326"/>
    </row>
    <row r="68" spans="1:8" ht="15.75" customHeight="1">
      <c r="A68" s="479"/>
      <c r="B68" s="482"/>
      <c r="C68" s="5" t="s">
        <v>591</v>
      </c>
      <c r="D68" s="5" t="s">
        <v>157</v>
      </c>
      <c r="E68" s="5">
        <v>2</v>
      </c>
      <c r="F68" s="50">
        <f>SUM(E68*F87)</f>
        <v>12</v>
      </c>
      <c r="G68" s="125"/>
      <c r="H68" s="326"/>
    </row>
    <row r="69" spans="1:8" ht="15.75" customHeight="1">
      <c r="A69" s="479"/>
      <c r="B69" s="482"/>
      <c r="C69" s="5" t="s">
        <v>598</v>
      </c>
      <c r="D69" s="5" t="s">
        <v>251</v>
      </c>
      <c r="E69" s="5">
        <v>8</v>
      </c>
      <c r="F69" s="50">
        <f>SUM(E69*F87)</f>
        <v>48</v>
      </c>
      <c r="G69" s="125"/>
      <c r="H69" s="326"/>
    </row>
    <row r="70" spans="1:8" ht="15.75" customHeight="1">
      <c r="A70" s="479"/>
      <c r="B70" s="482"/>
      <c r="C70" s="5" t="s">
        <v>599</v>
      </c>
      <c r="D70" s="5" t="s">
        <v>251</v>
      </c>
      <c r="E70" s="5">
        <v>4</v>
      </c>
      <c r="F70" s="50">
        <f>SUM(E70*F87)</f>
        <v>24</v>
      </c>
      <c r="G70" s="125"/>
      <c r="H70" s="326"/>
    </row>
    <row r="71" spans="1:8" ht="15.75" customHeight="1">
      <c r="A71" s="479"/>
      <c r="B71" s="482"/>
      <c r="C71" s="5" t="s">
        <v>610</v>
      </c>
      <c r="D71" s="5" t="s">
        <v>118</v>
      </c>
      <c r="E71" s="5">
        <v>10</v>
      </c>
      <c r="F71" s="50">
        <f>SUM(E71*F87)</f>
        <v>60</v>
      </c>
      <c r="G71" s="125"/>
      <c r="H71" s="326"/>
    </row>
    <row r="72" spans="1:8" ht="15.75" customHeight="1">
      <c r="A72" s="479"/>
      <c r="B72" s="482"/>
      <c r="C72" s="5" t="s">
        <v>611</v>
      </c>
      <c r="D72" s="5" t="s">
        <v>118</v>
      </c>
      <c r="E72" s="5">
        <v>4</v>
      </c>
      <c r="F72" s="50">
        <f>SUM(E72*F87)</f>
        <v>24</v>
      </c>
      <c r="G72" s="125"/>
      <c r="H72" s="326"/>
    </row>
    <row r="73" spans="1:8" ht="15.75" customHeight="1">
      <c r="A73" s="479"/>
      <c r="B73" s="482"/>
      <c r="C73" s="5" t="s">
        <v>783</v>
      </c>
      <c r="D73" s="5" t="s">
        <v>118</v>
      </c>
      <c r="E73" s="5">
        <v>4</v>
      </c>
      <c r="F73" s="50">
        <f>SUM(E73*F87)</f>
        <v>24</v>
      </c>
      <c r="G73" s="125"/>
      <c r="H73" s="326"/>
    </row>
    <row r="74" spans="1:8" ht="15.75" customHeight="1">
      <c r="A74" s="479"/>
      <c r="B74" s="482"/>
      <c r="C74" s="5" t="s">
        <v>662</v>
      </c>
      <c r="D74" s="5" t="s">
        <v>192</v>
      </c>
      <c r="E74" s="5">
        <v>2</v>
      </c>
      <c r="F74" s="50">
        <f>SUM(E74*F87)</f>
        <v>12</v>
      </c>
      <c r="G74" s="125"/>
      <c r="H74" s="326"/>
    </row>
    <row r="75" spans="1:8" ht="15.75" customHeight="1">
      <c r="A75" s="479"/>
      <c r="B75" s="482"/>
      <c r="C75" s="5" t="s">
        <v>687</v>
      </c>
      <c r="D75" s="5" t="s">
        <v>118</v>
      </c>
      <c r="E75" s="5">
        <v>1</v>
      </c>
      <c r="F75" s="50">
        <f>SUM(E75*F87)</f>
        <v>6</v>
      </c>
      <c r="G75" s="125"/>
      <c r="H75" s="326"/>
    </row>
    <row r="76" spans="1:8" ht="15.75" customHeight="1">
      <c r="A76" s="479"/>
      <c r="B76" s="482"/>
      <c r="C76" s="5" t="s">
        <v>687</v>
      </c>
      <c r="D76" s="5" t="s">
        <v>157</v>
      </c>
      <c r="E76" s="5">
        <v>1</v>
      </c>
      <c r="F76" s="50">
        <f>SUM(E76*F87)</f>
        <v>6</v>
      </c>
      <c r="G76" s="125"/>
      <c r="H76" s="326"/>
    </row>
    <row r="77" spans="1:8" ht="15.75" customHeight="1">
      <c r="A77" s="479"/>
      <c r="B77" s="482"/>
      <c r="C77" s="5" t="s">
        <v>687</v>
      </c>
      <c r="D77" s="5" t="s">
        <v>242</v>
      </c>
      <c r="E77" s="5">
        <v>1</v>
      </c>
      <c r="F77" s="50">
        <f>SUM(E77*F87)</f>
        <v>6</v>
      </c>
      <c r="G77" s="125"/>
      <c r="H77" s="326"/>
    </row>
    <row r="78" spans="1:8" ht="15.75" customHeight="1">
      <c r="A78" s="479"/>
      <c r="B78" s="482"/>
      <c r="C78" s="5" t="s">
        <v>688</v>
      </c>
      <c r="D78" s="5" t="s">
        <v>118</v>
      </c>
      <c r="E78" s="5">
        <v>1</v>
      </c>
      <c r="F78" s="50">
        <f>SUM(E78*F87)</f>
        <v>6</v>
      </c>
      <c r="G78" s="125"/>
      <c r="H78" s="326"/>
    </row>
    <row r="79" spans="1:8" ht="15.75" customHeight="1">
      <c r="A79" s="479"/>
      <c r="B79" s="482"/>
      <c r="C79" s="5" t="s">
        <v>710</v>
      </c>
      <c r="D79" s="5" t="s">
        <v>303</v>
      </c>
      <c r="E79" s="5">
        <v>1</v>
      </c>
      <c r="F79" s="50">
        <f>SUM(E79*F87)</f>
        <v>6</v>
      </c>
      <c r="G79" s="125"/>
      <c r="H79" s="326"/>
    </row>
    <row r="80" spans="1:8" ht="15.75" customHeight="1">
      <c r="A80" s="479"/>
      <c r="B80" s="482"/>
      <c r="C80" s="5" t="s">
        <v>713</v>
      </c>
      <c r="D80" s="5" t="s">
        <v>303</v>
      </c>
      <c r="E80" s="5">
        <v>1</v>
      </c>
      <c r="F80" s="50">
        <f>SUM(E80*F87)</f>
        <v>6</v>
      </c>
      <c r="G80" s="125"/>
      <c r="H80" s="326"/>
    </row>
    <row r="81" spans="1:8" ht="15.75" customHeight="1">
      <c r="A81" s="479"/>
      <c r="B81" s="482"/>
      <c r="C81" s="5" t="s">
        <v>716</v>
      </c>
      <c r="D81" s="5" t="s">
        <v>242</v>
      </c>
      <c r="E81" s="5">
        <v>1</v>
      </c>
      <c r="F81" s="50">
        <f>SUM(E81*F87)</f>
        <v>6</v>
      </c>
      <c r="G81" s="125"/>
      <c r="H81" s="326"/>
    </row>
    <row r="82" spans="1:8" ht="15.75" customHeight="1">
      <c r="A82" s="479"/>
      <c r="B82" s="482"/>
      <c r="C82" s="5" t="s">
        <v>717</v>
      </c>
      <c r="D82" s="5" t="s">
        <v>242</v>
      </c>
      <c r="E82" s="5">
        <v>1</v>
      </c>
      <c r="F82" s="50">
        <f>SUM(E82*F87)</f>
        <v>6</v>
      </c>
      <c r="G82" s="125"/>
      <c r="H82" s="326"/>
    </row>
    <row r="83" spans="1:8" ht="15.75" customHeight="1" thickBot="1">
      <c r="A83" s="479"/>
      <c r="B83" s="482"/>
      <c r="C83" s="5" t="s">
        <v>438</v>
      </c>
      <c r="D83" s="3" t="s">
        <v>441</v>
      </c>
      <c r="E83" s="3">
        <v>1</v>
      </c>
      <c r="F83" s="50">
        <f>SUM(E83*F87)</f>
        <v>6</v>
      </c>
      <c r="G83" s="126"/>
      <c r="H83" s="328"/>
    </row>
    <row r="84" spans="1:8" ht="15.75" customHeight="1">
      <c r="A84" s="479"/>
      <c r="B84" s="482"/>
      <c r="C84" s="1"/>
      <c r="D84" s="1"/>
      <c r="E84" s="1"/>
      <c r="F84" s="13" t="s">
        <v>770</v>
      </c>
    </row>
    <row r="85" spans="1:8" ht="15.75" customHeight="1">
      <c r="A85" s="479"/>
      <c r="B85" s="482"/>
      <c r="C85" s="1"/>
      <c r="D85" s="1"/>
      <c r="E85" s="1"/>
      <c r="F85" s="7">
        <f>SUM(E52:E82)</f>
        <v>76</v>
      </c>
    </row>
    <row r="86" spans="1:8" ht="15.75" customHeight="1">
      <c r="A86" s="479"/>
      <c r="B86" s="482"/>
      <c r="C86" s="1"/>
      <c r="D86" s="1"/>
      <c r="E86" s="1"/>
      <c r="F86" s="12" t="s">
        <v>773</v>
      </c>
    </row>
    <row r="87" spans="1:8" ht="15.75" customHeight="1">
      <c r="A87" s="479"/>
      <c r="B87" s="482"/>
      <c r="C87" s="1"/>
      <c r="D87" s="1"/>
      <c r="E87" s="1"/>
      <c r="F87" s="7">
        <v>6</v>
      </c>
    </row>
    <row r="88" spans="1:8" ht="15.75" customHeight="1" thickBot="1">
      <c r="A88" s="480"/>
      <c r="B88" s="483"/>
    </row>
    <row r="89" spans="1:8" ht="15.75" customHeight="1">
      <c r="A89" s="72" t="s">
        <v>1035</v>
      </c>
      <c r="B89" s="72" t="s">
        <v>1127</v>
      </c>
      <c r="C89" s="13" t="s">
        <v>747</v>
      </c>
      <c r="D89" s="13" t="s">
        <v>106</v>
      </c>
      <c r="E89" s="13" t="s">
        <v>782</v>
      </c>
      <c r="F89" s="71" t="s">
        <v>769</v>
      </c>
      <c r="G89" s="330" t="s">
        <v>1707</v>
      </c>
      <c r="H89" s="331" t="s">
        <v>1166</v>
      </c>
    </row>
    <row r="90" spans="1:8" ht="15.75" customHeight="1">
      <c r="A90" s="468" t="s">
        <v>1132</v>
      </c>
      <c r="B90" s="484" t="s">
        <v>785</v>
      </c>
      <c r="C90" s="34" t="s">
        <v>145</v>
      </c>
      <c r="D90" s="5" t="s">
        <v>907</v>
      </c>
      <c r="E90" s="5">
        <v>2</v>
      </c>
      <c r="F90" s="50">
        <f>SUM(E90*F121)</f>
        <v>24</v>
      </c>
      <c r="G90" s="283"/>
      <c r="H90" s="319"/>
    </row>
    <row r="91" spans="1:8" ht="15.75" customHeight="1">
      <c r="A91" s="468"/>
      <c r="B91" s="484"/>
      <c r="C91" s="34" t="s">
        <v>145</v>
      </c>
      <c r="D91" s="5" t="s">
        <v>876</v>
      </c>
      <c r="E91" s="5">
        <v>2</v>
      </c>
      <c r="F91" s="50">
        <f>SUM(E91*F121)</f>
        <v>24</v>
      </c>
      <c r="G91" s="324"/>
      <c r="H91" s="319"/>
    </row>
    <row r="92" spans="1:8" ht="15.75" customHeight="1">
      <c r="A92" s="468"/>
      <c r="B92" s="484"/>
      <c r="C92" s="34" t="s">
        <v>189</v>
      </c>
      <c r="D92" s="5" t="s">
        <v>909</v>
      </c>
      <c r="E92" s="5">
        <v>2</v>
      </c>
      <c r="F92" s="50">
        <f>SUM(E92*F121)</f>
        <v>24</v>
      </c>
      <c r="G92" s="324"/>
      <c r="H92" s="319"/>
    </row>
    <row r="93" spans="1:8" ht="12.75">
      <c r="A93" s="468"/>
      <c r="B93" s="484"/>
      <c r="C93" s="34" t="s">
        <v>771</v>
      </c>
      <c r="D93" s="5" t="s">
        <v>251</v>
      </c>
      <c r="E93" s="5">
        <v>1</v>
      </c>
      <c r="F93" s="50">
        <f>SUM(E93*F121)</f>
        <v>12</v>
      </c>
      <c r="G93" s="324"/>
      <c r="H93" s="320"/>
    </row>
    <row r="94" spans="1:8" ht="15.75" customHeight="1">
      <c r="A94" s="468"/>
      <c r="B94" s="484"/>
      <c r="C94" s="34" t="s">
        <v>252</v>
      </c>
      <c r="D94" s="5" t="s">
        <v>251</v>
      </c>
      <c r="E94" s="5">
        <v>1</v>
      </c>
      <c r="F94" s="50">
        <f>SUM(E94*F121)</f>
        <v>12</v>
      </c>
      <c r="G94" s="324"/>
      <c r="H94" s="319"/>
    </row>
    <row r="95" spans="1:8" ht="15.75" customHeight="1">
      <c r="A95" s="468"/>
      <c r="B95" s="484"/>
      <c r="C95" s="34" t="s">
        <v>291</v>
      </c>
      <c r="D95" s="5" t="s">
        <v>772</v>
      </c>
      <c r="E95" s="5">
        <v>1</v>
      </c>
      <c r="F95" s="50">
        <f>SUM(E95*F121)</f>
        <v>12</v>
      </c>
      <c r="G95" s="324"/>
      <c r="H95" s="320"/>
    </row>
    <row r="96" spans="1:8" ht="15.75" customHeight="1">
      <c r="A96" s="468"/>
      <c r="B96" s="484"/>
      <c r="C96" s="34" t="s">
        <v>522</v>
      </c>
      <c r="D96" s="5" t="s">
        <v>251</v>
      </c>
      <c r="E96" s="5">
        <v>1</v>
      </c>
      <c r="F96" s="50">
        <f>SUM(E96*F121)</f>
        <v>12</v>
      </c>
      <c r="G96" s="324"/>
      <c r="H96" s="319"/>
    </row>
    <row r="97" spans="1:8" ht="15.75" customHeight="1">
      <c r="A97" s="468"/>
      <c r="B97" s="484"/>
      <c r="C97" s="34" t="s">
        <v>523</v>
      </c>
      <c r="D97" s="5" t="s">
        <v>251</v>
      </c>
      <c r="E97" s="5">
        <v>1</v>
      </c>
      <c r="F97" s="50">
        <f>SUM(E97*F121)</f>
        <v>12</v>
      </c>
      <c r="G97" s="324"/>
      <c r="H97" s="320"/>
    </row>
    <row r="98" spans="1:8" ht="15.75" customHeight="1">
      <c r="A98" s="468"/>
      <c r="B98" s="484"/>
      <c r="C98" s="34" t="s">
        <v>526</v>
      </c>
      <c r="D98" s="5" t="s">
        <v>257</v>
      </c>
      <c r="E98" s="5">
        <v>2</v>
      </c>
      <c r="F98" s="50">
        <f>SUM(E98*F121)</f>
        <v>24</v>
      </c>
      <c r="G98" s="324"/>
      <c r="H98" s="319"/>
    </row>
    <row r="99" spans="1:8" ht="15.75" customHeight="1">
      <c r="A99" s="468"/>
      <c r="B99" s="484"/>
      <c r="C99" s="34" t="s">
        <v>528</v>
      </c>
      <c r="D99" s="5" t="s">
        <v>113</v>
      </c>
      <c r="E99" s="5">
        <v>1</v>
      </c>
      <c r="F99" s="50">
        <f>SUM(E99*F121)</f>
        <v>12</v>
      </c>
      <c r="G99" s="324"/>
      <c r="H99" s="320"/>
    </row>
    <row r="100" spans="1:8" ht="15.75" customHeight="1">
      <c r="A100" s="468"/>
      <c r="B100" s="484"/>
      <c r="C100" s="34" t="s">
        <v>528</v>
      </c>
      <c r="D100" s="5" t="s">
        <v>118</v>
      </c>
      <c r="E100" s="5">
        <v>1</v>
      </c>
      <c r="F100" s="50">
        <f>SUM(E100*F121)</f>
        <v>12</v>
      </c>
      <c r="G100" s="324"/>
      <c r="H100" s="319"/>
    </row>
    <row r="101" spans="1:8" ht="15.75" customHeight="1">
      <c r="A101" s="468"/>
      <c r="B101" s="484"/>
      <c r="C101" s="34" t="s">
        <v>774</v>
      </c>
      <c r="D101" s="5" t="s">
        <v>533</v>
      </c>
      <c r="E101" s="5">
        <v>7</v>
      </c>
      <c r="F101" s="50">
        <f>SUM(E101*F121)</f>
        <v>84</v>
      </c>
      <c r="G101" s="324"/>
      <c r="H101" s="320"/>
    </row>
    <row r="102" spans="1:8" ht="15.75" customHeight="1">
      <c r="A102" s="468"/>
      <c r="B102" s="484"/>
      <c r="C102" s="34" t="s">
        <v>580</v>
      </c>
      <c r="D102" s="5" t="s">
        <v>118</v>
      </c>
      <c r="E102" s="5">
        <v>1</v>
      </c>
      <c r="F102" s="50">
        <f>SUM(E102*F121)</f>
        <v>12</v>
      </c>
      <c r="G102" s="324"/>
      <c r="H102" s="319"/>
    </row>
    <row r="103" spans="1:8" ht="15.75" customHeight="1">
      <c r="A103" s="468"/>
      <c r="B103" s="484"/>
      <c r="C103" s="34" t="s">
        <v>598</v>
      </c>
      <c r="D103" s="5" t="s">
        <v>251</v>
      </c>
      <c r="E103" s="5">
        <v>5</v>
      </c>
      <c r="F103" s="50">
        <f>SUM(E103*F121)</f>
        <v>60</v>
      </c>
      <c r="G103" s="324"/>
      <c r="H103" s="320"/>
    </row>
    <row r="104" spans="1:8" ht="15.75" customHeight="1">
      <c r="A104" s="468"/>
      <c r="B104" s="484"/>
      <c r="C104" s="34" t="s">
        <v>599</v>
      </c>
      <c r="D104" s="5" t="s">
        <v>251</v>
      </c>
      <c r="E104" s="5">
        <v>5</v>
      </c>
      <c r="F104" s="50">
        <f>SUM(E104*F121)</f>
        <v>60</v>
      </c>
      <c r="G104" s="324"/>
      <c r="H104" s="319"/>
    </row>
    <row r="105" spans="1:8" ht="15.75" customHeight="1">
      <c r="A105" s="468"/>
      <c r="B105" s="484"/>
      <c r="C105" s="34" t="s">
        <v>610</v>
      </c>
      <c r="D105" s="5" t="s">
        <v>113</v>
      </c>
      <c r="E105" s="5">
        <v>4</v>
      </c>
      <c r="F105" s="50">
        <f>SUM(E105*F121)</f>
        <v>48</v>
      </c>
      <c r="G105" s="324"/>
      <c r="H105" s="320"/>
    </row>
    <row r="106" spans="1:8" ht="15.75" customHeight="1">
      <c r="A106" s="468"/>
      <c r="B106" s="484"/>
      <c r="C106" s="34" t="s">
        <v>611</v>
      </c>
      <c r="D106" s="5" t="s">
        <v>113</v>
      </c>
      <c r="E106" s="5">
        <v>1</v>
      </c>
      <c r="F106" s="50">
        <f>SUM(E106*F121)</f>
        <v>12</v>
      </c>
      <c r="G106" s="324"/>
      <c r="H106" s="319"/>
    </row>
    <row r="107" spans="1:8" ht="15.75" customHeight="1">
      <c r="A107" s="468"/>
      <c r="B107" s="484"/>
      <c r="C107" s="34" t="s">
        <v>783</v>
      </c>
      <c r="D107" s="5" t="s">
        <v>113</v>
      </c>
      <c r="E107" s="5">
        <v>2</v>
      </c>
      <c r="F107" s="50">
        <f>SUM(E107*F121)</f>
        <v>24</v>
      </c>
      <c r="G107" s="324"/>
      <c r="H107" s="320"/>
    </row>
    <row r="108" spans="1:8" ht="15.75" customHeight="1">
      <c r="A108" s="468"/>
      <c r="B108" s="484"/>
      <c r="C108" s="34" t="s">
        <v>775</v>
      </c>
      <c r="D108" s="5" t="s">
        <v>118</v>
      </c>
      <c r="E108" s="5">
        <v>1</v>
      </c>
      <c r="F108" s="50">
        <f>SUM(E108*F121)</f>
        <v>12</v>
      </c>
      <c r="G108" s="324"/>
      <c r="H108" s="319"/>
    </row>
    <row r="109" spans="1:8" ht="15.75" customHeight="1">
      <c r="A109" s="468"/>
      <c r="B109" s="484"/>
      <c r="C109" s="34" t="s">
        <v>687</v>
      </c>
      <c r="D109" s="5" t="s">
        <v>118</v>
      </c>
      <c r="E109" s="5">
        <v>1</v>
      </c>
      <c r="F109" s="50">
        <f>SUM(E109*F121)</f>
        <v>12</v>
      </c>
      <c r="G109" s="324"/>
      <c r="H109" s="320"/>
    </row>
    <row r="110" spans="1:8" ht="15.75" customHeight="1">
      <c r="A110" s="468"/>
      <c r="B110" s="484"/>
      <c r="C110" s="34" t="s">
        <v>687</v>
      </c>
      <c r="D110" s="5" t="s">
        <v>242</v>
      </c>
      <c r="E110" s="5">
        <v>1</v>
      </c>
      <c r="F110" s="50">
        <f>SUM(E110*F121)</f>
        <v>12</v>
      </c>
      <c r="G110" s="324"/>
      <c r="H110" s="319"/>
    </row>
    <row r="111" spans="1:8" ht="15.75" customHeight="1">
      <c r="A111" s="468"/>
      <c r="B111" s="484"/>
      <c r="C111" s="34" t="s">
        <v>688</v>
      </c>
      <c r="D111" s="5" t="s">
        <v>242</v>
      </c>
      <c r="E111" s="5">
        <v>1</v>
      </c>
      <c r="F111" s="50">
        <f>SUM(E111*F121)</f>
        <v>12</v>
      </c>
      <c r="G111" s="324"/>
      <c r="H111" s="320"/>
    </row>
    <row r="112" spans="1:8" ht="15.75" customHeight="1">
      <c r="A112" s="468"/>
      <c r="B112" s="484"/>
      <c r="C112" s="34" t="s">
        <v>710</v>
      </c>
      <c r="D112" s="5" t="s">
        <v>303</v>
      </c>
      <c r="E112" s="5">
        <v>1</v>
      </c>
      <c r="F112" s="50">
        <f>SUM(E112*F121)</f>
        <v>12</v>
      </c>
      <c r="G112" s="324"/>
      <c r="H112" s="319"/>
    </row>
    <row r="113" spans="1:8" ht="15.75" customHeight="1">
      <c r="A113" s="468"/>
      <c r="B113" s="484"/>
      <c r="C113" s="34" t="s">
        <v>713</v>
      </c>
      <c r="D113" s="5" t="s">
        <v>303</v>
      </c>
      <c r="E113" s="5">
        <v>1</v>
      </c>
      <c r="F113" s="50">
        <f>SUM(E113*F121)</f>
        <v>12</v>
      </c>
      <c r="G113" s="324"/>
      <c r="H113" s="320"/>
    </row>
    <row r="114" spans="1:8" ht="15.75" customHeight="1">
      <c r="A114" s="468"/>
      <c r="B114" s="484"/>
      <c r="C114" s="34" t="s">
        <v>716</v>
      </c>
      <c r="D114" s="5" t="s">
        <v>242</v>
      </c>
      <c r="E114" s="5">
        <v>1</v>
      </c>
      <c r="F114" s="50">
        <f>SUM(E114*F121)</f>
        <v>12</v>
      </c>
      <c r="G114" s="324"/>
      <c r="H114" s="319"/>
    </row>
    <row r="115" spans="1:8" ht="15.75" customHeight="1">
      <c r="A115" s="468"/>
      <c r="B115" s="484"/>
      <c r="C115" s="34" t="s">
        <v>716</v>
      </c>
      <c r="D115" s="5" t="s">
        <v>113</v>
      </c>
      <c r="E115" s="5">
        <v>1</v>
      </c>
      <c r="F115" s="50">
        <f>SUM(E115*F121)</f>
        <v>12</v>
      </c>
      <c r="G115" s="324"/>
      <c r="H115" s="320"/>
    </row>
    <row r="116" spans="1:8" ht="15.75" customHeight="1">
      <c r="A116" s="468"/>
      <c r="B116" s="484"/>
      <c r="C116" s="34" t="s">
        <v>717</v>
      </c>
      <c r="D116" s="5" t="s">
        <v>242</v>
      </c>
      <c r="E116" s="5">
        <v>1</v>
      </c>
      <c r="F116" s="50">
        <f>SUM(E116*F121)</f>
        <v>12</v>
      </c>
      <c r="G116" s="324"/>
      <c r="H116" s="319"/>
    </row>
    <row r="117" spans="1:8" ht="15.75" customHeight="1">
      <c r="A117" s="468"/>
      <c r="B117" s="484"/>
      <c r="C117" s="34" t="s">
        <v>438</v>
      </c>
      <c r="D117" s="5" t="s">
        <v>910</v>
      </c>
      <c r="E117" s="5">
        <v>1</v>
      </c>
      <c r="F117" s="50">
        <f>SUM(E117*F121)</f>
        <v>12</v>
      </c>
      <c r="G117" s="324"/>
      <c r="H117" s="320"/>
    </row>
    <row r="118" spans="1:8" ht="15.75" customHeight="1">
      <c r="A118" s="76"/>
      <c r="B118" s="131"/>
      <c r="C118" s="1"/>
      <c r="D118" s="1"/>
      <c r="E118" s="1"/>
      <c r="F118" s="13" t="s">
        <v>770</v>
      </c>
    </row>
    <row r="119" spans="1:8" ht="15.75" customHeight="1">
      <c r="A119" s="77"/>
      <c r="B119" s="16"/>
      <c r="C119" s="1"/>
      <c r="D119" s="1"/>
      <c r="E119" s="1"/>
      <c r="F119" s="7">
        <f>SUM(E90:E116)</f>
        <v>49</v>
      </c>
    </row>
    <row r="120" spans="1:8" ht="15.75" customHeight="1">
      <c r="A120" s="77"/>
      <c r="B120" s="16"/>
      <c r="C120" s="1"/>
      <c r="D120" s="1"/>
      <c r="E120" s="1"/>
      <c r="F120" s="12" t="s">
        <v>773</v>
      </c>
    </row>
    <row r="121" spans="1:8" ht="15.75" customHeight="1">
      <c r="A121" s="77"/>
      <c r="B121" s="16"/>
      <c r="C121" s="1"/>
      <c r="D121" s="1"/>
      <c r="E121" s="1"/>
      <c r="F121" s="7">
        <v>12</v>
      </c>
    </row>
    <row r="122" spans="1:8" ht="15.75" customHeight="1" thickBot="1">
      <c r="A122" s="155"/>
      <c r="B122" s="16"/>
    </row>
    <row r="123" spans="1:8" ht="12.75" customHeight="1">
      <c r="A123" s="468" t="s">
        <v>1133</v>
      </c>
      <c r="B123" s="469" t="s">
        <v>0</v>
      </c>
      <c r="C123" s="463" t="s">
        <v>787</v>
      </c>
      <c r="D123" s="180" t="s">
        <v>1181</v>
      </c>
      <c r="E123" s="180" t="s">
        <v>782</v>
      </c>
      <c r="F123" s="181" t="s">
        <v>769</v>
      </c>
      <c r="G123" s="330" t="s">
        <v>1707</v>
      </c>
      <c r="H123" s="331" t="s">
        <v>1166</v>
      </c>
    </row>
    <row r="124" spans="1:8" ht="12.75">
      <c r="A124" s="468"/>
      <c r="B124" s="470"/>
      <c r="C124" s="464"/>
      <c r="D124" s="113" t="s">
        <v>1168</v>
      </c>
      <c r="E124" s="60">
        <v>6</v>
      </c>
      <c r="F124" s="176">
        <v>6</v>
      </c>
      <c r="G124" s="333"/>
      <c r="H124" s="334"/>
    </row>
    <row r="125" spans="1:8" ht="12.75">
      <c r="A125" s="468"/>
      <c r="B125" s="470"/>
      <c r="C125" s="464"/>
      <c r="D125" s="113" t="s">
        <v>1169</v>
      </c>
      <c r="E125" s="60">
        <v>6</v>
      </c>
      <c r="F125" s="176">
        <v>6</v>
      </c>
      <c r="G125" s="335"/>
      <c r="H125" s="168"/>
    </row>
    <row r="126" spans="1:8" ht="12.75">
      <c r="A126" s="468"/>
      <c r="B126" s="470"/>
      <c r="C126" s="464"/>
      <c r="D126" s="113" t="s">
        <v>1170</v>
      </c>
      <c r="E126" s="60">
        <v>3</v>
      </c>
      <c r="F126" s="176">
        <v>3</v>
      </c>
      <c r="G126" s="335"/>
      <c r="H126" s="168"/>
    </row>
    <row r="127" spans="1:8" ht="12.75">
      <c r="A127" s="468"/>
      <c r="B127" s="470"/>
      <c r="C127" s="464"/>
      <c r="D127" s="113" t="s">
        <v>1171</v>
      </c>
      <c r="E127" s="60">
        <v>6</v>
      </c>
      <c r="F127" s="176">
        <v>6</v>
      </c>
      <c r="G127" s="335"/>
      <c r="H127" s="168"/>
    </row>
    <row r="128" spans="1:8" ht="12.75">
      <c r="A128" s="468"/>
      <c r="B128" s="470"/>
      <c r="C128" s="464"/>
      <c r="D128" s="113" t="s">
        <v>1172</v>
      </c>
      <c r="E128" s="60">
        <v>6</v>
      </c>
      <c r="F128" s="176">
        <v>6</v>
      </c>
      <c r="G128" s="335"/>
      <c r="H128" s="168"/>
    </row>
    <row r="129" spans="1:8" ht="12.75">
      <c r="A129" s="468"/>
      <c r="B129" s="470"/>
      <c r="C129" s="464"/>
      <c r="D129" s="113" t="s">
        <v>1173</v>
      </c>
      <c r="E129" s="60">
        <v>6</v>
      </c>
      <c r="F129" s="176">
        <v>6</v>
      </c>
      <c r="G129" s="335"/>
      <c r="H129" s="168"/>
    </row>
    <row r="130" spans="1:8" ht="12.75">
      <c r="A130" s="468"/>
      <c r="B130" s="470"/>
      <c r="C130" s="464"/>
      <c r="D130" s="113" t="s">
        <v>1174</v>
      </c>
      <c r="E130" s="60">
        <v>9</v>
      </c>
      <c r="F130" s="176">
        <v>9</v>
      </c>
      <c r="G130" s="335"/>
      <c r="H130" s="168"/>
    </row>
    <row r="131" spans="1:8" ht="12.75">
      <c r="A131" s="468"/>
      <c r="B131" s="470"/>
      <c r="C131" s="464"/>
      <c r="D131" s="113" t="s">
        <v>1175</v>
      </c>
      <c r="E131" s="60">
        <v>3</v>
      </c>
      <c r="F131" s="176">
        <v>3</v>
      </c>
      <c r="G131" s="335"/>
      <c r="H131" s="168"/>
    </row>
    <row r="132" spans="1:8" ht="12.75">
      <c r="A132" s="468"/>
      <c r="B132" s="470"/>
      <c r="C132" s="464"/>
      <c r="D132" s="113" t="s">
        <v>1176</v>
      </c>
      <c r="E132" s="60">
        <v>6</v>
      </c>
      <c r="F132" s="176">
        <v>6</v>
      </c>
      <c r="G132" s="335"/>
      <c r="H132" s="168"/>
    </row>
    <row r="133" spans="1:8" ht="12.75">
      <c r="A133" s="468"/>
      <c r="B133" s="470"/>
      <c r="C133" s="464"/>
      <c r="D133" s="113" t="s">
        <v>1177</v>
      </c>
      <c r="E133" s="60">
        <v>3</v>
      </c>
      <c r="F133" s="176">
        <v>3</v>
      </c>
      <c r="G133" s="335"/>
      <c r="H133" s="168"/>
    </row>
    <row r="134" spans="1:8" ht="12.75">
      <c r="A134" s="468"/>
      <c r="B134" s="470"/>
      <c r="C134" s="464"/>
      <c r="D134" s="113" t="s">
        <v>1178</v>
      </c>
      <c r="E134" s="60">
        <v>9</v>
      </c>
      <c r="F134" s="176">
        <v>9</v>
      </c>
      <c r="G134" s="335"/>
      <c r="H134" s="168"/>
    </row>
    <row r="135" spans="1:8" ht="12.75">
      <c r="A135" s="468"/>
      <c r="B135" s="470"/>
      <c r="C135" s="464"/>
      <c r="D135" s="113" t="s">
        <v>1179</v>
      </c>
      <c r="E135" s="60">
        <v>3</v>
      </c>
      <c r="F135" s="176">
        <v>3</v>
      </c>
      <c r="G135" s="335"/>
      <c r="H135" s="168"/>
    </row>
    <row r="136" spans="1:8" ht="12.75">
      <c r="A136" s="468"/>
      <c r="B136" s="470"/>
      <c r="C136" s="464"/>
      <c r="D136" s="113" t="s">
        <v>1180</v>
      </c>
      <c r="E136" s="60">
        <v>3</v>
      </c>
      <c r="F136" s="176">
        <v>3</v>
      </c>
      <c r="G136" s="335"/>
      <c r="H136" s="168"/>
    </row>
    <row r="137" spans="1:8" ht="12.75">
      <c r="A137" s="468"/>
      <c r="B137" s="470"/>
      <c r="C137" s="62"/>
      <c r="D137" s="63"/>
      <c r="E137" s="64"/>
      <c r="F137" s="177"/>
      <c r="G137" s="336"/>
      <c r="H137" s="338"/>
    </row>
    <row r="138" spans="1:8" ht="12.75">
      <c r="A138" s="468"/>
      <c r="B138" s="470"/>
      <c r="C138" s="464" t="s">
        <v>788</v>
      </c>
      <c r="D138" s="113" t="s">
        <v>1182</v>
      </c>
      <c r="E138" s="60">
        <v>1</v>
      </c>
      <c r="F138" s="176">
        <f>E138*$F$155</f>
        <v>1</v>
      </c>
      <c r="G138" s="336"/>
      <c r="H138" s="338"/>
    </row>
    <row r="139" spans="1:8" ht="15.75" customHeight="1">
      <c r="A139" s="468"/>
      <c r="B139" s="470"/>
      <c r="C139" s="464"/>
      <c r="D139" s="113" t="s">
        <v>1183</v>
      </c>
      <c r="E139" s="60">
        <v>1</v>
      </c>
      <c r="F139" s="176">
        <f t="shared" ref="F139:F153" si="0">E139*$F$155</f>
        <v>1</v>
      </c>
      <c r="G139" s="336"/>
      <c r="H139" s="338"/>
    </row>
    <row r="140" spans="1:8" ht="15.75" customHeight="1">
      <c r="A140" s="468"/>
      <c r="B140" s="470"/>
      <c r="C140" s="464"/>
      <c r="D140" s="113" t="s">
        <v>1184</v>
      </c>
      <c r="E140" s="61">
        <v>1</v>
      </c>
      <c r="F140" s="176">
        <f t="shared" si="0"/>
        <v>1</v>
      </c>
      <c r="G140" s="336"/>
      <c r="H140" s="338"/>
    </row>
    <row r="141" spans="1:8" ht="15.75" customHeight="1">
      <c r="A141" s="468"/>
      <c r="B141" s="470"/>
      <c r="C141" s="464"/>
      <c r="D141" s="113" t="s">
        <v>1185</v>
      </c>
      <c r="E141" s="61">
        <v>6</v>
      </c>
      <c r="F141" s="176">
        <f t="shared" si="0"/>
        <v>6</v>
      </c>
      <c r="G141" s="336"/>
      <c r="H141" s="338"/>
    </row>
    <row r="142" spans="1:8" ht="15.75" customHeight="1">
      <c r="A142" s="468"/>
      <c r="B142" s="470"/>
      <c r="C142" s="464"/>
      <c r="D142" s="113" t="s">
        <v>1186</v>
      </c>
      <c r="E142" s="61">
        <v>1</v>
      </c>
      <c r="F142" s="176">
        <f t="shared" si="0"/>
        <v>1</v>
      </c>
      <c r="G142" s="336"/>
      <c r="H142" s="338"/>
    </row>
    <row r="143" spans="1:8" ht="15.75" customHeight="1">
      <c r="A143" s="468"/>
      <c r="B143" s="470"/>
      <c r="C143" s="464"/>
      <c r="D143" s="113" t="s">
        <v>1187</v>
      </c>
      <c r="E143" s="61">
        <v>1</v>
      </c>
      <c r="F143" s="176">
        <f t="shared" si="0"/>
        <v>1</v>
      </c>
      <c r="G143" s="336"/>
      <c r="H143" s="338"/>
    </row>
    <row r="144" spans="1:8" ht="15.75" customHeight="1">
      <c r="A144" s="468"/>
      <c r="B144" s="470"/>
      <c r="C144" s="464"/>
      <c r="D144" s="113" t="s">
        <v>1188</v>
      </c>
      <c r="E144" s="61">
        <v>1</v>
      </c>
      <c r="F144" s="176">
        <f t="shared" si="0"/>
        <v>1</v>
      </c>
      <c r="G144" s="336"/>
      <c r="H144" s="338"/>
    </row>
    <row r="145" spans="1:8" ht="15.75" customHeight="1">
      <c r="A145" s="468"/>
      <c r="B145" s="470"/>
      <c r="C145" s="464"/>
      <c r="D145" s="113" t="s">
        <v>1189</v>
      </c>
      <c r="E145" s="61">
        <v>1</v>
      </c>
      <c r="F145" s="176">
        <f t="shared" si="0"/>
        <v>1</v>
      </c>
      <c r="G145" s="336"/>
      <c r="H145" s="338"/>
    </row>
    <row r="146" spans="1:8" ht="15.75" customHeight="1">
      <c r="A146" s="468"/>
      <c r="B146" s="470"/>
      <c r="C146" s="464"/>
      <c r="D146" s="113" t="s">
        <v>1190</v>
      </c>
      <c r="E146" s="61">
        <v>1</v>
      </c>
      <c r="F146" s="176">
        <f t="shared" si="0"/>
        <v>1</v>
      </c>
      <c r="G146" s="336"/>
      <c r="H146" s="338"/>
    </row>
    <row r="147" spans="1:8" ht="15.75" customHeight="1">
      <c r="A147" s="468"/>
      <c r="B147" s="470"/>
      <c r="C147" s="464"/>
      <c r="D147" s="113" t="s">
        <v>1191</v>
      </c>
      <c r="E147" s="61">
        <v>1</v>
      </c>
      <c r="F147" s="176">
        <f t="shared" si="0"/>
        <v>1</v>
      </c>
      <c r="G147" s="336"/>
      <c r="H147" s="338"/>
    </row>
    <row r="148" spans="1:8" ht="15.75" customHeight="1">
      <c r="A148" s="468"/>
      <c r="B148" s="470"/>
      <c r="C148" s="464"/>
      <c r="D148" s="113" t="s">
        <v>1192</v>
      </c>
      <c r="E148" s="61">
        <v>1</v>
      </c>
      <c r="F148" s="176">
        <f t="shared" si="0"/>
        <v>1</v>
      </c>
      <c r="G148" s="336"/>
      <c r="H148" s="338"/>
    </row>
    <row r="149" spans="1:8" ht="15.75" customHeight="1">
      <c r="A149" s="468"/>
      <c r="B149" s="470"/>
      <c r="C149" s="464"/>
      <c r="D149" s="113" t="s">
        <v>1193</v>
      </c>
      <c r="E149" s="61">
        <v>1</v>
      </c>
      <c r="F149" s="176">
        <f t="shared" si="0"/>
        <v>1</v>
      </c>
      <c r="G149" s="336"/>
      <c r="H149" s="338"/>
    </row>
    <row r="150" spans="1:8" ht="15.75" customHeight="1">
      <c r="A150" s="468"/>
      <c r="B150" s="470"/>
      <c r="C150" s="464"/>
      <c r="D150" s="113" t="s">
        <v>1194</v>
      </c>
      <c r="E150" s="61">
        <v>1</v>
      </c>
      <c r="F150" s="176">
        <f t="shared" si="0"/>
        <v>1</v>
      </c>
      <c r="G150" s="336"/>
      <c r="H150" s="338"/>
    </row>
    <row r="151" spans="1:8" ht="15.75" customHeight="1">
      <c r="A151" s="468"/>
      <c r="B151" s="470"/>
      <c r="C151" s="464"/>
      <c r="D151" s="113" t="s">
        <v>1195</v>
      </c>
      <c r="E151" s="61">
        <v>1</v>
      </c>
      <c r="F151" s="176">
        <f t="shared" si="0"/>
        <v>1</v>
      </c>
      <c r="G151" s="336"/>
      <c r="H151" s="338"/>
    </row>
    <row r="152" spans="1:8" ht="15.75" customHeight="1">
      <c r="A152" s="468"/>
      <c r="B152" s="470"/>
      <c r="C152" s="464"/>
      <c r="D152" s="113" t="s">
        <v>1196</v>
      </c>
      <c r="E152" s="61">
        <v>1</v>
      </c>
      <c r="F152" s="176">
        <f t="shared" si="0"/>
        <v>1</v>
      </c>
      <c r="G152" s="336"/>
      <c r="H152" s="338"/>
    </row>
    <row r="153" spans="1:8" ht="15.75" customHeight="1" thickBot="1">
      <c r="A153" s="468"/>
      <c r="B153" s="471"/>
      <c r="C153" s="465"/>
      <c r="D153" s="178" t="s">
        <v>1197</v>
      </c>
      <c r="E153" s="179">
        <v>1</v>
      </c>
      <c r="F153" s="340">
        <f t="shared" si="0"/>
        <v>1</v>
      </c>
      <c r="G153" s="337"/>
      <c r="H153" s="339"/>
    </row>
    <row r="154" spans="1:8" ht="15.75" customHeight="1" thickBot="1">
      <c r="A154" s="77"/>
      <c r="F154" s="342" t="s">
        <v>1706</v>
      </c>
    </row>
    <row r="155" spans="1:8" ht="15.75" customHeight="1" thickBot="1">
      <c r="A155" s="77"/>
      <c r="F155" s="341">
        <v>1</v>
      </c>
    </row>
    <row r="156" spans="1:8" ht="15.75" customHeight="1">
      <c r="A156" s="77"/>
    </row>
    <row r="157" spans="1:8" ht="15.75" customHeight="1">
      <c r="A157" s="77"/>
    </row>
    <row r="158" spans="1:8" ht="15.75" customHeight="1">
      <c r="A158" s="77"/>
    </row>
    <row r="159" spans="1:8" ht="15.75" customHeight="1">
      <c r="A159" s="77"/>
    </row>
    <row r="160" spans="1:8" ht="15.75" customHeight="1">
      <c r="A160" s="77"/>
    </row>
    <row r="161" spans="1:1" ht="15.75" customHeight="1">
      <c r="A161" s="77"/>
    </row>
    <row r="162" spans="1:1" ht="15.75" customHeight="1">
      <c r="A162" s="77"/>
    </row>
    <row r="163" spans="1:1" ht="15.75" customHeight="1">
      <c r="A163" s="77"/>
    </row>
  </sheetData>
  <mergeCells count="11">
    <mergeCell ref="C123:C136"/>
    <mergeCell ref="C138:C153"/>
    <mergeCell ref="A2:F2"/>
    <mergeCell ref="A123:A153"/>
    <mergeCell ref="B123:B153"/>
    <mergeCell ref="B4:B45"/>
    <mergeCell ref="A4:A45"/>
    <mergeCell ref="A52:A88"/>
    <mergeCell ref="B52:B88"/>
    <mergeCell ref="A90:A117"/>
    <mergeCell ref="B90:B1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0">
    <tabColor rgb="FF00FF00"/>
    <outlinePr summaryBelow="0" summaryRight="0"/>
  </sheetPr>
  <dimension ref="A1:H26"/>
  <sheetViews>
    <sheetView zoomScale="85" zoomScaleNormal="85" workbookViewId="0">
      <selection activeCell="G3" sqref="G3:H17"/>
    </sheetView>
  </sheetViews>
  <sheetFormatPr defaultColWidth="12.5703125" defaultRowHeight="15.75" customHeight="1"/>
  <cols>
    <col min="1" max="1" width="17" bestFit="1" customWidth="1"/>
    <col min="2" max="2" width="20" customWidth="1"/>
    <col min="3" max="3" width="56" customWidth="1"/>
    <col min="4" max="4" width="24.42578125" customWidth="1"/>
    <col min="5" max="5" width="20.140625" bestFit="1" customWidth="1"/>
    <col min="6" max="6" width="30" bestFit="1" customWidth="1"/>
  </cols>
  <sheetData>
    <row r="1" spans="1:8" ht="12.75"/>
    <row r="2" spans="1:8" ht="15.75" customHeight="1" thickBot="1">
      <c r="A2" s="466" t="s">
        <v>789</v>
      </c>
      <c r="B2" s="467"/>
      <c r="C2" s="467"/>
      <c r="D2" s="467"/>
      <c r="E2" s="467"/>
      <c r="F2" s="467"/>
    </row>
    <row r="3" spans="1:8" ht="12.75" customHeight="1">
      <c r="A3" s="13" t="s">
        <v>1035</v>
      </c>
      <c r="B3" s="13" t="s">
        <v>1127</v>
      </c>
      <c r="C3" s="13" t="s">
        <v>747</v>
      </c>
      <c r="D3" s="13" t="s">
        <v>106</v>
      </c>
      <c r="E3" s="13" t="s">
        <v>782</v>
      </c>
      <c r="F3" s="71" t="s">
        <v>769</v>
      </c>
      <c r="G3" s="330" t="s">
        <v>1707</v>
      </c>
      <c r="H3" s="331" t="s">
        <v>1166</v>
      </c>
    </row>
    <row r="4" spans="1:8" ht="12.75" customHeight="1">
      <c r="A4" s="478" t="s">
        <v>1134</v>
      </c>
      <c r="B4" s="481" t="s">
        <v>790</v>
      </c>
      <c r="C4" s="23" t="s">
        <v>337</v>
      </c>
      <c r="D4" s="5" t="s">
        <v>911</v>
      </c>
      <c r="E4" s="5">
        <v>1</v>
      </c>
      <c r="F4" s="50">
        <f>SUM(E4*E26)</f>
        <v>3</v>
      </c>
      <c r="G4" s="333"/>
      <c r="H4" s="334"/>
    </row>
    <row r="5" spans="1:8" ht="12.75">
      <c r="A5" s="479"/>
      <c r="B5" s="482"/>
      <c r="C5" s="5" t="s">
        <v>339</v>
      </c>
      <c r="D5" s="5" t="s">
        <v>912</v>
      </c>
      <c r="E5" s="5">
        <v>1</v>
      </c>
      <c r="F5" s="50">
        <f>SUM(E5*E26)</f>
        <v>3</v>
      </c>
      <c r="G5" s="335"/>
      <c r="H5" s="168"/>
    </row>
    <row r="6" spans="1:8" ht="12.75">
      <c r="A6" s="479"/>
      <c r="B6" s="482"/>
      <c r="C6" s="5" t="s">
        <v>341</v>
      </c>
      <c r="D6" s="5" t="s">
        <v>913</v>
      </c>
      <c r="E6" s="5">
        <v>1</v>
      </c>
      <c r="F6" s="50">
        <f>SUM(E5*E26)</f>
        <v>3</v>
      </c>
      <c r="G6" s="335"/>
      <c r="H6" s="168"/>
    </row>
    <row r="7" spans="1:8" ht="12.75">
      <c r="A7" s="479"/>
      <c r="B7" s="482"/>
      <c r="C7" s="5" t="s">
        <v>343</v>
      </c>
      <c r="D7" s="5" t="s">
        <v>914</v>
      </c>
      <c r="E7" s="5">
        <v>1</v>
      </c>
      <c r="F7" s="50">
        <f>SUM(E7*E26)</f>
        <v>3</v>
      </c>
      <c r="G7" s="335"/>
      <c r="H7" s="168"/>
    </row>
    <row r="8" spans="1:8" ht="12.75">
      <c r="A8" s="479"/>
      <c r="B8" s="482"/>
      <c r="C8" s="5" t="s">
        <v>345</v>
      </c>
      <c r="D8" s="5" t="s">
        <v>915</v>
      </c>
      <c r="E8" s="5">
        <v>1</v>
      </c>
      <c r="F8" s="50">
        <f>SUM(E8*E26)</f>
        <v>3</v>
      </c>
      <c r="G8" s="335"/>
      <c r="H8" s="168"/>
    </row>
    <row r="9" spans="1:8" ht="12.75">
      <c r="A9" s="479"/>
      <c r="B9" s="482"/>
      <c r="C9" s="5" t="s">
        <v>347</v>
      </c>
      <c r="D9" s="5" t="s">
        <v>916</v>
      </c>
      <c r="E9" s="5">
        <v>1</v>
      </c>
      <c r="F9" s="50">
        <f>SUM(E8*E26)</f>
        <v>3</v>
      </c>
      <c r="G9" s="335"/>
      <c r="H9" s="168"/>
    </row>
    <row r="10" spans="1:8" ht="12.75">
      <c r="A10" s="479"/>
      <c r="B10" s="482"/>
      <c r="C10" s="5" t="s">
        <v>349</v>
      </c>
      <c r="D10" s="5" t="s">
        <v>917</v>
      </c>
      <c r="E10" s="5">
        <v>1</v>
      </c>
      <c r="F10" s="50">
        <f>SUM(E10*E26)</f>
        <v>3</v>
      </c>
      <c r="G10" s="335"/>
      <c r="H10" s="168"/>
    </row>
    <row r="11" spans="1:8" ht="12.75">
      <c r="A11" s="479"/>
      <c r="B11" s="482"/>
      <c r="C11" s="5" t="s">
        <v>351</v>
      </c>
      <c r="D11" s="5" t="s">
        <v>918</v>
      </c>
      <c r="E11" s="5">
        <v>1</v>
      </c>
      <c r="F11" s="50">
        <f>SUM(E11*E26)</f>
        <v>3</v>
      </c>
      <c r="G11" s="335"/>
      <c r="H11" s="168"/>
    </row>
    <row r="12" spans="1:8" ht="12.75">
      <c r="A12" s="479"/>
      <c r="B12" s="482"/>
      <c r="C12" s="5" t="s">
        <v>353</v>
      </c>
      <c r="D12" s="5" t="s">
        <v>919</v>
      </c>
      <c r="E12" s="5">
        <v>1</v>
      </c>
      <c r="F12" s="50">
        <f>SUM(E11*E26)</f>
        <v>3</v>
      </c>
      <c r="G12" s="335"/>
      <c r="H12" s="168"/>
    </row>
    <row r="13" spans="1:8" ht="12.75">
      <c r="A13" s="479"/>
      <c r="B13" s="482"/>
      <c r="C13" s="5" t="s">
        <v>355</v>
      </c>
      <c r="D13" s="5" t="s">
        <v>920</v>
      </c>
      <c r="E13" s="5">
        <v>1</v>
      </c>
      <c r="F13" s="50">
        <f>SUM(E13*E26)</f>
        <v>3</v>
      </c>
      <c r="G13" s="335"/>
      <c r="H13" s="168"/>
    </row>
    <row r="14" spans="1:8" ht="12.75">
      <c r="A14" s="479"/>
      <c r="B14" s="482"/>
      <c r="C14" s="5" t="s">
        <v>357</v>
      </c>
      <c r="D14" s="5" t="s">
        <v>921</v>
      </c>
      <c r="E14" s="5">
        <v>1</v>
      </c>
      <c r="F14" s="50">
        <f>SUM(E14*E26)</f>
        <v>3</v>
      </c>
      <c r="G14" s="335"/>
      <c r="H14" s="168"/>
    </row>
    <row r="15" spans="1:8" ht="12.75">
      <c r="A15" s="479"/>
      <c r="B15" s="482"/>
      <c r="C15" s="5" t="s">
        <v>359</v>
      </c>
      <c r="D15" s="5" t="s">
        <v>922</v>
      </c>
      <c r="E15" s="5">
        <v>1</v>
      </c>
      <c r="F15" s="50">
        <f>SUM(E14*E26)</f>
        <v>3</v>
      </c>
      <c r="G15" s="335"/>
      <c r="H15" s="168"/>
    </row>
    <row r="16" spans="1:8" ht="12.75">
      <c r="A16" s="479"/>
      <c r="B16" s="482"/>
      <c r="C16" s="5" t="s">
        <v>361</v>
      </c>
      <c r="D16" s="5" t="s">
        <v>923</v>
      </c>
      <c r="E16" s="5">
        <v>1</v>
      </c>
      <c r="F16" s="50">
        <f>SUM(E16*E26)</f>
        <v>3</v>
      </c>
      <c r="G16" s="335"/>
      <c r="H16" s="168"/>
    </row>
    <row r="17" spans="1:8" ht="12.75">
      <c r="A17" s="479"/>
      <c r="B17" s="482"/>
      <c r="C17" s="5" t="s">
        <v>581</v>
      </c>
      <c r="D17" s="5" t="s">
        <v>335</v>
      </c>
      <c r="E17" s="5">
        <v>1</v>
      </c>
      <c r="F17" s="50">
        <f>SUM(E17*E26)</f>
        <v>3</v>
      </c>
      <c r="G17" s="335"/>
      <c r="H17" s="168"/>
    </row>
    <row r="18" spans="1:8" ht="12.75">
      <c r="A18" s="479"/>
      <c r="B18" s="482"/>
      <c r="C18" s="23" t="s">
        <v>600</v>
      </c>
      <c r="D18" s="5" t="s">
        <v>192</v>
      </c>
      <c r="E18" s="5">
        <v>1</v>
      </c>
      <c r="F18" s="50">
        <f>SUM(E17*E26)</f>
        <v>3</v>
      </c>
      <c r="G18" s="335"/>
      <c r="H18" s="168"/>
    </row>
    <row r="19" spans="1:8" ht="12.75">
      <c r="A19" s="479"/>
      <c r="B19" s="482"/>
      <c r="C19" s="5" t="s">
        <v>601</v>
      </c>
      <c r="D19" s="5" t="s">
        <v>192</v>
      </c>
      <c r="E19" s="5">
        <v>1</v>
      </c>
      <c r="F19" s="50">
        <f>SUM(E19*E26)</f>
        <v>3</v>
      </c>
      <c r="G19" s="335"/>
      <c r="H19" s="168"/>
    </row>
    <row r="20" spans="1:8" ht="12.75">
      <c r="A20" s="479"/>
      <c r="B20" s="482"/>
      <c r="C20" s="5" t="s">
        <v>602</v>
      </c>
      <c r="D20" s="5" t="s">
        <v>192</v>
      </c>
      <c r="E20" s="5">
        <v>1</v>
      </c>
      <c r="F20" s="50">
        <f>SUM(E20*E26)</f>
        <v>3</v>
      </c>
      <c r="G20" s="335"/>
      <c r="H20" s="168"/>
    </row>
    <row r="21" spans="1:8" ht="12.75">
      <c r="A21" s="479"/>
      <c r="B21" s="482"/>
      <c r="C21" s="5" t="s">
        <v>603</v>
      </c>
      <c r="D21" s="44" t="s">
        <v>192</v>
      </c>
      <c r="E21" s="44">
        <v>1</v>
      </c>
      <c r="F21" s="121">
        <f>SUM(E20*E26)</f>
        <v>3</v>
      </c>
      <c r="G21" s="343"/>
      <c r="H21" s="332"/>
    </row>
    <row r="22" spans="1:8" ht="15.75" customHeight="1" thickBot="1">
      <c r="A22" s="480"/>
      <c r="B22" s="483"/>
      <c r="C22" s="5" t="s">
        <v>438</v>
      </c>
      <c r="D22" s="344" t="s">
        <v>442</v>
      </c>
      <c r="E22" s="345">
        <v>1</v>
      </c>
      <c r="F22" s="346">
        <f>SUM(E22*E26)</f>
        <v>3</v>
      </c>
      <c r="G22" s="347"/>
      <c r="H22" s="348"/>
    </row>
    <row r="23" spans="1:8" ht="15.75" customHeight="1">
      <c r="E23" s="39" t="s">
        <v>770</v>
      </c>
    </row>
    <row r="24" spans="1:8" ht="15.75" customHeight="1">
      <c r="E24" s="7">
        <f>SUM(E4:E21)</f>
        <v>18</v>
      </c>
    </row>
    <row r="25" spans="1:8" ht="15.75" customHeight="1">
      <c r="E25" s="12" t="s">
        <v>773</v>
      </c>
    </row>
    <row r="26" spans="1:8" ht="15.75" customHeight="1">
      <c r="E26" s="7">
        <v>3</v>
      </c>
    </row>
  </sheetData>
  <mergeCells count="3">
    <mergeCell ref="A2:F2"/>
    <mergeCell ref="A4:A22"/>
    <mergeCell ref="B4:B2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1">
    <tabColor rgb="FF00FF00"/>
    <outlinePr summaryBelow="0" summaryRight="0"/>
  </sheetPr>
  <dimension ref="A1:H1019"/>
  <sheetViews>
    <sheetView topLeftCell="E145" zoomScale="85" zoomScaleNormal="85" workbookViewId="0">
      <selection activeCell="G146" sqref="G146:H160"/>
    </sheetView>
  </sheetViews>
  <sheetFormatPr defaultColWidth="12.5703125" defaultRowHeight="15.75" customHeight="1"/>
  <cols>
    <col min="1" max="1" width="48.140625" style="65" bestFit="1" customWidth="1"/>
    <col min="2" max="2" width="12.28515625" style="65" customWidth="1"/>
    <col min="3" max="3" width="48.7109375" style="65" customWidth="1"/>
    <col min="4" max="4" width="20.28515625" style="65" customWidth="1"/>
    <col min="5" max="5" width="12.5703125" style="65"/>
    <col min="6" max="6" width="30" style="65" bestFit="1" customWidth="1"/>
    <col min="7" max="7" width="38.85546875" style="65" customWidth="1"/>
    <col min="8" max="16384" width="12.5703125" style="65"/>
  </cols>
  <sheetData>
    <row r="1" spans="1:8" ht="12.75"/>
    <row r="2" spans="1:8" ht="13.5" thickBot="1">
      <c r="A2" s="66" t="s">
        <v>791</v>
      </c>
      <c r="B2" s="66"/>
      <c r="C2" s="66"/>
      <c r="D2" s="66"/>
      <c r="E2" s="66"/>
      <c r="F2" s="66"/>
    </row>
    <row r="3" spans="1:8" ht="12.75">
      <c r="A3" s="13" t="s">
        <v>1135</v>
      </c>
      <c r="B3" s="13" t="s">
        <v>1127</v>
      </c>
      <c r="C3" s="13" t="s">
        <v>747</v>
      </c>
      <c r="D3" s="13" t="s">
        <v>106</v>
      </c>
      <c r="E3" s="13" t="s">
        <v>782</v>
      </c>
      <c r="F3" s="71" t="s">
        <v>769</v>
      </c>
      <c r="G3" s="349" t="s">
        <v>1707</v>
      </c>
      <c r="H3" s="350" t="s">
        <v>1166</v>
      </c>
    </row>
    <row r="4" spans="1:8" ht="12.75">
      <c r="A4" s="478" t="s">
        <v>1136</v>
      </c>
      <c r="B4" s="481" t="s">
        <v>5</v>
      </c>
      <c r="C4" s="5" t="s">
        <v>145</v>
      </c>
      <c r="D4" s="5" t="s">
        <v>875</v>
      </c>
      <c r="E4" s="5">
        <v>2</v>
      </c>
      <c r="F4" s="50">
        <f t="shared" ref="F4:F31" si="0">SUM(E4*$F$35)</f>
        <v>12</v>
      </c>
      <c r="G4" s="127"/>
      <c r="H4" s="351"/>
    </row>
    <row r="5" spans="1:8" ht="12.75">
      <c r="A5" s="479"/>
      <c r="B5" s="482"/>
      <c r="C5" s="5" t="s">
        <v>190</v>
      </c>
      <c r="D5" s="5" t="s">
        <v>111</v>
      </c>
      <c r="E5" s="5">
        <v>1</v>
      </c>
      <c r="F5" s="50">
        <f t="shared" si="0"/>
        <v>6</v>
      </c>
      <c r="G5" s="127"/>
      <c r="H5" s="351"/>
    </row>
    <row r="6" spans="1:8" ht="12.75">
      <c r="A6" s="479"/>
      <c r="B6" s="482"/>
      <c r="C6" s="5" t="s">
        <v>37</v>
      </c>
      <c r="D6" s="5" t="s">
        <v>245</v>
      </c>
      <c r="E6" s="5">
        <v>1</v>
      </c>
      <c r="F6" s="50">
        <f t="shared" si="0"/>
        <v>6</v>
      </c>
      <c r="G6" s="127"/>
      <c r="H6" s="351"/>
    </row>
    <row r="7" spans="1:8" ht="12.75">
      <c r="A7" s="479"/>
      <c r="B7" s="482"/>
      <c r="C7" s="5" t="s">
        <v>771</v>
      </c>
      <c r="D7" s="5" t="s">
        <v>251</v>
      </c>
      <c r="E7" s="5">
        <v>1</v>
      </c>
      <c r="F7" s="50">
        <f t="shared" si="0"/>
        <v>6</v>
      </c>
      <c r="G7" s="127"/>
      <c r="H7" s="351"/>
    </row>
    <row r="8" spans="1:8" ht="12.75">
      <c r="A8" s="479"/>
      <c r="B8" s="482"/>
      <c r="C8" s="5" t="s">
        <v>252</v>
      </c>
      <c r="D8" s="5" t="s">
        <v>251</v>
      </c>
      <c r="E8" s="5">
        <v>1</v>
      </c>
      <c r="F8" s="50">
        <f t="shared" si="0"/>
        <v>6</v>
      </c>
      <c r="G8" s="127"/>
      <c r="H8" s="351"/>
    </row>
    <row r="9" spans="1:8" ht="12.75">
      <c r="A9" s="479"/>
      <c r="B9" s="482"/>
      <c r="C9" s="5" t="s">
        <v>291</v>
      </c>
      <c r="D9" s="5" t="s">
        <v>772</v>
      </c>
      <c r="E9" s="5">
        <v>1</v>
      </c>
      <c r="F9" s="50">
        <f t="shared" si="0"/>
        <v>6</v>
      </c>
      <c r="G9" s="127"/>
      <c r="H9" s="351"/>
    </row>
    <row r="10" spans="1:8" ht="12.75">
      <c r="A10" s="479"/>
      <c r="B10" s="482"/>
      <c r="C10" s="5" t="s">
        <v>526</v>
      </c>
      <c r="D10" s="5" t="s">
        <v>257</v>
      </c>
      <c r="E10" s="5">
        <v>4</v>
      </c>
      <c r="F10" s="50">
        <f t="shared" si="0"/>
        <v>24</v>
      </c>
      <c r="G10" s="127"/>
      <c r="H10" s="351"/>
    </row>
    <row r="11" spans="1:8" ht="12.75">
      <c r="A11" s="479"/>
      <c r="B11" s="482"/>
      <c r="C11" s="5" t="s">
        <v>526</v>
      </c>
      <c r="D11" s="5" t="s">
        <v>286</v>
      </c>
      <c r="E11" s="5">
        <v>2</v>
      </c>
      <c r="F11" s="50">
        <f t="shared" si="0"/>
        <v>12</v>
      </c>
      <c r="G11" s="127"/>
      <c r="H11" s="351"/>
    </row>
    <row r="12" spans="1:8" ht="12.75">
      <c r="A12" s="479"/>
      <c r="B12" s="482"/>
      <c r="C12" s="5" t="s">
        <v>528</v>
      </c>
      <c r="D12" s="5" t="s">
        <v>242</v>
      </c>
      <c r="E12" s="5">
        <v>2</v>
      </c>
      <c r="F12" s="50">
        <f t="shared" si="0"/>
        <v>12</v>
      </c>
      <c r="G12" s="127"/>
      <c r="H12" s="351"/>
    </row>
    <row r="13" spans="1:8" ht="12.75">
      <c r="A13" s="479"/>
      <c r="B13" s="482"/>
      <c r="C13" s="5" t="s">
        <v>774</v>
      </c>
      <c r="D13" s="5" t="s">
        <v>533</v>
      </c>
      <c r="E13" s="5">
        <v>10</v>
      </c>
      <c r="F13" s="50">
        <f t="shared" si="0"/>
        <v>60</v>
      </c>
      <c r="G13" s="127"/>
      <c r="H13" s="351"/>
    </row>
    <row r="14" spans="1:8" ht="12.75">
      <c r="A14" s="479"/>
      <c r="B14" s="482"/>
      <c r="C14" s="5" t="s">
        <v>778</v>
      </c>
      <c r="D14" s="5" t="s">
        <v>111</v>
      </c>
      <c r="E14" s="5">
        <v>1</v>
      </c>
      <c r="F14" s="50">
        <f t="shared" si="0"/>
        <v>6</v>
      </c>
      <c r="G14" s="127"/>
      <c r="H14" s="351"/>
    </row>
    <row r="15" spans="1:8" ht="12.75">
      <c r="A15" s="479"/>
      <c r="B15" s="482"/>
      <c r="C15" s="5" t="s">
        <v>580</v>
      </c>
      <c r="D15" s="5" t="s">
        <v>242</v>
      </c>
      <c r="E15" s="5">
        <v>2</v>
      </c>
      <c r="F15" s="50">
        <f t="shared" si="0"/>
        <v>12</v>
      </c>
      <c r="G15" s="127"/>
      <c r="H15" s="351"/>
    </row>
    <row r="16" spans="1:8" ht="12.75">
      <c r="A16" s="479"/>
      <c r="B16" s="482"/>
      <c r="C16" s="5" t="s">
        <v>598</v>
      </c>
      <c r="D16" s="5" t="s">
        <v>251</v>
      </c>
      <c r="E16" s="5">
        <v>8</v>
      </c>
      <c r="F16" s="50">
        <f t="shared" si="0"/>
        <v>48</v>
      </c>
      <c r="G16" s="127"/>
      <c r="H16" s="351"/>
    </row>
    <row r="17" spans="1:8" ht="12.75">
      <c r="A17" s="479"/>
      <c r="B17" s="482"/>
      <c r="C17" s="5" t="s">
        <v>599</v>
      </c>
      <c r="D17" s="5" t="s">
        <v>251</v>
      </c>
      <c r="E17" s="5">
        <v>4</v>
      </c>
      <c r="F17" s="50">
        <f t="shared" si="0"/>
        <v>24</v>
      </c>
      <c r="G17" s="127"/>
      <c r="H17" s="351"/>
    </row>
    <row r="18" spans="1:8" ht="12.75">
      <c r="A18" s="479"/>
      <c r="B18" s="482"/>
      <c r="C18" s="5" t="s">
        <v>610</v>
      </c>
      <c r="D18" s="5" t="s">
        <v>118</v>
      </c>
      <c r="E18" s="5">
        <v>8</v>
      </c>
      <c r="F18" s="50">
        <f t="shared" si="0"/>
        <v>48</v>
      </c>
      <c r="G18" s="127"/>
      <c r="H18" s="351"/>
    </row>
    <row r="19" spans="1:8" ht="12.75">
      <c r="A19" s="479"/>
      <c r="B19" s="482"/>
      <c r="C19" s="5" t="s">
        <v>611</v>
      </c>
      <c r="D19" s="5" t="s">
        <v>118</v>
      </c>
      <c r="E19" s="5">
        <v>4</v>
      </c>
      <c r="F19" s="50">
        <f t="shared" si="0"/>
        <v>24</v>
      </c>
      <c r="G19" s="127"/>
      <c r="H19" s="351"/>
    </row>
    <row r="20" spans="1:8" ht="12.75">
      <c r="A20" s="479"/>
      <c r="B20" s="482"/>
      <c r="C20" s="5" t="s">
        <v>783</v>
      </c>
      <c r="D20" s="5" t="s">
        <v>118</v>
      </c>
      <c r="E20" s="5">
        <v>4</v>
      </c>
      <c r="F20" s="50">
        <f t="shared" si="0"/>
        <v>24</v>
      </c>
      <c r="G20" s="127"/>
      <c r="H20" s="351"/>
    </row>
    <row r="21" spans="1:8" ht="12.75">
      <c r="A21" s="479"/>
      <c r="B21" s="482"/>
      <c r="C21" s="5" t="s">
        <v>654</v>
      </c>
      <c r="D21" s="5" t="s">
        <v>288</v>
      </c>
      <c r="E21" s="5">
        <v>2</v>
      </c>
      <c r="F21" s="50">
        <f t="shared" si="0"/>
        <v>12</v>
      </c>
      <c r="G21" s="127"/>
      <c r="H21" s="351"/>
    </row>
    <row r="22" spans="1:8" ht="12.75">
      <c r="A22" s="479"/>
      <c r="B22" s="482"/>
      <c r="C22" s="5" t="s">
        <v>655</v>
      </c>
      <c r="D22" s="5" t="s">
        <v>288</v>
      </c>
      <c r="E22" s="5">
        <v>2</v>
      </c>
      <c r="F22" s="50">
        <f t="shared" si="0"/>
        <v>12</v>
      </c>
      <c r="G22" s="127"/>
      <c r="H22" s="351"/>
    </row>
    <row r="23" spans="1:8" ht="12.75">
      <c r="A23" s="479"/>
      <c r="B23" s="482"/>
      <c r="C23" s="5" t="s">
        <v>687</v>
      </c>
      <c r="D23" s="5" t="s">
        <v>118</v>
      </c>
      <c r="E23" s="5">
        <v>1</v>
      </c>
      <c r="F23" s="50">
        <f t="shared" si="0"/>
        <v>6</v>
      </c>
      <c r="G23" s="127"/>
      <c r="H23" s="351"/>
    </row>
    <row r="24" spans="1:8" ht="12.75">
      <c r="A24" s="479"/>
      <c r="B24" s="482"/>
      <c r="C24" s="5" t="s">
        <v>687</v>
      </c>
      <c r="D24" s="5" t="s">
        <v>157</v>
      </c>
      <c r="E24" s="5">
        <v>1</v>
      </c>
      <c r="F24" s="50">
        <f t="shared" si="0"/>
        <v>6</v>
      </c>
      <c r="G24" s="127"/>
      <c r="H24" s="351"/>
    </row>
    <row r="25" spans="1:8" ht="12.75">
      <c r="A25" s="479"/>
      <c r="B25" s="482"/>
      <c r="C25" s="5" t="s">
        <v>687</v>
      </c>
      <c r="D25" s="5" t="s">
        <v>242</v>
      </c>
      <c r="E25" s="5">
        <v>1</v>
      </c>
      <c r="F25" s="50">
        <f t="shared" si="0"/>
        <v>6</v>
      </c>
      <c r="G25" s="127"/>
      <c r="H25" s="351"/>
    </row>
    <row r="26" spans="1:8" ht="12.75">
      <c r="A26" s="479"/>
      <c r="B26" s="482"/>
      <c r="C26" s="5" t="s">
        <v>688</v>
      </c>
      <c r="D26" s="5" t="s">
        <v>118</v>
      </c>
      <c r="E26" s="5">
        <v>1</v>
      </c>
      <c r="F26" s="50">
        <f t="shared" si="0"/>
        <v>6</v>
      </c>
      <c r="G26" s="127"/>
      <c r="H26" s="351"/>
    </row>
    <row r="27" spans="1:8" ht="12.75">
      <c r="A27" s="479"/>
      <c r="B27" s="482"/>
      <c r="C27" s="5" t="s">
        <v>710</v>
      </c>
      <c r="D27" s="5" t="s">
        <v>303</v>
      </c>
      <c r="E27" s="5">
        <v>1</v>
      </c>
      <c r="F27" s="50">
        <f t="shared" si="0"/>
        <v>6</v>
      </c>
      <c r="G27" s="127"/>
      <c r="H27" s="351"/>
    </row>
    <row r="28" spans="1:8" ht="12.75">
      <c r="A28" s="479"/>
      <c r="B28" s="482"/>
      <c r="C28" s="5" t="s">
        <v>713</v>
      </c>
      <c r="D28" s="5" t="s">
        <v>303</v>
      </c>
      <c r="E28" s="5">
        <v>1</v>
      </c>
      <c r="F28" s="50">
        <f t="shared" si="0"/>
        <v>6</v>
      </c>
      <c r="G28" s="127"/>
      <c r="H28" s="351"/>
    </row>
    <row r="29" spans="1:8" ht="12.75">
      <c r="A29" s="479"/>
      <c r="B29" s="482"/>
      <c r="C29" s="5" t="s">
        <v>716</v>
      </c>
      <c r="D29" s="5" t="s">
        <v>242</v>
      </c>
      <c r="E29" s="5">
        <v>1</v>
      </c>
      <c r="F29" s="50">
        <f t="shared" si="0"/>
        <v>6</v>
      </c>
      <c r="G29" s="127"/>
      <c r="H29" s="351"/>
    </row>
    <row r="30" spans="1:8" ht="12.75">
      <c r="A30" s="479"/>
      <c r="B30" s="482"/>
      <c r="C30" s="5" t="s">
        <v>717</v>
      </c>
      <c r="D30" s="5" t="s">
        <v>242</v>
      </c>
      <c r="E30" s="5">
        <v>1</v>
      </c>
      <c r="F30" s="50">
        <f t="shared" si="0"/>
        <v>6</v>
      </c>
      <c r="G30" s="127"/>
      <c r="H30" s="351"/>
    </row>
    <row r="31" spans="1:8" ht="13.5" thickBot="1">
      <c r="A31" s="480"/>
      <c r="B31" s="483"/>
      <c r="C31" s="5" t="s">
        <v>438</v>
      </c>
      <c r="D31" s="5" t="s">
        <v>440</v>
      </c>
      <c r="E31" s="5">
        <v>1</v>
      </c>
      <c r="F31" s="50">
        <f t="shared" si="0"/>
        <v>6</v>
      </c>
      <c r="G31" s="128"/>
      <c r="H31" s="352"/>
    </row>
    <row r="32" spans="1:8" ht="12.75">
      <c r="A32" s="123"/>
      <c r="B32" s="51"/>
      <c r="C32" s="1"/>
      <c r="D32" s="1"/>
      <c r="E32" s="1"/>
      <c r="F32" s="13" t="s">
        <v>770</v>
      </c>
    </row>
    <row r="33" spans="1:8" ht="12.75">
      <c r="A33" s="123"/>
      <c r="B33" s="51"/>
      <c r="C33" s="1"/>
      <c r="D33" s="1"/>
      <c r="E33" s="1"/>
      <c r="F33" s="7">
        <f>SUM(E4:E29)</f>
        <v>67</v>
      </c>
    </row>
    <row r="34" spans="1:8" ht="12.75">
      <c r="A34" s="123"/>
      <c r="B34" s="51"/>
      <c r="C34" s="1"/>
      <c r="D34" s="1"/>
      <c r="E34" s="1"/>
      <c r="F34" s="12" t="s">
        <v>773</v>
      </c>
    </row>
    <row r="35" spans="1:8" ht="12.75">
      <c r="A35" s="123"/>
      <c r="B35" s="51"/>
      <c r="C35" s="1"/>
      <c r="D35" s="1"/>
      <c r="E35" s="1"/>
      <c r="F35" s="7">
        <v>6</v>
      </c>
    </row>
    <row r="36" spans="1:8" ht="13.5" thickBot="1">
      <c r="C36" s="1"/>
      <c r="D36" s="1"/>
      <c r="E36" s="1"/>
      <c r="F36" s="10"/>
    </row>
    <row r="37" spans="1:8" ht="12.75">
      <c r="A37" s="13" t="s">
        <v>1135</v>
      </c>
      <c r="B37" s="13" t="s">
        <v>1127</v>
      </c>
      <c r="C37" s="13" t="s">
        <v>747</v>
      </c>
      <c r="D37" s="13" t="s">
        <v>106</v>
      </c>
      <c r="E37" s="13" t="s">
        <v>782</v>
      </c>
      <c r="F37" s="71" t="s">
        <v>769</v>
      </c>
      <c r="G37" s="349" t="s">
        <v>1707</v>
      </c>
      <c r="H37" s="350" t="s">
        <v>1166</v>
      </c>
    </row>
    <row r="38" spans="1:8" ht="12.75">
      <c r="A38" s="478" t="s">
        <v>1137</v>
      </c>
      <c r="B38" s="481" t="s">
        <v>6</v>
      </c>
      <c r="C38" s="3" t="s">
        <v>37</v>
      </c>
      <c r="D38" s="3" t="s">
        <v>939</v>
      </c>
      <c r="E38" s="3">
        <v>1</v>
      </c>
      <c r="F38" s="50">
        <f t="shared" ref="F38:F73" si="1">SUM(E38*$F$77)</f>
        <v>3</v>
      </c>
      <c r="G38" s="127"/>
      <c r="H38" s="351"/>
    </row>
    <row r="39" spans="1:8" ht="12.75">
      <c r="A39" s="479"/>
      <c r="B39" s="482"/>
      <c r="C39" s="3" t="s">
        <v>291</v>
      </c>
      <c r="D39" s="3" t="s">
        <v>940</v>
      </c>
      <c r="E39" s="3">
        <v>1</v>
      </c>
      <c r="F39" s="50">
        <f t="shared" si="1"/>
        <v>3</v>
      </c>
      <c r="G39" s="127"/>
      <c r="H39" s="351"/>
    </row>
    <row r="40" spans="1:8" ht="15.75" customHeight="1">
      <c r="A40" s="479"/>
      <c r="B40" s="482"/>
      <c r="C40" s="3" t="s">
        <v>312</v>
      </c>
      <c r="D40" s="3" t="s">
        <v>941</v>
      </c>
      <c r="E40" s="3">
        <v>1</v>
      </c>
      <c r="F40" s="50">
        <f t="shared" si="1"/>
        <v>3</v>
      </c>
      <c r="G40" s="127"/>
      <c r="H40" s="351"/>
    </row>
    <row r="41" spans="1:8" ht="12.75">
      <c r="A41" s="479"/>
      <c r="B41" s="482"/>
      <c r="C41" s="3" t="s">
        <v>313</v>
      </c>
      <c r="D41" s="3" t="s">
        <v>941</v>
      </c>
      <c r="E41" s="3">
        <v>1</v>
      </c>
      <c r="F41" s="50">
        <f t="shared" si="1"/>
        <v>3</v>
      </c>
      <c r="G41" s="127"/>
      <c r="H41" s="351"/>
    </row>
    <row r="42" spans="1:8" ht="12.75">
      <c r="A42" s="479"/>
      <c r="B42" s="482"/>
      <c r="C42" s="3" t="s">
        <v>314</v>
      </c>
      <c r="D42" s="3" t="s">
        <v>941</v>
      </c>
      <c r="E42" s="3">
        <v>1</v>
      </c>
      <c r="F42" s="50">
        <f t="shared" si="1"/>
        <v>3</v>
      </c>
      <c r="G42" s="127"/>
      <c r="H42" s="351"/>
    </row>
    <row r="43" spans="1:8" ht="12.75">
      <c r="A43" s="479"/>
      <c r="B43" s="482"/>
      <c r="C43" s="3" t="s">
        <v>315</v>
      </c>
      <c r="D43" s="3" t="s">
        <v>941</v>
      </c>
      <c r="E43" s="3">
        <v>1</v>
      </c>
      <c r="F43" s="50">
        <f t="shared" si="1"/>
        <v>3</v>
      </c>
      <c r="G43" s="127"/>
      <c r="H43" s="351"/>
    </row>
    <row r="44" spans="1:8" ht="12.75">
      <c r="A44" s="479"/>
      <c r="B44" s="482"/>
      <c r="C44" s="3" t="s">
        <v>316</v>
      </c>
      <c r="D44" s="3" t="s">
        <v>941</v>
      </c>
      <c r="E44" s="3">
        <v>1</v>
      </c>
      <c r="F44" s="50">
        <f t="shared" si="1"/>
        <v>3</v>
      </c>
      <c r="G44" s="127"/>
      <c r="H44" s="351"/>
    </row>
    <row r="45" spans="1:8" ht="12.75">
      <c r="A45" s="479"/>
      <c r="B45" s="482"/>
      <c r="C45" s="3" t="s">
        <v>413</v>
      </c>
      <c r="D45" s="3" t="s">
        <v>414</v>
      </c>
      <c r="E45" s="3">
        <v>1</v>
      </c>
      <c r="F45" s="50">
        <f t="shared" si="1"/>
        <v>3</v>
      </c>
      <c r="G45" s="127"/>
      <c r="H45" s="351"/>
    </row>
    <row r="46" spans="1:8" ht="12.75">
      <c r="A46" s="479"/>
      <c r="B46" s="482"/>
      <c r="C46" s="3" t="s">
        <v>415</v>
      </c>
      <c r="D46" s="3" t="s">
        <v>416</v>
      </c>
      <c r="E46" s="3">
        <v>1</v>
      </c>
      <c r="F46" s="50">
        <f t="shared" si="1"/>
        <v>3</v>
      </c>
      <c r="G46" s="127"/>
      <c r="H46" s="351"/>
    </row>
    <row r="47" spans="1:8" ht="12.75">
      <c r="A47" s="479"/>
      <c r="B47" s="482"/>
      <c r="C47" s="3" t="s">
        <v>417</v>
      </c>
      <c r="D47" s="3" t="s">
        <v>418</v>
      </c>
      <c r="E47" s="3">
        <v>1</v>
      </c>
      <c r="F47" s="50">
        <f t="shared" si="1"/>
        <v>3</v>
      </c>
      <c r="G47" s="127"/>
      <c r="H47" s="351"/>
    </row>
    <row r="48" spans="1:8" ht="12.75">
      <c r="A48" s="479"/>
      <c r="B48" s="482"/>
      <c r="C48" s="3" t="s">
        <v>468</v>
      </c>
      <c r="D48" s="3" t="s">
        <v>939</v>
      </c>
      <c r="E48" s="3">
        <v>1</v>
      </c>
      <c r="F48" s="50">
        <f t="shared" si="1"/>
        <v>3</v>
      </c>
      <c r="G48" s="127"/>
      <c r="H48" s="351"/>
    </row>
    <row r="49" spans="1:8" ht="12.75">
      <c r="A49" s="479"/>
      <c r="B49" s="482"/>
      <c r="C49" s="3" t="s">
        <v>528</v>
      </c>
      <c r="D49" s="3" t="s">
        <v>890</v>
      </c>
      <c r="E49" s="3">
        <v>1</v>
      </c>
      <c r="F49" s="50">
        <f t="shared" si="1"/>
        <v>3</v>
      </c>
      <c r="G49" s="127"/>
      <c r="H49" s="351"/>
    </row>
    <row r="50" spans="1:8" ht="12.75">
      <c r="A50" s="479"/>
      <c r="B50" s="482"/>
      <c r="C50" s="3" t="s">
        <v>774</v>
      </c>
      <c r="D50" s="3" t="s">
        <v>689</v>
      </c>
      <c r="E50" s="3">
        <v>8</v>
      </c>
      <c r="F50" s="50">
        <f t="shared" si="1"/>
        <v>24</v>
      </c>
      <c r="G50" s="127"/>
      <c r="H50" s="351"/>
    </row>
    <row r="51" spans="1:8" ht="12.75">
      <c r="A51" s="479"/>
      <c r="B51" s="482"/>
      <c r="C51" s="3" t="s">
        <v>778</v>
      </c>
      <c r="D51" s="3" t="s">
        <v>890</v>
      </c>
      <c r="E51" s="3">
        <v>1</v>
      </c>
      <c r="F51" s="50">
        <f t="shared" si="1"/>
        <v>3</v>
      </c>
      <c r="G51" s="127"/>
      <c r="H51" s="351"/>
    </row>
    <row r="52" spans="1:8" ht="12.75">
      <c r="A52" s="479"/>
      <c r="B52" s="482"/>
      <c r="C52" s="3" t="s">
        <v>590</v>
      </c>
      <c r="D52" s="3" t="s">
        <v>890</v>
      </c>
      <c r="E52" s="3">
        <v>1</v>
      </c>
      <c r="F52" s="50">
        <f t="shared" si="1"/>
        <v>3</v>
      </c>
      <c r="G52" s="127"/>
      <c r="H52" s="351"/>
    </row>
    <row r="53" spans="1:8" ht="12.75">
      <c r="A53" s="479"/>
      <c r="B53" s="482"/>
      <c r="C53" s="3" t="s">
        <v>642</v>
      </c>
      <c r="D53" s="3" t="s">
        <v>751</v>
      </c>
      <c r="E53" s="3">
        <v>1</v>
      </c>
      <c r="F53" s="50">
        <f t="shared" si="1"/>
        <v>3</v>
      </c>
      <c r="G53" s="127"/>
      <c r="H53" s="351"/>
    </row>
    <row r="54" spans="1:8" ht="12.75">
      <c r="A54" s="479"/>
      <c r="B54" s="482"/>
      <c r="C54" s="3" t="s">
        <v>651</v>
      </c>
      <c r="D54" s="3" t="s">
        <v>890</v>
      </c>
      <c r="E54" s="3">
        <v>2</v>
      </c>
      <c r="F54" s="50">
        <f>SUM(E54*$F$77)</f>
        <v>6</v>
      </c>
      <c r="G54" s="127"/>
      <c r="H54" s="351"/>
    </row>
    <row r="55" spans="1:8" ht="12.75">
      <c r="A55" s="479"/>
      <c r="B55" s="482"/>
      <c r="C55" s="3" t="s">
        <v>779</v>
      </c>
      <c r="D55" s="3" t="s">
        <v>942</v>
      </c>
      <c r="E55" s="3">
        <v>2</v>
      </c>
      <c r="F55" s="50">
        <f t="shared" si="1"/>
        <v>6</v>
      </c>
      <c r="G55" s="127"/>
      <c r="H55" s="351"/>
    </row>
    <row r="56" spans="1:8" ht="12.75">
      <c r="A56" s="479"/>
      <c r="B56" s="482"/>
      <c r="C56" s="3" t="s">
        <v>688</v>
      </c>
      <c r="D56" s="3" t="s">
        <v>692</v>
      </c>
      <c r="E56" s="3">
        <v>1</v>
      </c>
      <c r="F56" s="50">
        <f t="shared" si="1"/>
        <v>3</v>
      </c>
      <c r="G56" s="127"/>
      <c r="H56" s="351"/>
    </row>
    <row r="57" spans="1:8" ht="12.75">
      <c r="A57" s="479"/>
      <c r="B57" s="482"/>
      <c r="C57" s="3" t="s">
        <v>716</v>
      </c>
      <c r="D57" s="3" t="s">
        <v>763</v>
      </c>
      <c r="E57" s="3">
        <v>1</v>
      </c>
      <c r="F57" s="50">
        <f t="shared" si="1"/>
        <v>3</v>
      </c>
      <c r="G57" s="127"/>
      <c r="H57" s="351"/>
    </row>
    <row r="58" spans="1:8" ht="12.75">
      <c r="A58" s="479"/>
      <c r="B58" s="482"/>
      <c r="C58" s="5" t="s">
        <v>731</v>
      </c>
      <c r="D58" s="5" t="s">
        <v>924</v>
      </c>
      <c r="E58" s="5">
        <v>1</v>
      </c>
      <c r="F58" s="50">
        <f t="shared" si="1"/>
        <v>3</v>
      </c>
      <c r="G58" s="127"/>
      <c r="H58" s="351"/>
    </row>
    <row r="59" spans="1:8" ht="12.75">
      <c r="A59" s="479"/>
      <c r="B59" s="482"/>
      <c r="C59" s="5" t="s">
        <v>732</v>
      </c>
      <c r="D59" s="5" t="s">
        <v>925</v>
      </c>
      <c r="E59" s="5">
        <v>1</v>
      </c>
      <c r="F59" s="50">
        <f t="shared" si="1"/>
        <v>3</v>
      </c>
      <c r="G59" s="127"/>
      <c r="H59" s="351"/>
    </row>
    <row r="60" spans="1:8" ht="12.75">
      <c r="A60" s="479"/>
      <c r="B60" s="482"/>
      <c r="C60" s="5" t="s">
        <v>733</v>
      </c>
      <c r="D60" s="5" t="s">
        <v>928</v>
      </c>
      <c r="E60" s="5">
        <v>1</v>
      </c>
      <c r="F60" s="50">
        <f t="shared" si="1"/>
        <v>3</v>
      </c>
      <c r="G60" s="127"/>
      <c r="H60" s="351"/>
    </row>
    <row r="61" spans="1:8" ht="12.75">
      <c r="A61" s="479"/>
      <c r="B61" s="482"/>
      <c r="C61" s="5" t="s">
        <v>734</v>
      </c>
      <c r="D61" s="5" t="s">
        <v>926</v>
      </c>
      <c r="E61" s="5">
        <v>1</v>
      </c>
      <c r="F61" s="50">
        <f t="shared" si="1"/>
        <v>3</v>
      </c>
      <c r="G61" s="127"/>
      <c r="H61" s="351"/>
    </row>
    <row r="62" spans="1:8" ht="12.75">
      <c r="A62" s="479"/>
      <c r="B62" s="482"/>
      <c r="C62" s="5" t="s">
        <v>735</v>
      </c>
      <c r="D62" s="5" t="s">
        <v>929</v>
      </c>
      <c r="E62" s="5">
        <v>1</v>
      </c>
      <c r="F62" s="50">
        <f t="shared" si="1"/>
        <v>3</v>
      </c>
      <c r="G62" s="127"/>
      <c r="H62" s="351"/>
    </row>
    <row r="63" spans="1:8" ht="12.75">
      <c r="A63" s="479"/>
      <c r="B63" s="482"/>
      <c r="C63" s="5" t="s">
        <v>736</v>
      </c>
      <c r="D63" s="5" t="s">
        <v>927</v>
      </c>
      <c r="E63" s="5">
        <v>1</v>
      </c>
      <c r="F63" s="50">
        <f t="shared" si="1"/>
        <v>3</v>
      </c>
      <c r="G63" s="127"/>
      <c r="H63" s="351"/>
    </row>
    <row r="64" spans="1:8" ht="12.75">
      <c r="A64" s="479"/>
      <c r="B64" s="482"/>
      <c r="C64" s="5" t="s">
        <v>737</v>
      </c>
      <c r="D64" s="5" t="s">
        <v>930</v>
      </c>
      <c r="E64" s="5">
        <v>1</v>
      </c>
      <c r="F64" s="50">
        <f t="shared" si="1"/>
        <v>3</v>
      </c>
      <c r="G64" s="127"/>
      <c r="H64" s="351"/>
    </row>
    <row r="65" spans="1:8" ht="12.75">
      <c r="A65" s="479"/>
      <c r="B65" s="482"/>
      <c r="C65" s="5" t="s">
        <v>738</v>
      </c>
      <c r="D65" s="5" t="s">
        <v>931</v>
      </c>
      <c r="E65" s="5">
        <v>1</v>
      </c>
      <c r="F65" s="50">
        <f t="shared" si="1"/>
        <v>3</v>
      </c>
      <c r="G65" s="127"/>
      <c r="H65" s="351"/>
    </row>
    <row r="66" spans="1:8" ht="12.75">
      <c r="A66" s="479"/>
      <c r="B66" s="482"/>
      <c r="C66" s="5" t="s">
        <v>739</v>
      </c>
      <c r="D66" s="5" t="s">
        <v>932</v>
      </c>
      <c r="E66" s="5">
        <v>1</v>
      </c>
      <c r="F66" s="50">
        <f t="shared" si="1"/>
        <v>3</v>
      </c>
      <c r="G66" s="127"/>
      <c r="H66" s="351"/>
    </row>
    <row r="67" spans="1:8" ht="12.75">
      <c r="A67" s="479"/>
      <c r="B67" s="482"/>
      <c r="C67" s="5" t="s">
        <v>740</v>
      </c>
      <c r="D67" s="5" t="s">
        <v>933</v>
      </c>
      <c r="E67" s="5">
        <v>1</v>
      </c>
      <c r="F67" s="50">
        <f t="shared" si="1"/>
        <v>3</v>
      </c>
      <c r="G67" s="127"/>
      <c r="H67" s="351"/>
    </row>
    <row r="68" spans="1:8" ht="12.75">
      <c r="A68" s="479"/>
      <c r="B68" s="482"/>
      <c r="C68" s="5" t="s">
        <v>741</v>
      </c>
      <c r="D68" s="5" t="s">
        <v>934</v>
      </c>
      <c r="E68" s="5">
        <v>1</v>
      </c>
      <c r="F68" s="50">
        <f t="shared" si="1"/>
        <v>3</v>
      </c>
      <c r="G68" s="127"/>
      <c r="H68" s="351"/>
    </row>
    <row r="69" spans="1:8" ht="12.75">
      <c r="A69" s="479"/>
      <c r="B69" s="482"/>
      <c r="C69" s="5" t="s">
        <v>742</v>
      </c>
      <c r="D69" s="5" t="s">
        <v>935</v>
      </c>
      <c r="E69" s="5">
        <v>1</v>
      </c>
      <c r="F69" s="50">
        <f t="shared" si="1"/>
        <v>3</v>
      </c>
      <c r="G69" s="127"/>
      <c r="H69" s="351"/>
    </row>
    <row r="70" spans="1:8" ht="12.75">
      <c r="A70" s="479"/>
      <c r="B70" s="482"/>
      <c r="C70" s="5" t="s">
        <v>743</v>
      </c>
      <c r="D70" s="5" t="s">
        <v>936</v>
      </c>
      <c r="E70" s="5">
        <v>1</v>
      </c>
      <c r="F70" s="50">
        <f t="shared" si="1"/>
        <v>3</v>
      </c>
      <c r="G70" s="127"/>
      <c r="H70" s="351"/>
    </row>
    <row r="71" spans="1:8" ht="12.75">
      <c r="A71" s="479"/>
      <c r="B71" s="482"/>
      <c r="C71" s="5" t="s">
        <v>744</v>
      </c>
      <c r="D71" s="5" t="s">
        <v>938</v>
      </c>
      <c r="E71" s="5">
        <v>1</v>
      </c>
      <c r="F71" s="50">
        <f t="shared" si="1"/>
        <v>3</v>
      </c>
      <c r="G71" s="127"/>
      <c r="H71" s="351"/>
    </row>
    <row r="72" spans="1:8" ht="12.75">
      <c r="A72" s="479"/>
      <c r="B72" s="482"/>
      <c r="C72" s="5" t="s">
        <v>745</v>
      </c>
      <c r="D72" s="5" t="s">
        <v>937</v>
      </c>
      <c r="E72" s="5">
        <v>1</v>
      </c>
      <c r="F72" s="50">
        <f t="shared" si="1"/>
        <v>3</v>
      </c>
      <c r="G72" s="127"/>
      <c r="H72" s="351"/>
    </row>
    <row r="73" spans="1:8" ht="13.5" thickBot="1">
      <c r="A73" s="480"/>
      <c r="B73" s="483"/>
      <c r="C73" s="5" t="s">
        <v>438</v>
      </c>
      <c r="D73" s="5" t="s">
        <v>439</v>
      </c>
      <c r="E73" s="5">
        <v>1</v>
      </c>
      <c r="F73" s="50">
        <f t="shared" si="1"/>
        <v>3</v>
      </c>
      <c r="G73" s="128"/>
      <c r="H73" s="352"/>
    </row>
    <row r="74" spans="1:8" ht="12.75">
      <c r="A74" s="123"/>
      <c r="B74" s="51"/>
      <c r="C74" s="1"/>
      <c r="D74" s="1"/>
      <c r="E74" s="1"/>
      <c r="F74" s="13" t="s">
        <v>770</v>
      </c>
    </row>
    <row r="75" spans="1:8" ht="12.75">
      <c r="A75" s="123"/>
      <c r="B75" s="51"/>
      <c r="C75" s="1"/>
      <c r="D75" s="1"/>
      <c r="E75" s="1"/>
      <c r="F75" s="7">
        <f>SUM(E38:E72)</f>
        <v>44</v>
      </c>
    </row>
    <row r="76" spans="1:8" ht="12.75">
      <c r="A76" s="123"/>
      <c r="B76" s="51"/>
      <c r="C76" s="1"/>
      <c r="D76" s="1"/>
      <c r="E76" s="1"/>
      <c r="F76" s="12" t="s">
        <v>773</v>
      </c>
    </row>
    <row r="77" spans="1:8" ht="12.75">
      <c r="A77" s="123"/>
      <c r="B77" s="51"/>
      <c r="C77" s="1"/>
      <c r="D77" s="1"/>
      <c r="E77" s="1"/>
      <c r="F77" s="7">
        <v>3</v>
      </c>
    </row>
    <row r="78" spans="1:8" ht="13.5" thickBot="1">
      <c r="F78" s="10"/>
    </row>
    <row r="79" spans="1:8" ht="12.75" customHeight="1">
      <c r="A79" s="13" t="s">
        <v>1135</v>
      </c>
      <c r="B79" s="13" t="s">
        <v>1127</v>
      </c>
      <c r="C79" s="13" t="s">
        <v>747</v>
      </c>
      <c r="D79" s="13" t="s">
        <v>106</v>
      </c>
      <c r="E79" s="13" t="s">
        <v>782</v>
      </c>
      <c r="F79" s="71" t="s">
        <v>769</v>
      </c>
      <c r="G79" s="349" t="s">
        <v>1707</v>
      </c>
      <c r="H79" s="350" t="s">
        <v>1166</v>
      </c>
    </row>
    <row r="80" spans="1:8" ht="12.75">
      <c r="A80" s="478" t="s">
        <v>1138</v>
      </c>
      <c r="B80" s="481" t="s">
        <v>792</v>
      </c>
      <c r="C80" s="3" t="s">
        <v>37</v>
      </c>
      <c r="D80" s="3" t="s">
        <v>245</v>
      </c>
      <c r="E80" s="3">
        <v>1</v>
      </c>
      <c r="F80" s="50">
        <f t="shared" ref="F80:F109" si="2">SUM(E80*$F$113)</f>
        <v>4</v>
      </c>
      <c r="G80" s="127"/>
      <c r="H80" s="351"/>
    </row>
    <row r="81" spans="1:8" ht="12.75">
      <c r="A81" s="479"/>
      <c r="B81" s="482"/>
      <c r="C81" s="3" t="s">
        <v>291</v>
      </c>
      <c r="D81" s="3" t="s">
        <v>772</v>
      </c>
      <c r="E81" s="3">
        <v>1</v>
      </c>
      <c r="F81" s="50">
        <f t="shared" si="2"/>
        <v>4</v>
      </c>
      <c r="G81" s="127"/>
      <c r="H81" s="351"/>
    </row>
    <row r="82" spans="1:8" ht="12.75">
      <c r="A82" s="479"/>
      <c r="B82" s="482"/>
      <c r="C82" s="3" t="s">
        <v>413</v>
      </c>
      <c r="D82" s="3" t="s">
        <v>414</v>
      </c>
      <c r="E82" s="3">
        <v>1</v>
      </c>
      <c r="F82" s="50">
        <f t="shared" si="2"/>
        <v>4</v>
      </c>
      <c r="G82" s="127"/>
      <c r="H82" s="351"/>
    </row>
    <row r="83" spans="1:8" ht="12.75">
      <c r="A83" s="479"/>
      <c r="B83" s="482"/>
      <c r="C83" s="3" t="s">
        <v>415</v>
      </c>
      <c r="D83" s="3" t="s">
        <v>416</v>
      </c>
      <c r="E83" s="3">
        <v>1</v>
      </c>
      <c r="F83" s="50">
        <f t="shared" si="2"/>
        <v>4</v>
      </c>
      <c r="G83" s="127"/>
      <c r="H83" s="351"/>
    </row>
    <row r="84" spans="1:8" ht="12.75">
      <c r="A84" s="479"/>
      <c r="B84" s="482"/>
      <c r="C84" s="3" t="s">
        <v>417</v>
      </c>
      <c r="D84" s="3" t="s">
        <v>418</v>
      </c>
      <c r="E84" s="3">
        <v>1</v>
      </c>
      <c r="F84" s="50">
        <f t="shared" si="2"/>
        <v>4</v>
      </c>
      <c r="G84" s="127"/>
      <c r="H84" s="351"/>
    </row>
    <row r="85" spans="1:8" ht="12.75">
      <c r="A85" s="479"/>
      <c r="B85" s="482"/>
      <c r="C85" s="3" t="s">
        <v>468</v>
      </c>
      <c r="D85" s="3" t="s">
        <v>245</v>
      </c>
      <c r="E85" s="3">
        <v>1</v>
      </c>
      <c r="F85" s="50">
        <f t="shared" si="2"/>
        <v>4</v>
      </c>
      <c r="G85" s="127"/>
      <c r="H85" s="351"/>
    </row>
    <row r="86" spans="1:8" ht="12.75">
      <c r="A86" s="479"/>
      <c r="B86" s="482"/>
      <c r="C86" s="5" t="s">
        <v>526</v>
      </c>
      <c r="D86" s="5" t="s">
        <v>257</v>
      </c>
      <c r="E86" s="5">
        <v>3</v>
      </c>
      <c r="F86" s="50">
        <f t="shared" si="2"/>
        <v>12</v>
      </c>
      <c r="G86" s="127"/>
      <c r="H86" s="351"/>
    </row>
    <row r="87" spans="1:8" ht="12.75">
      <c r="A87" s="479"/>
      <c r="B87" s="482"/>
      <c r="C87" s="3" t="s">
        <v>528</v>
      </c>
      <c r="D87" s="3" t="s">
        <v>111</v>
      </c>
      <c r="E87" s="3">
        <v>1</v>
      </c>
      <c r="F87" s="50">
        <f t="shared" si="2"/>
        <v>4</v>
      </c>
      <c r="G87" s="127"/>
      <c r="H87" s="351"/>
    </row>
    <row r="88" spans="1:8" ht="12.75">
      <c r="A88" s="479"/>
      <c r="B88" s="482"/>
      <c r="C88" s="5" t="s">
        <v>528</v>
      </c>
      <c r="D88" s="3" t="s">
        <v>157</v>
      </c>
      <c r="E88" s="5">
        <v>1</v>
      </c>
      <c r="F88" s="50">
        <f t="shared" si="2"/>
        <v>4</v>
      </c>
      <c r="G88" s="127"/>
      <c r="H88" s="351"/>
    </row>
    <row r="89" spans="1:8" ht="12.75">
      <c r="A89" s="479"/>
      <c r="B89" s="482"/>
      <c r="C89" s="3" t="s">
        <v>774</v>
      </c>
      <c r="D89" s="3" t="s">
        <v>533</v>
      </c>
      <c r="E89" s="3">
        <v>4</v>
      </c>
      <c r="F89" s="50">
        <f t="shared" si="2"/>
        <v>16</v>
      </c>
      <c r="G89" s="127"/>
      <c r="H89" s="351"/>
    </row>
    <row r="90" spans="1:8" ht="12.75">
      <c r="A90" s="479"/>
      <c r="B90" s="482"/>
      <c r="C90" s="3" t="s">
        <v>778</v>
      </c>
      <c r="D90" s="3" t="s">
        <v>111</v>
      </c>
      <c r="E90" s="3">
        <v>1</v>
      </c>
      <c r="F90" s="50">
        <f t="shared" si="2"/>
        <v>4</v>
      </c>
      <c r="G90" s="127"/>
      <c r="H90" s="351"/>
    </row>
    <row r="91" spans="1:8" ht="12.75">
      <c r="A91" s="479"/>
      <c r="B91" s="482"/>
      <c r="C91" s="5" t="s">
        <v>580</v>
      </c>
      <c r="D91" s="3" t="s">
        <v>157</v>
      </c>
      <c r="E91" s="5">
        <v>1</v>
      </c>
      <c r="F91" s="50">
        <f t="shared" si="2"/>
        <v>4</v>
      </c>
      <c r="G91" s="127"/>
      <c r="H91" s="351"/>
    </row>
    <row r="92" spans="1:8" ht="12.75">
      <c r="A92" s="479"/>
      <c r="B92" s="482"/>
      <c r="C92" s="3" t="s">
        <v>590</v>
      </c>
      <c r="D92" s="3" t="s">
        <v>111</v>
      </c>
      <c r="E92" s="3">
        <v>1</v>
      </c>
      <c r="F92" s="50">
        <f t="shared" si="2"/>
        <v>4</v>
      </c>
      <c r="G92" s="127"/>
      <c r="H92" s="351"/>
    </row>
    <row r="93" spans="1:8" ht="12.75">
      <c r="A93" s="479"/>
      <c r="B93" s="482"/>
      <c r="C93" s="5" t="s">
        <v>598</v>
      </c>
      <c r="D93" s="5" t="s">
        <v>251</v>
      </c>
      <c r="E93" s="5">
        <v>4</v>
      </c>
      <c r="F93" s="50">
        <f t="shared" si="2"/>
        <v>16</v>
      </c>
      <c r="G93" s="127"/>
      <c r="H93" s="351"/>
    </row>
    <row r="94" spans="1:8" ht="12.75">
      <c r="A94" s="479"/>
      <c r="B94" s="482"/>
      <c r="C94" s="5" t="s">
        <v>599</v>
      </c>
      <c r="D94" s="5" t="s">
        <v>251</v>
      </c>
      <c r="E94" s="5">
        <v>4</v>
      </c>
      <c r="F94" s="50">
        <f t="shared" si="2"/>
        <v>16</v>
      </c>
      <c r="G94" s="127"/>
      <c r="H94" s="351"/>
    </row>
    <row r="95" spans="1:8" ht="12.75">
      <c r="A95" s="479"/>
      <c r="B95" s="482"/>
      <c r="C95" s="5" t="s">
        <v>610</v>
      </c>
      <c r="D95" s="5" t="s">
        <v>113</v>
      </c>
      <c r="E95" s="5">
        <v>6</v>
      </c>
      <c r="F95" s="50">
        <f t="shared" si="2"/>
        <v>24</v>
      </c>
      <c r="G95" s="127"/>
      <c r="H95" s="351"/>
    </row>
    <row r="96" spans="1:8" ht="12.75">
      <c r="A96" s="479"/>
      <c r="B96" s="482"/>
      <c r="C96" s="5" t="s">
        <v>611</v>
      </c>
      <c r="D96" s="5" t="s">
        <v>113</v>
      </c>
      <c r="E96" s="5">
        <v>4</v>
      </c>
      <c r="F96" s="50">
        <f t="shared" si="2"/>
        <v>16</v>
      </c>
      <c r="G96" s="127"/>
      <c r="H96" s="351"/>
    </row>
    <row r="97" spans="1:8" ht="12.75">
      <c r="A97" s="479"/>
      <c r="B97" s="482"/>
      <c r="C97" s="5" t="s">
        <v>620</v>
      </c>
      <c r="D97" s="5" t="s">
        <v>113</v>
      </c>
      <c r="E97" s="5">
        <v>2</v>
      </c>
      <c r="F97" s="50">
        <f t="shared" si="2"/>
        <v>8</v>
      </c>
      <c r="G97" s="127"/>
      <c r="H97" s="351"/>
    </row>
    <row r="98" spans="1:8" ht="12.75">
      <c r="A98" s="479"/>
      <c r="B98" s="482"/>
      <c r="C98" s="5" t="s">
        <v>793</v>
      </c>
      <c r="D98" s="5" t="s">
        <v>529</v>
      </c>
      <c r="E98" s="5">
        <v>1</v>
      </c>
      <c r="F98" s="50">
        <f t="shared" si="2"/>
        <v>4</v>
      </c>
      <c r="G98" s="127"/>
      <c r="H98" s="351"/>
    </row>
    <row r="99" spans="1:8" ht="12.75">
      <c r="A99" s="479"/>
      <c r="B99" s="482"/>
      <c r="C99" s="5" t="s">
        <v>640</v>
      </c>
      <c r="D99" s="5" t="s">
        <v>335</v>
      </c>
      <c r="E99" s="5">
        <v>1</v>
      </c>
      <c r="F99" s="50">
        <f t="shared" si="2"/>
        <v>4</v>
      </c>
      <c r="G99" s="127"/>
      <c r="H99" s="351"/>
    </row>
    <row r="100" spans="1:8" ht="12.75">
      <c r="A100" s="479"/>
      <c r="B100" s="482"/>
      <c r="C100" s="5" t="s">
        <v>644</v>
      </c>
      <c r="D100" s="5" t="s">
        <v>335</v>
      </c>
      <c r="E100" s="5">
        <v>1</v>
      </c>
      <c r="F100" s="50">
        <f t="shared" si="2"/>
        <v>4</v>
      </c>
      <c r="G100" s="127"/>
      <c r="H100" s="351"/>
    </row>
    <row r="101" spans="1:8" ht="12.75">
      <c r="A101" s="479"/>
      <c r="B101" s="482"/>
      <c r="C101" s="3" t="s">
        <v>651</v>
      </c>
      <c r="D101" s="3" t="s">
        <v>111</v>
      </c>
      <c r="E101" s="3">
        <v>1</v>
      </c>
      <c r="F101" s="50">
        <f t="shared" si="2"/>
        <v>4</v>
      </c>
      <c r="G101" s="127"/>
      <c r="H101" s="351"/>
    </row>
    <row r="102" spans="1:8" ht="12.75">
      <c r="A102" s="479"/>
      <c r="B102" s="482"/>
      <c r="C102" s="3" t="s">
        <v>687</v>
      </c>
      <c r="D102" s="3" t="s">
        <v>335</v>
      </c>
      <c r="E102" s="3">
        <v>1</v>
      </c>
      <c r="F102" s="50">
        <f t="shared" si="2"/>
        <v>4</v>
      </c>
      <c r="G102" s="127"/>
      <c r="H102" s="351"/>
    </row>
    <row r="103" spans="1:8" ht="12.75">
      <c r="A103" s="479"/>
      <c r="B103" s="482"/>
      <c r="C103" s="5" t="s">
        <v>687</v>
      </c>
      <c r="D103" s="5" t="s">
        <v>118</v>
      </c>
      <c r="E103" s="5">
        <v>1</v>
      </c>
      <c r="F103" s="50">
        <f t="shared" si="2"/>
        <v>4</v>
      </c>
      <c r="G103" s="127"/>
      <c r="H103" s="351"/>
    </row>
    <row r="104" spans="1:8" ht="12.75">
      <c r="A104" s="479"/>
      <c r="B104" s="482"/>
      <c r="C104" s="3" t="s">
        <v>688</v>
      </c>
      <c r="D104" s="3" t="s">
        <v>335</v>
      </c>
      <c r="E104" s="3">
        <v>1</v>
      </c>
      <c r="F104" s="50">
        <f t="shared" si="2"/>
        <v>4</v>
      </c>
      <c r="G104" s="127"/>
      <c r="H104" s="351"/>
    </row>
    <row r="105" spans="1:8" ht="12.75">
      <c r="A105" s="479"/>
      <c r="B105" s="482"/>
      <c r="C105" s="5" t="s">
        <v>713</v>
      </c>
      <c r="D105" s="5" t="s">
        <v>257</v>
      </c>
      <c r="E105" s="5">
        <v>1</v>
      </c>
      <c r="F105" s="50">
        <f t="shared" si="2"/>
        <v>4</v>
      </c>
      <c r="G105" s="127"/>
      <c r="H105" s="351"/>
    </row>
    <row r="106" spans="1:8" ht="12.75">
      <c r="A106" s="479"/>
      <c r="B106" s="482"/>
      <c r="C106" s="3" t="s">
        <v>716</v>
      </c>
      <c r="D106" s="3" t="s">
        <v>288</v>
      </c>
      <c r="E106" s="3">
        <v>1</v>
      </c>
      <c r="F106" s="50">
        <f t="shared" si="2"/>
        <v>4</v>
      </c>
      <c r="G106" s="127"/>
      <c r="H106" s="351"/>
    </row>
    <row r="107" spans="1:8" ht="12.75">
      <c r="A107" s="479"/>
      <c r="B107" s="482"/>
      <c r="C107" s="5" t="s">
        <v>716</v>
      </c>
      <c r="D107" s="5" t="s">
        <v>157</v>
      </c>
      <c r="E107" s="5">
        <v>1</v>
      </c>
      <c r="F107" s="50">
        <f t="shared" si="2"/>
        <v>4</v>
      </c>
      <c r="G107" s="127"/>
      <c r="H107" s="351"/>
    </row>
    <row r="108" spans="1:8" ht="12.75">
      <c r="A108" s="479"/>
      <c r="B108" s="482"/>
      <c r="C108" s="5" t="s">
        <v>717</v>
      </c>
      <c r="D108" s="5" t="s">
        <v>157</v>
      </c>
      <c r="E108" s="5">
        <v>1</v>
      </c>
      <c r="F108" s="50">
        <f t="shared" si="2"/>
        <v>4</v>
      </c>
      <c r="G108" s="127"/>
      <c r="H108" s="351"/>
    </row>
    <row r="109" spans="1:8" ht="13.5" thickBot="1">
      <c r="A109" s="480"/>
      <c r="B109" s="483"/>
      <c r="C109" s="5" t="s">
        <v>438</v>
      </c>
      <c r="D109" s="3" t="s">
        <v>786</v>
      </c>
      <c r="E109" s="5">
        <v>1</v>
      </c>
      <c r="F109" s="50">
        <f t="shared" si="2"/>
        <v>4</v>
      </c>
      <c r="G109" s="128"/>
      <c r="H109" s="352"/>
    </row>
    <row r="110" spans="1:8" ht="12.75">
      <c r="A110" s="123"/>
      <c r="B110" s="51"/>
      <c r="C110" s="1"/>
      <c r="D110" s="1"/>
      <c r="E110" s="1"/>
      <c r="F110" s="71" t="s">
        <v>770</v>
      </c>
      <c r="G110" s="354"/>
      <c r="H110" s="354"/>
    </row>
    <row r="111" spans="1:8" ht="12.75">
      <c r="A111" s="123"/>
      <c r="B111" s="51"/>
      <c r="C111" s="1"/>
      <c r="D111" s="1"/>
      <c r="E111" s="1"/>
      <c r="F111" s="174">
        <f>SUM(E80:E108)</f>
        <v>49</v>
      </c>
    </row>
    <row r="112" spans="1:8" ht="12.75">
      <c r="A112" s="123"/>
      <c r="B112" s="51"/>
      <c r="C112" s="1"/>
      <c r="D112" s="1"/>
      <c r="E112" s="1"/>
      <c r="F112" s="353" t="s">
        <v>773</v>
      </c>
    </row>
    <row r="113" spans="1:6" ht="12.75">
      <c r="A113" s="123"/>
      <c r="B113" s="51"/>
      <c r="C113" s="1"/>
      <c r="D113" s="1"/>
      <c r="E113" s="1"/>
      <c r="F113" s="174">
        <v>4</v>
      </c>
    </row>
    <row r="114" spans="1:6" ht="12.75">
      <c r="F114" s="10"/>
    </row>
    <row r="115" spans="1:6" ht="12.75" customHeight="1">
      <c r="A115" s="13" t="s">
        <v>1135</v>
      </c>
      <c r="B115" s="13" t="s">
        <v>1127</v>
      </c>
      <c r="C115" s="13" t="s">
        <v>747</v>
      </c>
      <c r="D115" s="13" t="s">
        <v>106</v>
      </c>
      <c r="E115" s="13" t="s">
        <v>782</v>
      </c>
      <c r="F115" s="71" t="s">
        <v>769</v>
      </c>
    </row>
    <row r="116" spans="1:6" ht="12.75">
      <c r="A116" s="478" t="s">
        <v>1139</v>
      </c>
      <c r="B116" s="481" t="s">
        <v>7</v>
      </c>
      <c r="C116" s="5" t="s">
        <v>325</v>
      </c>
      <c r="D116" s="5" t="s">
        <v>111</v>
      </c>
      <c r="E116" s="5">
        <v>1</v>
      </c>
      <c r="F116" s="50">
        <f t="shared" ref="F116:F122" si="3">SUM(E116*$F$126)</f>
        <v>2</v>
      </c>
    </row>
    <row r="117" spans="1:6" ht="12.75">
      <c r="A117" s="479"/>
      <c r="B117" s="482"/>
      <c r="C117" s="5" t="s">
        <v>326</v>
      </c>
      <c r="D117" s="5" t="s">
        <v>111</v>
      </c>
      <c r="E117" s="5">
        <v>1</v>
      </c>
      <c r="F117" s="50">
        <f t="shared" si="3"/>
        <v>2</v>
      </c>
    </row>
    <row r="118" spans="1:6" ht="12.75">
      <c r="A118" s="479"/>
      <c r="B118" s="482"/>
      <c r="C118" s="5" t="s">
        <v>327</v>
      </c>
      <c r="D118" s="5" t="s">
        <v>111</v>
      </c>
      <c r="E118" s="5">
        <v>1</v>
      </c>
      <c r="F118" s="50">
        <f t="shared" si="3"/>
        <v>2</v>
      </c>
    </row>
    <row r="119" spans="1:6" ht="12.75">
      <c r="A119" s="479"/>
      <c r="B119" s="482"/>
      <c r="C119" s="5" t="s">
        <v>328</v>
      </c>
      <c r="D119" s="5" t="s">
        <v>111</v>
      </c>
      <c r="E119" s="5">
        <v>1</v>
      </c>
      <c r="F119" s="50">
        <f t="shared" si="3"/>
        <v>2</v>
      </c>
    </row>
    <row r="120" spans="1:6" ht="12.75">
      <c r="A120" s="479"/>
      <c r="B120" s="482"/>
      <c r="C120" s="5" t="s">
        <v>329</v>
      </c>
      <c r="D120" s="5" t="s">
        <v>111</v>
      </c>
      <c r="E120" s="5">
        <v>1</v>
      </c>
      <c r="F120" s="50">
        <f t="shared" si="3"/>
        <v>2</v>
      </c>
    </row>
    <row r="121" spans="1:6" ht="12.75">
      <c r="A121" s="479"/>
      <c r="B121" s="482"/>
      <c r="C121" s="5" t="s">
        <v>330</v>
      </c>
      <c r="D121" s="5" t="s">
        <v>111</v>
      </c>
      <c r="E121" s="5">
        <v>1</v>
      </c>
      <c r="F121" s="50">
        <f t="shared" si="3"/>
        <v>2</v>
      </c>
    </row>
    <row r="122" spans="1:6" ht="12.75">
      <c r="A122" s="480"/>
      <c r="B122" s="483"/>
      <c r="C122" s="5" t="s">
        <v>438</v>
      </c>
      <c r="D122" s="3" t="s">
        <v>794</v>
      </c>
      <c r="E122" s="5">
        <v>1</v>
      </c>
      <c r="F122" s="50">
        <f t="shared" si="3"/>
        <v>2</v>
      </c>
    </row>
    <row r="123" spans="1:6" ht="12.75">
      <c r="A123" s="123"/>
      <c r="B123" s="51"/>
      <c r="C123" s="1"/>
      <c r="D123" s="9"/>
      <c r="E123" s="1"/>
      <c r="F123" s="12" t="s">
        <v>770</v>
      </c>
    </row>
    <row r="124" spans="1:6" ht="12.75">
      <c r="A124" s="123"/>
      <c r="B124" s="51"/>
      <c r="C124" s="1"/>
      <c r="D124" s="9"/>
      <c r="E124" s="1"/>
      <c r="F124" s="7">
        <f>SUM(E116:E121)</f>
        <v>6</v>
      </c>
    </row>
    <row r="125" spans="1:6" ht="12.75">
      <c r="A125" s="123"/>
      <c r="B125" s="51"/>
      <c r="C125" s="1"/>
      <c r="D125" s="9"/>
      <c r="E125" s="1"/>
      <c r="F125" s="12" t="s">
        <v>773</v>
      </c>
    </row>
    <row r="126" spans="1:6" ht="12.75">
      <c r="A126" s="123"/>
      <c r="B126" s="51"/>
      <c r="C126" s="1"/>
      <c r="D126" s="9"/>
      <c r="E126" s="1"/>
      <c r="F126" s="7">
        <v>2</v>
      </c>
    </row>
    <row r="127" spans="1:6" ht="12.75">
      <c r="A127" s="123"/>
      <c r="B127" s="51"/>
      <c r="C127" s="1"/>
      <c r="D127" s="9"/>
      <c r="E127" s="1"/>
      <c r="F127" s="10"/>
    </row>
    <row r="128" spans="1:6" ht="13.5" thickBot="1">
      <c r="F128" s="10"/>
    </row>
    <row r="129" spans="1:8" ht="12.75">
      <c r="A129" s="13" t="s">
        <v>1135</v>
      </c>
      <c r="B129" s="13" t="s">
        <v>1127</v>
      </c>
      <c r="C129" s="13" t="s">
        <v>747</v>
      </c>
      <c r="D129" s="13" t="s">
        <v>106</v>
      </c>
      <c r="E129" s="13" t="s">
        <v>782</v>
      </c>
      <c r="F129" s="71" t="s">
        <v>769</v>
      </c>
      <c r="G129" s="330" t="s">
        <v>1707</v>
      </c>
      <c r="H129" s="331" t="s">
        <v>1166</v>
      </c>
    </row>
    <row r="130" spans="1:8" ht="12.75">
      <c r="A130" s="478" t="s">
        <v>1140</v>
      </c>
      <c r="B130" s="450" t="s">
        <v>3</v>
      </c>
      <c r="C130" s="3" t="s">
        <v>241</v>
      </c>
      <c r="D130" s="3" t="s">
        <v>242</v>
      </c>
      <c r="E130" s="3">
        <v>1</v>
      </c>
      <c r="F130" s="50">
        <f t="shared" ref="F130:F140" si="4">SUM(E130*$F$144)</f>
        <v>6</v>
      </c>
      <c r="G130" s="333"/>
      <c r="H130" s="334"/>
    </row>
    <row r="131" spans="1:8" ht="12.75">
      <c r="A131" s="479"/>
      <c r="B131" s="451"/>
      <c r="C131" s="3" t="s">
        <v>795</v>
      </c>
      <c r="D131" s="3" t="s">
        <v>111</v>
      </c>
      <c r="E131" s="3">
        <v>1</v>
      </c>
      <c r="F131" s="50">
        <f t="shared" si="4"/>
        <v>6</v>
      </c>
      <c r="G131" s="335"/>
      <c r="H131" s="168"/>
    </row>
    <row r="132" spans="1:8" ht="12.75">
      <c r="A132" s="479"/>
      <c r="B132" s="451"/>
      <c r="C132" s="3" t="s">
        <v>778</v>
      </c>
      <c r="D132" s="3" t="s">
        <v>111</v>
      </c>
      <c r="E132" s="3">
        <v>1</v>
      </c>
      <c r="F132" s="50">
        <f t="shared" si="4"/>
        <v>6</v>
      </c>
      <c r="G132" s="335"/>
      <c r="H132" s="168"/>
    </row>
    <row r="133" spans="1:8" ht="12.75">
      <c r="A133" s="479"/>
      <c r="B133" s="451"/>
      <c r="C133" s="3" t="s">
        <v>590</v>
      </c>
      <c r="D133" s="3" t="s">
        <v>111</v>
      </c>
      <c r="E133" s="3">
        <v>1</v>
      </c>
      <c r="F133" s="50">
        <f t="shared" si="4"/>
        <v>6</v>
      </c>
      <c r="G133" s="335"/>
      <c r="H133" s="168"/>
    </row>
    <row r="134" spans="1:8" ht="12.75">
      <c r="A134" s="479"/>
      <c r="B134" s="451"/>
      <c r="C134" s="3" t="s">
        <v>623</v>
      </c>
      <c r="D134" s="3" t="s">
        <v>529</v>
      </c>
      <c r="E134" s="3">
        <v>1</v>
      </c>
      <c r="F134" s="50">
        <f t="shared" si="4"/>
        <v>6</v>
      </c>
      <c r="G134" s="335"/>
      <c r="H134" s="168"/>
    </row>
    <row r="135" spans="1:8" ht="12.75">
      <c r="A135" s="479"/>
      <c r="B135" s="451"/>
      <c r="C135" s="3" t="s">
        <v>651</v>
      </c>
      <c r="D135" s="3" t="s">
        <v>111</v>
      </c>
      <c r="E135" s="3">
        <v>1</v>
      </c>
      <c r="F135" s="50">
        <f t="shared" si="4"/>
        <v>6</v>
      </c>
      <c r="G135" s="335"/>
      <c r="H135" s="168"/>
    </row>
    <row r="136" spans="1:8" ht="12.75">
      <c r="A136" s="479"/>
      <c r="B136" s="451"/>
      <c r="C136" s="3" t="s">
        <v>656</v>
      </c>
      <c r="D136" s="3" t="s">
        <v>529</v>
      </c>
      <c r="E136" s="3">
        <v>1</v>
      </c>
      <c r="F136" s="50">
        <f t="shared" si="4"/>
        <v>6</v>
      </c>
      <c r="G136" s="335"/>
      <c r="H136" s="168"/>
    </row>
    <row r="137" spans="1:8" ht="12.75">
      <c r="A137" s="479"/>
      <c r="B137" s="451"/>
      <c r="C137" s="3" t="s">
        <v>657</v>
      </c>
      <c r="D137" s="3" t="s">
        <v>529</v>
      </c>
      <c r="E137" s="3">
        <v>1</v>
      </c>
      <c r="F137" s="50">
        <f t="shared" si="4"/>
        <v>6</v>
      </c>
      <c r="G137" s="335"/>
      <c r="H137" s="168"/>
    </row>
    <row r="138" spans="1:8" ht="12.75">
      <c r="A138" s="479"/>
      <c r="B138" s="451"/>
      <c r="C138" s="3" t="s">
        <v>658</v>
      </c>
      <c r="D138" s="3" t="s">
        <v>529</v>
      </c>
      <c r="E138" s="3">
        <v>1</v>
      </c>
      <c r="F138" s="50">
        <f t="shared" si="4"/>
        <v>6</v>
      </c>
      <c r="G138" s="335"/>
      <c r="H138" s="168"/>
    </row>
    <row r="139" spans="1:8" ht="12.75">
      <c r="A139" s="479"/>
      <c r="B139" s="451"/>
      <c r="C139" s="3" t="s">
        <v>698</v>
      </c>
      <c r="D139" s="3" t="s">
        <v>242</v>
      </c>
      <c r="E139" s="3">
        <v>1</v>
      </c>
      <c r="F139" s="50">
        <f t="shared" si="4"/>
        <v>6</v>
      </c>
      <c r="G139" s="335"/>
      <c r="H139" s="168"/>
    </row>
    <row r="140" spans="1:8" ht="13.5" thickBot="1">
      <c r="A140" s="480"/>
      <c r="B140" s="452"/>
      <c r="C140" s="3" t="s">
        <v>438</v>
      </c>
      <c r="D140" s="3" t="s">
        <v>796</v>
      </c>
      <c r="E140" s="3">
        <v>1</v>
      </c>
      <c r="F140" s="50">
        <f t="shared" si="4"/>
        <v>6</v>
      </c>
      <c r="G140" s="343"/>
      <c r="H140" s="332"/>
    </row>
    <row r="141" spans="1:8" ht="12.75">
      <c r="A141" s="123"/>
      <c r="B141" s="42"/>
      <c r="C141" s="9"/>
      <c r="D141" s="9"/>
      <c r="E141" s="9"/>
      <c r="F141" s="353" t="s">
        <v>770</v>
      </c>
      <c r="G141" s="355"/>
      <c r="H141" s="355"/>
    </row>
    <row r="142" spans="1:8" ht="12.75">
      <c r="A142" s="123"/>
      <c r="B142" s="42"/>
      <c r="C142" s="9"/>
      <c r="D142" s="9"/>
      <c r="E142" s="9"/>
      <c r="F142" s="174">
        <f>SUM(E130:E139)</f>
        <v>10</v>
      </c>
      <c r="G142" s="356"/>
      <c r="H142" s="356"/>
    </row>
    <row r="143" spans="1:8" ht="12.75">
      <c r="A143" s="123"/>
      <c r="B143" s="42"/>
      <c r="C143" s="9"/>
      <c r="D143" s="9"/>
      <c r="E143" s="9"/>
      <c r="F143" s="353" t="s">
        <v>773</v>
      </c>
      <c r="G143" s="356"/>
      <c r="H143" s="356"/>
    </row>
    <row r="144" spans="1:8" ht="12.75">
      <c r="A144" s="123"/>
      <c r="B144" s="42"/>
      <c r="C144" s="9"/>
      <c r="D144" s="9"/>
      <c r="E144" s="9"/>
      <c r="F144" s="7">
        <v>6</v>
      </c>
    </row>
    <row r="145" spans="1:8" ht="13.5" thickBot="1">
      <c r="F145" s="10"/>
    </row>
    <row r="146" spans="1:8" ht="12.75" customHeight="1">
      <c r="A146" s="13" t="s">
        <v>1135</v>
      </c>
      <c r="B146" s="13" t="s">
        <v>1127</v>
      </c>
      <c r="C146" s="13" t="s">
        <v>747</v>
      </c>
      <c r="D146" s="13" t="s">
        <v>106</v>
      </c>
      <c r="E146" s="13" t="s">
        <v>782</v>
      </c>
      <c r="F146" s="71" t="s">
        <v>769</v>
      </c>
      <c r="G146" s="330" t="s">
        <v>1707</v>
      </c>
      <c r="H146" s="331" t="s">
        <v>1166</v>
      </c>
    </row>
    <row r="147" spans="1:8" ht="12.75">
      <c r="A147" s="478" t="s">
        <v>1141</v>
      </c>
      <c r="B147" s="481" t="s">
        <v>11</v>
      </c>
      <c r="C147" s="5" t="s">
        <v>124</v>
      </c>
      <c r="D147" s="5" t="s">
        <v>125</v>
      </c>
      <c r="E147" s="5">
        <v>2</v>
      </c>
      <c r="F147" s="50">
        <f t="shared" ref="F147:F174" si="5">SUM(E147*$F$178)</f>
        <v>4</v>
      </c>
      <c r="G147" s="333"/>
      <c r="H147" s="334"/>
    </row>
    <row r="148" spans="1:8" ht="12.75">
      <c r="A148" s="479"/>
      <c r="B148" s="482"/>
      <c r="C148" s="3" t="s">
        <v>37</v>
      </c>
      <c r="D148" s="3" t="s">
        <v>245</v>
      </c>
      <c r="E148" s="3">
        <v>1</v>
      </c>
      <c r="F148" s="50">
        <f t="shared" si="5"/>
        <v>2</v>
      </c>
      <c r="G148" s="335"/>
      <c r="H148" s="168"/>
    </row>
    <row r="149" spans="1:8" ht="12.75">
      <c r="A149" s="479"/>
      <c r="B149" s="482"/>
      <c r="C149" s="3" t="s">
        <v>291</v>
      </c>
      <c r="D149" s="3" t="s">
        <v>772</v>
      </c>
      <c r="E149" s="3">
        <v>1</v>
      </c>
      <c r="F149" s="50">
        <f t="shared" si="5"/>
        <v>2</v>
      </c>
      <c r="G149" s="335"/>
      <c r="H149" s="168"/>
    </row>
    <row r="150" spans="1:8" ht="12.75">
      <c r="A150" s="479"/>
      <c r="B150" s="482"/>
      <c r="C150" s="3" t="s">
        <v>413</v>
      </c>
      <c r="D150" s="3" t="s">
        <v>414</v>
      </c>
      <c r="E150" s="3">
        <v>1</v>
      </c>
      <c r="F150" s="50">
        <f t="shared" si="5"/>
        <v>2</v>
      </c>
      <c r="G150" s="335"/>
      <c r="H150" s="168"/>
    </row>
    <row r="151" spans="1:8" ht="12.75">
      <c r="A151" s="479"/>
      <c r="B151" s="482"/>
      <c r="C151" s="3" t="s">
        <v>415</v>
      </c>
      <c r="D151" s="3" t="s">
        <v>416</v>
      </c>
      <c r="E151" s="3">
        <v>1</v>
      </c>
      <c r="F151" s="50">
        <f t="shared" si="5"/>
        <v>2</v>
      </c>
      <c r="G151" s="335"/>
      <c r="H151" s="168"/>
    </row>
    <row r="152" spans="1:8" ht="12.75">
      <c r="A152" s="479"/>
      <c r="B152" s="482"/>
      <c r="C152" s="3" t="s">
        <v>417</v>
      </c>
      <c r="D152" s="3" t="s">
        <v>418</v>
      </c>
      <c r="E152" s="3">
        <v>1</v>
      </c>
      <c r="F152" s="50">
        <f t="shared" si="5"/>
        <v>2</v>
      </c>
      <c r="G152" s="335"/>
      <c r="H152" s="168"/>
    </row>
    <row r="153" spans="1:8" ht="12.75">
      <c r="A153" s="479"/>
      <c r="B153" s="482"/>
      <c r="C153" s="3" t="s">
        <v>468</v>
      </c>
      <c r="D153" s="3" t="s">
        <v>245</v>
      </c>
      <c r="E153" s="3">
        <v>1</v>
      </c>
      <c r="F153" s="50">
        <f t="shared" si="5"/>
        <v>2</v>
      </c>
      <c r="G153" s="335"/>
      <c r="H153" s="168"/>
    </row>
    <row r="154" spans="1:8" ht="12.75">
      <c r="A154" s="479"/>
      <c r="B154" s="482"/>
      <c r="C154" s="5" t="s">
        <v>526</v>
      </c>
      <c r="D154" s="5" t="s">
        <v>335</v>
      </c>
      <c r="E154" s="5">
        <v>3</v>
      </c>
      <c r="F154" s="50">
        <f t="shared" si="5"/>
        <v>6</v>
      </c>
      <c r="G154" s="335"/>
      <c r="H154" s="168"/>
    </row>
    <row r="155" spans="1:8" ht="12.75">
      <c r="A155" s="479"/>
      <c r="B155" s="482"/>
      <c r="C155" s="3" t="s">
        <v>528</v>
      </c>
      <c r="D155" s="3" t="s">
        <v>111</v>
      </c>
      <c r="E155" s="3">
        <v>1</v>
      </c>
      <c r="F155" s="50">
        <f t="shared" si="5"/>
        <v>2</v>
      </c>
      <c r="G155" s="335"/>
      <c r="H155" s="168"/>
    </row>
    <row r="156" spans="1:8" ht="12.75">
      <c r="A156" s="479"/>
      <c r="B156" s="482"/>
      <c r="C156" s="3" t="s">
        <v>774</v>
      </c>
      <c r="D156" s="3" t="s">
        <v>533</v>
      </c>
      <c r="E156" s="3">
        <v>4</v>
      </c>
      <c r="F156" s="50">
        <f t="shared" si="5"/>
        <v>8</v>
      </c>
      <c r="G156" s="335"/>
      <c r="H156" s="168"/>
    </row>
    <row r="157" spans="1:8" ht="12.75">
      <c r="A157" s="479"/>
      <c r="B157" s="482"/>
      <c r="C157" s="3" t="s">
        <v>778</v>
      </c>
      <c r="D157" s="3" t="s">
        <v>111</v>
      </c>
      <c r="E157" s="3">
        <v>1</v>
      </c>
      <c r="F157" s="50">
        <f t="shared" si="5"/>
        <v>2</v>
      </c>
      <c r="G157" s="335"/>
      <c r="H157" s="168"/>
    </row>
    <row r="158" spans="1:8" ht="12.75">
      <c r="A158" s="479"/>
      <c r="B158" s="482"/>
      <c r="C158" s="3" t="s">
        <v>580</v>
      </c>
      <c r="D158" s="3" t="s">
        <v>335</v>
      </c>
      <c r="E158" s="3">
        <v>1</v>
      </c>
      <c r="F158" s="50">
        <f t="shared" si="5"/>
        <v>2</v>
      </c>
      <c r="G158" s="335"/>
      <c r="H158" s="168"/>
    </row>
    <row r="159" spans="1:8" ht="12.75">
      <c r="A159" s="479"/>
      <c r="B159" s="482"/>
      <c r="C159" s="3" t="s">
        <v>586</v>
      </c>
      <c r="D159" s="3" t="s">
        <v>242</v>
      </c>
      <c r="E159" s="3">
        <v>4</v>
      </c>
      <c r="F159" s="50">
        <f t="shared" si="5"/>
        <v>8</v>
      </c>
      <c r="G159" s="335"/>
      <c r="H159" s="168"/>
    </row>
    <row r="160" spans="1:8" ht="12.75">
      <c r="A160" s="479"/>
      <c r="B160" s="482"/>
      <c r="C160" s="3" t="s">
        <v>590</v>
      </c>
      <c r="D160" s="3" t="s">
        <v>111</v>
      </c>
      <c r="E160" s="3">
        <v>1</v>
      </c>
      <c r="F160" s="50">
        <f t="shared" si="5"/>
        <v>2</v>
      </c>
      <c r="G160" s="335"/>
      <c r="H160" s="168"/>
    </row>
    <row r="161" spans="1:8" ht="12.75">
      <c r="A161" s="479"/>
      <c r="B161" s="482"/>
      <c r="C161" s="5" t="s">
        <v>610</v>
      </c>
      <c r="D161" s="5" t="s">
        <v>113</v>
      </c>
      <c r="E161" s="5">
        <v>4</v>
      </c>
      <c r="F161" s="50">
        <f t="shared" si="5"/>
        <v>8</v>
      </c>
      <c r="G161" s="335"/>
      <c r="H161" s="168"/>
    </row>
    <row r="162" spans="1:8" ht="12.75">
      <c r="A162" s="479"/>
      <c r="B162" s="482"/>
      <c r="C162" s="5" t="s">
        <v>611</v>
      </c>
      <c r="D162" s="5" t="s">
        <v>113</v>
      </c>
      <c r="E162" s="5">
        <v>2</v>
      </c>
      <c r="F162" s="50">
        <f t="shared" si="5"/>
        <v>4</v>
      </c>
      <c r="G162" s="335"/>
      <c r="H162" s="168"/>
    </row>
    <row r="163" spans="1:8" ht="12.75">
      <c r="A163" s="479"/>
      <c r="B163" s="482"/>
      <c r="C163" s="5" t="s">
        <v>797</v>
      </c>
      <c r="D163" s="5" t="s">
        <v>113</v>
      </c>
      <c r="E163" s="5">
        <v>2</v>
      </c>
      <c r="F163" s="50">
        <f t="shared" si="5"/>
        <v>4</v>
      </c>
      <c r="G163" s="335"/>
      <c r="H163" s="168"/>
    </row>
    <row r="164" spans="1:8" ht="12.75">
      <c r="A164" s="479"/>
      <c r="B164" s="482"/>
      <c r="C164" s="5" t="s">
        <v>793</v>
      </c>
      <c r="D164" s="5" t="s">
        <v>529</v>
      </c>
      <c r="E164" s="5">
        <v>1</v>
      </c>
      <c r="F164" s="50">
        <f t="shared" si="5"/>
        <v>2</v>
      </c>
      <c r="G164" s="335"/>
      <c r="H164" s="168"/>
    </row>
    <row r="165" spans="1:8" ht="12.75">
      <c r="A165" s="479"/>
      <c r="B165" s="482"/>
      <c r="C165" s="5" t="s">
        <v>640</v>
      </c>
      <c r="D165" s="5" t="s">
        <v>335</v>
      </c>
      <c r="E165" s="5">
        <v>2</v>
      </c>
      <c r="F165" s="50">
        <f t="shared" si="5"/>
        <v>4</v>
      </c>
      <c r="G165" s="335"/>
      <c r="H165" s="168"/>
    </row>
    <row r="166" spans="1:8" ht="12.75">
      <c r="A166" s="479"/>
      <c r="B166" s="482"/>
      <c r="C166" s="5" t="s">
        <v>643</v>
      </c>
      <c r="D166" s="5" t="s">
        <v>529</v>
      </c>
      <c r="E166" s="5">
        <v>2</v>
      </c>
      <c r="F166" s="50">
        <f t="shared" si="5"/>
        <v>4</v>
      </c>
      <c r="G166" s="335"/>
      <c r="H166" s="168"/>
    </row>
    <row r="167" spans="1:8" ht="12.75">
      <c r="A167" s="479"/>
      <c r="B167" s="482"/>
      <c r="C167" s="5" t="s">
        <v>644</v>
      </c>
      <c r="D167" s="5" t="s">
        <v>335</v>
      </c>
      <c r="E167" s="5">
        <v>1</v>
      </c>
      <c r="F167" s="50">
        <f t="shared" si="5"/>
        <v>2</v>
      </c>
      <c r="G167" s="335"/>
      <c r="H167" s="168"/>
    </row>
    <row r="168" spans="1:8" ht="12.75">
      <c r="A168" s="479"/>
      <c r="B168" s="482"/>
      <c r="C168" s="3" t="s">
        <v>651</v>
      </c>
      <c r="D168" s="3" t="s">
        <v>111</v>
      </c>
      <c r="E168" s="3">
        <v>1</v>
      </c>
      <c r="F168" s="50">
        <f t="shared" si="5"/>
        <v>2</v>
      </c>
      <c r="G168" s="335"/>
      <c r="H168" s="168"/>
    </row>
    <row r="169" spans="1:8" ht="12.75">
      <c r="A169" s="479"/>
      <c r="B169" s="482"/>
      <c r="C169" s="5" t="s">
        <v>666</v>
      </c>
      <c r="D169" s="5" t="s">
        <v>529</v>
      </c>
      <c r="E169" s="5">
        <v>2</v>
      </c>
      <c r="F169" s="50">
        <f t="shared" si="5"/>
        <v>4</v>
      </c>
      <c r="G169" s="335"/>
      <c r="H169" s="168"/>
    </row>
    <row r="170" spans="1:8" ht="12.75">
      <c r="A170" s="479"/>
      <c r="B170" s="482"/>
      <c r="C170" s="3" t="s">
        <v>687</v>
      </c>
      <c r="D170" s="3" t="s">
        <v>335</v>
      </c>
      <c r="E170" s="3">
        <v>1</v>
      </c>
      <c r="F170" s="50">
        <f t="shared" si="5"/>
        <v>2</v>
      </c>
      <c r="G170" s="335"/>
      <c r="H170" s="168"/>
    </row>
    <row r="171" spans="1:8" ht="12.75">
      <c r="A171" s="479"/>
      <c r="B171" s="482"/>
      <c r="C171" s="3" t="s">
        <v>688</v>
      </c>
      <c r="D171" s="3" t="s">
        <v>335</v>
      </c>
      <c r="E171" s="3">
        <v>1</v>
      </c>
      <c r="F171" s="50">
        <f t="shared" si="5"/>
        <v>2</v>
      </c>
      <c r="G171" s="335"/>
      <c r="H171" s="168"/>
    </row>
    <row r="172" spans="1:8" ht="12.75">
      <c r="A172" s="479"/>
      <c r="B172" s="482"/>
      <c r="C172" s="5" t="s">
        <v>713</v>
      </c>
      <c r="D172" s="5" t="s">
        <v>303</v>
      </c>
      <c r="E172" s="5">
        <v>1</v>
      </c>
      <c r="F172" s="50">
        <f t="shared" si="5"/>
        <v>2</v>
      </c>
      <c r="G172" s="335"/>
      <c r="H172" s="168"/>
    </row>
    <row r="173" spans="1:8" ht="12.75">
      <c r="A173" s="479"/>
      <c r="B173" s="482"/>
      <c r="C173" s="3" t="s">
        <v>716</v>
      </c>
      <c r="D173" s="3" t="s">
        <v>288</v>
      </c>
      <c r="E173" s="3">
        <v>1</v>
      </c>
      <c r="F173" s="50">
        <f t="shared" si="5"/>
        <v>2</v>
      </c>
      <c r="G173" s="335"/>
      <c r="H173" s="168"/>
    </row>
    <row r="174" spans="1:8" ht="13.5" thickBot="1">
      <c r="A174" s="480"/>
      <c r="B174" s="483"/>
      <c r="C174" s="5" t="s">
        <v>438</v>
      </c>
      <c r="D174" s="3" t="s">
        <v>786</v>
      </c>
      <c r="E174" s="5">
        <v>1</v>
      </c>
      <c r="F174" s="50">
        <f t="shared" si="5"/>
        <v>2</v>
      </c>
      <c r="G174" s="357"/>
      <c r="H174" s="169"/>
    </row>
    <row r="175" spans="1:8" ht="12.75">
      <c r="F175" s="13" t="s">
        <v>770</v>
      </c>
    </row>
    <row r="176" spans="1:8" ht="12.75">
      <c r="F176" s="7">
        <f>SUM(E147:E173)</f>
        <v>44</v>
      </c>
    </row>
    <row r="177" spans="6:6" ht="12.75">
      <c r="F177" s="12" t="s">
        <v>773</v>
      </c>
    </row>
    <row r="178" spans="6:6" ht="12.75">
      <c r="F178" s="7">
        <v>2</v>
      </c>
    </row>
    <row r="179" spans="6:6" ht="12.75"/>
    <row r="180" spans="6:6" ht="12.75">
      <c r="F180" s="10"/>
    </row>
    <row r="181" spans="6:6" ht="12.75">
      <c r="F181" s="10"/>
    </row>
    <row r="182" spans="6:6" ht="12.75">
      <c r="F182" s="10"/>
    </row>
    <row r="183" spans="6:6" ht="12.75">
      <c r="F183" s="10"/>
    </row>
    <row r="184" spans="6:6" ht="12.75">
      <c r="F184" s="10"/>
    </row>
    <row r="185" spans="6:6" ht="12.75">
      <c r="F185" s="10"/>
    </row>
    <row r="186" spans="6:6" ht="12.75">
      <c r="F186" s="10"/>
    </row>
    <row r="187" spans="6:6" ht="12.75">
      <c r="F187" s="10"/>
    </row>
    <row r="188" spans="6:6" ht="12.75">
      <c r="F188" s="10"/>
    </row>
    <row r="189" spans="6:6" ht="12.75">
      <c r="F189" s="10"/>
    </row>
    <row r="190" spans="6:6" ht="12.75">
      <c r="F190" s="10"/>
    </row>
    <row r="191" spans="6:6" ht="12.75">
      <c r="F191" s="10"/>
    </row>
    <row r="192" spans="6:6" ht="12.75">
      <c r="F192" s="10"/>
    </row>
    <row r="193" spans="6:6" ht="12.75">
      <c r="F193" s="10"/>
    </row>
    <row r="194" spans="6:6" ht="12.75">
      <c r="F194" s="10"/>
    </row>
    <row r="195" spans="6:6" ht="12.75">
      <c r="F195" s="10"/>
    </row>
    <row r="196" spans="6:6" ht="12.75">
      <c r="F196" s="10"/>
    </row>
    <row r="197" spans="6:6" ht="12.75">
      <c r="F197" s="10"/>
    </row>
    <row r="198" spans="6:6" ht="12.75">
      <c r="F198" s="10"/>
    </row>
    <row r="199" spans="6:6" ht="12.75">
      <c r="F199" s="10"/>
    </row>
    <row r="200" spans="6:6" ht="12.75">
      <c r="F200" s="10"/>
    </row>
    <row r="201" spans="6:6" ht="12.75">
      <c r="F201" s="10"/>
    </row>
    <row r="202" spans="6:6" ht="12.75">
      <c r="F202" s="10"/>
    </row>
    <row r="203" spans="6:6" ht="12.75">
      <c r="F203" s="10"/>
    </row>
    <row r="204" spans="6:6" ht="12.75">
      <c r="F204" s="10"/>
    </row>
    <row r="205" spans="6:6" ht="12.75">
      <c r="F205" s="10"/>
    </row>
    <row r="206" spans="6:6" ht="12.75">
      <c r="F206" s="10"/>
    </row>
    <row r="207" spans="6:6" ht="12.75">
      <c r="F207" s="10"/>
    </row>
    <row r="208" spans="6:6" ht="12.75">
      <c r="F208" s="10"/>
    </row>
    <row r="209" spans="6:6" ht="12.75">
      <c r="F209" s="10"/>
    </row>
    <row r="210" spans="6:6" ht="12.75">
      <c r="F210" s="10"/>
    </row>
    <row r="211" spans="6:6" ht="12.75">
      <c r="F211" s="10"/>
    </row>
    <row r="212" spans="6:6" ht="12.75">
      <c r="F212" s="10"/>
    </row>
    <row r="213" spans="6:6" ht="12.75">
      <c r="F213" s="10"/>
    </row>
    <row r="214" spans="6:6" ht="12.75">
      <c r="F214" s="10"/>
    </row>
    <row r="215" spans="6:6" ht="12.75">
      <c r="F215" s="10"/>
    </row>
    <row r="216" spans="6:6" ht="12.75">
      <c r="F216" s="10"/>
    </row>
    <row r="217" spans="6:6" ht="12.75">
      <c r="F217" s="10"/>
    </row>
    <row r="218" spans="6:6" ht="12.75">
      <c r="F218" s="10"/>
    </row>
    <row r="219" spans="6:6" ht="12.75">
      <c r="F219" s="10"/>
    </row>
    <row r="220" spans="6:6" ht="12.75">
      <c r="F220" s="10"/>
    </row>
    <row r="221" spans="6:6" ht="12.75">
      <c r="F221" s="10"/>
    </row>
    <row r="222" spans="6:6" ht="12.75">
      <c r="F222" s="10"/>
    </row>
    <row r="223" spans="6:6" ht="12.75">
      <c r="F223" s="10"/>
    </row>
    <row r="224" spans="6:6" ht="12.75">
      <c r="F224" s="10"/>
    </row>
    <row r="225" spans="6:6" ht="12.75">
      <c r="F225" s="10"/>
    </row>
    <row r="226" spans="6:6" ht="12.75">
      <c r="F226" s="10"/>
    </row>
    <row r="227" spans="6:6" ht="12.75">
      <c r="F227" s="10"/>
    </row>
    <row r="228" spans="6:6" ht="12.75">
      <c r="F228" s="10"/>
    </row>
    <row r="229" spans="6:6" ht="12.75">
      <c r="F229" s="10"/>
    </row>
    <row r="230" spans="6:6" ht="12.75">
      <c r="F230" s="10"/>
    </row>
    <row r="231" spans="6:6" ht="12.75">
      <c r="F231" s="10"/>
    </row>
    <row r="232" spans="6:6" ht="12.75">
      <c r="F232" s="10"/>
    </row>
    <row r="233" spans="6:6" ht="12.75">
      <c r="F233" s="10"/>
    </row>
    <row r="234" spans="6:6" ht="12.75">
      <c r="F234" s="10"/>
    </row>
    <row r="235" spans="6:6" ht="12.75">
      <c r="F235" s="10"/>
    </row>
    <row r="236" spans="6:6" ht="12.75">
      <c r="F236" s="10"/>
    </row>
    <row r="237" spans="6:6" ht="12.75">
      <c r="F237" s="10"/>
    </row>
    <row r="238" spans="6:6" ht="12.75">
      <c r="F238" s="10"/>
    </row>
    <row r="239" spans="6:6" ht="12.75">
      <c r="F239" s="10"/>
    </row>
    <row r="240" spans="6:6" ht="12.75">
      <c r="F240" s="10"/>
    </row>
    <row r="241" spans="6:6" ht="12.75">
      <c r="F241" s="10"/>
    </row>
    <row r="242" spans="6:6" ht="12.75">
      <c r="F242" s="10"/>
    </row>
    <row r="243" spans="6:6" ht="12.75">
      <c r="F243" s="10"/>
    </row>
    <row r="244" spans="6:6" ht="12.75">
      <c r="F244" s="10"/>
    </row>
    <row r="245" spans="6:6" ht="12.75">
      <c r="F245" s="10"/>
    </row>
    <row r="246" spans="6:6" ht="12.75">
      <c r="F246" s="10"/>
    </row>
    <row r="247" spans="6:6" ht="12.75">
      <c r="F247" s="10"/>
    </row>
    <row r="248" spans="6:6" ht="12.75">
      <c r="F248" s="10"/>
    </row>
    <row r="249" spans="6:6" ht="12.75">
      <c r="F249" s="10"/>
    </row>
    <row r="250" spans="6:6" ht="12.75">
      <c r="F250" s="10"/>
    </row>
    <row r="251" spans="6:6" ht="12.75">
      <c r="F251" s="10"/>
    </row>
    <row r="252" spans="6:6" ht="12.75">
      <c r="F252" s="10"/>
    </row>
    <row r="253" spans="6:6" ht="12.75">
      <c r="F253" s="10"/>
    </row>
    <row r="254" spans="6:6" ht="12.75">
      <c r="F254" s="10"/>
    </row>
    <row r="255" spans="6:6" ht="12.75">
      <c r="F255" s="10"/>
    </row>
    <row r="256" spans="6:6" ht="12.75">
      <c r="F256" s="10"/>
    </row>
    <row r="257" spans="6:6" ht="12.75">
      <c r="F257" s="10"/>
    </row>
    <row r="258" spans="6:6" ht="12.75">
      <c r="F258" s="10"/>
    </row>
    <row r="259" spans="6:6" ht="12.75">
      <c r="F259" s="10"/>
    </row>
    <row r="260" spans="6:6" ht="12.75">
      <c r="F260" s="10"/>
    </row>
    <row r="261" spans="6:6" ht="12.75">
      <c r="F261" s="10"/>
    </row>
    <row r="262" spans="6:6" ht="12.75">
      <c r="F262" s="10"/>
    </row>
    <row r="263" spans="6:6" ht="12.75">
      <c r="F263" s="10"/>
    </row>
    <row r="264" spans="6:6" ht="12.75">
      <c r="F264" s="10"/>
    </row>
    <row r="265" spans="6:6" ht="12.75">
      <c r="F265" s="10"/>
    </row>
    <row r="266" spans="6:6" ht="12.75">
      <c r="F266" s="10"/>
    </row>
    <row r="267" spans="6:6" ht="12.75">
      <c r="F267" s="10"/>
    </row>
    <row r="268" spans="6:6" ht="12.75">
      <c r="F268" s="10"/>
    </row>
    <row r="269" spans="6:6" ht="12.75">
      <c r="F269" s="10"/>
    </row>
    <row r="270" spans="6:6" ht="12.75">
      <c r="F270" s="10"/>
    </row>
    <row r="271" spans="6:6" ht="12.75">
      <c r="F271" s="10"/>
    </row>
    <row r="272" spans="6:6" ht="12.75">
      <c r="F272" s="10"/>
    </row>
    <row r="273" spans="6:6" ht="12.75">
      <c r="F273" s="10"/>
    </row>
    <row r="274" spans="6:6" ht="12.75">
      <c r="F274" s="10"/>
    </row>
    <row r="275" spans="6:6" ht="12.75">
      <c r="F275" s="10"/>
    </row>
    <row r="276" spans="6:6" ht="12.75">
      <c r="F276" s="10"/>
    </row>
    <row r="277" spans="6:6" ht="12.75">
      <c r="F277" s="10"/>
    </row>
    <row r="278" spans="6:6" ht="12.75">
      <c r="F278" s="10"/>
    </row>
    <row r="279" spans="6:6" ht="12.75">
      <c r="F279" s="10"/>
    </row>
    <row r="280" spans="6:6" ht="12.75">
      <c r="F280" s="10"/>
    </row>
    <row r="281" spans="6:6" ht="12.75">
      <c r="F281" s="10"/>
    </row>
    <row r="282" spans="6:6" ht="12.75">
      <c r="F282" s="10"/>
    </row>
    <row r="283" spans="6:6" ht="12.75">
      <c r="F283" s="10"/>
    </row>
    <row r="284" spans="6:6" ht="12.75">
      <c r="F284" s="10"/>
    </row>
    <row r="285" spans="6:6" ht="12.75">
      <c r="F285" s="10"/>
    </row>
    <row r="286" spans="6:6" ht="12.75">
      <c r="F286" s="10"/>
    </row>
    <row r="287" spans="6:6" ht="12.75">
      <c r="F287" s="10"/>
    </row>
    <row r="288" spans="6:6" ht="12.75">
      <c r="F288" s="10"/>
    </row>
    <row r="289" spans="6:6" ht="12.75">
      <c r="F289" s="10"/>
    </row>
    <row r="290" spans="6:6" ht="12.75">
      <c r="F290" s="10"/>
    </row>
    <row r="291" spans="6:6" ht="12.75">
      <c r="F291" s="10"/>
    </row>
    <row r="292" spans="6:6" ht="12.75">
      <c r="F292" s="10"/>
    </row>
    <row r="293" spans="6:6" ht="12.75">
      <c r="F293" s="10"/>
    </row>
    <row r="294" spans="6:6" ht="12.75">
      <c r="F294" s="10"/>
    </row>
    <row r="295" spans="6:6" ht="12.75">
      <c r="F295" s="10"/>
    </row>
    <row r="296" spans="6:6" ht="12.75">
      <c r="F296" s="10"/>
    </row>
    <row r="297" spans="6:6" ht="12.75">
      <c r="F297" s="10"/>
    </row>
    <row r="298" spans="6:6" ht="12.75">
      <c r="F298" s="10"/>
    </row>
    <row r="299" spans="6:6" ht="12.75">
      <c r="F299" s="10"/>
    </row>
    <row r="300" spans="6:6" ht="12.75">
      <c r="F300" s="10"/>
    </row>
    <row r="301" spans="6:6" ht="12.75">
      <c r="F301" s="10"/>
    </row>
    <row r="302" spans="6:6" ht="12.75">
      <c r="F302" s="10"/>
    </row>
    <row r="303" spans="6:6" ht="12.75">
      <c r="F303" s="10"/>
    </row>
    <row r="304" spans="6:6" ht="12.75">
      <c r="F304" s="10"/>
    </row>
    <row r="305" spans="6:6" ht="12.75">
      <c r="F305" s="10"/>
    </row>
    <row r="306" spans="6:6" ht="12.75">
      <c r="F306" s="10"/>
    </row>
    <row r="307" spans="6:6" ht="12.75">
      <c r="F307" s="10"/>
    </row>
    <row r="308" spans="6:6" ht="12.75">
      <c r="F308" s="10"/>
    </row>
    <row r="309" spans="6:6" ht="12.75">
      <c r="F309" s="10"/>
    </row>
    <row r="310" spans="6:6" ht="12.75">
      <c r="F310" s="10"/>
    </row>
    <row r="311" spans="6:6" ht="12.75">
      <c r="F311" s="10"/>
    </row>
    <row r="312" spans="6:6" ht="12.75">
      <c r="F312" s="10"/>
    </row>
    <row r="313" spans="6:6" ht="12.75">
      <c r="F313" s="10"/>
    </row>
    <row r="314" spans="6:6" ht="12.75">
      <c r="F314" s="10"/>
    </row>
    <row r="315" spans="6:6" ht="12.75">
      <c r="F315" s="10"/>
    </row>
    <row r="316" spans="6:6" ht="12.75">
      <c r="F316" s="10"/>
    </row>
    <row r="317" spans="6:6" ht="12.75">
      <c r="F317" s="10"/>
    </row>
    <row r="318" spans="6:6" ht="12.75">
      <c r="F318" s="10"/>
    </row>
    <row r="319" spans="6:6" ht="12.75">
      <c r="F319" s="10"/>
    </row>
    <row r="320" spans="6:6" ht="12.75">
      <c r="F320" s="10"/>
    </row>
    <row r="321" spans="6:6" ht="12.75">
      <c r="F321" s="10"/>
    </row>
    <row r="322" spans="6:6" ht="12.75">
      <c r="F322" s="10"/>
    </row>
    <row r="323" spans="6:6" ht="12.75">
      <c r="F323" s="10"/>
    </row>
    <row r="324" spans="6:6" ht="12.75">
      <c r="F324" s="10"/>
    </row>
    <row r="325" spans="6:6" ht="12.75">
      <c r="F325" s="10"/>
    </row>
    <row r="326" spans="6:6" ht="12.75">
      <c r="F326" s="10"/>
    </row>
    <row r="327" spans="6:6" ht="12.75">
      <c r="F327" s="10"/>
    </row>
    <row r="328" spans="6:6" ht="12.75">
      <c r="F328" s="10"/>
    </row>
    <row r="329" spans="6:6" ht="12.75">
      <c r="F329" s="10"/>
    </row>
    <row r="330" spans="6:6" ht="12.75">
      <c r="F330" s="10"/>
    </row>
    <row r="331" spans="6:6" ht="12.75">
      <c r="F331" s="10"/>
    </row>
    <row r="332" spans="6:6" ht="12.75">
      <c r="F332" s="10"/>
    </row>
    <row r="333" spans="6:6" ht="12.75">
      <c r="F333" s="10"/>
    </row>
    <row r="334" spans="6:6" ht="12.75">
      <c r="F334" s="10"/>
    </row>
    <row r="335" spans="6:6" ht="12.75">
      <c r="F335" s="10"/>
    </row>
    <row r="336" spans="6:6" ht="12.75">
      <c r="F336" s="10"/>
    </row>
    <row r="337" spans="6:6" ht="12.75">
      <c r="F337" s="10"/>
    </row>
    <row r="338" spans="6:6" ht="12.75">
      <c r="F338" s="10"/>
    </row>
    <row r="339" spans="6:6" ht="12.75">
      <c r="F339" s="10"/>
    </row>
    <row r="340" spans="6:6" ht="12.75">
      <c r="F340" s="10"/>
    </row>
    <row r="341" spans="6:6" ht="12.75">
      <c r="F341" s="10"/>
    </row>
    <row r="342" spans="6:6" ht="12.75">
      <c r="F342" s="10"/>
    </row>
    <row r="343" spans="6:6" ht="12.75">
      <c r="F343" s="10"/>
    </row>
    <row r="344" spans="6:6" ht="12.75">
      <c r="F344" s="10"/>
    </row>
    <row r="345" spans="6:6" ht="12.75">
      <c r="F345" s="10"/>
    </row>
    <row r="346" spans="6:6" ht="12.75">
      <c r="F346" s="10"/>
    </row>
    <row r="347" spans="6:6" ht="12.75">
      <c r="F347" s="10"/>
    </row>
    <row r="348" spans="6:6" ht="12.75">
      <c r="F348" s="10"/>
    </row>
    <row r="349" spans="6:6" ht="12.75">
      <c r="F349" s="10"/>
    </row>
    <row r="350" spans="6:6" ht="12.75">
      <c r="F350" s="10"/>
    </row>
    <row r="351" spans="6:6" ht="12.75">
      <c r="F351" s="10"/>
    </row>
    <row r="352" spans="6:6" ht="12.75">
      <c r="F352" s="10"/>
    </row>
    <row r="353" spans="6:6" ht="12.75">
      <c r="F353" s="10"/>
    </row>
    <row r="354" spans="6:6" ht="12.75">
      <c r="F354" s="10"/>
    </row>
    <row r="355" spans="6:6" ht="12.75">
      <c r="F355" s="10"/>
    </row>
    <row r="356" spans="6:6" ht="12.75">
      <c r="F356" s="10"/>
    </row>
    <row r="357" spans="6:6" ht="12.75">
      <c r="F357" s="10"/>
    </row>
    <row r="358" spans="6:6" ht="12.75">
      <c r="F358" s="10"/>
    </row>
    <row r="359" spans="6:6" ht="12.75">
      <c r="F359" s="10"/>
    </row>
    <row r="360" spans="6:6" ht="12.75">
      <c r="F360" s="10"/>
    </row>
    <row r="361" spans="6:6" ht="12.75">
      <c r="F361" s="10"/>
    </row>
    <row r="362" spans="6:6" ht="12.75">
      <c r="F362" s="10"/>
    </row>
    <row r="363" spans="6:6" ht="12.75">
      <c r="F363" s="10"/>
    </row>
    <row r="364" spans="6:6" ht="12.75">
      <c r="F364" s="10"/>
    </row>
    <row r="365" spans="6:6" ht="12.75">
      <c r="F365" s="10"/>
    </row>
    <row r="366" spans="6:6" ht="12.75">
      <c r="F366" s="10"/>
    </row>
    <row r="367" spans="6:6" ht="12.75">
      <c r="F367" s="10"/>
    </row>
    <row r="368" spans="6:6" ht="12.75">
      <c r="F368" s="10"/>
    </row>
    <row r="369" spans="6:6" ht="12.75">
      <c r="F369" s="10"/>
    </row>
    <row r="370" spans="6:6" ht="12.75">
      <c r="F370" s="10"/>
    </row>
    <row r="371" spans="6:6" ht="12.75">
      <c r="F371" s="10"/>
    </row>
    <row r="372" spans="6:6" ht="12.75">
      <c r="F372" s="10"/>
    </row>
    <row r="373" spans="6:6" ht="12.75">
      <c r="F373" s="10"/>
    </row>
    <row r="374" spans="6:6" ht="12.75">
      <c r="F374" s="10"/>
    </row>
    <row r="375" spans="6:6" ht="12.75">
      <c r="F375" s="10"/>
    </row>
    <row r="376" spans="6:6" ht="12.75">
      <c r="F376" s="10"/>
    </row>
    <row r="377" spans="6:6" ht="12.75">
      <c r="F377" s="10"/>
    </row>
    <row r="378" spans="6:6" ht="12.75">
      <c r="F378" s="10"/>
    </row>
    <row r="379" spans="6:6" ht="12.75">
      <c r="F379" s="10"/>
    </row>
    <row r="380" spans="6:6" ht="12.75">
      <c r="F380" s="10"/>
    </row>
    <row r="381" spans="6:6" ht="12.75">
      <c r="F381" s="10"/>
    </row>
    <row r="382" spans="6:6" ht="12.75">
      <c r="F382" s="10"/>
    </row>
    <row r="383" spans="6:6" ht="12.75">
      <c r="F383" s="10"/>
    </row>
    <row r="384" spans="6:6" ht="12.75">
      <c r="F384" s="10"/>
    </row>
    <row r="385" spans="6:6" ht="12.75">
      <c r="F385" s="10"/>
    </row>
    <row r="386" spans="6:6" ht="12.75">
      <c r="F386" s="10"/>
    </row>
    <row r="387" spans="6:6" ht="12.75">
      <c r="F387" s="10"/>
    </row>
    <row r="388" spans="6:6" ht="12.75">
      <c r="F388" s="10"/>
    </row>
    <row r="389" spans="6:6" ht="12.75">
      <c r="F389" s="10"/>
    </row>
    <row r="390" spans="6:6" ht="12.75">
      <c r="F390" s="10"/>
    </row>
    <row r="391" spans="6:6" ht="12.75">
      <c r="F391" s="10"/>
    </row>
    <row r="392" spans="6:6" ht="12.75">
      <c r="F392" s="10"/>
    </row>
    <row r="393" spans="6:6" ht="12.75">
      <c r="F393" s="10"/>
    </row>
    <row r="394" spans="6:6" ht="12.75">
      <c r="F394" s="10"/>
    </row>
    <row r="395" spans="6:6" ht="12.75">
      <c r="F395" s="10"/>
    </row>
    <row r="396" spans="6:6" ht="12.75">
      <c r="F396" s="10"/>
    </row>
    <row r="397" spans="6:6" ht="12.75">
      <c r="F397" s="10"/>
    </row>
    <row r="398" spans="6:6" ht="12.75">
      <c r="F398" s="10"/>
    </row>
    <row r="399" spans="6:6" ht="12.75">
      <c r="F399" s="10"/>
    </row>
    <row r="400" spans="6:6" ht="12.75">
      <c r="F400" s="10"/>
    </row>
    <row r="401" spans="6:6" ht="12.75">
      <c r="F401" s="10"/>
    </row>
    <row r="402" spans="6:6" ht="12.75">
      <c r="F402" s="10"/>
    </row>
    <row r="403" spans="6:6" ht="12.75">
      <c r="F403" s="10"/>
    </row>
    <row r="404" spans="6:6" ht="12.75">
      <c r="F404" s="10"/>
    </row>
    <row r="405" spans="6:6" ht="12.75">
      <c r="F405" s="10"/>
    </row>
    <row r="406" spans="6:6" ht="12.75">
      <c r="F406" s="10"/>
    </row>
    <row r="407" spans="6:6" ht="12.75">
      <c r="F407" s="10"/>
    </row>
    <row r="408" spans="6:6" ht="12.75">
      <c r="F408" s="10"/>
    </row>
    <row r="409" spans="6:6" ht="12.75">
      <c r="F409" s="10"/>
    </row>
    <row r="410" spans="6:6" ht="12.75">
      <c r="F410" s="10"/>
    </row>
    <row r="411" spans="6:6" ht="12.75">
      <c r="F411" s="10"/>
    </row>
    <row r="412" spans="6:6" ht="12.75">
      <c r="F412" s="10"/>
    </row>
    <row r="413" spans="6:6" ht="12.75">
      <c r="F413" s="10"/>
    </row>
    <row r="414" spans="6:6" ht="12.75">
      <c r="F414" s="10"/>
    </row>
    <row r="415" spans="6:6" ht="12.75">
      <c r="F415" s="10"/>
    </row>
    <row r="416" spans="6:6" ht="12.75">
      <c r="F416" s="10"/>
    </row>
    <row r="417" spans="6:6" ht="12.75">
      <c r="F417" s="10"/>
    </row>
    <row r="418" spans="6:6" ht="12.75">
      <c r="F418" s="10"/>
    </row>
    <row r="419" spans="6:6" ht="12.75">
      <c r="F419" s="10"/>
    </row>
    <row r="420" spans="6:6" ht="12.75">
      <c r="F420" s="10"/>
    </row>
    <row r="421" spans="6:6" ht="12.75">
      <c r="F421" s="10"/>
    </row>
    <row r="422" spans="6:6" ht="12.75">
      <c r="F422" s="10"/>
    </row>
    <row r="423" spans="6:6" ht="12.75">
      <c r="F423" s="10"/>
    </row>
    <row r="424" spans="6:6" ht="12.75">
      <c r="F424" s="10"/>
    </row>
    <row r="425" spans="6:6" ht="12.75">
      <c r="F425" s="10"/>
    </row>
    <row r="426" spans="6:6" ht="12.75">
      <c r="F426" s="10"/>
    </row>
    <row r="427" spans="6:6" ht="12.75">
      <c r="F427" s="10"/>
    </row>
    <row r="428" spans="6:6" ht="12.75">
      <c r="F428" s="10"/>
    </row>
    <row r="429" spans="6:6" ht="12.75">
      <c r="F429" s="10"/>
    </row>
    <row r="430" spans="6:6" ht="12.75">
      <c r="F430" s="10"/>
    </row>
    <row r="431" spans="6:6" ht="12.75">
      <c r="F431" s="10"/>
    </row>
    <row r="432" spans="6:6" ht="12.75">
      <c r="F432" s="10"/>
    </row>
    <row r="433" spans="6:6" ht="12.75">
      <c r="F433" s="10"/>
    </row>
    <row r="434" spans="6:6" ht="12.75">
      <c r="F434" s="10"/>
    </row>
    <row r="435" spans="6:6" ht="12.75">
      <c r="F435" s="10"/>
    </row>
    <row r="436" spans="6:6" ht="12.75">
      <c r="F436" s="10"/>
    </row>
    <row r="437" spans="6:6" ht="12.75">
      <c r="F437" s="10"/>
    </row>
    <row r="438" spans="6:6" ht="12.75">
      <c r="F438" s="10"/>
    </row>
    <row r="439" spans="6:6" ht="12.75">
      <c r="F439" s="10"/>
    </row>
    <row r="440" spans="6:6" ht="12.75">
      <c r="F440" s="10"/>
    </row>
    <row r="441" spans="6:6" ht="12.75">
      <c r="F441" s="10"/>
    </row>
    <row r="442" spans="6:6" ht="12.75">
      <c r="F442" s="10"/>
    </row>
    <row r="443" spans="6:6" ht="12.75">
      <c r="F443" s="10"/>
    </row>
    <row r="444" spans="6:6" ht="12.75">
      <c r="F444" s="10"/>
    </row>
    <row r="445" spans="6:6" ht="12.75">
      <c r="F445" s="10"/>
    </row>
    <row r="446" spans="6:6" ht="12.75">
      <c r="F446" s="10"/>
    </row>
    <row r="447" spans="6:6" ht="12.75">
      <c r="F447" s="10"/>
    </row>
    <row r="448" spans="6:6" ht="12.75">
      <c r="F448" s="10"/>
    </row>
    <row r="449" spans="6:6" ht="12.75">
      <c r="F449" s="10"/>
    </row>
    <row r="450" spans="6:6" ht="12.75">
      <c r="F450" s="10"/>
    </row>
    <row r="451" spans="6:6" ht="12.75">
      <c r="F451" s="10"/>
    </row>
    <row r="452" spans="6:6" ht="12.75">
      <c r="F452" s="10"/>
    </row>
    <row r="453" spans="6:6" ht="12.75">
      <c r="F453" s="10"/>
    </row>
    <row r="454" spans="6:6" ht="12.75">
      <c r="F454" s="10"/>
    </row>
    <row r="455" spans="6:6" ht="12.75">
      <c r="F455" s="10"/>
    </row>
    <row r="456" spans="6:6" ht="12.75">
      <c r="F456" s="10"/>
    </row>
    <row r="457" spans="6:6" ht="12.75">
      <c r="F457" s="10"/>
    </row>
    <row r="458" spans="6:6" ht="12.75">
      <c r="F458" s="10"/>
    </row>
    <row r="459" spans="6:6" ht="12.75">
      <c r="F459" s="10"/>
    </row>
    <row r="460" spans="6:6" ht="12.75">
      <c r="F460" s="10"/>
    </row>
    <row r="461" spans="6:6" ht="12.75">
      <c r="F461" s="10"/>
    </row>
    <row r="462" spans="6:6" ht="12.75">
      <c r="F462" s="10"/>
    </row>
    <row r="463" spans="6:6" ht="12.75">
      <c r="F463" s="10"/>
    </row>
    <row r="464" spans="6:6" ht="12.75">
      <c r="F464" s="10"/>
    </row>
    <row r="465" spans="6:6" ht="12.75">
      <c r="F465" s="10"/>
    </row>
    <row r="466" spans="6:6" ht="12.75">
      <c r="F466" s="10"/>
    </row>
    <row r="467" spans="6:6" ht="12.75">
      <c r="F467" s="10"/>
    </row>
    <row r="468" spans="6:6" ht="12.75">
      <c r="F468" s="10"/>
    </row>
    <row r="469" spans="6:6" ht="12.75">
      <c r="F469" s="10"/>
    </row>
    <row r="470" spans="6:6" ht="12.75">
      <c r="F470" s="10"/>
    </row>
    <row r="471" spans="6:6" ht="12.75">
      <c r="F471" s="10"/>
    </row>
    <row r="472" spans="6:6" ht="12.75">
      <c r="F472" s="10"/>
    </row>
    <row r="473" spans="6:6" ht="12.75">
      <c r="F473" s="10"/>
    </row>
    <row r="474" spans="6:6" ht="12.75">
      <c r="F474" s="10"/>
    </row>
    <row r="475" spans="6:6" ht="12.75">
      <c r="F475" s="10"/>
    </row>
    <row r="476" spans="6:6" ht="12.75">
      <c r="F476" s="10"/>
    </row>
    <row r="477" spans="6:6" ht="12.75">
      <c r="F477" s="10"/>
    </row>
    <row r="478" spans="6:6" ht="12.75">
      <c r="F478" s="10"/>
    </row>
    <row r="479" spans="6:6" ht="12.75">
      <c r="F479" s="10"/>
    </row>
    <row r="480" spans="6:6" ht="12.75">
      <c r="F480" s="10"/>
    </row>
    <row r="481" spans="6:6" ht="12.75">
      <c r="F481" s="10"/>
    </row>
    <row r="482" spans="6:6" ht="12.75">
      <c r="F482" s="10"/>
    </row>
    <row r="483" spans="6:6" ht="12.75">
      <c r="F483" s="10"/>
    </row>
    <row r="484" spans="6:6" ht="12.75">
      <c r="F484" s="10"/>
    </row>
    <row r="485" spans="6:6" ht="12.75">
      <c r="F485" s="10"/>
    </row>
    <row r="486" spans="6:6" ht="12.75">
      <c r="F486" s="10"/>
    </row>
    <row r="487" spans="6:6" ht="12.75">
      <c r="F487" s="10"/>
    </row>
    <row r="488" spans="6:6" ht="12.75">
      <c r="F488" s="10"/>
    </row>
    <row r="489" spans="6:6" ht="12.75">
      <c r="F489" s="10"/>
    </row>
    <row r="490" spans="6:6" ht="12.75">
      <c r="F490" s="10"/>
    </row>
    <row r="491" spans="6:6" ht="12.75">
      <c r="F491" s="10"/>
    </row>
    <row r="492" spans="6:6" ht="12.75">
      <c r="F492" s="10"/>
    </row>
    <row r="493" spans="6:6" ht="12.75">
      <c r="F493" s="10"/>
    </row>
    <row r="494" spans="6:6" ht="12.75">
      <c r="F494" s="10"/>
    </row>
    <row r="495" spans="6:6" ht="12.75">
      <c r="F495" s="10"/>
    </row>
    <row r="496" spans="6:6" ht="12.75">
      <c r="F496" s="10"/>
    </row>
    <row r="497" spans="6:6" ht="12.75">
      <c r="F497" s="10"/>
    </row>
    <row r="498" spans="6:6" ht="12.75">
      <c r="F498" s="10"/>
    </row>
    <row r="499" spans="6:6" ht="12.75">
      <c r="F499" s="10"/>
    </row>
    <row r="500" spans="6:6" ht="12.75">
      <c r="F500" s="10"/>
    </row>
    <row r="501" spans="6:6" ht="12.75">
      <c r="F501" s="10"/>
    </row>
    <row r="502" spans="6:6" ht="12.75">
      <c r="F502" s="10"/>
    </row>
    <row r="503" spans="6:6" ht="12.75">
      <c r="F503" s="10"/>
    </row>
    <row r="504" spans="6:6" ht="12.75">
      <c r="F504" s="10"/>
    </row>
    <row r="505" spans="6:6" ht="12.75">
      <c r="F505" s="10"/>
    </row>
    <row r="506" spans="6:6" ht="12.75">
      <c r="F506" s="10"/>
    </row>
    <row r="507" spans="6:6" ht="12.75">
      <c r="F507" s="10"/>
    </row>
    <row r="508" spans="6:6" ht="12.75">
      <c r="F508" s="10"/>
    </row>
    <row r="509" spans="6:6" ht="12.75">
      <c r="F509" s="10"/>
    </row>
    <row r="510" spans="6:6" ht="12.75">
      <c r="F510" s="10"/>
    </row>
    <row r="511" spans="6:6" ht="12.75">
      <c r="F511" s="10"/>
    </row>
    <row r="512" spans="6:6" ht="12.75">
      <c r="F512" s="10"/>
    </row>
    <row r="513" spans="6:6" ht="12.75">
      <c r="F513" s="10"/>
    </row>
    <row r="514" spans="6:6" ht="12.75">
      <c r="F514" s="10"/>
    </row>
    <row r="515" spans="6:6" ht="12.75">
      <c r="F515" s="10"/>
    </row>
    <row r="516" spans="6:6" ht="12.75">
      <c r="F516" s="10"/>
    </row>
    <row r="517" spans="6:6" ht="12.75">
      <c r="F517" s="10"/>
    </row>
    <row r="518" spans="6:6" ht="12.75">
      <c r="F518" s="10"/>
    </row>
    <row r="519" spans="6:6" ht="12.75">
      <c r="F519" s="10"/>
    </row>
    <row r="520" spans="6:6" ht="12.75">
      <c r="F520" s="10"/>
    </row>
    <row r="521" spans="6:6" ht="12.75">
      <c r="F521" s="10"/>
    </row>
    <row r="522" spans="6:6" ht="12.75">
      <c r="F522" s="10"/>
    </row>
    <row r="523" spans="6:6" ht="12.75">
      <c r="F523" s="10"/>
    </row>
    <row r="524" spans="6:6" ht="12.75">
      <c r="F524" s="10"/>
    </row>
    <row r="525" spans="6:6" ht="12.75">
      <c r="F525" s="10"/>
    </row>
    <row r="526" spans="6:6" ht="12.75">
      <c r="F526" s="10"/>
    </row>
    <row r="527" spans="6:6" ht="12.75">
      <c r="F527" s="10"/>
    </row>
    <row r="528" spans="6:6" ht="12.75">
      <c r="F528" s="10"/>
    </row>
    <row r="529" spans="6:6" ht="12.75">
      <c r="F529" s="10"/>
    </row>
    <row r="530" spans="6:6" ht="12.75">
      <c r="F530" s="10"/>
    </row>
    <row r="531" spans="6:6" ht="12.75">
      <c r="F531" s="10"/>
    </row>
    <row r="532" spans="6:6" ht="12.75">
      <c r="F532" s="10"/>
    </row>
    <row r="533" spans="6:6" ht="12.75">
      <c r="F533" s="10"/>
    </row>
    <row r="534" spans="6:6" ht="12.75">
      <c r="F534" s="10"/>
    </row>
    <row r="535" spans="6:6" ht="12.75">
      <c r="F535" s="10"/>
    </row>
    <row r="536" spans="6:6" ht="12.75">
      <c r="F536" s="10"/>
    </row>
    <row r="537" spans="6:6" ht="12.75">
      <c r="F537" s="10"/>
    </row>
    <row r="538" spans="6:6" ht="12.75">
      <c r="F538" s="10"/>
    </row>
    <row r="539" spans="6:6" ht="12.75">
      <c r="F539" s="10"/>
    </row>
    <row r="540" spans="6:6" ht="12.75">
      <c r="F540" s="10"/>
    </row>
    <row r="541" spans="6:6" ht="12.75">
      <c r="F541" s="10"/>
    </row>
    <row r="542" spans="6:6" ht="12.75">
      <c r="F542" s="10"/>
    </row>
    <row r="543" spans="6:6" ht="12.75">
      <c r="F543" s="10"/>
    </row>
    <row r="544" spans="6:6" ht="12.75">
      <c r="F544" s="10"/>
    </row>
    <row r="545" spans="6:6" ht="12.75">
      <c r="F545" s="10"/>
    </row>
    <row r="546" spans="6:6" ht="12.75">
      <c r="F546" s="10"/>
    </row>
    <row r="547" spans="6:6" ht="12.75">
      <c r="F547" s="10"/>
    </row>
    <row r="548" spans="6:6" ht="12.75">
      <c r="F548" s="10"/>
    </row>
    <row r="549" spans="6:6" ht="12.75">
      <c r="F549" s="10"/>
    </row>
    <row r="550" spans="6:6" ht="12.75">
      <c r="F550" s="10"/>
    </row>
    <row r="551" spans="6:6" ht="12.75">
      <c r="F551" s="10"/>
    </row>
    <row r="552" spans="6:6" ht="12.75">
      <c r="F552" s="10"/>
    </row>
    <row r="553" spans="6:6" ht="12.75">
      <c r="F553" s="10"/>
    </row>
    <row r="554" spans="6:6" ht="12.75">
      <c r="F554" s="10"/>
    </row>
    <row r="555" spans="6:6" ht="12.75">
      <c r="F555" s="10"/>
    </row>
    <row r="556" spans="6:6" ht="12.75">
      <c r="F556" s="10"/>
    </row>
    <row r="557" spans="6:6" ht="12.75">
      <c r="F557" s="10"/>
    </row>
    <row r="558" spans="6:6" ht="12.75">
      <c r="F558" s="10"/>
    </row>
    <row r="559" spans="6:6" ht="12.75">
      <c r="F559" s="10"/>
    </row>
    <row r="560" spans="6:6" ht="12.75">
      <c r="F560" s="10"/>
    </row>
    <row r="561" spans="6:6" ht="12.75">
      <c r="F561" s="10"/>
    </row>
    <row r="562" spans="6:6" ht="12.75">
      <c r="F562" s="10"/>
    </row>
    <row r="563" spans="6:6" ht="12.75">
      <c r="F563" s="10"/>
    </row>
    <row r="564" spans="6:6" ht="12.75">
      <c r="F564" s="10"/>
    </row>
    <row r="565" spans="6:6" ht="12.75">
      <c r="F565" s="10"/>
    </row>
    <row r="566" spans="6:6" ht="12.75">
      <c r="F566" s="10"/>
    </row>
    <row r="567" spans="6:6" ht="12.75">
      <c r="F567" s="10"/>
    </row>
    <row r="568" spans="6:6" ht="12.75">
      <c r="F568" s="10"/>
    </row>
    <row r="569" spans="6:6" ht="12.75">
      <c r="F569" s="10"/>
    </row>
    <row r="570" spans="6:6" ht="12.75">
      <c r="F570" s="10"/>
    </row>
    <row r="571" spans="6:6" ht="12.75">
      <c r="F571" s="10"/>
    </row>
    <row r="572" spans="6:6" ht="12.75">
      <c r="F572" s="10"/>
    </row>
    <row r="573" spans="6:6" ht="12.75">
      <c r="F573" s="10"/>
    </row>
    <row r="574" spans="6:6" ht="12.75">
      <c r="F574" s="10"/>
    </row>
    <row r="575" spans="6:6" ht="12.75">
      <c r="F575" s="10"/>
    </row>
    <row r="576" spans="6:6" ht="12.75">
      <c r="F576" s="10"/>
    </row>
    <row r="577" spans="6:6" ht="12.75">
      <c r="F577" s="10"/>
    </row>
    <row r="578" spans="6:6" ht="12.75">
      <c r="F578" s="10"/>
    </row>
    <row r="579" spans="6:6" ht="12.75">
      <c r="F579" s="10"/>
    </row>
    <row r="580" spans="6:6" ht="12.75">
      <c r="F580" s="10"/>
    </row>
    <row r="581" spans="6:6" ht="12.75">
      <c r="F581" s="10"/>
    </row>
    <row r="582" spans="6:6" ht="12.75">
      <c r="F582" s="10"/>
    </row>
    <row r="583" spans="6:6" ht="12.75">
      <c r="F583" s="10"/>
    </row>
    <row r="584" spans="6:6" ht="12.75">
      <c r="F584" s="10"/>
    </row>
    <row r="585" spans="6:6" ht="12.75">
      <c r="F585" s="10"/>
    </row>
    <row r="586" spans="6:6" ht="12.75">
      <c r="F586" s="10"/>
    </row>
    <row r="587" spans="6:6" ht="12.75">
      <c r="F587" s="10"/>
    </row>
    <row r="588" spans="6:6" ht="12.75">
      <c r="F588" s="10"/>
    </row>
    <row r="589" spans="6:6" ht="12.75">
      <c r="F589" s="10"/>
    </row>
    <row r="590" spans="6:6" ht="12.75">
      <c r="F590" s="10"/>
    </row>
    <row r="591" spans="6:6" ht="12.75">
      <c r="F591" s="10"/>
    </row>
    <row r="592" spans="6:6" ht="12.75">
      <c r="F592" s="10"/>
    </row>
    <row r="593" spans="6:6" ht="12.75">
      <c r="F593" s="10"/>
    </row>
    <row r="594" spans="6:6" ht="12.75">
      <c r="F594" s="10"/>
    </row>
    <row r="595" spans="6:6" ht="12.75">
      <c r="F595" s="10"/>
    </row>
    <row r="596" spans="6:6" ht="12.75">
      <c r="F596" s="10"/>
    </row>
    <row r="597" spans="6:6" ht="12.75">
      <c r="F597" s="10"/>
    </row>
    <row r="598" spans="6:6" ht="12.75">
      <c r="F598" s="10"/>
    </row>
    <row r="599" spans="6:6" ht="12.75">
      <c r="F599" s="10"/>
    </row>
    <row r="600" spans="6:6" ht="12.75">
      <c r="F600" s="10"/>
    </row>
    <row r="601" spans="6:6" ht="12.75">
      <c r="F601" s="10"/>
    </row>
    <row r="602" spans="6:6" ht="12.75">
      <c r="F602" s="10"/>
    </row>
    <row r="603" spans="6:6" ht="12.75">
      <c r="F603" s="10"/>
    </row>
    <row r="604" spans="6:6" ht="12.75">
      <c r="F604" s="10"/>
    </row>
    <row r="605" spans="6:6" ht="12.75">
      <c r="F605" s="10"/>
    </row>
    <row r="606" spans="6:6" ht="12.75">
      <c r="F606" s="10"/>
    </row>
    <row r="607" spans="6:6" ht="12.75">
      <c r="F607" s="10"/>
    </row>
    <row r="608" spans="6:6" ht="12.75">
      <c r="F608" s="10"/>
    </row>
    <row r="609" spans="6:6" ht="12.75">
      <c r="F609" s="10"/>
    </row>
    <row r="610" spans="6:6" ht="12.75">
      <c r="F610" s="10"/>
    </row>
    <row r="611" spans="6:6" ht="12.75">
      <c r="F611" s="10"/>
    </row>
    <row r="612" spans="6:6" ht="12.75">
      <c r="F612" s="10"/>
    </row>
    <row r="613" spans="6:6" ht="12.75">
      <c r="F613" s="10"/>
    </row>
    <row r="614" spans="6:6" ht="12.75">
      <c r="F614" s="10"/>
    </row>
    <row r="615" spans="6:6" ht="12.75">
      <c r="F615" s="10"/>
    </row>
    <row r="616" spans="6:6" ht="12.75">
      <c r="F616" s="10"/>
    </row>
    <row r="617" spans="6:6" ht="12.75">
      <c r="F617" s="10"/>
    </row>
    <row r="618" spans="6:6" ht="12.75">
      <c r="F618" s="10"/>
    </row>
    <row r="619" spans="6:6" ht="12.75">
      <c r="F619" s="10"/>
    </row>
    <row r="620" spans="6:6" ht="12.75">
      <c r="F620" s="10"/>
    </row>
    <row r="621" spans="6:6" ht="12.75">
      <c r="F621" s="10"/>
    </row>
    <row r="622" spans="6:6" ht="12.75">
      <c r="F622" s="10"/>
    </row>
    <row r="623" spans="6:6" ht="12.75">
      <c r="F623" s="10"/>
    </row>
    <row r="624" spans="6:6" ht="12.75">
      <c r="F624" s="10"/>
    </row>
    <row r="625" spans="6:6" ht="12.75">
      <c r="F625" s="10"/>
    </row>
    <row r="626" spans="6:6" ht="12.75">
      <c r="F626" s="10"/>
    </row>
    <row r="627" spans="6:6" ht="12.75">
      <c r="F627" s="10"/>
    </row>
    <row r="628" spans="6:6" ht="12.75">
      <c r="F628" s="10"/>
    </row>
    <row r="629" spans="6:6" ht="12.75">
      <c r="F629" s="10"/>
    </row>
    <row r="630" spans="6:6" ht="12.75">
      <c r="F630" s="10"/>
    </row>
    <row r="631" spans="6:6" ht="12.75">
      <c r="F631" s="10"/>
    </row>
    <row r="632" spans="6:6" ht="12.75">
      <c r="F632" s="10"/>
    </row>
    <row r="633" spans="6:6" ht="12.75">
      <c r="F633" s="10"/>
    </row>
    <row r="634" spans="6:6" ht="12.75">
      <c r="F634" s="10"/>
    </row>
    <row r="635" spans="6:6" ht="12.75">
      <c r="F635" s="10"/>
    </row>
    <row r="636" spans="6:6" ht="12.75">
      <c r="F636" s="10"/>
    </row>
    <row r="637" spans="6:6" ht="12.75">
      <c r="F637" s="10"/>
    </row>
    <row r="638" spans="6:6" ht="12.75">
      <c r="F638" s="10"/>
    </row>
    <row r="639" spans="6:6" ht="12.75">
      <c r="F639" s="10"/>
    </row>
    <row r="640" spans="6:6" ht="12.75">
      <c r="F640" s="10"/>
    </row>
    <row r="641" spans="6:6" ht="12.75">
      <c r="F641" s="10"/>
    </row>
    <row r="642" spans="6:6" ht="12.75">
      <c r="F642" s="10"/>
    </row>
    <row r="643" spans="6:6" ht="12.75">
      <c r="F643" s="10"/>
    </row>
    <row r="644" spans="6:6" ht="12.75">
      <c r="F644" s="10"/>
    </row>
    <row r="645" spans="6:6" ht="12.75">
      <c r="F645" s="10"/>
    </row>
    <row r="646" spans="6:6" ht="12.75">
      <c r="F646" s="10"/>
    </row>
    <row r="647" spans="6:6" ht="12.75">
      <c r="F647" s="10"/>
    </row>
    <row r="648" spans="6:6" ht="12.75">
      <c r="F648" s="10"/>
    </row>
    <row r="649" spans="6:6" ht="12.75">
      <c r="F649" s="10"/>
    </row>
    <row r="650" spans="6:6" ht="12.75">
      <c r="F650" s="10"/>
    </row>
    <row r="651" spans="6:6" ht="12.75">
      <c r="F651" s="10"/>
    </row>
    <row r="652" spans="6:6" ht="12.75">
      <c r="F652" s="10"/>
    </row>
    <row r="653" spans="6:6" ht="12.75">
      <c r="F653" s="10"/>
    </row>
    <row r="654" spans="6:6" ht="12.75">
      <c r="F654" s="10"/>
    </row>
    <row r="655" spans="6:6" ht="12.75">
      <c r="F655" s="10"/>
    </row>
    <row r="656" spans="6:6" ht="12.75">
      <c r="F656" s="10"/>
    </row>
    <row r="657" spans="6:6" ht="12.75">
      <c r="F657" s="10"/>
    </row>
    <row r="658" spans="6:6" ht="12.75">
      <c r="F658" s="10"/>
    </row>
    <row r="659" spans="6:6" ht="12.75">
      <c r="F659" s="10"/>
    </row>
    <row r="660" spans="6:6" ht="12.75">
      <c r="F660" s="10"/>
    </row>
    <row r="661" spans="6:6" ht="12.75">
      <c r="F661" s="10"/>
    </row>
    <row r="662" spans="6:6" ht="12.75">
      <c r="F662" s="10"/>
    </row>
    <row r="663" spans="6:6" ht="12.75">
      <c r="F663" s="10"/>
    </row>
    <row r="664" spans="6:6" ht="12.75">
      <c r="F664" s="10"/>
    </row>
    <row r="665" spans="6:6" ht="12.75">
      <c r="F665" s="10"/>
    </row>
    <row r="666" spans="6:6" ht="12.75">
      <c r="F666" s="10"/>
    </row>
    <row r="667" spans="6:6" ht="12.75">
      <c r="F667" s="10"/>
    </row>
    <row r="668" spans="6:6" ht="12.75">
      <c r="F668" s="10"/>
    </row>
    <row r="669" spans="6:6" ht="12.75">
      <c r="F669" s="10"/>
    </row>
    <row r="670" spans="6:6" ht="12.75">
      <c r="F670" s="10"/>
    </row>
    <row r="671" spans="6:6" ht="12.75">
      <c r="F671" s="10"/>
    </row>
    <row r="672" spans="6:6" ht="12.75">
      <c r="F672" s="10"/>
    </row>
    <row r="673" spans="6:6" ht="12.75">
      <c r="F673" s="10"/>
    </row>
    <row r="674" spans="6:6" ht="12.75">
      <c r="F674" s="10"/>
    </row>
    <row r="675" spans="6:6" ht="12.75">
      <c r="F675" s="10"/>
    </row>
    <row r="676" spans="6:6" ht="12.75">
      <c r="F676" s="10"/>
    </row>
    <row r="677" spans="6:6" ht="12.75">
      <c r="F677" s="10"/>
    </row>
    <row r="678" spans="6:6" ht="12.75">
      <c r="F678" s="10"/>
    </row>
    <row r="679" spans="6:6" ht="12.75">
      <c r="F679" s="10"/>
    </row>
    <row r="680" spans="6:6" ht="12.75">
      <c r="F680" s="10"/>
    </row>
    <row r="681" spans="6:6" ht="12.75">
      <c r="F681" s="10"/>
    </row>
    <row r="682" spans="6:6" ht="12.75">
      <c r="F682" s="10"/>
    </row>
    <row r="683" spans="6:6" ht="12.75">
      <c r="F683" s="10"/>
    </row>
    <row r="684" spans="6:6" ht="12.75">
      <c r="F684" s="10"/>
    </row>
    <row r="685" spans="6:6" ht="12.75">
      <c r="F685" s="10"/>
    </row>
    <row r="686" spans="6:6" ht="12.75">
      <c r="F686" s="10"/>
    </row>
    <row r="687" spans="6:6" ht="12.75">
      <c r="F687" s="10"/>
    </row>
    <row r="688" spans="6:6" ht="12.75">
      <c r="F688" s="10"/>
    </row>
    <row r="689" spans="6:6" ht="12.75">
      <c r="F689" s="10"/>
    </row>
    <row r="690" spans="6:6" ht="12.75">
      <c r="F690" s="10"/>
    </row>
    <row r="691" spans="6:6" ht="12.75">
      <c r="F691" s="10"/>
    </row>
    <row r="692" spans="6:6" ht="12.75">
      <c r="F692" s="10"/>
    </row>
    <row r="693" spans="6:6" ht="12.75">
      <c r="F693" s="10"/>
    </row>
    <row r="694" spans="6:6" ht="12.75">
      <c r="F694" s="10"/>
    </row>
    <row r="695" spans="6:6" ht="12.75">
      <c r="F695" s="10"/>
    </row>
    <row r="696" spans="6:6" ht="12.75">
      <c r="F696" s="10"/>
    </row>
    <row r="697" spans="6:6" ht="12.75">
      <c r="F697" s="10"/>
    </row>
    <row r="698" spans="6:6" ht="12.75">
      <c r="F698" s="10"/>
    </row>
    <row r="699" spans="6:6" ht="12.75">
      <c r="F699" s="10"/>
    </row>
    <row r="700" spans="6:6" ht="12.75">
      <c r="F700" s="10"/>
    </row>
    <row r="701" spans="6:6" ht="12.75">
      <c r="F701" s="10"/>
    </row>
    <row r="702" spans="6:6" ht="12.75">
      <c r="F702" s="10"/>
    </row>
    <row r="703" spans="6:6" ht="12.75">
      <c r="F703" s="10"/>
    </row>
    <row r="704" spans="6:6" ht="12.75">
      <c r="F704" s="10"/>
    </row>
    <row r="705" spans="6:6" ht="12.75">
      <c r="F705" s="10"/>
    </row>
    <row r="706" spans="6:6" ht="12.75">
      <c r="F706" s="10"/>
    </row>
    <row r="707" spans="6:6" ht="12.75">
      <c r="F707" s="10"/>
    </row>
    <row r="708" spans="6:6" ht="12.75">
      <c r="F708" s="10"/>
    </row>
    <row r="709" spans="6:6" ht="12.75">
      <c r="F709" s="10"/>
    </row>
    <row r="710" spans="6:6" ht="12.75">
      <c r="F710" s="10"/>
    </row>
    <row r="711" spans="6:6" ht="12.75">
      <c r="F711" s="10"/>
    </row>
    <row r="712" spans="6:6" ht="12.75">
      <c r="F712" s="10"/>
    </row>
    <row r="713" spans="6:6" ht="12.75">
      <c r="F713" s="10"/>
    </row>
    <row r="714" spans="6:6" ht="12.75">
      <c r="F714" s="10"/>
    </row>
    <row r="715" spans="6:6" ht="12.75">
      <c r="F715" s="10"/>
    </row>
    <row r="716" spans="6:6" ht="12.75">
      <c r="F716" s="10"/>
    </row>
    <row r="717" spans="6:6" ht="12.75">
      <c r="F717" s="10"/>
    </row>
    <row r="718" spans="6:6" ht="12.75">
      <c r="F718" s="10"/>
    </row>
    <row r="719" spans="6:6" ht="12.75">
      <c r="F719" s="10"/>
    </row>
    <row r="720" spans="6:6" ht="12.75">
      <c r="F720" s="10"/>
    </row>
    <row r="721" spans="6:6" ht="12.75">
      <c r="F721" s="10"/>
    </row>
    <row r="722" spans="6:6" ht="12.75">
      <c r="F722" s="10"/>
    </row>
    <row r="723" spans="6:6" ht="12.75">
      <c r="F723" s="10"/>
    </row>
    <row r="724" spans="6:6" ht="12.75">
      <c r="F724" s="10"/>
    </row>
    <row r="725" spans="6:6" ht="12.75">
      <c r="F725" s="10"/>
    </row>
    <row r="726" spans="6:6" ht="12.75">
      <c r="F726" s="10"/>
    </row>
    <row r="727" spans="6:6" ht="12.75">
      <c r="F727" s="10"/>
    </row>
    <row r="728" spans="6:6" ht="12.75">
      <c r="F728" s="10"/>
    </row>
    <row r="729" spans="6:6" ht="12.75">
      <c r="F729" s="10"/>
    </row>
    <row r="730" spans="6:6" ht="12.75">
      <c r="F730" s="10"/>
    </row>
    <row r="731" spans="6:6" ht="12.75">
      <c r="F731" s="10"/>
    </row>
    <row r="732" spans="6:6" ht="12.75">
      <c r="F732" s="10"/>
    </row>
    <row r="733" spans="6:6" ht="12.75">
      <c r="F733" s="10"/>
    </row>
    <row r="734" spans="6:6" ht="12.75">
      <c r="F734" s="10"/>
    </row>
    <row r="735" spans="6:6" ht="12.75">
      <c r="F735" s="10"/>
    </row>
    <row r="736" spans="6:6" ht="12.75">
      <c r="F736" s="10"/>
    </row>
    <row r="737" spans="6:6" ht="12.75">
      <c r="F737" s="10"/>
    </row>
    <row r="738" spans="6:6" ht="12.75">
      <c r="F738" s="10"/>
    </row>
    <row r="739" spans="6:6" ht="12.75">
      <c r="F739" s="10"/>
    </row>
    <row r="740" spans="6:6" ht="12.75">
      <c r="F740" s="10"/>
    </row>
    <row r="741" spans="6:6" ht="12.75">
      <c r="F741" s="10"/>
    </row>
    <row r="742" spans="6:6" ht="12.75">
      <c r="F742" s="10"/>
    </row>
    <row r="743" spans="6:6" ht="12.75">
      <c r="F743" s="10"/>
    </row>
    <row r="744" spans="6:6" ht="12.75">
      <c r="F744" s="10"/>
    </row>
    <row r="745" spans="6:6" ht="12.75">
      <c r="F745" s="10"/>
    </row>
    <row r="746" spans="6:6" ht="12.75">
      <c r="F746" s="10"/>
    </row>
    <row r="747" spans="6:6" ht="12.75">
      <c r="F747" s="10"/>
    </row>
    <row r="748" spans="6:6" ht="12.75">
      <c r="F748" s="10"/>
    </row>
    <row r="749" spans="6:6" ht="12.75">
      <c r="F749" s="10"/>
    </row>
    <row r="750" spans="6:6" ht="12.75">
      <c r="F750" s="10"/>
    </row>
    <row r="751" spans="6:6" ht="12.75">
      <c r="F751" s="10"/>
    </row>
    <row r="752" spans="6:6" ht="12.75">
      <c r="F752" s="10"/>
    </row>
    <row r="753" spans="6:6" ht="12.75">
      <c r="F753" s="10"/>
    </row>
    <row r="754" spans="6:6" ht="12.75">
      <c r="F754" s="10"/>
    </row>
    <row r="755" spans="6:6" ht="12.75">
      <c r="F755" s="10"/>
    </row>
    <row r="756" spans="6:6" ht="12.75">
      <c r="F756" s="10"/>
    </row>
    <row r="757" spans="6:6" ht="12.75">
      <c r="F757" s="10"/>
    </row>
    <row r="758" spans="6:6" ht="12.75">
      <c r="F758" s="10"/>
    </row>
    <row r="759" spans="6:6" ht="12.75">
      <c r="F759" s="10"/>
    </row>
    <row r="760" spans="6:6" ht="12.75">
      <c r="F760" s="10"/>
    </row>
    <row r="761" spans="6:6" ht="12.75">
      <c r="F761" s="10"/>
    </row>
    <row r="762" spans="6:6" ht="12.75">
      <c r="F762" s="10"/>
    </row>
    <row r="763" spans="6:6" ht="12.75">
      <c r="F763" s="10"/>
    </row>
    <row r="764" spans="6:6" ht="12.75">
      <c r="F764" s="10"/>
    </row>
    <row r="765" spans="6:6" ht="12.75">
      <c r="F765" s="10"/>
    </row>
    <row r="766" spans="6:6" ht="12.75">
      <c r="F766" s="10"/>
    </row>
    <row r="767" spans="6:6" ht="12.75">
      <c r="F767" s="10"/>
    </row>
    <row r="768" spans="6:6" ht="12.75">
      <c r="F768" s="10"/>
    </row>
    <row r="769" spans="6:6" ht="12.75">
      <c r="F769" s="10"/>
    </row>
    <row r="770" spans="6:6" ht="12.75">
      <c r="F770" s="10"/>
    </row>
    <row r="771" spans="6:6" ht="12.75">
      <c r="F771" s="10"/>
    </row>
    <row r="772" spans="6:6" ht="12.75">
      <c r="F772" s="10"/>
    </row>
    <row r="773" spans="6:6" ht="12.75">
      <c r="F773" s="10"/>
    </row>
    <row r="774" spans="6:6" ht="12.75">
      <c r="F774" s="10"/>
    </row>
    <row r="775" spans="6:6" ht="12.75">
      <c r="F775" s="10"/>
    </row>
    <row r="776" spans="6:6" ht="12.75">
      <c r="F776" s="10"/>
    </row>
    <row r="777" spans="6:6" ht="12.75">
      <c r="F777" s="10"/>
    </row>
    <row r="778" spans="6:6" ht="12.75">
      <c r="F778" s="10"/>
    </row>
    <row r="779" spans="6:6" ht="12.75">
      <c r="F779" s="10"/>
    </row>
    <row r="780" spans="6:6" ht="12.75">
      <c r="F780" s="10"/>
    </row>
    <row r="781" spans="6:6" ht="12.75">
      <c r="F781" s="10"/>
    </row>
    <row r="782" spans="6:6" ht="12.75">
      <c r="F782" s="10"/>
    </row>
    <row r="783" spans="6:6" ht="12.75">
      <c r="F783" s="10"/>
    </row>
    <row r="784" spans="6:6" ht="12.75">
      <c r="F784" s="10"/>
    </row>
    <row r="785" spans="6:6" ht="12.75">
      <c r="F785" s="10"/>
    </row>
    <row r="786" spans="6:6" ht="12.75">
      <c r="F786" s="10"/>
    </row>
    <row r="787" spans="6:6" ht="12.75">
      <c r="F787" s="10"/>
    </row>
    <row r="788" spans="6:6" ht="12.75">
      <c r="F788" s="10"/>
    </row>
    <row r="789" spans="6:6" ht="12.75">
      <c r="F789" s="10"/>
    </row>
    <row r="790" spans="6:6" ht="12.75">
      <c r="F790" s="10"/>
    </row>
    <row r="791" spans="6:6" ht="12.75">
      <c r="F791" s="10"/>
    </row>
    <row r="792" spans="6:6" ht="12.75">
      <c r="F792" s="10"/>
    </row>
    <row r="793" spans="6:6" ht="12.75">
      <c r="F793" s="10"/>
    </row>
    <row r="794" spans="6:6" ht="12.75">
      <c r="F794" s="10"/>
    </row>
    <row r="795" spans="6:6" ht="12.75">
      <c r="F795" s="10"/>
    </row>
    <row r="796" spans="6:6" ht="12.75">
      <c r="F796" s="10"/>
    </row>
    <row r="797" spans="6:6" ht="12.75">
      <c r="F797" s="10"/>
    </row>
    <row r="798" spans="6:6" ht="12.75">
      <c r="F798" s="10"/>
    </row>
    <row r="799" spans="6:6" ht="12.75">
      <c r="F799" s="10"/>
    </row>
    <row r="800" spans="6:6" ht="12.75">
      <c r="F800" s="10"/>
    </row>
    <row r="801" spans="6:6" ht="12.75">
      <c r="F801" s="10"/>
    </row>
    <row r="802" spans="6:6" ht="12.75">
      <c r="F802" s="10"/>
    </row>
    <row r="803" spans="6:6" ht="12.75">
      <c r="F803" s="10"/>
    </row>
    <row r="804" spans="6:6" ht="12.75">
      <c r="F804" s="10"/>
    </row>
    <row r="805" spans="6:6" ht="12.75">
      <c r="F805" s="10"/>
    </row>
    <row r="806" spans="6:6" ht="12.75">
      <c r="F806" s="10"/>
    </row>
    <row r="807" spans="6:6" ht="12.75">
      <c r="F807" s="10"/>
    </row>
    <row r="808" spans="6:6" ht="12.75">
      <c r="F808" s="10"/>
    </row>
    <row r="809" spans="6:6" ht="12.75">
      <c r="F809" s="10"/>
    </row>
    <row r="810" spans="6:6" ht="12.75">
      <c r="F810" s="10"/>
    </row>
    <row r="811" spans="6:6" ht="12.75">
      <c r="F811" s="10"/>
    </row>
    <row r="812" spans="6:6" ht="12.75">
      <c r="F812" s="10"/>
    </row>
    <row r="813" spans="6:6" ht="12.75">
      <c r="F813" s="10"/>
    </row>
    <row r="814" spans="6:6" ht="12.75">
      <c r="F814" s="10"/>
    </row>
    <row r="815" spans="6:6" ht="12.75">
      <c r="F815" s="10"/>
    </row>
    <row r="816" spans="6:6" ht="12.75">
      <c r="F816" s="10"/>
    </row>
    <row r="817" spans="6:6" ht="12.75">
      <c r="F817" s="10"/>
    </row>
    <row r="818" spans="6:6" ht="12.75">
      <c r="F818" s="10"/>
    </row>
    <row r="819" spans="6:6" ht="12.75">
      <c r="F819" s="10"/>
    </row>
    <row r="820" spans="6:6" ht="12.75">
      <c r="F820" s="10"/>
    </row>
    <row r="821" spans="6:6" ht="12.75">
      <c r="F821" s="10"/>
    </row>
    <row r="822" spans="6:6" ht="12.75">
      <c r="F822" s="10"/>
    </row>
    <row r="823" spans="6:6" ht="12.75">
      <c r="F823" s="10"/>
    </row>
    <row r="824" spans="6:6" ht="12.75">
      <c r="F824" s="10"/>
    </row>
    <row r="825" spans="6:6" ht="12.75">
      <c r="F825" s="10"/>
    </row>
    <row r="826" spans="6:6" ht="12.75">
      <c r="F826" s="10"/>
    </row>
    <row r="827" spans="6:6" ht="12.75">
      <c r="F827" s="10"/>
    </row>
    <row r="828" spans="6:6" ht="12.75">
      <c r="F828" s="10"/>
    </row>
    <row r="829" spans="6:6" ht="12.75">
      <c r="F829" s="10"/>
    </row>
    <row r="830" spans="6:6" ht="12.75">
      <c r="F830" s="10"/>
    </row>
    <row r="831" spans="6:6" ht="12.75">
      <c r="F831" s="10"/>
    </row>
    <row r="832" spans="6:6" ht="12.75">
      <c r="F832" s="10"/>
    </row>
    <row r="833" spans="6:6" ht="12.75">
      <c r="F833" s="10"/>
    </row>
    <row r="834" spans="6:6" ht="12.75">
      <c r="F834" s="10"/>
    </row>
    <row r="835" spans="6:6" ht="12.75">
      <c r="F835" s="10"/>
    </row>
    <row r="836" spans="6:6" ht="12.75">
      <c r="F836" s="10"/>
    </row>
    <row r="837" spans="6:6" ht="12.75">
      <c r="F837" s="10"/>
    </row>
    <row r="838" spans="6:6" ht="12.75">
      <c r="F838" s="10"/>
    </row>
    <row r="839" spans="6:6" ht="12.75">
      <c r="F839" s="10"/>
    </row>
    <row r="840" spans="6:6" ht="12.75">
      <c r="F840" s="10"/>
    </row>
    <row r="841" spans="6:6" ht="12.75">
      <c r="F841" s="10"/>
    </row>
    <row r="842" spans="6:6" ht="12.75">
      <c r="F842" s="10"/>
    </row>
    <row r="843" spans="6:6" ht="12.75">
      <c r="F843" s="10"/>
    </row>
    <row r="844" spans="6:6" ht="12.75">
      <c r="F844" s="10"/>
    </row>
    <row r="845" spans="6:6" ht="12.75">
      <c r="F845" s="10"/>
    </row>
    <row r="846" spans="6:6" ht="12.75">
      <c r="F846" s="10"/>
    </row>
    <row r="847" spans="6:6" ht="12.75">
      <c r="F847" s="10"/>
    </row>
    <row r="848" spans="6:6" ht="12.75">
      <c r="F848" s="10"/>
    </row>
    <row r="849" spans="6:6" ht="12.75">
      <c r="F849" s="10"/>
    </row>
    <row r="850" spans="6:6" ht="12.75">
      <c r="F850" s="10"/>
    </row>
    <row r="851" spans="6:6" ht="12.75">
      <c r="F851" s="10"/>
    </row>
    <row r="852" spans="6:6" ht="12.75">
      <c r="F852" s="10"/>
    </row>
    <row r="853" spans="6:6" ht="12.75">
      <c r="F853" s="10"/>
    </row>
    <row r="854" spans="6:6" ht="12.75">
      <c r="F854" s="10"/>
    </row>
    <row r="855" spans="6:6" ht="12.75">
      <c r="F855" s="10"/>
    </row>
    <row r="856" spans="6:6" ht="12.75">
      <c r="F856" s="10"/>
    </row>
    <row r="857" spans="6:6" ht="12.75">
      <c r="F857" s="10"/>
    </row>
    <row r="858" spans="6:6" ht="12.75">
      <c r="F858" s="10"/>
    </row>
    <row r="859" spans="6:6" ht="12.75">
      <c r="F859" s="10"/>
    </row>
    <row r="860" spans="6:6" ht="12.75">
      <c r="F860" s="10"/>
    </row>
    <row r="861" spans="6:6" ht="12.75">
      <c r="F861" s="10"/>
    </row>
    <row r="862" spans="6:6" ht="12.75">
      <c r="F862" s="10"/>
    </row>
    <row r="863" spans="6:6" ht="12.75">
      <c r="F863" s="10"/>
    </row>
    <row r="864" spans="6:6" ht="12.75">
      <c r="F864" s="10"/>
    </row>
    <row r="865" spans="6:6" ht="12.75">
      <c r="F865" s="10"/>
    </row>
    <row r="866" spans="6:6" ht="12.75">
      <c r="F866" s="10"/>
    </row>
    <row r="867" spans="6:6" ht="12.75">
      <c r="F867" s="10"/>
    </row>
    <row r="868" spans="6:6" ht="12.75">
      <c r="F868" s="10"/>
    </row>
    <row r="869" spans="6:6" ht="12.75">
      <c r="F869" s="10"/>
    </row>
    <row r="870" spans="6:6" ht="12.75">
      <c r="F870" s="10"/>
    </row>
    <row r="871" spans="6:6" ht="12.75">
      <c r="F871" s="10"/>
    </row>
    <row r="872" spans="6:6" ht="12.75">
      <c r="F872" s="10"/>
    </row>
    <row r="873" spans="6:6" ht="12.75">
      <c r="F873" s="10"/>
    </row>
    <row r="874" spans="6:6" ht="12.75">
      <c r="F874" s="10"/>
    </row>
    <row r="875" spans="6:6" ht="12.75">
      <c r="F875" s="10"/>
    </row>
    <row r="876" spans="6:6" ht="12.75">
      <c r="F876" s="10"/>
    </row>
    <row r="877" spans="6:6" ht="12.75">
      <c r="F877" s="10"/>
    </row>
    <row r="878" spans="6:6" ht="12.75">
      <c r="F878" s="10"/>
    </row>
    <row r="879" spans="6:6" ht="12.75">
      <c r="F879" s="10"/>
    </row>
    <row r="880" spans="6:6" ht="12.75">
      <c r="F880" s="10"/>
    </row>
    <row r="881" spans="6:6" ht="12.75">
      <c r="F881" s="10"/>
    </row>
    <row r="882" spans="6:6" ht="12.75">
      <c r="F882" s="10"/>
    </row>
    <row r="883" spans="6:6" ht="12.75">
      <c r="F883" s="10"/>
    </row>
    <row r="884" spans="6:6" ht="12.75">
      <c r="F884" s="10"/>
    </row>
    <row r="885" spans="6:6" ht="12.75">
      <c r="F885" s="10"/>
    </row>
    <row r="886" spans="6:6" ht="12.75">
      <c r="F886" s="10"/>
    </row>
    <row r="887" spans="6:6" ht="12.75">
      <c r="F887" s="10"/>
    </row>
    <row r="888" spans="6:6" ht="12.75">
      <c r="F888" s="10"/>
    </row>
    <row r="889" spans="6:6" ht="12.75">
      <c r="F889" s="10"/>
    </row>
    <row r="890" spans="6:6" ht="12.75">
      <c r="F890" s="10"/>
    </row>
    <row r="891" spans="6:6" ht="12.75">
      <c r="F891" s="10"/>
    </row>
    <row r="892" spans="6:6" ht="12.75">
      <c r="F892" s="10"/>
    </row>
    <row r="893" spans="6:6" ht="12.75">
      <c r="F893" s="10"/>
    </row>
    <row r="894" spans="6:6" ht="12.75">
      <c r="F894" s="10"/>
    </row>
    <row r="895" spans="6:6" ht="12.75">
      <c r="F895" s="10"/>
    </row>
    <row r="896" spans="6:6" ht="12.75">
      <c r="F896" s="10"/>
    </row>
    <row r="897" spans="6:6" ht="12.75">
      <c r="F897" s="10"/>
    </row>
    <row r="898" spans="6:6" ht="12.75">
      <c r="F898" s="10"/>
    </row>
    <row r="899" spans="6:6" ht="12.75">
      <c r="F899" s="10"/>
    </row>
    <row r="900" spans="6:6" ht="12.75">
      <c r="F900" s="10"/>
    </row>
    <row r="901" spans="6:6" ht="12.75">
      <c r="F901" s="10"/>
    </row>
    <row r="902" spans="6:6" ht="12.75">
      <c r="F902" s="10"/>
    </row>
    <row r="903" spans="6:6" ht="12.75">
      <c r="F903" s="10"/>
    </row>
    <row r="904" spans="6:6" ht="12.75">
      <c r="F904" s="10"/>
    </row>
    <row r="905" spans="6:6" ht="12.75">
      <c r="F905" s="10"/>
    </row>
    <row r="906" spans="6:6" ht="12.75">
      <c r="F906" s="10"/>
    </row>
    <row r="907" spans="6:6" ht="12.75">
      <c r="F907" s="10"/>
    </row>
    <row r="908" spans="6:6" ht="12.75">
      <c r="F908" s="10"/>
    </row>
    <row r="909" spans="6:6" ht="12.75">
      <c r="F909" s="10"/>
    </row>
    <row r="910" spans="6:6" ht="12.75">
      <c r="F910" s="10"/>
    </row>
    <row r="911" spans="6:6" ht="12.75">
      <c r="F911" s="10"/>
    </row>
    <row r="912" spans="6:6" ht="12.75">
      <c r="F912" s="10"/>
    </row>
    <row r="913" spans="6:6" ht="12.75">
      <c r="F913" s="10"/>
    </row>
    <row r="914" spans="6:6" ht="12.75">
      <c r="F914" s="10"/>
    </row>
    <row r="915" spans="6:6" ht="12.75">
      <c r="F915" s="10"/>
    </row>
    <row r="916" spans="6:6" ht="12.75">
      <c r="F916" s="10"/>
    </row>
    <row r="917" spans="6:6" ht="12.75">
      <c r="F917" s="10"/>
    </row>
    <row r="918" spans="6:6" ht="12.75">
      <c r="F918" s="10"/>
    </row>
    <row r="919" spans="6:6" ht="12.75">
      <c r="F919" s="10"/>
    </row>
    <row r="920" spans="6:6" ht="12.75">
      <c r="F920" s="10"/>
    </row>
    <row r="921" spans="6:6" ht="12.75">
      <c r="F921" s="10"/>
    </row>
    <row r="922" spans="6:6" ht="12.75">
      <c r="F922" s="10"/>
    </row>
    <row r="923" spans="6:6" ht="12.75">
      <c r="F923" s="10"/>
    </row>
    <row r="924" spans="6:6" ht="12.75">
      <c r="F924" s="10"/>
    </row>
    <row r="925" spans="6:6" ht="12.75">
      <c r="F925" s="10"/>
    </row>
    <row r="926" spans="6:6" ht="12.75">
      <c r="F926" s="10"/>
    </row>
    <row r="927" spans="6:6" ht="12.75">
      <c r="F927" s="10"/>
    </row>
    <row r="928" spans="6:6" ht="12.75">
      <c r="F928" s="10"/>
    </row>
    <row r="929" spans="6:6" ht="12.75">
      <c r="F929" s="10"/>
    </row>
    <row r="930" spans="6:6" ht="12.75">
      <c r="F930" s="10"/>
    </row>
    <row r="931" spans="6:6" ht="12.75">
      <c r="F931" s="10"/>
    </row>
    <row r="932" spans="6:6" ht="12.75">
      <c r="F932" s="10"/>
    </row>
    <row r="933" spans="6:6" ht="12.75">
      <c r="F933" s="10"/>
    </row>
    <row r="934" spans="6:6" ht="12.75">
      <c r="F934" s="10"/>
    </row>
    <row r="935" spans="6:6" ht="12.75">
      <c r="F935" s="10"/>
    </row>
    <row r="936" spans="6:6" ht="12.75">
      <c r="F936" s="10"/>
    </row>
    <row r="937" spans="6:6" ht="12.75">
      <c r="F937" s="10"/>
    </row>
    <row r="938" spans="6:6" ht="12.75">
      <c r="F938" s="10"/>
    </row>
    <row r="939" spans="6:6" ht="12.75">
      <c r="F939" s="10"/>
    </row>
    <row r="940" spans="6:6" ht="12.75">
      <c r="F940" s="10"/>
    </row>
    <row r="941" spans="6:6" ht="12.75">
      <c r="F941" s="10"/>
    </row>
    <row r="942" spans="6:6" ht="12.75">
      <c r="F942" s="10"/>
    </row>
    <row r="943" spans="6:6" ht="12.75">
      <c r="F943" s="10"/>
    </row>
    <row r="944" spans="6:6" ht="12.75">
      <c r="F944" s="10"/>
    </row>
    <row r="945" spans="6:6" ht="12.75">
      <c r="F945" s="10"/>
    </row>
    <row r="946" spans="6:6" ht="12.75">
      <c r="F946" s="10"/>
    </row>
    <row r="947" spans="6:6" ht="12.75">
      <c r="F947" s="10"/>
    </row>
    <row r="948" spans="6:6" ht="12.75">
      <c r="F948" s="10"/>
    </row>
    <row r="949" spans="6:6" ht="12.75">
      <c r="F949" s="10"/>
    </row>
    <row r="950" spans="6:6" ht="12.75">
      <c r="F950" s="10"/>
    </row>
    <row r="951" spans="6:6" ht="12.75">
      <c r="F951" s="10"/>
    </row>
    <row r="952" spans="6:6" ht="12.75">
      <c r="F952" s="10"/>
    </row>
    <row r="953" spans="6:6" ht="12.75">
      <c r="F953" s="10"/>
    </row>
    <row r="954" spans="6:6" ht="12.75">
      <c r="F954" s="10"/>
    </row>
    <row r="955" spans="6:6" ht="12.75">
      <c r="F955" s="10"/>
    </row>
    <row r="956" spans="6:6" ht="12.75">
      <c r="F956" s="10"/>
    </row>
    <row r="957" spans="6:6" ht="12.75">
      <c r="F957" s="10"/>
    </row>
    <row r="958" spans="6:6" ht="12.75">
      <c r="F958" s="10"/>
    </row>
    <row r="959" spans="6:6" ht="12.75">
      <c r="F959" s="10"/>
    </row>
    <row r="960" spans="6:6" ht="12.75">
      <c r="F960" s="10"/>
    </row>
    <row r="961" spans="6:6" ht="12.75">
      <c r="F961" s="10"/>
    </row>
    <row r="962" spans="6:6" ht="12.75">
      <c r="F962" s="10"/>
    </row>
    <row r="963" spans="6:6" ht="12.75">
      <c r="F963" s="10"/>
    </row>
    <row r="964" spans="6:6" ht="12.75">
      <c r="F964" s="10"/>
    </row>
    <row r="965" spans="6:6" ht="12.75">
      <c r="F965" s="10"/>
    </row>
    <row r="966" spans="6:6" ht="12.75">
      <c r="F966" s="10"/>
    </row>
    <row r="967" spans="6:6" ht="12.75">
      <c r="F967" s="10"/>
    </row>
    <row r="968" spans="6:6" ht="12.75">
      <c r="F968" s="10"/>
    </row>
    <row r="969" spans="6:6" ht="12.75">
      <c r="F969" s="10"/>
    </row>
    <row r="970" spans="6:6" ht="12.75">
      <c r="F970" s="10"/>
    </row>
    <row r="971" spans="6:6" ht="12.75">
      <c r="F971" s="10"/>
    </row>
    <row r="972" spans="6:6" ht="12.75">
      <c r="F972" s="10"/>
    </row>
    <row r="973" spans="6:6" ht="12.75">
      <c r="F973" s="10"/>
    </row>
    <row r="974" spans="6:6" ht="12.75">
      <c r="F974" s="10"/>
    </row>
    <row r="975" spans="6:6" ht="12.75">
      <c r="F975" s="10"/>
    </row>
    <row r="976" spans="6:6" ht="12.75">
      <c r="F976" s="10"/>
    </row>
    <row r="977" spans="6:6" ht="12.75">
      <c r="F977" s="10"/>
    </row>
    <row r="978" spans="6:6" ht="12.75">
      <c r="F978" s="10"/>
    </row>
    <row r="979" spans="6:6" ht="12.75">
      <c r="F979" s="10"/>
    </row>
    <row r="980" spans="6:6" ht="12.75">
      <c r="F980" s="10"/>
    </row>
    <row r="981" spans="6:6" ht="12.75">
      <c r="F981" s="10"/>
    </row>
    <row r="982" spans="6:6" ht="12.75">
      <c r="F982" s="10"/>
    </row>
    <row r="983" spans="6:6" ht="12.75">
      <c r="F983" s="10"/>
    </row>
    <row r="984" spans="6:6" ht="12.75">
      <c r="F984" s="10"/>
    </row>
    <row r="985" spans="6:6" ht="12.75">
      <c r="F985" s="10"/>
    </row>
    <row r="986" spans="6:6" ht="12.75">
      <c r="F986" s="10"/>
    </row>
    <row r="987" spans="6:6" ht="12.75">
      <c r="F987" s="10"/>
    </row>
    <row r="988" spans="6:6" ht="12.75">
      <c r="F988" s="10"/>
    </row>
    <row r="989" spans="6:6" ht="12.75">
      <c r="F989" s="10"/>
    </row>
    <row r="990" spans="6:6" ht="12.75">
      <c r="F990" s="10"/>
    </row>
    <row r="991" spans="6:6" ht="12.75">
      <c r="F991" s="10"/>
    </row>
    <row r="992" spans="6:6" ht="12.75">
      <c r="F992" s="10"/>
    </row>
    <row r="993" spans="6:6" ht="12.75">
      <c r="F993" s="10"/>
    </row>
    <row r="994" spans="6:6" ht="12.75">
      <c r="F994" s="10"/>
    </row>
    <row r="995" spans="6:6" ht="12.75">
      <c r="F995" s="10"/>
    </row>
    <row r="996" spans="6:6" ht="12.75">
      <c r="F996" s="10"/>
    </row>
    <row r="997" spans="6:6" ht="12.75">
      <c r="F997" s="10"/>
    </row>
    <row r="998" spans="6:6" ht="12.75">
      <c r="F998" s="10"/>
    </row>
    <row r="999" spans="6:6" ht="12.75">
      <c r="F999" s="10"/>
    </row>
    <row r="1000" spans="6:6" ht="12.75">
      <c r="F1000" s="10"/>
    </row>
    <row r="1001" spans="6:6" ht="12.75">
      <c r="F1001" s="10"/>
    </row>
    <row r="1002" spans="6:6" ht="12.75">
      <c r="F1002" s="10"/>
    </row>
    <row r="1003" spans="6:6" ht="12.75">
      <c r="F1003" s="10"/>
    </row>
    <row r="1004" spans="6:6" ht="12.75">
      <c r="F1004" s="10"/>
    </row>
    <row r="1005" spans="6:6" ht="12.75">
      <c r="F1005" s="10"/>
    </row>
    <row r="1006" spans="6:6" ht="12.75">
      <c r="F1006" s="10"/>
    </row>
    <row r="1007" spans="6:6" ht="12.75">
      <c r="F1007" s="10"/>
    </row>
    <row r="1008" spans="6:6" ht="12.75">
      <c r="F1008" s="10"/>
    </row>
    <row r="1009" spans="6:6" ht="12.75">
      <c r="F1009" s="10"/>
    </row>
    <row r="1010" spans="6:6" ht="12.75">
      <c r="F1010" s="10"/>
    </row>
    <row r="1011" spans="6:6" ht="12.75">
      <c r="F1011" s="10"/>
    </row>
    <row r="1012" spans="6:6" ht="12.75">
      <c r="F1012" s="10"/>
    </row>
    <row r="1013" spans="6:6" ht="12.75">
      <c r="F1013" s="10"/>
    </row>
    <row r="1014" spans="6:6" ht="12.75">
      <c r="F1014" s="10"/>
    </row>
    <row r="1015" spans="6:6" ht="12.75">
      <c r="F1015" s="10"/>
    </row>
    <row r="1016" spans="6:6" ht="12.75">
      <c r="F1016" s="10"/>
    </row>
    <row r="1017" spans="6:6" ht="12.75">
      <c r="F1017" s="10"/>
    </row>
    <row r="1018" spans="6:6" ht="12.75">
      <c r="F1018" s="10"/>
    </row>
    <row r="1019" spans="6:6" ht="12.75">
      <c r="F1019" s="10"/>
    </row>
  </sheetData>
  <mergeCells count="12">
    <mergeCell ref="A4:A31"/>
    <mergeCell ref="B4:B31"/>
    <mergeCell ref="A38:A73"/>
    <mergeCell ref="B38:B73"/>
    <mergeCell ref="A130:A140"/>
    <mergeCell ref="A147:A174"/>
    <mergeCell ref="B147:B174"/>
    <mergeCell ref="B80:B109"/>
    <mergeCell ref="A80:A109"/>
    <mergeCell ref="A116:A122"/>
    <mergeCell ref="B116:B122"/>
    <mergeCell ref="B130:B14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2">
    <tabColor rgb="FF00FF00"/>
    <outlinePr summaryBelow="0" summaryRight="0"/>
  </sheetPr>
  <dimension ref="A1:H38"/>
  <sheetViews>
    <sheetView topLeftCell="C1" zoomScale="85" zoomScaleNormal="85" workbookViewId="0">
      <selection activeCell="G3" sqref="G3:H18"/>
    </sheetView>
  </sheetViews>
  <sheetFormatPr defaultColWidth="12.5703125" defaultRowHeight="15.75" customHeight="1"/>
  <cols>
    <col min="1" max="1" width="17.7109375" bestFit="1" customWidth="1"/>
    <col min="2" max="2" width="20" customWidth="1"/>
    <col min="3" max="3" width="43.7109375" bestFit="1" customWidth="1"/>
    <col min="4" max="4" width="16.85546875" customWidth="1"/>
    <col min="6" max="6" width="29.7109375" customWidth="1"/>
  </cols>
  <sheetData>
    <row r="1" spans="1:8" ht="12.75"/>
    <row r="2" spans="1:8" ht="15.75" customHeight="1" thickBot="1">
      <c r="A2" s="52" t="s">
        <v>798</v>
      </c>
      <c r="B2" s="487"/>
      <c r="C2" s="487"/>
      <c r="D2" s="487"/>
      <c r="E2" s="487"/>
      <c r="F2" s="487"/>
      <c r="G2" s="358"/>
    </row>
    <row r="3" spans="1:8" ht="15" customHeight="1">
      <c r="A3" s="13" t="s">
        <v>1135</v>
      </c>
      <c r="B3" s="13" t="s">
        <v>1127</v>
      </c>
      <c r="C3" s="13" t="s">
        <v>747</v>
      </c>
      <c r="D3" s="13" t="s">
        <v>106</v>
      </c>
      <c r="E3" s="13" t="s">
        <v>782</v>
      </c>
      <c r="F3" s="71" t="s">
        <v>769</v>
      </c>
      <c r="G3" s="330" t="s">
        <v>1707</v>
      </c>
      <c r="H3" s="331" t="s">
        <v>1166</v>
      </c>
    </row>
    <row r="4" spans="1:8" ht="12.75">
      <c r="A4" s="478" t="s">
        <v>1142</v>
      </c>
      <c r="B4" s="481" t="s">
        <v>799</v>
      </c>
      <c r="C4" s="3" t="s">
        <v>145</v>
      </c>
      <c r="D4" s="3" t="s">
        <v>943</v>
      </c>
      <c r="E4" s="3">
        <v>2</v>
      </c>
      <c r="F4" s="50">
        <f t="shared" ref="F4:F26" si="0">E4*$F$30</f>
        <v>4</v>
      </c>
      <c r="G4" s="333"/>
      <c r="H4" s="334"/>
    </row>
    <row r="5" spans="1:8" ht="12.75">
      <c r="A5" s="485"/>
      <c r="B5" s="482"/>
      <c r="C5" s="3" t="s">
        <v>771</v>
      </c>
      <c r="D5" s="3" t="s">
        <v>251</v>
      </c>
      <c r="E5" s="3">
        <v>1</v>
      </c>
      <c r="F5" s="50">
        <f t="shared" si="0"/>
        <v>2</v>
      </c>
      <c r="G5" s="335"/>
      <c r="H5" s="168"/>
    </row>
    <row r="6" spans="1:8" ht="12.75">
      <c r="A6" s="485"/>
      <c r="B6" s="482"/>
      <c r="C6" s="3" t="s">
        <v>252</v>
      </c>
      <c r="D6" s="3" t="s">
        <v>251</v>
      </c>
      <c r="E6" s="3">
        <v>1</v>
      </c>
      <c r="F6" s="50">
        <f t="shared" si="0"/>
        <v>2</v>
      </c>
      <c r="G6" s="335"/>
      <c r="H6" s="168"/>
    </row>
    <row r="7" spans="1:8" ht="12.75">
      <c r="A7" s="485"/>
      <c r="B7" s="482"/>
      <c r="C7" s="3" t="s">
        <v>291</v>
      </c>
      <c r="D7" s="3" t="s">
        <v>772</v>
      </c>
      <c r="E7" s="3">
        <v>1</v>
      </c>
      <c r="F7" s="50">
        <f t="shared" si="0"/>
        <v>2</v>
      </c>
      <c r="G7" s="335"/>
      <c r="H7" s="168"/>
    </row>
    <row r="8" spans="1:8" ht="12.75">
      <c r="A8" s="485"/>
      <c r="B8" s="482"/>
      <c r="C8" s="3" t="s">
        <v>801</v>
      </c>
      <c r="D8" s="3" t="s">
        <v>251</v>
      </c>
      <c r="E8" s="3">
        <v>1</v>
      </c>
      <c r="F8" s="50">
        <f t="shared" si="0"/>
        <v>2</v>
      </c>
      <c r="G8" s="335"/>
      <c r="H8" s="168"/>
    </row>
    <row r="9" spans="1:8" ht="12.75">
      <c r="A9" s="485"/>
      <c r="B9" s="482"/>
      <c r="C9" s="3" t="s">
        <v>802</v>
      </c>
      <c r="D9" s="3" t="s">
        <v>251</v>
      </c>
      <c r="E9" s="3">
        <v>1</v>
      </c>
      <c r="F9" s="50">
        <f t="shared" si="0"/>
        <v>2</v>
      </c>
      <c r="G9" s="335"/>
      <c r="H9" s="168"/>
    </row>
    <row r="10" spans="1:8" ht="12.75">
      <c r="A10" s="485"/>
      <c r="B10" s="482"/>
      <c r="C10" s="3" t="s">
        <v>526</v>
      </c>
      <c r="D10" s="3" t="s">
        <v>257</v>
      </c>
      <c r="E10" s="3">
        <v>2</v>
      </c>
      <c r="F10" s="50">
        <f t="shared" si="0"/>
        <v>4</v>
      </c>
      <c r="G10" s="335"/>
      <c r="H10" s="168"/>
    </row>
    <row r="11" spans="1:8" ht="12.75">
      <c r="A11" s="485"/>
      <c r="B11" s="482"/>
      <c r="C11" s="3" t="s">
        <v>528</v>
      </c>
      <c r="D11" s="3" t="s">
        <v>118</v>
      </c>
      <c r="E11" s="3">
        <v>1</v>
      </c>
      <c r="F11" s="50">
        <f t="shared" si="0"/>
        <v>2</v>
      </c>
      <c r="G11" s="335"/>
      <c r="H11" s="168"/>
    </row>
    <row r="12" spans="1:8" ht="12.75">
      <c r="A12" s="485"/>
      <c r="B12" s="482"/>
      <c r="C12" s="3" t="s">
        <v>774</v>
      </c>
      <c r="D12" s="3" t="s">
        <v>533</v>
      </c>
      <c r="E12" s="3">
        <v>8</v>
      </c>
      <c r="F12" s="50">
        <f t="shared" si="0"/>
        <v>16</v>
      </c>
      <c r="G12" s="335"/>
      <c r="H12" s="168"/>
    </row>
    <row r="13" spans="1:8" ht="12.75">
      <c r="A13" s="485"/>
      <c r="B13" s="482"/>
      <c r="C13" s="3" t="s">
        <v>778</v>
      </c>
      <c r="D13" s="3" t="s">
        <v>111</v>
      </c>
      <c r="E13" s="3">
        <v>1</v>
      </c>
      <c r="F13" s="50">
        <f t="shared" si="0"/>
        <v>2</v>
      </c>
      <c r="G13" s="335"/>
      <c r="H13" s="168"/>
    </row>
    <row r="14" spans="1:8" ht="12.75">
      <c r="A14" s="485"/>
      <c r="B14" s="482"/>
      <c r="C14" s="3" t="s">
        <v>580</v>
      </c>
      <c r="D14" s="3" t="s">
        <v>118</v>
      </c>
      <c r="E14" s="3">
        <v>1</v>
      </c>
      <c r="F14" s="50">
        <f t="shared" si="0"/>
        <v>2</v>
      </c>
      <c r="G14" s="335"/>
      <c r="H14" s="168"/>
    </row>
    <row r="15" spans="1:8" ht="12.75">
      <c r="A15" s="485"/>
      <c r="B15" s="482"/>
      <c r="C15" s="3" t="s">
        <v>598</v>
      </c>
      <c r="D15" s="3" t="s">
        <v>251</v>
      </c>
      <c r="E15" s="3">
        <v>5</v>
      </c>
      <c r="F15" s="50">
        <f t="shared" si="0"/>
        <v>10</v>
      </c>
      <c r="G15" s="335"/>
      <c r="H15" s="168"/>
    </row>
    <row r="16" spans="1:8" ht="12.75">
      <c r="A16" s="485"/>
      <c r="B16" s="482"/>
      <c r="C16" s="3" t="s">
        <v>599</v>
      </c>
      <c r="D16" s="3" t="s">
        <v>251</v>
      </c>
      <c r="E16" s="3">
        <v>3</v>
      </c>
      <c r="F16" s="50">
        <f t="shared" si="0"/>
        <v>6</v>
      </c>
      <c r="G16" s="335"/>
      <c r="H16" s="168"/>
    </row>
    <row r="17" spans="1:8" ht="12.75">
      <c r="A17" s="485"/>
      <c r="B17" s="482"/>
      <c r="C17" s="3" t="s">
        <v>610</v>
      </c>
      <c r="D17" s="3" t="s">
        <v>113</v>
      </c>
      <c r="E17" s="3">
        <v>5</v>
      </c>
      <c r="F17" s="50">
        <f t="shared" si="0"/>
        <v>10</v>
      </c>
      <c r="G17" s="335"/>
      <c r="H17" s="168"/>
    </row>
    <row r="18" spans="1:8" ht="12.75">
      <c r="A18" s="485"/>
      <c r="B18" s="482"/>
      <c r="C18" s="3" t="s">
        <v>611</v>
      </c>
      <c r="D18" s="3" t="s">
        <v>113</v>
      </c>
      <c r="E18" s="3">
        <v>3</v>
      </c>
      <c r="F18" s="50">
        <f t="shared" si="0"/>
        <v>6</v>
      </c>
      <c r="G18" s="335"/>
      <c r="H18" s="168"/>
    </row>
    <row r="19" spans="1:8" ht="12.75">
      <c r="A19" s="485"/>
      <c r="B19" s="482"/>
      <c r="C19" s="3" t="s">
        <v>783</v>
      </c>
      <c r="D19" s="3" t="s">
        <v>113</v>
      </c>
      <c r="E19" s="3">
        <v>2</v>
      </c>
      <c r="F19" s="50">
        <f t="shared" si="0"/>
        <v>4</v>
      </c>
      <c r="G19" s="335"/>
      <c r="H19" s="168"/>
    </row>
    <row r="20" spans="1:8" ht="12.75">
      <c r="A20" s="485"/>
      <c r="B20" s="482"/>
      <c r="C20" s="3" t="s">
        <v>641</v>
      </c>
      <c r="D20" s="3" t="s">
        <v>113</v>
      </c>
      <c r="E20" s="3">
        <v>2</v>
      </c>
      <c r="F20" s="50">
        <f t="shared" si="0"/>
        <v>4</v>
      </c>
      <c r="G20" s="335"/>
      <c r="H20" s="168"/>
    </row>
    <row r="21" spans="1:8" ht="12.75">
      <c r="A21" s="485"/>
      <c r="B21" s="482"/>
      <c r="C21" s="3" t="s">
        <v>687</v>
      </c>
      <c r="D21" s="3" t="s">
        <v>118</v>
      </c>
      <c r="E21" s="3">
        <v>1</v>
      </c>
      <c r="F21" s="50">
        <f t="shared" si="0"/>
        <v>2</v>
      </c>
      <c r="G21" s="335"/>
      <c r="H21" s="168"/>
    </row>
    <row r="22" spans="1:8" ht="12.75">
      <c r="A22" s="485"/>
      <c r="B22" s="482"/>
      <c r="C22" s="3" t="s">
        <v>688</v>
      </c>
      <c r="D22" s="3" t="s">
        <v>118</v>
      </c>
      <c r="E22" s="3">
        <v>1</v>
      </c>
      <c r="F22" s="50">
        <f t="shared" si="0"/>
        <v>2</v>
      </c>
      <c r="G22" s="335"/>
      <c r="H22" s="168"/>
    </row>
    <row r="23" spans="1:8" ht="12.75">
      <c r="A23" s="485"/>
      <c r="B23" s="482"/>
      <c r="C23" s="3" t="s">
        <v>710</v>
      </c>
      <c r="D23" s="3" t="s">
        <v>303</v>
      </c>
      <c r="E23" s="3">
        <v>1</v>
      </c>
      <c r="F23" s="50">
        <f t="shared" si="0"/>
        <v>2</v>
      </c>
      <c r="G23" s="335"/>
      <c r="H23" s="168"/>
    </row>
    <row r="24" spans="1:8" ht="12.75">
      <c r="A24" s="485"/>
      <c r="B24" s="482"/>
      <c r="C24" s="3" t="s">
        <v>716</v>
      </c>
      <c r="D24" s="3" t="s">
        <v>157</v>
      </c>
      <c r="E24" s="3">
        <v>1</v>
      </c>
      <c r="F24" s="50">
        <f t="shared" si="0"/>
        <v>2</v>
      </c>
      <c r="G24" s="335"/>
      <c r="H24" s="168"/>
    </row>
    <row r="25" spans="1:8" ht="12.75">
      <c r="A25" s="485"/>
      <c r="B25" s="482"/>
      <c r="C25" s="3" t="s">
        <v>717</v>
      </c>
      <c r="D25" s="3" t="s">
        <v>157</v>
      </c>
      <c r="E25" s="3">
        <v>1</v>
      </c>
      <c r="F25" s="50">
        <f t="shared" si="0"/>
        <v>2</v>
      </c>
      <c r="G25" s="335"/>
      <c r="H25" s="168"/>
    </row>
    <row r="26" spans="1:8" ht="12.75">
      <c r="A26" s="486"/>
      <c r="B26" s="483"/>
      <c r="C26" s="3" t="s">
        <v>438</v>
      </c>
      <c r="D26" s="5" t="s">
        <v>910</v>
      </c>
      <c r="E26" s="3">
        <v>1</v>
      </c>
      <c r="F26" s="50">
        <f t="shared" si="0"/>
        <v>2</v>
      </c>
      <c r="G26" s="335"/>
      <c r="H26" s="168"/>
    </row>
    <row r="27" spans="1:8" ht="15.75" customHeight="1">
      <c r="C27" s="15"/>
      <c r="D27" s="15"/>
      <c r="F27" s="12" t="s">
        <v>770</v>
      </c>
    </row>
    <row r="28" spans="1:8" ht="15.75" customHeight="1">
      <c r="C28" s="15"/>
      <c r="D28" s="15"/>
      <c r="F28" s="7">
        <f>SUM(E4:E25)</f>
        <v>45</v>
      </c>
    </row>
    <row r="29" spans="1:8" ht="15.75" customHeight="1">
      <c r="C29" s="15"/>
      <c r="D29" s="15"/>
      <c r="F29" s="12" t="s">
        <v>773</v>
      </c>
    </row>
    <row r="30" spans="1:8" ht="15.75" customHeight="1">
      <c r="C30" s="15"/>
      <c r="D30" s="15"/>
      <c r="F30" s="7">
        <v>2</v>
      </c>
    </row>
    <row r="31" spans="1:8" ht="15.75" customHeight="1">
      <c r="C31" s="15"/>
      <c r="D31" s="15"/>
    </row>
    <row r="32" spans="1:8" ht="15.75" customHeight="1">
      <c r="C32" s="15"/>
      <c r="D32" s="15"/>
    </row>
    <row r="33" spans="3:4" ht="15.75" customHeight="1">
      <c r="C33" s="15"/>
      <c r="D33" s="15"/>
    </row>
    <row r="34" spans="3:4" ht="15.75" customHeight="1">
      <c r="C34" s="15"/>
      <c r="D34" s="15"/>
    </row>
    <row r="35" spans="3:4" ht="18">
      <c r="C35" s="15"/>
      <c r="D35" s="15"/>
    </row>
    <row r="36" spans="3:4" ht="18">
      <c r="C36" s="15"/>
      <c r="D36" s="15"/>
    </row>
    <row r="37" spans="3:4" ht="18">
      <c r="C37" s="15"/>
      <c r="D37" s="15"/>
    </row>
    <row r="38" spans="3:4" ht="18">
      <c r="C38" s="15"/>
      <c r="D38" s="15"/>
    </row>
  </sheetData>
  <mergeCells count="3">
    <mergeCell ref="A4:A26"/>
    <mergeCell ref="B4:B26"/>
    <mergeCell ref="B2:F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3">
    <tabColor rgb="FF00FF00"/>
    <outlinePr summaryBelow="0" summaryRight="0"/>
  </sheetPr>
  <dimension ref="A1:H33"/>
  <sheetViews>
    <sheetView topLeftCell="B1" zoomScale="85" zoomScaleNormal="85" workbookViewId="0">
      <selection activeCell="G3" sqref="G3:H10"/>
    </sheetView>
  </sheetViews>
  <sheetFormatPr defaultColWidth="12.5703125" defaultRowHeight="15.75" customHeight="1"/>
  <cols>
    <col min="1" max="1" width="17.7109375" bestFit="1" customWidth="1"/>
    <col min="2" max="2" width="24" customWidth="1"/>
    <col min="3" max="3" width="43.7109375" bestFit="1" customWidth="1"/>
    <col min="4" max="4" width="13.42578125" customWidth="1"/>
    <col min="5" max="5" width="12.5703125" style="43" customWidth="1"/>
    <col min="6" max="6" width="30" style="43" customWidth="1"/>
    <col min="7" max="7" width="37.5703125" customWidth="1"/>
    <col min="8" max="8" width="36.28515625" customWidth="1"/>
  </cols>
  <sheetData>
    <row r="1" spans="1:8" ht="12.75"/>
    <row r="2" spans="1:8" ht="15.75" customHeight="1" thickBot="1">
      <c r="A2" s="466" t="s">
        <v>803</v>
      </c>
      <c r="B2" s="467"/>
      <c r="C2" s="467"/>
      <c r="D2" s="467"/>
      <c r="E2" s="467"/>
      <c r="F2" s="489"/>
    </row>
    <row r="3" spans="1:8" ht="15.75" customHeight="1">
      <c r="A3" s="13" t="s">
        <v>1135</v>
      </c>
      <c r="B3" s="13" t="s">
        <v>1127</v>
      </c>
      <c r="C3" s="11" t="s">
        <v>747</v>
      </c>
      <c r="D3" s="11" t="s">
        <v>106</v>
      </c>
      <c r="E3" s="13" t="s">
        <v>782</v>
      </c>
      <c r="F3" s="13" t="s">
        <v>769</v>
      </c>
      <c r="G3" s="330" t="s">
        <v>1707</v>
      </c>
      <c r="H3" s="331" t="s">
        <v>1166</v>
      </c>
    </row>
    <row r="4" spans="1:8" ht="12.75">
      <c r="A4" s="478" t="s">
        <v>1143</v>
      </c>
      <c r="B4" s="481" t="s">
        <v>804</v>
      </c>
      <c r="C4" s="3" t="s">
        <v>375</v>
      </c>
      <c r="D4" s="5" t="s">
        <v>268</v>
      </c>
      <c r="E4" s="8">
        <v>1</v>
      </c>
      <c r="F4" s="6">
        <f t="shared" ref="F4:F29" si="0">SUM(E4*$F$33)</f>
        <v>2</v>
      </c>
      <c r="G4" s="333"/>
      <c r="H4" s="334"/>
    </row>
    <row r="5" spans="1:8" ht="12.75">
      <c r="A5" s="485"/>
      <c r="B5" s="482"/>
      <c r="C5" s="3" t="s">
        <v>375</v>
      </c>
      <c r="D5" s="5" t="s">
        <v>376</v>
      </c>
      <c r="E5" s="8">
        <v>1</v>
      </c>
      <c r="F5" s="6">
        <f t="shared" si="0"/>
        <v>2</v>
      </c>
      <c r="G5" s="335"/>
      <c r="H5" s="168"/>
    </row>
    <row r="6" spans="1:8" ht="12.75">
      <c r="A6" s="485"/>
      <c r="B6" s="482"/>
      <c r="C6" s="3" t="s">
        <v>375</v>
      </c>
      <c r="D6" s="5" t="s">
        <v>377</v>
      </c>
      <c r="E6" s="8">
        <v>1</v>
      </c>
      <c r="F6" s="6">
        <f t="shared" si="0"/>
        <v>2</v>
      </c>
      <c r="G6" s="335"/>
      <c r="H6" s="168"/>
    </row>
    <row r="7" spans="1:8" ht="12.75">
      <c r="A7" s="485"/>
      <c r="B7" s="482"/>
      <c r="C7" s="3" t="s">
        <v>375</v>
      </c>
      <c r="D7" s="5" t="s">
        <v>378</v>
      </c>
      <c r="E7" s="8">
        <v>1</v>
      </c>
      <c r="F7" s="6">
        <f t="shared" si="0"/>
        <v>2</v>
      </c>
      <c r="G7" s="335"/>
      <c r="H7" s="168"/>
    </row>
    <row r="8" spans="1:8" ht="12.75">
      <c r="A8" s="485"/>
      <c r="B8" s="482"/>
      <c r="C8" s="3" t="s">
        <v>375</v>
      </c>
      <c r="D8" s="5" t="s">
        <v>379</v>
      </c>
      <c r="E8" s="8">
        <v>1</v>
      </c>
      <c r="F8" s="6">
        <f t="shared" si="0"/>
        <v>2</v>
      </c>
      <c r="G8" s="335"/>
      <c r="H8" s="168"/>
    </row>
    <row r="9" spans="1:8" ht="12.75">
      <c r="A9" s="485"/>
      <c r="B9" s="482"/>
      <c r="C9" s="3" t="s">
        <v>375</v>
      </c>
      <c r="D9" s="5" t="s">
        <v>380</v>
      </c>
      <c r="E9" s="8">
        <v>1</v>
      </c>
      <c r="F9" s="6">
        <f t="shared" si="0"/>
        <v>2</v>
      </c>
      <c r="G9" s="335"/>
      <c r="H9" s="168"/>
    </row>
    <row r="10" spans="1:8" ht="12.75">
      <c r="A10" s="485"/>
      <c r="B10" s="482"/>
      <c r="C10" s="3" t="s">
        <v>375</v>
      </c>
      <c r="D10" s="5" t="s">
        <v>381</v>
      </c>
      <c r="E10" s="8">
        <v>1</v>
      </c>
      <c r="F10" s="6">
        <f t="shared" si="0"/>
        <v>2</v>
      </c>
      <c r="G10" s="335"/>
      <c r="H10" s="168"/>
    </row>
    <row r="11" spans="1:8" ht="12.75">
      <c r="A11" s="485"/>
      <c r="B11" s="482"/>
      <c r="C11" s="3" t="s">
        <v>375</v>
      </c>
      <c r="D11" s="5" t="s">
        <v>382</v>
      </c>
      <c r="E11" s="8">
        <v>1</v>
      </c>
      <c r="F11" s="6">
        <f t="shared" si="0"/>
        <v>2</v>
      </c>
      <c r="G11" s="335"/>
      <c r="H11" s="168"/>
    </row>
    <row r="12" spans="1:8" ht="12.75">
      <c r="A12" s="485"/>
      <c r="B12" s="482"/>
      <c r="C12" s="3" t="s">
        <v>375</v>
      </c>
      <c r="D12" s="5" t="s">
        <v>383</v>
      </c>
      <c r="E12" s="8">
        <v>1</v>
      </c>
      <c r="F12" s="6">
        <f t="shared" si="0"/>
        <v>2</v>
      </c>
      <c r="G12" s="335"/>
      <c r="H12" s="168"/>
    </row>
    <row r="13" spans="1:8" ht="12.75">
      <c r="A13" s="485"/>
      <c r="B13" s="482"/>
      <c r="C13" s="3" t="s">
        <v>375</v>
      </c>
      <c r="D13" s="5" t="s">
        <v>384</v>
      </c>
      <c r="E13" s="8">
        <v>1</v>
      </c>
      <c r="F13" s="6">
        <f t="shared" si="0"/>
        <v>2</v>
      </c>
      <c r="G13" s="335"/>
      <c r="H13" s="168"/>
    </row>
    <row r="14" spans="1:8" ht="12.75">
      <c r="A14" s="485"/>
      <c r="B14" s="482"/>
      <c r="C14" s="3" t="s">
        <v>375</v>
      </c>
      <c r="D14" s="5" t="s">
        <v>385</v>
      </c>
      <c r="E14" s="8">
        <v>1</v>
      </c>
      <c r="F14" s="6">
        <f t="shared" si="0"/>
        <v>2</v>
      </c>
      <c r="G14" s="335"/>
      <c r="H14" s="168"/>
    </row>
    <row r="15" spans="1:8" ht="12.75">
      <c r="A15" s="485"/>
      <c r="B15" s="482"/>
      <c r="C15" s="3" t="s">
        <v>375</v>
      </c>
      <c r="D15" s="5" t="s">
        <v>386</v>
      </c>
      <c r="E15" s="8">
        <v>1</v>
      </c>
      <c r="F15" s="6">
        <f t="shared" si="0"/>
        <v>2</v>
      </c>
      <c r="G15" s="335"/>
      <c r="H15" s="168"/>
    </row>
    <row r="16" spans="1:8" ht="12.75">
      <c r="A16" s="485"/>
      <c r="B16" s="482"/>
      <c r="C16" s="3" t="s">
        <v>375</v>
      </c>
      <c r="D16" s="5" t="s">
        <v>387</v>
      </c>
      <c r="E16" s="8">
        <v>1</v>
      </c>
      <c r="F16" s="6">
        <f t="shared" si="0"/>
        <v>2</v>
      </c>
      <c r="G16" s="335"/>
      <c r="H16" s="168"/>
    </row>
    <row r="17" spans="1:8" ht="12.75">
      <c r="A17" s="485"/>
      <c r="B17" s="482"/>
      <c r="C17" s="3" t="s">
        <v>375</v>
      </c>
      <c r="D17" s="5" t="s">
        <v>388</v>
      </c>
      <c r="E17" s="8">
        <v>1</v>
      </c>
      <c r="F17" s="6">
        <f t="shared" si="0"/>
        <v>2</v>
      </c>
      <c r="G17" s="335"/>
      <c r="H17" s="168"/>
    </row>
    <row r="18" spans="1:8" ht="12.75">
      <c r="A18" s="485"/>
      <c r="B18" s="482"/>
      <c r="C18" s="3" t="s">
        <v>375</v>
      </c>
      <c r="D18" s="5" t="s">
        <v>389</v>
      </c>
      <c r="E18" s="8">
        <v>1</v>
      </c>
      <c r="F18" s="6">
        <f t="shared" si="0"/>
        <v>2</v>
      </c>
      <c r="G18" s="335"/>
      <c r="H18" s="168"/>
    </row>
    <row r="19" spans="1:8" ht="12.75">
      <c r="A19" s="485"/>
      <c r="B19" s="482"/>
      <c r="C19" s="3" t="s">
        <v>375</v>
      </c>
      <c r="D19" s="5" t="s">
        <v>390</v>
      </c>
      <c r="E19" s="8">
        <v>1</v>
      </c>
      <c r="F19" s="6">
        <f t="shared" si="0"/>
        <v>2</v>
      </c>
      <c r="G19" s="335"/>
      <c r="H19" s="168"/>
    </row>
    <row r="20" spans="1:8" ht="12.75">
      <c r="A20" s="485"/>
      <c r="B20" s="482"/>
      <c r="C20" s="3" t="s">
        <v>375</v>
      </c>
      <c r="D20" s="5" t="s">
        <v>391</v>
      </c>
      <c r="E20" s="8">
        <v>1</v>
      </c>
      <c r="F20" s="6">
        <f t="shared" si="0"/>
        <v>2</v>
      </c>
      <c r="G20" s="335"/>
      <c r="H20" s="168"/>
    </row>
    <row r="21" spans="1:8" ht="12.75">
      <c r="A21" s="485"/>
      <c r="B21" s="482"/>
      <c r="C21" s="3" t="s">
        <v>375</v>
      </c>
      <c r="D21" s="5" t="s">
        <v>392</v>
      </c>
      <c r="E21" s="8">
        <v>1</v>
      </c>
      <c r="F21" s="6">
        <f t="shared" si="0"/>
        <v>2</v>
      </c>
      <c r="G21" s="335"/>
      <c r="H21" s="168"/>
    </row>
    <row r="22" spans="1:8" ht="12.75">
      <c r="A22" s="485"/>
      <c r="B22" s="482"/>
      <c r="C22" s="3" t="s">
        <v>375</v>
      </c>
      <c r="D22" s="5" t="s">
        <v>393</v>
      </c>
      <c r="E22" s="8">
        <v>1</v>
      </c>
      <c r="F22" s="6">
        <f t="shared" si="0"/>
        <v>2</v>
      </c>
      <c r="G22" s="335"/>
      <c r="H22" s="168"/>
    </row>
    <row r="23" spans="1:8" ht="12.75">
      <c r="A23" s="485"/>
      <c r="B23" s="482"/>
      <c r="C23" s="3" t="s">
        <v>375</v>
      </c>
      <c r="D23" s="5" t="s">
        <v>394</v>
      </c>
      <c r="E23" s="8">
        <v>1</v>
      </c>
      <c r="F23" s="6">
        <f t="shared" si="0"/>
        <v>2</v>
      </c>
      <c r="G23" s="335"/>
      <c r="H23" s="168"/>
    </row>
    <row r="24" spans="1:8" ht="12.75">
      <c r="A24" s="485"/>
      <c r="B24" s="482"/>
      <c r="C24" s="3" t="s">
        <v>375</v>
      </c>
      <c r="D24" s="5" t="s">
        <v>395</v>
      </c>
      <c r="E24" s="8">
        <v>1</v>
      </c>
      <c r="F24" s="6">
        <f t="shared" si="0"/>
        <v>2</v>
      </c>
      <c r="G24" s="335"/>
      <c r="H24" s="168"/>
    </row>
    <row r="25" spans="1:8" ht="12.75">
      <c r="A25" s="485"/>
      <c r="B25" s="482"/>
      <c r="C25" s="3" t="s">
        <v>375</v>
      </c>
      <c r="D25" s="5" t="s">
        <v>396</v>
      </c>
      <c r="E25" s="8">
        <v>1</v>
      </c>
      <c r="F25" s="6">
        <f t="shared" si="0"/>
        <v>2</v>
      </c>
      <c r="G25" s="335"/>
      <c r="H25" s="168"/>
    </row>
    <row r="26" spans="1:8" ht="12.75">
      <c r="A26" s="485"/>
      <c r="B26" s="482"/>
      <c r="C26" s="3" t="s">
        <v>375</v>
      </c>
      <c r="D26" s="5" t="s">
        <v>397</v>
      </c>
      <c r="E26" s="8">
        <v>1</v>
      </c>
      <c r="F26" s="6">
        <f t="shared" si="0"/>
        <v>2</v>
      </c>
      <c r="G26" s="335"/>
      <c r="H26" s="168"/>
    </row>
    <row r="27" spans="1:8" ht="12.75">
      <c r="A27" s="485"/>
      <c r="B27" s="482"/>
      <c r="C27" s="3" t="s">
        <v>375</v>
      </c>
      <c r="D27" s="5" t="s">
        <v>398</v>
      </c>
      <c r="E27" s="8">
        <v>1</v>
      </c>
      <c r="F27" s="6">
        <f t="shared" si="0"/>
        <v>2</v>
      </c>
      <c r="G27" s="335"/>
      <c r="H27" s="168"/>
    </row>
    <row r="28" spans="1:8" ht="12.75">
      <c r="A28" s="485"/>
      <c r="B28" s="482"/>
      <c r="C28" s="48" t="s">
        <v>375</v>
      </c>
      <c r="D28" s="44" t="s">
        <v>399</v>
      </c>
      <c r="E28" s="56">
        <v>1</v>
      </c>
      <c r="F28" s="45">
        <f t="shared" si="0"/>
        <v>2</v>
      </c>
      <c r="G28" s="343"/>
      <c r="H28" s="332"/>
    </row>
    <row r="29" spans="1:8" ht="13.5" thickBot="1">
      <c r="A29" s="486"/>
      <c r="B29" s="488"/>
      <c r="C29" s="49" t="s">
        <v>438</v>
      </c>
      <c r="D29" s="49" t="s">
        <v>443</v>
      </c>
      <c r="E29" s="57">
        <v>1</v>
      </c>
      <c r="F29" s="47">
        <f t="shared" si="0"/>
        <v>2</v>
      </c>
      <c r="G29" s="357"/>
      <c r="H29" s="169"/>
    </row>
    <row r="30" spans="1:8" ht="15.75" customHeight="1">
      <c r="F30" s="12" t="s">
        <v>770</v>
      </c>
    </row>
    <row r="31" spans="1:8" ht="15.75" customHeight="1">
      <c r="F31" s="7">
        <f>SUM(E4:E27)</f>
        <v>24</v>
      </c>
    </row>
    <row r="32" spans="1:8" ht="15.75" customHeight="1">
      <c r="F32" s="12" t="s">
        <v>773</v>
      </c>
    </row>
    <row r="33" spans="6:6" ht="15.75" customHeight="1">
      <c r="F33" s="7">
        <v>2</v>
      </c>
    </row>
  </sheetData>
  <mergeCells count="3">
    <mergeCell ref="A4:A29"/>
    <mergeCell ref="B4:B29"/>
    <mergeCell ref="A2:F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4">
    <tabColor rgb="FF00FF00"/>
    <outlinePr summaryBelow="0" summaryRight="0"/>
  </sheetPr>
  <dimension ref="A1:N118"/>
  <sheetViews>
    <sheetView topLeftCell="D88" zoomScale="85" zoomScaleNormal="85" workbookViewId="0">
      <selection activeCell="H56" sqref="H56:I87"/>
    </sheetView>
  </sheetViews>
  <sheetFormatPr defaultColWidth="12.5703125" defaultRowHeight="15.75" customHeight="1"/>
  <cols>
    <col min="1" max="1" width="8.42578125" customWidth="1"/>
    <col min="2" max="2" width="24" customWidth="1"/>
    <col min="3" max="3" width="62.7109375" customWidth="1"/>
    <col min="6" max="6" width="32.140625" customWidth="1"/>
    <col min="7" max="7" width="20.140625" customWidth="1"/>
    <col min="8" max="8" width="21.85546875" customWidth="1"/>
    <col min="9" max="9" width="13.140625" customWidth="1"/>
    <col min="10" max="10" width="12.5703125" customWidth="1"/>
    <col min="11" max="11" width="21.85546875" bestFit="1" customWidth="1"/>
    <col min="12" max="12" width="13.140625" bestFit="1" customWidth="1"/>
    <col min="13" max="13" width="16.42578125" bestFit="1" customWidth="1"/>
  </cols>
  <sheetData>
    <row r="1" spans="1:14" ht="12.75"/>
    <row r="2" spans="1:14" ht="15.75" customHeight="1" thickBot="1">
      <c r="A2" s="53" t="s">
        <v>805</v>
      </c>
      <c r="B2" s="54"/>
      <c r="C2" s="54"/>
      <c r="D2" s="54"/>
      <c r="E2" s="54"/>
      <c r="F2" s="54"/>
      <c r="G2" s="504"/>
      <c r="H2" s="504"/>
      <c r="I2" s="504"/>
      <c r="J2" s="360"/>
      <c r="K2" s="504"/>
      <c r="L2" s="504"/>
      <c r="M2" s="504"/>
      <c r="N2" s="504"/>
    </row>
    <row r="3" spans="1:14" ht="15" customHeight="1">
      <c r="A3" s="13" t="s">
        <v>1135</v>
      </c>
      <c r="B3" s="13" t="s">
        <v>1127</v>
      </c>
      <c r="C3" s="13" t="s">
        <v>747</v>
      </c>
      <c r="D3" s="13" t="s">
        <v>106</v>
      </c>
      <c r="E3" s="13" t="s">
        <v>782</v>
      </c>
      <c r="F3" s="71" t="s">
        <v>769</v>
      </c>
      <c r="G3" s="330" t="s">
        <v>1707</v>
      </c>
      <c r="H3" s="331" t="s">
        <v>1166</v>
      </c>
      <c r="I3" s="361"/>
      <c r="J3" s="361"/>
      <c r="K3" s="360"/>
      <c r="L3" s="361"/>
      <c r="M3" s="361"/>
      <c r="N3" s="361"/>
    </row>
    <row r="4" spans="1:14" ht="12.75">
      <c r="A4" s="478" t="s">
        <v>1164</v>
      </c>
      <c r="B4" s="481" t="s">
        <v>806</v>
      </c>
      <c r="C4" s="3" t="s">
        <v>145</v>
      </c>
      <c r="D4" s="3" t="s">
        <v>943</v>
      </c>
      <c r="E4" s="3">
        <v>2</v>
      </c>
      <c r="F4" s="50">
        <f t="shared" ref="F4:F34" si="0">SUM(E4*$F$38)</f>
        <v>8</v>
      </c>
      <c r="G4" s="333"/>
      <c r="H4" s="334"/>
      <c r="I4" s="362"/>
      <c r="J4" s="363"/>
      <c r="K4" s="364"/>
      <c r="L4" s="365"/>
      <c r="M4" s="363"/>
      <c r="N4" s="363"/>
    </row>
    <row r="5" spans="1:14" ht="12.75">
      <c r="A5" s="485"/>
      <c r="B5" s="482"/>
      <c r="C5" s="3" t="s">
        <v>771</v>
      </c>
      <c r="D5" s="3" t="s">
        <v>251</v>
      </c>
      <c r="E5" s="3">
        <v>1</v>
      </c>
      <c r="F5" s="50">
        <f t="shared" si="0"/>
        <v>4</v>
      </c>
      <c r="G5" s="335"/>
      <c r="H5" s="168"/>
      <c r="I5" s="362"/>
      <c r="J5" s="363"/>
      <c r="K5" s="364"/>
      <c r="L5" s="365"/>
      <c r="M5" s="363"/>
      <c r="N5" s="363"/>
    </row>
    <row r="6" spans="1:14" ht="12.75">
      <c r="A6" s="485"/>
      <c r="B6" s="482"/>
      <c r="C6" s="3" t="s">
        <v>252</v>
      </c>
      <c r="D6" s="3" t="s">
        <v>251</v>
      </c>
      <c r="E6" s="3">
        <v>1</v>
      </c>
      <c r="F6" s="50">
        <f t="shared" si="0"/>
        <v>4</v>
      </c>
      <c r="G6" s="335"/>
      <c r="H6" s="168"/>
      <c r="I6" s="362"/>
      <c r="J6" s="363"/>
      <c r="K6" s="364"/>
      <c r="L6" s="365"/>
      <c r="M6" s="363"/>
      <c r="N6" s="363"/>
    </row>
    <row r="7" spans="1:14" ht="12.75">
      <c r="A7" s="485"/>
      <c r="B7" s="482"/>
      <c r="C7" s="3" t="s">
        <v>270</v>
      </c>
      <c r="D7" s="3" t="s">
        <v>271</v>
      </c>
      <c r="E7" s="3">
        <v>1</v>
      </c>
      <c r="F7" s="50">
        <f t="shared" si="0"/>
        <v>4</v>
      </c>
      <c r="G7" s="335"/>
      <c r="H7" s="168"/>
      <c r="I7" s="362"/>
      <c r="J7" s="363"/>
      <c r="K7" s="364"/>
      <c r="L7" s="365"/>
      <c r="M7" s="363"/>
      <c r="N7" s="363"/>
    </row>
    <row r="8" spans="1:14" ht="12.75">
      <c r="A8" s="485"/>
      <c r="B8" s="482"/>
      <c r="C8" s="3" t="s">
        <v>283</v>
      </c>
      <c r="D8" s="3" t="s">
        <v>111</v>
      </c>
      <c r="E8" s="3">
        <v>1</v>
      </c>
      <c r="F8" s="50">
        <f t="shared" si="0"/>
        <v>4</v>
      </c>
      <c r="G8" s="335"/>
      <c r="H8" s="168"/>
      <c r="I8" s="362"/>
      <c r="J8" s="363"/>
      <c r="K8" s="364"/>
      <c r="L8" s="365"/>
      <c r="M8" s="363"/>
      <c r="N8" s="363"/>
    </row>
    <row r="9" spans="1:14" ht="12.75">
      <c r="A9" s="485"/>
      <c r="B9" s="482"/>
      <c r="C9" s="3" t="s">
        <v>285</v>
      </c>
      <c r="D9" s="3" t="s">
        <v>286</v>
      </c>
      <c r="E9" s="3">
        <v>1</v>
      </c>
      <c r="F9" s="50">
        <f t="shared" si="0"/>
        <v>4</v>
      </c>
      <c r="G9" s="335"/>
      <c r="H9" s="168"/>
      <c r="I9" s="362"/>
      <c r="J9" s="363"/>
      <c r="K9" s="364"/>
      <c r="L9" s="365"/>
      <c r="M9" s="363"/>
      <c r="N9" s="363"/>
    </row>
    <row r="10" spans="1:14" ht="12.75">
      <c r="A10" s="485"/>
      <c r="B10" s="482"/>
      <c r="C10" s="3" t="s">
        <v>287</v>
      </c>
      <c r="D10" s="3" t="s">
        <v>288</v>
      </c>
      <c r="E10" s="3">
        <v>1</v>
      </c>
      <c r="F10" s="50">
        <f t="shared" si="0"/>
        <v>4</v>
      </c>
      <c r="G10" s="335"/>
      <c r="H10" s="168"/>
      <c r="I10" s="362"/>
      <c r="J10" s="363"/>
      <c r="K10" s="364"/>
      <c r="L10" s="365"/>
      <c r="M10" s="363"/>
      <c r="N10" s="363"/>
    </row>
    <row r="11" spans="1:14" ht="12.75">
      <c r="A11" s="485"/>
      <c r="B11" s="482"/>
      <c r="C11" s="3" t="s">
        <v>291</v>
      </c>
      <c r="D11" s="3" t="s">
        <v>772</v>
      </c>
      <c r="E11" s="3">
        <v>1</v>
      </c>
      <c r="F11" s="50">
        <f t="shared" si="0"/>
        <v>4</v>
      </c>
      <c r="G11" s="335"/>
      <c r="H11" s="168"/>
      <c r="I11" s="362"/>
      <c r="J11" s="363"/>
      <c r="K11" s="364"/>
      <c r="L11" s="365"/>
      <c r="M11" s="363"/>
      <c r="N11" s="363"/>
    </row>
    <row r="12" spans="1:14" ht="12.75">
      <c r="A12" s="485"/>
      <c r="B12" s="482"/>
      <c r="C12" s="3" t="s">
        <v>526</v>
      </c>
      <c r="D12" s="3" t="s">
        <v>242</v>
      </c>
      <c r="E12" s="3">
        <v>2</v>
      </c>
      <c r="F12" s="50">
        <f t="shared" si="0"/>
        <v>8</v>
      </c>
      <c r="G12" s="335"/>
      <c r="H12" s="168"/>
      <c r="I12" s="362"/>
      <c r="J12" s="363"/>
      <c r="K12" s="364"/>
      <c r="L12" s="365"/>
      <c r="M12" s="363"/>
      <c r="N12" s="363"/>
    </row>
    <row r="13" spans="1:14" ht="12.75">
      <c r="A13" s="485"/>
      <c r="B13" s="482"/>
      <c r="C13" s="3" t="s">
        <v>528</v>
      </c>
      <c r="D13" s="3" t="s">
        <v>335</v>
      </c>
      <c r="E13" s="3">
        <v>1</v>
      </c>
      <c r="F13" s="50">
        <f t="shared" si="0"/>
        <v>4</v>
      </c>
      <c r="G13" s="335"/>
      <c r="H13" s="168"/>
      <c r="I13" s="362"/>
      <c r="J13" s="363"/>
      <c r="K13" s="364"/>
      <c r="L13" s="365"/>
      <c r="M13" s="363"/>
      <c r="N13" s="363"/>
    </row>
    <row r="14" spans="1:14" ht="12.75">
      <c r="A14" s="485"/>
      <c r="B14" s="482"/>
      <c r="C14" s="3" t="s">
        <v>528</v>
      </c>
      <c r="D14" s="3" t="s">
        <v>118</v>
      </c>
      <c r="E14" s="3">
        <v>1</v>
      </c>
      <c r="F14" s="50">
        <f t="shared" si="0"/>
        <v>4</v>
      </c>
      <c r="G14" s="335"/>
      <c r="H14" s="168"/>
      <c r="I14" s="362"/>
      <c r="J14" s="363"/>
      <c r="K14" s="364"/>
      <c r="L14" s="365"/>
      <c r="M14" s="363"/>
      <c r="N14" s="363"/>
    </row>
    <row r="15" spans="1:14" ht="12.75">
      <c r="A15" s="485"/>
      <c r="B15" s="482"/>
      <c r="C15" s="3" t="s">
        <v>774</v>
      </c>
      <c r="D15" s="3" t="s">
        <v>533</v>
      </c>
      <c r="E15" s="3">
        <v>10</v>
      </c>
      <c r="F15" s="50">
        <f t="shared" si="0"/>
        <v>40</v>
      </c>
      <c r="G15" s="335"/>
      <c r="H15" s="168"/>
      <c r="I15" s="362"/>
      <c r="J15" s="363"/>
      <c r="K15" s="364"/>
      <c r="L15" s="365"/>
      <c r="M15" s="363"/>
      <c r="N15" s="363"/>
    </row>
    <row r="16" spans="1:14" ht="12.75">
      <c r="A16" s="485"/>
      <c r="B16" s="482"/>
      <c r="C16" s="3" t="s">
        <v>778</v>
      </c>
      <c r="D16" s="3" t="s">
        <v>111</v>
      </c>
      <c r="E16" s="3">
        <v>1</v>
      </c>
      <c r="F16" s="50">
        <f t="shared" si="0"/>
        <v>4</v>
      </c>
      <c r="G16" s="335"/>
      <c r="H16" s="168"/>
      <c r="I16" s="362"/>
      <c r="J16" s="363"/>
      <c r="K16" s="364"/>
      <c r="L16" s="365"/>
      <c r="M16" s="363"/>
      <c r="N16" s="363"/>
    </row>
    <row r="17" spans="1:14" ht="12.75">
      <c r="A17" s="485"/>
      <c r="B17" s="482"/>
      <c r="C17" s="3" t="s">
        <v>580</v>
      </c>
      <c r="D17" s="3" t="s">
        <v>335</v>
      </c>
      <c r="E17" s="3">
        <v>1</v>
      </c>
      <c r="F17" s="50">
        <f t="shared" si="0"/>
        <v>4</v>
      </c>
      <c r="G17" s="335"/>
      <c r="H17" s="168"/>
      <c r="I17" s="362"/>
      <c r="J17" s="363"/>
      <c r="K17" s="364"/>
      <c r="L17" s="365"/>
      <c r="M17" s="363"/>
      <c r="N17" s="363"/>
    </row>
    <row r="18" spans="1:14" ht="12.75">
      <c r="A18" s="485"/>
      <c r="B18" s="482"/>
      <c r="C18" s="3" t="s">
        <v>580</v>
      </c>
      <c r="D18" s="3" t="s">
        <v>118</v>
      </c>
      <c r="E18" s="3">
        <v>1</v>
      </c>
      <c r="F18" s="50">
        <f t="shared" si="0"/>
        <v>4</v>
      </c>
      <c r="G18" s="335"/>
      <c r="H18" s="168"/>
      <c r="I18" s="362"/>
      <c r="J18" s="363"/>
      <c r="K18" s="364"/>
      <c r="L18" s="365"/>
      <c r="M18" s="363"/>
      <c r="N18" s="363"/>
    </row>
    <row r="19" spans="1:14" ht="12.75">
      <c r="A19" s="485"/>
      <c r="B19" s="482"/>
      <c r="C19" s="3" t="s">
        <v>595</v>
      </c>
      <c r="D19" s="3" t="s">
        <v>946</v>
      </c>
      <c r="E19" s="3">
        <v>1</v>
      </c>
      <c r="F19" s="50">
        <f t="shared" si="0"/>
        <v>4</v>
      </c>
      <c r="G19" s="335"/>
      <c r="H19" s="168"/>
      <c r="I19" s="362"/>
      <c r="J19" s="363"/>
      <c r="K19" s="364"/>
      <c r="L19" s="365"/>
      <c r="M19" s="363"/>
      <c r="N19" s="363"/>
    </row>
    <row r="20" spans="1:14" ht="12.75">
      <c r="A20" s="485"/>
      <c r="B20" s="482"/>
      <c r="C20" s="3" t="s">
        <v>598</v>
      </c>
      <c r="D20" s="3" t="s">
        <v>251</v>
      </c>
      <c r="E20" s="3">
        <v>6</v>
      </c>
      <c r="F20" s="50">
        <f t="shared" si="0"/>
        <v>24</v>
      </c>
      <c r="G20" s="335"/>
      <c r="H20" s="168"/>
      <c r="I20" s="362"/>
      <c r="J20" s="363"/>
      <c r="K20" s="364"/>
      <c r="L20" s="365"/>
      <c r="M20" s="363"/>
      <c r="N20" s="363"/>
    </row>
    <row r="21" spans="1:14" ht="12.75">
      <c r="A21" s="485"/>
      <c r="B21" s="482"/>
      <c r="C21" s="3" t="s">
        <v>599</v>
      </c>
      <c r="D21" s="3" t="s">
        <v>251</v>
      </c>
      <c r="E21" s="3">
        <v>6</v>
      </c>
      <c r="F21" s="50">
        <f t="shared" si="0"/>
        <v>24</v>
      </c>
      <c r="G21" s="335"/>
      <c r="H21" s="168"/>
      <c r="I21" s="362"/>
      <c r="J21" s="363"/>
      <c r="K21" s="364"/>
      <c r="L21" s="365"/>
      <c r="M21" s="363"/>
      <c r="N21" s="363"/>
    </row>
    <row r="22" spans="1:14" ht="12.75">
      <c r="A22" s="485"/>
      <c r="B22" s="482"/>
      <c r="C22" s="3" t="s">
        <v>610</v>
      </c>
      <c r="D22" s="3" t="s">
        <v>113</v>
      </c>
      <c r="E22" s="3">
        <v>8</v>
      </c>
      <c r="F22" s="50">
        <f t="shared" si="0"/>
        <v>32</v>
      </c>
      <c r="G22" s="335"/>
      <c r="H22" s="168"/>
      <c r="I22" s="362"/>
      <c r="J22" s="363"/>
      <c r="K22" s="364"/>
      <c r="L22" s="365"/>
      <c r="M22" s="363"/>
      <c r="N22" s="363"/>
    </row>
    <row r="23" spans="1:14" ht="12.75">
      <c r="A23" s="485"/>
      <c r="B23" s="482"/>
      <c r="C23" s="3" t="s">
        <v>611</v>
      </c>
      <c r="D23" s="3" t="s">
        <v>113</v>
      </c>
      <c r="E23" s="3">
        <v>4</v>
      </c>
      <c r="F23" s="50">
        <f t="shared" si="0"/>
        <v>16</v>
      </c>
      <c r="G23" s="335"/>
      <c r="H23" s="168"/>
      <c r="I23" s="362"/>
      <c r="J23" s="363"/>
      <c r="K23" s="364"/>
      <c r="L23" s="365"/>
      <c r="M23" s="363"/>
      <c r="N23" s="363"/>
    </row>
    <row r="24" spans="1:14" ht="12.75">
      <c r="A24" s="485"/>
      <c r="B24" s="482"/>
      <c r="C24" s="3" t="s">
        <v>783</v>
      </c>
      <c r="D24" s="3" t="s">
        <v>113</v>
      </c>
      <c r="E24" s="3">
        <v>4</v>
      </c>
      <c r="F24" s="50">
        <f t="shared" si="0"/>
        <v>16</v>
      </c>
      <c r="G24" s="335"/>
      <c r="H24" s="168"/>
      <c r="I24" s="362"/>
      <c r="J24" s="363"/>
      <c r="K24" s="364"/>
      <c r="L24" s="365"/>
      <c r="M24" s="363"/>
      <c r="N24" s="363"/>
    </row>
    <row r="25" spans="1:14" ht="12.75">
      <c r="A25" s="485"/>
      <c r="B25" s="482"/>
      <c r="C25" s="3" t="s">
        <v>807</v>
      </c>
      <c r="D25" s="3" t="s">
        <v>335</v>
      </c>
      <c r="E25" s="3">
        <v>4</v>
      </c>
      <c r="F25" s="50">
        <f t="shared" si="0"/>
        <v>16</v>
      </c>
      <c r="G25" s="335"/>
      <c r="H25" s="168"/>
      <c r="I25" s="362"/>
      <c r="J25" s="363"/>
      <c r="K25" s="364"/>
      <c r="L25" s="365"/>
      <c r="M25" s="363"/>
      <c r="N25" s="363"/>
    </row>
    <row r="26" spans="1:14" ht="12.75">
      <c r="A26" s="485"/>
      <c r="B26" s="482"/>
      <c r="C26" s="3" t="s">
        <v>687</v>
      </c>
      <c r="D26" s="3" t="s">
        <v>118</v>
      </c>
      <c r="E26" s="3">
        <v>1</v>
      </c>
      <c r="F26" s="50">
        <f t="shared" si="0"/>
        <v>4</v>
      </c>
      <c r="G26" s="335"/>
      <c r="H26" s="168"/>
      <c r="I26" s="362"/>
      <c r="J26" s="363"/>
      <c r="K26" s="364"/>
      <c r="L26" s="365"/>
      <c r="M26" s="363"/>
      <c r="N26" s="363"/>
    </row>
    <row r="27" spans="1:14" ht="12.75">
      <c r="A27" s="485"/>
      <c r="B27" s="482"/>
      <c r="C27" s="3" t="s">
        <v>687</v>
      </c>
      <c r="D27" s="3" t="s">
        <v>242</v>
      </c>
      <c r="E27" s="3">
        <v>1</v>
      </c>
      <c r="F27" s="50">
        <f t="shared" si="0"/>
        <v>4</v>
      </c>
      <c r="G27" s="335"/>
      <c r="H27" s="168"/>
      <c r="I27" s="362"/>
      <c r="J27" s="363"/>
      <c r="K27" s="364"/>
      <c r="L27" s="365"/>
      <c r="M27" s="363"/>
      <c r="N27" s="363"/>
    </row>
    <row r="28" spans="1:14" ht="12.75">
      <c r="A28" s="485"/>
      <c r="B28" s="482"/>
      <c r="C28" s="3" t="s">
        <v>688</v>
      </c>
      <c r="D28" s="3" t="s">
        <v>242</v>
      </c>
      <c r="E28" s="3">
        <v>1</v>
      </c>
      <c r="F28" s="50">
        <f t="shared" si="0"/>
        <v>4</v>
      </c>
      <c r="G28" s="335"/>
      <c r="H28" s="168"/>
      <c r="I28" s="362"/>
      <c r="J28" s="363"/>
      <c r="K28" s="364"/>
      <c r="L28" s="365"/>
      <c r="M28" s="363"/>
      <c r="N28" s="363"/>
    </row>
    <row r="29" spans="1:14" ht="12.75">
      <c r="A29" s="485"/>
      <c r="B29" s="482"/>
      <c r="C29" s="3" t="s">
        <v>808</v>
      </c>
      <c r="D29" s="3" t="s">
        <v>944</v>
      </c>
      <c r="E29" s="3">
        <v>1</v>
      </c>
      <c r="F29" s="50">
        <f t="shared" si="0"/>
        <v>4</v>
      </c>
      <c r="G29" s="335"/>
      <c r="H29" s="168"/>
      <c r="I29" s="362"/>
      <c r="J29" s="363"/>
      <c r="K29" s="364"/>
      <c r="L29" s="365"/>
      <c r="M29" s="363"/>
      <c r="N29" s="363"/>
    </row>
    <row r="30" spans="1:14" ht="12.75">
      <c r="A30" s="485"/>
      <c r="B30" s="482"/>
      <c r="C30" s="3" t="s">
        <v>695</v>
      </c>
      <c r="D30" s="3" t="s">
        <v>945</v>
      </c>
      <c r="E30" s="3">
        <v>1</v>
      </c>
      <c r="F30" s="50">
        <f t="shared" si="0"/>
        <v>4</v>
      </c>
      <c r="G30" s="335"/>
      <c r="H30" s="168"/>
      <c r="I30" s="362"/>
      <c r="J30" s="363"/>
      <c r="K30" s="364"/>
      <c r="L30" s="365"/>
      <c r="M30" s="363"/>
      <c r="N30" s="363"/>
    </row>
    <row r="31" spans="1:14" ht="12.75">
      <c r="A31" s="485"/>
      <c r="B31" s="482"/>
      <c r="C31" s="3" t="s">
        <v>710</v>
      </c>
      <c r="D31" s="3" t="s">
        <v>303</v>
      </c>
      <c r="E31" s="3">
        <v>1</v>
      </c>
      <c r="F31" s="50">
        <f t="shared" si="0"/>
        <v>4</v>
      </c>
      <c r="G31" s="335"/>
      <c r="H31" s="168"/>
      <c r="I31" s="362"/>
      <c r="J31" s="363"/>
      <c r="K31" s="364"/>
      <c r="L31" s="365"/>
      <c r="M31" s="363"/>
      <c r="N31" s="363"/>
    </row>
    <row r="32" spans="1:14" ht="12.75">
      <c r="A32" s="485"/>
      <c r="B32" s="482"/>
      <c r="C32" s="3" t="s">
        <v>716</v>
      </c>
      <c r="D32" s="3" t="s">
        <v>335</v>
      </c>
      <c r="E32" s="3">
        <v>1</v>
      </c>
      <c r="F32" s="50">
        <f t="shared" si="0"/>
        <v>4</v>
      </c>
      <c r="G32" s="335"/>
      <c r="H32" s="168"/>
      <c r="I32" s="362"/>
      <c r="J32" s="363"/>
      <c r="K32" s="364"/>
      <c r="L32" s="365"/>
      <c r="M32" s="363"/>
      <c r="N32" s="363"/>
    </row>
    <row r="33" spans="1:14" ht="12.75">
      <c r="A33" s="485"/>
      <c r="B33" s="482"/>
      <c r="C33" s="3" t="s">
        <v>717</v>
      </c>
      <c r="D33" s="3" t="s">
        <v>335</v>
      </c>
      <c r="E33" s="3">
        <v>1</v>
      </c>
      <c r="F33" s="50">
        <f t="shared" si="0"/>
        <v>4</v>
      </c>
      <c r="G33" s="335"/>
      <c r="H33" s="168"/>
      <c r="I33" s="362"/>
      <c r="J33" s="363"/>
      <c r="K33" s="364"/>
      <c r="L33" s="365"/>
      <c r="M33" s="363"/>
      <c r="N33" s="363"/>
    </row>
    <row r="34" spans="1:14" ht="13.5" thickBot="1">
      <c r="A34" s="486"/>
      <c r="B34" s="483"/>
      <c r="C34" s="3" t="s">
        <v>438</v>
      </c>
      <c r="D34" s="5" t="s">
        <v>439</v>
      </c>
      <c r="E34" s="3">
        <v>1</v>
      </c>
      <c r="F34" s="50">
        <f t="shared" si="0"/>
        <v>4</v>
      </c>
      <c r="G34" s="357"/>
      <c r="H34" s="169"/>
      <c r="I34" s="362"/>
      <c r="J34" s="363"/>
      <c r="K34" s="364"/>
      <c r="L34" s="365"/>
      <c r="M34" s="363"/>
      <c r="N34" s="363"/>
    </row>
    <row r="35" spans="1:14" ht="15.75" customHeight="1">
      <c r="F35" s="359" t="s">
        <v>770</v>
      </c>
      <c r="H35" s="124"/>
      <c r="I35" s="366"/>
    </row>
    <row r="36" spans="1:14" ht="15.75" customHeight="1">
      <c r="F36" s="7">
        <f>SUM(E4:E33)</f>
        <v>67</v>
      </c>
    </row>
    <row r="37" spans="1:14" ht="15.75" customHeight="1">
      <c r="F37" s="12" t="s">
        <v>773</v>
      </c>
    </row>
    <row r="38" spans="1:14" ht="15.75" customHeight="1">
      <c r="F38" s="7">
        <v>4</v>
      </c>
    </row>
    <row r="39" spans="1:14" ht="15.75" customHeight="1" thickBot="1"/>
    <row r="40" spans="1:14" ht="15.75" customHeight="1" thickBot="1">
      <c r="B40" s="284" t="s">
        <v>1530</v>
      </c>
      <c r="C40" s="285"/>
      <c r="D40" s="285"/>
      <c r="E40" s="285"/>
      <c r="F40" s="285"/>
      <c r="G40" s="285"/>
      <c r="H40" s="286"/>
    </row>
    <row r="41" spans="1:14" ht="15.75" customHeight="1">
      <c r="B41" s="490" t="s">
        <v>1530</v>
      </c>
      <c r="C41" s="241" t="s">
        <v>1531</v>
      </c>
      <c r="D41" s="241" t="s">
        <v>1532</v>
      </c>
      <c r="E41" s="241" t="s">
        <v>1533</v>
      </c>
      <c r="F41" s="242" t="s">
        <v>1206</v>
      </c>
      <c r="G41" s="243" t="s">
        <v>1166</v>
      </c>
      <c r="H41" s="244" t="s">
        <v>1201</v>
      </c>
    </row>
    <row r="42" spans="1:14" ht="15.75" customHeight="1">
      <c r="B42" s="491"/>
      <c r="C42" s="46" t="s">
        <v>1534</v>
      </c>
      <c r="D42" s="46" t="s">
        <v>1535</v>
      </c>
      <c r="E42" s="46">
        <v>1</v>
      </c>
      <c r="F42" s="245"/>
      <c r="G42" s="246"/>
      <c r="H42" s="247"/>
    </row>
    <row r="43" spans="1:14" ht="15.75" customHeight="1">
      <c r="B43" s="491"/>
      <c r="C43" s="46" t="s">
        <v>1536</v>
      </c>
      <c r="D43" s="46" t="s">
        <v>1537</v>
      </c>
      <c r="E43" s="46">
        <v>1</v>
      </c>
      <c r="F43" s="245"/>
      <c r="G43" s="248"/>
      <c r="H43" s="249"/>
    </row>
    <row r="44" spans="1:14" ht="15.75" customHeight="1">
      <c r="B44" s="491"/>
      <c r="C44" s="46" t="s">
        <v>1538</v>
      </c>
      <c r="D44" s="46" t="s">
        <v>1539</v>
      </c>
      <c r="E44" s="46">
        <v>1</v>
      </c>
      <c r="F44" s="245"/>
      <c r="G44" s="248"/>
      <c r="H44" s="249"/>
    </row>
    <row r="45" spans="1:14" ht="15.75" customHeight="1">
      <c r="B45" s="491"/>
      <c r="C45" s="46" t="s">
        <v>1540</v>
      </c>
      <c r="D45" s="46" t="s">
        <v>1541</v>
      </c>
      <c r="E45" s="46">
        <v>1</v>
      </c>
      <c r="F45" s="245"/>
      <c r="G45" s="248"/>
      <c r="H45" s="249"/>
    </row>
    <row r="46" spans="1:14" ht="15.75" customHeight="1">
      <c r="B46" s="491"/>
      <c r="C46" s="46" t="s">
        <v>1540</v>
      </c>
      <c r="D46" s="46" t="s">
        <v>1542</v>
      </c>
      <c r="E46" s="46">
        <v>1</v>
      </c>
      <c r="F46" s="245"/>
      <c r="G46" s="248"/>
      <c r="H46" s="249"/>
    </row>
    <row r="47" spans="1:14" ht="15.75" customHeight="1">
      <c r="B47" s="491"/>
      <c r="C47" s="46" t="s">
        <v>1540</v>
      </c>
      <c r="D47" s="46" t="s">
        <v>1543</v>
      </c>
      <c r="E47" s="46">
        <v>1</v>
      </c>
      <c r="F47" s="245"/>
      <c r="G47" s="248"/>
      <c r="H47" s="249"/>
    </row>
    <row r="48" spans="1:14" ht="15.75" customHeight="1">
      <c r="B48" s="491"/>
      <c r="C48" s="46" t="s">
        <v>1544</v>
      </c>
      <c r="D48" s="46" t="s">
        <v>1545</v>
      </c>
      <c r="E48" s="46">
        <v>1</v>
      </c>
      <c r="F48" s="245"/>
      <c r="G48" s="248"/>
      <c r="H48" s="249"/>
    </row>
    <row r="49" spans="2:9" ht="15.75" customHeight="1">
      <c r="B49" s="491"/>
      <c r="C49" s="46" t="s">
        <v>1546</v>
      </c>
      <c r="D49" s="46" t="s">
        <v>1547</v>
      </c>
      <c r="E49" s="46">
        <v>1</v>
      </c>
      <c r="F49" s="245"/>
      <c r="G49" s="248"/>
      <c r="H49" s="249"/>
    </row>
    <row r="50" spans="2:9" ht="15.75" customHeight="1">
      <c r="B50" s="491"/>
      <c r="C50" s="46" t="s">
        <v>1548</v>
      </c>
      <c r="D50" s="46" t="s">
        <v>1549</v>
      </c>
      <c r="E50" s="46">
        <v>1</v>
      </c>
      <c r="F50" s="245"/>
      <c r="G50" s="248"/>
      <c r="H50" s="249"/>
    </row>
    <row r="51" spans="2:9" ht="15.75" customHeight="1">
      <c r="B51" s="491"/>
      <c r="C51" s="46" t="s">
        <v>1550</v>
      </c>
      <c r="D51" s="46" t="s">
        <v>1551</v>
      </c>
      <c r="E51" s="46">
        <v>1</v>
      </c>
      <c r="F51" s="245"/>
      <c r="G51" s="248"/>
      <c r="H51" s="249"/>
    </row>
    <row r="52" spans="2:9" ht="15.75" customHeight="1">
      <c r="B52" s="491"/>
      <c r="C52" s="46" t="s">
        <v>1552</v>
      </c>
      <c r="D52" s="46" t="s">
        <v>1553</v>
      </c>
      <c r="E52" s="46">
        <v>1</v>
      </c>
      <c r="F52" s="245"/>
      <c r="G52" s="248"/>
      <c r="H52" s="249"/>
    </row>
    <row r="53" spans="2:9" ht="15.75" customHeight="1">
      <c r="B53" s="491"/>
      <c r="C53" s="46" t="s">
        <v>1554</v>
      </c>
      <c r="D53" s="46" t="s">
        <v>1555</v>
      </c>
      <c r="E53" s="46">
        <v>1</v>
      </c>
      <c r="F53" s="245"/>
      <c r="G53" s="248"/>
      <c r="H53" s="249"/>
    </row>
    <row r="54" spans="2:9" ht="15.75" customHeight="1" thickBot="1">
      <c r="B54" s="491"/>
      <c r="C54" s="46" t="s">
        <v>438</v>
      </c>
      <c r="D54" s="46" t="s">
        <v>1556</v>
      </c>
      <c r="E54" s="46">
        <v>1</v>
      </c>
      <c r="F54" s="245"/>
      <c r="G54" s="250"/>
      <c r="H54" s="251"/>
    </row>
    <row r="55" spans="2:9" ht="15.75" customHeight="1" thickBot="1">
      <c r="H55" s="17"/>
    </row>
    <row r="56" spans="2:9" ht="15.75" customHeight="1">
      <c r="B56" s="497" t="s">
        <v>1557</v>
      </c>
      <c r="C56" s="252" t="s">
        <v>747</v>
      </c>
      <c r="D56" s="252" t="s">
        <v>106</v>
      </c>
      <c r="E56" s="252" t="s">
        <v>782</v>
      </c>
      <c r="F56" s="252" t="s">
        <v>769</v>
      </c>
      <c r="G56" s="253" t="s">
        <v>770</v>
      </c>
      <c r="H56" s="330" t="s">
        <v>1707</v>
      </c>
      <c r="I56" s="331" t="s">
        <v>1166</v>
      </c>
    </row>
    <row r="57" spans="2:9" ht="15.75" customHeight="1">
      <c r="B57" s="498"/>
      <c r="C57" s="254" t="s">
        <v>1626</v>
      </c>
      <c r="D57" s="254" t="s">
        <v>1558</v>
      </c>
      <c r="E57" s="255">
        <v>1</v>
      </c>
      <c r="F57" s="255">
        <v>2</v>
      </c>
      <c r="G57" s="492" t="s">
        <v>1559</v>
      </c>
      <c r="H57" s="333"/>
      <c r="I57" s="334"/>
    </row>
    <row r="58" spans="2:9" ht="15.75" customHeight="1">
      <c r="B58" s="498"/>
      <c r="C58" s="254" t="s">
        <v>1626</v>
      </c>
      <c r="D58" s="254" t="s">
        <v>1560</v>
      </c>
      <c r="E58" s="255">
        <v>1</v>
      </c>
      <c r="F58" s="255">
        <v>2</v>
      </c>
      <c r="G58" s="493"/>
      <c r="H58" s="335"/>
      <c r="I58" s="168"/>
    </row>
    <row r="59" spans="2:9" ht="15.75" customHeight="1">
      <c r="B59" s="498"/>
      <c r="C59" s="254" t="s">
        <v>1626</v>
      </c>
      <c r="D59" s="254" t="s">
        <v>1561</v>
      </c>
      <c r="E59" s="255">
        <v>1</v>
      </c>
      <c r="F59" s="255">
        <v>2</v>
      </c>
      <c r="G59" s="501" t="s">
        <v>1562</v>
      </c>
      <c r="H59" s="335"/>
      <c r="I59" s="168"/>
    </row>
    <row r="60" spans="2:9" ht="15.75" customHeight="1">
      <c r="B60" s="498"/>
      <c r="C60" s="289" t="s">
        <v>1626</v>
      </c>
      <c r="D60" s="211" t="s">
        <v>1649</v>
      </c>
      <c r="E60" s="290">
        <v>1</v>
      </c>
      <c r="F60" s="290">
        <v>2</v>
      </c>
      <c r="G60" s="502"/>
      <c r="H60" s="335"/>
      <c r="I60" s="168"/>
    </row>
    <row r="61" spans="2:9" ht="15.75" customHeight="1">
      <c r="B61" s="498"/>
      <c r="C61" s="254" t="s">
        <v>1650</v>
      </c>
      <c r="D61" s="254" t="s">
        <v>1563</v>
      </c>
      <c r="E61" s="255">
        <v>2</v>
      </c>
      <c r="F61" s="255">
        <v>4</v>
      </c>
      <c r="G61" s="502"/>
      <c r="H61" s="335"/>
      <c r="I61" s="168"/>
    </row>
    <row r="62" spans="2:9" ht="15.75" customHeight="1">
      <c r="B62" s="498"/>
      <c r="C62" s="254" t="s">
        <v>1650</v>
      </c>
      <c r="D62" s="254" t="s">
        <v>1564</v>
      </c>
      <c r="E62" s="255">
        <v>2</v>
      </c>
      <c r="F62" s="255">
        <v>4</v>
      </c>
      <c r="G62" s="502"/>
      <c r="H62" s="335"/>
      <c r="I62" s="168"/>
    </row>
    <row r="63" spans="2:9" ht="15.75" customHeight="1">
      <c r="B63" s="498"/>
      <c r="C63" s="254" t="s">
        <v>1651</v>
      </c>
      <c r="D63" s="254" t="s">
        <v>1565</v>
      </c>
      <c r="E63" s="255">
        <v>2</v>
      </c>
      <c r="F63" s="255">
        <v>4</v>
      </c>
      <c r="G63" s="502"/>
      <c r="H63" s="335"/>
      <c r="I63" s="168"/>
    </row>
    <row r="64" spans="2:9" ht="15.75" customHeight="1">
      <c r="B64" s="498"/>
      <c r="C64" s="254" t="s">
        <v>1652</v>
      </c>
      <c r="D64" s="254" t="s">
        <v>1566</v>
      </c>
      <c r="E64" s="255">
        <v>1</v>
      </c>
      <c r="F64" s="255">
        <v>2</v>
      </c>
      <c r="G64" s="502"/>
      <c r="H64" s="335"/>
      <c r="I64" s="168"/>
    </row>
    <row r="65" spans="2:9" ht="15.75" customHeight="1">
      <c r="B65" s="498"/>
      <c r="C65" s="256" t="s">
        <v>150</v>
      </c>
      <c r="D65" s="254" t="s">
        <v>1567</v>
      </c>
      <c r="E65" s="255">
        <v>1</v>
      </c>
      <c r="F65" s="255">
        <v>2</v>
      </c>
      <c r="G65" s="502"/>
      <c r="H65" s="335"/>
      <c r="I65" s="168"/>
    </row>
    <row r="66" spans="2:9" ht="15.75" customHeight="1">
      <c r="B66" s="498"/>
      <c r="C66" s="256" t="s">
        <v>1568</v>
      </c>
      <c r="D66" s="254" t="s">
        <v>1569</v>
      </c>
      <c r="E66" s="255">
        <v>1</v>
      </c>
      <c r="F66" s="255">
        <v>2</v>
      </c>
      <c r="G66" s="502"/>
      <c r="H66" s="335"/>
      <c r="I66" s="168"/>
    </row>
    <row r="67" spans="2:9" ht="15.75" customHeight="1">
      <c r="B67" s="498"/>
      <c r="C67" s="256" t="s">
        <v>1568</v>
      </c>
      <c r="D67" s="254" t="s">
        <v>1570</v>
      </c>
      <c r="E67" s="255">
        <v>1</v>
      </c>
      <c r="F67" s="255">
        <v>2</v>
      </c>
      <c r="G67" s="502"/>
      <c r="H67" s="335"/>
      <c r="I67" s="168"/>
    </row>
    <row r="68" spans="2:9" ht="15.75" customHeight="1">
      <c r="B68" s="498"/>
      <c r="C68" s="257" t="s">
        <v>1571</v>
      </c>
      <c r="D68" s="257" t="s">
        <v>1572</v>
      </c>
      <c r="E68" s="258">
        <v>2</v>
      </c>
      <c r="F68" s="258">
        <v>4</v>
      </c>
      <c r="G68" s="503"/>
      <c r="H68" s="335"/>
      <c r="I68" s="168"/>
    </row>
    <row r="69" spans="2:9" ht="15.75" customHeight="1">
      <c r="B69" s="498"/>
      <c r="C69" s="259" t="s">
        <v>1573</v>
      </c>
      <c r="D69" s="259" t="s">
        <v>1574</v>
      </c>
      <c r="E69" s="260">
        <v>1</v>
      </c>
      <c r="F69" s="260">
        <v>2</v>
      </c>
      <c r="G69" s="261"/>
      <c r="H69" s="335"/>
      <c r="I69" s="168"/>
    </row>
    <row r="70" spans="2:9" ht="15.75" customHeight="1">
      <c r="B70" s="498"/>
      <c r="C70" s="262" t="s">
        <v>1575</v>
      </c>
      <c r="D70" s="254" t="s">
        <v>1576</v>
      </c>
      <c r="E70" s="263">
        <v>1</v>
      </c>
      <c r="F70" s="263">
        <v>2</v>
      </c>
      <c r="G70" s="291" t="s">
        <v>1646</v>
      </c>
      <c r="H70" s="335"/>
      <c r="I70" s="168"/>
    </row>
    <row r="71" spans="2:9" ht="15.75" customHeight="1">
      <c r="B71" s="498"/>
      <c r="C71" s="46"/>
      <c r="D71" s="46"/>
      <c r="E71" s="46"/>
      <c r="F71" s="46"/>
      <c r="G71" s="289" t="s">
        <v>1647</v>
      </c>
      <c r="H71" s="335"/>
      <c r="I71" s="168"/>
    </row>
    <row r="72" spans="2:9" ht="15.75" customHeight="1">
      <c r="B72" s="498"/>
      <c r="C72" s="46"/>
      <c r="D72" s="46"/>
      <c r="E72" s="46"/>
      <c r="F72" s="46"/>
      <c r="G72" s="289" t="s">
        <v>1648</v>
      </c>
      <c r="H72" s="335"/>
      <c r="I72" s="168"/>
    </row>
    <row r="73" spans="2:9" ht="15.75" customHeight="1">
      <c r="B73" s="498"/>
      <c r="C73" s="259" t="s">
        <v>1577</v>
      </c>
      <c r="D73" s="259" t="s">
        <v>765</v>
      </c>
      <c r="E73" s="260">
        <v>1</v>
      </c>
      <c r="F73" s="260">
        <v>2</v>
      </c>
      <c r="G73" s="261" t="s">
        <v>1578</v>
      </c>
      <c r="H73" s="335"/>
      <c r="I73" s="168"/>
    </row>
    <row r="74" spans="2:9" ht="15.75" customHeight="1">
      <c r="B74" s="498"/>
      <c r="C74" s="254" t="s">
        <v>1579</v>
      </c>
      <c r="D74" s="254" t="s">
        <v>686</v>
      </c>
      <c r="E74" s="255">
        <v>1</v>
      </c>
      <c r="F74" s="255">
        <v>2</v>
      </c>
      <c r="G74" s="264" t="s">
        <v>271</v>
      </c>
      <c r="H74" s="335"/>
      <c r="I74" s="168"/>
    </row>
    <row r="75" spans="2:9" ht="15.75" customHeight="1">
      <c r="B75" s="498"/>
      <c r="C75" s="254" t="s">
        <v>1580</v>
      </c>
      <c r="D75" s="254" t="s">
        <v>1581</v>
      </c>
      <c r="E75" s="255">
        <v>1</v>
      </c>
      <c r="F75" s="255">
        <v>2</v>
      </c>
      <c r="G75" s="494" t="s">
        <v>1582</v>
      </c>
      <c r="H75" s="335"/>
      <c r="I75" s="168"/>
    </row>
    <row r="76" spans="2:9" ht="15.75" customHeight="1">
      <c r="B76" s="498"/>
      <c r="C76" s="254" t="s">
        <v>1580</v>
      </c>
      <c r="D76" s="254" t="s">
        <v>1583</v>
      </c>
      <c r="E76" s="255">
        <v>1</v>
      </c>
      <c r="F76" s="255">
        <v>2</v>
      </c>
      <c r="G76" s="495"/>
      <c r="H76" s="335"/>
      <c r="I76" s="168"/>
    </row>
    <row r="77" spans="2:9" ht="15.75" customHeight="1">
      <c r="B77" s="498"/>
      <c r="C77" s="254" t="s">
        <v>1580</v>
      </c>
      <c r="D77" s="254" t="s">
        <v>1584</v>
      </c>
      <c r="E77" s="255">
        <v>1</v>
      </c>
      <c r="F77" s="255">
        <v>2</v>
      </c>
      <c r="G77" s="495"/>
      <c r="H77" s="335"/>
      <c r="I77" s="168"/>
    </row>
    <row r="78" spans="2:9" ht="15.75" customHeight="1">
      <c r="B78" s="498"/>
      <c r="C78" s="254" t="s">
        <v>1580</v>
      </c>
      <c r="D78" s="254" t="s">
        <v>1585</v>
      </c>
      <c r="E78" s="255">
        <v>1</v>
      </c>
      <c r="F78" s="255">
        <v>2</v>
      </c>
      <c r="G78" s="496"/>
      <c r="H78" s="335"/>
      <c r="I78" s="168"/>
    </row>
    <row r="79" spans="2:9" ht="15.75" customHeight="1">
      <c r="B79" s="498"/>
      <c r="C79" s="293" t="s">
        <v>1586</v>
      </c>
      <c r="D79" s="254" t="s">
        <v>765</v>
      </c>
      <c r="E79" s="255">
        <v>1</v>
      </c>
      <c r="F79" s="255">
        <v>2</v>
      </c>
      <c r="G79" s="46"/>
      <c r="H79" s="335"/>
      <c r="I79" s="168"/>
    </row>
    <row r="80" spans="2:9" ht="15.75" customHeight="1">
      <c r="B80" s="498"/>
      <c r="C80" s="297" t="s">
        <v>285</v>
      </c>
      <c r="D80" s="46"/>
      <c r="E80" s="46"/>
      <c r="F80" s="171">
        <v>2</v>
      </c>
      <c r="G80" s="46"/>
      <c r="H80" s="335"/>
      <c r="I80" s="168"/>
    </row>
    <row r="81" spans="2:9" ht="15.75" customHeight="1">
      <c r="B81" s="498"/>
      <c r="C81" s="297" t="s">
        <v>1653</v>
      </c>
      <c r="D81" s="46"/>
      <c r="E81" s="46"/>
      <c r="F81" s="255">
        <v>2</v>
      </c>
      <c r="H81" s="335"/>
      <c r="I81" s="168"/>
    </row>
    <row r="82" spans="2:9" ht="15.75" customHeight="1">
      <c r="B82" s="498"/>
      <c r="C82" s="259" t="s">
        <v>1587</v>
      </c>
      <c r="D82" s="259" t="s">
        <v>1574</v>
      </c>
      <c r="E82" s="260">
        <v>2</v>
      </c>
      <c r="F82" s="260">
        <v>4</v>
      </c>
      <c r="G82" s="265" t="s">
        <v>1578</v>
      </c>
      <c r="H82" s="335"/>
      <c r="I82" s="168"/>
    </row>
    <row r="83" spans="2:9" ht="15.75" customHeight="1">
      <c r="B83" s="498"/>
      <c r="C83" s="259" t="s">
        <v>1588</v>
      </c>
      <c r="D83" s="259" t="s">
        <v>765</v>
      </c>
      <c r="E83" s="260">
        <v>1</v>
      </c>
      <c r="F83" s="260">
        <v>1</v>
      </c>
      <c r="G83" s="265" t="s">
        <v>1578</v>
      </c>
      <c r="H83" s="335"/>
      <c r="I83" s="168"/>
    </row>
    <row r="84" spans="2:9" ht="15.75" customHeight="1">
      <c r="B84" s="498"/>
      <c r="C84" s="259" t="s">
        <v>1589</v>
      </c>
      <c r="D84" s="259" t="s">
        <v>765</v>
      </c>
      <c r="E84" s="260">
        <v>1</v>
      </c>
      <c r="F84" s="260">
        <v>1</v>
      </c>
      <c r="G84" s="265" t="s">
        <v>1578</v>
      </c>
      <c r="H84" s="335"/>
      <c r="I84" s="168"/>
    </row>
    <row r="85" spans="2:9" ht="15.75" customHeight="1">
      <c r="B85" s="498"/>
      <c r="C85" s="259" t="s">
        <v>1590</v>
      </c>
      <c r="D85" s="259" t="s">
        <v>1585</v>
      </c>
      <c r="E85" s="260">
        <v>1</v>
      </c>
      <c r="F85" s="260">
        <v>2</v>
      </c>
      <c r="G85" s="265" t="s">
        <v>1578</v>
      </c>
      <c r="H85" s="335"/>
      <c r="I85" s="168"/>
    </row>
    <row r="86" spans="2:9" ht="15.75" customHeight="1">
      <c r="B86" s="498"/>
      <c r="C86" s="254" t="s">
        <v>1591</v>
      </c>
      <c r="D86" s="254" t="s">
        <v>1592</v>
      </c>
      <c r="E86" s="255">
        <v>2</v>
      </c>
      <c r="F86" s="255">
        <v>4</v>
      </c>
      <c r="G86" s="264" t="s">
        <v>692</v>
      </c>
      <c r="H86" s="335"/>
      <c r="I86" s="168"/>
    </row>
    <row r="87" spans="2:9" ht="15.75" customHeight="1" thickBot="1">
      <c r="B87" s="498"/>
      <c r="C87" s="289" t="s">
        <v>1591</v>
      </c>
      <c r="D87" s="254" t="s">
        <v>692</v>
      </c>
      <c r="E87" s="255">
        <v>2</v>
      </c>
      <c r="F87" s="255">
        <v>4</v>
      </c>
      <c r="G87" s="264"/>
      <c r="H87" s="357"/>
      <c r="I87" s="169"/>
    </row>
    <row r="88" spans="2:9" ht="15.75" customHeight="1">
      <c r="B88" s="498"/>
      <c r="C88" s="254" t="s">
        <v>1593</v>
      </c>
      <c r="D88" s="254" t="s">
        <v>765</v>
      </c>
      <c r="E88" s="255">
        <v>2</v>
      </c>
      <c r="F88" s="255">
        <v>4</v>
      </c>
      <c r="G88" s="237" t="s">
        <v>1578</v>
      </c>
      <c r="H88" s="367"/>
      <c r="I88" s="368"/>
    </row>
    <row r="89" spans="2:9" ht="15.75" customHeight="1">
      <c r="B89" s="498"/>
      <c r="C89" s="254" t="s">
        <v>1594</v>
      </c>
      <c r="D89" s="254" t="s">
        <v>765</v>
      </c>
      <c r="E89" s="255">
        <v>3</v>
      </c>
      <c r="F89" s="255">
        <v>6</v>
      </c>
      <c r="G89" s="237" t="s">
        <v>1578</v>
      </c>
      <c r="H89" s="367"/>
      <c r="I89" s="368"/>
    </row>
    <row r="90" spans="2:9" ht="15.75" customHeight="1">
      <c r="B90" s="498"/>
      <c r="C90" s="254" t="s">
        <v>1595</v>
      </c>
      <c r="D90" s="254" t="s">
        <v>1596</v>
      </c>
      <c r="E90" s="255">
        <v>1</v>
      </c>
      <c r="F90" s="255">
        <v>1</v>
      </c>
      <c r="G90" s="287" t="s">
        <v>1597</v>
      </c>
      <c r="H90" s="367"/>
      <c r="I90" s="368"/>
    </row>
    <row r="91" spans="2:9" ht="15.75" customHeight="1">
      <c r="B91" s="498"/>
      <c r="C91" s="256" t="s">
        <v>1598</v>
      </c>
      <c r="D91" s="254" t="s">
        <v>1596</v>
      </c>
      <c r="E91" s="255">
        <v>2</v>
      </c>
      <c r="F91" s="255">
        <v>2</v>
      </c>
      <c r="G91" s="288"/>
      <c r="H91" s="367"/>
      <c r="I91" s="368"/>
    </row>
    <row r="92" spans="2:9" ht="15.75" customHeight="1">
      <c r="B92" s="498"/>
      <c r="C92" s="254" t="s">
        <v>1599</v>
      </c>
      <c r="D92" s="254" t="s">
        <v>1600</v>
      </c>
      <c r="E92" s="255">
        <v>1</v>
      </c>
      <c r="F92" s="255">
        <v>1</v>
      </c>
      <c r="G92" s="288"/>
      <c r="H92" s="367"/>
      <c r="I92" s="368"/>
    </row>
    <row r="93" spans="2:9" ht="15.75" customHeight="1">
      <c r="B93" s="498"/>
      <c r="C93" s="254" t="s">
        <v>1601</v>
      </c>
      <c r="D93" s="254" t="s">
        <v>1602</v>
      </c>
      <c r="E93" s="255">
        <v>1</v>
      </c>
      <c r="F93" s="255">
        <v>1</v>
      </c>
      <c r="G93" s="288"/>
      <c r="H93" s="367"/>
      <c r="I93" s="368"/>
    </row>
    <row r="94" spans="2:9" ht="15.75" customHeight="1">
      <c r="B94" s="498"/>
      <c r="C94" s="266" t="s">
        <v>1603</v>
      </c>
      <c r="D94" s="259" t="s">
        <v>692</v>
      </c>
      <c r="E94" s="260">
        <v>3</v>
      </c>
      <c r="F94" s="260">
        <v>6</v>
      </c>
      <c r="G94" s="265" t="s">
        <v>1578</v>
      </c>
      <c r="H94" s="367"/>
      <c r="I94" s="368"/>
    </row>
    <row r="95" spans="2:9" ht="15.75" customHeight="1">
      <c r="B95" s="498"/>
      <c r="C95" s="266" t="s">
        <v>1604</v>
      </c>
      <c r="D95" s="259" t="s">
        <v>692</v>
      </c>
      <c r="E95" s="260">
        <v>3</v>
      </c>
      <c r="F95" s="260">
        <v>6</v>
      </c>
      <c r="G95" s="265" t="s">
        <v>1578</v>
      </c>
      <c r="H95" s="367"/>
      <c r="I95" s="368"/>
    </row>
    <row r="96" spans="2:9" ht="15.75" customHeight="1">
      <c r="B96" s="498"/>
      <c r="C96" s="259" t="s">
        <v>1605</v>
      </c>
      <c r="D96" s="259" t="s">
        <v>692</v>
      </c>
      <c r="E96" s="260">
        <v>4</v>
      </c>
      <c r="F96" s="260">
        <v>8</v>
      </c>
      <c r="G96" s="265" t="s">
        <v>1578</v>
      </c>
      <c r="H96" s="367"/>
      <c r="I96" s="368"/>
    </row>
    <row r="97" spans="2:9" ht="15.75" customHeight="1">
      <c r="B97" s="498"/>
      <c r="C97" s="259" t="s">
        <v>1606</v>
      </c>
      <c r="D97" s="259" t="s">
        <v>1607</v>
      </c>
      <c r="E97" s="260">
        <v>1</v>
      </c>
      <c r="F97" s="260">
        <v>2</v>
      </c>
      <c r="G97" s="265" t="s">
        <v>1578</v>
      </c>
      <c r="H97" s="367"/>
      <c r="I97" s="368"/>
    </row>
    <row r="98" spans="2:9" ht="15.75" customHeight="1">
      <c r="B98" s="498"/>
      <c r="C98" s="257" t="s">
        <v>1608</v>
      </c>
      <c r="D98" s="257" t="s">
        <v>765</v>
      </c>
      <c r="E98" s="258">
        <v>3</v>
      </c>
      <c r="F98" s="258">
        <v>6</v>
      </c>
      <c r="G98" s="267" t="s">
        <v>1609</v>
      </c>
      <c r="H98" s="367"/>
      <c r="I98" s="368"/>
    </row>
    <row r="99" spans="2:9" ht="15.75" customHeight="1">
      <c r="B99" s="498"/>
      <c r="C99" s="259" t="s">
        <v>1610</v>
      </c>
      <c r="D99" s="259" t="s">
        <v>765</v>
      </c>
      <c r="E99" s="260">
        <v>1</v>
      </c>
      <c r="F99" s="260">
        <v>2</v>
      </c>
      <c r="G99" s="265" t="s">
        <v>1578</v>
      </c>
      <c r="H99" s="367"/>
      <c r="I99" s="368"/>
    </row>
    <row r="100" spans="2:9" ht="15.75" customHeight="1">
      <c r="B100" s="498"/>
      <c r="C100" s="254" t="s">
        <v>1611</v>
      </c>
      <c r="D100" s="254" t="s">
        <v>1592</v>
      </c>
      <c r="E100" s="255">
        <v>2</v>
      </c>
      <c r="F100" s="255">
        <v>4</v>
      </c>
      <c r="G100" s="264" t="s">
        <v>1612</v>
      </c>
      <c r="H100" s="367"/>
      <c r="I100" s="368"/>
    </row>
    <row r="101" spans="2:9" ht="15.75" customHeight="1">
      <c r="B101" s="498"/>
      <c r="C101" s="254" t="s">
        <v>1613</v>
      </c>
      <c r="D101" s="254" t="s">
        <v>1614</v>
      </c>
      <c r="E101" s="255">
        <v>2</v>
      </c>
      <c r="F101" s="255">
        <v>4</v>
      </c>
      <c r="G101" s="287" t="s">
        <v>1615</v>
      </c>
      <c r="H101" s="367"/>
      <c r="I101" s="368"/>
    </row>
    <row r="102" spans="2:9" ht="15.75" customHeight="1">
      <c r="B102" s="498"/>
      <c r="C102" s="254" t="s">
        <v>1616</v>
      </c>
      <c r="D102" s="254" t="s">
        <v>1614</v>
      </c>
      <c r="E102" s="255">
        <v>2</v>
      </c>
      <c r="F102" s="255">
        <v>4</v>
      </c>
      <c r="G102" s="288"/>
      <c r="H102" s="367"/>
      <c r="I102" s="368"/>
    </row>
    <row r="103" spans="2:9" ht="15.75" customHeight="1">
      <c r="B103" s="498"/>
      <c r="C103" s="254" t="s">
        <v>1617</v>
      </c>
      <c r="D103" s="254" t="s">
        <v>765</v>
      </c>
      <c r="E103" s="255">
        <v>2</v>
      </c>
      <c r="F103" s="255">
        <v>4</v>
      </c>
      <c r="G103" s="288"/>
      <c r="H103" s="367"/>
      <c r="I103" s="368"/>
    </row>
    <row r="104" spans="2:9" ht="15.75" customHeight="1">
      <c r="B104" s="498"/>
      <c r="C104" s="254" t="s">
        <v>1618</v>
      </c>
      <c r="D104" s="254" t="s">
        <v>765</v>
      </c>
      <c r="E104" s="255">
        <v>2</v>
      </c>
      <c r="F104" s="255">
        <v>4</v>
      </c>
      <c r="G104" s="288"/>
      <c r="H104" s="367"/>
      <c r="I104" s="368"/>
    </row>
    <row r="105" spans="2:9" ht="15.75" customHeight="1">
      <c r="B105" s="498"/>
      <c r="C105" s="254" t="s">
        <v>1619</v>
      </c>
      <c r="D105" s="254" t="s">
        <v>684</v>
      </c>
      <c r="E105" s="255">
        <v>1</v>
      </c>
      <c r="F105" s="255">
        <v>2</v>
      </c>
      <c r="G105" s="264" t="s">
        <v>1204</v>
      </c>
      <c r="H105" s="367"/>
      <c r="I105" s="368"/>
    </row>
    <row r="106" spans="2:9" ht="15.75" customHeight="1">
      <c r="B106" s="498"/>
      <c r="C106" s="254" t="s">
        <v>687</v>
      </c>
      <c r="D106" s="254" t="s">
        <v>1592</v>
      </c>
      <c r="E106" s="255">
        <v>2</v>
      </c>
      <c r="F106" s="255">
        <v>4</v>
      </c>
      <c r="G106" s="264" t="s">
        <v>1204</v>
      </c>
      <c r="H106" s="367"/>
      <c r="I106" s="368"/>
    </row>
    <row r="107" spans="2:9" ht="15.75" customHeight="1">
      <c r="B107" s="498"/>
      <c r="C107" s="254" t="s">
        <v>688</v>
      </c>
      <c r="D107" s="254" t="s">
        <v>1592</v>
      </c>
      <c r="E107" s="255">
        <v>2</v>
      </c>
      <c r="F107" s="255">
        <v>4</v>
      </c>
      <c r="G107" s="264" t="s">
        <v>1204</v>
      </c>
      <c r="H107" s="367"/>
      <c r="I107" s="368"/>
    </row>
    <row r="108" spans="2:9" ht="15.75" customHeight="1">
      <c r="B108" s="498"/>
      <c r="C108" s="259" t="s">
        <v>1620</v>
      </c>
      <c r="D108" s="259" t="s">
        <v>1621</v>
      </c>
      <c r="E108" s="260">
        <v>1</v>
      </c>
      <c r="F108" s="260">
        <v>2</v>
      </c>
      <c r="G108" s="265" t="s">
        <v>1578</v>
      </c>
      <c r="H108" s="367"/>
      <c r="I108" s="368"/>
    </row>
    <row r="109" spans="2:9" ht="15.75" customHeight="1">
      <c r="B109" s="498"/>
      <c r="C109" s="254" t="s">
        <v>1622</v>
      </c>
      <c r="D109" s="254" t="s">
        <v>686</v>
      </c>
      <c r="E109" s="255">
        <v>1</v>
      </c>
      <c r="F109" s="255">
        <v>2</v>
      </c>
      <c r="G109" s="499" t="s">
        <v>1656</v>
      </c>
      <c r="H109" s="369"/>
      <c r="I109" s="368"/>
    </row>
    <row r="110" spans="2:9" ht="15.75" customHeight="1">
      <c r="B110" s="498"/>
      <c r="C110" s="254" t="s">
        <v>1623</v>
      </c>
      <c r="D110" s="254" t="s">
        <v>686</v>
      </c>
      <c r="E110" s="255">
        <v>1</v>
      </c>
      <c r="F110" s="255">
        <v>2</v>
      </c>
      <c r="G110" s="500"/>
      <c r="H110" s="369"/>
      <c r="I110" s="368"/>
    </row>
    <row r="111" spans="2:9" ht="15.75" customHeight="1">
      <c r="B111" s="498"/>
      <c r="C111" s="254" t="s">
        <v>1624</v>
      </c>
      <c r="D111" s="295" t="s">
        <v>686</v>
      </c>
      <c r="E111" s="296">
        <v>1</v>
      </c>
      <c r="F111" s="296">
        <v>2</v>
      </c>
      <c r="G111" s="500"/>
      <c r="H111" s="369"/>
      <c r="I111" s="368"/>
    </row>
    <row r="112" spans="2:9" ht="15.75" customHeight="1">
      <c r="B112" s="498"/>
      <c r="C112" s="254" t="s">
        <v>1625</v>
      </c>
      <c r="D112" s="254" t="s">
        <v>686</v>
      </c>
      <c r="E112" s="255">
        <v>1</v>
      </c>
      <c r="F112" s="255">
        <v>2</v>
      </c>
      <c r="G112" s="493"/>
      <c r="H112" s="369"/>
      <c r="I112" s="368"/>
    </row>
    <row r="113" spans="2:9" ht="15.75" customHeight="1">
      <c r="B113" s="498"/>
      <c r="C113" s="254" t="s">
        <v>1654</v>
      </c>
      <c r="D113" s="46"/>
      <c r="E113" s="46"/>
      <c r="F113" s="255">
        <v>2</v>
      </c>
      <c r="G113" s="46"/>
      <c r="H113" s="369"/>
      <c r="I113" s="368"/>
    </row>
    <row r="114" spans="2:9" ht="15.75" customHeight="1">
      <c r="B114" s="498"/>
      <c r="C114" s="292" t="s">
        <v>1655</v>
      </c>
      <c r="D114" s="46"/>
      <c r="E114" s="46"/>
      <c r="F114" s="255">
        <v>2</v>
      </c>
      <c r="G114" s="46"/>
      <c r="H114" s="369"/>
      <c r="I114" s="368"/>
    </row>
    <row r="115" spans="2:9" ht="15.75" customHeight="1">
      <c r="C115" s="254" t="s">
        <v>716</v>
      </c>
      <c r="D115" s="254" t="s">
        <v>1592</v>
      </c>
      <c r="E115" s="255">
        <v>2</v>
      </c>
      <c r="F115" s="255">
        <v>4</v>
      </c>
      <c r="G115" s="171"/>
      <c r="H115" s="367"/>
      <c r="I115" s="368"/>
    </row>
    <row r="116" spans="2:9" ht="15.75" customHeight="1">
      <c r="C116" s="289" t="s">
        <v>716</v>
      </c>
      <c r="D116" s="294" t="s">
        <v>692</v>
      </c>
      <c r="E116" s="290">
        <v>2</v>
      </c>
      <c r="F116" s="255">
        <v>4</v>
      </c>
      <c r="H116" s="367"/>
      <c r="I116" s="368"/>
    </row>
    <row r="117" spans="2:9" ht="15.75" customHeight="1" thickBot="1">
      <c r="C117" s="46" t="s">
        <v>438</v>
      </c>
      <c r="D117" s="46" t="s">
        <v>1556</v>
      </c>
      <c r="E117" s="171">
        <v>1</v>
      </c>
      <c r="F117" s="171">
        <v>2</v>
      </c>
      <c r="G117" s="236"/>
      <c r="H117" s="370"/>
      <c r="I117" s="371"/>
    </row>
    <row r="118" spans="2:9" ht="15.75" customHeight="1" thickBot="1">
      <c r="H118" s="372"/>
      <c r="I118" s="373"/>
    </row>
  </sheetData>
  <mergeCells count="10">
    <mergeCell ref="K2:N2"/>
    <mergeCell ref="A4:A34"/>
    <mergeCell ref="B4:B34"/>
    <mergeCell ref="G2:I2"/>
    <mergeCell ref="B41:B54"/>
    <mergeCell ref="G57:G58"/>
    <mergeCell ref="G75:G78"/>
    <mergeCell ref="B56:B114"/>
    <mergeCell ref="G109:G112"/>
    <mergeCell ref="G59:G6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5">
    <tabColor rgb="FF00FF00"/>
    <outlinePr summaryBelow="0" summaryRight="0"/>
  </sheetPr>
  <dimension ref="A2:H83"/>
  <sheetViews>
    <sheetView topLeftCell="B19" zoomScale="85" zoomScaleNormal="85" workbookViewId="0">
      <selection activeCell="G42" sqref="G42:H51"/>
    </sheetView>
  </sheetViews>
  <sheetFormatPr defaultColWidth="12.5703125" defaultRowHeight="15.75" customHeight="1"/>
  <cols>
    <col min="1" max="1" width="17.7109375" bestFit="1" customWidth="1"/>
    <col min="2" max="2" width="24" customWidth="1"/>
    <col min="3" max="3" width="61.140625" bestFit="1" customWidth="1"/>
    <col min="5" max="5" width="20.140625" style="43" bestFit="1" customWidth="1"/>
    <col min="6" max="6" width="30" style="43" bestFit="1" customWidth="1"/>
    <col min="7" max="7" width="22.140625" customWidth="1"/>
    <col min="8" max="8" width="30.85546875" customWidth="1"/>
  </cols>
  <sheetData>
    <row r="2" spans="1:8" ht="15.75" customHeight="1" thickBot="1">
      <c r="A2" s="53" t="s">
        <v>809</v>
      </c>
      <c r="B2" s="54"/>
      <c r="C2" s="54"/>
      <c r="D2" s="54"/>
      <c r="E2" s="41"/>
      <c r="F2" s="41"/>
    </row>
    <row r="3" spans="1:8" ht="15.75" customHeight="1">
      <c r="A3" s="13" t="s">
        <v>1135</v>
      </c>
      <c r="B3" s="13" t="s">
        <v>1127</v>
      </c>
      <c r="C3" s="13" t="s">
        <v>747</v>
      </c>
      <c r="D3" s="13" t="s">
        <v>106</v>
      </c>
      <c r="E3" s="13" t="s">
        <v>782</v>
      </c>
      <c r="F3" s="71" t="s">
        <v>769</v>
      </c>
      <c r="G3" s="330" t="s">
        <v>1707</v>
      </c>
      <c r="H3" s="331" t="s">
        <v>1166</v>
      </c>
    </row>
    <row r="4" spans="1:8" ht="15" customHeight="1">
      <c r="A4" s="478" t="s">
        <v>1144</v>
      </c>
      <c r="B4" s="481" t="s">
        <v>810</v>
      </c>
      <c r="C4" s="3" t="s">
        <v>145</v>
      </c>
      <c r="D4" s="3" t="s">
        <v>800</v>
      </c>
      <c r="E4" s="8">
        <v>2</v>
      </c>
      <c r="F4" s="50">
        <f t="shared" ref="F4:F36" si="0">SUM(E4*$F$40)</f>
        <v>8</v>
      </c>
      <c r="G4" s="333"/>
      <c r="H4" s="334"/>
    </row>
    <row r="5" spans="1:8" ht="15" customHeight="1">
      <c r="A5" s="485"/>
      <c r="B5" s="482"/>
      <c r="C5" s="3" t="s">
        <v>145</v>
      </c>
      <c r="D5" s="3" t="s">
        <v>811</v>
      </c>
      <c r="E5" s="8">
        <v>2</v>
      </c>
      <c r="F5" s="50">
        <f t="shared" si="0"/>
        <v>8</v>
      </c>
      <c r="G5" s="335"/>
      <c r="H5" s="168"/>
    </row>
    <row r="6" spans="1:8" ht="15" customHeight="1">
      <c r="A6" s="485"/>
      <c r="B6" s="482"/>
      <c r="C6" s="3" t="s">
        <v>771</v>
      </c>
      <c r="D6" s="3" t="s">
        <v>251</v>
      </c>
      <c r="E6" s="8">
        <v>1</v>
      </c>
      <c r="F6" s="50">
        <f t="shared" si="0"/>
        <v>4</v>
      </c>
      <c r="G6" s="335"/>
      <c r="H6" s="168"/>
    </row>
    <row r="7" spans="1:8" ht="15" customHeight="1">
      <c r="A7" s="485"/>
      <c r="B7" s="482"/>
      <c r="C7" s="3" t="s">
        <v>252</v>
      </c>
      <c r="D7" s="3" t="s">
        <v>251</v>
      </c>
      <c r="E7" s="8">
        <v>1</v>
      </c>
      <c r="F7" s="50">
        <f t="shared" si="0"/>
        <v>4</v>
      </c>
      <c r="G7" s="335"/>
      <c r="H7" s="168"/>
    </row>
    <row r="8" spans="1:8" ht="15" customHeight="1">
      <c r="A8" s="485"/>
      <c r="B8" s="482"/>
      <c r="C8" s="3" t="s">
        <v>291</v>
      </c>
      <c r="D8" s="3" t="s">
        <v>772</v>
      </c>
      <c r="E8" s="8">
        <v>1</v>
      </c>
      <c r="F8" s="50">
        <f t="shared" si="0"/>
        <v>4</v>
      </c>
      <c r="G8" s="335"/>
      <c r="H8" s="168"/>
    </row>
    <row r="9" spans="1:8" ht="15" customHeight="1">
      <c r="A9" s="485"/>
      <c r="B9" s="482"/>
      <c r="C9" s="3" t="s">
        <v>291</v>
      </c>
      <c r="D9" s="3" t="s">
        <v>293</v>
      </c>
      <c r="E9" s="8">
        <v>2</v>
      </c>
      <c r="F9" s="50">
        <f t="shared" si="0"/>
        <v>8</v>
      </c>
      <c r="G9" s="335"/>
      <c r="H9" s="168"/>
    </row>
    <row r="10" spans="1:8" ht="15" customHeight="1">
      <c r="A10" s="485"/>
      <c r="B10" s="482"/>
      <c r="C10" s="3" t="s">
        <v>801</v>
      </c>
      <c r="D10" s="3" t="s">
        <v>251</v>
      </c>
      <c r="E10" s="8">
        <v>1</v>
      </c>
      <c r="F10" s="50">
        <f t="shared" si="0"/>
        <v>4</v>
      </c>
      <c r="G10" s="335"/>
      <c r="H10" s="168"/>
    </row>
    <row r="11" spans="1:8" ht="15" customHeight="1">
      <c r="A11" s="485"/>
      <c r="B11" s="482"/>
      <c r="C11" s="3" t="s">
        <v>802</v>
      </c>
      <c r="D11" s="3" t="s">
        <v>251</v>
      </c>
      <c r="E11" s="8">
        <v>1</v>
      </c>
      <c r="F11" s="50">
        <f t="shared" si="0"/>
        <v>4</v>
      </c>
      <c r="G11" s="335"/>
      <c r="H11" s="168"/>
    </row>
    <row r="12" spans="1:8" ht="15" customHeight="1">
      <c r="A12" s="485"/>
      <c r="B12" s="482"/>
      <c r="C12" s="3" t="s">
        <v>526</v>
      </c>
      <c r="D12" s="3" t="s">
        <v>257</v>
      </c>
      <c r="E12" s="8">
        <v>6</v>
      </c>
      <c r="F12" s="50">
        <f t="shared" si="0"/>
        <v>24</v>
      </c>
      <c r="G12" s="335"/>
      <c r="H12" s="168"/>
    </row>
    <row r="13" spans="1:8" ht="15" customHeight="1">
      <c r="A13" s="485"/>
      <c r="B13" s="482"/>
      <c r="C13" s="3" t="s">
        <v>528</v>
      </c>
      <c r="D13" s="3" t="s">
        <v>118</v>
      </c>
      <c r="E13" s="8">
        <v>2</v>
      </c>
      <c r="F13" s="50">
        <f t="shared" si="0"/>
        <v>8</v>
      </c>
      <c r="G13" s="335"/>
      <c r="H13" s="168"/>
    </row>
    <row r="14" spans="1:8" ht="15" customHeight="1">
      <c r="A14" s="485"/>
      <c r="B14" s="482"/>
      <c r="C14" s="3" t="s">
        <v>774</v>
      </c>
      <c r="D14" s="3" t="s">
        <v>533</v>
      </c>
      <c r="E14" s="8">
        <v>10</v>
      </c>
      <c r="F14" s="50">
        <f t="shared" si="0"/>
        <v>40</v>
      </c>
      <c r="G14" s="335"/>
      <c r="H14" s="168"/>
    </row>
    <row r="15" spans="1:8" ht="15" customHeight="1">
      <c r="A15" s="485"/>
      <c r="B15" s="482"/>
      <c r="C15" s="3" t="s">
        <v>778</v>
      </c>
      <c r="D15" s="3" t="s">
        <v>111</v>
      </c>
      <c r="E15" s="8">
        <v>1</v>
      </c>
      <c r="F15" s="50">
        <f t="shared" si="0"/>
        <v>4</v>
      </c>
      <c r="G15" s="335"/>
      <c r="H15" s="168"/>
    </row>
    <row r="16" spans="1:8" ht="15" customHeight="1">
      <c r="A16" s="485"/>
      <c r="B16" s="482"/>
      <c r="C16" s="3" t="s">
        <v>568</v>
      </c>
      <c r="D16" s="3" t="s">
        <v>118</v>
      </c>
      <c r="E16" s="8">
        <v>1</v>
      </c>
      <c r="F16" s="50">
        <f t="shared" si="0"/>
        <v>4</v>
      </c>
      <c r="G16" s="335"/>
      <c r="H16" s="168"/>
    </row>
    <row r="17" spans="1:8" ht="15" customHeight="1">
      <c r="A17" s="485"/>
      <c r="B17" s="482"/>
      <c r="C17" s="3" t="s">
        <v>580</v>
      </c>
      <c r="D17" s="3" t="s">
        <v>118</v>
      </c>
      <c r="E17" s="8">
        <v>2</v>
      </c>
      <c r="F17" s="50">
        <f t="shared" si="0"/>
        <v>8</v>
      </c>
      <c r="G17" s="335"/>
      <c r="H17" s="168"/>
    </row>
    <row r="18" spans="1:8" ht="15" customHeight="1">
      <c r="A18" s="485"/>
      <c r="B18" s="482"/>
      <c r="C18" s="3" t="s">
        <v>584</v>
      </c>
      <c r="D18" s="3" t="s">
        <v>192</v>
      </c>
      <c r="E18" s="8">
        <v>1</v>
      </c>
      <c r="F18" s="50">
        <f t="shared" si="0"/>
        <v>4</v>
      </c>
      <c r="G18" s="335"/>
      <c r="H18" s="168"/>
    </row>
    <row r="19" spans="1:8" ht="15" customHeight="1">
      <c r="A19" s="485"/>
      <c r="B19" s="482"/>
      <c r="C19" s="24" t="s">
        <v>869</v>
      </c>
      <c r="D19" s="3" t="s">
        <v>242</v>
      </c>
      <c r="E19" s="8">
        <v>1</v>
      </c>
      <c r="F19" s="50">
        <f t="shared" si="0"/>
        <v>4</v>
      </c>
      <c r="G19" s="335"/>
      <c r="H19" s="168"/>
    </row>
    <row r="20" spans="1:8" ht="15" customHeight="1">
      <c r="A20" s="485"/>
      <c r="B20" s="482"/>
      <c r="C20" s="3" t="s">
        <v>591</v>
      </c>
      <c r="D20" s="3" t="s">
        <v>192</v>
      </c>
      <c r="E20" s="8">
        <v>2</v>
      </c>
      <c r="F20" s="50">
        <f t="shared" si="0"/>
        <v>8</v>
      </c>
      <c r="G20" s="335"/>
      <c r="H20" s="168"/>
    </row>
    <row r="21" spans="1:8" ht="15" customHeight="1">
      <c r="A21" s="485"/>
      <c r="B21" s="482"/>
      <c r="C21" s="3" t="s">
        <v>598</v>
      </c>
      <c r="D21" s="3" t="s">
        <v>251</v>
      </c>
      <c r="E21" s="8">
        <v>12</v>
      </c>
      <c r="F21" s="50">
        <f t="shared" si="0"/>
        <v>48</v>
      </c>
      <c r="G21" s="335"/>
      <c r="H21" s="168"/>
    </row>
    <row r="22" spans="1:8" ht="15" customHeight="1">
      <c r="A22" s="485"/>
      <c r="B22" s="482"/>
      <c r="C22" s="3" t="s">
        <v>599</v>
      </c>
      <c r="D22" s="3" t="s">
        <v>251</v>
      </c>
      <c r="E22" s="8">
        <v>6</v>
      </c>
      <c r="F22" s="50">
        <f t="shared" si="0"/>
        <v>24</v>
      </c>
      <c r="G22" s="335"/>
      <c r="H22" s="168"/>
    </row>
    <row r="23" spans="1:8" ht="15" customHeight="1">
      <c r="A23" s="485"/>
      <c r="B23" s="482"/>
      <c r="C23" s="3" t="s">
        <v>610</v>
      </c>
      <c r="D23" s="3" t="s">
        <v>113</v>
      </c>
      <c r="E23" s="8">
        <v>10</v>
      </c>
      <c r="F23" s="50">
        <f t="shared" si="0"/>
        <v>40</v>
      </c>
      <c r="G23" s="335"/>
      <c r="H23" s="168"/>
    </row>
    <row r="24" spans="1:8" ht="15" customHeight="1">
      <c r="A24" s="485"/>
      <c r="B24" s="482"/>
      <c r="C24" s="3" t="s">
        <v>611</v>
      </c>
      <c r="D24" s="3" t="s">
        <v>113</v>
      </c>
      <c r="E24" s="8">
        <v>6</v>
      </c>
      <c r="F24" s="50">
        <f t="shared" si="0"/>
        <v>24</v>
      </c>
      <c r="G24" s="335"/>
      <c r="H24" s="168"/>
    </row>
    <row r="25" spans="1:8" ht="15" customHeight="1">
      <c r="A25" s="485"/>
      <c r="B25" s="482"/>
      <c r="C25" s="3" t="s">
        <v>783</v>
      </c>
      <c r="D25" s="3" t="s">
        <v>113</v>
      </c>
      <c r="E25" s="8">
        <v>4</v>
      </c>
      <c r="F25" s="50">
        <f t="shared" si="0"/>
        <v>16</v>
      </c>
      <c r="G25" s="335"/>
      <c r="H25" s="168"/>
    </row>
    <row r="26" spans="1:8" ht="15" customHeight="1">
      <c r="A26" s="485"/>
      <c r="B26" s="482"/>
      <c r="C26" s="3" t="s">
        <v>641</v>
      </c>
      <c r="D26" s="3" t="s">
        <v>113</v>
      </c>
      <c r="E26" s="8">
        <v>3</v>
      </c>
      <c r="F26" s="50">
        <f t="shared" si="0"/>
        <v>12</v>
      </c>
      <c r="G26" s="335"/>
      <c r="H26" s="168"/>
    </row>
    <row r="27" spans="1:8" ht="15" customHeight="1">
      <c r="A27" s="485"/>
      <c r="B27" s="482"/>
      <c r="C27" s="3" t="s">
        <v>812</v>
      </c>
      <c r="D27" s="3" t="s">
        <v>286</v>
      </c>
      <c r="E27" s="8">
        <v>1</v>
      </c>
      <c r="F27" s="50">
        <f t="shared" si="0"/>
        <v>4</v>
      </c>
      <c r="G27" s="335"/>
      <c r="H27" s="168"/>
    </row>
    <row r="28" spans="1:8" ht="15" customHeight="1">
      <c r="A28" s="485"/>
      <c r="B28" s="482"/>
      <c r="C28" s="3" t="s">
        <v>687</v>
      </c>
      <c r="D28" s="3" t="s">
        <v>118</v>
      </c>
      <c r="E28" s="8">
        <v>1</v>
      </c>
      <c r="F28" s="50">
        <f t="shared" si="0"/>
        <v>4</v>
      </c>
      <c r="G28" s="335"/>
      <c r="H28" s="168"/>
    </row>
    <row r="29" spans="1:8" ht="15" customHeight="1">
      <c r="A29" s="485"/>
      <c r="B29" s="482"/>
      <c r="C29" s="3" t="s">
        <v>687</v>
      </c>
      <c r="D29" s="3" t="s">
        <v>242</v>
      </c>
      <c r="E29" s="8">
        <v>1</v>
      </c>
      <c r="F29" s="50">
        <f t="shared" si="0"/>
        <v>4</v>
      </c>
      <c r="G29" s="335"/>
      <c r="H29" s="168"/>
    </row>
    <row r="30" spans="1:8" ht="15" customHeight="1">
      <c r="A30" s="485"/>
      <c r="B30" s="482"/>
      <c r="C30" s="3" t="s">
        <v>688</v>
      </c>
      <c r="D30" s="3" t="s">
        <v>242</v>
      </c>
      <c r="E30" s="8">
        <v>1</v>
      </c>
      <c r="F30" s="50">
        <f t="shared" si="0"/>
        <v>4</v>
      </c>
      <c r="G30" s="335"/>
      <c r="H30" s="168"/>
    </row>
    <row r="31" spans="1:8" ht="15" customHeight="1">
      <c r="A31" s="485"/>
      <c r="B31" s="482"/>
      <c r="C31" s="3" t="s">
        <v>711</v>
      </c>
      <c r="D31" s="3" t="s">
        <v>303</v>
      </c>
      <c r="E31" s="8">
        <v>1</v>
      </c>
      <c r="F31" s="50">
        <f t="shared" si="0"/>
        <v>4</v>
      </c>
      <c r="G31" s="335"/>
      <c r="H31" s="168"/>
    </row>
    <row r="32" spans="1:8" ht="15" customHeight="1">
      <c r="A32" s="485"/>
      <c r="B32" s="482"/>
      <c r="C32" s="3" t="s">
        <v>813</v>
      </c>
      <c r="D32" s="3" t="s">
        <v>113</v>
      </c>
      <c r="E32" s="8">
        <v>1</v>
      </c>
      <c r="F32" s="50">
        <f t="shared" si="0"/>
        <v>4</v>
      </c>
      <c r="G32" s="335"/>
      <c r="H32" s="168"/>
    </row>
    <row r="33" spans="1:8" ht="15" customHeight="1">
      <c r="A33" s="485"/>
      <c r="B33" s="482"/>
      <c r="C33" s="3" t="s">
        <v>813</v>
      </c>
      <c r="D33" s="3" t="s">
        <v>242</v>
      </c>
      <c r="E33" s="8">
        <v>1</v>
      </c>
      <c r="F33" s="50">
        <f t="shared" si="0"/>
        <v>4</v>
      </c>
      <c r="G33" s="335"/>
      <c r="H33" s="168"/>
    </row>
    <row r="34" spans="1:8" ht="15" customHeight="1">
      <c r="A34" s="485"/>
      <c r="B34" s="482"/>
      <c r="C34" s="3" t="s">
        <v>814</v>
      </c>
      <c r="D34" s="3" t="s">
        <v>113</v>
      </c>
      <c r="E34" s="8">
        <v>1</v>
      </c>
      <c r="F34" s="50">
        <f t="shared" si="0"/>
        <v>4</v>
      </c>
      <c r="G34" s="335"/>
      <c r="H34" s="168"/>
    </row>
    <row r="35" spans="1:8" ht="15" customHeight="1">
      <c r="A35" s="485"/>
      <c r="B35" s="482"/>
      <c r="C35" s="3" t="s">
        <v>814</v>
      </c>
      <c r="D35" s="48" t="s">
        <v>242</v>
      </c>
      <c r="E35" s="56">
        <v>1</v>
      </c>
      <c r="F35" s="121">
        <f t="shared" si="0"/>
        <v>4</v>
      </c>
      <c r="G35" s="335"/>
      <c r="H35" s="168"/>
    </row>
    <row r="36" spans="1:8" ht="15" customHeight="1" thickBot="1">
      <c r="A36" s="486"/>
      <c r="B36" s="483"/>
      <c r="C36" s="302" t="s">
        <v>438</v>
      </c>
      <c r="D36" s="170" t="s">
        <v>786</v>
      </c>
      <c r="E36" s="57">
        <v>1</v>
      </c>
      <c r="F36" s="47">
        <f t="shared" si="0"/>
        <v>4</v>
      </c>
      <c r="G36" s="374"/>
      <c r="H36" s="169"/>
    </row>
    <row r="37" spans="1:8" ht="12.75">
      <c r="A37" s="29"/>
      <c r="B37" s="51"/>
      <c r="C37" s="9"/>
      <c r="D37" s="1"/>
      <c r="F37" s="39" t="s">
        <v>770</v>
      </c>
    </row>
    <row r="38" spans="1:8" ht="12.75">
      <c r="A38" s="29"/>
      <c r="B38" s="51"/>
      <c r="C38" s="9"/>
      <c r="D38" s="1"/>
      <c r="F38" s="7">
        <f>SUM(E4:E31)</f>
        <v>83</v>
      </c>
    </row>
    <row r="39" spans="1:8" ht="12.75">
      <c r="A39" s="29"/>
      <c r="B39" s="51"/>
      <c r="C39" s="9"/>
      <c r="D39" s="1"/>
      <c r="F39" s="12" t="s">
        <v>773</v>
      </c>
    </row>
    <row r="40" spans="1:8" ht="12.75">
      <c r="A40" s="29"/>
      <c r="B40" s="51"/>
      <c r="C40" s="9"/>
      <c r="D40" s="1"/>
      <c r="F40" s="7">
        <v>4</v>
      </c>
    </row>
    <row r="41" spans="1:8" ht="13.5" thickBot="1">
      <c r="A41" s="29"/>
      <c r="B41" s="51"/>
      <c r="C41" s="9"/>
      <c r="D41" s="1"/>
      <c r="F41" s="157"/>
    </row>
    <row r="42" spans="1:8" ht="12.75" customHeight="1">
      <c r="A42" s="13" t="s">
        <v>1135</v>
      </c>
      <c r="B42" s="13" t="s">
        <v>1127</v>
      </c>
      <c r="C42" s="13" t="s">
        <v>747</v>
      </c>
      <c r="D42" s="13" t="s">
        <v>106</v>
      </c>
      <c r="E42" s="13" t="s">
        <v>782</v>
      </c>
      <c r="F42" s="71" t="s">
        <v>769</v>
      </c>
      <c r="G42" s="330" t="s">
        <v>1707</v>
      </c>
      <c r="H42" s="331" t="s">
        <v>1166</v>
      </c>
    </row>
    <row r="43" spans="1:8" ht="12.75">
      <c r="A43" s="478" t="s">
        <v>1167</v>
      </c>
      <c r="B43" s="481" t="s">
        <v>815</v>
      </c>
      <c r="C43" s="3" t="s">
        <v>284</v>
      </c>
      <c r="D43" s="18"/>
      <c r="E43" s="8">
        <v>1</v>
      </c>
      <c r="F43" s="50">
        <f t="shared" ref="F43:F60" si="1">SUM(E43*$E$64)</f>
        <v>2</v>
      </c>
      <c r="G43" s="333"/>
      <c r="H43" s="334"/>
    </row>
    <row r="44" spans="1:8" ht="12.75">
      <c r="A44" s="485"/>
      <c r="B44" s="482"/>
      <c r="C44" s="5" t="s">
        <v>223</v>
      </c>
      <c r="D44" s="19"/>
      <c r="E44" s="6">
        <v>1</v>
      </c>
      <c r="F44" s="50">
        <f t="shared" si="1"/>
        <v>2</v>
      </c>
      <c r="G44" s="335"/>
      <c r="H44" s="168"/>
    </row>
    <row r="45" spans="1:8" ht="12.75">
      <c r="A45" s="485"/>
      <c r="B45" s="482"/>
      <c r="C45" s="5" t="s">
        <v>816</v>
      </c>
      <c r="D45" s="19" t="s">
        <v>111</v>
      </c>
      <c r="E45" s="6">
        <v>1</v>
      </c>
      <c r="F45" s="50">
        <f t="shared" si="1"/>
        <v>2</v>
      </c>
      <c r="G45" s="335"/>
      <c r="H45" s="168"/>
    </row>
    <row r="46" spans="1:8" ht="12.75">
      <c r="A46" s="485"/>
      <c r="B46" s="482"/>
      <c r="C46" s="20" t="s">
        <v>224</v>
      </c>
      <c r="D46" s="21" t="s">
        <v>225</v>
      </c>
      <c r="E46" s="58">
        <v>1</v>
      </c>
      <c r="F46" s="50">
        <f t="shared" si="1"/>
        <v>2</v>
      </c>
      <c r="G46" s="335"/>
      <c r="H46" s="168"/>
    </row>
    <row r="47" spans="1:8" ht="12.75">
      <c r="A47" s="485"/>
      <c r="B47" s="482"/>
      <c r="C47" s="20" t="s">
        <v>234</v>
      </c>
      <c r="D47" s="21" t="s">
        <v>123</v>
      </c>
      <c r="E47" s="58">
        <v>1</v>
      </c>
      <c r="F47" s="50">
        <f t="shared" si="1"/>
        <v>2</v>
      </c>
      <c r="G47" s="335"/>
      <c r="H47" s="168"/>
    </row>
    <row r="48" spans="1:8" ht="12.75">
      <c r="A48" s="485"/>
      <c r="B48" s="482"/>
      <c r="C48" s="20" t="s">
        <v>817</v>
      </c>
      <c r="D48" s="21" t="s">
        <v>533</v>
      </c>
      <c r="E48" s="58">
        <v>6</v>
      </c>
      <c r="F48" s="50">
        <f t="shared" si="1"/>
        <v>12</v>
      </c>
      <c r="G48" s="335"/>
      <c r="H48" s="168"/>
    </row>
    <row r="49" spans="1:8" ht="12.75">
      <c r="A49" s="485"/>
      <c r="B49" s="482"/>
      <c r="C49" s="20" t="s">
        <v>537</v>
      </c>
      <c r="D49" s="21"/>
      <c r="E49" s="58">
        <v>1</v>
      </c>
      <c r="F49" s="50">
        <f t="shared" si="1"/>
        <v>2</v>
      </c>
      <c r="G49" s="335"/>
      <c r="H49" s="168"/>
    </row>
    <row r="50" spans="1:8" ht="12.75">
      <c r="A50" s="485"/>
      <c r="B50" s="482"/>
      <c r="C50" s="20" t="s">
        <v>702</v>
      </c>
      <c r="D50" s="21" t="s">
        <v>111</v>
      </c>
      <c r="E50" s="58">
        <v>1</v>
      </c>
      <c r="F50" s="50">
        <f t="shared" si="1"/>
        <v>2</v>
      </c>
      <c r="G50" s="335"/>
      <c r="H50" s="168"/>
    </row>
    <row r="51" spans="1:8" ht="12.75">
      <c r="A51" s="485"/>
      <c r="B51" s="482"/>
      <c r="C51" s="20" t="s">
        <v>705</v>
      </c>
      <c r="D51" s="21" t="s">
        <v>517</v>
      </c>
      <c r="E51" s="58">
        <v>1</v>
      </c>
      <c r="F51" s="50">
        <f t="shared" si="1"/>
        <v>2</v>
      </c>
      <c r="G51" s="335"/>
      <c r="H51" s="168"/>
    </row>
    <row r="52" spans="1:8" ht="12.75">
      <c r="A52" s="485"/>
      <c r="B52" s="482"/>
      <c r="C52" s="20" t="s">
        <v>604</v>
      </c>
      <c r="D52" s="21" t="s">
        <v>111</v>
      </c>
      <c r="E52" s="58">
        <v>1</v>
      </c>
      <c r="F52" s="50">
        <f t="shared" si="1"/>
        <v>2</v>
      </c>
      <c r="G52" s="335"/>
      <c r="H52" s="168"/>
    </row>
    <row r="53" spans="1:8" ht="12.75">
      <c r="A53" s="485"/>
      <c r="B53" s="482"/>
      <c r="C53" s="20" t="s">
        <v>605</v>
      </c>
      <c r="D53" s="21" t="s">
        <v>535</v>
      </c>
      <c r="E53" s="58">
        <v>1</v>
      </c>
      <c r="F53" s="50">
        <f t="shared" si="1"/>
        <v>2</v>
      </c>
      <c r="G53" s="335"/>
      <c r="H53" s="168"/>
    </row>
    <row r="54" spans="1:8" ht="12.75">
      <c r="A54" s="485"/>
      <c r="B54" s="482"/>
      <c r="C54" s="20" t="s">
        <v>606</v>
      </c>
      <c r="D54" s="21" t="s">
        <v>535</v>
      </c>
      <c r="E54" s="58">
        <v>1</v>
      </c>
      <c r="F54" s="50">
        <f t="shared" si="1"/>
        <v>2</v>
      </c>
      <c r="G54" s="335"/>
      <c r="H54" s="168"/>
    </row>
    <row r="55" spans="1:8" ht="12.75">
      <c r="A55" s="485"/>
      <c r="B55" s="482"/>
      <c r="C55" s="20" t="s">
        <v>608</v>
      </c>
      <c r="D55" s="21"/>
      <c r="E55" s="58">
        <v>1</v>
      </c>
      <c r="F55" s="50">
        <f t="shared" si="1"/>
        <v>2</v>
      </c>
      <c r="G55" s="335"/>
      <c r="H55" s="168"/>
    </row>
    <row r="56" spans="1:8" ht="12.75">
      <c r="A56" s="485"/>
      <c r="B56" s="482"/>
      <c r="C56" s="20" t="s">
        <v>818</v>
      </c>
      <c r="D56" s="21" t="s">
        <v>251</v>
      </c>
      <c r="E56" s="58">
        <v>4</v>
      </c>
      <c r="F56" s="50">
        <f t="shared" si="1"/>
        <v>8</v>
      </c>
      <c r="G56" s="335"/>
      <c r="H56" s="168"/>
    </row>
    <row r="57" spans="1:8" ht="12.75">
      <c r="A57" s="485"/>
      <c r="B57" s="482"/>
      <c r="C57" s="20" t="s">
        <v>648</v>
      </c>
      <c r="D57" s="21" t="s">
        <v>113</v>
      </c>
      <c r="E57" s="58">
        <v>1</v>
      </c>
      <c r="F57" s="50">
        <f t="shared" si="1"/>
        <v>2</v>
      </c>
      <c r="G57" s="335"/>
      <c r="H57" s="168"/>
    </row>
    <row r="58" spans="1:8" ht="12.75">
      <c r="A58" s="485"/>
      <c r="B58" s="482"/>
      <c r="C58" s="20" t="s">
        <v>699</v>
      </c>
      <c r="D58" s="21" t="s">
        <v>261</v>
      </c>
      <c r="E58" s="58">
        <v>1</v>
      </c>
      <c r="F58" s="50">
        <f t="shared" si="1"/>
        <v>2</v>
      </c>
      <c r="G58" s="335"/>
      <c r="H58" s="168"/>
    </row>
    <row r="59" spans="1:8" ht="12.75">
      <c r="A59" s="485"/>
      <c r="B59" s="482"/>
      <c r="C59" s="20" t="s">
        <v>700</v>
      </c>
      <c r="D59" s="21" t="s">
        <v>261</v>
      </c>
      <c r="E59" s="58">
        <v>1</v>
      </c>
      <c r="F59" s="50">
        <f t="shared" si="1"/>
        <v>2</v>
      </c>
      <c r="G59" s="335"/>
      <c r="H59" s="168"/>
    </row>
    <row r="60" spans="1:8" ht="13.5" thickBot="1">
      <c r="A60" s="486"/>
      <c r="B60" s="483"/>
      <c r="C60" s="3" t="s">
        <v>438</v>
      </c>
      <c r="D60" s="4" t="s">
        <v>819</v>
      </c>
      <c r="E60" s="58">
        <v>1</v>
      </c>
      <c r="F60" s="156">
        <f t="shared" si="1"/>
        <v>2</v>
      </c>
      <c r="G60" s="357"/>
      <c r="H60" s="169"/>
    </row>
    <row r="61" spans="1:8" ht="12.75">
      <c r="B61" s="16"/>
      <c r="C61" s="9"/>
      <c r="D61" s="9"/>
      <c r="E61" s="67" t="s">
        <v>770</v>
      </c>
    </row>
    <row r="62" spans="1:8" ht="12.75">
      <c r="B62" s="16"/>
      <c r="C62" s="9"/>
      <c r="D62" s="9"/>
      <c r="E62" s="68">
        <f ca="1">SUM(E43:E67)</f>
        <v>26</v>
      </c>
    </row>
    <row r="63" spans="1:8" ht="12.75">
      <c r="B63" s="16"/>
      <c r="C63" s="9"/>
      <c r="D63" s="9"/>
      <c r="E63" s="69" t="s">
        <v>773</v>
      </c>
    </row>
    <row r="64" spans="1:8" ht="13.5" thickBot="1">
      <c r="B64" s="16"/>
      <c r="E64" s="70">
        <v>2</v>
      </c>
    </row>
    <row r="65" spans="2:6" ht="12.75">
      <c r="B65" s="16"/>
      <c r="F65"/>
    </row>
    <row r="66" spans="2:6" ht="12.75">
      <c r="B66" s="16"/>
    </row>
    <row r="67" spans="2:6" ht="12.75">
      <c r="B67" s="16"/>
    </row>
    <row r="68" spans="2:6" ht="12.75">
      <c r="B68" s="16"/>
    </row>
    <row r="69" spans="2:6" ht="12.75">
      <c r="B69" s="16"/>
    </row>
    <row r="70" spans="2:6" ht="12.75">
      <c r="B70" s="16"/>
    </row>
    <row r="71" spans="2:6" ht="12.75">
      <c r="B71" s="16"/>
    </row>
    <row r="72" spans="2:6" ht="12.75">
      <c r="B72" s="16"/>
    </row>
    <row r="73" spans="2:6" ht="12.75">
      <c r="B73" s="16"/>
    </row>
    <row r="74" spans="2:6" ht="12.75">
      <c r="B74" s="16"/>
    </row>
    <row r="75" spans="2:6" ht="12.75">
      <c r="B75" s="16"/>
    </row>
    <row r="76" spans="2:6" ht="12.75">
      <c r="B76" s="16"/>
    </row>
    <row r="77" spans="2:6" ht="12.75">
      <c r="B77" s="16"/>
    </row>
    <row r="78" spans="2:6" ht="12.75">
      <c r="B78" s="16"/>
    </row>
    <row r="79" spans="2:6" ht="12.75">
      <c r="B79" s="16"/>
    </row>
    <row r="80" spans="2:6" ht="12.75">
      <c r="B80" s="16"/>
    </row>
    <row r="81" spans="2:5" ht="12.75">
      <c r="B81" s="16"/>
      <c r="E81" s="10"/>
    </row>
    <row r="82" spans="2:5" ht="12.75">
      <c r="B82" s="16"/>
      <c r="E82" s="10"/>
    </row>
    <row r="83" spans="2:5" ht="12.75">
      <c r="B83" s="16"/>
      <c r="C83" s="1"/>
      <c r="D83" s="1"/>
      <c r="E83" s="10"/>
    </row>
  </sheetData>
  <mergeCells count="4">
    <mergeCell ref="B43:B60"/>
    <mergeCell ref="A43:A60"/>
    <mergeCell ref="B4:B36"/>
    <mergeCell ref="A4:A36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6">
    <tabColor rgb="FF00FF00"/>
    <outlinePr summaryBelow="0" summaryRight="0"/>
  </sheetPr>
  <dimension ref="A1:I175"/>
  <sheetViews>
    <sheetView topLeftCell="A126" zoomScale="70" zoomScaleNormal="70" workbookViewId="0">
      <selection activeCell="G145" sqref="G145:H159"/>
    </sheetView>
  </sheetViews>
  <sheetFormatPr defaultColWidth="12.5703125" defaultRowHeight="15" customHeight="1"/>
  <cols>
    <col min="1" max="1" width="18.7109375" style="103" bestFit="1" customWidth="1"/>
    <col min="2" max="2" width="20" style="103" customWidth="1"/>
    <col min="3" max="3" width="56.28515625" style="103" customWidth="1"/>
    <col min="4" max="4" width="20.140625" style="103" customWidth="1"/>
    <col min="5" max="5" width="20.140625" style="133" customWidth="1"/>
    <col min="6" max="6" width="26.42578125" style="133" customWidth="1"/>
    <col min="7" max="7" width="26.42578125" style="103" customWidth="1"/>
    <col min="8" max="8" width="33.5703125" style="103" customWidth="1"/>
    <col min="9" max="16384" width="12.5703125" style="103"/>
  </cols>
  <sheetData>
    <row r="1" spans="1:9" ht="15" customHeight="1" thickBot="1">
      <c r="A1" s="511" t="s">
        <v>820</v>
      </c>
      <c r="B1" s="512"/>
      <c r="C1" s="512"/>
      <c r="D1" s="512"/>
      <c r="E1" s="512"/>
      <c r="F1" s="512"/>
      <c r="G1" s="513"/>
      <c r="H1" s="513"/>
    </row>
    <row r="2" spans="1:9" ht="15" customHeight="1">
      <c r="A2" s="134" t="s">
        <v>1135</v>
      </c>
      <c r="B2" s="134" t="s">
        <v>1127</v>
      </c>
      <c r="C2" s="134" t="s">
        <v>747</v>
      </c>
      <c r="D2" s="134" t="s">
        <v>106</v>
      </c>
      <c r="E2" s="134" t="s">
        <v>782</v>
      </c>
      <c r="F2" s="135" t="s">
        <v>769</v>
      </c>
      <c r="G2" s="330" t="s">
        <v>1707</v>
      </c>
      <c r="H2" s="331" t="s">
        <v>1166</v>
      </c>
      <c r="I2" s="141"/>
    </row>
    <row r="3" spans="1:9" ht="15" customHeight="1">
      <c r="A3" s="505" t="s">
        <v>1145</v>
      </c>
      <c r="B3" s="508" t="s">
        <v>821</v>
      </c>
      <c r="C3" s="108" t="s">
        <v>112</v>
      </c>
      <c r="D3" s="93" t="s">
        <v>113</v>
      </c>
      <c r="E3" s="137">
        <v>1</v>
      </c>
      <c r="F3" s="138">
        <f t="shared" ref="F3:F49" si="0">SUM(E3*$E$53)</f>
        <v>2</v>
      </c>
      <c r="G3" s="333"/>
      <c r="H3" s="334"/>
      <c r="I3" s="136"/>
    </row>
    <row r="4" spans="1:9" ht="15" customHeight="1">
      <c r="A4" s="506"/>
      <c r="B4" s="509"/>
      <c r="C4" s="108" t="s">
        <v>145</v>
      </c>
      <c r="D4" s="108" t="s">
        <v>148</v>
      </c>
      <c r="E4" s="137">
        <v>2</v>
      </c>
      <c r="F4" s="138">
        <f t="shared" si="0"/>
        <v>4</v>
      </c>
      <c r="G4" s="335"/>
      <c r="H4" s="168"/>
      <c r="I4" s="136"/>
    </row>
    <row r="5" spans="1:9" ht="15" customHeight="1">
      <c r="A5" s="506"/>
      <c r="B5" s="509"/>
      <c r="C5" s="108" t="s">
        <v>201</v>
      </c>
      <c r="D5" s="108" t="s">
        <v>113</v>
      </c>
      <c r="E5" s="137">
        <v>1</v>
      </c>
      <c r="F5" s="138">
        <f t="shared" si="0"/>
        <v>2</v>
      </c>
      <c r="G5" s="335"/>
      <c r="H5" s="168"/>
      <c r="I5" s="141"/>
    </row>
    <row r="6" spans="1:9" ht="15" customHeight="1">
      <c r="A6" s="506"/>
      <c r="B6" s="509"/>
      <c r="C6" s="108" t="s">
        <v>201</v>
      </c>
      <c r="D6" s="108" t="s">
        <v>118</v>
      </c>
      <c r="E6" s="137">
        <v>1</v>
      </c>
      <c r="F6" s="138">
        <f t="shared" si="0"/>
        <v>2</v>
      </c>
      <c r="G6" s="335"/>
      <c r="H6" s="168"/>
      <c r="I6" s="141"/>
    </row>
    <row r="7" spans="1:9" ht="15" customHeight="1">
      <c r="A7" s="506"/>
      <c r="B7" s="509"/>
      <c r="C7" s="108" t="s">
        <v>226</v>
      </c>
      <c r="D7" s="93" t="s">
        <v>227</v>
      </c>
      <c r="E7" s="137">
        <v>1</v>
      </c>
      <c r="F7" s="138">
        <f t="shared" si="0"/>
        <v>2</v>
      </c>
      <c r="G7" s="335"/>
      <c r="H7" s="168"/>
      <c r="I7" s="141"/>
    </row>
    <row r="8" spans="1:9" ht="15" customHeight="1">
      <c r="A8" s="506"/>
      <c r="B8" s="509"/>
      <c r="C8" s="108" t="s">
        <v>226</v>
      </c>
      <c r="D8" s="93" t="s">
        <v>228</v>
      </c>
      <c r="E8" s="137">
        <v>1</v>
      </c>
      <c r="F8" s="138">
        <f t="shared" si="0"/>
        <v>2</v>
      </c>
      <c r="G8" s="335"/>
      <c r="H8" s="168"/>
      <c r="I8" s="141"/>
    </row>
    <row r="9" spans="1:9" ht="15" customHeight="1">
      <c r="A9" s="506"/>
      <c r="B9" s="509"/>
      <c r="C9" s="108" t="s">
        <v>226</v>
      </c>
      <c r="D9" s="93" t="s">
        <v>229</v>
      </c>
      <c r="E9" s="137">
        <v>1</v>
      </c>
      <c r="F9" s="138">
        <f t="shared" si="0"/>
        <v>2</v>
      </c>
      <c r="G9" s="335"/>
      <c r="H9" s="168"/>
      <c r="I9" s="136"/>
    </row>
    <row r="10" spans="1:9" ht="15" customHeight="1">
      <c r="A10" s="506"/>
      <c r="B10" s="509"/>
      <c r="C10" s="89" t="s">
        <v>252</v>
      </c>
      <c r="D10" s="89" t="s">
        <v>251</v>
      </c>
      <c r="E10" s="139">
        <v>1</v>
      </c>
      <c r="F10" s="138">
        <f t="shared" si="0"/>
        <v>2</v>
      </c>
      <c r="G10" s="335"/>
      <c r="H10" s="168"/>
      <c r="I10" s="141"/>
    </row>
    <row r="11" spans="1:9" ht="15" customHeight="1">
      <c r="A11" s="506"/>
      <c r="B11" s="509"/>
      <c r="C11" s="108" t="s">
        <v>253</v>
      </c>
      <c r="D11" s="108" t="s">
        <v>118</v>
      </c>
      <c r="E11" s="137">
        <v>1</v>
      </c>
      <c r="F11" s="138">
        <f t="shared" si="0"/>
        <v>2</v>
      </c>
      <c r="G11" s="335"/>
      <c r="H11" s="168"/>
      <c r="I11" s="136"/>
    </row>
    <row r="12" spans="1:9" ht="15" customHeight="1">
      <c r="A12" s="506"/>
      <c r="B12" s="509"/>
      <c r="C12" s="89" t="s">
        <v>291</v>
      </c>
      <c r="D12" s="89" t="s">
        <v>293</v>
      </c>
      <c r="E12" s="139">
        <v>2</v>
      </c>
      <c r="F12" s="138">
        <f t="shared" si="0"/>
        <v>4</v>
      </c>
      <c r="G12" s="375"/>
      <c r="H12" s="376"/>
      <c r="I12" s="136"/>
    </row>
    <row r="13" spans="1:9" ht="15" customHeight="1">
      <c r="A13" s="506"/>
      <c r="B13" s="509"/>
      <c r="C13" s="108" t="s">
        <v>291</v>
      </c>
      <c r="D13" s="108" t="s">
        <v>772</v>
      </c>
      <c r="E13" s="137">
        <v>2</v>
      </c>
      <c r="F13" s="138">
        <f t="shared" si="0"/>
        <v>4</v>
      </c>
      <c r="G13" s="377"/>
      <c r="H13" s="376"/>
      <c r="I13" s="141"/>
    </row>
    <row r="14" spans="1:9" ht="15" customHeight="1">
      <c r="A14" s="506"/>
      <c r="B14" s="509"/>
      <c r="C14" s="108" t="s">
        <v>323</v>
      </c>
      <c r="D14" s="108" t="s">
        <v>324</v>
      </c>
      <c r="E14" s="137">
        <v>1</v>
      </c>
      <c r="F14" s="138">
        <f t="shared" si="0"/>
        <v>2</v>
      </c>
      <c r="G14" s="377"/>
      <c r="H14" s="376"/>
      <c r="I14" s="141"/>
    </row>
    <row r="15" spans="1:9" ht="15" customHeight="1">
      <c r="A15" s="506"/>
      <c r="B15" s="509"/>
      <c r="C15" s="108" t="s">
        <v>331</v>
      </c>
      <c r="D15" s="108" t="s">
        <v>157</v>
      </c>
      <c r="E15" s="137">
        <v>1</v>
      </c>
      <c r="F15" s="138">
        <f t="shared" si="0"/>
        <v>2</v>
      </c>
      <c r="G15" s="377"/>
      <c r="H15" s="376"/>
      <c r="I15" s="141"/>
    </row>
    <row r="16" spans="1:9" ht="15" customHeight="1">
      <c r="A16" s="506"/>
      <c r="B16" s="509"/>
      <c r="C16" s="108" t="s">
        <v>334</v>
      </c>
      <c r="D16" s="108" t="s">
        <v>242</v>
      </c>
      <c r="E16" s="137">
        <v>1</v>
      </c>
      <c r="F16" s="138">
        <f t="shared" si="0"/>
        <v>2</v>
      </c>
      <c r="G16" s="377"/>
      <c r="H16" s="376"/>
      <c r="I16" s="141"/>
    </row>
    <row r="17" spans="1:9" ht="15" customHeight="1">
      <c r="A17" s="506"/>
      <c r="B17" s="509"/>
      <c r="C17" s="108" t="s">
        <v>334</v>
      </c>
      <c r="D17" s="108" t="s">
        <v>335</v>
      </c>
      <c r="E17" s="137">
        <v>1</v>
      </c>
      <c r="F17" s="138">
        <f t="shared" si="0"/>
        <v>2</v>
      </c>
      <c r="G17" s="377"/>
      <c r="H17" s="376"/>
      <c r="I17" s="141"/>
    </row>
    <row r="18" spans="1:9" ht="15" customHeight="1">
      <c r="A18" s="506"/>
      <c r="B18" s="509"/>
      <c r="C18" s="108" t="s">
        <v>407</v>
      </c>
      <c r="D18" s="108" t="s">
        <v>408</v>
      </c>
      <c r="E18" s="137">
        <v>1</v>
      </c>
      <c r="F18" s="138">
        <f t="shared" si="0"/>
        <v>2</v>
      </c>
      <c r="G18" s="377"/>
      <c r="H18" s="376"/>
      <c r="I18" s="141"/>
    </row>
    <row r="19" spans="1:9" ht="15" customHeight="1">
      <c r="A19" s="506"/>
      <c r="B19" s="509"/>
      <c r="C19" s="108" t="s">
        <v>407</v>
      </c>
      <c r="D19" s="108" t="s">
        <v>409</v>
      </c>
      <c r="E19" s="137">
        <v>1</v>
      </c>
      <c r="F19" s="138">
        <f t="shared" si="0"/>
        <v>2</v>
      </c>
      <c r="G19" s="377"/>
      <c r="H19" s="376"/>
      <c r="I19" s="141"/>
    </row>
    <row r="20" spans="1:9" ht="15" customHeight="1">
      <c r="A20" s="506"/>
      <c r="B20" s="509"/>
      <c r="C20" s="108" t="s">
        <v>407</v>
      </c>
      <c r="D20" s="108" t="s">
        <v>410</v>
      </c>
      <c r="E20" s="137">
        <v>1</v>
      </c>
      <c r="F20" s="138">
        <f t="shared" si="0"/>
        <v>2</v>
      </c>
      <c r="G20" s="377"/>
      <c r="H20" s="376"/>
      <c r="I20" s="141"/>
    </row>
    <row r="21" spans="1:9" ht="15" customHeight="1">
      <c r="A21" s="506"/>
      <c r="B21" s="509"/>
      <c r="C21" s="108" t="s">
        <v>524</v>
      </c>
      <c r="D21" s="108" t="s">
        <v>118</v>
      </c>
      <c r="E21" s="137">
        <v>1</v>
      </c>
      <c r="F21" s="138">
        <f t="shared" si="0"/>
        <v>2</v>
      </c>
      <c r="G21" s="377"/>
      <c r="H21" s="376"/>
      <c r="I21" s="136"/>
    </row>
    <row r="22" spans="1:9" ht="15" customHeight="1">
      <c r="A22" s="506"/>
      <c r="B22" s="509"/>
      <c r="C22" s="108" t="s">
        <v>528</v>
      </c>
      <c r="D22" s="108" t="s">
        <v>242</v>
      </c>
      <c r="E22" s="137">
        <v>2</v>
      </c>
      <c r="F22" s="138">
        <f t="shared" si="0"/>
        <v>4</v>
      </c>
      <c r="G22" s="377"/>
      <c r="H22" s="376"/>
      <c r="I22" s="141"/>
    </row>
    <row r="23" spans="1:9" ht="15" customHeight="1">
      <c r="A23" s="506"/>
      <c r="B23" s="509"/>
      <c r="C23" s="108" t="s">
        <v>774</v>
      </c>
      <c r="D23" s="108" t="s">
        <v>533</v>
      </c>
      <c r="E23" s="137">
        <v>10</v>
      </c>
      <c r="F23" s="138">
        <f t="shared" si="0"/>
        <v>20</v>
      </c>
      <c r="G23" s="377"/>
      <c r="H23" s="376"/>
      <c r="I23" s="136"/>
    </row>
    <row r="24" spans="1:9" ht="15" customHeight="1">
      <c r="A24" s="506"/>
      <c r="B24" s="509"/>
      <c r="C24" s="108" t="s">
        <v>778</v>
      </c>
      <c r="D24" s="108" t="s">
        <v>111</v>
      </c>
      <c r="E24" s="137">
        <v>1</v>
      </c>
      <c r="F24" s="138">
        <f t="shared" si="0"/>
        <v>2</v>
      </c>
      <c r="G24" s="377"/>
      <c r="H24" s="376"/>
      <c r="I24" s="141"/>
    </row>
    <row r="25" spans="1:9" ht="15" customHeight="1">
      <c r="A25" s="506"/>
      <c r="B25" s="509"/>
      <c r="C25" s="108" t="s">
        <v>822</v>
      </c>
      <c r="D25" s="108" t="s">
        <v>113</v>
      </c>
      <c r="E25" s="137">
        <v>6</v>
      </c>
      <c r="F25" s="138">
        <f t="shared" si="0"/>
        <v>12</v>
      </c>
      <c r="G25" s="377"/>
      <c r="H25" s="376"/>
      <c r="I25" s="141"/>
    </row>
    <row r="26" spans="1:9" ht="15" customHeight="1">
      <c r="A26" s="506"/>
      <c r="B26" s="509"/>
      <c r="C26" s="108" t="s">
        <v>580</v>
      </c>
      <c r="D26" s="108" t="s">
        <v>242</v>
      </c>
      <c r="E26" s="137">
        <v>2</v>
      </c>
      <c r="F26" s="138">
        <f t="shared" si="0"/>
        <v>4</v>
      </c>
      <c r="G26" s="377"/>
      <c r="H26" s="376"/>
      <c r="I26" s="141"/>
    </row>
    <row r="27" spans="1:9" ht="15" customHeight="1">
      <c r="A27" s="506"/>
      <c r="B27" s="509"/>
      <c r="C27" s="108" t="s">
        <v>592</v>
      </c>
      <c r="D27" s="108" t="s">
        <v>157</v>
      </c>
      <c r="E27" s="137">
        <v>2</v>
      </c>
      <c r="F27" s="138">
        <f t="shared" si="0"/>
        <v>4</v>
      </c>
      <c r="G27" s="377"/>
      <c r="H27" s="376"/>
      <c r="I27" s="141"/>
    </row>
    <row r="28" spans="1:9" ht="15" customHeight="1">
      <c r="A28" s="506"/>
      <c r="B28" s="509"/>
      <c r="C28" s="108" t="s">
        <v>593</v>
      </c>
      <c r="D28" s="108" t="s">
        <v>594</v>
      </c>
      <c r="E28" s="137">
        <v>1</v>
      </c>
      <c r="F28" s="138">
        <f t="shared" si="0"/>
        <v>2</v>
      </c>
      <c r="G28" s="377"/>
      <c r="H28" s="376"/>
      <c r="I28" s="141"/>
    </row>
    <row r="29" spans="1:9" ht="15" customHeight="1">
      <c r="A29" s="506"/>
      <c r="B29" s="509"/>
      <c r="C29" s="108" t="s">
        <v>596</v>
      </c>
      <c r="D29" s="108" t="s">
        <v>597</v>
      </c>
      <c r="E29" s="137">
        <v>1</v>
      </c>
      <c r="F29" s="138">
        <f t="shared" si="0"/>
        <v>2</v>
      </c>
      <c r="G29" s="377"/>
      <c r="H29" s="376"/>
      <c r="I29" s="140"/>
    </row>
    <row r="30" spans="1:9" ht="15" customHeight="1">
      <c r="A30" s="506"/>
      <c r="B30" s="509"/>
      <c r="C30" s="108" t="s">
        <v>610</v>
      </c>
      <c r="D30" s="108" t="s">
        <v>113</v>
      </c>
      <c r="E30" s="137">
        <v>10</v>
      </c>
      <c r="F30" s="138">
        <f t="shared" si="0"/>
        <v>20</v>
      </c>
      <c r="G30" s="377"/>
      <c r="H30" s="376"/>
      <c r="I30" s="140"/>
    </row>
    <row r="31" spans="1:9" ht="15" customHeight="1">
      <c r="A31" s="506"/>
      <c r="B31" s="509"/>
      <c r="C31" s="108" t="s">
        <v>611</v>
      </c>
      <c r="D31" s="108" t="s">
        <v>113</v>
      </c>
      <c r="E31" s="137">
        <v>10</v>
      </c>
      <c r="F31" s="138">
        <f t="shared" si="0"/>
        <v>20</v>
      </c>
      <c r="G31" s="377"/>
      <c r="H31" s="376"/>
      <c r="I31" s="140"/>
    </row>
    <row r="32" spans="1:9" ht="15" customHeight="1">
      <c r="A32" s="506"/>
      <c r="B32" s="509"/>
      <c r="C32" s="108" t="s">
        <v>783</v>
      </c>
      <c r="D32" s="108" t="s">
        <v>113</v>
      </c>
      <c r="E32" s="137">
        <v>6</v>
      </c>
      <c r="F32" s="138">
        <f t="shared" si="0"/>
        <v>12</v>
      </c>
      <c r="G32" s="377"/>
      <c r="H32" s="376"/>
      <c r="I32" s="140"/>
    </row>
    <row r="33" spans="1:9" ht="15" customHeight="1">
      <c r="A33" s="506"/>
      <c r="B33" s="509"/>
      <c r="C33" s="108" t="s">
        <v>630</v>
      </c>
      <c r="D33" s="108" t="s">
        <v>627</v>
      </c>
      <c r="E33" s="137">
        <v>1</v>
      </c>
      <c r="F33" s="138">
        <f t="shared" si="0"/>
        <v>2</v>
      </c>
      <c r="G33" s="377"/>
      <c r="H33" s="376"/>
      <c r="I33" s="140"/>
    </row>
    <row r="34" spans="1:9" ht="15" customHeight="1">
      <c r="A34" s="506"/>
      <c r="B34" s="509"/>
      <c r="C34" s="108" t="s">
        <v>646</v>
      </c>
      <c r="D34" s="108" t="s">
        <v>647</v>
      </c>
      <c r="E34" s="137">
        <v>1</v>
      </c>
      <c r="F34" s="138">
        <f t="shared" si="0"/>
        <v>2</v>
      </c>
      <c r="G34" s="377"/>
      <c r="H34" s="376"/>
      <c r="I34" s="140"/>
    </row>
    <row r="35" spans="1:9" ht="15" customHeight="1">
      <c r="A35" s="506"/>
      <c r="B35" s="509"/>
      <c r="C35" s="108" t="s">
        <v>659</v>
      </c>
      <c r="D35" s="108" t="s">
        <v>660</v>
      </c>
      <c r="E35" s="137">
        <v>1</v>
      </c>
      <c r="F35" s="138">
        <f t="shared" si="0"/>
        <v>2</v>
      </c>
      <c r="G35" s="377"/>
      <c r="H35" s="376"/>
      <c r="I35" s="140"/>
    </row>
    <row r="36" spans="1:9" ht="15" customHeight="1">
      <c r="A36" s="506"/>
      <c r="B36" s="509"/>
      <c r="C36" s="108" t="s">
        <v>665</v>
      </c>
      <c r="D36" s="108" t="s">
        <v>288</v>
      </c>
      <c r="E36" s="137">
        <v>1</v>
      </c>
      <c r="F36" s="138">
        <f t="shared" si="0"/>
        <v>2</v>
      </c>
      <c r="G36" s="377"/>
      <c r="H36" s="376"/>
      <c r="I36" s="140"/>
    </row>
    <row r="37" spans="1:9" ht="15" customHeight="1">
      <c r="A37" s="506"/>
      <c r="B37" s="509"/>
      <c r="C37" s="108" t="s">
        <v>687</v>
      </c>
      <c r="D37" s="108" t="s">
        <v>118</v>
      </c>
      <c r="E37" s="137">
        <v>1</v>
      </c>
      <c r="F37" s="138">
        <f t="shared" si="0"/>
        <v>2</v>
      </c>
      <c r="G37" s="377"/>
      <c r="H37" s="376"/>
      <c r="I37" s="140"/>
    </row>
    <row r="38" spans="1:9" ht="15" customHeight="1">
      <c r="A38" s="506"/>
      <c r="B38" s="509"/>
      <c r="C38" s="108" t="s">
        <v>687</v>
      </c>
      <c r="D38" s="108" t="s">
        <v>157</v>
      </c>
      <c r="E38" s="137">
        <v>2</v>
      </c>
      <c r="F38" s="138">
        <f t="shared" si="0"/>
        <v>4</v>
      </c>
      <c r="G38" s="377"/>
      <c r="H38" s="376"/>
      <c r="I38" s="140"/>
    </row>
    <row r="39" spans="1:9" ht="15" customHeight="1">
      <c r="A39" s="506"/>
      <c r="B39" s="509"/>
      <c r="C39" s="108" t="s">
        <v>687</v>
      </c>
      <c r="D39" s="108" t="s">
        <v>242</v>
      </c>
      <c r="E39" s="137">
        <v>1</v>
      </c>
      <c r="F39" s="138">
        <f t="shared" si="0"/>
        <v>2</v>
      </c>
      <c r="G39" s="377"/>
      <c r="H39" s="376"/>
      <c r="I39" s="140"/>
    </row>
    <row r="40" spans="1:9" ht="15" customHeight="1">
      <c r="A40" s="506"/>
      <c r="B40" s="509"/>
      <c r="C40" s="108" t="s">
        <v>823</v>
      </c>
      <c r="D40" s="108" t="s">
        <v>242</v>
      </c>
      <c r="E40" s="137">
        <v>1</v>
      </c>
      <c r="F40" s="138">
        <f t="shared" si="0"/>
        <v>2</v>
      </c>
      <c r="G40" s="377"/>
      <c r="H40" s="376"/>
      <c r="I40" s="140"/>
    </row>
    <row r="41" spans="1:9" ht="15" customHeight="1">
      <c r="A41" s="506"/>
      <c r="B41" s="509"/>
      <c r="C41" s="108" t="s">
        <v>808</v>
      </c>
      <c r="D41" s="108" t="s">
        <v>257</v>
      </c>
      <c r="E41" s="137">
        <v>1</v>
      </c>
      <c r="F41" s="138">
        <f t="shared" si="0"/>
        <v>2</v>
      </c>
      <c r="G41" s="377"/>
      <c r="H41" s="376"/>
      <c r="I41" s="140"/>
    </row>
    <row r="42" spans="1:9" ht="15" customHeight="1">
      <c r="A42" s="506"/>
      <c r="B42" s="509"/>
      <c r="C42" s="108" t="s">
        <v>824</v>
      </c>
      <c r="D42" s="108" t="s">
        <v>242</v>
      </c>
      <c r="E42" s="137">
        <v>1</v>
      </c>
      <c r="F42" s="138">
        <f t="shared" si="0"/>
        <v>2</v>
      </c>
      <c r="G42" s="377"/>
      <c r="H42" s="376"/>
    </row>
    <row r="43" spans="1:9" ht="15" customHeight="1">
      <c r="A43" s="506"/>
      <c r="B43" s="509"/>
      <c r="C43" s="108" t="s">
        <v>704</v>
      </c>
      <c r="D43" s="108" t="s">
        <v>157</v>
      </c>
      <c r="E43" s="137">
        <v>1</v>
      </c>
      <c r="F43" s="138">
        <f t="shared" si="0"/>
        <v>2</v>
      </c>
      <c r="G43" s="377"/>
      <c r="H43" s="376"/>
    </row>
    <row r="44" spans="1:9" ht="15" customHeight="1">
      <c r="A44" s="506"/>
      <c r="B44" s="509"/>
      <c r="C44" s="108" t="s">
        <v>710</v>
      </c>
      <c r="D44" s="108" t="s">
        <v>303</v>
      </c>
      <c r="E44" s="137">
        <v>1</v>
      </c>
      <c r="F44" s="138">
        <f t="shared" si="0"/>
        <v>2</v>
      </c>
      <c r="G44" s="377"/>
      <c r="H44" s="376"/>
    </row>
    <row r="45" spans="1:9" ht="15" customHeight="1">
      <c r="A45" s="506"/>
      <c r="B45" s="509"/>
      <c r="C45" s="108" t="s">
        <v>713</v>
      </c>
      <c r="D45" s="108" t="s">
        <v>303</v>
      </c>
      <c r="E45" s="137">
        <v>1</v>
      </c>
      <c r="F45" s="138">
        <f t="shared" si="0"/>
        <v>2</v>
      </c>
      <c r="G45" s="377"/>
      <c r="H45" s="376"/>
    </row>
    <row r="46" spans="1:9" ht="15" customHeight="1">
      <c r="A46" s="506"/>
      <c r="B46" s="509"/>
      <c r="C46" s="108" t="s">
        <v>716</v>
      </c>
      <c r="D46" s="108" t="s">
        <v>113</v>
      </c>
      <c r="E46" s="137">
        <v>1</v>
      </c>
      <c r="F46" s="138">
        <f t="shared" si="0"/>
        <v>2</v>
      </c>
      <c r="G46" s="377"/>
      <c r="H46" s="376"/>
    </row>
    <row r="47" spans="1:9" ht="15" customHeight="1">
      <c r="A47" s="506"/>
      <c r="B47" s="509"/>
      <c r="C47" s="108" t="s">
        <v>717</v>
      </c>
      <c r="D47" s="108" t="s">
        <v>113</v>
      </c>
      <c r="E47" s="137">
        <v>1</v>
      </c>
      <c r="F47" s="138">
        <f t="shared" si="0"/>
        <v>2</v>
      </c>
      <c r="G47" s="377"/>
      <c r="H47" s="376"/>
    </row>
    <row r="48" spans="1:9" ht="15" customHeight="1">
      <c r="A48" s="506"/>
      <c r="B48" s="509"/>
      <c r="C48" s="108" t="s">
        <v>717</v>
      </c>
      <c r="D48" s="108" t="s">
        <v>157</v>
      </c>
      <c r="E48" s="137">
        <v>1</v>
      </c>
      <c r="F48" s="138">
        <f t="shared" si="0"/>
        <v>2</v>
      </c>
      <c r="G48" s="377"/>
      <c r="H48" s="376"/>
    </row>
    <row r="49" spans="1:8" ht="15" customHeight="1" thickBot="1">
      <c r="A49" s="506"/>
      <c r="B49" s="509"/>
      <c r="C49" s="111" t="s">
        <v>438</v>
      </c>
      <c r="D49" s="111" t="s">
        <v>440</v>
      </c>
      <c r="E49" s="142">
        <v>1</v>
      </c>
      <c r="F49" s="143">
        <f t="shared" si="0"/>
        <v>2</v>
      </c>
      <c r="G49" s="378"/>
      <c r="H49" s="379"/>
    </row>
    <row r="50" spans="1:8" ht="15" customHeight="1">
      <c r="A50" s="102"/>
      <c r="B50" s="144"/>
      <c r="C50" s="145"/>
      <c r="D50" s="145"/>
      <c r="E50" s="146" t="s">
        <v>770</v>
      </c>
      <c r="F50" s="147"/>
      <c r="G50" s="154"/>
    </row>
    <row r="51" spans="1:8" ht="15" customHeight="1">
      <c r="A51" s="102"/>
      <c r="B51" s="144"/>
      <c r="C51" s="145"/>
      <c r="D51" s="145"/>
      <c r="E51" s="90">
        <f>SUM(E3:E48)</f>
        <v>90</v>
      </c>
      <c r="F51" s="147"/>
    </row>
    <row r="52" spans="1:8" ht="15" customHeight="1">
      <c r="A52" s="102"/>
      <c r="B52" s="144"/>
      <c r="C52" s="145"/>
      <c r="D52" s="145"/>
      <c r="E52" s="86" t="s">
        <v>773</v>
      </c>
      <c r="F52" s="147"/>
    </row>
    <row r="53" spans="1:8" ht="15" customHeight="1">
      <c r="C53" s="148"/>
      <c r="D53" s="148"/>
      <c r="E53" s="149">
        <v>2</v>
      </c>
    </row>
    <row r="54" spans="1:8" ht="15" customHeight="1" thickBot="1">
      <c r="C54" s="148"/>
      <c r="D54" s="148"/>
      <c r="E54" s="150"/>
      <c r="G54" s="314"/>
    </row>
    <row r="55" spans="1:8" ht="15" customHeight="1">
      <c r="A55" s="134" t="s">
        <v>1135</v>
      </c>
      <c r="B55" s="134" t="s">
        <v>1127</v>
      </c>
      <c r="C55" s="134" t="s">
        <v>747</v>
      </c>
      <c r="D55" s="134" t="s">
        <v>106</v>
      </c>
      <c r="E55" s="146" t="s">
        <v>782</v>
      </c>
      <c r="F55" s="135" t="s">
        <v>769</v>
      </c>
      <c r="G55" s="330" t="s">
        <v>1707</v>
      </c>
      <c r="H55" s="331" t="s">
        <v>1166</v>
      </c>
    </row>
    <row r="56" spans="1:8" ht="15" customHeight="1">
      <c r="A56" s="505" t="s">
        <v>1146</v>
      </c>
      <c r="B56" s="508" t="s">
        <v>9</v>
      </c>
      <c r="C56" s="108" t="s">
        <v>112</v>
      </c>
      <c r="D56" s="93" t="s">
        <v>113</v>
      </c>
      <c r="E56" s="137">
        <v>2</v>
      </c>
      <c r="F56" s="138">
        <f t="shared" ref="F56:F87" si="1">SUM(E56*$D$91)</f>
        <v>4</v>
      </c>
      <c r="G56" s="333"/>
      <c r="H56" s="334"/>
    </row>
    <row r="57" spans="1:8" ht="15" customHeight="1">
      <c r="A57" s="506"/>
      <c r="B57" s="509"/>
      <c r="C57" s="108" t="s">
        <v>145</v>
      </c>
      <c r="D57" s="108" t="s">
        <v>148</v>
      </c>
      <c r="E57" s="137">
        <v>2</v>
      </c>
      <c r="F57" s="138">
        <f t="shared" si="1"/>
        <v>4</v>
      </c>
      <c r="G57" s="335"/>
      <c r="H57" s="168"/>
    </row>
    <row r="58" spans="1:8" ht="15" customHeight="1">
      <c r="A58" s="506"/>
      <c r="B58" s="509"/>
      <c r="C58" s="108" t="s">
        <v>226</v>
      </c>
      <c r="D58" s="93" t="s">
        <v>227</v>
      </c>
      <c r="E58" s="137">
        <v>1</v>
      </c>
      <c r="F58" s="138">
        <f t="shared" si="1"/>
        <v>2</v>
      </c>
      <c r="G58" s="335"/>
      <c r="H58" s="168"/>
    </row>
    <row r="59" spans="1:8" ht="15" customHeight="1">
      <c r="A59" s="506"/>
      <c r="B59" s="509"/>
      <c r="C59" s="108" t="s">
        <v>226</v>
      </c>
      <c r="D59" s="93" t="s">
        <v>228</v>
      </c>
      <c r="E59" s="151">
        <v>1</v>
      </c>
      <c r="F59" s="138">
        <f t="shared" si="1"/>
        <v>2</v>
      </c>
      <c r="G59" s="335"/>
      <c r="H59" s="168"/>
    </row>
    <row r="60" spans="1:8" ht="15" customHeight="1">
      <c r="A60" s="506"/>
      <c r="B60" s="509"/>
      <c r="C60" s="108" t="s">
        <v>226</v>
      </c>
      <c r="D60" s="93" t="s">
        <v>229</v>
      </c>
      <c r="E60" s="137">
        <v>1</v>
      </c>
      <c r="F60" s="138">
        <f t="shared" si="1"/>
        <v>2</v>
      </c>
      <c r="G60" s="335"/>
      <c r="H60" s="168"/>
    </row>
    <row r="61" spans="1:8" ht="15" customHeight="1">
      <c r="A61" s="506"/>
      <c r="B61" s="509"/>
      <c r="C61" s="89" t="s">
        <v>771</v>
      </c>
      <c r="D61" s="89" t="s">
        <v>251</v>
      </c>
      <c r="E61" s="139">
        <v>1</v>
      </c>
      <c r="F61" s="138">
        <f t="shared" si="1"/>
        <v>2</v>
      </c>
      <c r="G61" s="335"/>
      <c r="H61" s="168"/>
    </row>
    <row r="62" spans="1:8" ht="15" customHeight="1">
      <c r="A62" s="506"/>
      <c r="B62" s="509"/>
      <c r="C62" s="89" t="s">
        <v>252</v>
      </c>
      <c r="D62" s="89" t="s">
        <v>251</v>
      </c>
      <c r="E62" s="139">
        <v>1</v>
      </c>
      <c r="F62" s="138">
        <f t="shared" si="1"/>
        <v>2</v>
      </c>
      <c r="G62" s="335"/>
      <c r="H62" s="168"/>
    </row>
    <row r="63" spans="1:8" ht="15" customHeight="1">
      <c r="A63" s="506"/>
      <c r="B63" s="509"/>
      <c r="C63" s="108" t="s">
        <v>267</v>
      </c>
      <c r="D63" s="108" t="s">
        <v>268</v>
      </c>
      <c r="E63" s="137">
        <v>1</v>
      </c>
      <c r="F63" s="138">
        <f t="shared" si="1"/>
        <v>2</v>
      </c>
      <c r="G63" s="335"/>
      <c r="H63" s="168"/>
    </row>
    <row r="64" spans="1:8" ht="15" customHeight="1">
      <c r="A64" s="506"/>
      <c r="B64" s="509"/>
      <c r="C64" s="89" t="s">
        <v>291</v>
      </c>
      <c r="D64" s="89" t="s">
        <v>772</v>
      </c>
      <c r="E64" s="139">
        <v>2</v>
      </c>
      <c r="F64" s="138">
        <f t="shared" si="1"/>
        <v>4</v>
      </c>
      <c r="G64" s="335"/>
      <c r="H64" s="168"/>
    </row>
    <row r="65" spans="1:8" ht="15" customHeight="1">
      <c r="A65" s="506"/>
      <c r="B65" s="509"/>
      <c r="C65" s="108" t="s">
        <v>331</v>
      </c>
      <c r="D65" s="108" t="s">
        <v>157</v>
      </c>
      <c r="E65" s="137">
        <v>1</v>
      </c>
      <c r="F65" s="138">
        <f t="shared" si="1"/>
        <v>2</v>
      </c>
      <c r="G65" s="375"/>
      <c r="H65" s="376"/>
    </row>
    <row r="66" spans="1:8" ht="15" customHeight="1">
      <c r="A66" s="506"/>
      <c r="B66" s="509"/>
      <c r="C66" s="108" t="s">
        <v>334</v>
      </c>
      <c r="D66" s="108" t="s">
        <v>242</v>
      </c>
      <c r="E66" s="137">
        <v>1</v>
      </c>
      <c r="F66" s="138">
        <f t="shared" si="1"/>
        <v>2</v>
      </c>
      <c r="G66" s="375"/>
      <c r="H66" s="376"/>
    </row>
    <row r="67" spans="1:8" ht="15" customHeight="1">
      <c r="A67" s="506"/>
      <c r="B67" s="509"/>
      <c r="C67" s="89" t="s">
        <v>522</v>
      </c>
      <c r="D67" s="89" t="s">
        <v>251</v>
      </c>
      <c r="E67" s="139">
        <v>1</v>
      </c>
      <c r="F67" s="138">
        <f t="shared" si="1"/>
        <v>2</v>
      </c>
      <c r="G67" s="375"/>
      <c r="H67" s="376"/>
    </row>
    <row r="68" spans="1:8" ht="15" customHeight="1">
      <c r="A68" s="506"/>
      <c r="B68" s="509"/>
      <c r="C68" s="108" t="s">
        <v>528</v>
      </c>
      <c r="D68" s="108" t="s">
        <v>242</v>
      </c>
      <c r="E68" s="137">
        <v>2</v>
      </c>
      <c r="F68" s="138">
        <f t="shared" si="1"/>
        <v>4</v>
      </c>
      <c r="G68" s="375"/>
      <c r="H68" s="376"/>
    </row>
    <row r="69" spans="1:8" ht="15" customHeight="1">
      <c r="A69" s="506"/>
      <c r="B69" s="509"/>
      <c r="C69" s="108" t="s">
        <v>528</v>
      </c>
      <c r="D69" s="108" t="s">
        <v>157</v>
      </c>
      <c r="E69" s="137">
        <v>2</v>
      </c>
      <c r="F69" s="138">
        <f t="shared" si="1"/>
        <v>4</v>
      </c>
      <c r="G69" s="375"/>
      <c r="H69" s="376"/>
    </row>
    <row r="70" spans="1:8" ht="15" customHeight="1">
      <c r="A70" s="506"/>
      <c r="B70" s="509"/>
      <c r="C70" s="108" t="s">
        <v>774</v>
      </c>
      <c r="D70" s="108" t="s">
        <v>533</v>
      </c>
      <c r="E70" s="137">
        <v>10</v>
      </c>
      <c r="F70" s="138">
        <f t="shared" si="1"/>
        <v>20</v>
      </c>
      <c r="G70" s="375"/>
      <c r="H70" s="376"/>
    </row>
    <row r="71" spans="1:8" ht="15" customHeight="1">
      <c r="A71" s="506"/>
      <c r="B71" s="509"/>
      <c r="C71" s="89" t="s">
        <v>568</v>
      </c>
      <c r="D71" s="89" t="s">
        <v>118</v>
      </c>
      <c r="E71" s="139">
        <v>1</v>
      </c>
      <c r="F71" s="138">
        <f t="shared" si="1"/>
        <v>2</v>
      </c>
      <c r="G71" s="375"/>
      <c r="H71" s="376"/>
    </row>
    <row r="72" spans="1:8" ht="15" customHeight="1">
      <c r="A72" s="506"/>
      <c r="B72" s="509"/>
      <c r="C72" s="108" t="s">
        <v>580</v>
      </c>
      <c r="D72" s="108" t="s">
        <v>242</v>
      </c>
      <c r="E72" s="137">
        <v>1</v>
      </c>
      <c r="F72" s="138">
        <f t="shared" si="1"/>
        <v>2</v>
      </c>
      <c r="G72" s="375"/>
      <c r="H72" s="376"/>
    </row>
    <row r="73" spans="1:8" ht="15" customHeight="1">
      <c r="A73" s="506"/>
      <c r="B73" s="509"/>
      <c r="C73" s="89" t="s">
        <v>582</v>
      </c>
      <c r="D73" s="89" t="s">
        <v>242</v>
      </c>
      <c r="E73" s="139">
        <v>1</v>
      </c>
      <c r="F73" s="138">
        <f t="shared" si="1"/>
        <v>2</v>
      </c>
      <c r="G73" s="375"/>
      <c r="H73" s="376"/>
    </row>
    <row r="74" spans="1:8" ht="15" customHeight="1">
      <c r="A74" s="506"/>
      <c r="B74" s="509"/>
      <c r="C74" s="108" t="s">
        <v>592</v>
      </c>
      <c r="D74" s="108" t="s">
        <v>157</v>
      </c>
      <c r="E74" s="137">
        <v>1</v>
      </c>
      <c r="F74" s="138">
        <f t="shared" si="1"/>
        <v>2</v>
      </c>
      <c r="G74" s="375"/>
      <c r="H74" s="376"/>
    </row>
    <row r="75" spans="1:8" ht="15" customHeight="1">
      <c r="A75" s="506"/>
      <c r="B75" s="509"/>
      <c r="C75" s="108" t="s">
        <v>596</v>
      </c>
      <c r="D75" s="108" t="s">
        <v>597</v>
      </c>
      <c r="E75" s="137">
        <v>1</v>
      </c>
      <c r="F75" s="138">
        <f t="shared" si="1"/>
        <v>2</v>
      </c>
      <c r="G75" s="375"/>
      <c r="H75" s="376"/>
    </row>
    <row r="76" spans="1:8" ht="15" customHeight="1">
      <c r="A76" s="506"/>
      <c r="B76" s="509"/>
      <c r="C76" s="89" t="s">
        <v>598</v>
      </c>
      <c r="D76" s="89" t="s">
        <v>251</v>
      </c>
      <c r="E76" s="139">
        <v>5</v>
      </c>
      <c r="F76" s="138">
        <f t="shared" si="1"/>
        <v>10</v>
      </c>
      <c r="G76" s="375"/>
      <c r="H76" s="376"/>
    </row>
    <row r="77" spans="1:8" ht="15" customHeight="1">
      <c r="A77" s="506"/>
      <c r="B77" s="509"/>
      <c r="C77" s="89" t="s">
        <v>599</v>
      </c>
      <c r="D77" s="89" t="s">
        <v>251</v>
      </c>
      <c r="E77" s="139">
        <v>5</v>
      </c>
      <c r="F77" s="138">
        <f t="shared" si="1"/>
        <v>10</v>
      </c>
      <c r="G77" s="375"/>
      <c r="H77" s="376"/>
    </row>
    <row r="78" spans="1:8" ht="15" customHeight="1">
      <c r="A78" s="506"/>
      <c r="B78" s="509"/>
      <c r="C78" s="108" t="s">
        <v>610</v>
      </c>
      <c r="D78" s="108" t="s">
        <v>113</v>
      </c>
      <c r="E78" s="137">
        <v>10</v>
      </c>
      <c r="F78" s="138">
        <f t="shared" si="1"/>
        <v>20</v>
      </c>
      <c r="G78" s="375"/>
      <c r="H78" s="376"/>
    </row>
    <row r="79" spans="1:8" ht="15" customHeight="1">
      <c r="A79" s="506"/>
      <c r="B79" s="509"/>
      <c r="C79" s="108" t="s">
        <v>611</v>
      </c>
      <c r="D79" s="108" t="s">
        <v>113</v>
      </c>
      <c r="E79" s="137">
        <v>5</v>
      </c>
      <c r="F79" s="138">
        <f t="shared" si="1"/>
        <v>10</v>
      </c>
      <c r="G79" s="375"/>
      <c r="H79" s="376"/>
    </row>
    <row r="80" spans="1:8" ht="15" customHeight="1">
      <c r="A80" s="506"/>
      <c r="B80" s="509"/>
      <c r="C80" s="108" t="s">
        <v>622</v>
      </c>
      <c r="D80" s="108" t="s">
        <v>113</v>
      </c>
      <c r="E80" s="139">
        <v>2</v>
      </c>
      <c r="F80" s="138">
        <f t="shared" si="1"/>
        <v>4</v>
      </c>
      <c r="G80" s="375"/>
      <c r="H80" s="376"/>
    </row>
    <row r="81" spans="1:8" ht="15" customHeight="1">
      <c r="A81" s="506"/>
      <c r="B81" s="509"/>
      <c r="C81" s="89" t="s">
        <v>687</v>
      </c>
      <c r="D81" s="89" t="s">
        <v>118</v>
      </c>
      <c r="E81" s="139">
        <v>2</v>
      </c>
      <c r="F81" s="138">
        <f t="shared" si="1"/>
        <v>4</v>
      </c>
      <c r="G81" s="375"/>
      <c r="H81" s="376"/>
    </row>
    <row r="82" spans="1:8" ht="15" customHeight="1">
      <c r="A82" s="506"/>
      <c r="B82" s="509"/>
      <c r="C82" s="89" t="s">
        <v>687</v>
      </c>
      <c r="D82" s="89" t="s">
        <v>157</v>
      </c>
      <c r="E82" s="139">
        <v>1</v>
      </c>
      <c r="F82" s="138">
        <f t="shared" si="1"/>
        <v>2</v>
      </c>
      <c r="G82" s="375"/>
      <c r="H82" s="376"/>
    </row>
    <row r="83" spans="1:8" ht="15" customHeight="1">
      <c r="A83" s="506"/>
      <c r="B83" s="509"/>
      <c r="C83" s="89" t="s">
        <v>687</v>
      </c>
      <c r="D83" s="89" t="s">
        <v>242</v>
      </c>
      <c r="E83" s="139">
        <v>1</v>
      </c>
      <c r="F83" s="138">
        <f t="shared" si="1"/>
        <v>2</v>
      </c>
      <c r="G83" s="375"/>
      <c r="H83" s="376"/>
    </row>
    <row r="84" spans="1:8" ht="15" customHeight="1">
      <c r="A84" s="506"/>
      <c r="B84" s="509"/>
      <c r="C84" s="108" t="s">
        <v>823</v>
      </c>
      <c r="D84" s="108" t="s">
        <v>242</v>
      </c>
      <c r="E84" s="137">
        <v>1</v>
      </c>
      <c r="F84" s="138">
        <f t="shared" si="1"/>
        <v>2</v>
      </c>
      <c r="G84" s="375"/>
      <c r="H84" s="376"/>
    </row>
    <row r="85" spans="1:8" ht="15" customHeight="1">
      <c r="A85" s="506"/>
      <c r="B85" s="509"/>
      <c r="C85" s="108" t="s">
        <v>713</v>
      </c>
      <c r="D85" s="108" t="s">
        <v>303</v>
      </c>
      <c r="E85" s="137">
        <v>1</v>
      </c>
      <c r="F85" s="138">
        <f t="shared" si="1"/>
        <v>2</v>
      </c>
      <c r="G85" s="375"/>
      <c r="H85" s="376"/>
    </row>
    <row r="86" spans="1:8" ht="15" customHeight="1" thickBot="1">
      <c r="A86" s="506"/>
      <c r="B86" s="509"/>
      <c r="C86" s="108" t="s">
        <v>716</v>
      </c>
      <c r="D86" s="108" t="s">
        <v>157</v>
      </c>
      <c r="E86" s="137">
        <v>1</v>
      </c>
      <c r="F86" s="138">
        <f t="shared" si="1"/>
        <v>2</v>
      </c>
      <c r="G86" s="381"/>
      <c r="H86" s="379"/>
    </row>
    <row r="87" spans="1:8" ht="15" customHeight="1">
      <c r="A87" s="507"/>
      <c r="B87" s="510"/>
      <c r="C87" s="108" t="s">
        <v>438</v>
      </c>
      <c r="D87" s="108" t="s">
        <v>441</v>
      </c>
      <c r="E87" s="137">
        <v>1</v>
      </c>
      <c r="F87" s="139">
        <f t="shared" si="1"/>
        <v>2</v>
      </c>
      <c r="G87" s="380"/>
      <c r="H87" s="376"/>
    </row>
    <row r="88" spans="1:8" ht="15" customHeight="1">
      <c r="A88" s="102"/>
      <c r="B88" s="144"/>
      <c r="C88" s="148"/>
      <c r="D88" s="146" t="s">
        <v>770</v>
      </c>
      <c r="E88" s="147"/>
      <c r="F88" s="147"/>
    </row>
    <row r="89" spans="1:8" ht="15" customHeight="1">
      <c r="A89" s="102"/>
      <c r="B89" s="144"/>
      <c r="C89" s="148"/>
      <c r="D89" s="90">
        <f>SUM(E56:E86)</f>
        <v>68</v>
      </c>
      <c r="E89" s="147"/>
      <c r="F89" s="147"/>
    </row>
    <row r="90" spans="1:8" ht="15" customHeight="1">
      <c r="A90" s="102"/>
      <c r="B90" s="144"/>
      <c r="C90" s="148"/>
      <c r="D90" s="146" t="s">
        <v>773</v>
      </c>
      <c r="E90" s="147"/>
      <c r="F90" s="147"/>
    </row>
    <row r="91" spans="1:8" ht="15" customHeight="1">
      <c r="D91" s="90">
        <v>2</v>
      </c>
    </row>
    <row r="92" spans="1:8" ht="15" customHeight="1" thickBot="1">
      <c r="D92" s="152"/>
    </row>
    <row r="93" spans="1:8" ht="15" customHeight="1">
      <c r="A93" s="134" t="s">
        <v>1135</v>
      </c>
      <c r="B93" s="134" t="s">
        <v>1127</v>
      </c>
      <c r="C93" s="134" t="s">
        <v>747</v>
      </c>
      <c r="D93" s="134" t="s">
        <v>106</v>
      </c>
      <c r="E93" s="134" t="s">
        <v>782</v>
      </c>
      <c r="F93" s="135" t="s">
        <v>769</v>
      </c>
      <c r="G93" s="330" t="s">
        <v>1707</v>
      </c>
      <c r="H93" s="331" t="s">
        <v>1166</v>
      </c>
    </row>
    <row r="94" spans="1:8" ht="15" customHeight="1">
      <c r="A94" s="505" t="s">
        <v>1147</v>
      </c>
      <c r="B94" s="508" t="s">
        <v>825</v>
      </c>
      <c r="C94" s="108" t="s">
        <v>226</v>
      </c>
      <c r="D94" s="108" t="s">
        <v>230</v>
      </c>
      <c r="E94" s="137">
        <v>1</v>
      </c>
      <c r="F94" s="138">
        <f t="shared" ref="F94:F139" si="2">SUM(E94*$F$143)</f>
        <v>2</v>
      </c>
      <c r="G94" s="333"/>
      <c r="H94" s="334"/>
    </row>
    <row r="95" spans="1:8" ht="15" customHeight="1">
      <c r="A95" s="506"/>
      <c r="B95" s="509"/>
      <c r="C95" s="108" t="s">
        <v>226</v>
      </c>
      <c r="D95" s="108" t="s">
        <v>227</v>
      </c>
      <c r="E95" s="137">
        <v>1</v>
      </c>
      <c r="F95" s="138">
        <f t="shared" si="2"/>
        <v>2</v>
      </c>
      <c r="G95" s="335"/>
      <c r="H95" s="168"/>
    </row>
    <row r="96" spans="1:8" ht="15" customHeight="1">
      <c r="A96" s="506"/>
      <c r="B96" s="509"/>
      <c r="C96" s="108" t="s">
        <v>226</v>
      </c>
      <c r="D96" s="108" t="s">
        <v>228</v>
      </c>
      <c r="E96" s="137">
        <v>1</v>
      </c>
      <c r="F96" s="138">
        <f t="shared" si="2"/>
        <v>2</v>
      </c>
      <c r="G96" s="335"/>
      <c r="H96" s="168"/>
    </row>
    <row r="97" spans="1:8" ht="15" customHeight="1">
      <c r="A97" s="506"/>
      <c r="B97" s="509"/>
      <c r="C97" s="108" t="s">
        <v>294</v>
      </c>
      <c r="D97" s="108" t="s">
        <v>295</v>
      </c>
      <c r="E97" s="137">
        <v>1</v>
      </c>
      <c r="F97" s="138">
        <f t="shared" si="2"/>
        <v>2</v>
      </c>
      <c r="G97" s="335"/>
      <c r="H97" s="168"/>
    </row>
    <row r="98" spans="1:8" ht="15" customHeight="1">
      <c r="A98" s="506"/>
      <c r="B98" s="509"/>
      <c r="C98" s="108" t="s">
        <v>294</v>
      </c>
      <c r="D98" s="108" t="s">
        <v>296</v>
      </c>
      <c r="E98" s="137">
        <v>1</v>
      </c>
      <c r="F98" s="138">
        <f t="shared" si="2"/>
        <v>2</v>
      </c>
      <c r="G98" s="335"/>
      <c r="H98" s="168"/>
    </row>
    <row r="99" spans="1:8" ht="15" customHeight="1">
      <c r="A99" s="506"/>
      <c r="B99" s="509"/>
      <c r="C99" s="108" t="s">
        <v>300</v>
      </c>
      <c r="D99" s="108" t="s">
        <v>192</v>
      </c>
      <c r="E99" s="137">
        <v>1</v>
      </c>
      <c r="F99" s="138">
        <f t="shared" si="2"/>
        <v>2</v>
      </c>
      <c r="G99" s="335"/>
      <c r="H99" s="168"/>
    </row>
    <row r="100" spans="1:8" ht="15" customHeight="1">
      <c r="A100" s="506"/>
      <c r="B100" s="509"/>
      <c r="C100" s="108" t="s">
        <v>301</v>
      </c>
      <c r="D100" s="108" t="s">
        <v>192</v>
      </c>
      <c r="E100" s="137">
        <v>1</v>
      </c>
      <c r="F100" s="138">
        <f t="shared" si="2"/>
        <v>2</v>
      </c>
      <c r="G100" s="335"/>
      <c r="H100" s="168"/>
    </row>
    <row r="101" spans="1:8" ht="15" customHeight="1">
      <c r="A101" s="506"/>
      <c r="B101" s="509"/>
      <c r="C101" s="89" t="s">
        <v>400</v>
      </c>
      <c r="D101" s="89" t="s">
        <v>286</v>
      </c>
      <c r="E101" s="139">
        <v>1</v>
      </c>
      <c r="F101" s="138">
        <f t="shared" si="2"/>
        <v>2</v>
      </c>
      <c r="G101" s="335"/>
      <c r="H101" s="168"/>
    </row>
    <row r="102" spans="1:8" ht="15" customHeight="1">
      <c r="A102" s="506"/>
      <c r="B102" s="509"/>
      <c r="C102" s="108" t="s">
        <v>407</v>
      </c>
      <c r="D102" s="108" t="s">
        <v>408</v>
      </c>
      <c r="E102" s="137">
        <v>1</v>
      </c>
      <c r="F102" s="138">
        <f t="shared" si="2"/>
        <v>2</v>
      </c>
      <c r="G102" s="335"/>
      <c r="H102" s="168"/>
    </row>
    <row r="103" spans="1:8" ht="15" customHeight="1">
      <c r="A103" s="506"/>
      <c r="B103" s="509"/>
      <c r="C103" s="108" t="s">
        <v>407</v>
      </c>
      <c r="D103" s="108" t="s">
        <v>409</v>
      </c>
      <c r="E103" s="137">
        <v>1</v>
      </c>
      <c r="F103" s="138">
        <f t="shared" si="2"/>
        <v>2</v>
      </c>
      <c r="G103" s="335"/>
      <c r="H103" s="168"/>
    </row>
    <row r="104" spans="1:8" ht="15" customHeight="1">
      <c r="A104" s="506"/>
      <c r="B104" s="509"/>
      <c r="C104" s="108" t="s">
        <v>407</v>
      </c>
      <c r="D104" s="108" t="s">
        <v>410</v>
      </c>
      <c r="E104" s="137">
        <v>1</v>
      </c>
      <c r="F104" s="138">
        <f t="shared" si="2"/>
        <v>2</v>
      </c>
      <c r="G104" s="335"/>
      <c r="H104" s="168"/>
    </row>
    <row r="105" spans="1:8" ht="15" customHeight="1">
      <c r="A105" s="506"/>
      <c r="B105" s="509"/>
      <c r="C105" s="108" t="s">
        <v>407</v>
      </c>
      <c r="D105" s="108" t="s">
        <v>411</v>
      </c>
      <c r="E105" s="137">
        <v>1</v>
      </c>
      <c r="F105" s="138">
        <f t="shared" si="2"/>
        <v>2</v>
      </c>
      <c r="G105" s="335"/>
      <c r="H105" s="168"/>
    </row>
    <row r="106" spans="1:8" ht="15" customHeight="1">
      <c r="A106" s="506"/>
      <c r="B106" s="509"/>
      <c r="C106" s="108" t="s">
        <v>474</v>
      </c>
      <c r="D106" s="108" t="s">
        <v>111</v>
      </c>
      <c r="E106" s="137">
        <v>1</v>
      </c>
      <c r="F106" s="138">
        <f t="shared" si="2"/>
        <v>2</v>
      </c>
      <c r="G106" s="335"/>
      <c r="H106" s="168"/>
    </row>
    <row r="107" spans="1:8" ht="15" customHeight="1">
      <c r="A107" s="506"/>
      <c r="B107" s="509"/>
      <c r="C107" s="108" t="s">
        <v>475</v>
      </c>
      <c r="D107" s="108" t="s">
        <v>111</v>
      </c>
      <c r="E107" s="137">
        <v>1</v>
      </c>
      <c r="F107" s="138">
        <f t="shared" si="2"/>
        <v>2</v>
      </c>
      <c r="G107" s="335"/>
      <c r="H107" s="168"/>
    </row>
    <row r="108" spans="1:8" ht="15" customHeight="1">
      <c r="A108" s="506"/>
      <c r="B108" s="509"/>
      <c r="C108" s="108" t="s">
        <v>476</v>
      </c>
      <c r="D108" s="108" t="s">
        <v>111</v>
      </c>
      <c r="E108" s="137">
        <v>1</v>
      </c>
      <c r="F108" s="138">
        <f t="shared" si="2"/>
        <v>2</v>
      </c>
      <c r="G108" s="335"/>
      <c r="H108" s="168"/>
    </row>
    <row r="109" spans="1:8" ht="15" customHeight="1">
      <c r="A109" s="506"/>
      <c r="B109" s="509"/>
      <c r="C109" s="108" t="s">
        <v>477</v>
      </c>
      <c r="D109" s="108" t="s">
        <v>111</v>
      </c>
      <c r="E109" s="137">
        <v>1</v>
      </c>
      <c r="F109" s="138">
        <f t="shared" si="2"/>
        <v>2</v>
      </c>
      <c r="G109" s="335"/>
      <c r="H109" s="168"/>
    </row>
    <row r="110" spans="1:8" ht="15" customHeight="1">
      <c r="A110" s="506"/>
      <c r="B110" s="509"/>
      <c r="C110" s="108" t="s">
        <v>478</v>
      </c>
      <c r="D110" s="108" t="s">
        <v>242</v>
      </c>
      <c r="E110" s="137">
        <v>1</v>
      </c>
      <c r="F110" s="138">
        <f t="shared" si="2"/>
        <v>2</v>
      </c>
      <c r="G110" s="335"/>
      <c r="H110" s="168"/>
    </row>
    <row r="111" spans="1:8" ht="15" customHeight="1">
      <c r="A111" s="506"/>
      <c r="B111" s="509"/>
      <c r="C111" s="108" t="s">
        <v>479</v>
      </c>
      <c r="D111" s="108" t="s">
        <v>113</v>
      </c>
      <c r="E111" s="137">
        <v>1</v>
      </c>
      <c r="F111" s="138">
        <f t="shared" si="2"/>
        <v>2</v>
      </c>
      <c r="G111" s="335"/>
      <c r="H111" s="168"/>
    </row>
    <row r="112" spans="1:8" ht="15" customHeight="1">
      <c r="A112" s="506"/>
      <c r="B112" s="509"/>
      <c r="C112" s="108" t="s">
        <v>480</v>
      </c>
      <c r="D112" s="108" t="s">
        <v>113</v>
      </c>
      <c r="E112" s="137">
        <v>1</v>
      </c>
      <c r="F112" s="138">
        <f t="shared" si="2"/>
        <v>2</v>
      </c>
      <c r="G112" s="335"/>
      <c r="H112" s="168"/>
    </row>
    <row r="113" spans="1:8" ht="15" customHeight="1">
      <c r="A113" s="506"/>
      <c r="B113" s="509"/>
      <c r="C113" s="108" t="s">
        <v>481</v>
      </c>
      <c r="D113" s="108" t="s">
        <v>335</v>
      </c>
      <c r="E113" s="137">
        <v>1</v>
      </c>
      <c r="F113" s="138">
        <f t="shared" si="2"/>
        <v>2</v>
      </c>
      <c r="G113" s="335"/>
      <c r="H113" s="168"/>
    </row>
    <row r="114" spans="1:8" ht="15" customHeight="1">
      <c r="A114" s="506"/>
      <c r="B114" s="509"/>
      <c r="C114" s="108" t="s">
        <v>482</v>
      </c>
      <c r="D114" s="108" t="s">
        <v>288</v>
      </c>
      <c r="E114" s="137">
        <v>1</v>
      </c>
      <c r="F114" s="138">
        <f t="shared" si="2"/>
        <v>2</v>
      </c>
      <c r="G114" s="335"/>
      <c r="H114" s="168"/>
    </row>
    <row r="115" spans="1:8" ht="15" customHeight="1">
      <c r="A115" s="506"/>
      <c r="B115" s="509"/>
      <c r="C115" s="108" t="s">
        <v>483</v>
      </c>
      <c r="D115" s="108" t="s">
        <v>288</v>
      </c>
      <c r="E115" s="137">
        <v>1</v>
      </c>
      <c r="F115" s="138">
        <f t="shared" si="2"/>
        <v>2</v>
      </c>
      <c r="G115" s="335"/>
      <c r="H115" s="168"/>
    </row>
    <row r="116" spans="1:8" ht="15" customHeight="1">
      <c r="A116" s="506"/>
      <c r="B116" s="509"/>
      <c r="C116" s="108" t="s">
        <v>484</v>
      </c>
      <c r="D116" s="108" t="s">
        <v>288</v>
      </c>
      <c r="E116" s="137">
        <v>1</v>
      </c>
      <c r="F116" s="138">
        <f t="shared" si="2"/>
        <v>2</v>
      </c>
      <c r="G116" s="335"/>
      <c r="H116" s="168"/>
    </row>
    <row r="117" spans="1:8" ht="15" customHeight="1">
      <c r="A117" s="506"/>
      <c r="B117" s="509"/>
      <c r="C117" s="108" t="s">
        <v>485</v>
      </c>
      <c r="D117" s="108" t="s">
        <v>335</v>
      </c>
      <c r="E117" s="137">
        <v>1</v>
      </c>
      <c r="F117" s="138">
        <f t="shared" si="2"/>
        <v>2</v>
      </c>
      <c r="G117" s="335"/>
      <c r="H117" s="168"/>
    </row>
    <row r="118" spans="1:8" ht="15" customHeight="1">
      <c r="A118" s="506"/>
      <c r="B118" s="509"/>
      <c r="C118" s="108" t="s">
        <v>486</v>
      </c>
      <c r="D118" s="108" t="s">
        <v>335</v>
      </c>
      <c r="E118" s="137">
        <v>1</v>
      </c>
      <c r="F118" s="138">
        <f t="shared" si="2"/>
        <v>2</v>
      </c>
      <c r="G118" s="335"/>
      <c r="H118" s="168"/>
    </row>
    <row r="119" spans="1:8" ht="15" customHeight="1">
      <c r="A119" s="506"/>
      <c r="B119" s="509"/>
      <c r="C119" s="108" t="s">
        <v>487</v>
      </c>
      <c r="D119" s="108" t="s">
        <v>157</v>
      </c>
      <c r="E119" s="137">
        <v>1</v>
      </c>
      <c r="F119" s="138">
        <f t="shared" si="2"/>
        <v>2</v>
      </c>
      <c r="G119" s="335"/>
      <c r="H119" s="168"/>
    </row>
    <row r="120" spans="1:8" ht="15" customHeight="1">
      <c r="A120" s="506"/>
      <c r="B120" s="509"/>
      <c r="C120" s="108" t="s">
        <v>488</v>
      </c>
      <c r="D120" s="108" t="s">
        <v>157</v>
      </c>
      <c r="E120" s="137">
        <v>1</v>
      </c>
      <c r="F120" s="138">
        <f t="shared" si="2"/>
        <v>2</v>
      </c>
      <c r="G120" s="335"/>
      <c r="H120" s="168"/>
    </row>
    <row r="121" spans="1:8" ht="15" customHeight="1">
      <c r="A121" s="506"/>
      <c r="B121" s="509"/>
      <c r="C121" s="108" t="s">
        <v>489</v>
      </c>
      <c r="D121" s="108" t="s">
        <v>157</v>
      </c>
      <c r="E121" s="137">
        <v>1</v>
      </c>
      <c r="F121" s="138">
        <f t="shared" si="2"/>
        <v>2</v>
      </c>
      <c r="G121" s="335"/>
      <c r="H121" s="168"/>
    </row>
    <row r="122" spans="1:8" ht="15" customHeight="1">
      <c r="A122" s="506"/>
      <c r="B122" s="509"/>
      <c r="C122" s="108" t="s">
        <v>490</v>
      </c>
      <c r="D122" s="108" t="s">
        <v>157</v>
      </c>
      <c r="E122" s="137">
        <v>1</v>
      </c>
      <c r="F122" s="138">
        <f t="shared" si="2"/>
        <v>2</v>
      </c>
      <c r="G122" s="335"/>
      <c r="H122" s="168"/>
    </row>
    <row r="123" spans="1:8" ht="15" customHeight="1">
      <c r="A123" s="506"/>
      <c r="B123" s="509"/>
      <c r="C123" s="108" t="s">
        <v>491</v>
      </c>
      <c r="D123" s="108" t="s">
        <v>157</v>
      </c>
      <c r="E123" s="137">
        <v>1</v>
      </c>
      <c r="F123" s="138">
        <f t="shared" si="2"/>
        <v>2</v>
      </c>
      <c r="G123" s="335"/>
      <c r="H123" s="168"/>
    </row>
    <row r="124" spans="1:8" ht="15" customHeight="1">
      <c r="A124" s="506"/>
      <c r="B124" s="509"/>
      <c r="C124" s="108" t="s">
        <v>492</v>
      </c>
      <c r="D124" s="108" t="s">
        <v>157</v>
      </c>
      <c r="E124" s="137">
        <v>1</v>
      </c>
      <c r="F124" s="138">
        <f t="shared" si="2"/>
        <v>2</v>
      </c>
      <c r="G124" s="335"/>
      <c r="H124" s="168"/>
    </row>
    <row r="125" spans="1:8" ht="15" customHeight="1">
      <c r="A125" s="506"/>
      <c r="B125" s="509"/>
      <c r="C125" s="108" t="s">
        <v>493</v>
      </c>
      <c r="D125" s="108" t="s">
        <v>157</v>
      </c>
      <c r="E125" s="137">
        <v>1</v>
      </c>
      <c r="F125" s="138">
        <f t="shared" si="2"/>
        <v>2</v>
      </c>
      <c r="G125" s="335"/>
      <c r="H125" s="168"/>
    </row>
    <row r="126" spans="1:8" ht="15" customHeight="1">
      <c r="A126" s="506"/>
      <c r="B126" s="509"/>
      <c r="C126" s="108" t="s">
        <v>494</v>
      </c>
      <c r="D126" s="108" t="s">
        <v>157</v>
      </c>
      <c r="E126" s="137">
        <v>1</v>
      </c>
      <c r="F126" s="138">
        <f t="shared" si="2"/>
        <v>2</v>
      </c>
      <c r="G126" s="335"/>
      <c r="H126" s="168"/>
    </row>
    <row r="127" spans="1:8" ht="15" customHeight="1">
      <c r="A127" s="506"/>
      <c r="B127" s="509"/>
      <c r="C127" s="108" t="s">
        <v>495</v>
      </c>
      <c r="D127" s="108" t="s">
        <v>157</v>
      </c>
      <c r="E127" s="137">
        <v>1</v>
      </c>
      <c r="F127" s="138">
        <f t="shared" si="2"/>
        <v>2</v>
      </c>
      <c r="G127" s="335"/>
      <c r="H127" s="168"/>
    </row>
    <row r="128" spans="1:8" ht="15" customHeight="1">
      <c r="A128" s="506"/>
      <c r="B128" s="509"/>
      <c r="C128" s="108" t="s">
        <v>496</v>
      </c>
      <c r="D128" s="108" t="s">
        <v>157</v>
      </c>
      <c r="E128" s="137">
        <v>1</v>
      </c>
      <c r="F128" s="138">
        <f t="shared" si="2"/>
        <v>2</v>
      </c>
      <c r="G128" s="335"/>
      <c r="H128" s="168"/>
    </row>
    <row r="129" spans="1:8" ht="15" customHeight="1">
      <c r="A129" s="506"/>
      <c r="B129" s="509"/>
      <c r="C129" s="108" t="s">
        <v>497</v>
      </c>
      <c r="D129" s="108" t="s">
        <v>157</v>
      </c>
      <c r="E129" s="137">
        <v>1</v>
      </c>
      <c r="F129" s="138">
        <f t="shared" si="2"/>
        <v>2</v>
      </c>
      <c r="G129" s="335"/>
      <c r="H129" s="168"/>
    </row>
    <row r="130" spans="1:8" ht="15" customHeight="1">
      <c r="A130" s="506"/>
      <c r="B130" s="509"/>
      <c r="C130" s="108" t="s">
        <v>498</v>
      </c>
      <c r="D130" s="108" t="s">
        <v>157</v>
      </c>
      <c r="E130" s="137">
        <v>1</v>
      </c>
      <c r="F130" s="138">
        <f t="shared" si="2"/>
        <v>2</v>
      </c>
      <c r="G130" s="335"/>
      <c r="H130" s="168"/>
    </row>
    <row r="131" spans="1:8" ht="15" customHeight="1">
      <c r="A131" s="506"/>
      <c r="B131" s="509"/>
      <c r="C131" s="108" t="s">
        <v>499</v>
      </c>
      <c r="D131" s="108" t="s">
        <v>157</v>
      </c>
      <c r="E131" s="137">
        <v>1</v>
      </c>
      <c r="F131" s="138">
        <f t="shared" si="2"/>
        <v>2</v>
      </c>
      <c r="G131" s="335"/>
      <c r="H131" s="168"/>
    </row>
    <row r="132" spans="1:8" ht="15" customHeight="1">
      <c r="A132" s="506"/>
      <c r="B132" s="509"/>
      <c r="C132" s="108" t="s">
        <v>500</v>
      </c>
      <c r="D132" s="108" t="s">
        <v>157</v>
      </c>
      <c r="E132" s="137">
        <v>1</v>
      </c>
      <c r="F132" s="138">
        <f t="shared" si="2"/>
        <v>2</v>
      </c>
      <c r="G132" s="335"/>
      <c r="H132" s="168"/>
    </row>
    <row r="133" spans="1:8" ht="15" customHeight="1">
      <c r="A133" s="506"/>
      <c r="B133" s="509"/>
      <c r="C133" s="89" t="s">
        <v>645</v>
      </c>
      <c r="D133" s="89" t="s">
        <v>157</v>
      </c>
      <c r="E133" s="139">
        <v>1</v>
      </c>
      <c r="F133" s="138">
        <f t="shared" si="2"/>
        <v>2</v>
      </c>
      <c r="G133" s="335"/>
      <c r="H133" s="168"/>
    </row>
    <row r="134" spans="1:8" ht="15" customHeight="1">
      <c r="A134" s="506"/>
      <c r="B134" s="509"/>
      <c r="C134" s="108" t="s">
        <v>665</v>
      </c>
      <c r="D134" s="108" t="s">
        <v>288</v>
      </c>
      <c r="E134" s="137">
        <v>2</v>
      </c>
      <c r="F134" s="138">
        <f t="shared" si="2"/>
        <v>4</v>
      </c>
      <c r="G134" s="335"/>
      <c r="H134" s="168"/>
    </row>
    <row r="135" spans="1:8" ht="15" customHeight="1">
      <c r="A135" s="506"/>
      <c r="B135" s="509"/>
      <c r="C135" s="108" t="s">
        <v>676</v>
      </c>
      <c r="D135" s="108" t="s">
        <v>677</v>
      </c>
      <c r="E135" s="137">
        <v>1</v>
      </c>
      <c r="F135" s="138">
        <f t="shared" si="2"/>
        <v>2</v>
      </c>
      <c r="G135" s="335"/>
      <c r="H135" s="168"/>
    </row>
    <row r="136" spans="1:8" ht="15" customHeight="1">
      <c r="A136" s="506"/>
      <c r="B136" s="509"/>
      <c r="C136" s="108" t="s">
        <v>678</v>
      </c>
      <c r="D136" s="108" t="s">
        <v>288</v>
      </c>
      <c r="E136" s="137">
        <v>1</v>
      </c>
      <c r="F136" s="138">
        <f t="shared" si="2"/>
        <v>2</v>
      </c>
      <c r="G136" s="335"/>
      <c r="H136" s="168"/>
    </row>
    <row r="137" spans="1:8" ht="15" customHeight="1">
      <c r="A137" s="506"/>
      <c r="B137" s="509"/>
      <c r="C137" s="108" t="s">
        <v>723</v>
      </c>
      <c r="D137" s="108" t="s">
        <v>242</v>
      </c>
      <c r="E137" s="137">
        <v>1</v>
      </c>
      <c r="F137" s="138">
        <f t="shared" si="2"/>
        <v>2</v>
      </c>
      <c r="G137" s="335"/>
      <c r="H137" s="168"/>
    </row>
    <row r="138" spans="1:8" ht="15" customHeight="1">
      <c r="A138" s="506"/>
      <c r="B138" s="509"/>
      <c r="C138" s="108" t="s">
        <v>724</v>
      </c>
      <c r="D138" s="108" t="s">
        <v>242</v>
      </c>
      <c r="E138" s="137">
        <v>1</v>
      </c>
      <c r="F138" s="138">
        <f t="shared" si="2"/>
        <v>2</v>
      </c>
      <c r="G138" s="335"/>
      <c r="H138" s="168"/>
    </row>
    <row r="139" spans="1:8" ht="15" customHeight="1" thickBot="1">
      <c r="A139" s="507"/>
      <c r="B139" s="510"/>
      <c r="C139" s="108" t="s">
        <v>438</v>
      </c>
      <c r="D139" s="108" t="s">
        <v>441</v>
      </c>
      <c r="E139" s="137">
        <v>1</v>
      </c>
      <c r="F139" s="138">
        <f t="shared" si="2"/>
        <v>2</v>
      </c>
      <c r="G139" s="357"/>
      <c r="H139" s="169"/>
    </row>
    <row r="140" spans="1:8" ht="15" customHeight="1">
      <c r="A140" s="102"/>
      <c r="B140" s="144"/>
      <c r="C140" s="145"/>
      <c r="D140" s="145"/>
      <c r="E140" s="103"/>
      <c r="F140" s="135" t="s">
        <v>770</v>
      </c>
    </row>
    <row r="141" spans="1:8" ht="15" customHeight="1">
      <c r="A141" s="102"/>
      <c r="B141" s="144"/>
      <c r="C141" s="145"/>
      <c r="D141" s="145"/>
      <c r="E141" s="103"/>
      <c r="F141" s="90">
        <f>SUM(E94:E137)</f>
        <v>45</v>
      </c>
    </row>
    <row r="142" spans="1:8" ht="15" customHeight="1">
      <c r="A142" s="102"/>
      <c r="B142" s="144"/>
      <c r="C142" s="145"/>
      <c r="D142" s="145"/>
      <c r="E142" s="103"/>
      <c r="F142" s="86" t="s">
        <v>773</v>
      </c>
    </row>
    <row r="143" spans="1:8" ht="15" customHeight="1">
      <c r="A143" s="102"/>
      <c r="B143" s="144"/>
      <c r="C143" s="145"/>
      <c r="D143" s="145"/>
      <c r="E143" s="103"/>
      <c r="F143" s="90">
        <v>2</v>
      </c>
    </row>
    <row r="144" spans="1:8" ht="15" customHeight="1" thickBot="1"/>
    <row r="145" spans="1:8" ht="15" customHeight="1">
      <c r="A145" s="134" t="s">
        <v>1135</v>
      </c>
      <c r="B145" s="134" t="s">
        <v>1127</v>
      </c>
      <c r="C145" s="134" t="s">
        <v>747</v>
      </c>
      <c r="D145" s="134" t="s">
        <v>106</v>
      </c>
      <c r="E145" s="134" t="s">
        <v>782</v>
      </c>
      <c r="F145" s="135" t="s">
        <v>769</v>
      </c>
      <c r="G145" s="330" t="s">
        <v>1707</v>
      </c>
      <c r="H145" s="331" t="s">
        <v>1166</v>
      </c>
    </row>
    <row r="146" spans="1:8" ht="15" customHeight="1">
      <c r="A146" s="505" t="s">
        <v>1148</v>
      </c>
      <c r="B146" s="508" t="s">
        <v>826</v>
      </c>
      <c r="C146" s="108" t="s">
        <v>110</v>
      </c>
      <c r="D146" s="108" t="s">
        <v>111</v>
      </c>
      <c r="E146" s="137">
        <v>1</v>
      </c>
      <c r="F146" s="138">
        <f t="shared" ref="F146:F171" si="3">SUM(E146*$F$175)</f>
        <v>2</v>
      </c>
      <c r="G146" s="333"/>
      <c r="H146" s="334"/>
    </row>
    <row r="147" spans="1:8" ht="15" customHeight="1">
      <c r="A147" s="506"/>
      <c r="B147" s="509"/>
      <c r="C147" s="108" t="s">
        <v>112</v>
      </c>
      <c r="D147" s="108" t="s">
        <v>113</v>
      </c>
      <c r="E147" s="137">
        <v>2</v>
      </c>
      <c r="F147" s="138">
        <f t="shared" si="3"/>
        <v>4</v>
      </c>
      <c r="G147" s="335"/>
      <c r="H147" s="168"/>
    </row>
    <row r="148" spans="1:8" ht="15" customHeight="1">
      <c r="A148" s="506"/>
      <c r="B148" s="509"/>
      <c r="C148" s="108" t="s">
        <v>122</v>
      </c>
      <c r="D148" s="108" t="s">
        <v>123</v>
      </c>
      <c r="E148" s="137">
        <v>2</v>
      </c>
      <c r="F148" s="138">
        <f t="shared" si="3"/>
        <v>4</v>
      </c>
      <c r="G148" s="335"/>
      <c r="H148" s="168"/>
    </row>
    <row r="149" spans="1:8" ht="15" customHeight="1">
      <c r="A149" s="506"/>
      <c r="B149" s="509"/>
      <c r="C149" s="108" t="s">
        <v>317</v>
      </c>
      <c r="D149" s="108" t="s">
        <v>123</v>
      </c>
      <c r="E149" s="137">
        <v>1</v>
      </c>
      <c r="F149" s="138">
        <f t="shared" si="3"/>
        <v>2</v>
      </c>
      <c r="G149" s="335"/>
      <c r="H149" s="168"/>
    </row>
    <row r="150" spans="1:8" ht="15" customHeight="1">
      <c r="A150" s="506"/>
      <c r="B150" s="509"/>
      <c r="C150" s="108" t="s">
        <v>318</v>
      </c>
      <c r="D150" s="108" t="s">
        <v>123</v>
      </c>
      <c r="E150" s="137">
        <v>1</v>
      </c>
      <c r="F150" s="138">
        <f t="shared" si="3"/>
        <v>2</v>
      </c>
      <c r="G150" s="335"/>
      <c r="H150" s="168"/>
    </row>
    <row r="151" spans="1:8" ht="15" customHeight="1">
      <c r="A151" s="506"/>
      <c r="B151" s="509"/>
      <c r="C151" s="108" t="s">
        <v>319</v>
      </c>
      <c r="D151" s="108" t="s">
        <v>123</v>
      </c>
      <c r="E151" s="137">
        <v>1</v>
      </c>
      <c r="F151" s="138">
        <f t="shared" si="3"/>
        <v>2</v>
      </c>
      <c r="G151" s="335"/>
      <c r="H151" s="168"/>
    </row>
    <row r="152" spans="1:8" ht="15" customHeight="1">
      <c r="A152" s="506"/>
      <c r="B152" s="509"/>
      <c r="C152" s="108" t="s">
        <v>320</v>
      </c>
      <c r="D152" s="108" t="s">
        <v>123</v>
      </c>
      <c r="E152" s="137">
        <v>1</v>
      </c>
      <c r="F152" s="138">
        <f t="shared" si="3"/>
        <v>2</v>
      </c>
      <c r="G152" s="335"/>
      <c r="H152" s="168"/>
    </row>
    <row r="153" spans="1:8" ht="15" customHeight="1">
      <c r="A153" s="506"/>
      <c r="B153" s="509"/>
      <c r="C153" s="108" t="s">
        <v>321</v>
      </c>
      <c r="D153" s="108" t="s">
        <v>123</v>
      </c>
      <c r="E153" s="137">
        <v>1</v>
      </c>
      <c r="F153" s="138">
        <f t="shared" si="3"/>
        <v>2</v>
      </c>
      <c r="G153" s="335"/>
      <c r="H153" s="168"/>
    </row>
    <row r="154" spans="1:8" ht="15" customHeight="1">
      <c r="A154" s="506"/>
      <c r="B154" s="509"/>
      <c r="C154" s="108" t="s">
        <v>322</v>
      </c>
      <c r="D154" s="108" t="s">
        <v>123</v>
      </c>
      <c r="E154" s="137">
        <v>1</v>
      </c>
      <c r="F154" s="138">
        <f t="shared" si="3"/>
        <v>2</v>
      </c>
      <c r="G154" s="335"/>
      <c r="H154" s="168"/>
    </row>
    <row r="155" spans="1:8" ht="15" customHeight="1">
      <c r="A155" s="506"/>
      <c r="B155" s="509"/>
      <c r="C155" s="108" t="s">
        <v>873</v>
      </c>
      <c r="D155" s="108" t="s">
        <v>257</v>
      </c>
      <c r="E155" s="137">
        <v>1</v>
      </c>
      <c r="F155" s="138">
        <f t="shared" si="3"/>
        <v>2</v>
      </c>
      <c r="G155" s="335"/>
      <c r="H155" s="168"/>
    </row>
    <row r="156" spans="1:8" ht="15" customHeight="1">
      <c r="A156" s="506"/>
      <c r="B156" s="509"/>
      <c r="C156" s="108" t="s">
        <v>463</v>
      </c>
      <c r="D156" s="108" t="s">
        <v>266</v>
      </c>
      <c r="E156" s="137">
        <v>1</v>
      </c>
      <c r="F156" s="138">
        <f t="shared" si="3"/>
        <v>2</v>
      </c>
      <c r="G156" s="335"/>
      <c r="H156" s="168"/>
    </row>
    <row r="157" spans="1:8" ht="15" customHeight="1">
      <c r="A157" s="506"/>
      <c r="B157" s="509"/>
      <c r="C157" s="108" t="s">
        <v>612</v>
      </c>
      <c r="D157" s="108" t="s">
        <v>613</v>
      </c>
      <c r="E157" s="137">
        <v>1</v>
      </c>
      <c r="F157" s="138">
        <f t="shared" si="3"/>
        <v>2</v>
      </c>
      <c r="G157" s="335"/>
      <c r="H157" s="168"/>
    </row>
    <row r="158" spans="1:8" ht="15" customHeight="1">
      <c r="A158" s="506"/>
      <c r="B158" s="509"/>
      <c r="C158" s="108" t="s">
        <v>612</v>
      </c>
      <c r="D158" s="108" t="s">
        <v>614</v>
      </c>
      <c r="E158" s="137">
        <v>1</v>
      </c>
      <c r="F158" s="138">
        <f t="shared" si="3"/>
        <v>2</v>
      </c>
      <c r="G158" s="335"/>
      <c r="H158" s="168"/>
    </row>
    <row r="159" spans="1:8" ht="15" customHeight="1">
      <c r="A159" s="506"/>
      <c r="B159" s="509"/>
      <c r="C159" s="108" t="s">
        <v>615</v>
      </c>
      <c r="D159" s="108" t="s">
        <v>613</v>
      </c>
      <c r="E159" s="137">
        <v>1</v>
      </c>
      <c r="F159" s="138">
        <f t="shared" si="3"/>
        <v>2</v>
      </c>
      <c r="G159" s="335"/>
      <c r="H159" s="168"/>
    </row>
    <row r="160" spans="1:8" ht="15" customHeight="1">
      <c r="A160" s="506"/>
      <c r="B160" s="509"/>
      <c r="C160" s="108" t="s">
        <v>615</v>
      </c>
      <c r="D160" s="108" t="s">
        <v>614</v>
      </c>
      <c r="E160" s="137">
        <v>1</v>
      </c>
      <c r="F160" s="138">
        <f t="shared" si="3"/>
        <v>2</v>
      </c>
      <c r="G160" s="335"/>
      <c r="H160" s="168"/>
    </row>
    <row r="161" spans="1:8" ht="15" customHeight="1">
      <c r="A161" s="506"/>
      <c r="B161" s="509"/>
      <c r="C161" s="108" t="s">
        <v>616</v>
      </c>
      <c r="D161" s="108" t="s">
        <v>617</v>
      </c>
      <c r="E161" s="137">
        <v>1</v>
      </c>
      <c r="F161" s="138">
        <f t="shared" si="3"/>
        <v>2</v>
      </c>
      <c r="G161" s="335"/>
      <c r="H161" s="168"/>
    </row>
    <row r="162" spans="1:8" ht="15" customHeight="1">
      <c r="A162" s="506"/>
      <c r="B162" s="509"/>
      <c r="C162" s="108" t="s">
        <v>616</v>
      </c>
      <c r="D162" s="108" t="s">
        <v>618</v>
      </c>
      <c r="E162" s="137">
        <v>1</v>
      </c>
      <c r="F162" s="138">
        <f t="shared" si="3"/>
        <v>2</v>
      </c>
      <c r="G162" s="335"/>
      <c r="H162" s="168"/>
    </row>
    <row r="163" spans="1:8" ht="15" customHeight="1">
      <c r="A163" s="506"/>
      <c r="B163" s="509"/>
      <c r="C163" s="108" t="s">
        <v>619</v>
      </c>
      <c r="D163" s="108" t="s">
        <v>617</v>
      </c>
      <c r="E163" s="137">
        <v>1</v>
      </c>
      <c r="F163" s="138">
        <f t="shared" si="3"/>
        <v>2</v>
      </c>
      <c r="G163" s="335"/>
      <c r="H163" s="168"/>
    </row>
    <row r="164" spans="1:8" ht="15" customHeight="1">
      <c r="A164" s="506"/>
      <c r="B164" s="509"/>
      <c r="C164" s="108" t="s">
        <v>619</v>
      </c>
      <c r="D164" s="108" t="s">
        <v>618</v>
      </c>
      <c r="E164" s="137">
        <v>1</v>
      </c>
      <c r="F164" s="138">
        <f t="shared" si="3"/>
        <v>2</v>
      </c>
      <c r="G164" s="335"/>
      <c r="H164" s="168"/>
    </row>
    <row r="165" spans="1:8" ht="15" customHeight="1">
      <c r="A165" s="506"/>
      <c r="B165" s="509"/>
      <c r="C165" s="108" t="s">
        <v>626</v>
      </c>
      <c r="D165" s="108" t="s">
        <v>627</v>
      </c>
      <c r="E165" s="137">
        <v>1</v>
      </c>
      <c r="F165" s="138">
        <f t="shared" si="3"/>
        <v>2</v>
      </c>
      <c r="G165" s="335"/>
      <c r="H165" s="168"/>
    </row>
    <row r="166" spans="1:8" ht="15" customHeight="1">
      <c r="A166" s="506"/>
      <c r="B166" s="509"/>
      <c r="C166" s="108" t="s">
        <v>626</v>
      </c>
      <c r="D166" s="108" t="s">
        <v>628</v>
      </c>
      <c r="E166" s="137">
        <v>1</v>
      </c>
      <c r="F166" s="138">
        <f t="shared" si="3"/>
        <v>2</v>
      </c>
      <c r="G166" s="335"/>
      <c r="H166" s="168"/>
    </row>
    <row r="167" spans="1:8" ht="15" customHeight="1">
      <c r="A167" s="506"/>
      <c r="B167" s="509"/>
      <c r="C167" s="108" t="s">
        <v>629</v>
      </c>
      <c r="D167" s="108" t="s">
        <v>627</v>
      </c>
      <c r="E167" s="137">
        <v>1</v>
      </c>
      <c r="F167" s="138">
        <f t="shared" si="3"/>
        <v>2</v>
      </c>
      <c r="G167" s="335"/>
      <c r="H167" s="168"/>
    </row>
    <row r="168" spans="1:8" ht="15" customHeight="1">
      <c r="A168" s="506"/>
      <c r="B168" s="509"/>
      <c r="C168" s="108" t="s">
        <v>629</v>
      </c>
      <c r="D168" s="108" t="s">
        <v>628</v>
      </c>
      <c r="E168" s="137">
        <v>1</v>
      </c>
      <c r="F168" s="138">
        <f t="shared" si="3"/>
        <v>2</v>
      </c>
      <c r="G168" s="335"/>
      <c r="H168" s="168"/>
    </row>
    <row r="169" spans="1:8" ht="15" customHeight="1">
      <c r="A169" s="506"/>
      <c r="B169" s="509"/>
      <c r="C169" s="108" t="s">
        <v>631</v>
      </c>
      <c r="D169" s="108" t="s">
        <v>627</v>
      </c>
      <c r="E169" s="137">
        <v>1</v>
      </c>
      <c r="F169" s="138">
        <f t="shared" si="3"/>
        <v>2</v>
      </c>
      <c r="G169" s="335"/>
      <c r="H169" s="168"/>
    </row>
    <row r="170" spans="1:8" ht="15" customHeight="1">
      <c r="A170" s="506"/>
      <c r="B170" s="509"/>
      <c r="C170" s="108" t="s">
        <v>631</v>
      </c>
      <c r="D170" s="108" t="s">
        <v>628</v>
      </c>
      <c r="E170" s="137">
        <v>1</v>
      </c>
      <c r="F170" s="138">
        <f t="shared" si="3"/>
        <v>2</v>
      </c>
      <c r="G170" s="335"/>
      <c r="H170" s="168"/>
    </row>
    <row r="171" spans="1:8" ht="15" customHeight="1" thickBot="1">
      <c r="A171" s="507"/>
      <c r="B171" s="510"/>
      <c r="C171" s="108" t="s">
        <v>438</v>
      </c>
      <c r="D171" s="108" t="s">
        <v>440</v>
      </c>
      <c r="E171" s="137">
        <v>1</v>
      </c>
      <c r="F171" s="138">
        <f t="shared" si="3"/>
        <v>2</v>
      </c>
      <c r="G171" s="357"/>
      <c r="H171" s="169"/>
    </row>
    <row r="172" spans="1:8" ht="15" customHeight="1">
      <c r="F172" s="134" t="s">
        <v>770</v>
      </c>
    </row>
    <row r="173" spans="1:8" ht="15" customHeight="1">
      <c r="F173" s="90">
        <f>SUM(E146:E170)</f>
        <v>27</v>
      </c>
    </row>
    <row r="174" spans="1:8" ht="15" customHeight="1">
      <c r="F174" s="86" t="s">
        <v>773</v>
      </c>
    </row>
    <row r="175" spans="1:8" ht="15" customHeight="1">
      <c r="F175" s="90">
        <v>2</v>
      </c>
    </row>
  </sheetData>
  <mergeCells count="10">
    <mergeCell ref="B3:B49"/>
    <mergeCell ref="A3:A49"/>
    <mergeCell ref="A1:F1"/>
    <mergeCell ref="G1:H1"/>
    <mergeCell ref="A94:A139"/>
    <mergeCell ref="B94:B139"/>
    <mergeCell ref="A146:A171"/>
    <mergeCell ref="B146:B171"/>
    <mergeCell ref="A56:A87"/>
    <mergeCell ref="B56:B87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7">
    <tabColor rgb="FF92D050"/>
    <outlinePr summaryBelow="0" summaryRight="0"/>
  </sheetPr>
  <dimension ref="A1:H225"/>
  <sheetViews>
    <sheetView topLeftCell="A142" zoomScale="85" zoomScaleNormal="85" workbookViewId="0">
      <selection activeCell="E176" sqref="E176:F182"/>
    </sheetView>
  </sheetViews>
  <sheetFormatPr defaultColWidth="12.5703125" defaultRowHeight="15.75" customHeight="1"/>
  <cols>
    <col min="1" max="1" width="17.7109375" style="65" bestFit="1" customWidth="1"/>
    <col min="2" max="2" width="23.28515625" style="65" customWidth="1"/>
    <col min="3" max="3" width="52" style="65" customWidth="1"/>
    <col min="4" max="4" width="19.85546875" style="65" bestFit="1" customWidth="1"/>
    <col min="5" max="5" width="24.42578125" style="124" bestFit="1" customWidth="1"/>
    <col min="6" max="6" width="21.85546875" style="124" bestFit="1" customWidth="1"/>
    <col min="7" max="7" width="20" style="65" customWidth="1"/>
    <col min="8" max="8" width="27.7109375" style="65" customWidth="1"/>
    <col min="9" max="16384" width="12.5703125" style="65"/>
  </cols>
  <sheetData>
    <row r="1" spans="1:8" ht="12.75"/>
    <row r="2" spans="1:8" ht="15.75" customHeight="1" thickBot="1">
      <c r="A2" s="528" t="s">
        <v>827</v>
      </c>
      <c r="B2" s="529"/>
      <c r="C2" s="529"/>
      <c r="D2" s="529"/>
      <c r="E2" s="529"/>
      <c r="F2" s="529"/>
      <c r="G2" s="529"/>
      <c r="H2" s="529"/>
    </row>
    <row r="3" spans="1:8" ht="15.75" customHeight="1">
      <c r="A3" s="72" t="s">
        <v>1135</v>
      </c>
      <c r="B3" s="72" t="s">
        <v>1127</v>
      </c>
      <c r="C3" s="13" t="s">
        <v>747</v>
      </c>
      <c r="D3" s="13" t="s">
        <v>106</v>
      </c>
      <c r="E3" s="13" t="s">
        <v>107</v>
      </c>
      <c r="F3" s="71" t="s">
        <v>769</v>
      </c>
      <c r="G3" s="330" t="s">
        <v>1707</v>
      </c>
      <c r="H3" s="331" t="s">
        <v>1166</v>
      </c>
    </row>
    <row r="4" spans="1:8" ht="12.75" customHeight="1">
      <c r="A4" s="514" t="s">
        <v>1149</v>
      </c>
      <c r="B4" s="522" t="s">
        <v>828</v>
      </c>
      <c r="C4" s="34" t="s">
        <v>145</v>
      </c>
      <c r="D4" s="5" t="s">
        <v>875</v>
      </c>
      <c r="E4" s="6">
        <v>2</v>
      </c>
      <c r="F4" s="50">
        <f t="shared" ref="F4:F35" si="0">SUM(E4*$F$74)</f>
        <v>4</v>
      </c>
      <c r="G4" s="333"/>
      <c r="H4" s="334"/>
    </row>
    <row r="5" spans="1:8" ht="12.75">
      <c r="A5" s="521"/>
      <c r="B5" s="523"/>
      <c r="C5" s="34" t="s">
        <v>145</v>
      </c>
      <c r="D5" s="5" t="s">
        <v>876</v>
      </c>
      <c r="E5" s="6">
        <v>2</v>
      </c>
      <c r="F5" s="50">
        <f t="shared" si="0"/>
        <v>4</v>
      </c>
      <c r="G5" s="335"/>
      <c r="H5" s="168"/>
    </row>
    <row r="6" spans="1:8" ht="12.75" customHeight="1">
      <c r="A6" s="521"/>
      <c r="B6" s="523"/>
      <c r="C6" s="35" t="s">
        <v>202</v>
      </c>
      <c r="D6" s="3" t="s">
        <v>113</v>
      </c>
      <c r="E6" s="8">
        <v>2</v>
      </c>
      <c r="F6" s="50">
        <f t="shared" si="0"/>
        <v>4</v>
      </c>
      <c r="G6" s="335"/>
      <c r="H6" s="168"/>
    </row>
    <row r="7" spans="1:8" ht="12.75">
      <c r="A7" s="521"/>
      <c r="B7" s="523"/>
      <c r="C7" s="34" t="s">
        <v>252</v>
      </c>
      <c r="D7" s="5" t="s">
        <v>251</v>
      </c>
      <c r="E7" s="6">
        <v>2</v>
      </c>
      <c r="F7" s="50">
        <f t="shared" si="0"/>
        <v>4</v>
      </c>
      <c r="G7" s="335"/>
      <c r="H7" s="168"/>
    </row>
    <row r="8" spans="1:8" ht="12.75">
      <c r="A8" s="521"/>
      <c r="B8" s="523"/>
      <c r="C8" s="35" t="s">
        <v>253</v>
      </c>
      <c r="D8" s="3" t="s">
        <v>118</v>
      </c>
      <c r="E8" s="8">
        <v>2</v>
      </c>
      <c r="F8" s="50">
        <f t="shared" si="0"/>
        <v>4</v>
      </c>
      <c r="G8" s="335"/>
      <c r="H8" s="168"/>
    </row>
    <row r="9" spans="1:8" ht="12.75">
      <c r="A9" s="521"/>
      <c r="B9" s="523"/>
      <c r="C9" s="34" t="s">
        <v>254</v>
      </c>
      <c r="D9" s="5" t="s">
        <v>242</v>
      </c>
      <c r="E9" s="6">
        <v>1</v>
      </c>
      <c r="F9" s="50">
        <f t="shared" si="0"/>
        <v>2</v>
      </c>
      <c r="G9" s="335"/>
      <c r="H9" s="168"/>
    </row>
    <row r="10" spans="1:8" ht="12.75">
      <c r="A10" s="521"/>
      <c r="B10" s="523"/>
      <c r="C10" s="34" t="s">
        <v>262</v>
      </c>
      <c r="D10" s="5" t="s">
        <v>111</v>
      </c>
      <c r="E10" s="6">
        <v>1</v>
      </c>
      <c r="F10" s="50">
        <f t="shared" si="0"/>
        <v>2</v>
      </c>
      <c r="G10" s="335"/>
      <c r="H10" s="168"/>
    </row>
    <row r="11" spans="1:8" ht="12.75">
      <c r="A11" s="521"/>
      <c r="B11" s="523"/>
      <c r="C11" s="34" t="s">
        <v>829</v>
      </c>
      <c r="D11" s="5" t="s">
        <v>293</v>
      </c>
      <c r="E11" s="6">
        <v>2</v>
      </c>
      <c r="F11" s="50">
        <f t="shared" si="0"/>
        <v>4</v>
      </c>
      <c r="G11" s="335"/>
      <c r="H11" s="168"/>
    </row>
    <row r="12" spans="1:8" ht="12.75">
      <c r="A12" s="521"/>
      <c r="B12" s="523"/>
      <c r="C12" s="36" t="s">
        <v>829</v>
      </c>
      <c r="D12" s="14" t="s">
        <v>830</v>
      </c>
      <c r="E12" s="310">
        <v>2</v>
      </c>
      <c r="F12" s="50">
        <f t="shared" si="0"/>
        <v>4</v>
      </c>
      <c r="G12" s="335"/>
      <c r="H12" s="168"/>
    </row>
    <row r="13" spans="1:8" ht="12.75" customHeight="1">
      <c r="A13" s="521"/>
      <c r="B13" s="523"/>
      <c r="C13" s="36" t="s">
        <v>437</v>
      </c>
      <c r="D13" s="14" t="s">
        <v>874</v>
      </c>
      <c r="E13" s="310">
        <v>2</v>
      </c>
      <c r="F13" s="50">
        <f t="shared" si="0"/>
        <v>4</v>
      </c>
      <c r="G13" s="335"/>
      <c r="H13" s="168"/>
    </row>
    <row r="14" spans="1:8" ht="12.75">
      <c r="A14" s="521"/>
      <c r="B14" s="523"/>
      <c r="C14" s="36" t="s">
        <v>526</v>
      </c>
      <c r="D14" s="14" t="s">
        <v>242</v>
      </c>
      <c r="E14" s="310">
        <v>4</v>
      </c>
      <c r="F14" s="50">
        <f t="shared" si="0"/>
        <v>8</v>
      </c>
      <c r="G14" s="335"/>
      <c r="H14" s="168"/>
    </row>
    <row r="15" spans="1:8" ht="12.75">
      <c r="A15" s="521"/>
      <c r="B15" s="523"/>
      <c r="C15" s="36" t="s">
        <v>528</v>
      </c>
      <c r="D15" s="14" t="s">
        <v>529</v>
      </c>
      <c r="E15" s="310">
        <v>4</v>
      </c>
      <c r="F15" s="50">
        <f t="shared" si="0"/>
        <v>8</v>
      </c>
      <c r="G15" s="335"/>
      <c r="H15" s="168"/>
    </row>
    <row r="16" spans="1:8" ht="12.75">
      <c r="A16" s="521"/>
      <c r="B16" s="523"/>
      <c r="C16" s="36" t="s">
        <v>528</v>
      </c>
      <c r="D16" s="14" t="s">
        <v>288</v>
      </c>
      <c r="E16" s="310">
        <v>1</v>
      </c>
      <c r="F16" s="50">
        <f t="shared" si="0"/>
        <v>2</v>
      </c>
      <c r="G16" s="335"/>
      <c r="H16" s="168"/>
    </row>
    <row r="17" spans="1:8" ht="12.75">
      <c r="A17" s="521"/>
      <c r="B17" s="523"/>
      <c r="C17" s="36" t="s">
        <v>528</v>
      </c>
      <c r="D17" s="14" t="s">
        <v>242</v>
      </c>
      <c r="E17" s="310">
        <v>4</v>
      </c>
      <c r="F17" s="50">
        <f t="shared" si="0"/>
        <v>8</v>
      </c>
      <c r="G17" s="335"/>
      <c r="H17" s="168"/>
    </row>
    <row r="18" spans="1:8" ht="12.75">
      <c r="A18" s="521"/>
      <c r="B18" s="523"/>
      <c r="C18" s="36" t="s">
        <v>532</v>
      </c>
      <c r="D18" s="14" t="s">
        <v>533</v>
      </c>
      <c r="E18" s="310">
        <v>30</v>
      </c>
      <c r="F18" s="50">
        <f t="shared" si="0"/>
        <v>60</v>
      </c>
      <c r="G18" s="335"/>
      <c r="H18" s="168"/>
    </row>
    <row r="19" spans="1:8" ht="12.75">
      <c r="A19" s="521"/>
      <c r="B19" s="523"/>
      <c r="C19" s="36" t="s">
        <v>778</v>
      </c>
      <c r="D19" s="14" t="s">
        <v>111</v>
      </c>
      <c r="E19" s="310">
        <v>1</v>
      </c>
      <c r="F19" s="50">
        <f t="shared" si="0"/>
        <v>2</v>
      </c>
      <c r="G19" s="335"/>
      <c r="H19" s="168"/>
    </row>
    <row r="20" spans="1:8" ht="12.75">
      <c r="A20" s="521"/>
      <c r="B20" s="523"/>
      <c r="C20" s="36" t="s">
        <v>569</v>
      </c>
      <c r="D20" s="14" t="s">
        <v>877</v>
      </c>
      <c r="E20" s="310">
        <v>1</v>
      </c>
      <c r="F20" s="50">
        <f t="shared" si="0"/>
        <v>2</v>
      </c>
      <c r="G20" s="335"/>
      <c r="H20" s="168"/>
    </row>
    <row r="21" spans="1:8" ht="12.75">
      <c r="A21" s="521"/>
      <c r="B21" s="523"/>
      <c r="C21" s="36" t="s">
        <v>571</v>
      </c>
      <c r="D21" s="14" t="s">
        <v>878</v>
      </c>
      <c r="E21" s="310">
        <v>1</v>
      </c>
      <c r="F21" s="50">
        <f t="shared" si="0"/>
        <v>2</v>
      </c>
      <c r="G21" s="335"/>
      <c r="H21" s="168"/>
    </row>
    <row r="22" spans="1:8" ht="12.75">
      <c r="A22" s="521"/>
      <c r="B22" s="523"/>
      <c r="C22" s="36" t="s">
        <v>571</v>
      </c>
      <c r="D22" s="14" t="s">
        <v>879</v>
      </c>
      <c r="E22" s="310">
        <v>1</v>
      </c>
      <c r="F22" s="50">
        <f t="shared" si="0"/>
        <v>2</v>
      </c>
      <c r="G22" s="335"/>
      <c r="H22" s="168"/>
    </row>
    <row r="23" spans="1:8" ht="12.75">
      <c r="A23" s="521"/>
      <c r="B23" s="523"/>
      <c r="C23" s="36" t="s">
        <v>571</v>
      </c>
      <c r="D23" s="14" t="s">
        <v>880</v>
      </c>
      <c r="E23" s="310">
        <v>1</v>
      </c>
      <c r="F23" s="50">
        <f t="shared" si="0"/>
        <v>2</v>
      </c>
      <c r="G23" s="335"/>
      <c r="H23" s="168"/>
    </row>
    <row r="24" spans="1:8" ht="12.75">
      <c r="A24" s="521"/>
      <c r="B24" s="523"/>
      <c r="C24" s="36" t="s">
        <v>572</v>
      </c>
      <c r="D24" s="14" t="s">
        <v>881</v>
      </c>
      <c r="E24" s="310">
        <v>1</v>
      </c>
      <c r="F24" s="50">
        <f t="shared" si="0"/>
        <v>2</v>
      </c>
      <c r="G24" s="335"/>
      <c r="H24" s="168"/>
    </row>
    <row r="25" spans="1:8" ht="12.75">
      <c r="A25" s="521"/>
      <c r="B25" s="523"/>
      <c r="C25" s="36" t="s">
        <v>573</v>
      </c>
      <c r="D25" s="14" t="s">
        <v>882</v>
      </c>
      <c r="E25" s="310">
        <v>1</v>
      </c>
      <c r="F25" s="50">
        <f t="shared" si="0"/>
        <v>2</v>
      </c>
      <c r="G25" s="335"/>
      <c r="H25" s="168"/>
    </row>
    <row r="26" spans="1:8" ht="12.75">
      <c r="A26" s="521"/>
      <c r="B26" s="523"/>
      <c r="C26" s="36" t="s">
        <v>574</v>
      </c>
      <c r="D26" s="14" t="s">
        <v>883</v>
      </c>
      <c r="E26" s="310">
        <v>1</v>
      </c>
      <c r="F26" s="50">
        <f t="shared" si="0"/>
        <v>2</v>
      </c>
      <c r="G26" s="335"/>
      <c r="H26" s="168"/>
    </row>
    <row r="27" spans="1:8" ht="12.75">
      <c r="A27" s="521"/>
      <c r="B27" s="523"/>
      <c r="C27" s="36" t="s">
        <v>579</v>
      </c>
      <c r="D27" s="14" t="s">
        <v>529</v>
      </c>
      <c r="E27" s="310">
        <v>2</v>
      </c>
      <c r="F27" s="50">
        <f t="shared" si="0"/>
        <v>4</v>
      </c>
      <c r="G27" s="335"/>
      <c r="H27" s="168"/>
    </row>
    <row r="28" spans="1:8" ht="12.75">
      <c r="A28" s="521"/>
      <c r="B28" s="523"/>
      <c r="C28" s="36" t="s">
        <v>582</v>
      </c>
      <c r="D28" s="14" t="s">
        <v>242</v>
      </c>
      <c r="E28" s="310">
        <v>4</v>
      </c>
      <c r="F28" s="50">
        <f t="shared" si="0"/>
        <v>8</v>
      </c>
      <c r="G28" s="335"/>
      <c r="H28" s="168"/>
    </row>
    <row r="29" spans="1:8" ht="12.75">
      <c r="A29" s="521"/>
      <c r="B29" s="523"/>
      <c r="C29" s="36" t="s">
        <v>582</v>
      </c>
      <c r="D29" s="14" t="s">
        <v>288</v>
      </c>
      <c r="E29" s="310">
        <v>2</v>
      </c>
      <c r="F29" s="50">
        <f t="shared" si="0"/>
        <v>4</v>
      </c>
      <c r="G29" s="335"/>
      <c r="H29" s="168"/>
    </row>
    <row r="30" spans="1:8" ht="12.75">
      <c r="A30" s="521"/>
      <c r="B30" s="523"/>
      <c r="C30" s="36" t="s">
        <v>584</v>
      </c>
      <c r="D30" s="14" t="s">
        <v>157</v>
      </c>
      <c r="E30" s="310">
        <v>1</v>
      </c>
      <c r="F30" s="50">
        <f t="shared" si="0"/>
        <v>2</v>
      </c>
      <c r="G30" s="335"/>
      <c r="H30" s="168"/>
    </row>
    <row r="31" spans="1:8" ht="12.75">
      <c r="A31" s="521"/>
      <c r="B31" s="523"/>
      <c r="C31" s="34" t="s">
        <v>584</v>
      </c>
      <c r="D31" s="5" t="s">
        <v>335</v>
      </c>
      <c r="E31" s="6">
        <v>1</v>
      </c>
      <c r="F31" s="50">
        <f t="shared" si="0"/>
        <v>2</v>
      </c>
      <c r="G31" s="335"/>
      <c r="H31" s="168"/>
    </row>
    <row r="32" spans="1:8" ht="12.75">
      <c r="A32" s="521"/>
      <c r="B32" s="523"/>
      <c r="C32" s="34" t="s">
        <v>598</v>
      </c>
      <c r="D32" s="5" t="s">
        <v>251</v>
      </c>
      <c r="E32" s="6">
        <v>40</v>
      </c>
      <c r="F32" s="50">
        <f t="shared" si="0"/>
        <v>80</v>
      </c>
      <c r="G32" s="335"/>
      <c r="H32" s="168"/>
    </row>
    <row r="33" spans="1:8" ht="12.75">
      <c r="A33" s="521"/>
      <c r="B33" s="523"/>
      <c r="C33" s="34" t="s">
        <v>599</v>
      </c>
      <c r="D33" s="5" t="s">
        <v>251</v>
      </c>
      <c r="E33" s="6">
        <v>10</v>
      </c>
      <c r="F33" s="50">
        <f t="shared" si="0"/>
        <v>20</v>
      </c>
      <c r="G33" s="335"/>
      <c r="H33" s="168"/>
    </row>
    <row r="34" spans="1:8" ht="12.75">
      <c r="A34" s="521"/>
      <c r="B34" s="523"/>
      <c r="C34" s="34" t="s">
        <v>607</v>
      </c>
      <c r="D34" s="5" t="s">
        <v>157</v>
      </c>
      <c r="E34" s="6">
        <v>4</v>
      </c>
      <c r="F34" s="50">
        <f t="shared" si="0"/>
        <v>8</v>
      </c>
      <c r="G34" s="335"/>
      <c r="H34" s="168"/>
    </row>
    <row r="35" spans="1:8" ht="12.75">
      <c r="A35" s="521"/>
      <c r="B35" s="523"/>
      <c r="C35" s="34" t="s">
        <v>610</v>
      </c>
      <c r="D35" s="5" t="s">
        <v>113</v>
      </c>
      <c r="E35" s="6">
        <v>4</v>
      </c>
      <c r="F35" s="50">
        <f t="shared" si="0"/>
        <v>8</v>
      </c>
      <c r="G35" s="335"/>
      <c r="H35" s="168"/>
    </row>
    <row r="36" spans="1:8" ht="12.75">
      <c r="A36" s="521"/>
      <c r="B36" s="523"/>
      <c r="C36" s="34" t="s">
        <v>610</v>
      </c>
      <c r="D36" s="5" t="s">
        <v>118</v>
      </c>
      <c r="E36" s="6">
        <v>4</v>
      </c>
      <c r="F36" s="50">
        <f t="shared" ref="F36:F67" si="1">SUM(E36*$F$74)</f>
        <v>8</v>
      </c>
      <c r="G36" s="335"/>
      <c r="H36" s="168"/>
    </row>
    <row r="37" spans="1:8" ht="12.75">
      <c r="A37" s="521"/>
      <c r="B37" s="523"/>
      <c r="C37" s="34" t="s">
        <v>610</v>
      </c>
      <c r="D37" s="5" t="s">
        <v>113</v>
      </c>
      <c r="E37" s="6">
        <v>4</v>
      </c>
      <c r="F37" s="50">
        <f t="shared" si="1"/>
        <v>8</v>
      </c>
      <c r="G37" s="335"/>
      <c r="H37" s="168"/>
    </row>
    <row r="38" spans="1:8" ht="12.75">
      <c r="A38" s="521"/>
      <c r="B38" s="523"/>
      <c r="C38" s="34" t="s">
        <v>620</v>
      </c>
      <c r="D38" s="5" t="s">
        <v>118</v>
      </c>
      <c r="E38" s="6">
        <v>8</v>
      </c>
      <c r="F38" s="50">
        <f t="shared" si="1"/>
        <v>16</v>
      </c>
      <c r="G38" s="335"/>
      <c r="H38" s="168"/>
    </row>
    <row r="39" spans="1:8" ht="12.75">
      <c r="A39" s="521"/>
      <c r="B39" s="523"/>
      <c r="C39" s="34" t="s">
        <v>624</v>
      </c>
      <c r="D39" s="5" t="s">
        <v>335</v>
      </c>
      <c r="E39" s="6">
        <v>1</v>
      </c>
      <c r="F39" s="50">
        <f t="shared" si="1"/>
        <v>2</v>
      </c>
      <c r="G39" s="335"/>
      <c r="H39" s="168"/>
    </row>
    <row r="40" spans="1:8" ht="12.75">
      <c r="A40" s="521"/>
      <c r="B40" s="523"/>
      <c r="C40" s="35" t="s">
        <v>651</v>
      </c>
      <c r="D40" s="3" t="s">
        <v>111</v>
      </c>
      <c r="E40" s="8">
        <v>1</v>
      </c>
      <c r="F40" s="50">
        <f t="shared" si="1"/>
        <v>2</v>
      </c>
      <c r="G40" s="335"/>
      <c r="H40" s="168"/>
    </row>
    <row r="41" spans="1:8" ht="12.75">
      <c r="A41" s="521"/>
      <c r="B41" s="523"/>
      <c r="C41" s="34" t="s">
        <v>654</v>
      </c>
      <c r="D41" s="5" t="s">
        <v>111</v>
      </c>
      <c r="E41" s="6">
        <v>3</v>
      </c>
      <c r="F41" s="50">
        <f t="shared" si="1"/>
        <v>6</v>
      </c>
      <c r="G41" s="335"/>
      <c r="H41" s="168"/>
    </row>
    <row r="42" spans="1:8" ht="12.75">
      <c r="A42" s="521"/>
      <c r="B42" s="523"/>
      <c r="C42" s="34" t="s">
        <v>661</v>
      </c>
      <c r="D42" s="5" t="s">
        <v>884</v>
      </c>
      <c r="E42" s="6">
        <v>1</v>
      </c>
      <c r="F42" s="50">
        <f t="shared" si="1"/>
        <v>2</v>
      </c>
      <c r="G42" s="335"/>
      <c r="H42" s="168"/>
    </row>
    <row r="43" spans="1:8" ht="12.75">
      <c r="A43" s="521"/>
      <c r="B43" s="523"/>
      <c r="C43" s="34" t="s">
        <v>661</v>
      </c>
      <c r="D43" s="5" t="s">
        <v>885</v>
      </c>
      <c r="E43" s="6">
        <v>1</v>
      </c>
      <c r="F43" s="50">
        <f t="shared" si="1"/>
        <v>2</v>
      </c>
      <c r="G43" s="335"/>
      <c r="H43" s="168"/>
    </row>
    <row r="44" spans="1:8" ht="12.75">
      <c r="A44" s="521"/>
      <c r="B44" s="523"/>
      <c r="C44" s="34" t="s">
        <v>661</v>
      </c>
      <c r="D44" s="5" t="s">
        <v>886</v>
      </c>
      <c r="E44" s="6">
        <v>1</v>
      </c>
      <c r="F44" s="50">
        <f t="shared" si="1"/>
        <v>2</v>
      </c>
      <c r="G44" s="335"/>
      <c r="H44" s="168"/>
    </row>
    <row r="45" spans="1:8" ht="12.75">
      <c r="A45" s="521"/>
      <c r="B45" s="523"/>
      <c r="C45" s="34" t="s">
        <v>71</v>
      </c>
      <c r="D45" s="5" t="s">
        <v>245</v>
      </c>
      <c r="E45" s="6">
        <v>1</v>
      </c>
      <c r="F45" s="50">
        <f t="shared" si="1"/>
        <v>2</v>
      </c>
      <c r="G45" s="335"/>
      <c r="H45" s="168"/>
    </row>
    <row r="46" spans="1:8" ht="12.75">
      <c r="A46" s="521"/>
      <c r="B46" s="523"/>
      <c r="C46" s="35" t="s">
        <v>667</v>
      </c>
      <c r="D46" s="5" t="s">
        <v>157</v>
      </c>
      <c r="E46" s="6">
        <v>2</v>
      </c>
      <c r="F46" s="50">
        <f t="shared" si="1"/>
        <v>4</v>
      </c>
      <c r="G46" s="335"/>
      <c r="H46" s="168"/>
    </row>
    <row r="47" spans="1:8" ht="12.75">
      <c r="A47" s="521"/>
      <c r="B47" s="523"/>
      <c r="C47" s="34" t="s">
        <v>668</v>
      </c>
      <c r="D47" s="5" t="s">
        <v>529</v>
      </c>
      <c r="E47" s="6">
        <v>1</v>
      </c>
      <c r="F47" s="50">
        <f t="shared" si="1"/>
        <v>2</v>
      </c>
      <c r="G47" s="335"/>
      <c r="H47" s="168"/>
    </row>
    <row r="48" spans="1:8" ht="12.75">
      <c r="A48" s="521"/>
      <c r="B48" s="523"/>
      <c r="C48" s="34" t="s">
        <v>669</v>
      </c>
      <c r="D48" s="5" t="s">
        <v>118</v>
      </c>
      <c r="E48" s="6">
        <v>1</v>
      </c>
      <c r="F48" s="50">
        <f t="shared" si="1"/>
        <v>2</v>
      </c>
      <c r="G48" s="335"/>
      <c r="H48" s="168"/>
    </row>
    <row r="49" spans="1:8" ht="12.75">
      <c r="A49" s="521"/>
      <c r="B49" s="523"/>
      <c r="C49" s="34" t="s">
        <v>680</v>
      </c>
      <c r="D49" s="5" t="s">
        <v>157</v>
      </c>
      <c r="E49" s="6">
        <v>2</v>
      </c>
      <c r="F49" s="50">
        <f t="shared" si="1"/>
        <v>4</v>
      </c>
      <c r="G49" s="335"/>
      <c r="H49" s="168"/>
    </row>
    <row r="50" spans="1:8" ht="12.75">
      <c r="A50" s="521"/>
      <c r="B50" s="523"/>
      <c r="C50" s="34" t="s">
        <v>831</v>
      </c>
      <c r="D50" s="5" t="s">
        <v>529</v>
      </c>
      <c r="E50" s="6">
        <v>2</v>
      </c>
      <c r="F50" s="50">
        <f t="shared" si="1"/>
        <v>4</v>
      </c>
      <c r="G50" s="335"/>
      <c r="H50" s="168"/>
    </row>
    <row r="51" spans="1:8" ht="12.75">
      <c r="A51" s="521"/>
      <c r="B51" s="523"/>
      <c r="C51" s="34" t="s">
        <v>685</v>
      </c>
      <c r="D51" s="5" t="s">
        <v>242</v>
      </c>
      <c r="E51" s="6">
        <v>4</v>
      </c>
      <c r="F51" s="50">
        <f t="shared" si="1"/>
        <v>8</v>
      </c>
      <c r="G51" s="335"/>
      <c r="H51" s="168"/>
    </row>
    <row r="52" spans="1:8" ht="12.75">
      <c r="A52" s="521"/>
      <c r="B52" s="523"/>
      <c r="C52" s="34" t="s">
        <v>687</v>
      </c>
      <c r="D52" s="5" t="s">
        <v>271</v>
      </c>
      <c r="E52" s="6">
        <v>2</v>
      </c>
      <c r="F52" s="50">
        <f t="shared" si="1"/>
        <v>4</v>
      </c>
      <c r="G52" s="335"/>
      <c r="H52" s="168"/>
    </row>
    <row r="53" spans="1:8" ht="12.75">
      <c r="A53" s="521"/>
      <c r="B53" s="523"/>
      <c r="C53" s="34" t="s">
        <v>687</v>
      </c>
      <c r="D53" s="5" t="s">
        <v>111</v>
      </c>
      <c r="E53" s="6">
        <v>2</v>
      </c>
      <c r="F53" s="50">
        <f t="shared" si="1"/>
        <v>4</v>
      </c>
      <c r="G53" s="335"/>
      <c r="H53" s="168"/>
    </row>
    <row r="54" spans="1:8" ht="12.75">
      <c r="A54" s="521"/>
      <c r="B54" s="523"/>
      <c r="C54" s="34" t="s">
        <v>687</v>
      </c>
      <c r="D54" s="5" t="s">
        <v>242</v>
      </c>
      <c r="E54" s="6">
        <v>2</v>
      </c>
      <c r="F54" s="50">
        <f t="shared" si="1"/>
        <v>4</v>
      </c>
      <c r="G54" s="335"/>
      <c r="H54" s="168"/>
    </row>
    <row r="55" spans="1:8" ht="12.75">
      <c r="A55" s="521"/>
      <c r="B55" s="523"/>
      <c r="C55" s="34" t="s">
        <v>687</v>
      </c>
      <c r="D55" s="5" t="s">
        <v>157</v>
      </c>
      <c r="E55" s="6">
        <v>2</v>
      </c>
      <c r="F55" s="50">
        <f t="shared" si="1"/>
        <v>4</v>
      </c>
      <c r="G55" s="335"/>
      <c r="H55" s="168"/>
    </row>
    <row r="56" spans="1:8" ht="12.75">
      <c r="A56" s="521"/>
      <c r="B56" s="523"/>
      <c r="C56" s="34" t="s">
        <v>687</v>
      </c>
      <c r="D56" s="5" t="s">
        <v>118</v>
      </c>
      <c r="E56" s="6">
        <v>2</v>
      </c>
      <c r="F56" s="50">
        <f t="shared" si="1"/>
        <v>4</v>
      </c>
      <c r="G56" s="335"/>
      <c r="H56" s="168"/>
    </row>
    <row r="57" spans="1:8" ht="12.75">
      <c r="A57" s="521"/>
      <c r="B57" s="523"/>
      <c r="C57" s="34" t="s">
        <v>687</v>
      </c>
      <c r="D57" s="5" t="s">
        <v>113</v>
      </c>
      <c r="E57" s="6">
        <v>1</v>
      </c>
      <c r="F57" s="50">
        <f t="shared" si="1"/>
        <v>2</v>
      </c>
      <c r="G57" s="335"/>
      <c r="H57" s="168"/>
    </row>
    <row r="58" spans="1:8" ht="12.75">
      <c r="A58" s="521"/>
      <c r="B58" s="523"/>
      <c r="C58" s="35" t="s">
        <v>710</v>
      </c>
      <c r="D58" s="3" t="s">
        <v>286</v>
      </c>
      <c r="E58" s="8">
        <v>1</v>
      </c>
      <c r="F58" s="50">
        <f t="shared" si="1"/>
        <v>2</v>
      </c>
      <c r="G58" s="335"/>
      <c r="H58" s="168"/>
    </row>
    <row r="59" spans="1:8" ht="12.75">
      <c r="A59" s="521"/>
      <c r="B59" s="523"/>
      <c r="C59" s="35" t="s">
        <v>712</v>
      </c>
      <c r="D59" s="3" t="s">
        <v>286</v>
      </c>
      <c r="E59" s="8">
        <v>1</v>
      </c>
      <c r="F59" s="50">
        <f t="shared" si="1"/>
        <v>2</v>
      </c>
      <c r="G59" s="335"/>
      <c r="H59" s="168"/>
    </row>
    <row r="60" spans="1:8" ht="12.75">
      <c r="A60" s="521"/>
      <c r="B60" s="523"/>
      <c r="C60" s="35" t="s">
        <v>714</v>
      </c>
      <c r="D60" s="5" t="s">
        <v>588</v>
      </c>
      <c r="E60" s="6">
        <v>1</v>
      </c>
      <c r="F60" s="50">
        <f t="shared" si="1"/>
        <v>2</v>
      </c>
      <c r="G60" s="335"/>
      <c r="H60" s="168"/>
    </row>
    <row r="61" spans="1:8" ht="12.75">
      <c r="A61" s="521"/>
      <c r="B61" s="523"/>
      <c r="C61" s="35" t="s">
        <v>715</v>
      </c>
      <c r="D61" s="5" t="s">
        <v>335</v>
      </c>
      <c r="E61" s="6">
        <v>1</v>
      </c>
      <c r="F61" s="50">
        <f t="shared" si="1"/>
        <v>2</v>
      </c>
      <c r="G61" s="335"/>
      <c r="H61" s="168"/>
    </row>
    <row r="62" spans="1:8" ht="12.75">
      <c r="A62" s="521"/>
      <c r="B62" s="523"/>
      <c r="C62" s="34" t="s">
        <v>832</v>
      </c>
      <c r="D62" s="5" t="s">
        <v>113</v>
      </c>
      <c r="E62" s="6">
        <v>1</v>
      </c>
      <c r="F62" s="50">
        <f t="shared" si="1"/>
        <v>2</v>
      </c>
      <c r="G62" s="335"/>
      <c r="H62" s="168"/>
    </row>
    <row r="63" spans="1:8" ht="12.75">
      <c r="A63" s="521"/>
      <c r="B63" s="523"/>
      <c r="C63" s="34" t="s">
        <v>832</v>
      </c>
      <c r="D63" s="5" t="s">
        <v>242</v>
      </c>
      <c r="E63" s="6">
        <v>1</v>
      </c>
      <c r="F63" s="50">
        <f t="shared" si="1"/>
        <v>2</v>
      </c>
      <c r="G63" s="335"/>
      <c r="H63" s="168"/>
    </row>
    <row r="64" spans="1:8" ht="12.75">
      <c r="A64" s="521"/>
      <c r="B64" s="523"/>
      <c r="C64" s="34" t="s">
        <v>832</v>
      </c>
      <c r="D64" s="5" t="s">
        <v>335</v>
      </c>
      <c r="E64" s="6">
        <v>2</v>
      </c>
      <c r="F64" s="50">
        <f t="shared" si="1"/>
        <v>4</v>
      </c>
      <c r="G64" s="335"/>
      <c r="H64" s="168"/>
    </row>
    <row r="65" spans="1:8" ht="12.75">
      <c r="A65" s="521"/>
      <c r="B65" s="523"/>
      <c r="C65" s="34" t="s">
        <v>832</v>
      </c>
      <c r="D65" s="5" t="s">
        <v>588</v>
      </c>
      <c r="E65" s="6">
        <v>1</v>
      </c>
      <c r="F65" s="50">
        <f t="shared" si="1"/>
        <v>2</v>
      </c>
      <c r="G65" s="335"/>
      <c r="H65" s="168"/>
    </row>
    <row r="66" spans="1:8" ht="12.75">
      <c r="A66" s="521"/>
      <c r="B66" s="523"/>
      <c r="C66" s="34" t="s">
        <v>833</v>
      </c>
      <c r="D66" s="5" t="s">
        <v>157</v>
      </c>
      <c r="E66" s="6">
        <v>3</v>
      </c>
      <c r="F66" s="50">
        <f t="shared" si="1"/>
        <v>6</v>
      </c>
      <c r="G66" s="335"/>
      <c r="H66" s="168"/>
    </row>
    <row r="67" spans="1:8" ht="12.75">
      <c r="A67" s="521"/>
      <c r="B67" s="523"/>
      <c r="C67" s="37" t="s">
        <v>719</v>
      </c>
      <c r="D67" s="3" t="s">
        <v>286</v>
      </c>
      <c r="E67" s="8">
        <v>1</v>
      </c>
      <c r="F67" s="50">
        <f t="shared" si="1"/>
        <v>2</v>
      </c>
      <c r="G67" s="335"/>
      <c r="H67" s="168"/>
    </row>
    <row r="68" spans="1:8" ht="12.75">
      <c r="A68" s="521"/>
      <c r="B68" s="523"/>
      <c r="C68" s="37" t="s">
        <v>720</v>
      </c>
      <c r="D68" s="3" t="s">
        <v>286</v>
      </c>
      <c r="E68" s="8">
        <v>1</v>
      </c>
      <c r="F68" s="50">
        <f t="shared" ref="F68:F99" si="2">SUM(E68*$F$74)</f>
        <v>2</v>
      </c>
      <c r="G68" s="335"/>
      <c r="H68" s="168"/>
    </row>
    <row r="69" spans="1:8" ht="12.75">
      <c r="A69" s="521"/>
      <c r="B69" s="523"/>
      <c r="C69" s="37" t="s">
        <v>721</v>
      </c>
      <c r="D69" s="3" t="s">
        <v>286</v>
      </c>
      <c r="E69" s="8">
        <v>1</v>
      </c>
      <c r="F69" s="50">
        <f t="shared" si="2"/>
        <v>2</v>
      </c>
      <c r="G69" s="335"/>
      <c r="H69" s="168"/>
    </row>
    <row r="70" spans="1:8" ht="13.5" thickBot="1">
      <c r="A70" s="490"/>
      <c r="B70" s="524"/>
      <c r="C70" s="35" t="s">
        <v>438</v>
      </c>
      <c r="D70" s="48" t="s">
        <v>444</v>
      </c>
      <c r="E70" s="56">
        <v>1</v>
      </c>
      <c r="F70" s="121">
        <f t="shared" si="2"/>
        <v>2</v>
      </c>
      <c r="G70" s="357"/>
      <c r="H70" s="169"/>
    </row>
    <row r="71" spans="1:8" ht="12.75">
      <c r="A71" s="123"/>
      <c r="B71" s="51"/>
      <c r="C71" s="1"/>
      <c r="D71" s="1"/>
      <c r="E71" s="10"/>
      <c r="F71" s="13" t="s">
        <v>770</v>
      </c>
    </row>
    <row r="72" spans="1:8" ht="12.75">
      <c r="A72" s="123"/>
      <c r="B72" s="51"/>
      <c r="C72" s="1"/>
      <c r="D72" s="1"/>
      <c r="E72" s="10"/>
      <c r="F72" s="6">
        <f>SUM(E4:E69)</f>
        <v>200</v>
      </c>
    </row>
    <row r="73" spans="1:8" ht="12.75">
      <c r="A73" s="123"/>
      <c r="B73" s="51"/>
      <c r="C73" s="1"/>
      <c r="D73" s="1"/>
      <c r="E73" s="10"/>
      <c r="F73" s="12" t="s">
        <v>773</v>
      </c>
    </row>
    <row r="74" spans="1:8" ht="12.75">
      <c r="A74" s="123"/>
      <c r="B74" s="51"/>
      <c r="C74" s="1"/>
      <c r="D74" s="1"/>
      <c r="E74" s="10"/>
      <c r="F74" s="7">
        <v>2</v>
      </c>
    </row>
    <row r="75" spans="1:8" ht="12.75">
      <c r="A75" s="123"/>
      <c r="B75" s="51"/>
      <c r="C75" s="1"/>
      <c r="D75" s="1"/>
      <c r="E75" s="10"/>
      <c r="F75" s="10"/>
    </row>
    <row r="76" spans="1:8" ht="13.5" thickBot="1">
      <c r="A76" s="123"/>
      <c r="B76" s="51"/>
      <c r="C76" s="1"/>
      <c r="D76" s="1"/>
      <c r="E76" s="10"/>
      <c r="F76" s="10"/>
    </row>
    <row r="77" spans="1:8" ht="15.75" customHeight="1" thickBot="1">
      <c r="A77" s="13" t="s">
        <v>1135</v>
      </c>
      <c r="B77" s="13" t="s">
        <v>1127</v>
      </c>
      <c r="C77" s="13" t="s">
        <v>747</v>
      </c>
      <c r="D77" s="13" t="s">
        <v>106</v>
      </c>
      <c r="E77" s="13"/>
      <c r="F77" s="13" t="s">
        <v>107</v>
      </c>
      <c r="G77" s="383" t="s">
        <v>1707</v>
      </c>
      <c r="H77" s="384" t="s">
        <v>1166</v>
      </c>
    </row>
    <row r="78" spans="1:8" ht="15.75" customHeight="1">
      <c r="A78" s="478" t="s">
        <v>1151</v>
      </c>
      <c r="B78" s="481" t="s">
        <v>12</v>
      </c>
      <c r="C78" s="5" t="s">
        <v>258</v>
      </c>
      <c r="D78" s="5" t="s">
        <v>381</v>
      </c>
      <c r="E78" s="6"/>
      <c r="F78" s="50">
        <v>1</v>
      </c>
      <c r="G78" s="385"/>
      <c r="H78" s="167"/>
    </row>
    <row r="79" spans="1:8" ht="15.75" customHeight="1">
      <c r="A79" s="479"/>
      <c r="B79" s="482"/>
      <c r="C79" s="5" t="s">
        <v>258</v>
      </c>
      <c r="D79" s="5" t="s">
        <v>887</v>
      </c>
      <c r="E79" s="6"/>
      <c r="F79" s="50">
        <v>1</v>
      </c>
      <c r="G79" s="335"/>
      <c r="H79" s="168"/>
    </row>
    <row r="80" spans="1:8" ht="15.75" customHeight="1">
      <c r="A80" s="479"/>
      <c r="B80" s="482"/>
      <c r="C80" s="5" t="s">
        <v>258</v>
      </c>
      <c r="D80" s="5" t="s">
        <v>384</v>
      </c>
      <c r="E80" s="6"/>
      <c r="F80" s="50">
        <v>1</v>
      </c>
      <c r="G80" s="335"/>
      <c r="H80" s="168"/>
    </row>
    <row r="81" spans="1:8" ht="15.75" customHeight="1">
      <c r="A81" s="479"/>
      <c r="B81" s="482"/>
      <c r="C81" s="5" t="s">
        <v>258</v>
      </c>
      <c r="D81" s="5" t="s">
        <v>888</v>
      </c>
      <c r="E81" s="6"/>
      <c r="F81" s="50">
        <v>1</v>
      </c>
      <c r="G81" s="335"/>
      <c r="H81" s="168"/>
    </row>
    <row r="82" spans="1:8" ht="15.75" customHeight="1">
      <c r="A82" s="479"/>
      <c r="B82" s="482"/>
      <c r="C82" s="5" t="s">
        <v>258</v>
      </c>
      <c r="D82" s="5" t="s">
        <v>387</v>
      </c>
      <c r="E82" s="6"/>
      <c r="F82" s="50">
        <v>1</v>
      </c>
      <c r="G82" s="127"/>
      <c r="H82" s="351"/>
    </row>
    <row r="83" spans="1:8" ht="15.75" customHeight="1">
      <c r="A83" s="479"/>
      <c r="B83" s="482"/>
      <c r="C83" s="5" t="s">
        <v>269</v>
      </c>
      <c r="D83" s="5" t="s">
        <v>381</v>
      </c>
      <c r="E83" s="6"/>
      <c r="F83" s="50">
        <v>1</v>
      </c>
      <c r="G83" s="127"/>
      <c r="H83" s="351"/>
    </row>
    <row r="84" spans="1:8" ht="15.75" customHeight="1">
      <c r="A84" s="479"/>
      <c r="B84" s="482"/>
      <c r="C84" s="5" t="s">
        <v>269</v>
      </c>
      <c r="D84" s="5" t="s">
        <v>887</v>
      </c>
      <c r="E84" s="6"/>
      <c r="F84" s="50">
        <v>1</v>
      </c>
      <c r="G84" s="127"/>
      <c r="H84" s="351"/>
    </row>
    <row r="85" spans="1:8" ht="15.75" customHeight="1">
      <c r="A85" s="479"/>
      <c r="B85" s="482"/>
      <c r="C85" s="5" t="s">
        <v>269</v>
      </c>
      <c r="D85" s="5" t="s">
        <v>384</v>
      </c>
      <c r="E85" s="6"/>
      <c r="F85" s="50">
        <v>1</v>
      </c>
      <c r="G85" s="127"/>
      <c r="H85" s="351"/>
    </row>
    <row r="86" spans="1:8" ht="15.75" customHeight="1">
      <c r="A86" s="479"/>
      <c r="B86" s="482"/>
      <c r="C86" s="5" t="s">
        <v>269</v>
      </c>
      <c r="D86" s="5" t="s">
        <v>387</v>
      </c>
      <c r="E86" s="6"/>
      <c r="F86" s="50">
        <v>1</v>
      </c>
      <c r="G86" s="127"/>
      <c r="H86" s="351"/>
    </row>
    <row r="87" spans="1:8" ht="15.75" customHeight="1">
      <c r="A87" s="479"/>
      <c r="B87" s="482"/>
      <c r="C87" s="5" t="s">
        <v>895</v>
      </c>
      <c r="D87" s="5" t="s">
        <v>893</v>
      </c>
      <c r="E87" s="6"/>
      <c r="F87" s="50">
        <v>1</v>
      </c>
      <c r="G87" s="127"/>
      <c r="H87" s="351"/>
    </row>
    <row r="88" spans="1:8" ht="15.75" customHeight="1">
      <c r="A88" s="479"/>
      <c r="B88" s="482"/>
      <c r="C88" s="5" t="s">
        <v>894</v>
      </c>
      <c r="D88" s="5" t="s">
        <v>906</v>
      </c>
      <c r="E88" s="6"/>
      <c r="F88" s="50">
        <v>1</v>
      </c>
      <c r="G88" s="127"/>
      <c r="H88" s="351"/>
    </row>
    <row r="89" spans="1:8" ht="15.75" customHeight="1">
      <c r="A89" s="479"/>
      <c r="B89" s="482"/>
      <c r="C89" s="5" t="s">
        <v>896</v>
      </c>
      <c r="D89" s="5" t="s">
        <v>905</v>
      </c>
      <c r="E89" s="6"/>
      <c r="F89" s="50">
        <v>1</v>
      </c>
      <c r="G89" s="127"/>
      <c r="H89" s="351"/>
    </row>
    <row r="90" spans="1:8" ht="15.75" customHeight="1">
      <c r="A90" s="479"/>
      <c r="B90" s="482"/>
      <c r="C90" s="5" t="s">
        <v>897</v>
      </c>
      <c r="D90" s="5" t="s">
        <v>904</v>
      </c>
      <c r="E90" s="6"/>
      <c r="F90" s="50">
        <v>1</v>
      </c>
      <c r="G90" s="127"/>
      <c r="H90" s="351"/>
    </row>
    <row r="91" spans="1:8" ht="15.75" customHeight="1">
      <c r="A91" s="479"/>
      <c r="B91" s="482"/>
      <c r="C91" s="5" t="s">
        <v>898</v>
      </c>
      <c r="D91" s="5" t="s">
        <v>903</v>
      </c>
      <c r="E91" s="6"/>
      <c r="F91" s="50">
        <v>1</v>
      </c>
      <c r="G91" s="127"/>
      <c r="H91" s="351"/>
    </row>
    <row r="92" spans="1:8" ht="15.75" customHeight="1">
      <c r="A92" s="479"/>
      <c r="B92" s="482"/>
      <c r="C92" s="5" t="s">
        <v>899</v>
      </c>
      <c r="D92" s="5" t="s">
        <v>902</v>
      </c>
      <c r="E92" s="6"/>
      <c r="F92" s="50">
        <v>2</v>
      </c>
      <c r="G92" s="127"/>
      <c r="H92" s="351"/>
    </row>
    <row r="93" spans="1:8" ht="15.75" customHeight="1">
      <c r="A93" s="479"/>
      <c r="B93" s="482"/>
      <c r="C93" s="5" t="s">
        <v>900</v>
      </c>
      <c r="D93" s="5" t="s">
        <v>901</v>
      </c>
      <c r="E93" s="6"/>
      <c r="F93" s="50">
        <v>2</v>
      </c>
      <c r="G93" s="127"/>
      <c r="H93" s="351"/>
    </row>
    <row r="94" spans="1:8" ht="15.75" customHeight="1">
      <c r="A94" s="479"/>
      <c r="B94" s="482"/>
      <c r="C94" s="5" t="s">
        <v>577</v>
      </c>
      <c r="D94" s="5" t="s">
        <v>578</v>
      </c>
      <c r="E94" s="6"/>
      <c r="F94" s="50">
        <v>1</v>
      </c>
      <c r="G94" s="127"/>
      <c r="H94" s="351"/>
    </row>
    <row r="95" spans="1:8" ht="15.75" customHeight="1">
      <c r="A95" s="479"/>
      <c r="B95" s="482"/>
      <c r="C95" s="5" t="s">
        <v>653</v>
      </c>
      <c r="D95" s="5" t="s">
        <v>889</v>
      </c>
      <c r="E95" s="6"/>
      <c r="F95" s="50">
        <v>5</v>
      </c>
      <c r="G95" s="127"/>
      <c r="H95" s="351"/>
    </row>
    <row r="96" spans="1:8" ht="15.75" customHeight="1">
      <c r="A96" s="479"/>
      <c r="B96" s="482"/>
      <c r="C96" s="5" t="s">
        <v>670</v>
      </c>
      <c r="D96" s="5" t="s">
        <v>890</v>
      </c>
      <c r="E96" s="6"/>
      <c r="F96" s="50">
        <v>1</v>
      </c>
      <c r="G96" s="127"/>
      <c r="H96" s="351"/>
    </row>
    <row r="97" spans="1:8" ht="15.75" customHeight="1">
      <c r="A97" s="479"/>
      <c r="B97" s="482"/>
      <c r="C97" s="5" t="s">
        <v>671</v>
      </c>
      <c r="D97" s="5" t="s">
        <v>891</v>
      </c>
      <c r="E97" s="6"/>
      <c r="F97" s="50">
        <v>2</v>
      </c>
      <c r="G97" s="127"/>
      <c r="H97" s="351"/>
    </row>
    <row r="98" spans="1:8" ht="15.75" customHeight="1">
      <c r="A98" s="479"/>
      <c r="B98" s="482"/>
      <c r="C98" s="5" t="s">
        <v>672</v>
      </c>
      <c r="D98" s="5" t="s">
        <v>765</v>
      </c>
      <c r="E98" s="6"/>
      <c r="F98" s="50">
        <v>1</v>
      </c>
      <c r="G98" s="127"/>
      <c r="H98" s="351"/>
    </row>
    <row r="99" spans="1:8" ht="15.75" customHeight="1">
      <c r="A99" s="479"/>
      <c r="B99" s="482"/>
      <c r="C99" s="5" t="s">
        <v>673</v>
      </c>
      <c r="D99" s="5" t="s">
        <v>762</v>
      </c>
      <c r="E99" s="6"/>
      <c r="F99" s="50">
        <v>1</v>
      </c>
      <c r="G99" s="127"/>
      <c r="H99" s="351"/>
    </row>
    <row r="100" spans="1:8" ht="15.75" customHeight="1">
      <c r="A100" s="479"/>
      <c r="B100" s="482"/>
      <c r="C100" s="5" t="s">
        <v>674</v>
      </c>
      <c r="D100" s="5" t="s">
        <v>892</v>
      </c>
      <c r="E100" s="6"/>
      <c r="F100" s="50">
        <v>2</v>
      </c>
      <c r="G100" s="127"/>
      <c r="H100" s="351"/>
    </row>
    <row r="101" spans="1:8" ht="15.75" customHeight="1">
      <c r="A101" s="479"/>
      <c r="B101" s="482"/>
      <c r="C101" s="5" t="s">
        <v>675</v>
      </c>
      <c r="D101" s="5" t="s">
        <v>684</v>
      </c>
      <c r="E101" s="6"/>
      <c r="F101" s="50">
        <v>1</v>
      </c>
      <c r="G101" s="127"/>
      <c r="H101" s="351"/>
    </row>
    <row r="102" spans="1:8" ht="15.75" customHeight="1" thickBot="1">
      <c r="A102" s="480"/>
      <c r="B102" s="483"/>
      <c r="C102" s="3" t="s">
        <v>438</v>
      </c>
      <c r="D102" s="3" t="s">
        <v>445</v>
      </c>
      <c r="E102" s="8"/>
      <c r="F102" s="382">
        <v>1</v>
      </c>
      <c r="G102" s="128"/>
      <c r="H102" s="352"/>
    </row>
    <row r="103" spans="1:8" ht="12.75">
      <c r="B103" s="1"/>
    </row>
    <row r="104" spans="1:8" ht="12.75">
      <c r="B104" s="1"/>
    </row>
    <row r="105" spans="1:8" ht="12.75">
      <c r="B105" s="1"/>
    </row>
    <row r="106" spans="1:8" ht="12.75">
      <c r="B106" s="1"/>
    </row>
    <row r="107" spans="1:8" ht="13.5" thickBot="1">
      <c r="B107" s="519" t="s">
        <v>1428</v>
      </c>
      <c r="C107" s="520"/>
      <c r="D107" s="520"/>
      <c r="E107" s="520"/>
      <c r="F107" s="520"/>
      <c r="G107" s="520"/>
    </row>
    <row r="108" spans="1:8" ht="13.5" thickBot="1">
      <c r="B108" s="525" t="s">
        <v>1428</v>
      </c>
      <c r="C108" s="304" t="s">
        <v>1429</v>
      </c>
      <c r="D108" s="305" t="s">
        <v>107</v>
      </c>
      <c r="E108" s="311" t="s">
        <v>1705</v>
      </c>
      <c r="F108" s="383" t="s">
        <v>1707</v>
      </c>
      <c r="G108" s="384" t="s">
        <v>1166</v>
      </c>
    </row>
    <row r="109" spans="1:8" ht="12.75">
      <c r="B109" s="526"/>
      <c r="C109" s="241" t="s">
        <v>1430</v>
      </c>
      <c r="D109" s="272">
        <v>25</v>
      </c>
      <c r="E109" s="308"/>
      <c r="F109" s="385"/>
      <c r="G109" s="167"/>
    </row>
    <row r="110" spans="1:8" ht="15.75" customHeight="1">
      <c r="B110" s="526"/>
      <c r="C110" s="46" t="s">
        <v>1431</v>
      </c>
      <c r="D110" s="237">
        <v>4</v>
      </c>
      <c r="E110" s="309"/>
      <c r="F110" s="335"/>
      <c r="G110" s="168"/>
    </row>
    <row r="111" spans="1:8" ht="15.75" customHeight="1">
      <c r="B111" s="526"/>
      <c r="C111" s="46" t="s">
        <v>1433</v>
      </c>
      <c r="D111" s="237">
        <v>28</v>
      </c>
      <c r="E111" s="309"/>
      <c r="F111" s="335"/>
      <c r="G111" s="168"/>
    </row>
    <row r="112" spans="1:8" ht="15.75" customHeight="1">
      <c r="B112" s="526"/>
      <c r="C112" s="46" t="s">
        <v>1434</v>
      </c>
      <c r="D112" s="237">
        <v>6</v>
      </c>
      <c r="E112" s="309"/>
      <c r="F112" s="335"/>
      <c r="G112" s="168"/>
    </row>
    <row r="113" spans="2:7" ht="15.75" customHeight="1">
      <c r="B113" s="526"/>
      <c r="C113" s="46" t="s">
        <v>1435</v>
      </c>
      <c r="D113" s="237">
        <v>10</v>
      </c>
      <c r="E113" s="309"/>
      <c r="F113" s="127"/>
      <c r="G113" s="351"/>
    </row>
    <row r="114" spans="2:7" ht="15.75" customHeight="1">
      <c r="B114" s="526"/>
      <c r="C114" s="46" t="s">
        <v>1436</v>
      </c>
      <c r="D114" s="237">
        <v>4</v>
      </c>
      <c r="E114" s="309"/>
      <c r="F114" s="127"/>
      <c r="G114" s="351"/>
    </row>
    <row r="115" spans="2:7" ht="15.75" customHeight="1">
      <c r="B115" s="526"/>
      <c r="C115" s="46" t="s">
        <v>1437</v>
      </c>
      <c r="D115" s="237">
        <v>2</v>
      </c>
      <c r="E115" s="309"/>
      <c r="F115" s="127"/>
      <c r="G115" s="351"/>
    </row>
    <row r="116" spans="2:7" ht="15.75" customHeight="1">
      <c r="B116" s="526"/>
      <c r="C116" s="46" t="s">
        <v>1438</v>
      </c>
      <c r="D116" s="237">
        <v>1</v>
      </c>
      <c r="E116" s="309"/>
      <c r="F116" s="127"/>
      <c r="G116" s="351"/>
    </row>
    <row r="117" spans="2:7" ht="15.75" customHeight="1">
      <c r="B117" s="526"/>
      <c r="C117" s="46" t="s">
        <v>1439</v>
      </c>
      <c r="D117" s="237">
        <v>8</v>
      </c>
      <c r="E117" s="309"/>
      <c r="F117" s="127"/>
      <c r="G117" s="351"/>
    </row>
    <row r="118" spans="2:7" ht="15.75" customHeight="1">
      <c r="B118" s="526"/>
      <c r="C118" s="46" t="s">
        <v>1440</v>
      </c>
      <c r="D118" s="237">
        <v>2</v>
      </c>
      <c r="E118" s="309"/>
      <c r="F118" s="127"/>
      <c r="G118" s="351"/>
    </row>
    <row r="119" spans="2:7" ht="15.75" customHeight="1">
      <c r="B119" s="526"/>
      <c r="C119" s="46" t="s">
        <v>1441</v>
      </c>
      <c r="D119" s="237">
        <v>10</v>
      </c>
      <c r="E119" s="309"/>
      <c r="F119" s="127"/>
      <c r="G119" s="351"/>
    </row>
    <row r="120" spans="2:7" ht="15.75" customHeight="1">
      <c r="B120" s="526"/>
      <c r="C120" s="46" t="s">
        <v>1442</v>
      </c>
      <c r="D120" s="237">
        <v>2</v>
      </c>
      <c r="E120" s="309"/>
      <c r="F120" s="127"/>
      <c r="G120" s="351"/>
    </row>
    <row r="121" spans="2:7" ht="15.75" customHeight="1">
      <c r="B121" s="526"/>
      <c r="C121" s="46" t="s">
        <v>1443</v>
      </c>
      <c r="D121" s="237">
        <v>1</v>
      </c>
      <c r="E121" s="309"/>
      <c r="F121" s="127"/>
      <c r="G121" s="351"/>
    </row>
    <row r="122" spans="2:7" ht="15.75" customHeight="1">
      <c r="B122" s="526"/>
      <c r="C122" s="46" t="s">
        <v>1444</v>
      </c>
      <c r="D122" s="237">
        <v>4</v>
      </c>
      <c r="E122" s="309"/>
      <c r="F122" s="127"/>
      <c r="G122" s="351"/>
    </row>
    <row r="123" spans="2:7" ht="15.75" customHeight="1">
      <c r="B123" s="526"/>
      <c r="C123" s="46" t="s">
        <v>1445</v>
      </c>
      <c r="D123" s="237">
        <v>2</v>
      </c>
      <c r="E123" s="309"/>
      <c r="F123" s="127"/>
      <c r="G123" s="351"/>
    </row>
    <row r="124" spans="2:7" ht="15.75" customHeight="1">
      <c r="B124" s="526"/>
      <c r="C124" s="46" t="s">
        <v>1446</v>
      </c>
      <c r="D124" s="237">
        <v>2</v>
      </c>
      <c r="E124" s="309"/>
      <c r="F124" s="127"/>
      <c r="G124" s="351"/>
    </row>
    <row r="125" spans="2:7" ht="15.75" customHeight="1">
      <c r="B125" s="526"/>
      <c r="C125" s="46" t="s">
        <v>1447</v>
      </c>
      <c r="D125" s="237">
        <v>2</v>
      </c>
      <c r="E125" s="309"/>
      <c r="F125" s="127"/>
      <c r="G125" s="351"/>
    </row>
    <row r="126" spans="2:7" ht="15.75" customHeight="1">
      <c r="B126" s="526"/>
      <c r="C126" s="46" t="s">
        <v>1448</v>
      </c>
      <c r="D126" s="237">
        <v>1</v>
      </c>
      <c r="E126" s="309"/>
      <c r="F126" s="127"/>
      <c r="G126" s="351"/>
    </row>
    <row r="127" spans="2:7" ht="15.75" customHeight="1">
      <c r="B127" s="526"/>
      <c r="C127" s="46" t="s">
        <v>1449</v>
      </c>
      <c r="D127" s="237">
        <v>1</v>
      </c>
      <c r="E127" s="309"/>
      <c r="F127" s="127"/>
      <c r="G127" s="351"/>
    </row>
    <row r="128" spans="2:7" ht="15.75" customHeight="1">
      <c r="B128" s="526"/>
      <c r="C128" s="46" t="s">
        <v>1450</v>
      </c>
      <c r="D128" s="237">
        <v>6</v>
      </c>
      <c r="E128" s="309"/>
      <c r="F128" s="127"/>
      <c r="G128" s="351"/>
    </row>
    <row r="129" spans="2:7" ht="15.75" customHeight="1">
      <c r="B129" s="526"/>
      <c r="C129" s="46" t="s">
        <v>1451</v>
      </c>
      <c r="D129" s="237">
        <v>3</v>
      </c>
      <c r="E129" s="309"/>
      <c r="F129" s="127"/>
      <c r="G129" s="351"/>
    </row>
    <row r="130" spans="2:7" ht="15.75" customHeight="1">
      <c r="B130" s="526"/>
      <c r="C130" s="46" t="s">
        <v>1452</v>
      </c>
      <c r="D130" s="237">
        <v>2</v>
      </c>
      <c r="E130" s="309"/>
      <c r="F130" s="127"/>
      <c r="G130" s="351"/>
    </row>
    <row r="131" spans="2:7" ht="15.75" customHeight="1">
      <c r="B131" s="526"/>
      <c r="C131" s="46" t="s">
        <v>1453</v>
      </c>
      <c r="D131" s="237">
        <v>2</v>
      </c>
      <c r="E131" s="309"/>
      <c r="F131" s="127"/>
      <c r="G131" s="351"/>
    </row>
    <row r="132" spans="2:7" ht="15.75" customHeight="1">
      <c r="B132" s="526"/>
      <c r="C132" s="46" t="s">
        <v>1454</v>
      </c>
      <c r="D132" s="237">
        <v>2</v>
      </c>
      <c r="E132" s="309"/>
      <c r="F132" s="127"/>
      <c r="G132" s="351"/>
    </row>
    <row r="133" spans="2:7" ht="15.75" customHeight="1">
      <c r="B133" s="526"/>
      <c r="C133" s="46" t="s">
        <v>1455</v>
      </c>
      <c r="D133" s="237">
        <v>1</v>
      </c>
      <c r="E133" s="309"/>
      <c r="F133" s="127"/>
      <c r="G133" s="351"/>
    </row>
    <row r="134" spans="2:7" ht="15.75" customHeight="1">
      <c r="B134" s="526"/>
      <c r="C134" s="46" t="s">
        <v>1456</v>
      </c>
      <c r="D134" s="237">
        <v>1</v>
      </c>
      <c r="E134" s="309"/>
      <c r="F134" s="127"/>
      <c r="G134" s="351"/>
    </row>
    <row r="135" spans="2:7" ht="15.75" customHeight="1">
      <c r="B135" s="526"/>
      <c r="C135" s="46" t="s">
        <v>1457</v>
      </c>
      <c r="D135" s="237">
        <v>2</v>
      </c>
      <c r="E135" s="309"/>
      <c r="F135" s="127"/>
      <c r="G135" s="351"/>
    </row>
    <row r="136" spans="2:7" ht="15.75" customHeight="1">
      <c r="B136" s="526"/>
      <c r="C136" s="73" t="s">
        <v>1458</v>
      </c>
      <c r="D136" s="237">
        <v>4</v>
      </c>
      <c r="E136" s="309"/>
      <c r="F136" s="127"/>
      <c r="G136" s="351"/>
    </row>
    <row r="137" spans="2:7" ht="15.75" customHeight="1">
      <c r="B137" s="526"/>
      <c r="C137" s="46" t="s">
        <v>1459</v>
      </c>
      <c r="D137" s="237">
        <v>2</v>
      </c>
      <c r="E137" s="309"/>
      <c r="F137" s="127"/>
      <c r="G137" s="351"/>
    </row>
    <row r="138" spans="2:7" ht="15.75" customHeight="1">
      <c r="B138" s="526"/>
      <c r="C138" s="46" t="s">
        <v>1460</v>
      </c>
      <c r="D138" s="237">
        <v>2</v>
      </c>
      <c r="E138" s="309"/>
      <c r="F138" s="127"/>
      <c r="G138" s="351"/>
    </row>
    <row r="139" spans="2:7" ht="15.75" customHeight="1">
      <c r="B139" s="526"/>
      <c r="C139" s="46" t="s">
        <v>1461</v>
      </c>
      <c r="D139" s="237">
        <v>1</v>
      </c>
      <c r="E139" s="309"/>
      <c r="F139" s="127"/>
      <c r="G139" s="351"/>
    </row>
    <row r="140" spans="2:7" ht="15.75" customHeight="1">
      <c r="B140" s="526"/>
      <c r="C140" s="46" t="s">
        <v>1462</v>
      </c>
      <c r="D140" s="237">
        <v>1</v>
      </c>
      <c r="E140" s="309"/>
      <c r="F140" s="127"/>
      <c r="G140" s="351"/>
    </row>
    <row r="141" spans="2:7" ht="15.75" customHeight="1">
      <c r="B141" s="526"/>
      <c r="C141" s="46" t="s">
        <v>1463</v>
      </c>
      <c r="D141" s="237">
        <v>1</v>
      </c>
      <c r="E141" s="309"/>
      <c r="F141" s="127"/>
      <c r="G141" s="351"/>
    </row>
    <row r="142" spans="2:7" ht="15.75" customHeight="1">
      <c r="B142" s="526"/>
      <c r="C142" s="46" t="s">
        <v>1464</v>
      </c>
      <c r="D142" s="237">
        <v>1</v>
      </c>
      <c r="E142" s="309"/>
      <c r="F142" s="127"/>
      <c r="G142" s="351"/>
    </row>
    <row r="143" spans="2:7" ht="15.75" customHeight="1">
      <c r="B143" s="526"/>
      <c r="C143" s="46" t="s">
        <v>1465</v>
      </c>
      <c r="D143" s="237">
        <v>1</v>
      </c>
      <c r="E143" s="309"/>
      <c r="F143" s="127"/>
      <c r="G143" s="351"/>
    </row>
    <row r="144" spans="2:7" ht="15.75" customHeight="1">
      <c r="B144" s="526"/>
      <c r="C144" s="46" t="s">
        <v>1466</v>
      </c>
      <c r="D144" s="237">
        <v>1</v>
      </c>
      <c r="E144" s="309"/>
      <c r="F144" s="127"/>
      <c r="G144" s="351"/>
    </row>
    <row r="145" spans="2:7" ht="15.75" customHeight="1">
      <c r="B145" s="526"/>
      <c r="C145" s="46" t="s">
        <v>1467</v>
      </c>
      <c r="D145" s="237">
        <v>1</v>
      </c>
      <c r="E145" s="309"/>
      <c r="F145" s="127"/>
      <c r="G145" s="351"/>
    </row>
    <row r="146" spans="2:7" ht="15.75" customHeight="1">
      <c r="B146" s="526"/>
      <c r="C146" s="46" t="s">
        <v>1468</v>
      </c>
      <c r="D146" s="237">
        <v>1</v>
      </c>
      <c r="E146" s="309"/>
      <c r="F146" s="127"/>
      <c r="G146" s="351"/>
    </row>
    <row r="147" spans="2:7" ht="15.75" customHeight="1">
      <c r="B147" s="526"/>
      <c r="C147" s="46" t="s">
        <v>1469</v>
      </c>
      <c r="D147" s="237">
        <v>1</v>
      </c>
      <c r="E147" s="309"/>
      <c r="F147" s="127"/>
      <c r="G147" s="351"/>
    </row>
    <row r="148" spans="2:7" ht="15.75" customHeight="1">
      <c r="B148" s="526"/>
      <c r="C148" s="46" t="s">
        <v>1470</v>
      </c>
      <c r="D148" s="237">
        <v>1</v>
      </c>
      <c r="E148" s="309"/>
      <c r="F148" s="127"/>
      <c r="G148" s="351"/>
    </row>
    <row r="149" spans="2:7" ht="15.75" customHeight="1">
      <c r="B149" s="526"/>
      <c r="C149" s="46" t="s">
        <v>1471</v>
      </c>
      <c r="D149" s="237">
        <v>1</v>
      </c>
      <c r="E149" s="309"/>
      <c r="F149" s="127"/>
      <c r="G149" s="351"/>
    </row>
    <row r="150" spans="2:7" ht="15.75" customHeight="1">
      <c r="B150" s="526"/>
      <c r="C150" s="46" t="s">
        <v>1472</v>
      </c>
      <c r="D150" s="237">
        <v>1</v>
      </c>
      <c r="E150" s="309"/>
      <c r="F150" s="127"/>
      <c r="G150" s="351"/>
    </row>
    <row r="151" spans="2:7" ht="15.75" customHeight="1">
      <c r="B151" s="526"/>
      <c r="C151" s="46" t="s">
        <v>1473</v>
      </c>
      <c r="D151" s="237">
        <v>2</v>
      </c>
      <c r="E151" s="309"/>
      <c r="F151" s="127"/>
      <c r="G151" s="351"/>
    </row>
    <row r="152" spans="2:7" ht="15.75" customHeight="1">
      <c r="B152" s="526"/>
      <c r="C152" s="46" t="s">
        <v>1474</v>
      </c>
      <c r="D152" s="237">
        <v>1</v>
      </c>
      <c r="E152" s="309"/>
      <c r="F152" s="127"/>
      <c r="G152" s="351"/>
    </row>
    <row r="153" spans="2:7" ht="15.75" customHeight="1">
      <c r="B153" s="526"/>
      <c r="C153" s="46" t="s">
        <v>1475</v>
      </c>
      <c r="D153" s="237">
        <v>3</v>
      </c>
      <c r="E153" s="309"/>
      <c r="F153" s="127"/>
      <c r="G153" s="351"/>
    </row>
    <row r="154" spans="2:7" ht="15.75" customHeight="1">
      <c r="B154" s="526"/>
      <c r="C154" s="46" t="s">
        <v>1476</v>
      </c>
      <c r="D154" s="237">
        <v>1</v>
      </c>
      <c r="E154" s="309"/>
      <c r="F154" s="127"/>
      <c r="G154" s="351"/>
    </row>
    <row r="155" spans="2:7" ht="15.75" customHeight="1">
      <c r="B155" s="526"/>
      <c r="C155" s="46" t="s">
        <v>1477</v>
      </c>
      <c r="D155" s="237">
        <v>2</v>
      </c>
      <c r="E155" s="309"/>
      <c r="F155" s="127"/>
      <c r="G155" s="351"/>
    </row>
    <row r="156" spans="2:7" ht="15.75" customHeight="1">
      <c r="B156" s="526"/>
      <c r="C156" s="46" t="s">
        <v>1478</v>
      </c>
      <c r="D156" s="237">
        <v>1</v>
      </c>
      <c r="E156" s="309"/>
      <c r="F156" s="127"/>
      <c r="G156" s="351"/>
    </row>
    <row r="157" spans="2:7" ht="15.75" customHeight="1">
      <c r="B157" s="526"/>
      <c r="C157" s="46" t="s">
        <v>1479</v>
      </c>
      <c r="D157" s="237">
        <v>1</v>
      </c>
      <c r="E157" s="309"/>
      <c r="F157" s="127"/>
      <c r="G157" s="351"/>
    </row>
    <row r="158" spans="2:7" ht="15.75" customHeight="1">
      <c r="B158" s="526"/>
      <c r="C158" s="46" t="s">
        <v>1480</v>
      </c>
      <c r="D158" s="237">
        <v>1</v>
      </c>
      <c r="E158" s="309"/>
      <c r="F158" s="127"/>
      <c r="G158" s="351"/>
    </row>
    <row r="159" spans="2:7" ht="15.75" customHeight="1">
      <c r="B159" s="526"/>
      <c r="C159" s="46" t="s">
        <v>1481</v>
      </c>
      <c r="D159" s="237">
        <v>1</v>
      </c>
      <c r="E159" s="309"/>
      <c r="F159" s="127"/>
      <c r="G159" s="351"/>
    </row>
    <row r="160" spans="2:7" ht="15.75" customHeight="1">
      <c r="B160" s="526"/>
      <c r="C160" s="46" t="s">
        <v>1482</v>
      </c>
      <c r="D160" s="237">
        <v>1</v>
      </c>
      <c r="E160" s="309"/>
      <c r="F160" s="127"/>
      <c r="G160" s="351"/>
    </row>
    <row r="161" spans="2:7" ht="15.75" customHeight="1">
      <c r="B161" s="526"/>
      <c r="C161" s="46" t="s">
        <v>1483</v>
      </c>
      <c r="D161" s="237">
        <v>1</v>
      </c>
      <c r="E161" s="309"/>
      <c r="F161" s="127"/>
      <c r="G161" s="351"/>
    </row>
    <row r="162" spans="2:7" ht="15.75" customHeight="1">
      <c r="B162" s="526"/>
      <c r="C162" s="46" t="s">
        <v>1484</v>
      </c>
      <c r="D162" s="237">
        <v>1</v>
      </c>
      <c r="E162" s="309"/>
      <c r="F162" s="127"/>
      <c r="G162" s="351"/>
    </row>
    <row r="163" spans="2:7" ht="15.75" customHeight="1">
      <c r="B163" s="526"/>
      <c r="C163" s="46" t="s">
        <v>1485</v>
      </c>
      <c r="D163" s="237">
        <v>1</v>
      </c>
      <c r="E163" s="309"/>
      <c r="F163" s="127"/>
      <c r="G163" s="351"/>
    </row>
    <row r="164" spans="2:7" ht="15.75" customHeight="1">
      <c r="B164" s="526"/>
      <c r="C164" s="46" t="s">
        <v>1486</v>
      </c>
      <c r="D164" s="237">
        <v>1</v>
      </c>
      <c r="E164" s="309"/>
      <c r="F164" s="127"/>
      <c r="G164" s="351"/>
    </row>
    <row r="165" spans="2:7" ht="15.75" customHeight="1">
      <c r="B165" s="526"/>
      <c r="C165" s="46" t="s">
        <v>1487</v>
      </c>
      <c r="D165" s="237">
        <v>1</v>
      </c>
      <c r="E165" s="309"/>
      <c r="F165" s="127"/>
      <c r="G165" s="351"/>
    </row>
    <row r="166" spans="2:7" ht="15.75" customHeight="1">
      <c r="B166" s="526"/>
      <c r="C166" s="46" t="s">
        <v>1488</v>
      </c>
      <c r="D166" s="237">
        <v>2</v>
      </c>
      <c r="E166" s="309"/>
      <c r="F166" s="127"/>
      <c r="G166" s="351"/>
    </row>
    <row r="167" spans="2:7" ht="15.75" customHeight="1">
      <c r="B167" s="526"/>
      <c r="C167" s="46" t="s">
        <v>1489</v>
      </c>
      <c r="D167" s="237">
        <v>1</v>
      </c>
      <c r="E167" s="309"/>
      <c r="F167" s="127"/>
      <c r="G167" s="351"/>
    </row>
    <row r="168" spans="2:7" ht="15.75" customHeight="1">
      <c r="B168" s="526"/>
      <c r="C168" s="46" t="s">
        <v>1490</v>
      </c>
      <c r="D168" s="237">
        <v>1</v>
      </c>
      <c r="E168" s="309"/>
      <c r="F168" s="127"/>
      <c r="G168" s="351"/>
    </row>
    <row r="169" spans="2:7" ht="15.75" customHeight="1" thickBot="1">
      <c r="B169" s="527"/>
      <c r="C169" s="46" t="s">
        <v>1491</v>
      </c>
      <c r="D169" s="386">
        <v>1</v>
      </c>
      <c r="E169" s="386"/>
      <c r="F169" s="132"/>
      <c r="G169" s="352"/>
    </row>
    <row r="170" spans="2:7" ht="15.75" customHeight="1">
      <c r="B170" s="43"/>
      <c r="C170"/>
      <c r="F170" s="387"/>
    </row>
    <row r="171" spans="2:7" ht="15.75" customHeight="1">
      <c r="B171" s="43"/>
      <c r="C171"/>
      <c r="D171" s="172" t="s">
        <v>770</v>
      </c>
      <c r="E171" s="43"/>
    </row>
    <row r="172" spans="2:7" ht="15.75" customHeight="1">
      <c r="B172" s="43"/>
      <c r="C172"/>
      <c r="D172" s="238">
        <f>SUM(D109:D169)</f>
        <v>178</v>
      </c>
      <c r="E172" s="43"/>
    </row>
    <row r="173" spans="2:7" ht="15.75" customHeight="1">
      <c r="B173" s="43"/>
      <c r="C173"/>
      <c r="D173" s="239" t="s">
        <v>1432</v>
      </c>
      <c r="E173" s="43"/>
    </row>
    <row r="174" spans="2:7" ht="15.75" customHeight="1">
      <c r="B174" s="43"/>
      <c r="C174"/>
      <c r="D174" s="238">
        <v>2</v>
      </c>
      <c r="E174" s="43"/>
    </row>
    <row r="175" spans="2:7" ht="15.75" customHeight="1" thickBot="1">
      <c r="B175"/>
      <c r="C175"/>
      <c r="D175"/>
      <c r="E175" s="43"/>
      <c r="F175" s="43"/>
    </row>
    <row r="176" spans="2:7" ht="15.75" customHeight="1">
      <c r="B176" s="517"/>
      <c r="C176" s="518"/>
      <c r="D176" s="389" t="s">
        <v>107</v>
      </c>
      <c r="E176" s="349" t="s">
        <v>1707</v>
      </c>
      <c r="F176" s="350" t="s">
        <v>1166</v>
      </c>
    </row>
    <row r="177" spans="2:6" ht="15.75" customHeight="1">
      <c r="B177" s="514" t="s">
        <v>1492</v>
      </c>
      <c r="C177" s="46" t="s">
        <v>1493</v>
      </c>
      <c r="D177" s="237">
        <v>1</v>
      </c>
      <c r="E177" s="390"/>
      <c r="F177" s="391"/>
    </row>
    <row r="178" spans="2:6" ht="15.75" customHeight="1">
      <c r="B178" s="515"/>
      <c r="C178" s="46" t="s">
        <v>1494</v>
      </c>
      <c r="D178" s="237">
        <v>1</v>
      </c>
      <c r="E178" s="390"/>
      <c r="F178" s="391"/>
    </row>
    <row r="179" spans="2:6" ht="15.75" customHeight="1">
      <c r="B179" s="515"/>
      <c r="C179" s="46" t="s">
        <v>1496</v>
      </c>
      <c r="D179" s="237">
        <v>2</v>
      </c>
      <c r="E179" s="390"/>
      <c r="F179" s="391"/>
    </row>
    <row r="180" spans="2:6" ht="15.75" customHeight="1">
      <c r="B180" s="515"/>
      <c r="C180" s="46" t="s">
        <v>1497</v>
      </c>
      <c r="D180" s="237">
        <v>1</v>
      </c>
      <c r="E180" s="390"/>
      <c r="F180" s="391"/>
    </row>
    <row r="181" spans="2:6" ht="15.75" customHeight="1">
      <c r="B181" s="515"/>
      <c r="C181" s="46" t="s">
        <v>1498</v>
      </c>
      <c r="D181" s="237">
        <v>2</v>
      </c>
      <c r="E181" s="390"/>
      <c r="F181" s="391"/>
    </row>
    <row r="182" spans="2:6" ht="15.75" customHeight="1">
      <c r="B182" s="515"/>
      <c r="C182" s="46" t="s">
        <v>1499</v>
      </c>
      <c r="D182" s="237">
        <v>1</v>
      </c>
      <c r="E182" s="390"/>
      <c r="F182" s="391"/>
    </row>
    <row r="183" spans="2:6" ht="15.75" customHeight="1">
      <c r="B183" s="515"/>
      <c r="C183" s="46" t="s">
        <v>1500</v>
      </c>
      <c r="D183" s="237">
        <v>1</v>
      </c>
      <c r="E183" s="390"/>
      <c r="F183" s="391"/>
    </row>
    <row r="184" spans="2:6" ht="15.75" customHeight="1">
      <c r="B184" s="515"/>
      <c r="C184" s="46" t="s">
        <v>1501</v>
      </c>
      <c r="D184" s="237">
        <v>1</v>
      </c>
      <c r="E184" s="390"/>
      <c r="F184" s="391"/>
    </row>
    <row r="185" spans="2:6" ht="15.75" customHeight="1">
      <c r="B185" s="515"/>
      <c r="C185" s="46" t="s">
        <v>1502</v>
      </c>
      <c r="D185" s="237">
        <v>2</v>
      </c>
      <c r="E185" s="390"/>
      <c r="F185" s="391"/>
    </row>
    <row r="186" spans="2:6" ht="15.75" customHeight="1">
      <c r="B186" s="515"/>
      <c r="C186" s="46" t="s">
        <v>1503</v>
      </c>
      <c r="D186" s="237">
        <v>1</v>
      </c>
      <c r="E186" s="390"/>
      <c r="F186" s="391"/>
    </row>
    <row r="187" spans="2:6" ht="15.75" customHeight="1">
      <c r="B187" s="515"/>
      <c r="C187" s="46" t="s">
        <v>1491</v>
      </c>
      <c r="D187" s="237">
        <v>1</v>
      </c>
      <c r="E187" s="390"/>
      <c r="F187" s="391"/>
    </row>
    <row r="188" spans="2:6" ht="15.75" customHeight="1">
      <c r="B188" s="515"/>
      <c r="C188" s="46" t="s">
        <v>1470</v>
      </c>
      <c r="D188" s="237">
        <v>1</v>
      </c>
      <c r="E188" s="390"/>
      <c r="F188" s="391"/>
    </row>
    <row r="189" spans="2:6" ht="15.75" customHeight="1">
      <c r="B189" s="515"/>
      <c r="C189" s="46" t="s">
        <v>1504</v>
      </c>
      <c r="D189" s="237">
        <v>1</v>
      </c>
      <c r="E189" s="390"/>
      <c r="F189" s="391"/>
    </row>
    <row r="190" spans="2:6" ht="15.75" customHeight="1">
      <c r="B190" s="515"/>
      <c r="C190" s="46" t="s">
        <v>1505</v>
      </c>
      <c r="D190" s="237">
        <v>1</v>
      </c>
      <c r="E190" s="390"/>
      <c r="F190" s="391"/>
    </row>
    <row r="191" spans="2:6" ht="15.75" customHeight="1">
      <c r="B191" s="515"/>
      <c r="C191" s="46" t="s">
        <v>1506</v>
      </c>
      <c r="D191" s="237">
        <v>1</v>
      </c>
      <c r="E191" s="390"/>
      <c r="F191" s="391"/>
    </row>
    <row r="192" spans="2:6" ht="15.75" customHeight="1">
      <c r="B192" s="515"/>
      <c r="C192" s="46" t="s">
        <v>1507</v>
      </c>
      <c r="D192" s="237">
        <v>1</v>
      </c>
      <c r="E192" s="390"/>
      <c r="F192" s="391"/>
    </row>
    <row r="193" spans="2:6" ht="15.75" customHeight="1">
      <c r="B193" s="515"/>
      <c r="C193" s="46" t="s">
        <v>1508</v>
      </c>
      <c r="D193" s="237">
        <v>1</v>
      </c>
      <c r="E193" s="390"/>
      <c r="F193" s="391"/>
    </row>
    <row r="194" spans="2:6" ht="15.75" customHeight="1">
      <c r="B194" s="515"/>
      <c r="C194" s="46" t="s">
        <v>1509</v>
      </c>
      <c r="D194" s="237">
        <v>2</v>
      </c>
      <c r="E194" s="390"/>
      <c r="F194" s="391"/>
    </row>
    <row r="195" spans="2:6" ht="15.75" customHeight="1" thickBot="1">
      <c r="B195" s="516"/>
      <c r="C195" s="46" t="s">
        <v>1449</v>
      </c>
      <c r="D195" s="237">
        <v>1</v>
      </c>
      <c r="E195" s="392"/>
      <c r="F195" s="393"/>
    </row>
    <row r="196" spans="2:6" ht="15.75" customHeight="1">
      <c r="B196" s="43"/>
      <c r="C196"/>
      <c r="D196" s="172" t="s">
        <v>1202</v>
      </c>
      <c r="E196" s="43"/>
      <c r="F196" s="388"/>
    </row>
    <row r="197" spans="2:6" ht="15.75" customHeight="1">
      <c r="B197" s="43"/>
      <c r="C197"/>
      <c r="D197" s="171">
        <f>SUM(D177:D195)</f>
        <v>23</v>
      </c>
      <c r="E197" s="43"/>
    </row>
    <row r="198" spans="2:6" ht="15.75" customHeight="1">
      <c r="B198" s="43"/>
      <c r="C198"/>
      <c r="D198" s="240" t="s">
        <v>1495</v>
      </c>
      <c r="E198" s="43"/>
    </row>
    <row r="199" spans="2:6" ht="15.75" customHeight="1">
      <c r="B199" s="43"/>
      <c r="C199"/>
      <c r="D199" s="171">
        <v>2</v>
      </c>
      <c r="E199" s="43"/>
    </row>
    <row r="200" spans="2:6" ht="15.75" customHeight="1" thickBot="1">
      <c r="B200"/>
      <c r="C200"/>
      <c r="D200"/>
      <c r="E200" s="43"/>
      <c r="F200" s="43"/>
    </row>
    <row r="201" spans="2:6" ht="15.75" customHeight="1">
      <c r="B201" s="518"/>
      <c r="C201" s="518"/>
      <c r="D201" s="389" t="s">
        <v>107</v>
      </c>
      <c r="E201" s="349" t="s">
        <v>1707</v>
      </c>
      <c r="F201" s="350" t="s">
        <v>1166</v>
      </c>
    </row>
    <row r="202" spans="2:6" ht="15.75" customHeight="1">
      <c r="B202" s="514" t="s">
        <v>1510</v>
      </c>
      <c r="C202" s="46" t="s">
        <v>1511</v>
      </c>
      <c r="D202" s="237">
        <v>2</v>
      </c>
      <c r="E202" s="390"/>
      <c r="F202" s="391"/>
    </row>
    <row r="203" spans="2:6" ht="15.75" customHeight="1">
      <c r="B203" s="515"/>
      <c r="C203" s="46" t="s">
        <v>1512</v>
      </c>
      <c r="D203" s="237">
        <v>3</v>
      </c>
      <c r="E203" s="390"/>
      <c r="F203" s="391"/>
    </row>
    <row r="204" spans="2:6" ht="15.75" customHeight="1">
      <c r="B204" s="515"/>
      <c r="C204" s="46" t="s">
        <v>1513</v>
      </c>
      <c r="D204" s="237">
        <v>1</v>
      </c>
      <c r="E204" s="390"/>
      <c r="F204" s="391"/>
    </row>
    <row r="205" spans="2:6" ht="15.75" customHeight="1">
      <c r="B205" s="515"/>
      <c r="C205" s="46" t="s">
        <v>1502</v>
      </c>
      <c r="D205" s="237">
        <v>2</v>
      </c>
      <c r="E205" s="390"/>
      <c r="F205" s="391"/>
    </row>
    <row r="206" spans="2:6" ht="15.75" customHeight="1">
      <c r="B206" s="515"/>
      <c r="C206" s="46" t="s">
        <v>1514</v>
      </c>
      <c r="D206" s="237">
        <v>2</v>
      </c>
      <c r="E206" s="390"/>
      <c r="F206" s="391"/>
    </row>
    <row r="207" spans="2:6" ht="15.75" customHeight="1">
      <c r="B207" s="515"/>
      <c r="C207" s="46" t="s">
        <v>1515</v>
      </c>
      <c r="D207" s="237">
        <v>1</v>
      </c>
      <c r="E207" s="390"/>
      <c r="F207" s="391"/>
    </row>
    <row r="208" spans="2:6" ht="15.75" customHeight="1">
      <c r="B208" s="515"/>
      <c r="C208" s="46" t="s">
        <v>1516</v>
      </c>
      <c r="D208" s="237">
        <v>1</v>
      </c>
      <c r="E208" s="390"/>
      <c r="F208" s="391"/>
    </row>
    <row r="209" spans="2:6" ht="15.75" customHeight="1">
      <c r="B209" s="515"/>
      <c r="C209" s="46" t="s">
        <v>1517</v>
      </c>
      <c r="D209" s="237">
        <v>1</v>
      </c>
      <c r="E209" s="390"/>
      <c r="F209" s="391"/>
    </row>
    <row r="210" spans="2:6" ht="15.75" customHeight="1">
      <c r="B210" s="515"/>
      <c r="C210" s="46" t="s">
        <v>1518</v>
      </c>
      <c r="D210" s="237">
        <v>1</v>
      </c>
      <c r="E210" s="390"/>
      <c r="F210" s="391"/>
    </row>
    <row r="211" spans="2:6" ht="15.75" customHeight="1">
      <c r="B211" s="515"/>
      <c r="C211" s="46" t="s">
        <v>1519</v>
      </c>
      <c r="D211" s="237">
        <v>1</v>
      </c>
      <c r="E211" s="390"/>
      <c r="F211" s="391"/>
    </row>
    <row r="212" spans="2:6" ht="15.75" customHeight="1">
      <c r="B212" s="515"/>
      <c r="C212" s="46" t="s">
        <v>1520</v>
      </c>
      <c r="D212" s="237">
        <v>1</v>
      </c>
      <c r="E212" s="390"/>
      <c r="F212" s="391"/>
    </row>
    <row r="213" spans="2:6" ht="15.75" customHeight="1">
      <c r="B213" s="515"/>
      <c r="C213" s="46" t="s">
        <v>1521</v>
      </c>
      <c r="D213" s="237">
        <v>1</v>
      </c>
      <c r="E213" s="390"/>
      <c r="F213" s="391"/>
    </row>
    <row r="214" spans="2:6" ht="15.75" customHeight="1">
      <c r="B214" s="515"/>
      <c r="C214" s="46" t="s">
        <v>1522</v>
      </c>
      <c r="D214" s="237">
        <v>1</v>
      </c>
      <c r="E214" s="390"/>
      <c r="F214" s="391"/>
    </row>
    <row r="215" spans="2:6" ht="15.75" customHeight="1">
      <c r="B215" s="515"/>
      <c r="C215" s="46" t="s">
        <v>1523</v>
      </c>
      <c r="D215" s="237">
        <v>1</v>
      </c>
      <c r="E215" s="390"/>
      <c r="F215" s="391"/>
    </row>
    <row r="216" spans="2:6" ht="15.75" customHeight="1">
      <c r="B216" s="515"/>
      <c r="C216" s="46" t="s">
        <v>1524</v>
      </c>
      <c r="D216" s="237">
        <v>1</v>
      </c>
      <c r="E216" s="390"/>
      <c r="F216" s="391"/>
    </row>
    <row r="217" spans="2:6" ht="15.75" customHeight="1">
      <c r="B217" s="515"/>
      <c r="C217" s="46" t="s">
        <v>1525</v>
      </c>
      <c r="D217" s="237">
        <v>1</v>
      </c>
      <c r="E217" s="390"/>
      <c r="F217" s="391"/>
    </row>
    <row r="218" spans="2:6" ht="15.75" customHeight="1">
      <c r="B218" s="515"/>
      <c r="C218" s="46" t="s">
        <v>1526</v>
      </c>
      <c r="D218" s="237">
        <v>1</v>
      </c>
      <c r="E218" s="390"/>
      <c r="F218" s="391"/>
    </row>
    <row r="219" spans="2:6" ht="15.75" customHeight="1">
      <c r="B219" s="515"/>
      <c r="C219" s="46" t="s">
        <v>1527</v>
      </c>
      <c r="D219" s="237">
        <v>4</v>
      </c>
      <c r="E219" s="390"/>
      <c r="F219" s="391"/>
    </row>
    <row r="220" spans="2:6" ht="15.75" customHeight="1">
      <c r="B220" s="515"/>
      <c r="C220" s="46" t="s">
        <v>1528</v>
      </c>
      <c r="D220" s="237">
        <v>1</v>
      </c>
      <c r="E220" s="390"/>
      <c r="F220" s="391"/>
    </row>
    <row r="221" spans="2:6" ht="15.75" customHeight="1" thickBot="1">
      <c r="B221" s="516"/>
      <c r="C221" s="46" t="s">
        <v>1529</v>
      </c>
      <c r="D221" s="237">
        <v>1</v>
      </c>
      <c r="E221" s="392"/>
      <c r="F221" s="393"/>
    </row>
    <row r="222" spans="2:6" ht="15.75" customHeight="1">
      <c r="D222" s="172" t="s">
        <v>1202</v>
      </c>
      <c r="E222" s="43"/>
      <c r="F222" s="388"/>
    </row>
    <row r="223" spans="2:6" ht="15.75" customHeight="1">
      <c r="D223" s="171">
        <f>SUM(D202:D221)</f>
        <v>28</v>
      </c>
      <c r="E223" s="43"/>
    </row>
    <row r="224" spans="2:6" ht="15.75" customHeight="1">
      <c r="D224" s="240" t="s">
        <v>1432</v>
      </c>
      <c r="E224" s="43"/>
    </row>
    <row r="225" spans="4:5" ht="15.75" customHeight="1">
      <c r="D225" s="171">
        <v>2</v>
      </c>
      <c r="E225" s="43"/>
    </row>
  </sheetData>
  <autoFilter ref="G3:G74" xr:uid="{00000000-0009-0000-0000-00000C000000}"/>
  <mergeCells count="11">
    <mergeCell ref="A2:H2"/>
    <mergeCell ref="B202:B221"/>
    <mergeCell ref="B176:C176"/>
    <mergeCell ref="A78:A102"/>
    <mergeCell ref="B107:G107"/>
    <mergeCell ref="A4:A70"/>
    <mergeCell ref="B4:B70"/>
    <mergeCell ref="B201:C201"/>
    <mergeCell ref="B108:B169"/>
    <mergeCell ref="B177:B195"/>
    <mergeCell ref="B78:B102"/>
  </mergeCells>
  <phoneticPr fontId="12" type="noConversion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8">
    <tabColor rgb="FF00FF00"/>
    <outlinePr summaryBelow="0" summaryRight="0"/>
  </sheetPr>
  <dimension ref="A1:H129"/>
  <sheetViews>
    <sheetView topLeftCell="A59" zoomScale="85" zoomScaleNormal="85" workbookViewId="0">
      <selection activeCell="G65" sqref="G65:H71"/>
    </sheetView>
  </sheetViews>
  <sheetFormatPr defaultColWidth="12.5703125" defaultRowHeight="15.75" customHeight="1"/>
  <cols>
    <col min="1" max="1" width="11.140625" customWidth="1"/>
    <col min="2" max="2" width="17.42578125" customWidth="1"/>
    <col min="3" max="3" width="43.7109375" bestFit="1" customWidth="1"/>
    <col min="4" max="4" width="16.85546875" customWidth="1"/>
    <col min="6" max="6" width="30" bestFit="1" customWidth="1"/>
    <col min="7" max="7" width="22.7109375" customWidth="1"/>
    <col min="8" max="8" width="23.42578125" customWidth="1"/>
  </cols>
  <sheetData>
    <row r="1" spans="1:8" ht="12.75"/>
    <row r="2" spans="1:8" ht="15.75" customHeight="1" thickBot="1">
      <c r="A2" s="528" t="s">
        <v>843</v>
      </c>
      <c r="B2" s="529"/>
      <c r="C2" s="529"/>
      <c r="D2" s="529"/>
      <c r="E2" s="529"/>
      <c r="F2" s="529"/>
      <c r="G2" s="529"/>
      <c r="H2" s="529"/>
    </row>
    <row r="3" spans="1:8" ht="12.75">
      <c r="A3" s="72" t="s">
        <v>1135</v>
      </c>
      <c r="B3" s="72" t="s">
        <v>1127</v>
      </c>
      <c r="C3" s="13" t="s">
        <v>747</v>
      </c>
      <c r="D3" s="13" t="s">
        <v>106</v>
      </c>
      <c r="E3" s="13" t="s">
        <v>782</v>
      </c>
      <c r="F3" s="71" t="s">
        <v>769</v>
      </c>
      <c r="G3" s="349" t="s">
        <v>1707</v>
      </c>
      <c r="H3" s="350" t="s">
        <v>1166</v>
      </c>
    </row>
    <row r="4" spans="1:8" ht="12.75">
      <c r="A4" s="514" t="s">
        <v>1152</v>
      </c>
      <c r="B4" s="530" t="s">
        <v>13</v>
      </c>
      <c r="C4" s="35" t="s">
        <v>110</v>
      </c>
      <c r="D4" s="3" t="s">
        <v>111</v>
      </c>
      <c r="E4" s="3">
        <v>1</v>
      </c>
      <c r="F4" s="50">
        <f t="shared" ref="F4:F35" si="0">SUM(E4*$F$61)</f>
        <v>4</v>
      </c>
      <c r="G4" s="390"/>
      <c r="H4" s="391"/>
    </row>
    <row r="5" spans="1:8" ht="12.75">
      <c r="A5" s="521"/>
      <c r="B5" s="531"/>
      <c r="C5" s="35" t="s">
        <v>112</v>
      </c>
      <c r="D5" s="3" t="s">
        <v>113</v>
      </c>
      <c r="E5" s="3">
        <v>2</v>
      </c>
      <c r="F5" s="50">
        <f t="shared" si="0"/>
        <v>8</v>
      </c>
      <c r="G5" s="390"/>
      <c r="H5" s="391"/>
    </row>
    <row r="6" spans="1:8" ht="12.75">
      <c r="A6" s="521"/>
      <c r="B6" s="531"/>
      <c r="C6" s="35" t="s">
        <v>145</v>
      </c>
      <c r="D6" s="3" t="s">
        <v>147</v>
      </c>
      <c r="E6" s="3">
        <v>2</v>
      </c>
      <c r="F6" s="50">
        <f t="shared" si="0"/>
        <v>8</v>
      </c>
      <c r="G6" s="390"/>
      <c r="H6" s="391"/>
    </row>
    <row r="7" spans="1:8" ht="12.75">
      <c r="A7" s="521"/>
      <c r="B7" s="531"/>
      <c r="C7" s="35" t="s">
        <v>203</v>
      </c>
      <c r="D7" s="3" t="s">
        <v>192</v>
      </c>
      <c r="E7" s="3">
        <v>2</v>
      </c>
      <c r="F7" s="50">
        <f t="shared" si="0"/>
        <v>8</v>
      </c>
      <c r="G7" s="390"/>
      <c r="H7" s="391"/>
    </row>
    <row r="8" spans="1:8" ht="12.75">
      <c r="A8" s="521"/>
      <c r="B8" s="531"/>
      <c r="C8" s="35" t="s">
        <v>204</v>
      </c>
      <c r="D8" s="3" t="s">
        <v>192</v>
      </c>
      <c r="E8" s="3">
        <v>2</v>
      </c>
      <c r="F8" s="50">
        <f t="shared" si="0"/>
        <v>8</v>
      </c>
      <c r="G8" s="390"/>
      <c r="H8" s="391"/>
    </row>
    <row r="9" spans="1:8" ht="12.75">
      <c r="A9" s="521"/>
      <c r="B9" s="531"/>
      <c r="C9" s="35" t="s">
        <v>205</v>
      </c>
      <c r="D9" s="3" t="s">
        <v>192</v>
      </c>
      <c r="E9" s="3">
        <v>2</v>
      </c>
      <c r="F9" s="50">
        <f t="shared" si="0"/>
        <v>8</v>
      </c>
      <c r="G9" s="390"/>
      <c r="H9" s="391"/>
    </row>
    <row r="10" spans="1:8" ht="12.75">
      <c r="A10" s="521"/>
      <c r="B10" s="531"/>
      <c r="C10" s="35" t="s">
        <v>252</v>
      </c>
      <c r="D10" s="3" t="s">
        <v>251</v>
      </c>
      <c r="E10" s="3">
        <v>1</v>
      </c>
      <c r="F10" s="50">
        <f t="shared" si="0"/>
        <v>4</v>
      </c>
      <c r="G10" s="390"/>
      <c r="H10" s="391"/>
    </row>
    <row r="11" spans="1:8" ht="12.75">
      <c r="A11" s="521"/>
      <c r="B11" s="531"/>
      <c r="C11" s="35" t="s">
        <v>291</v>
      </c>
      <c r="D11" s="3" t="s">
        <v>772</v>
      </c>
      <c r="E11" s="3">
        <v>1</v>
      </c>
      <c r="F11" s="50">
        <f t="shared" si="0"/>
        <v>4</v>
      </c>
      <c r="G11" s="390"/>
      <c r="H11" s="391"/>
    </row>
    <row r="12" spans="1:8" ht="12.75">
      <c r="A12" s="521"/>
      <c r="B12" s="531"/>
      <c r="C12" s="35" t="s">
        <v>334</v>
      </c>
      <c r="D12" s="3" t="s">
        <v>242</v>
      </c>
      <c r="E12" s="3">
        <v>1</v>
      </c>
      <c r="F12" s="50">
        <f t="shared" si="0"/>
        <v>4</v>
      </c>
      <c r="G12" s="390"/>
      <c r="H12" s="391"/>
    </row>
    <row r="13" spans="1:8" ht="12.75">
      <c r="A13" s="521"/>
      <c r="B13" s="531"/>
      <c r="C13" s="35" t="s">
        <v>464</v>
      </c>
      <c r="D13" s="3" t="s">
        <v>465</v>
      </c>
      <c r="E13" s="3">
        <v>1</v>
      </c>
      <c r="F13" s="50">
        <f t="shared" si="0"/>
        <v>4</v>
      </c>
      <c r="G13" s="390"/>
      <c r="H13" s="391"/>
    </row>
    <row r="14" spans="1:8" ht="12.75">
      <c r="A14" s="521"/>
      <c r="B14" s="531"/>
      <c r="C14" s="35" t="s">
        <v>466</v>
      </c>
      <c r="D14" s="3" t="s">
        <v>467</v>
      </c>
      <c r="E14" s="3">
        <v>1</v>
      </c>
      <c r="F14" s="50">
        <f t="shared" si="0"/>
        <v>4</v>
      </c>
      <c r="G14" s="390"/>
      <c r="H14" s="391"/>
    </row>
    <row r="15" spans="1:8" ht="12.75">
      <c r="A15" s="521"/>
      <c r="B15" s="531"/>
      <c r="C15" s="35" t="s">
        <v>472</v>
      </c>
      <c r="D15" s="3" t="s">
        <v>473</v>
      </c>
      <c r="E15" s="3">
        <v>1</v>
      </c>
      <c r="F15" s="50">
        <f t="shared" si="0"/>
        <v>4</v>
      </c>
      <c r="G15" s="390"/>
      <c r="H15" s="391"/>
    </row>
    <row r="16" spans="1:8" ht="12.75">
      <c r="A16" s="521"/>
      <c r="B16" s="531"/>
      <c r="C16" s="35" t="s">
        <v>513</v>
      </c>
      <c r="D16" s="3" t="s">
        <v>514</v>
      </c>
      <c r="E16" s="3">
        <v>1</v>
      </c>
      <c r="F16" s="50">
        <f t="shared" si="0"/>
        <v>4</v>
      </c>
      <c r="G16" s="390"/>
      <c r="H16" s="391"/>
    </row>
    <row r="17" spans="1:8" ht="12.75">
      <c r="A17" s="521"/>
      <c r="B17" s="531"/>
      <c r="C17" s="35" t="s">
        <v>513</v>
      </c>
      <c r="D17" s="3" t="s">
        <v>515</v>
      </c>
      <c r="E17" s="3">
        <v>1</v>
      </c>
      <c r="F17" s="50">
        <f t="shared" si="0"/>
        <v>4</v>
      </c>
      <c r="G17" s="390"/>
      <c r="H17" s="391"/>
    </row>
    <row r="18" spans="1:8" ht="12.75">
      <c r="A18" s="521"/>
      <c r="B18" s="531"/>
      <c r="C18" s="35" t="s">
        <v>526</v>
      </c>
      <c r="D18" s="3" t="s">
        <v>242</v>
      </c>
      <c r="E18" s="3">
        <v>2</v>
      </c>
      <c r="F18" s="50">
        <f t="shared" si="0"/>
        <v>8</v>
      </c>
      <c r="G18" s="390"/>
      <c r="H18" s="391"/>
    </row>
    <row r="19" spans="1:8" ht="12.75">
      <c r="A19" s="521"/>
      <c r="B19" s="531"/>
      <c r="C19" s="35" t="s">
        <v>528</v>
      </c>
      <c r="D19" s="3" t="s">
        <v>242</v>
      </c>
      <c r="E19" s="3">
        <v>1</v>
      </c>
      <c r="F19" s="50">
        <f t="shared" si="0"/>
        <v>4</v>
      </c>
      <c r="G19" s="390"/>
      <c r="H19" s="391"/>
    </row>
    <row r="20" spans="1:8" ht="12.75">
      <c r="A20" s="521"/>
      <c r="B20" s="531"/>
      <c r="C20" s="35" t="s">
        <v>528</v>
      </c>
      <c r="D20" s="3" t="s">
        <v>118</v>
      </c>
      <c r="E20" s="3">
        <v>1</v>
      </c>
      <c r="F20" s="50">
        <f t="shared" si="0"/>
        <v>4</v>
      </c>
      <c r="G20" s="390"/>
      <c r="H20" s="391"/>
    </row>
    <row r="21" spans="1:8" ht="12.75">
      <c r="A21" s="521"/>
      <c r="B21" s="531"/>
      <c r="C21" s="35" t="s">
        <v>774</v>
      </c>
      <c r="D21" s="3" t="s">
        <v>533</v>
      </c>
      <c r="E21" s="3">
        <v>6</v>
      </c>
      <c r="F21" s="50">
        <f t="shared" si="0"/>
        <v>24</v>
      </c>
      <c r="G21" s="390"/>
      <c r="H21" s="391"/>
    </row>
    <row r="22" spans="1:8" ht="12.75">
      <c r="A22" s="521"/>
      <c r="B22" s="531"/>
      <c r="C22" s="35" t="s">
        <v>534</v>
      </c>
      <c r="D22" s="3" t="s">
        <v>157</v>
      </c>
      <c r="E22" s="3">
        <v>2</v>
      </c>
      <c r="F22" s="50">
        <f t="shared" si="0"/>
        <v>8</v>
      </c>
      <c r="G22" s="390"/>
      <c r="H22" s="391"/>
    </row>
    <row r="23" spans="1:8" ht="12.75">
      <c r="A23" s="521"/>
      <c r="B23" s="531"/>
      <c r="C23" s="35" t="s">
        <v>778</v>
      </c>
      <c r="D23" s="3" t="s">
        <v>111</v>
      </c>
      <c r="E23" s="3">
        <v>1</v>
      </c>
      <c r="F23" s="50">
        <f t="shared" si="0"/>
        <v>4</v>
      </c>
      <c r="G23" s="390"/>
      <c r="H23" s="391"/>
    </row>
    <row r="24" spans="1:8" ht="12.75">
      <c r="A24" s="521"/>
      <c r="B24" s="531"/>
      <c r="C24" s="35" t="s">
        <v>580</v>
      </c>
      <c r="D24" s="3" t="s">
        <v>242</v>
      </c>
      <c r="E24" s="3">
        <v>1</v>
      </c>
      <c r="F24" s="50">
        <f t="shared" si="0"/>
        <v>4</v>
      </c>
      <c r="G24" s="390"/>
      <c r="H24" s="391"/>
    </row>
    <row r="25" spans="1:8" ht="12.75">
      <c r="A25" s="521"/>
      <c r="B25" s="531"/>
      <c r="C25" s="35" t="s">
        <v>580</v>
      </c>
      <c r="D25" s="3" t="s">
        <v>118</v>
      </c>
      <c r="E25" s="3">
        <v>1</v>
      </c>
      <c r="F25" s="50">
        <f t="shared" si="0"/>
        <v>4</v>
      </c>
      <c r="G25" s="390"/>
      <c r="H25" s="391"/>
    </row>
    <row r="26" spans="1:8" ht="12.75">
      <c r="A26" s="521"/>
      <c r="B26" s="531"/>
      <c r="C26" s="35" t="s">
        <v>585</v>
      </c>
      <c r="D26" s="3" t="s">
        <v>288</v>
      </c>
      <c r="E26" s="3">
        <v>1</v>
      </c>
      <c r="F26" s="50">
        <f t="shared" si="0"/>
        <v>4</v>
      </c>
      <c r="G26" s="390"/>
      <c r="H26" s="391"/>
    </row>
    <row r="27" spans="1:8" ht="12.75">
      <c r="A27" s="521"/>
      <c r="B27" s="531"/>
      <c r="C27" s="35" t="s">
        <v>585</v>
      </c>
      <c r="D27" s="3" t="s">
        <v>118</v>
      </c>
      <c r="E27" s="3">
        <v>1</v>
      </c>
      <c r="F27" s="50">
        <f t="shared" si="0"/>
        <v>4</v>
      </c>
      <c r="G27" s="390"/>
      <c r="H27" s="391"/>
    </row>
    <row r="28" spans="1:8" ht="12.75">
      <c r="A28" s="521"/>
      <c r="B28" s="531"/>
      <c r="C28" s="35" t="s">
        <v>844</v>
      </c>
      <c r="D28" s="3" t="s">
        <v>242</v>
      </c>
      <c r="E28" s="3">
        <v>2</v>
      </c>
      <c r="F28" s="50">
        <f t="shared" si="0"/>
        <v>8</v>
      </c>
      <c r="G28" s="390"/>
      <c r="H28" s="391"/>
    </row>
    <row r="29" spans="1:8" ht="12.75">
      <c r="A29" s="521"/>
      <c r="B29" s="531"/>
      <c r="C29" s="35" t="s">
        <v>591</v>
      </c>
      <c r="D29" s="3" t="s">
        <v>157</v>
      </c>
      <c r="E29" s="3">
        <v>3</v>
      </c>
      <c r="F29" s="50">
        <f t="shared" si="0"/>
        <v>12</v>
      </c>
      <c r="G29" s="390"/>
      <c r="H29" s="391"/>
    </row>
    <row r="30" spans="1:8" ht="12.75">
      <c r="A30" s="521"/>
      <c r="B30" s="531"/>
      <c r="C30" s="35" t="s">
        <v>598</v>
      </c>
      <c r="D30" s="3" t="s">
        <v>251</v>
      </c>
      <c r="E30" s="3">
        <v>4</v>
      </c>
      <c r="F30" s="50">
        <f t="shared" si="0"/>
        <v>16</v>
      </c>
      <c r="G30" s="390"/>
      <c r="H30" s="391"/>
    </row>
    <row r="31" spans="1:8" ht="12.75">
      <c r="A31" s="521"/>
      <c r="B31" s="531"/>
      <c r="C31" s="35" t="s">
        <v>599</v>
      </c>
      <c r="D31" s="3" t="s">
        <v>251</v>
      </c>
      <c r="E31" s="3">
        <v>4</v>
      </c>
      <c r="F31" s="50">
        <f t="shared" si="0"/>
        <v>16</v>
      </c>
      <c r="G31" s="390"/>
      <c r="H31" s="391"/>
    </row>
    <row r="32" spans="1:8" ht="12.75">
      <c r="A32" s="521"/>
      <c r="B32" s="531"/>
      <c r="C32" s="35" t="s">
        <v>610</v>
      </c>
      <c r="D32" s="3" t="s">
        <v>118</v>
      </c>
      <c r="E32" s="3">
        <v>6</v>
      </c>
      <c r="F32" s="50">
        <f t="shared" si="0"/>
        <v>24</v>
      </c>
      <c r="G32" s="390"/>
      <c r="H32" s="391"/>
    </row>
    <row r="33" spans="1:8" ht="12.75">
      <c r="A33" s="521"/>
      <c r="B33" s="531"/>
      <c r="C33" s="35" t="s">
        <v>611</v>
      </c>
      <c r="D33" s="3" t="s">
        <v>118</v>
      </c>
      <c r="E33" s="3">
        <v>4</v>
      </c>
      <c r="F33" s="50">
        <f t="shared" si="0"/>
        <v>16</v>
      </c>
      <c r="G33" s="390"/>
      <c r="H33" s="391"/>
    </row>
    <row r="34" spans="1:8" ht="12.75">
      <c r="A34" s="521"/>
      <c r="B34" s="531"/>
      <c r="C34" s="74" t="s">
        <v>615</v>
      </c>
      <c r="D34" s="2" t="s">
        <v>614</v>
      </c>
      <c r="E34" s="22">
        <v>1</v>
      </c>
      <c r="F34" s="50">
        <f t="shared" si="0"/>
        <v>4</v>
      </c>
      <c r="G34" s="390"/>
      <c r="H34" s="391"/>
    </row>
    <row r="35" spans="1:8" ht="12.75">
      <c r="A35" s="521"/>
      <c r="B35" s="531"/>
      <c r="C35" s="74" t="s">
        <v>619</v>
      </c>
      <c r="D35" s="2" t="s">
        <v>618</v>
      </c>
      <c r="E35" s="22">
        <v>1</v>
      </c>
      <c r="F35" s="50">
        <f t="shared" si="0"/>
        <v>4</v>
      </c>
      <c r="G35" s="390"/>
      <c r="H35" s="391"/>
    </row>
    <row r="36" spans="1:8" ht="12.75">
      <c r="A36" s="521"/>
      <c r="B36" s="531"/>
      <c r="C36" s="35" t="s">
        <v>622</v>
      </c>
      <c r="D36" s="3" t="s">
        <v>118</v>
      </c>
      <c r="E36" s="3">
        <v>2</v>
      </c>
      <c r="F36" s="50">
        <f t="shared" ref="F36:F67" si="1">SUM(E36*$F$61)</f>
        <v>8</v>
      </c>
      <c r="G36" s="390"/>
      <c r="H36" s="391"/>
    </row>
    <row r="37" spans="1:8" ht="12.75">
      <c r="A37" s="521"/>
      <c r="B37" s="531"/>
      <c r="C37" s="35" t="s">
        <v>783</v>
      </c>
      <c r="D37" s="3" t="s">
        <v>118</v>
      </c>
      <c r="E37" s="3">
        <v>4</v>
      </c>
      <c r="F37" s="50">
        <f t="shared" si="1"/>
        <v>16</v>
      </c>
      <c r="G37" s="390"/>
      <c r="H37" s="391"/>
    </row>
    <row r="38" spans="1:8" ht="12.75">
      <c r="A38" s="521"/>
      <c r="B38" s="531"/>
      <c r="C38" s="35" t="s">
        <v>625</v>
      </c>
      <c r="D38" s="3" t="s">
        <v>288</v>
      </c>
      <c r="E38" s="3">
        <v>1</v>
      </c>
      <c r="F38" s="50">
        <f t="shared" si="1"/>
        <v>4</v>
      </c>
      <c r="G38" s="390"/>
      <c r="H38" s="391"/>
    </row>
    <row r="39" spans="1:8" ht="12.75">
      <c r="A39" s="521"/>
      <c r="B39" s="531"/>
      <c r="C39" s="35" t="s">
        <v>625</v>
      </c>
      <c r="D39" s="3" t="s">
        <v>588</v>
      </c>
      <c r="E39" s="3">
        <v>1</v>
      </c>
      <c r="F39" s="50">
        <f t="shared" si="1"/>
        <v>4</v>
      </c>
      <c r="G39" s="390"/>
      <c r="H39" s="391"/>
    </row>
    <row r="40" spans="1:8" ht="12.75">
      <c r="A40" s="521"/>
      <c r="B40" s="531"/>
      <c r="C40" s="35" t="s">
        <v>632</v>
      </c>
      <c r="D40" s="3" t="s">
        <v>633</v>
      </c>
      <c r="E40" s="3">
        <v>1</v>
      </c>
      <c r="F40" s="50">
        <f t="shared" si="1"/>
        <v>4</v>
      </c>
      <c r="G40" s="390"/>
      <c r="H40" s="391"/>
    </row>
    <row r="41" spans="1:8" ht="12.75">
      <c r="A41" s="521"/>
      <c r="B41" s="531"/>
      <c r="C41" s="35" t="s">
        <v>654</v>
      </c>
      <c r="D41" s="3" t="s">
        <v>242</v>
      </c>
      <c r="E41" s="3">
        <v>2</v>
      </c>
      <c r="F41" s="50">
        <f t="shared" si="1"/>
        <v>8</v>
      </c>
      <c r="G41" s="390"/>
      <c r="H41" s="391"/>
    </row>
    <row r="42" spans="1:8" ht="12.75">
      <c r="A42" s="521"/>
      <c r="B42" s="531"/>
      <c r="C42" s="35" t="s">
        <v>655</v>
      </c>
      <c r="D42" s="3" t="s">
        <v>242</v>
      </c>
      <c r="E42" s="3">
        <v>2</v>
      </c>
      <c r="F42" s="50">
        <f t="shared" si="1"/>
        <v>8</v>
      </c>
      <c r="G42" s="390"/>
      <c r="H42" s="391"/>
    </row>
    <row r="43" spans="1:8" ht="12.75">
      <c r="A43" s="521"/>
      <c r="B43" s="531"/>
      <c r="C43" s="35" t="s">
        <v>687</v>
      </c>
      <c r="D43" s="3" t="s">
        <v>242</v>
      </c>
      <c r="E43" s="3">
        <v>1</v>
      </c>
      <c r="F43" s="50">
        <f t="shared" si="1"/>
        <v>4</v>
      </c>
      <c r="G43" s="390"/>
      <c r="H43" s="391"/>
    </row>
    <row r="44" spans="1:8" ht="12.75">
      <c r="A44" s="521"/>
      <c r="B44" s="531"/>
      <c r="C44" s="35" t="s">
        <v>687</v>
      </c>
      <c r="D44" s="3" t="s">
        <v>157</v>
      </c>
      <c r="E44" s="3">
        <v>1</v>
      </c>
      <c r="F44" s="50">
        <f t="shared" si="1"/>
        <v>4</v>
      </c>
      <c r="G44" s="390"/>
      <c r="H44" s="391"/>
    </row>
    <row r="45" spans="1:8" ht="12.75">
      <c r="A45" s="521"/>
      <c r="B45" s="531"/>
      <c r="C45" s="35" t="s">
        <v>687</v>
      </c>
      <c r="D45" s="3" t="s">
        <v>118</v>
      </c>
      <c r="E45" s="3">
        <v>1</v>
      </c>
      <c r="F45" s="50">
        <f t="shared" si="1"/>
        <v>4</v>
      </c>
      <c r="G45" s="390"/>
      <c r="H45" s="391"/>
    </row>
    <row r="46" spans="1:8" ht="12.75">
      <c r="A46" s="521"/>
      <c r="B46" s="531"/>
      <c r="C46" s="35" t="s">
        <v>845</v>
      </c>
      <c r="D46" s="3" t="s">
        <v>242</v>
      </c>
      <c r="E46" s="3">
        <v>1</v>
      </c>
      <c r="F46" s="50">
        <f t="shared" si="1"/>
        <v>4</v>
      </c>
      <c r="G46" s="390"/>
      <c r="H46" s="391"/>
    </row>
    <row r="47" spans="1:8" ht="12.75">
      <c r="A47" s="521"/>
      <c r="B47" s="531"/>
      <c r="C47" s="35" t="s">
        <v>846</v>
      </c>
      <c r="D47" s="3" t="s">
        <v>257</v>
      </c>
      <c r="E47" s="3">
        <v>1</v>
      </c>
      <c r="F47" s="50">
        <f t="shared" si="1"/>
        <v>4</v>
      </c>
      <c r="G47" s="390"/>
      <c r="H47" s="391"/>
    </row>
    <row r="48" spans="1:8" ht="12.75">
      <c r="A48" s="521"/>
      <c r="B48" s="531"/>
      <c r="C48" s="35" t="s">
        <v>847</v>
      </c>
      <c r="D48" s="3" t="s">
        <v>257</v>
      </c>
      <c r="E48" s="3">
        <v>1</v>
      </c>
      <c r="F48" s="50">
        <f t="shared" si="1"/>
        <v>4</v>
      </c>
      <c r="G48" s="390"/>
      <c r="H48" s="391"/>
    </row>
    <row r="49" spans="1:8" ht="12.75">
      <c r="A49" s="521"/>
      <c r="B49" s="531"/>
      <c r="C49" s="35" t="s">
        <v>708</v>
      </c>
      <c r="D49" s="3" t="s">
        <v>113</v>
      </c>
      <c r="E49" s="3">
        <v>1</v>
      </c>
      <c r="F49" s="50">
        <f t="shared" si="1"/>
        <v>4</v>
      </c>
      <c r="G49" s="390"/>
      <c r="H49" s="391"/>
    </row>
    <row r="50" spans="1:8" ht="12.75">
      <c r="A50" s="521"/>
      <c r="B50" s="531"/>
      <c r="C50" s="35" t="s">
        <v>709</v>
      </c>
      <c r="D50" s="3" t="s">
        <v>113</v>
      </c>
      <c r="E50" s="3">
        <v>1</v>
      </c>
      <c r="F50" s="50">
        <f t="shared" si="1"/>
        <v>4</v>
      </c>
      <c r="G50" s="390"/>
      <c r="H50" s="391"/>
    </row>
    <row r="51" spans="1:8" ht="12.75">
      <c r="A51" s="521"/>
      <c r="B51" s="531"/>
      <c r="C51" s="35" t="s">
        <v>710</v>
      </c>
      <c r="D51" s="3" t="s">
        <v>286</v>
      </c>
      <c r="E51" s="3">
        <v>1</v>
      </c>
      <c r="F51" s="50">
        <f t="shared" si="1"/>
        <v>4</v>
      </c>
      <c r="G51" s="390"/>
      <c r="H51" s="391"/>
    </row>
    <row r="52" spans="1:8" ht="12.75">
      <c r="A52" s="521"/>
      <c r="B52" s="531"/>
      <c r="C52" s="35" t="s">
        <v>712</v>
      </c>
      <c r="D52" s="3" t="s">
        <v>303</v>
      </c>
      <c r="E52" s="3">
        <v>1</v>
      </c>
      <c r="F52" s="50">
        <f t="shared" si="1"/>
        <v>4</v>
      </c>
      <c r="G52" s="390"/>
      <c r="H52" s="391"/>
    </row>
    <row r="53" spans="1:8" ht="12.75">
      <c r="A53" s="521"/>
      <c r="B53" s="531"/>
      <c r="C53" s="35" t="s">
        <v>716</v>
      </c>
      <c r="D53" s="3" t="s">
        <v>242</v>
      </c>
      <c r="E53" s="3">
        <v>1</v>
      </c>
      <c r="F53" s="50">
        <f t="shared" si="1"/>
        <v>4</v>
      </c>
      <c r="G53" s="390"/>
      <c r="H53" s="391"/>
    </row>
    <row r="54" spans="1:8" ht="12.75">
      <c r="A54" s="521"/>
      <c r="B54" s="531"/>
      <c r="C54" s="35" t="s">
        <v>716</v>
      </c>
      <c r="D54" s="3" t="s">
        <v>288</v>
      </c>
      <c r="E54" s="3">
        <v>1</v>
      </c>
      <c r="F54" s="50">
        <f t="shared" si="1"/>
        <v>4</v>
      </c>
      <c r="G54" s="390"/>
      <c r="H54" s="391"/>
    </row>
    <row r="55" spans="1:8" ht="12.75">
      <c r="A55" s="521"/>
      <c r="B55" s="531"/>
      <c r="C55" s="35" t="s">
        <v>716</v>
      </c>
      <c r="D55" s="3" t="s">
        <v>157</v>
      </c>
      <c r="E55" s="3">
        <v>1</v>
      </c>
      <c r="F55" s="50">
        <f t="shared" si="1"/>
        <v>4</v>
      </c>
      <c r="G55" s="390"/>
      <c r="H55" s="391"/>
    </row>
    <row r="56" spans="1:8" ht="12.75">
      <c r="A56" s="521"/>
      <c r="B56" s="531"/>
      <c r="C56" s="35" t="s">
        <v>717</v>
      </c>
      <c r="D56" s="3" t="s">
        <v>242</v>
      </c>
      <c r="E56" s="3">
        <v>1</v>
      </c>
      <c r="F56" s="50">
        <f t="shared" si="1"/>
        <v>4</v>
      </c>
      <c r="G56" s="390"/>
      <c r="H56" s="391"/>
    </row>
    <row r="57" spans="1:8" ht="15.75" customHeight="1" thickBot="1">
      <c r="A57" s="490"/>
      <c r="B57" s="532"/>
      <c r="C57" s="35" t="s">
        <v>438</v>
      </c>
      <c r="D57" s="3" t="s">
        <v>786</v>
      </c>
      <c r="E57" s="3">
        <v>1</v>
      </c>
      <c r="F57" s="50">
        <f t="shared" si="1"/>
        <v>4</v>
      </c>
      <c r="G57" s="392"/>
      <c r="H57" s="393"/>
    </row>
    <row r="58" spans="1:8" ht="12.75">
      <c r="A58" s="29"/>
      <c r="B58" s="51"/>
      <c r="F58" s="12" t="s">
        <v>770</v>
      </c>
    </row>
    <row r="59" spans="1:8" ht="12.75">
      <c r="A59" s="29"/>
      <c r="B59" s="51"/>
      <c r="F59" s="7">
        <f>SUM(E4:E56)</f>
        <v>88</v>
      </c>
    </row>
    <row r="60" spans="1:8" ht="12.75">
      <c r="A60" s="29"/>
      <c r="B60" s="51"/>
      <c r="F60" s="12" t="s">
        <v>773</v>
      </c>
    </row>
    <row r="61" spans="1:8" ht="12.75">
      <c r="A61" s="29"/>
      <c r="B61" s="51"/>
      <c r="F61" s="7">
        <v>4</v>
      </c>
    </row>
    <row r="62" spans="1:8" ht="12.75">
      <c r="A62" s="29"/>
      <c r="B62" s="51"/>
    </row>
    <row r="63" spans="1:8" ht="12.75">
      <c r="A63" s="29"/>
      <c r="B63" s="51"/>
    </row>
    <row r="64" spans="1:8" ht="13.5" thickBot="1">
      <c r="C64" s="1"/>
      <c r="D64" s="1"/>
      <c r="E64" s="1"/>
    </row>
    <row r="65" spans="1:8" ht="12.75">
      <c r="A65" s="72" t="s">
        <v>1135</v>
      </c>
      <c r="B65" s="72" t="s">
        <v>1127</v>
      </c>
      <c r="C65" s="13" t="s">
        <v>747</v>
      </c>
      <c r="D65" s="13" t="s">
        <v>106</v>
      </c>
      <c r="E65" s="13" t="s">
        <v>782</v>
      </c>
      <c r="F65" s="71" t="s">
        <v>769</v>
      </c>
      <c r="G65" s="349" t="s">
        <v>1707</v>
      </c>
      <c r="H65" s="350" t="s">
        <v>1166</v>
      </c>
    </row>
    <row r="66" spans="1:8" ht="12.75">
      <c r="A66" s="514" t="s">
        <v>1153</v>
      </c>
      <c r="B66" s="530" t="s">
        <v>8</v>
      </c>
      <c r="C66" s="35" t="s">
        <v>305</v>
      </c>
      <c r="D66" s="3" t="s">
        <v>303</v>
      </c>
      <c r="E66" s="3">
        <v>1</v>
      </c>
      <c r="F66" s="50">
        <f t="shared" ref="F66:F75" si="2">SUM(E66*$F$79)</f>
        <v>2</v>
      </c>
      <c r="G66" s="390"/>
      <c r="H66" s="391"/>
    </row>
    <row r="67" spans="1:8" ht="12.75">
      <c r="A67" s="521"/>
      <c r="B67" s="531"/>
      <c r="C67" s="35" t="s">
        <v>304</v>
      </c>
      <c r="D67" s="3" t="s">
        <v>303</v>
      </c>
      <c r="E67" s="3">
        <v>1</v>
      </c>
      <c r="F67" s="50">
        <f t="shared" si="2"/>
        <v>2</v>
      </c>
      <c r="G67" s="390"/>
      <c r="H67" s="391"/>
    </row>
    <row r="68" spans="1:8" ht="12.75">
      <c r="A68" s="521"/>
      <c r="B68" s="531"/>
      <c r="C68" s="35" t="s">
        <v>302</v>
      </c>
      <c r="D68" s="3" t="s">
        <v>303</v>
      </c>
      <c r="E68" s="3">
        <v>1</v>
      </c>
      <c r="F68" s="50">
        <f t="shared" si="2"/>
        <v>2</v>
      </c>
      <c r="G68" s="390"/>
      <c r="H68" s="391"/>
    </row>
    <row r="69" spans="1:8" ht="12.75">
      <c r="A69" s="521"/>
      <c r="B69" s="531"/>
      <c r="C69" s="35" t="s">
        <v>306</v>
      </c>
      <c r="D69" s="3" t="s">
        <v>303</v>
      </c>
      <c r="E69" s="3">
        <v>1</v>
      </c>
      <c r="F69" s="50">
        <f t="shared" si="2"/>
        <v>2</v>
      </c>
      <c r="G69" s="390"/>
      <c r="H69" s="391"/>
    </row>
    <row r="70" spans="1:8" ht="12.75">
      <c r="A70" s="521"/>
      <c r="B70" s="531"/>
      <c r="C70" s="35" t="s">
        <v>307</v>
      </c>
      <c r="D70" s="3" t="s">
        <v>303</v>
      </c>
      <c r="E70" s="3">
        <v>1</v>
      </c>
      <c r="F70" s="50">
        <f t="shared" si="2"/>
        <v>2</v>
      </c>
      <c r="G70" s="390"/>
      <c r="H70" s="391"/>
    </row>
    <row r="71" spans="1:8" ht="12.75">
      <c r="A71" s="521"/>
      <c r="B71" s="531"/>
      <c r="C71" s="35" t="s">
        <v>308</v>
      </c>
      <c r="D71" s="3" t="s">
        <v>303</v>
      </c>
      <c r="E71" s="3">
        <v>1</v>
      </c>
      <c r="F71" s="50">
        <f t="shared" si="2"/>
        <v>2</v>
      </c>
      <c r="G71" s="390"/>
      <c r="H71" s="391"/>
    </row>
    <row r="72" spans="1:8" ht="12.75">
      <c r="A72" s="521"/>
      <c r="B72" s="531"/>
      <c r="C72" s="35" t="s">
        <v>309</v>
      </c>
      <c r="D72" s="3" t="s">
        <v>303</v>
      </c>
      <c r="E72" s="3">
        <v>1</v>
      </c>
      <c r="F72" s="50">
        <f t="shared" si="2"/>
        <v>2</v>
      </c>
      <c r="G72" s="390"/>
      <c r="H72" s="391"/>
    </row>
    <row r="73" spans="1:8" ht="12.75">
      <c r="A73" s="521"/>
      <c r="B73" s="531"/>
      <c r="C73" s="35" t="s">
        <v>310</v>
      </c>
      <c r="D73" s="3" t="s">
        <v>303</v>
      </c>
      <c r="E73" s="3">
        <v>1</v>
      </c>
      <c r="F73" s="50">
        <f t="shared" si="2"/>
        <v>2</v>
      </c>
      <c r="G73" s="390"/>
      <c r="H73" s="391"/>
    </row>
    <row r="74" spans="1:8" ht="12.75">
      <c r="A74" s="521"/>
      <c r="B74" s="531"/>
      <c r="C74" s="35" t="s">
        <v>311</v>
      </c>
      <c r="D74" s="3" t="s">
        <v>303</v>
      </c>
      <c r="E74" s="3">
        <v>1</v>
      </c>
      <c r="F74" s="50">
        <f t="shared" si="2"/>
        <v>2</v>
      </c>
      <c r="G74" s="390"/>
      <c r="H74" s="391"/>
    </row>
    <row r="75" spans="1:8" ht="13.5" thickBot="1">
      <c r="A75" s="490"/>
      <c r="B75" s="532"/>
      <c r="C75" s="75" t="s">
        <v>438</v>
      </c>
      <c r="D75" s="48" t="s">
        <v>848</v>
      </c>
      <c r="E75" s="48">
        <v>1</v>
      </c>
      <c r="F75" s="121">
        <f t="shared" si="2"/>
        <v>2</v>
      </c>
      <c r="G75" s="392"/>
      <c r="H75" s="393"/>
    </row>
    <row r="76" spans="1:8" ht="12.75">
      <c r="A76" s="29"/>
      <c r="B76" s="17"/>
      <c r="C76" s="1"/>
      <c r="D76" s="1"/>
      <c r="E76" s="1"/>
      <c r="F76" s="353" t="s">
        <v>770</v>
      </c>
      <c r="G76" s="394"/>
      <c r="H76" s="395"/>
    </row>
    <row r="77" spans="1:8" ht="12.75">
      <c r="A77" s="29"/>
      <c r="B77" s="17"/>
      <c r="C77" s="1"/>
      <c r="D77" s="1"/>
      <c r="E77" s="1"/>
      <c r="F77" s="174">
        <f>SUM(E66:E74)</f>
        <v>9</v>
      </c>
      <c r="G77" s="43"/>
      <c r="H77" s="124"/>
    </row>
    <row r="78" spans="1:8" ht="12.75">
      <c r="A78" s="29"/>
      <c r="B78" s="17"/>
      <c r="C78" s="1"/>
      <c r="D78" s="1"/>
      <c r="E78" s="1"/>
      <c r="F78" s="353" t="s">
        <v>773</v>
      </c>
      <c r="G78" s="43"/>
      <c r="H78" s="124"/>
    </row>
    <row r="79" spans="1:8" ht="12.75">
      <c r="A79" s="29"/>
      <c r="B79" s="17"/>
      <c r="C79" s="1"/>
      <c r="D79" s="1"/>
      <c r="E79" s="1"/>
      <c r="F79" s="174">
        <v>2</v>
      </c>
      <c r="G79" s="43"/>
      <c r="H79" s="124"/>
    </row>
    <row r="80" spans="1:8" ht="12.75">
      <c r="A80" s="29"/>
      <c r="B80" s="17"/>
      <c r="C80" s="1"/>
      <c r="D80" s="1"/>
      <c r="E80" s="1"/>
      <c r="F80" s="10"/>
      <c r="G80" s="43"/>
      <c r="H80" s="124"/>
    </row>
    <row r="81" spans="1:8" ht="15.75" customHeight="1" thickBot="1">
      <c r="C81" s="15"/>
      <c r="D81" s="15"/>
      <c r="G81" s="43"/>
      <c r="H81" s="124"/>
    </row>
    <row r="82" spans="1:8" ht="12.75">
      <c r="A82" s="13" t="s">
        <v>1135</v>
      </c>
      <c r="B82" s="13" t="s">
        <v>1127</v>
      </c>
      <c r="C82" s="13" t="s">
        <v>747</v>
      </c>
      <c r="D82" s="13" t="s">
        <v>106</v>
      </c>
      <c r="E82" s="13" t="s">
        <v>782</v>
      </c>
      <c r="F82" s="71" t="s">
        <v>769</v>
      </c>
      <c r="G82" s="349" t="s">
        <v>1707</v>
      </c>
      <c r="H82" s="350" t="s">
        <v>1166</v>
      </c>
    </row>
    <row r="83" spans="1:8" ht="12.75">
      <c r="A83" s="478" t="s">
        <v>1154</v>
      </c>
      <c r="B83" s="450" t="s">
        <v>15</v>
      </c>
      <c r="C83" s="3" t="s">
        <v>507</v>
      </c>
      <c r="D83" s="3" t="s">
        <v>508</v>
      </c>
      <c r="E83" s="3">
        <v>1</v>
      </c>
      <c r="F83" s="50">
        <f t="shared" ref="F83:F89" si="3">SUM(E83*$F$93)</f>
        <v>2</v>
      </c>
      <c r="G83" s="390"/>
      <c r="H83" s="391"/>
    </row>
    <row r="84" spans="1:8" ht="12.75">
      <c r="A84" s="485"/>
      <c r="B84" s="451"/>
      <c r="C84" s="3" t="s">
        <v>507</v>
      </c>
      <c r="D84" s="3" t="s">
        <v>509</v>
      </c>
      <c r="E84" s="3">
        <v>1</v>
      </c>
      <c r="F84" s="50">
        <f t="shared" si="3"/>
        <v>2</v>
      </c>
      <c r="G84" s="390"/>
      <c r="H84" s="391"/>
    </row>
    <row r="85" spans="1:8" ht="12.75">
      <c r="A85" s="485"/>
      <c r="B85" s="451"/>
      <c r="C85" s="3" t="s">
        <v>507</v>
      </c>
      <c r="D85" s="3" t="s">
        <v>510</v>
      </c>
      <c r="E85" s="3">
        <v>1</v>
      </c>
      <c r="F85" s="50">
        <f t="shared" si="3"/>
        <v>2</v>
      </c>
      <c r="G85" s="390"/>
      <c r="H85" s="391"/>
    </row>
    <row r="86" spans="1:8" ht="12.75">
      <c r="A86" s="485"/>
      <c r="B86" s="451"/>
      <c r="C86" s="3" t="s">
        <v>507</v>
      </c>
      <c r="D86" s="3" t="s">
        <v>511</v>
      </c>
      <c r="E86" s="3">
        <v>1</v>
      </c>
      <c r="F86" s="50">
        <f t="shared" si="3"/>
        <v>2</v>
      </c>
      <c r="G86" s="390"/>
      <c r="H86" s="391"/>
    </row>
    <row r="87" spans="1:8" ht="12.75">
      <c r="A87" s="485"/>
      <c r="B87" s="451"/>
      <c r="C87" s="3" t="s">
        <v>507</v>
      </c>
      <c r="D87" s="3" t="s">
        <v>512</v>
      </c>
      <c r="E87" s="3">
        <v>1</v>
      </c>
      <c r="F87" s="50">
        <f t="shared" si="3"/>
        <v>2</v>
      </c>
      <c r="G87" s="390"/>
      <c r="H87" s="391"/>
    </row>
    <row r="88" spans="1:8" ht="12.75">
      <c r="A88" s="485"/>
      <c r="B88" s="451"/>
      <c r="C88" s="3" t="s">
        <v>507</v>
      </c>
      <c r="D88" s="3" t="s">
        <v>512</v>
      </c>
      <c r="E88" s="3">
        <v>1</v>
      </c>
      <c r="F88" s="50">
        <f t="shared" si="3"/>
        <v>2</v>
      </c>
      <c r="G88" s="390"/>
      <c r="H88" s="391"/>
    </row>
    <row r="89" spans="1:8" ht="13.5" thickBot="1">
      <c r="A89" s="486"/>
      <c r="B89" s="452"/>
      <c r="C89" s="3" t="s">
        <v>438</v>
      </c>
      <c r="D89" s="3" t="s">
        <v>848</v>
      </c>
      <c r="E89" s="3">
        <v>1</v>
      </c>
      <c r="F89" s="50">
        <f t="shared" si="3"/>
        <v>2</v>
      </c>
      <c r="G89" s="392"/>
      <c r="H89" s="393"/>
    </row>
    <row r="90" spans="1:8" ht="12.75">
      <c r="A90" s="29"/>
      <c r="B90" s="17"/>
      <c r="C90" s="1"/>
      <c r="D90" s="1"/>
      <c r="E90" s="9"/>
      <c r="F90" s="12" t="s">
        <v>770</v>
      </c>
    </row>
    <row r="91" spans="1:8" ht="12.75">
      <c r="A91" s="29"/>
      <c r="B91" s="17"/>
      <c r="C91" s="1"/>
      <c r="D91" s="1"/>
      <c r="E91" s="1"/>
      <c r="F91" s="7">
        <f>SUM(E83:E88)</f>
        <v>6</v>
      </c>
    </row>
    <row r="92" spans="1:8" ht="12.75">
      <c r="A92" s="29"/>
      <c r="B92" s="17"/>
      <c r="C92" s="1"/>
      <c r="D92" s="1"/>
      <c r="E92" s="1"/>
      <c r="F92" s="12" t="s">
        <v>773</v>
      </c>
    </row>
    <row r="93" spans="1:8" ht="15.75" customHeight="1">
      <c r="F93" s="7">
        <v>2</v>
      </c>
    </row>
    <row r="94" spans="1:8" ht="15.75" customHeight="1">
      <c r="F94" s="78"/>
    </row>
    <row r="95" spans="1:8" ht="15.75" customHeight="1">
      <c r="F95" s="17"/>
    </row>
    <row r="96" spans="1:8" ht="15.75" customHeight="1" thickBot="1">
      <c r="F96" s="153"/>
    </row>
    <row r="97" spans="1:8" ht="12.75">
      <c r="A97" s="13" t="s">
        <v>1135</v>
      </c>
      <c r="B97" s="13" t="s">
        <v>1127</v>
      </c>
      <c r="C97" s="13" t="s">
        <v>747</v>
      </c>
      <c r="D97" s="13" t="s">
        <v>106</v>
      </c>
      <c r="E97" s="13" t="s">
        <v>782</v>
      </c>
      <c r="F97" s="71" t="s">
        <v>769</v>
      </c>
      <c r="G97" s="349" t="s">
        <v>1707</v>
      </c>
      <c r="H97" s="350" t="s">
        <v>1166</v>
      </c>
    </row>
    <row r="98" spans="1:8" ht="12.75">
      <c r="A98" s="478" t="s">
        <v>1155</v>
      </c>
      <c r="B98" s="481" t="s">
        <v>14</v>
      </c>
      <c r="C98" s="3" t="s">
        <v>145</v>
      </c>
      <c r="D98" s="3" t="s">
        <v>800</v>
      </c>
      <c r="E98" s="3">
        <v>2</v>
      </c>
      <c r="F98" s="50">
        <f t="shared" ref="F98:F125" si="4">SUM(E98*$F$129)</f>
        <v>6</v>
      </c>
      <c r="G98" s="390"/>
      <c r="H98" s="391"/>
    </row>
    <row r="99" spans="1:8" ht="12.75">
      <c r="A99" s="479"/>
      <c r="B99" s="482"/>
      <c r="C99" s="3" t="s">
        <v>849</v>
      </c>
      <c r="D99" s="3" t="s">
        <v>118</v>
      </c>
      <c r="E99" s="3">
        <v>2</v>
      </c>
      <c r="F99" s="50">
        <f t="shared" si="4"/>
        <v>6</v>
      </c>
      <c r="G99" s="390"/>
      <c r="H99" s="391"/>
    </row>
    <row r="100" spans="1:8" ht="12.75">
      <c r="A100" s="479"/>
      <c r="B100" s="482"/>
      <c r="C100" s="3" t="s">
        <v>771</v>
      </c>
      <c r="D100" s="3" t="s">
        <v>251</v>
      </c>
      <c r="E100" s="3">
        <v>1</v>
      </c>
      <c r="F100" s="50">
        <f t="shared" si="4"/>
        <v>3</v>
      </c>
      <c r="G100" s="390"/>
      <c r="H100" s="391"/>
    </row>
    <row r="101" spans="1:8" ht="12.75">
      <c r="A101" s="479"/>
      <c r="B101" s="482"/>
      <c r="C101" s="3" t="s">
        <v>291</v>
      </c>
      <c r="D101" s="3" t="s">
        <v>772</v>
      </c>
      <c r="E101" s="3">
        <v>1</v>
      </c>
      <c r="F101" s="50">
        <f t="shared" si="4"/>
        <v>3</v>
      </c>
      <c r="G101" s="390"/>
      <c r="H101" s="391"/>
    </row>
    <row r="102" spans="1:8" ht="12.75">
      <c r="A102" s="479"/>
      <c r="B102" s="482"/>
      <c r="C102" s="5" t="s">
        <v>458</v>
      </c>
      <c r="D102" s="5" t="s">
        <v>118</v>
      </c>
      <c r="E102" s="5">
        <v>1</v>
      </c>
      <c r="F102" s="50">
        <f t="shared" si="4"/>
        <v>3</v>
      </c>
      <c r="G102" s="390"/>
      <c r="H102" s="391"/>
    </row>
    <row r="103" spans="1:8" ht="12.75">
      <c r="A103" s="479"/>
      <c r="B103" s="482"/>
      <c r="C103" s="5" t="s">
        <v>459</v>
      </c>
      <c r="D103" s="5" t="s">
        <v>118</v>
      </c>
      <c r="E103" s="5">
        <v>2</v>
      </c>
      <c r="F103" s="50">
        <f t="shared" si="4"/>
        <v>6</v>
      </c>
      <c r="G103" s="390"/>
      <c r="H103" s="391"/>
    </row>
    <row r="104" spans="1:8" ht="12.75">
      <c r="A104" s="479"/>
      <c r="B104" s="482"/>
      <c r="C104" s="5" t="s">
        <v>462</v>
      </c>
      <c r="D104" s="5" t="s">
        <v>118</v>
      </c>
      <c r="E104" s="5">
        <v>1</v>
      </c>
      <c r="F104" s="50">
        <f t="shared" si="4"/>
        <v>3</v>
      </c>
      <c r="G104" s="390"/>
      <c r="H104" s="391"/>
    </row>
    <row r="105" spans="1:8" ht="12.75">
      <c r="A105" s="479"/>
      <c r="B105" s="482"/>
      <c r="C105" s="3" t="s">
        <v>801</v>
      </c>
      <c r="D105" s="3" t="s">
        <v>251</v>
      </c>
      <c r="E105" s="3">
        <v>1</v>
      </c>
      <c r="F105" s="50">
        <f t="shared" si="4"/>
        <v>3</v>
      </c>
      <c r="G105" s="125"/>
      <c r="H105" s="326"/>
    </row>
    <row r="106" spans="1:8" ht="12.75">
      <c r="A106" s="479"/>
      <c r="B106" s="482"/>
      <c r="C106" s="3" t="s">
        <v>802</v>
      </c>
      <c r="D106" s="3" t="s">
        <v>251</v>
      </c>
      <c r="E106" s="3">
        <v>1</v>
      </c>
      <c r="F106" s="50">
        <f t="shared" si="4"/>
        <v>3</v>
      </c>
      <c r="G106" s="125"/>
      <c r="H106" s="326"/>
    </row>
    <row r="107" spans="1:8" ht="12.75">
      <c r="A107" s="479"/>
      <c r="B107" s="482"/>
      <c r="C107" s="5" t="s">
        <v>526</v>
      </c>
      <c r="D107" s="5" t="s">
        <v>257</v>
      </c>
      <c r="E107" s="5">
        <v>2</v>
      </c>
      <c r="F107" s="50">
        <f t="shared" si="4"/>
        <v>6</v>
      </c>
      <c r="G107" s="125"/>
      <c r="H107" s="326"/>
    </row>
    <row r="108" spans="1:8" ht="12.75">
      <c r="A108" s="479"/>
      <c r="B108" s="482"/>
      <c r="C108" s="2" t="s">
        <v>528</v>
      </c>
      <c r="D108" s="2" t="s">
        <v>118</v>
      </c>
      <c r="E108" s="22">
        <v>2</v>
      </c>
      <c r="F108" s="50">
        <f t="shared" si="4"/>
        <v>6</v>
      </c>
      <c r="G108" s="125"/>
      <c r="H108" s="326"/>
    </row>
    <row r="109" spans="1:8" ht="12.75">
      <c r="A109" s="479"/>
      <c r="B109" s="482"/>
      <c r="C109" s="3" t="s">
        <v>774</v>
      </c>
      <c r="D109" s="3" t="s">
        <v>533</v>
      </c>
      <c r="E109" s="3">
        <v>6</v>
      </c>
      <c r="F109" s="50">
        <f t="shared" si="4"/>
        <v>18</v>
      </c>
      <c r="G109" s="125"/>
      <c r="H109" s="326"/>
    </row>
    <row r="110" spans="1:8" ht="12.75">
      <c r="A110" s="479"/>
      <c r="B110" s="482"/>
      <c r="C110" s="2" t="s">
        <v>580</v>
      </c>
      <c r="D110" s="2" t="s">
        <v>118</v>
      </c>
      <c r="E110" s="22">
        <v>2</v>
      </c>
      <c r="F110" s="50">
        <f t="shared" si="4"/>
        <v>6</v>
      </c>
      <c r="G110" s="125"/>
      <c r="H110" s="326"/>
    </row>
    <row r="111" spans="1:8" ht="12.75">
      <c r="A111" s="479"/>
      <c r="B111" s="482"/>
      <c r="C111" s="3" t="s">
        <v>598</v>
      </c>
      <c r="D111" s="3" t="s">
        <v>251</v>
      </c>
      <c r="E111" s="3">
        <v>4</v>
      </c>
      <c r="F111" s="50">
        <f t="shared" si="4"/>
        <v>12</v>
      </c>
      <c r="G111" s="125"/>
      <c r="H111" s="326"/>
    </row>
    <row r="112" spans="1:8" ht="12.75">
      <c r="A112" s="479"/>
      <c r="B112" s="482"/>
      <c r="C112" s="3" t="s">
        <v>599</v>
      </c>
      <c r="D112" s="3" t="s">
        <v>251</v>
      </c>
      <c r="E112" s="3">
        <v>4</v>
      </c>
      <c r="F112" s="50">
        <f t="shared" si="4"/>
        <v>12</v>
      </c>
      <c r="G112" s="125"/>
      <c r="H112" s="326"/>
    </row>
    <row r="113" spans="1:8" ht="12.75">
      <c r="A113" s="479"/>
      <c r="B113" s="482"/>
      <c r="C113" s="3" t="s">
        <v>611</v>
      </c>
      <c r="D113" s="3" t="s">
        <v>113</v>
      </c>
      <c r="E113" s="3">
        <v>2</v>
      </c>
      <c r="F113" s="50">
        <f t="shared" si="4"/>
        <v>6</v>
      </c>
      <c r="G113" s="125"/>
      <c r="H113" s="326"/>
    </row>
    <row r="114" spans="1:8" ht="12.75">
      <c r="A114" s="479"/>
      <c r="B114" s="482"/>
      <c r="C114" s="5" t="s">
        <v>622</v>
      </c>
      <c r="D114" s="5" t="s">
        <v>113</v>
      </c>
      <c r="E114" s="5">
        <v>2</v>
      </c>
      <c r="F114" s="50">
        <f t="shared" si="4"/>
        <v>6</v>
      </c>
      <c r="G114" s="125"/>
      <c r="H114" s="326"/>
    </row>
    <row r="115" spans="1:8" ht="12.75">
      <c r="A115" s="479"/>
      <c r="B115" s="482"/>
      <c r="C115" s="3" t="s">
        <v>783</v>
      </c>
      <c r="D115" s="3" t="s">
        <v>113</v>
      </c>
      <c r="E115" s="3">
        <v>2</v>
      </c>
      <c r="F115" s="50">
        <f t="shared" si="4"/>
        <v>6</v>
      </c>
      <c r="G115" s="125"/>
      <c r="H115" s="326"/>
    </row>
    <row r="116" spans="1:8" ht="12.75">
      <c r="A116" s="479"/>
      <c r="B116" s="482"/>
      <c r="C116" s="5" t="s">
        <v>649</v>
      </c>
      <c r="D116" s="5" t="s">
        <v>118</v>
      </c>
      <c r="E116" s="5">
        <v>1</v>
      </c>
      <c r="F116" s="50">
        <f t="shared" si="4"/>
        <v>3</v>
      </c>
      <c r="G116" s="125"/>
      <c r="H116" s="326"/>
    </row>
    <row r="117" spans="1:8" ht="12.75">
      <c r="A117" s="479"/>
      <c r="B117" s="482"/>
      <c r="C117" s="3" t="s">
        <v>687</v>
      </c>
      <c r="D117" s="3" t="s">
        <v>118</v>
      </c>
      <c r="E117" s="3">
        <v>1</v>
      </c>
      <c r="F117" s="50">
        <f t="shared" si="4"/>
        <v>3</v>
      </c>
      <c r="G117" s="125"/>
      <c r="H117" s="326"/>
    </row>
    <row r="118" spans="1:8" ht="12.75">
      <c r="A118" s="479"/>
      <c r="B118" s="482"/>
      <c r="C118" s="3" t="s">
        <v>687</v>
      </c>
      <c r="D118" s="3" t="s">
        <v>157</v>
      </c>
      <c r="E118" s="3">
        <v>1</v>
      </c>
      <c r="F118" s="50">
        <f t="shared" si="4"/>
        <v>3</v>
      </c>
      <c r="G118" s="125"/>
      <c r="H118" s="326"/>
    </row>
    <row r="119" spans="1:8" ht="12.75">
      <c r="A119" s="479"/>
      <c r="B119" s="482"/>
      <c r="C119" s="5" t="s">
        <v>706</v>
      </c>
      <c r="D119" s="5" t="s">
        <v>276</v>
      </c>
      <c r="E119" s="5">
        <v>1</v>
      </c>
      <c r="F119" s="50">
        <f t="shared" si="4"/>
        <v>3</v>
      </c>
      <c r="G119" s="125"/>
      <c r="H119" s="326"/>
    </row>
    <row r="120" spans="1:8" ht="12.75">
      <c r="A120" s="479"/>
      <c r="B120" s="482"/>
      <c r="C120" s="5" t="s">
        <v>707</v>
      </c>
      <c r="D120" s="5" t="s">
        <v>276</v>
      </c>
      <c r="E120" s="5">
        <v>1</v>
      </c>
      <c r="F120" s="50">
        <f t="shared" si="4"/>
        <v>3</v>
      </c>
      <c r="G120" s="125"/>
      <c r="H120" s="326"/>
    </row>
    <row r="121" spans="1:8" ht="12.75">
      <c r="A121" s="479"/>
      <c r="B121" s="482"/>
      <c r="C121" s="5" t="s">
        <v>708</v>
      </c>
      <c r="D121" s="5" t="s">
        <v>113</v>
      </c>
      <c r="E121" s="5">
        <v>1</v>
      </c>
      <c r="F121" s="50">
        <f t="shared" si="4"/>
        <v>3</v>
      </c>
      <c r="G121" s="125"/>
      <c r="H121" s="326"/>
    </row>
    <row r="122" spans="1:8" ht="12.75">
      <c r="A122" s="479"/>
      <c r="B122" s="482"/>
      <c r="C122" s="5" t="s">
        <v>709</v>
      </c>
      <c r="D122" s="5" t="s">
        <v>113</v>
      </c>
      <c r="E122" s="5">
        <v>1</v>
      </c>
      <c r="F122" s="50">
        <f t="shared" si="4"/>
        <v>3</v>
      </c>
      <c r="G122" s="125"/>
      <c r="H122" s="326"/>
    </row>
    <row r="123" spans="1:8" ht="12.75">
      <c r="A123" s="479"/>
      <c r="B123" s="482"/>
      <c r="C123" s="3" t="s">
        <v>716</v>
      </c>
      <c r="D123" s="3" t="s">
        <v>157</v>
      </c>
      <c r="E123" s="3">
        <v>1</v>
      </c>
      <c r="F123" s="50">
        <f t="shared" si="4"/>
        <v>3</v>
      </c>
      <c r="G123" s="125"/>
      <c r="H123" s="326"/>
    </row>
    <row r="124" spans="1:8" ht="12.75">
      <c r="A124" s="479"/>
      <c r="B124" s="482"/>
      <c r="C124" s="3" t="s">
        <v>717</v>
      </c>
      <c r="D124" s="3" t="s">
        <v>157</v>
      </c>
      <c r="E124" s="3">
        <v>1</v>
      </c>
      <c r="F124" s="50">
        <f t="shared" si="4"/>
        <v>3</v>
      </c>
      <c r="G124" s="125"/>
      <c r="H124" s="326"/>
    </row>
    <row r="125" spans="1:8" ht="13.5" thickBot="1">
      <c r="A125" s="480"/>
      <c r="B125" s="483"/>
      <c r="C125" s="44" t="s">
        <v>438</v>
      </c>
      <c r="D125" s="44" t="s">
        <v>786</v>
      </c>
      <c r="E125" s="44">
        <v>1</v>
      </c>
      <c r="F125" s="121">
        <f t="shared" si="4"/>
        <v>3</v>
      </c>
      <c r="G125" s="126"/>
      <c r="H125" s="328"/>
    </row>
    <row r="126" spans="1:8" ht="15.75" customHeight="1">
      <c r="F126" s="12" t="s">
        <v>770</v>
      </c>
    </row>
    <row r="127" spans="1:8" ht="15.75" customHeight="1">
      <c r="F127" s="7">
        <f>SUM(E98:E121)</f>
        <v>44</v>
      </c>
    </row>
    <row r="128" spans="1:8" ht="15.75" customHeight="1">
      <c r="F128" s="12" t="s">
        <v>773</v>
      </c>
    </row>
    <row r="129" spans="6:6" ht="15.75" customHeight="1">
      <c r="F129" s="7">
        <v>3</v>
      </c>
    </row>
  </sheetData>
  <mergeCells count="9">
    <mergeCell ref="A4:A57"/>
    <mergeCell ref="B4:B57"/>
    <mergeCell ref="A2:H2"/>
    <mergeCell ref="A83:A89"/>
    <mergeCell ref="B83:B89"/>
    <mergeCell ref="B98:B125"/>
    <mergeCell ref="A98:A125"/>
    <mergeCell ref="B66:B75"/>
    <mergeCell ref="A66:A75"/>
  </mergeCells>
  <phoneticPr fontId="12" type="noConversion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9">
    <tabColor rgb="FF00CC00"/>
    <outlinePr summaryBelow="0" summaryRight="0"/>
  </sheetPr>
  <dimension ref="A1:H278"/>
  <sheetViews>
    <sheetView topLeftCell="A225" zoomScale="85" zoomScaleNormal="85" workbookViewId="0">
      <selection activeCell="G234" sqref="G234:H249"/>
    </sheetView>
  </sheetViews>
  <sheetFormatPr defaultColWidth="12.5703125" defaultRowHeight="15.75" customHeight="1"/>
  <cols>
    <col min="1" max="1" width="17.7109375" bestFit="1" customWidth="1"/>
    <col min="2" max="2" width="20" customWidth="1"/>
    <col min="3" max="3" width="42.42578125" customWidth="1"/>
    <col min="4" max="4" width="16.85546875" customWidth="1"/>
    <col min="5" max="5" width="12.5703125" customWidth="1"/>
    <col min="6" max="6" width="30" customWidth="1"/>
    <col min="7" max="7" width="25" customWidth="1"/>
    <col min="8" max="8" width="24.5703125" customWidth="1"/>
  </cols>
  <sheetData>
    <row r="1" spans="1:8" ht="12.75"/>
    <row r="2" spans="1:8" ht="15.75" customHeight="1" thickBot="1">
      <c r="A2" s="528" t="s">
        <v>850</v>
      </c>
      <c r="B2" s="529"/>
      <c r="C2" s="529"/>
      <c r="D2" s="529"/>
      <c r="E2" s="529"/>
      <c r="F2" s="529"/>
      <c r="G2" s="529"/>
      <c r="H2" s="529"/>
    </row>
    <row r="3" spans="1:8" ht="12.75">
      <c r="A3" s="13" t="s">
        <v>1135</v>
      </c>
      <c r="B3" s="13" t="s">
        <v>1127</v>
      </c>
      <c r="C3" s="13" t="s">
        <v>747</v>
      </c>
      <c r="D3" s="13" t="s">
        <v>106</v>
      </c>
      <c r="E3" s="13" t="s">
        <v>782</v>
      </c>
      <c r="F3" s="71" t="s">
        <v>769</v>
      </c>
      <c r="G3" s="349" t="s">
        <v>1707</v>
      </c>
      <c r="H3" s="350" t="s">
        <v>1166</v>
      </c>
    </row>
    <row r="4" spans="1:8" ht="12.75">
      <c r="A4" s="478" t="s">
        <v>1156</v>
      </c>
      <c r="B4" s="481" t="s">
        <v>1</v>
      </c>
      <c r="C4" s="3" t="s">
        <v>108</v>
      </c>
      <c r="D4" s="3"/>
      <c r="E4" s="3">
        <v>2</v>
      </c>
      <c r="F4" s="50">
        <f t="shared" ref="F4:F30" si="0">SUM(E4*$F$34)</f>
        <v>4</v>
      </c>
      <c r="G4" s="390"/>
      <c r="H4" s="391"/>
    </row>
    <row r="5" spans="1:8" ht="12.75">
      <c r="A5" s="485"/>
      <c r="B5" s="482"/>
      <c r="C5" s="3" t="s">
        <v>231</v>
      </c>
      <c r="D5" s="3" t="s">
        <v>232</v>
      </c>
      <c r="E5" s="3">
        <v>1</v>
      </c>
      <c r="F5" s="50">
        <f t="shared" si="0"/>
        <v>2</v>
      </c>
      <c r="G5" s="390"/>
      <c r="H5" s="391"/>
    </row>
    <row r="6" spans="1:8" ht="12.75">
      <c r="A6" s="485"/>
      <c r="B6" s="482"/>
      <c r="C6" s="3" t="s">
        <v>231</v>
      </c>
      <c r="D6" s="3" t="s">
        <v>233</v>
      </c>
      <c r="E6" s="3">
        <v>1</v>
      </c>
      <c r="F6" s="50">
        <f t="shared" si="0"/>
        <v>2</v>
      </c>
      <c r="G6" s="390"/>
      <c r="H6" s="391"/>
    </row>
    <row r="7" spans="1:8" ht="12.75">
      <c r="A7" s="485"/>
      <c r="B7" s="482"/>
      <c r="C7" s="3" t="s">
        <v>412</v>
      </c>
      <c r="D7" s="3" t="s">
        <v>259</v>
      </c>
      <c r="E7" s="3">
        <v>1</v>
      </c>
      <c r="F7" s="50">
        <f t="shared" si="0"/>
        <v>2</v>
      </c>
      <c r="G7" s="390"/>
      <c r="H7" s="391"/>
    </row>
    <row r="8" spans="1:8" ht="12.75">
      <c r="A8" s="485"/>
      <c r="B8" s="482"/>
      <c r="C8" s="3" t="s">
        <v>412</v>
      </c>
      <c r="D8" s="3" t="s">
        <v>260</v>
      </c>
      <c r="E8" s="3">
        <v>1</v>
      </c>
      <c r="F8" s="50">
        <f t="shared" si="0"/>
        <v>2</v>
      </c>
      <c r="G8" s="390"/>
      <c r="H8" s="391"/>
    </row>
    <row r="9" spans="1:8" ht="12.75">
      <c r="A9" s="485"/>
      <c r="B9" s="482"/>
      <c r="C9" s="3" t="s">
        <v>427</v>
      </c>
      <c r="D9" s="3" t="s">
        <v>428</v>
      </c>
      <c r="E9" s="3">
        <v>1</v>
      </c>
      <c r="F9" s="50">
        <f t="shared" si="0"/>
        <v>2</v>
      </c>
      <c r="G9" s="390"/>
      <c r="H9" s="391"/>
    </row>
    <row r="10" spans="1:8" ht="12.75">
      <c r="A10" s="485"/>
      <c r="B10" s="482"/>
      <c r="C10" s="3" t="s">
        <v>429</v>
      </c>
      <c r="D10" s="3" t="s">
        <v>430</v>
      </c>
      <c r="E10" s="3">
        <v>1</v>
      </c>
      <c r="F10" s="50">
        <f t="shared" si="0"/>
        <v>2</v>
      </c>
      <c r="G10" s="125"/>
      <c r="H10" s="326"/>
    </row>
    <row r="11" spans="1:8" ht="12.75">
      <c r="A11" s="485"/>
      <c r="B11" s="482"/>
      <c r="C11" s="3" t="s">
        <v>431</v>
      </c>
      <c r="D11" s="3" t="s">
        <v>432</v>
      </c>
      <c r="E11" s="3">
        <v>1</v>
      </c>
      <c r="F11" s="50">
        <f t="shared" si="0"/>
        <v>2</v>
      </c>
      <c r="G11" s="125"/>
      <c r="H11" s="326"/>
    </row>
    <row r="12" spans="1:8" ht="12.75">
      <c r="A12" s="485"/>
      <c r="B12" s="482"/>
      <c r="C12" s="3" t="s">
        <v>433</v>
      </c>
      <c r="D12" s="3" t="s">
        <v>118</v>
      </c>
      <c r="E12" s="3">
        <v>1</v>
      </c>
      <c r="F12" s="50">
        <f t="shared" si="0"/>
        <v>2</v>
      </c>
      <c r="G12" s="125"/>
      <c r="H12" s="326"/>
    </row>
    <row r="13" spans="1:8" ht="12.75">
      <c r="A13" s="485"/>
      <c r="B13" s="482"/>
      <c r="C13" s="3" t="s">
        <v>436</v>
      </c>
      <c r="D13" s="3"/>
      <c r="E13" s="3">
        <v>1</v>
      </c>
      <c r="F13" s="50">
        <f t="shared" si="0"/>
        <v>2</v>
      </c>
      <c r="G13" s="125"/>
      <c r="H13" s="326"/>
    </row>
    <row r="14" spans="1:8" ht="12.75">
      <c r="A14" s="485"/>
      <c r="B14" s="482"/>
      <c r="C14" s="3" t="s">
        <v>460</v>
      </c>
      <c r="D14" s="3" t="s">
        <v>118</v>
      </c>
      <c r="E14" s="3">
        <v>2</v>
      </c>
      <c r="F14" s="50">
        <f t="shared" si="0"/>
        <v>4</v>
      </c>
      <c r="G14" s="125"/>
      <c r="H14" s="326"/>
    </row>
    <row r="15" spans="1:8" ht="12.75">
      <c r="A15" s="485"/>
      <c r="B15" s="482"/>
      <c r="C15" s="3" t="s">
        <v>851</v>
      </c>
      <c r="D15" s="3" t="s">
        <v>257</v>
      </c>
      <c r="E15" s="3">
        <v>1</v>
      </c>
      <c r="F15" s="50">
        <f t="shared" si="0"/>
        <v>2</v>
      </c>
      <c r="G15" s="125"/>
      <c r="H15" s="326"/>
    </row>
    <row r="16" spans="1:8" ht="12.75">
      <c r="A16" s="485"/>
      <c r="B16" s="482"/>
      <c r="C16" s="3" t="s">
        <v>852</v>
      </c>
      <c r="D16" s="3" t="s">
        <v>113</v>
      </c>
      <c r="E16" s="3">
        <v>1</v>
      </c>
      <c r="F16" s="50">
        <f t="shared" si="0"/>
        <v>2</v>
      </c>
      <c r="G16" s="125"/>
      <c r="H16" s="326"/>
    </row>
    <row r="17" spans="1:8" ht="12.75">
      <c r="A17" s="485"/>
      <c r="B17" s="482"/>
      <c r="C17" s="3" t="s">
        <v>530</v>
      </c>
      <c r="D17" s="3" t="s">
        <v>118</v>
      </c>
      <c r="E17" s="3">
        <v>1</v>
      </c>
      <c r="F17" s="50">
        <f t="shared" si="0"/>
        <v>2</v>
      </c>
      <c r="G17" s="125"/>
      <c r="H17" s="326"/>
    </row>
    <row r="18" spans="1:8" ht="12.75">
      <c r="A18" s="485"/>
      <c r="B18" s="482"/>
      <c r="C18" s="3" t="s">
        <v>536</v>
      </c>
      <c r="D18" s="3" t="s">
        <v>242</v>
      </c>
      <c r="E18" s="3">
        <v>1</v>
      </c>
      <c r="F18" s="50">
        <f t="shared" si="0"/>
        <v>2</v>
      </c>
      <c r="G18" s="125"/>
      <c r="H18" s="326"/>
    </row>
    <row r="19" spans="1:8" ht="12.75">
      <c r="A19" s="485"/>
      <c r="B19" s="482"/>
      <c r="C19" s="3" t="s">
        <v>568</v>
      </c>
      <c r="D19" s="3" t="s">
        <v>118</v>
      </c>
      <c r="E19" s="3">
        <v>1</v>
      </c>
      <c r="F19" s="50">
        <f t="shared" si="0"/>
        <v>2</v>
      </c>
      <c r="G19" s="125"/>
      <c r="H19" s="326"/>
    </row>
    <row r="20" spans="1:8" ht="12.75">
      <c r="A20" s="485"/>
      <c r="B20" s="482"/>
      <c r="C20" s="3" t="s">
        <v>570</v>
      </c>
      <c r="D20" s="3" t="s">
        <v>113</v>
      </c>
      <c r="E20" s="3">
        <v>2</v>
      </c>
      <c r="F20" s="50">
        <f t="shared" si="0"/>
        <v>4</v>
      </c>
      <c r="G20" s="125"/>
      <c r="H20" s="326"/>
    </row>
    <row r="21" spans="1:8" ht="12.75">
      <c r="A21" s="485"/>
      <c r="B21" s="482"/>
      <c r="C21" s="3" t="s">
        <v>575</v>
      </c>
      <c r="D21" s="3"/>
      <c r="E21" s="3">
        <v>1</v>
      </c>
      <c r="F21" s="50">
        <f t="shared" si="0"/>
        <v>2</v>
      </c>
      <c r="G21" s="125"/>
      <c r="H21" s="326"/>
    </row>
    <row r="22" spans="1:8" ht="12.75">
      <c r="A22" s="485"/>
      <c r="B22" s="482"/>
      <c r="C22" s="3" t="s">
        <v>853</v>
      </c>
      <c r="D22" s="3" t="s">
        <v>113</v>
      </c>
      <c r="E22" s="3">
        <v>1</v>
      </c>
      <c r="F22" s="50">
        <f t="shared" si="0"/>
        <v>2</v>
      </c>
      <c r="G22" s="125"/>
      <c r="H22" s="326"/>
    </row>
    <row r="23" spans="1:8" ht="12.75">
      <c r="A23" s="485"/>
      <c r="B23" s="482"/>
      <c r="C23" s="3" t="s">
        <v>611</v>
      </c>
      <c r="D23" s="3" t="s">
        <v>113</v>
      </c>
      <c r="E23" s="3">
        <v>1</v>
      </c>
      <c r="F23" s="50">
        <f t="shared" si="0"/>
        <v>2</v>
      </c>
      <c r="G23" s="125"/>
      <c r="H23" s="326"/>
    </row>
    <row r="24" spans="1:8" ht="12.75">
      <c r="A24" s="485"/>
      <c r="B24" s="482"/>
      <c r="C24" s="3" t="s">
        <v>634</v>
      </c>
      <c r="D24" s="3" t="s">
        <v>635</v>
      </c>
      <c r="E24" s="3">
        <v>1</v>
      </c>
      <c r="F24" s="50">
        <f t="shared" si="0"/>
        <v>2</v>
      </c>
      <c r="G24" s="125"/>
      <c r="H24" s="326"/>
    </row>
    <row r="25" spans="1:8" ht="12.75">
      <c r="A25" s="485"/>
      <c r="B25" s="482"/>
      <c r="C25" s="3" t="s">
        <v>637</v>
      </c>
      <c r="D25" s="3" t="s">
        <v>638</v>
      </c>
      <c r="E25" s="3">
        <v>1</v>
      </c>
      <c r="F25" s="50">
        <f t="shared" si="0"/>
        <v>2</v>
      </c>
      <c r="G25" s="125"/>
      <c r="H25" s="326"/>
    </row>
    <row r="26" spans="1:8" ht="12.75">
      <c r="A26" s="485"/>
      <c r="B26" s="482"/>
      <c r="C26" s="3" t="s">
        <v>663</v>
      </c>
      <c r="D26" s="3" t="s">
        <v>251</v>
      </c>
      <c r="E26" s="3">
        <v>1</v>
      </c>
      <c r="F26" s="50">
        <f t="shared" si="0"/>
        <v>2</v>
      </c>
      <c r="G26" s="125"/>
      <c r="H26" s="326"/>
    </row>
    <row r="27" spans="1:8" ht="12.75">
      <c r="A27" s="485"/>
      <c r="B27" s="482"/>
      <c r="C27" s="3" t="s">
        <v>854</v>
      </c>
      <c r="D27" s="3" t="s">
        <v>192</v>
      </c>
      <c r="E27" s="3">
        <v>2</v>
      </c>
      <c r="F27" s="50">
        <f t="shared" si="0"/>
        <v>4</v>
      </c>
      <c r="G27" s="125"/>
      <c r="H27" s="326"/>
    </row>
    <row r="28" spans="1:8" ht="12.75">
      <c r="A28" s="485"/>
      <c r="B28" s="482"/>
      <c r="C28" s="3" t="s">
        <v>814</v>
      </c>
      <c r="D28" s="3" t="s">
        <v>113</v>
      </c>
      <c r="E28" s="3">
        <v>1</v>
      </c>
      <c r="F28" s="50">
        <f t="shared" si="0"/>
        <v>2</v>
      </c>
      <c r="G28" s="125"/>
      <c r="H28" s="326"/>
    </row>
    <row r="29" spans="1:8" ht="12.75">
      <c r="A29" s="485"/>
      <c r="B29" s="482"/>
      <c r="C29" s="3" t="s">
        <v>718</v>
      </c>
      <c r="D29" s="3" t="s">
        <v>118</v>
      </c>
      <c r="E29" s="3">
        <v>1</v>
      </c>
      <c r="F29" s="50">
        <f t="shared" si="0"/>
        <v>2</v>
      </c>
      <c r="G29" s="125"/>
      <c r="H29" s="326"/>
    </row>
    <row r="30" spans="1:8" ht="13.5" thickBot="1">
      <c r="A30" s="486"/>
      <c r="B30" s="483"/>
      <c r="C30" s="3" t="s">
        <v>438</v>
      </c>
      <c r="D30" s="5" t="s">
        <v>786</v>
      </c>
      <c r="E30" s="3">
        <v>1</v>
      </c>
      <c r="F30" s="50">
        <f t="shared" si="0"/>
        <v>2</v>
      </c>
      <c r="G30" s="126"/>
      <c r="H30" s="328"/>
    </row>
    <row r="31" spans="1:8" ht="12.75">
      <c r="C31" s="1"/>
      <c r="D31" s="1"/>
      <c r="E31" s="1"/>
      <c r="F31" s="12" t="s">
        <v>770</v>
      </c>
    </row>
    <row r="32" spans="1:8" ht="15.75" customHeight="1">
      <c r="C32" s="15"/>
      <c r="D32" s="15"/>
      <c r="F32" s="7">
        <f>SUM(E4:E29)</f>
        <v>30</v>
      </c>
    </row>
    <row r="33" spans="2:8" ht="15.75" customHeight="1">
      <c r="C33" s="15"/>
      <c r="D33" s="15"/>
      <c r="F33" s="12" t="s">
        <v>773</v>
      </c>
    </row>
    <row r="34" spans="2:8" ht="15.75" customHeight="1">
      <c r="C34" s="15"/>
      <c r="D34" s="15"/>
      <c r="F34" s="7">
        <v>2</v>
      </c>
    </row>
    <row r="35" spans="2:8" ht="15.75" customHeight="1" thickBot="1">
      <c r="C35" s="15"/>
      <c r="D35" s="15"/>
      <c r="F35" s="182"/>
    </row>
    <row r="36" spans="2:8" ht="15.75" customHeight="1">
      <c r="B36" s="188"/>
      <c r="C36" s="189" t="s">
        <v>747</v>
      </c>
      <c r="D36" s="190" t="s">
        <v>106</v>
      </c>
      <c r="E36" s="190" t="s">
        <v>782</v>
      </c>
      <c r="F36" s="396" t="s">
        <v>769</v>
      </c>
      <c r="G36" s="349" t="s">
        <v>1707</v>
      </c>
      <c r="H36" s="350" t="s">
        <v>1166</v>
      </c>
    </row>
    <row r="37" spans="2:8" ht="15.75" customHeight="1">
      <c r="B37" s="514" t="s">
        <v>1207</v>
      </c>
      <c r="C37" s="192" t="s">
        <v>1208</v>
      </c>
      <c r="D37" s="193" t="s">
        <v>1209</v>
      </c>
      <c r="E37" s="194">
        <v>1</v>
      </c>
      <c r="F37" s="195">
        <f>1*$F$98</f>
        <v>2</v>
      </c>
      <c r="G37" s="390"/>
      <c r="H37" s="391"/>
    </row>
    <row r="38" spans="2:8" ht="12.95" customHeight="1">
      <c r="B38" s="521"/>
      <c r="C38" s="192" t="s">
        <v>1210</v>
      </c>
      <c r="D38" s="193" t="s">
        <v>1209</v>
      </c>
      <c r="E38" s="194">
        <v>1</v>
      </c>
      <c r="F38" s="195">
        <f t="shared" ref="F38:F94" si="1">1*$F$98</f>
        <v>2</v>
      </c>
      <c r="G38" s="390"/>
      <c r="H38" s="391"/>
    </row>
    <row r="39" spans="2:8" ht="12.95" customHeight="1">
      <c r="B39" s="521"/>
      <c r="C39" s="196" t="s">
        <v>1211</v>
      </c>
      <c r="D39" s="197" t="s">
        <v>1212</v>
      </c>
      <c r="E39" s="198">
        <v>1</v>
      </c>
      <c r="F39" s="195">
        <f t="shared" si="1"/>
        <v>2</v>
      </c>
      <c r="G39" s="390"/>
      <c r="H39" s="391"/>
    </row>
    <row r="40" spans="2:8" ht="12.95" customHeight="1">
      <c r="B40" s="521"/>
      <c r="C40" s="196" t="s">
        <v>1213</v>
      </c>
      <c r="D40" s="197" t="s">
        <v>1214</v>
      </c>
      <c r="E40" s="198">
        <v>1</v>
      </c>
      <c r="F40" s="195">
        <f t="shared" si="1"/>
        <v>2</v>
      </c>
      <c r="G40" s="390"/>
      <c r="H40" s="391"/>
    </row>
    <row r="41" spans="2:8" ht="12.95" customHeight="1">
      <c r="B41" s="521"/>
      <c r="C41" s="192" t="s">
        <v>1215</v>
      </c>
      <c r="D41" s="193" t="s">
        <v>1216</v>
      </c>
      <c r="E41" s="194">
        <v>1</v>
      </c>
      <c r="F41" s="195">
        <f t="shared" si="1"/>
        <v>2</v>
      </c>
      <c r="G41" s="390"/>
      <c r="H41" s="391"/>
    </row>
    <row r="42" spans="2:8" ht="12.95" customHeight="1">
      <c r="B42" s="521"/>
      <c r="C42" s="192" t="s">
        <v>1217</v>
      </c>
      <c r="D42" s="193" t="s">
        <v>1216</v>
      </c>
      <c r="E42" s="194">
        <v>1</v>
      </c>
      <c r="F42" s="195">
        <f t="shared" si="1"/>
        <v>2</v>
      </c>
      <c r="G42" s="390"/>
      <c r="H42" s="391"/>
    </row>
    <row r="43" spans="2:8" ht="12.95" customHeight="1">
      <c r="B43" s="521"/>
      <c r="C43" s="196" t="s">
        <v>1218</v>
      </c>
      <c r="D43" s="197" t="s">
        <v>1219</v>
      </c>
      <c r="E43" s="198">
        <v>1</v>
      </c>
      <c r="F43" s="195">
        <f t="shared" si="1"/>
        <v>2</v>
      </c>
      <c r="G43" s="125"/>
      <c r="H43" s="326"/>
    </row>
    <row r="44" spans="2:8" ht="12.95" customHeight="1">
      <c r="B44" s="521"/>
      <c r="C44" s="192" t="s">
        <v>1220</v>
      </c>
      <c r="D44" s="193" t="s">
        <v>1221</v>
      </c>
      <c r="E44" s="194">
        <v>1</v>
      </c>
      <c r="F44" s="195">
        <f t="shared" si="1"/>
        <v>2</v>
      </c>
      <c r="G44" s="125"/>
      <c r="H44" s="326"/>
    </row>
    <row r="45" spans="2:8" ht="12.95" customHeight="1">
      <c r="B45" s="521"/>
      <c r="C45" s="196" t="s">
        <v>1222</v>
      </c>
      <c r="D45" s="197" t="s">
        <v>1223</v>
      </c>
      <c r="E45" s="198">
        <v>2</v>
      </c>
      <c r="F45" s="195">
        <f t="shared" si="1"/>
        <v>2</v>
      </c>
      <c r="G45" s="125"/>
      <c r="H45" s="326"/>
    </row>
    <row r="46" spans="2:8" ht="15.75" customHeight="1">
      <c r="B46" s="521"/>
      <c r="C46" s="196" t="s">
        <v>1224</v>
      </c>
      <c r="D46" s="197" t="s">
        <v>1225</v>
      </c>
      <c r="E46" s="198">
        <v>1</v>
      </c>
      <c r="F46" s="195">
        <f t="shared" si="1"/>
        <v>2</v>
      </c>
      <c r="G46" s="125"/>
      <c r="H46" s="326"/>
    </row>
    <row r="47" spans="2:8" ht="15.75" customHeight="1">
      <c r="B47" s="521"/>
      <c r="C47" s="196" t="s">
        <v>1226</v>
      </c>
      <c r="D47" s="197" t="s">
        <v>1227</v>
      </c>
      <c r="E47" s="198">
        <v>1</v>
      </c>
      <c r="F47" s="195">
        <f t="shared" si="1"/>
        <v>2</v>
      </c>
      <c r="G47" s="125"/>
      <c r="H47" s="326"/>
    </row>
    <row r="48" spans="2:8" ht="15.75" customHeight="1">
      <c r="B48" s="521"/>
      <c r="C48" s="192" t="s">
        <v>1228</v>
      </c>
      <c r="D48" s="193" t="s">
        <v>1229</v>
      </c>
      <c r="E48" s="194">
        <v>1</v>
      </c>
      <c r="F48" s="195">
        <f t="shared" si="1"/>
        <v>2</v>
      </c>
      <c r="G48" s="125"/>
      <c r="H48" s="326"/>
    </row>
    <row r="49" spans="2:8" ht="15.75" customHeight="1">
      <c r="B49" s="521"/>
      <c r="C49" s="196" t="s">
        <v>1230</v>
      </c>
      <c r="D49" s="197" t="s">
        <v>1231</v>
      </c>
      <c r="E49" s="198">
        <v>1</v>
      </c>
      <c r="F49" s="195">
        <f t="shared" si="1"/>
        <v>2</v>
      </c>
      <c r="G49" s="125"/>
      <c r="H49" s="326"/>
    </row>
    <row r="50" spans="2:8" ht="15.75" customHeight="1">
      <c r="B50" s="521"/>
      <c r="C50" s="196" t="s">
        <v>1232</v>
      </c>
      <c r="D50" s="197" t="s">
        <v>1233</v>
      </c>
      <c r="E50" s="198">
        <v>1</v>
      </c>
      <c r="F50" s="195">
        <f t="shared" si="1"/>
        <v>2</v>
      </c>
      <c r="G50" s="125"/>
      <c r="H50" s="326"/>
    </row>
    <row r="51" spans="2:8" ht="15.75" customHeight="1">
      <c r="B51" s="521"/>
      <c r="C51" s="192" t="s">
        <v>1234</v>
      </c>
      <c r="D51" s="193" t="s">
        <v>1235</v>
      </c>
      <c r="E51" s="194">
        <v>1</v>
      </c>
      <c r="F51" s="195">
        <f t="shared" si="1"/>
        <v>2</v>
      </c>
      <c r="G51" s="125"/>
      <c r="H51" s="326"/>
    </row>
    <row r="52" spans="2:8" ht="15.75" customHeight="1">
      <c r="B52" s="521"/>
      <c r="C52" s="192" t="s">
        <v>1236</v>
      </c>
      <c r="D52" s="193" t="s">
        <v>1237</v>
      </c>
      <c r="E52" s="194">
        <v>1</v>
      </c>
      <c r="F52" s="195">
        <f t="shared" si="1"/>
        <v>2</v>
      </c>
      <c r="G52" s="125"/>
      <c r="H52" s="326"/>
    </row>
    <row r="53" spans="2:8" ht="15.75" customHeight="1">
      <c r="B53" s="521"/>
      <c r="C53" s="192" t="s">
        <v>1238</v>
      </c>
      <c r="D53" s="193" t="s">
        <v>1239</v>
      </c>
      <c r="E53" s="194">
        <v>1</v>
      </c>
      <c r="F53" s="195">
        <f t="shared" si="1"/>
        <v>2</v>
      </c>
      <c r="G53" s="125"/>
      <c r="H53" s="326"/>
    </row>
    <row r="54" spans="2:8" ht="15.75" customHeight="1">
      <c r="B54" s="521"/>
      <c r="C54" s="196" t="s">
        <v>1240</v>
      </c>
      <c r="D54" s="197" t="s">
        <v>1241</v>
      </c>
      <c r="E54" s="198">
        <v>1</v>
      </c>
      <c r="F54" s="195">
        <f t="shared" si="1"/>
        <v>2</v>
      </c>
      <c r="G54" s="125"/>
      <c r="H54" s="326"/>
    </row>
    <row r="55" spans="2:8" ht="15.75" customHeight="1">
      <c r="B55" s="521"/>
      <c r="C55" s="196" t="s">
        <v>1242</v>
      </c>
      <c r="D55" s="197" t="s">
        <v>1243</v>
      </c>
      <c r="E55" s="198">
        <v>1</v>
      </c>
      <c r="F55" s="195">
        <f t="shared" si="1"/>
        <v>2</v>
      </c>
      <c r="G55" s="125"/>
      <c r="H55" s="326"/>
    </row>
    <row r="56" spans="2:8" ht="15.75" customHeight="1">
      <c r="B56" s="521"/>
      <c r="C56" s="196" t="s">
        <v>1244</v>
      </c>
      <c r="D56" s="197" t="s">
        <v>1243</v>
      </c>
      <c r="E56" s="198">
        <v>1</v>
      </c>
      <c r="F56" s="195">
        <f t="shared" si="1"/>
        <v>2</v>
      </c>
      <c r="G56" s="125"/>
      <c r="H56" s="326"/>
    </row>
    <row r="57" spans="2:8" ht="15.75" customHeight="1">
      <c r="B57" s="521"/>
      <c r="C57" s="196" t="s">
        <v>1245</v>
      </c>
      <c r="D57" s="197" t="s">
        <v>1246</v>
      </c>
      <c r="E57" s="198">
        <v>1</v>
      </c>
      <c r="F57" s="195">
        <f t="shared" si="1"/>
        <v>2</v>
      </c>
      <c r="G57" s="125"/>
      <c r="H57" s="326"/>
    </row>
    <row r="58" spans="2:8" ht="15.75" customHeight="1">
      <c r="B58" s="521"/>
      <c r="C58" s="196" t="s">
        <v>1247</v>
      </c>
      <c r="D58" s="199"/>
      <c r="E58" s="198">
        <v>2</v>
      </c>
      <c r="F58" s="195">
        <f t="shared" si="1"/>
        <v>2</v>
      </c>
      <c r="G58" s="125"/>
      <c r="H58" s="326"/>
    </row>
    <row r="59" spans="2:8" ht="15.75" customHeight="1">
      <c r="B59" s="521"/>
      <c r="C59" s="196" t="s">
        <v>1248</v>
      </c>
      <c r="D59" s="197" t="s">
        <v>1249</v>
      </c>
      <c r="E59" s="198">
        <v>1</v>
      </c>
      <c r="F59" s="195">
        <f t="shared" si="1"/>
        <v>2</v>
      </c>
      <c r="G59" s="125"/>
      <c r="H59" s="326"/>
    </row>
    <row r="60" spans="2:8" ht="15.75" customHeight="1">
      <c r="B60" s="521"/>
      <c r="C60" s="192" t="s">
        <v>1250</v>
      </c>
      <c r="D60" s="193" t="s">
        <v>1251</v>
      </c>
      <c r="E60" s="194">
        <v>1</v>
      </c>
      <c r="F60" s="195">
        <f t="shared" si="1"/>
        <v>2</v>
      </c>
      <c r="G60" s="125"/>
      <c r="H60" s="326"/>
    </row>
    <row r="61" spans="2:8" ht="15.75" customHeight="1">
      <c r="B61" s="521"/>
      <c r="C61" s="192" t="s">
        <v>1252</v>
      </c>
      <c r="D61" s="193" t="s">
        <v>1251</v>
      </c>
      <c r="E61" s="194">
        <v>1</v>
      </c>
      <c r="F61" s="195">
        <f t="shared" si="1"/>
        <v>2</v>
      </c>
      <c r="G61" s="125"/>
      <c r="H61" s="326"/>
    </row>
    <row r="62" spans="2:8" ht="15.75" customHeight="1">
      <c r="B62" s="521"/>
      <c r="C62" s="192" t="s">
        <v>1253</v>
      </c>
      <c r="D62" s="193" t="s">
        <v>1254</v>
      </c>
      <c r="E62" s="194">
        <v>1</v>
      </c>
      <c r="F62" s="195">
        <f t="shared" si="1"/>
        <v>2</v>
      </c>
      <c r="G62" s="125"/>
      <c r="H62" s="326"/>
    </row>
    <row r="63" spans="2:8" ht="15.75" customHeight="1">
      <c r="B63" s="521"/>
      <c r="C63" s="196" t="s">
        <v>1255</v>
      </c>
      <c r="D63" s="200"/>
      <c r="E63" s="198">
        <v>1</v>
      </c>
      <c r="F63" s="195">
        <f t="shared" si="1"/>
        <v>2</v>
      </c>
      <c r="G63" s="125"/>
      <c r="H63" s="326"/>
    </row>
    <row r="64" spans="2:8" ht="15.75" customHeight="1">
      <c r="B64" s="521"/>
      <c r="C64" s="196" t="s">
        <v>1256</v>
      </c>
      <c r="D64" s="197" t="s">
        <v>1257</v>
      </c>
      <c r="E64" s="198">
        <v>2</v>
      </c>
      <c r="F64" s="195">
        <f t="shared" si="1"/>
        <v>2</v>
      </c>
      <c r="G64" s="125"/>
      <c r="H64" s="326"/>
    </row>
    <row r="65" spans="2:8" ht="15.75" customHeight="1">
      <c r="B65" s="521"/>
      <c r="C65" s="196" t="s">
        <v>1258</v>
      </c>
      <c r="D65" s="197" t="s">
        <v>1257</v>
      </c>
      <c r="E65" s="198">
        <v>1</v>
      </c>
      <c r="F65" s="195">
        <f t="shared" si="1"/>
        <v>2</v>
      </c>
      <c r="G65" s="125"/>
      <c r="H65" s="326"/>
    </row>
    <row r="66" spans="2:8" ht="15.75" customHeight="1">
      <c r="B66" s="521"/>
      <c r="C66" s="196" t="s">
        <v>1259</v>
      </c>
      <c r="D66" s="197" t="s">
        <v>1257</v>
      </c>
      <c r="E66" s="198">
        <v>1</v>
      </c>
      <c r="F66" s="195">
        <f t="shared" si="1"/>
        <v>2</v>
      </c>
      <c r="G66" s="125"/>
      <c r="H66" s="326"/>
    </row>
    <row r="67" spans="2:8" ht="15.75" customHeight="1">
      <c r="B67" s="521"/>
      <c r="C67" s="192" t="s">
        <v>1260</v>
      </c>
      <c r="D67" s="193" t="s">
        <v>1257</v>
      </c>
      <c r="E67" s="194">
        <v>1</v>
      </c>
      <c r="F67" s="195">
        <f t="shared" si="1"/>
        <v>2</v>
      </c>
      <c r="G67" s="125"/>
      <c r="H67" s="326"/>
    </row>
    <row r="68" spans="2:8" ht="15.75" customHeight="1">
      <c r="B68" s="521"/>
      <c r="C68" s="192" t="s">
        <v>1261</v>
      </c>
      <c r="D68" s="193" t="s">
        <v>1223</v>
      </c>
      <c r="E68" s="194">
        <v>4</v>
      </c>
      <c r="F68" s="195">
        <f t="shared" si="1"/>
        <v>2</v>
      </c>
      <c r="G68" s="125"/>
      <c r="H68" s="326"/>
    </row>
    <row r="69" spans="2:8" ht="15.75" customHeight="1">
      <c r="B69" s="521"/>
      <c r="C69" s="192" t="s">
        <v>1262</v>
      </c>
      <c r="D69" s="193" t="s">
        <v>1212</v>
      </c>
      <c r="E69" s="194">
        <v>1</v>
      </c>
      <c r="F69" s="195">
        <f t="shared" si="1"/>
        <v>2</v>
      </c>
      <c r="G69" s="125"/>
      <c r="H69" s="326"/>
    </row>
    <row r="70" spans="2:8" ht="15.75" customHeight="1">
      <c r="B70" s="521"/>
      <c r="C70" s="196" t="s">
        <v>1263</v>
      </c>
      <c r="D70" s="197" t="s">
        <v>1249</v>
      </c>
      <c r="E70" s="198">
        <v>1</v>
      </c>
      <c r="F70" s="195">
        <f t="shared" si="1"/>
        <v>2</v>
      </c>
      <c r="G70" s="125"/>
      <c r="H70" s="326"/>
    </row>
    <row r="71" spans="2:8" ht="15.75" customHeight="1">
      <c r="B71" s="521"/>
      <c r="C71" s="196" t="s">
        <v>1264</v>
      </c>
      <c r="D71" s="197" t="s">
        <v>1229</v>
      </c>
      <c r="E71" s="198">
        <v>1</v>
      </c>
      <c r="F71" s="195">
        <f t="shared" si="1"/>
        <v>2</v>
      </c>
      <c r="G71" s="125"/>
      <c r="H71" s="326"/>
    </row>
    <row r="72" spans="2:8" ht="15.75" customHeight="1">
      <c r="B72" s="521"/>
      <c r="C72" s="192" t="s">
        <v>1265</v>
      </c>
      <c r="D72" s="193" t="s">
        <v>1266</v>
      </c>
      <c r="E72" s="194">
        <v>1</v>
      </c>
      <c r="F72" s="195">
        <f t="shared" si="1"/>
        <v>2</v>
      </c>
      <c r="G72" s="125"/>
      <c r="H72" s="326"/>
    </row>
    <row r="73" spans="2:8" ht="15.75" customHeight="1">
      <c r="B73" s="521"/>
      <c r="C73" s="192" t="s">
        <v>1267</v>
      </c>
      <c r="D73" s="193" t="s">
        <v>1212</v>
      </c>
      <c r="E73" s="194">
        <v>3</v>
      </c>
      <c r="F73" s="195">
        <f t="shared" si="1"/>
        <v>2</v>
      </c>
      <c r="G73" s="125"/>
      <c r="H73" s="326"/>
    </row>
    <row r="74" spans="2:8" ht="15.75" customHeight="1">
      <c r="B74" s="521"/>
      <c r="C74" s="192" t="s">
        <v>1268</v>
      </c>
      <c r="D74" s="193" t="s">
        <v>1269</v>
      </c>
      <c r="E74" s="194">
        <v>1</v>
      </c>
      <c r="F74" s="195">
        <f t="shared" si="1"/>
        <v>2</v>
      </c>
      <c r="G74" s="125"/>
      <c r="H74" s="326"/>
    </row>
    <row r="75" spans="2:8" ht="15.75" customHeight="1">
      <c r="B75" s="521"/>
      <c r="C75" s="192" t="s">
        <v>1270</v>
      </c>
      <c r="D75" s="193" t="s">
        <v>1209</v>
      </c>
      <c r="E75" s="194">
        <v>1</v>
      </c>
      <c r="F75" s="195">
        <f t="shared" si="1"/>
        <v>2</v>
      </c>
      <c r="G75" s="125"/>
      <c r="H75" s="326"/>
    </row>
    <row r="76" spans="2:8" ht="15.75" customHeight="1">
      <c r="B76" s="521"/>
      <c r="C76" s="192" t="s">
        <v>1271</v>
      </c>
      <c r="D76" s="193" t="s">
        <v>1212</v>
      </c>
      <c r="E76" s="194">
        <v>1</v>
      </c>
      <c r="F76" s="195">
        <f t="shared" si="1"/>
        <v>2</v>
      </c>
      <c r="G76" s="125"/>
      <c r="H76" s="326"/>
    </row>
    <row r="77" spans="2:8" ht="15.75" customHeight="1">
      <c r="B77" s="521"/>
      <c r="C77" s="196" t="s">
        <v>1272</v>
      </c>
      <c r="D77" s="197" t="s">
        <v>1212</v>
      </c>
      <c r="E77" s="198">
        <v>1</v>
      </c>
      <c r="F77" s="195">
        <f t="shared" si="1"/>
        <v>2</v>
      </c>
      <c r="G77" s="125"/>
      <c r="H77" s="326"/>
    </row>
    <row r="78" spans="2:8" ht="15.75" customHeight="1">
      <c r="B78" s="521"/>
      <c r="C78" s="196" t="s">
        <v>1273</v>
      </c>
      <c r="D78" s="197" t="s">
        <v>1274</v>
      </c>
      <c r="E78" s="198">
        <v>1</v>
      </c>
      <c r="F78" s="195">
        <f t="shared" si="1"/>
        <v>2</v>
      </c>
      <c r="G78" s="125"/>
      <c r="H78" s="326"/>
    </row>
    <row r="79" spans="2:8" ht="15.75" customHeight="1">
      <c r="B79" s="521"/>
      <c r="C79" s="196" t="s">
        <v>1275</v>
      </c>
      <c r="D79" s="197" t="s">
        <v>1257</v>
      </c>
      <c r="E79" s="198">
        <v>1</v>
      </c>
      <c r="F79" s="195">
        <f t="shared" si="1"/>
        <v>2</v>
      </c>
      <c r="G79" s="125"/>
      <c r="H79" s="326"/>
    </row>
    <row r="80" spans="2:8" ht="15.75" customHeight="1">
      <c r="B80" s="521"/>
      <c r="C80" s="192" t="s">
        <v>1276</v>
      </c>
      <c r="D80" s="193" t="s">
        <v>1277</v>
      </c>
      <c r="E80" s="194">
        <v>1</v>
      </c>
      <c r="F80" s="195">
        <f t="shared" si="1"/>
        <v>2</v>
      </c>
      <c r="G80" s="125"/>
      <c r="H80" s="326"/>
    </row>
    <row r="81" spans="2:8" ht="15.75" customHeight="1">
      <c r="B81" s="521"/>
      <c r="C81" s="196" t="s">
        <v>1278</v>
      </c>
      <c r="D81" s="197" t="s">
        <v>1249</v>
      </c>
      <c r="E81" s="198">
        <v>1</v>
      </c>
      <c r="F81" s="195">
        <f t="shared" si="1"/>
        <v>2</v>
      </c>
      <c r="G81" s="125"/>
      <c r="H81" s="326"/>
    </row>
    <row r="82" spans="2:8" ht="15.75" customHeight="1">
      <c r="B82" s="521"/>
      <c r="C82" s="196" t="s">
        <v>1279</v>
      </c>
      <c r="D82" s="197" t="s">
        <v>1280</v>
      </c>
      <c r="E82" s="198">
        <v>1</v>
      </c>
      <c r="F82" s="195">
        <f t="shared" si="1"/>
        <v>2</v>
      </c>
      <c r="G82" s="125"/>
      <c r="H82" s="326"/>
    </row>
    <row r="83" spans="2:8" ht="15.75" customHeight="1">
      <c r="B83" s="521"/>
      <c r="C83" s="196" t="s">
        <v>1281</v>
      </c>
      <c r="D83" s="197" t="s">
        <v>1277</v>
      </c>
      <c r="E83" s="198">
        <v>1</v>
      </c>
      <c r="F83" s="195">
        <f t="shared" si="1"/>
        <v>2</v>
      </c>
      <c r="G83" s="125"/>
      <c r="H83" s="326"/>
    </row>
    <row r="84" spans="2:8" ht="15.75" customHeight="1">
      <c r="B84" s="521"/>
      <c r="C84" s="192" t="s">
        <v>1282</v>
      </c>
      <c r="D84" s="193" t="s">
        <v>1257</v>
      </c>
      <c r="E84" s="194">
        <v>1</v>
      </c>
      <c r="F84" s="195">
        <f t="shared" si="1"/>
        <v>2</v>
      </c>
      <c r="G84" s="125"/>
      <c r="H84" s="326"/>
    </row>
    <row r="85" spans="2:8" ht="15.75" customHeight="1">
      <c r="B85" s="521"/>
      <c r="C85" s="196" t="s">
        <v>1283</v>
      </c>
      <c r="D85" s="197" t="s">
        <v>1284</v>
      </c>
      <c r="E85" s="198">
        <v>1</v>
      </c>
      <c r="F85" s="195">
        <f t="shared" si="1"/>
        <v>2</v>
      </c>
      <c r="G85" s="125"/>
      <c r="H85" s="326"/>
    </row>
    <row r="86" spans="2:8" ht="15.75" customHeight="1">
      <c r="B86" s="521"/>
      <c r="C86" s="196" t="s">
        <v>1285</v>
      </c>
      <c r="D86" s="197" t="s">
        <v>1209</v>
      </c>
      <c r="E86" s="198">
        <v>1</v>
      </c>
      <c r="F86" s="195">
        <f t="shared" si="1"/>
        <v>2</v>
      </c>
      <c r="G86" s="125"/>
      <c r="H86" s="326"/>
    </row>
    <row r="87" spans="2:8" ht="15.75" customHeight="1">
      <c r="B87" s="521"/>
      <c r="C87" s="196" t="s">
        <v>1286</v>
      </c>
      <c r="D87" s="197" t="s">
        <v>1212</v>
      </c>
      <c r="E87" s="198">
        <v>1</v>
      </c>
      <c r="F87" s="195">
        <f t="shared" si="1"/>
        <v>2</v>
      </c>
      <c r="G87" s="125"/>
      <c r="H87" s="326"/>
    </row>
    <row r="88" spans="2:8" ht="15.75" customHeight="1">
      <c r="B88" s="521"/>
      <c r="C88" s="192" t="s">
        <v>1287</v>
      </c>
      <c r="D88" s="193" t="s">
        <v>1221</v>
      </c>
      <c r="E88" s="194">
        <v>1</v>
      </c>
      <c r="F88" s="195">
        <f t="shared" si="1"/>
        <v>2</v>
      </c>
      <c r="G88" s="125"/>
      <c r="H88" s="326"/>
    </row>
    <row r="89" spans="2:8" ht="15.75" customHeight="1">
      <c r="B89" s="521"/>
      <c r="C89" s="196" t="s">
        <v>1288</v>
      </c>
      <c r="D89" s="197" t="s">
        <v>1257</v>
      </c>
      <c r="E89" s="198">
        <v>1</v>
      </c>
      <c r="F89" s="195">
        <f t="shared" si="1"/>
        <v>2</v>
      </c>
      <c r="G89" s="125"/>
      <c r="H89" s="326"/>
    </row>
    <row r="90" spans="2:8" ht="15.75" customHeight="1">
      <c r="B90" s="521"/>
      <c r="C90" s="192" t="s">
        <v>1289</v>
      </c>
      <c r="D90" s="193" t="s">
        <v>1257</v>
      </c>
      <c r="E90" s="194">
        <v>1</v>
      </c>
      <c r="F90" s="195">
        <f t="shared" si="1"/>
        <v>2</v>
      </c>
      <c r="G90" s="125"/>
      <c r="H90" s="326"/>
    </row>
    <row r="91" spans="2:8" ht="15.75" customHeight="1">
      <c r="B91" s="521"/>
      <c r="C91" s="196" t="s">
        <v>1290</v>
      </c>
      <c r="D91" s="197" t="s">
        <v>1257</v>
      </c>
      <c r="E91" s="198">
        <v>1</v>
      </c>
      <c r="F91" s="195">
        <f t="shared" si="1"/>
        <v>2</v>
      </c>
      <c r="G91" s="125"/>
      <c r="H91" s="326"/>
    </row>
    <row r="92" spans="2:8" ht="15.75" customHeight="1">
      <c r="B92" s="521"/>
      <c r="C92" s="196" t="s">
        <v>1291</v>
      </c>
      <c r="D92" s="197" t="s">
        <v>1221</v>
      </c>
      <c r="E92" s="198">
        <v>1</v>
      </c>
      <c r="F92" s="195">
        <f t="shared" si="1"/>
        <v>2</v>
      </c>
      <c r="G92" s="125"/>
      <c r="H92" s="326"/>
    </row>
    <row r="93" spans="2:8" ht="15.75" customHeight="1">
      <c r="B93" s="490"/>
      <c r="C93" s="192" t="s">
        <v>1292</v>
      </c>
      <c r="D93" s="193" t="s">
        <v>1212</v>
      </c>
      <c r="E93" s="194">
        <v>1</v>
      </c>
      <c r="F93" s="195">
        <f t="shared" si="1"/>
        <v>2</v>
      </c>
      <c r="G93" s="125"/>
      <c r="H93" s="326"/>
    </row>
    <row r="94" spans="2:8" ht="15.75" customHeight="1" thickBot="1">
      <c r="B94" s="187"/>
      <c r="C94" s="192" t="s">
        <v>1293</v>
      </c>
      <c r="D94" s="193" t="s">
        <v>1294</v>
      </c>
      <c r="E94" s="194">
        <v>1</v>
      </c>
      <c r="F94" s="195">
        <f t="shared" si="1"/>
        <v>2</v>
      </c>
      <c r="G94" s="126"/>
      <c r="H94" s="328"/>
    </row>
    <row r="95" spans="2:8" ht="15.75" customHeight="1">
      <c r="B95" s="123"/>
      <c r="C95" s="208"/>
      <c r="D95" s="209"/>
      <c r="E95" s="210"/>
      <c r="F95" s="191" t="s">
        <v>770</v>
      </c>
    </row>
    <row r="96" spans="2:8" ht="15.75" customHeight="1">
      <c r="B96" s="123"/>
      <c r="C96" s="208"/>
      <c r="D96" s="209"/>
      <c r="E96" s="210"/>
      <c r="F96" s="298">
        <f>SUM(E37:E94)</f>
        <v>66</v>
      </c>
    </row>
    <row r="97" spans="2:8" ht="15.75" customHeight="1">
      <c r="B97" s="123"/>
      <c r="C97" s="208"/>
      <c r="D97" s="209"/>
      <c r="E97" s="210"/>
      <c r="F97" s="203" t="s">
        <v>773</v>
      </c>
    </row>
    <row r="98" spans="2:8" ht="15.75" customHeight="1" thickBot="1">
      <c r="F98" s="206">
        <v>2</v>
      </c>
    </row>
    <row r="99" spans="2:8" ht="15.75" customHeight="1">
      <c r="B99" s="533" t="s">
        <v>1295</v>
      </c>
      <c r="C99" s="201" t="s">
        <v>747</v>
      </c>
      <c r="D99" s="201" t="s">
        <v>106</v>
      </c>
      <c r="E99" s="201" t="s">
        <v>782</v>
      </c>
      <c r="F99" s="202" t="s">
        <v>769</v>
      </c>
      <c r="G99" s="349" t="s">
        <v>1707</v>
      </c>
      <c r="H99" s="350" t="s">
        <v>1166</v>
      </c>
    </row>
    <row r="100" spans="2:8" ht="15.75" customHeight="1">
      <c r="B100" s="533"/>
      <c r="C100" s="204" t="s">
        <v>1296</v>
      </c>
      <c r="D100" s="204"/>
      <c r="E100" s="205">
        <v>1</v>
      </c>
      <c r="F100" s="397">
        <f>1*$F$128</f>
        <v>2</v>
      </c>
      <c r="G100" s="390"/>
      <c r="H100" s="391"/>
    </row>
    <row r="101" spans="2:8" ht="15.75" customHeight="1">
      <c r="B101" s="533"/>
      <c r="C101" s="204" t="s">
        <v>1297</v>
      </c>
      <c r="D101" s="204" t="s">
        <v>1298</v>
      </c>
      <c r="E101" s="205">
        <v>1</v>
      </c>
      <c r="F101" s="397">
        <f t="shared" ref="F101:F124" si="2">1*$F$128</f>
        <v>2</v>
      </c>
      <c r="G101" s="390"/>
      <c r="H101" s="391"/>
    </row>
    <row r="102" spans="2:8" ht="15.75" customHeight="1">
      <c r="B102" s="533"/>
      <c r="C102" s="204" t="s">
        <v>1299</v>
      </c>
      <c r="D102" s="204" t="s">
        <v>1298</v>
      </c>
      <c r="E102" s="205">
        <v>1</v>
      </c>
      <c r="F102" s="397">
        <f t="shared" si="2"/>
        <v>2</v>
      </c>
      <c r="G102" s="390"/>
      <c r="H102" s="391"/>
    </row>
    <row r="103" spans="2:8" ht="15.75" customHeight="1">
      <c r="B103" s="533"/>
      <c r="C103" s="204" t="s">
        <v>1300</v>
      </c>
      <c r="D103" s="204" t="s">
        <v>1298</v>
      </c>
      <c r="E103" s="205">
        <v>1</v>
      </c>
      <c r="F103" s="397">
        <f t="shared" si="2"/>
        <v>2</v>
      </c>
      <c r="G103" s="390"/>
      <c r="H103" s="391"/>
    </row>
    <row r="104" spans="2:8" ht="15.75" customHeight="1">
      <c r="B104" s="533"/>
      <c r="C104" s="204" t="s">
        <v>1301</v>
      </c>
      <c r="D104" s="204" t="s">
        <v>1298</v>
      </c>
      <c r="E104" s="205">
        <v>1</v>
      </c>
      <c r="F104" s="397">
        <f t="shared" si="2"/>
        <v>2</v>
      </c>
      <c r="G104" s="390"/>
      <c r="H104" s="391"/>
    </row>
    <row r="105" spans="2:8" ht="15.75" customHeight="1">
      <c r="B105" s="533"/>
      <c r="C105" s="204" t="s">
        <v>1302</v>
      </c>
      <c r="D105" s="204" t="s">
        <v>1298</v>
      </c>
      <c r="E105" s="205">
        <v>1</v>
      </c>
      <c r="F105" s="397">
        <f t="shared" si="2"/>
        <v>2</v>
      </c>
      <c r="G105" s="390"/>
      <c r="H105" s="391"/>
    </row>
    <row r="106" spans="2:8" ht="15.75" customHeight="1">
      <c r="B106" s="533"/>
      <c r="C106" s="204" t="s">
        <v>1303</v>
      </c>
      <c r="D106" s="204" t="s">
        <v>1304</v>
      </c>
      <c r="E106" s="205">
        <v>1</v>
      </c>
      <c r="F106" s="397">
        <f t="shared" si="2"/>
        <v>2</v>
      </c>
      <c r="G106" s="125"/>
      <c r="H106" s="326"/>
    </row>
    <row r="107" spans="2:8" ht="15.75" customHeight="1">
      <c r="B107" s="533"/>
      <c r="C107" s="204" t="s">
        <v>1305</v>
      </c>
      <c r="D107" s="204" t="s">
        <v>1304</v>
      </c>
      <c r="E107" s="205">
        <v>1</v>
      </c>
      <c r="F107" s="397">
        <f t="shared" si="2"/>
        <v>2</v>
      </c>
      <c r="G107" s="125"/>
      <c r="H107" s="326"/>
    </row>
    <row r="108" spans="2:8" ht="15.75" customHeight="1">
      <c r="B108" s="533"/>
      <c r="C108" s="204" t="s">
        <v>1306</v>
      </c>
      <c r="D108" s="204" t="s">
        <v>1304</v>
      </c>
      <c r="E108" s="205">
        <v>1</v>
      </c>
      <c r="F108" s="397">
        <f t="shared" si="2"/>
        <v>2</v>
      </c>
      <c r="G108" s="125"/>
      <c r="H108" s="326"/>
    </row>
    <row r="109" spans="2:8" ht="15.75" customHeight="1">
      <c r="B109" s="533"/>
      <c r="C109" s="204" t="s">
        <v>1307</v>
      </c>
      <c r="D109" s="204" t="s">
        <v>1304</v>
      </c>
      <c r="E109" s="205">
        <v>1</v>
      </c>
      <c r="F109" s="397">
        <f t="shared" si="2"/>
        <v>2</v>
      </c>
      <c r="G109" s="125"/>
      <c r="H109" s="326"/>
    </row>
    <row r="110" spans="2:8" ht="15.75" customHeight="1">
      <c r="B110" s="533"/>
      <c r="C110" s="204" t="s">
        <v>1308</v>
      </c>
      <c r="D110" s="204" t="s">
        <v>1304</v>
      </c>
      <c r="E110" s="205">
        <v>1</v>
      </c>
      <c r="F110" s="397">
        <f t="shared" si="2"/>
        <v>2</v>
      </c>
      <c r="G110" s="125"/>
      <c r="H110" s="326"/>
    </row>
    <row r="111" spans="2:8" ht="15.75" customHeight="1">
      <c r="B111" s="533"/>
      <c r="C111" s="204" t="s">
        <v>1309</v>
      </c>
      <c r="D111" s="204" t="s">
        <v>1304</v>
      </c>
      <c r="E111" s="205">
        <v>1</v>
      </c>
      <c r="F111" s="397">
        <f t="shared" si="2"/>
        <v>2</v>
      </c>
      <c r="G111" s="125"/>
      <c r="H111" s="326"/>
    </row>
    <row r="112" spans="2:8" ht="15.75" customHeight="1">
      <c r="B112" s="533"/>
      <c r="C112" s="204" t="s">
        <v>1310</v>
      </c>
      <c r="D112" s="204" t="s">
        <v>1304</v>
      </c>
      <c r="E112" s="205">
        <v>1</v>
      </c>
      <c r="F112" s="397">
        <f t="shared" si="2"/>
        <v>2</v>
      </c>
      <c r="G112" s="125"/>
      <c r="H112" s="326"/>
    </row>
    <row r="113" spans="2:8" ht="15.75" customHeight="1">
      <c r="B113" s="533"/>
      <c r="C113" s="204" t="s">
        <v>1311</v>
      </c>
      <c r="D113" s="204" t="s">
        <v>1304</v>
      </c>
      <c r="E113" s="205">
        <v>1</v>
      </c>
      <c r="F113" s="397">
        <f t="shared" si="2"/>
        <v>2</v>
      </c>
      <c r="G113" s="125"/>
      <c r="H113" s="326"/>
    </row>
    <row r="114" spans="2:8" ht="15.75" customHeight="1">
      <c r="B114" s="533"/>
      <c r="C114" s="207" t="s">
        <v>1312</v>
      </c>
      <c r="D114" s="204" t="s">
        <v>1304</v>
      </c>
      <c r="E114" s="205">
        <v>1</v>
      </c>
      <c r="F114" s="397">
        <f t="shared" si="2"/>
        <v>2</v>
      </c>
      <c r="G114" s="125"/>
      <c r="H114" s="326"/>
    </row>
    <row r="115" spans="2:8" ht="15.75" customHeight="1">
      <c r="B115" s="533"/>
      <c r="C115" s="204" t="s">
        <v>1313</v>
      </c>
      <c r="D115" s="204" t="s">
        <v>1304</v>
      </c>
      <c r="E115" s="205">
        <v>1</v>
      </c>
      <c r="F115" s="397">
        <f t="shared" si="2"/>
        <v>2</v>
      </c>
      <c r="G115" s="125"/>
      <c r="H115" s="326"/>
    </row>
    <row r="116" spans="2:8" ht="15.75" customHeight="1">
      <c r="B116" s="533"/>
      <c r="C116" s="204" t="s">
        <v>1314</v>
      </c>
      <c r="D116" s="204" t="s">
        <v>1304</v>
      </c>
      <c r="E116" s="205">
        <v>1</v>
      </c>
      <c r="F116" s="397">
        <f t="shared" si="2"/>
        <v>2</v>
      </c>
      <c r="G116" s="125"/>
      <c r="H116" s="326"/>
    </row>
    <row r="117" spans="2:8" ht="15.75" customHeight="1">
      <c r="B117" s="533"/>
      <c r="C117" s="204" t="s">
        <v>1315</v>
      </c>
      <c r="D117" s="204" t="s">
        <v>1304</v>
      </c>
      <c r="E117" s="205">
        <v>1</v>
      </c>
      <c r="F117" s="397">
        <f t="shared" si="2"/>
        <v>2</v>
      </c>
      <c r="G117" s="125"/>
      <c r="H117" s="326"/>
    </row>
    <row r="118" spans="2:8" ht="15.75" customHeight="1">
      <c r="B118" s="533"/>
      <c r="C118" s="204" t="s">
        <v>1316</v>
      </c>
      <c r="D118" s="204" t="s">
        <v>1304</v>
      </c>
      <c r="E118" s="205">
        <v>1</v>
      </c>
      <c r="F118" s="397">
        <f t="shared" si="2"/>
        <v>2</v>
      </c>
      <c r="G118" s="125"/>
      <c r="H118" s="326"/>
    </row>
    <row r="119" spans="2:8" ht="15.75" customHeight="1">
      <c r="B119" s="533"/>
      <c r="C119" s="204" t="s">
        <v>1317</v>
      </c>
      <c r="D119" s="204" t="s">
        <v>1304</v>
      </c>
      <c r="E119" s="205">
        <v>1</v>
      </c>
      <c r="F119" s="397">
        <f t="shared" si="2"/>
        <v>2</v>
      </c>
      <c r="G119" s="125"/>
      <c r="H119" s="326"/>
    </row>
    <row r="120" spans="2:8" ht="15.75" customHeight="1">
      <c r="B120" s="533"/>
      <c r="C120" s="204" t="s">
        <v>1318</v>
      </c>
      <c r="D120" s="204" t="s">
        <v>1304</v>
      </c>
      <c r="E120" s="205">
        <v>1</v>
      </c>
      <c r="F120" s="397">
        <f t="shared" si="2"/>
        <v>2</v>
      </c>
      <c r="G120" s="125"/>
      <c r="H120" s="326"/>
    </row>
    <row r="121" spans="2:8" ht="15.75" customHeight="1">
      <c r="B121" s="533"/>
      <c r="C121" s="204" t="s">
        <v>1319</v>
      </c>
      <c r="D121" s="204" t="s">
        <v>1304</v>
      </c>
      <c r="E121" s="205">
        <v>1</v>
      </c>
      <c r="F121" s="397">
        <f t="shared" si="2"/>
        <v>2</v>
      </c>
      <c r="G121" s="125"/>
      <c r="H121" s="326"/>
    </row>
    <row r="122" spans="2:8" ht="15.75" customHeight="1">
      <c r="B122" s="533"/>
      <c r="C122" s="204" t="s">
        <v>1320</v>
      </c>
      <c r="D122" s="204" t="s">
        <v>1304</v>
      </c>
      <c r="E122" s="205">
        <v>1</v>
      </c>
      <c r="F122" s="397">
        <f t="shared" si="2"/>
        <v>2</v>
      </c>
      <c r="G122" s="125"/>
      <c r="H122" s="326"/>
    </row>
    <row r="123" spans="2:8" ht="15.75" customHeight="1">
      <c r="B123" s="533"/>
      <c r="C123" s="204" t="s">
        <v>1321</v>
      </c>
      <c r="D123" s="204" t="s">
        <v>1322</v>
      </c>
      <c r="E123" s="205">
        <v>1</v>
      </c>
      <c r="F123" s="397">
        <f t="shared" si="2"/>
        <v>2</v>
      </c>
      <c r="G123" s="125"/>
      <c r="H123" s="326"/>
    </row>
    <row r="124" spans="2:8" ht="15.75" customHeight="1" thickBot="1">
      <c r="B124" s="533"/>
      <c r="C124" s="204" t="s">
        <v>1323</v>
      </c>
      <c r="D124" s="204" t="s">
        <v>1203</v>
      </c>
      <c r="E124" s="205">
        <v>1</v>
      </c>
      <c r="F124" s="397">
        <f t="shared" si="2"/>
        <v>2</v>
      </c>
      <c r="G124" s="126"/>
      <c r="H124" s="328"/>
    </row>
    <row r="125" spans="2:8" ht="15.75" customHeight="1">
      <c r="F125" s="299" t="s">
        <v>770</v>
      </c>
    </row>
    <row r="126" spans="2:8" ht="15.75" customHeight="1">
      <c r="F126" s="312">
        <f>SUM(E100:E124)</f>
        <v>25</v>
      </c>
    </row>
    <row r="127" spans="2:8" ht="15.75" customHeight="1">
      <c r="F127" s="299" t="s">
        <v>773</v>
      </c>
    </row>
    <row r="128" spans="2:8" ht="15.75" customHeight="1">
      <c r="F128" s="263">
        <v>2</v>
      </c>
    </row>
    <row r="129" spans="2:8" ht="15.75" customHeight="1" thickBot="1">
      <c r="F129" s="313"/>
    </row>
    <row r="130" spans="2:8" ht="15.75" customHeight="1">
      <c r="B130" s="468" t="s">
        <v>1324</v>
      </c>
      <c r="C130" s="212" t="s">
        <v>747</v>
      </c>
      <c r="D130" s="201" t="s">
        <v>106</v>
      </c>
      <c r="E130" s="201" t="s">
        <v>782</v>
      </c>
      <c r="F130" s="202" t="s">
        <v>769</v>
      </c>
      <c r="G130" s="349" t="s">
        <v>1707</v>
      </c>
      <c r="H130" s="350" t="s">
        <v>1166</v>
      </c>
    </row>
    <row r="131" spans="2:8" ht="15.75" customHeight="1">
      <c r="B131" s="468"/>
      <c r="C131" s="213" t="s">
        <v>1325</v>
      </c>
      <c r="D131" s="214" t="s">
        <v>1216</v>
      </c>
      <c r="E131" s="215">
        <v>1</v>
      </c>
      <c r="F131" s="216">
        <f>1*$F$167</f>
        <v>2</v>
      </c>
      <c r="G131" s="390"/>
      <c r="H131" s="391"/>
    </row>
    <row r="132" spans="2:8" ht="15.75" customHeight="1">
      <c r="B132" s="468"/>
      <c r="C132" s="208" t="s">
        <v>1326</v>
      </c>
      <c r="D132" s="217" t="s">
        <v>1327</v>
      </c>
      <c r="E132" s="218">
        <v>1</v>
      </c>
      <c r="F132" s="216">
        <f t="shared" ref="F132:F163" si="3">1*$F$167</f>
        <v>2</v>
      </c>
      <c r="G132" s="390"/>
      <c r="H132" s="391"/>
    </row>
    <row r="133" spans="2:8" ht="15.75" customHeight="1">
      <c r="B133" s="468"/>
      <c r="C133" s="208" t="s">
        <v>1328</v>
      </c>
      <c r="D133" s="217" t="s">
        <v>1329</v>
      </c>
      <c r="E133" s="218">
        <v>1</v>
      </c>
      <c r="F133" s="216">
        <f t="shared" si="3"/>
        <v>2</v>
      </c>
      <c r="G133" s="390"/>
      <c r="H133" s="391"/>
    </row>
    <row r="134" spans="2:8" ht="15.75" customHeight="1">
      <c r="B134" s="468"/>
      <c r="C134" s="208" t="s">
        <v>1330</v>
      </c>
      <c r="D134" s="217" t="s">
        <v>1229</v>
      </c>
      <c r="E134" s="218">
        <v>1</v>
      </c>
      <c r="F134" s="216">
        <f t="shared" si="3"/>
        <v>2</v>
      </c>
      <c r="G134" s="390"/>
      <c r="H134" s="391"/>
    </row>
    <row r="135" spans="2:8" ht="15.75" customHeight="1">
      <c r="B135" s="468"/>
      <c r="C135" s="208" t="s">
        <v>1331</v>
      </c>
      <c r="D135" s="217" t="s">
        <v>1332</v>
      </c>
      <c r="E135" s="218">
        <v>1</v>
      </c>
      <c r="F135" s="216">
        <f t="shared" si="3"/>
        <v>2</v>
      </c>
      <c r="G135" s="390"/>
      <c r="H135" s="391"/>
    </row>
    <row r="136" spans="2:8" ht="15.75" customHeight="1">
      <c r="B136" s="468"/>
      <c r="C136" s="208" t="s">
        <v>1333</v>
      </c>
      <c r="D136" s="217" t="s">
        <v>1332</v>
      </c>
      <c r="E136" s="218">
        <v>1</v>
      </c>
      <c r="F136" s="216">
        <f t="shared" si="3"/>
        <v>2</v>
      </c>
      <c r="G136" s="390"/>
      <c r="H136" s="391"/>
    </row>
    <row r="137" spans="2:8" ht="15.75" customHeight="1">
      <c r="B137" s="468"/>
      <c r="C137" s="208" t="s">
        <v>1334</v>
      </c>
      <c r="D137" s="217" t="s">
        <v>1269</v>
      </c>
      <c r="E137" s="218">
        <v>1</v>
      </c>
      <c r="F137" s="216">
        <f t="shared" si="3"/>
        <v>2</v>
      </c>
      <c r="G137" s="125"/>
      <c r="H137" s="326"/>
    </row>
    <row r="138" spans="2:8" ht="15.75" customHeight="1">
      <c r="B138" s="468"/>
      <c r="C138" s="208" t="s">
        <v>1335</v>
      </c>
      <c r="D138" s="217" t="s">
        <v>1336</v>
      </c>
      <c r="E138" s="218">
        <v>1</v>
      </c>
      <c r="F138" s="216">
        <f t="shared" si="3"/>
        <v>2</v>
      </c>
      <c r="G138" s="125"/>
      <c r="H138" s="326"/>
    </row>
    <row r="139" spans="2:8" ht="15.75" customHeight="1">
      <c r="B139" s="468"/>
      <c r="C139" s="208" t="s">
        <v>1337</v>
      </c>
      <c r="D139" s="217" t="s">
        <v>1338</v>
      </c>
      <c r="E139" s="218">
        <v>1</v>
      </c>
      <c r="F139" s="216">
        <f t="shared" si="3"/>
        <v>2</v>
      </c>
      <c r="G139" s="125"/>
      <c r="H139" s="326"/>
    </row>
    <row r="140" spans="2:8" ht="15.75" customHeight="1">
      <c r="B140" s="468"/>
      <c r="C140" s="208" t="s">
        <v>1339</v>
      </c>
      <c r="D140" s="217" t="s">
        <v>1340</v>
      </c>
      <c r="E140" s="218">
        <v>1</v>
      </c>
      <c r="F140" s="216">
        <f t="shared" si="3"/>
        <v>2</v>
      </c>
      <c r="G140" s="125"/>
      <c r="H140" s="326"/>
    </row>
    <row r="141" spans="2:8" ht="15.75" customHeight="1">
      <c r="B141" s="468"/>
      <c r="C141" s="208" t="s">
        <v>1341</v>
      </c>
      <c r="D141" s="217" t="s">
        <v>1342</v>
      </c>
      <c r="E141" s="218">
        <v>1</v>
      </c>
      <c r="F141" s="216">
        <f t="shared" si="3"/>
        <v>2</v>
      </c>
      <c r="G141" s="125"/>
      <c r="H141" s="326"/>
    </row>
    <row r="142" spans="2:8" ht="15.75" customHeight="1">
      <c r="B142" s="468"/>
      <c r="C142" s="208" t="s">
        <v>1343</v>
      </c>
      <c r="D142" s="217" t="s">
        <v>1342</v>
      </c>
      <c r="E142" s="218">
        <v>1</v>
      </c>
      <c r="F142" s="216">
        <f t="shared" si="3"/>
        <v>2</v>
      </c>
      <c r="G142" s="125"/>
      <c r="H142" s="326"/>
    </row>
    <row r="143" spans="2:8" ht="15.75" customHeight="1">
      <c r="B143" s="468"/>
      <c r="C143" s="208" t="s">
        <v>1344</v>
      </c>
      <c r="D143" s="217" t="s">
        <v>1342</v>
      </c>
      <c r="E143" s="218">
        <v>1</v>
      </c>
      <c r="F143" s="216">
        <f t="shared" si="3"/>
        <v>2</v>
      </c>
      <c r="G143" s="125"/>
      <c r="H143" s="326"/>
    </row>
    <row r="144" spans="2:8" ht="15.75" customHeight="1">
      <c r="B144" s="468"/>
      <c r="C144" s="208" t="s">
        <v>1345</v>
      </c>
      <c r="D144" s="217" t="s">
        <v>1229</v>
      </c>
      <c r="E144" s="218">
        <v>1</v>
      </c>
      <c r="F144" s="216">
        <f t="shared" si="3"/>
        <v>2</v>
      </c>
      <c r="G144" s="125"/>
      <c r="H144" s="326"/>
    </row>
    <row r="145" spans="2:8" ht="15.75" customHeight="1">
      <c r="B145" s="468"/>
      <c r="C145" s="208" t="s">
        <v>1346</v>
      </c>
      <c r="D145" s="217" t="s">
        <v>1347</v>
      </c>
      <c r="E145" s="218">
        <v>1</v>
      </c>
      <c r="F145" s="216">
        <f t="shared" si="3"/>
        <v>2</v>
      </c>
      <c r="G145" s="125"/>
      <c r="H145" s="326"/>
    </row>
    <row r="146" spans="2:8" ht="15.75" customHeight="1">
      <c r="B146" s="468"/>
      <c r="C146" s="208" t="s">
        <v>1348</v>
      </c>
      <c r="D146" s="217" t="s">
        <v>1212</v>
      </c>
      <c r="E146" s="218">
        <v>1</v>
      </c>
      <c r="F146" s="216">
        <f t="shared" si="3"/>
        <v>2</v>
      </c>
      <c r="G146" s="125"/>
      <c r="H146" s="326"/>
    </row>
    <row r="147" spans="2:8" ht="15.75" customHeight="1">
      <c r="B147" s="468"/>
      <c r="C147" s="208" t="s">
        <v>1349</v>
      </c>
      <c r="D147" s="217" t="s">
        <v>1212</v>
      </c>
      <c r="E147" s="218">
        <v>1</v>
      </c>
      <c r="F147" s="216">
        <f t="shared" si="3"/>
        <v>2</v>
      </c>
      <c r="G147" s="125"/>
      <c r="H147" s="326"/>
    </row>
    <row r="148" spans="2:8" ht="15.75" customHeight="1">
      <c r="B148" s="468"/>
      <c r="C148" s="208" t="s">
        <v>1350</v>
      </c>
      <c r="D148" s="217" t="s">
        <v>1351</v>
      </c>
      <c r="E148" s="218">
        <v>1</v>
      </c>
      <c r="F148" s="216">
        <f t="shared" si="3"/>
        <v>2</v>
      </c>
      <c r="G148" s="125"/>
      <c r="H148" s="326"/>
    </row>
    <row r="149" spans="2:8" ht="15.75" customHeight="1">
      <c r="B149" s="468"/>
      <c r="C149" s="208" t="s">
        <v>1352</v>
      </c>
      <c r="D149" s="217" t="s">
        <v>1351</v>
      </c>
      <c r="E149" s="218">
        <v>1</v>
      </c>
      <c r="F149" s="216">
        <f t="shared" si="3"/>
        <v>2</v>
      </c>
      <c r="G149" s="125"/>
      <c r="H149" s="326"/>
    </row>
    <row r="150" spans="2:8" ht="15.75" customHeight="1">
      <c r="B150" s="468"/>
      <c r="C150" s="208" t="s">
        <v>1353</v>
      </c>
      <c r="D150" s="217" t="s">
        <v>1354</v>
      </c>
      <c r="E150" s="218">
        <v>1</v>
      </c>
      <c r="F150" s="216">
        <f t="shared" si="3"/>
        <v>2</v>
      </c>
      <c r="G150" s="125"/>
      <c r="H150" s="326"/>
    </row>
    <row r="151" spans="2:8" ht="15.75" customHeight="1">
      <c r="B151" s="468"/>
      <c r="C151" s="208" t="s">
        <v>1355</v>
      </c>
      <c r="D151" s="217" t="s">
        <v>1354</v>
      </c>
      <c r="E151" s="218">
        <v>1</v>
      </c>
      <c r="F151" s="216">
        <f t="shared" si="3"/>
        <v>2</v>
      </c>
      <c r="G151" s="125"/>
      <c r="H151" s="326"/>
    </row>
    <row r="152" spans="2:8" ht="15.75" customHeight="1">
      <c r="B152" s="468"/>
      <c r="C152" s="208" t="s">
        <v>1356</v>
      </c>
      <c r="D152" s="217" t="s">
        <v>1357</v>
      </c>
      <c r="E152" s="218">
        <v>1</v>
      </c>
      <c r="F152" s="216">
        <f t="shared" si="3"/>
        <v>2</v>
      </c>
      <c r="G152" s="125"/>
      <c r="H152" s="326"/>
    </row>
    <row r="153" spans="2:8" ht="15.75" customHeight="1">
      <c r="B153" s="468"/>
      <c r="C153" s="208" t="s">
        <v>1358</v>
      </c>
      <c r="D153" s="217" t="s">
        <v>1359</v>
      </c>
      <c r="E153" s="218">
        <v>1</v>
      </c>
      <c r="F153" s="216">
        <f t="shared" si="3"/>
        <v>2</v>
      </c>
      <c r="G153" s="125"/>
      <c r="H153" s="326"/>
    </row>
    <row r="154" spans="2:8" ht="15.75" customHeight="1">
      <c r="B154" s="468"/>
      <c r="C154" s="208" t="s">
        <v>1360</v>
      </c>
      <c r="D154" s="217" t="s">
        <v>1212</v>
      </c>
      <c r="E154" s="218">
        <v>1</v>
      </c>
      <c r="F154" s="216">
        <f t="shared" si="3"/>
        <v>2</v>
      </c>
      <c r="G154" s="125"/>
      <c r="H154" s="326"/>
    </row>
    <row r="155" spans="2:8" ht="15.75" customHeight="1">
      <c r="B155" s="468"/>
      <c r="C155" s="208" t="s">
        <v>1361</v>
      </c>
      <c r="D155" s="217" t="s">
        <v>1212</v>
      </c>
      <c r="E155" s="218">
        <v>1</v>
      </c>
      <c r="F155" s="216">
        <f t="shared" si="3"/>
        <v>2</v>
      </c>
      <c r="G155" s="125"/>
      <c r="H155" s="326"/>
    </row>
    <row r="156" spans="2:8" ht="15.75" customHeight="1">
      <c r="B156" s="468"/>
      <c r="C156" s="208" t="s">
        <v>1362</v>
      </c>
      <c r="D156" s="217" t="s">
        <v>1257</v>
      </c>
      <c r="E156" s="218">
        <v>1</v>
      </c>
      <c r="F156" s="216">
        <f t="shared" si="3"/>
        <v>2</v>
      </c>
      <c r="G156" s="125"/>
      <c r="H156" s="326"/>
    </row>
    <row r="157" spans="2:8" ht="15.75" customHeight="1">
      <c r="B157" s="468"/>
      <c r="C157" s="208" t="s">
        <v>1271</v>
      </c>
      <c r="D157" s="217" t="s">
        <v>1212</v>
      </c>
      <c r="E157" s="218">
        <v>1</v>
      </c>
      <c r="F157" s="216">
        <f t="shared" si="3"/>
        <v>2</v>
      </c>
      <c r="G157" s="125"/>
      <c r="H157" s="326"/>
    </row>
    <row r="158" spans="2:8" ht="15.75" customHeight="1">
      <c r="B158" s="468"/>
      <c r="C158" s="208" t="s">
        <v>1363</v>
      </c>
      <c r="D158" s="217" t="s">
        <v>1257</v>
      </c>
      <c r="E158" s="218">
        <v>1</v>
      </c>
      <c r="F158" s="216">
        <f t="shared" si="3"/>
        <v>2</v>
      </c>
      <c r="G158" s="125"/>
      <c r="H158" s="326"/>
    </row>
    <row r="159" spans="2:8" ht="15.75" customHeight="1">
      <c r="B159" s="468"/>
      <c r="C159" s="208" t="s">
        <v>1364</v>
      </c>
      <c r="D159" s="217" t="s">
        <v>1357</v>
      </c>
      <c r="E159" s="218">
        <v>1</v>
      </c>
      <c r="F159" s="216">
        <f t="shared" si="3"/>
        <v>2</v>
      </c>
      <c r="G159" s="125"/>
      <c r="H159" s="326"/>
    </row>
    <row r="160" spans="2:8" ht="15.75" customHeight="1">
      <c r="B160" s="468"/>
      <c r="C160" s="208" t="s">
        <v>1365</v>
      </c>
      <c r="D160" s="217" t="s">
        <v>1351</v>
      </c>
      <c r="E160" s="218">
        <v>1</v>
      </c>
      <c r="F160" s="216">
        <f t="shared" si="3"/>
        <v>2</v>
      </c>
      <c r="G160" s="125"/>
      <c r="H160" s="326"/>
    </row>
    <row r="161" spans="2:8" ht="15.75" customHeight="1">
      <c r="B161" s="468"/>
      <c r="C161" s="208" t="s">
        <v>1366</v>
      </c>
      <c r="D161" s="217" t="s">
        <v>1351</v>
      </c>
      <c r="E161" s="218">
        <v>1</v>
      </c>
      <c r="F161" s="216">
        <f t="shared" si="3"/>
        <v>2</v>
      </c>
      <c r="G161" s="125"/>
      <c r="H161" s="326"/>
    </row>
    <row r="162" spans="2:8" ht="15.75" customHeight="1">
      <c r="B162" s="468"/>
      <c r="C162" s="208" t="s">
        <v>1367</v>
      </c>
      <c r="D162" s="217" t="s">
        <v>1351</v>
      </c>
      <c r="E162" s="218">
        <v>1</v>
      </c>
      <c r="F162" s="216">
        <f t="shared" si="3"/>
        <v>2</v>
      </c>
      <c r="G162" s="125"/>
      <c r="H162" s="326"/>
    </row>
    <row r="163" spans="2:8" ht="15.75" customHeight="1" thickBot="1">
      <c r="B163" s="468"/>
      <c r="C163" s="219" t="s">
        <v>1293</v>
      </c>
      <c r="D163" s="220" t="s">
        <v>1294</v>
      </c>
      <c r="E163" s="221">
        <v>1</v>
      </c>
      <c r="F163" s="216">
        <f t="shared" si="3"/>
        <v>2</v>
      </c>
      <c r="G163" s="126"/>
      <c r="H163" s="328"/>
    </row>
    <row r="164" spans="2:8" ht="15.75" customHeight="1">
      <c r="B164" s="123"/>
      <c r="C164" s="208"/>
      <c r="D164" s="234"/>
      <c r="E164" s="210"/>
      <c r="F164" s="299" t="s">
        <v>770</v>
      </c>
    </row>
    <row r="165" spans="2:8" ht="15.75" customHeight="1">
      <c r="B165" s="123"/>
      <c r="C165" s="208"/>
      <c r="D165" s="234"/>
      <c r="E165" s="210"/>
      <c r="F165" s="300">
        <f>SUM(E131:E163)</f>
        <v>33</v>
      </c>
    </row>
    <row r="166" spans="2:8" ht="15.75" customHeight="1">
      <c r="B166" s="123"/>
      <c r="C166" s="208"/>
      <c r="D166" s="234"/>
      <c r="E166" s="210"/>
      <c r="F166" s="299" t="s">
        <v>773</v>
      </c>
    </row>
    <row r="167" spans="2:8" ht="15.75" customHeight="1">
      <c r="B167" s="123"/>
      <c r="C167" s="208"/>
      <c r="D167" s="234"/>
      <c r="E167" s="210"/>
      <c r="F167" s="301">
        <v>2</v>
      </c>
    </row>
    <row r="168" spans="2:8" ht="15.75" customHeight="1" thickBot="1"/>
    <row r="169" spans="2:8" ht="15.75" customHeight="1">
      <c r="B169" s="534" t="s">
        <v>1368</v>
      </c>
      <c r="C169" s="201" t="s">
        <v>747</v>
      </c>
      <c r="D169" s="201" t="s">
        <v>106</v>
      </c>
      <c r="E169" s="201" t="s">
        <v>782</v>
      </c>
      <c r="F169" s="202" t="s">
        <v>769</v>
      </c>
      <c r="G169" s="349" t="s">
        <v>1707</v>
      </c>
      <c r="H169" s="350" t="s">
        <v>1166</v>
      </c>
    </row>
    <row r="170" spans="2:8" ht="15.75" customHeight="1">
      <c r="B170" s="534"/>
      <c r="C170" s="192" t="s">
        <v>1208</v>
      </c>
      <c r="D170" s="222" t="s">
        <v>1209</v>
      </c>
      <c r="E170" s="194">
        <v>1</v>
      </c>
      <c r="F170" s="195">
        <f>1*$F$193</f>
        <v>2</v>
      </c>
      <c r="G170" s="390"/>
      <c r="H170" s="391"/>
    </row>
    <row r="171" spans="2:8" ht="15.75" customHeight="1">
      <c r="B171" s="534"/>
      <c r="C171" s="192" t="s">
        <v>1369</v>
      </c>
      <c r="D171" s="222" t="s">
        <v>1221</v>
      </c>
      <c r="E171" s="194">
        <v>1</v>
      </c>
      <c r="F171" s="195">
        <f t="shared" ref="F171:F189" si="4">1*$F$193</f>
        <v>2</v>
      </c>
      <c r="G171" s="390"/>
      <c r="H171" s="391"/>
    </row>
    <row r="172" spans="2:8" ht="15.75" customHeight="1">
      <c r="B172" s="534"/>
      <c r="C172" s="192" t="s">
        <v>1370</v>
      </c>
      <c r="D172" s="222" t="s">
        <v>1371</v>
      </c>
      <c r="E172" s="194">
        <v>1</v>
      </c>
      <c r="F172" s="195">
        <f t="shared" si="4"/>
        <v>2</v>
      </c>
      <c r="G172" s="390"/>
      <c r="H172" s="391"/>
    </row>
    <row r="173" spans="2:8" ht="15.75" customHeight="1">
      <c r="B173" s="534"/>
      <c r="C173" s="192" t="s">
        <v>1372</v>
      </c>
      <c r="D173" s="222" t="s">
        <v>1373</v>
      </c>
      <c r="E173" s="194">
        <v>1</v>
      </c>
      <c r="F173" s="195">
        <f t="shared" si="4"/>
        <v>2</v>
      </c>
      <c r="G173" s="390"/>
      <c r="H173" s="391"/>
    </row>
    <row r="174" spans="2:8" ht="15.75" customHeight="1">
      <c r="B174" s="534"/>
      <c r="C174" s="192" t="s">
        <v>1220</v>
      </c>
      <c r="D174" s="222" t="s">
        <v>1221</v>
      </c>
      <c r="E174" s="194">
        <v>1</v>
      </c>
      <c r="F174" s="195">
        <f t="shared" si="4"/>
        <v>2</v>
      </c>
      <c r="G174" s="390"/>
      <c r="H174" s="391"/>
    </row>
    <row r="175" spans="2:8" ht="15.75" customHeight="1">
      <c r="B175" s="534"/>
      <c r="C175" s="192" t="s">
        <v>1374</v>
      </c>
      <c r="D175" s="222" t="s">
        <v>1375</v>
      </c>
      <c r="E175" s="194">
        <v>1</v>
      </c>
      <c r="F175" s="195">
        <f t="shared" si="4"/>
        <v>2</v>
      </c>
      <c r="G175" s="390"/>
      <c r="H175" s="391"/>
    </row>
    <row r="176" spans="2:8" ht="15.75" customHeight="1">
      <c r="B176" s="534"/>
      <c r="C176" s="192" t="s">
        <v>1376</v>
      </c>
      <c r="D176" s="222" t="s">
        <v>1375</v>
      </c>
      <c r="E176" s="194">
        <v>1</v>
      </c>
      <c r="F176" s="195">
        <f t="shared" si="4"/>
        <v>2</v>
      </c>
      <c r="G176" s="125"/>
      <c r="H176" s="326"/>
    </row>
    <row r="177" spans="2:8" ht="15.75" customHeight="1">
      <c r="B177" s="534"/>
      <c r="C177" s="192" t="s">
        <v>1377</v>
      </c>
      <c r="D177" s="222" t="s">
        <v>1375</v>
      </c>
      <c r="E177" s="194">
        <v>1</v>
      </c>
      <c r="F177" s="195">
        <f t="shared" si="4"/>
        <v>2</v>
      </c>
      <c r="G177" s="125"/>
      <c r="H177" s="326"/>
    </row>
    <row r="178" spans="2:8" ht="15.75" customHeight="1">
      <c r="B178" s="534"/>
      <c r="C178" s="192" t="s">
        <v>1378</v>
      </c>
      <c r="D178" s="222" t="s">
        <v>1280</v>
      </c>
      <c r="E178" s="194">
        <v>1</v>
      </c>
      <c r="F178" s="195">
        <f t="shared" si="4"/>
        <v>2</v>
      </c>
      <c r="G178" s="125"/>
      <c r="H178" s="326"/>
    </row>
    <row r="179" spans="2:8" ht="15.75" customHeight="1">
      <c r="B179" s="534"/>
      <c r="C179" s="192" t="s">
        <v>1379</v>
      </c>
      <c r="D179" s="222" t="s">
        <v>1269</v>
      </c>
      <c r="E179" s="194">
        <v>1</v>
      </c>
      <c r="F179" s="195">
        <f t="shared" si="4"/>
        <v>2</v>
      </c>
      <c r="G179" s="125"/>
      <c r="H179" s="326"/>
    </row>
    <row r="180" spans="2:8" ht="15.75" customHeight="1">
      <c r="B180" s="534"/>
      <c r="C180" s="192" t="s">
        <v>1270</v>
      </c>
      <c r="D180" s="222" t="s">
        <v>1209</v>
      </c>
      <c r="E180" s="194">
        <v>1</v>
      </c>
      <c r="F180" s="195">
        <f t="shared" si="4"/>
        <v>2</v>
      </c>
      <c r="G180" s="125"/>
      <c r="H180" s="326"/>
    </row>
    <row r="181" spans="2:8" ht="15.75" customHeight="1">
      <c r="B181" s="534"/>
      <c r="C181" s="192" t="s">
        <v>1380</v>
      </c>
      <c r="D181" s="222" t="s">
        <v>1266</v>
      </c>
      <c r="E181" s="194">
        <v>1</v>
      </c>
      <c r="F181" s="195">
        <f t="shared" si="4"/>
        <v>2</v>
      </c>
      <c r="G181" s="125"/>
      <c r="H181" s="326"/>
    </row>
    <row r="182" spans="2:8" ht="15.75" customHeight="1">
      <c r="B182" s="534"/>
      <c r="C182" s="307" t="s">
        <v>1381</v>
      </c>
      <c r="D182" s="222" t="s">
        <v>1690</v>
      </c>
      <c r="E182" s="194">
        <v>1</v>
      </c>
      <c r="F182" s="195">
        <f t="shared" si="4"/>
        <v>2</v>
      </c>
      <c r="G182" s="125"/>
      <c r="H182" s="326"/>
    </row>
    <row r="183" spans="2:8" ht="15.75" customHeight="1">
      <c r="B183" s="534"/>
      <c r="C183" s="192" t="s">
        <v>1381</v>
      </c>
      <c r="D183" s="222" t="s">
        <v>1269</v>
      </c>
      <c r="E183" s="194">
        <v>1</v>
      </c>
      <c r="F183" s="195">
        <f t="shared" si="4"/>
        <v>2</v>
      </c>
      <c r="G183" s="125"/>
      <c r="H183" s="326"/>
    </row>
    <row r="184" spans="2:8" ht="15.75" customHeight="1">
      <c r="B184" s="534"/>
      <c r="C184" s="192" t="s">
        <v>1382</v>
      </c>
      <c r="D184" s="222" t="s">
        <v>1342</v>
      </c>
      <c r="E184" s="194">
        <v>1</v>
      </c>
      <c r="F184" s="195">
        <f t="shared" si="4"/>
        <v>2</v>
      </c>
      <c r="G184" s="125"/>
      <c r="H184" s="326"/>
    </row>
    <row r="185" spans="2:8" ht="15.75" customHeight="1">
      <c r="B185" s="534"/>
      <c r="C185" s="192" t="s">
        <v>1383</v>
      </c>
      <c r="D185" s="222" t="s">
        <v>1229</v>
      </c>
      <c r="E185" s="194">
        <v>1</v>
      </c>
      <c r="F185" s="195">
        <f t="shared" si="4"/>
        <v>2</v>
      </c>
      <c r="G185" s="125"/>
      <c r="H185" s="326"/>
    </row>
    <row r="186" spans="2:8" ht="15.75" customHeight="1">
      <c r="B186" s="534"/>
      <c r="C186" s="192" t="s">
        <v>1384</v>
      </c>
      <c r="D186" s="222" t="s">
        <v>1385</v>
      </c>
      <c r="E186" s="194">
        <v>1</v>
      </c>
      <c r="F186" s="195">
        <f t="shared" si="4"/>
        <v>2</v>
      </c>
      <c r="G186" s="125"/>
      <c r="H186" s="326"/>
    </row>
    <row r="187" spans="2:8" ht="15.75" customHeight="1">
      <c r="B187" s="534"/>
      <c r="C187" s="192" t="s">
        <v>1386</v>
      </c>
      <c r="D187" s="222" t="s">
        <v>1387</v>
      </c>
      <c r="E187" s="194">
        <v>1</v>
      </c>
      <c r="F187" s="195">
        <f t="shared" si="4"/>
        <v>2</v>
      </c>
      <c r="G187" s="125"/>
      <c r="H187" s="326"/>
    </row>
    <row r="188" spans="2:8" ht="15.75" customHeight="1">
      <c r="B188" s="534"/>
      <c r="C188" s="192" t="s">
        <v>1388</v>
      </c>
      <c r="D188" s="222" t="s">
        <v>1229</v>
      </c>
      <c r="E188" s="194">
        <v>1</v>
      </c>
      <c r="F188" s="195">
        <f t="shared" si="4"/>
        <v>2</v>
      </c>
      <c r="G188" s="125"/>
      <c r="H188" s="326"/>
    </row>
    <row r="189" spans="2:8" ht="15.75" customHeight="1" thickBot="1">
      <c r="B189" s="534"/>
      <c r="C189" s="192" t="s">
        <v>1293</v>
      </c>
      <c r="D189" s="222" t="s">
        <v>1294</v>
      </c>
      <c r="E189" s="194">
        <v>1</v>
      </c>
      <c r="F189" s="195">
        <f t="shared" si="4"/>
        <v>2</v>
      </c>
      <c r="G189" s="126"/>
      <c r="H189" s="328"/>
    </row>
    <row r="190" spans="2:8" ht="15.75" customHeight="1">
      <c r="B190" s="235"/>
      <c r="C190" s="208"/>
      <c r="D190" s="234"/>
      <c r="E190" s="210"/>
      <c r="F190" s="299" t="s">
        <v>770</v>
      </c>
    </row>
    <row r="191" spans="2:8" ht="15.75" customHeight="1">
      <c r="B191" s="235"/>
      <c r="C191" s="208"/>
      <c r="D191" s="234"/>
      <c r="E191" s="210"/>
      <c r="F191" s="300">
        <f>SUM(E170:E189)</f>
        <v>20</v>
      </c>
    </row>
    <row r="192" spans="2:8" ht="15.75" customHeight="1">
      <c r="B192" s="235"/>
      <c r="C192" s="208"/>
      <c r="D192" s="234"/>
      <c r="E192" s="210"/>
      <c r="F192" s="299" t="s">
        <v>773</v>
      </c>
    </row>
    <row r="193" spans="2:8" ht="15.75" customHeight="1">
      <c r="B193" s="235"/>
      <c r="C193" s="208"/>
      <c r="D193" s="234"/>
      <c r="E193" s="210"/>
      <c r="F193" s="301">
        <v>2</v>
      </c>
    </row>
    <row r="194" spans="2:8" ht="15.75" customHeight="1" thickBot="1"/>
    <row r="195" spans="2:8" ht="15.75" customHeight="1">
      <c r="B195" s="538" t="s">
        <v>1389</v>
      </c>
      <c r="C195" s="212" t="s">
        <v>747</v>
      </c>
      <c r="D195" s="201" t="s">
        <v>106</v>
      </c>
      <c r="E195" s="201" t="s">
        <v>782</v>
      </c>
      <c r="F195" s="202" t="s">
        <v>769</v>
      </c>
      <c r="G195" s="349" t="s">
        <v>1707</v>
      </c>
      <c r="H195" s="350" t="s">
        <v>1166</v>
      </c>
    </row>
    <row r="196" spans="2:8" ht="15.75" customHeight="1">
      <c r="B196" s="538"/>
      <c r="C196" s="223" t="s">
        <v>1390</v>
      </c>
      <c r="D196" s="224" t="s">
        <v>1212</v>
      </c>
      <c r="E196" s="225">
        <v>2</v>
      </c>
      <c r="F196" s="226">
        <f>2*$F$232</f>
        <v>4</v>
      </c>
      <c r="G196" s="390"/>
      <c r="H196" s="391"/>
    </row>
    <row r="197" spans="2:8" ht="15.75" customHeight="1">
      <c r="B197" s="538"/>
      <c r="C197" s="227" t="s">
        <v>1391</v>
      </c>
      <c r="D197" s="228" t="s">
        <v>1392</v>
      </c>
      <c r="E197" s="229">
        <v>2</v>
      </c>
      <c r="F197" s="226">
        <f t="shared" ref="F197:F228" si="5">2*$F$232</f>
        <v>4</v>
      </c>
      <c r="G197" s="390"/>
      <c r="H197" s="391"/>
    </row>
    <row r="198" spans="2:8" ht="15.75" customHeight="1">
      <c r="B198" s="538"/>
      <c r="C198" s="230" t="s">
        <v>1393</v>
      </c>
      <c r="D198" s="228" t="s">
        <v>1229</v>
      </c>
      <c r="E198" s="229">
        <v>1</v>
      </c>
      <c r="F198" s="226">
        <f t="shared" si="5"/>
        <v>4</v>
      </c>
      <c r="G198" s="390"/>
      <c r="H198" s="391"/>
    </row>
    <row r="199" spans="2:8" ht="15.75" customHeight="1">
      <c r="B199" s="538"/>
      <c r="C199" s="230" t="s">
        <v>1394</v>
      </c>
      <c r="D199" s="228" t="s">
        <v>1395</v>
      </c>
      <c r="E199" s="229">
        <v>1</v>
      </c>
      <c r="F199" s="226">
        <f t="shared" si="5"/>
        <v>4</v>
      </c>
      <c r="G199" s="390"/>
      <c r="H199" s="391"/>
    </row>
    <row r="200" spans="2:8" ht="15.75" customHeight="1">
      <c r="B200" s="538"/>
      <c r="C200" s="230" t="s">
        <v>1396</v>
      </c>
      <c r="D200" s="228" t="s">
        <v>1397</v>
      </c>
      <c r="E200" s="229">
        <v>1</v>
      </c>
      <c r="F200" s="226">
        <f t="shared" si="5"/>
        <v>4</v>
      </c>
      <c r="G200" s="390"/>
      <c r="H200" s="391"/>
    </row>
    <row r="201" spans="2:8" ht="15.75" customHeight="1">
      <c r="B201" s="538"/>
      <c r="C201" s="230" t="s">
        <v>1398</v>
      </c>
      <c r="D201" s="228" t="s">
        <v>1399</v>
      </c>
      <c r="E201" s="229">
        <v>1</v>
      </c>
      <c r="F201" s="226">
        <f t="shared" si="5"/>
        <v>4</v>
      </c>
      <c r="G201" s="390"/>
      <c r="H201" s="391"/>
    </row>
    <row r="202" spans="2:8" ht="15.75" customHeight="1">
      <c r="B202" s="538"/>
      <c r="C202" s="230" t="s">
        <v>1400</v>
      </c>
      <c r="D202" s="228" t="s">
        <v>1401</v>
      </c>
      <c r="E202" s="229">
        <v>1</v>
      </c>
      <c r="F202" s="226">
        <f t="shared" si="5"/>
        <v>4</v>
      </c>
      <c r="G202" s="125"/>
      <c r="H202" s="326"/>
    </row>
    <row r="203" spans="2:8" ht="15.75" customHeight="1">
      <c r="B203" s="538"/>
      <c r="C203" s="230" t="s">
        <v>1402</v>
      </c>
      <c r="D203" s="228" t="s">
        <v>1403</v>
      </c>
      <c r="E203" s="229">
        <v>1</v>
      </c>
      <c r="F203" s="226">
        <f t="shared" si="5"/>
        <v>4</v>
      </c>
      <c r="G203" s="125"/>
      <c r="H203" s="326"/>
    </row>
    <row r="204" spans="2:8" ht="15.75" customHeight="1">
      <c r="B204" s="538"/>
      <c r="C204" s="230" t="s">
        <v>1404</v>
      </c>
      <c r="D204" s="228" t="s">
        <v>1405</v>
      </c>
      <c r="E204" s="229">
        <v>1</v>
      </c>
      <c r="F204" s="226">
        <f t="shared" si="5"/>
        <v>4</v>
      </c>
      <c r="G204" s="125"/>
      <c r="H204" s="326"/>
    </row>
    <row r="205" spans="2:8" ht="15.75" customHeight="1">
      <c r="B205" s="538"/>
      <c r="C205" s="230" t="s">
        <v>1406</v>
      </c>
      <c r="D205" s="228" t="s">
        <v>1407</v>
      </c>
      <c r="E205" s="229">
        <v>1</v>
      </c>
      <c r="F205" s="226">
        <f t="shared" si="5"/>
        <v>4</v>
      </c>
      <c r="G205" s="125"/>
      <c r="H205" s="326"/>
    </row>
    <row r="206" spans="2:8" ht="15.75" customHeight="1">
      <c r="B206" s="538"/>
      <c r="C206" s="230" t="s">
        <v>1408</v>
      </c>
      <c r="D206" s="228" t="s">
        <v>1223</v>
      </c>
      <c r="E206" s="229">
        <v>1</v>
      </c>
      <c r="F206" s="226">
        <f t="shared" si="5"/>
        <v>4</v>
      </c>
      <c r="G206" s="125"/>
      <c r="H206" s="326"/>
    </row>
    <row r="207" spans="2:8" ht="15.75" customHeight="1">
      <c r="B207" s="538"/>
      <c r="C207" s="230" t="s">
        <v>1409</v>
      </c>
      <c r="D207" s="228" t="s">
        <v>867</v>
      </c>
      <c r="E207" s="229">
        <v>1</v>
      </c>
      <c r="F207" s="226">
        <f t="shared" si="5"/>
        <v>4</v>
      </c>
      <c r="G207" s="125"/>
      <c r="H207" s="326"/>
    </row>
    <row r="208" spans="2:8" ht="15.75" customHeight="1">
      <c r="B208" s="538"/>
      <c r="C208" s="230" t="s">
        <v>1410</v>
      </c>
      <c r="D208" s="228" t="s">
        <v>1257</v>
      </c>
      <c r="E208" s="229">
        <v>1</v>
      </c>
      <c r="F208" s="226">
        <f t="shared" si="5"/>
        <v>4</v>
      </c>
      <c r="G208" s="125"/>
      <c r="H208" s="326"/>
    </row>
    <row r="209" spans="2:8" ht="15.75" customHeight="1">
      <c r="B209" s="538"/>
      <c r="C209" s="230" t="s">
        <v>1260</v>
      </c>
      <c r="D209" s="228" t="s">
        <v>1257</v>
      </c>
      <c r="E209" s="229">
        <v>1</v>
      </c>
      <c r="F209" s="226">
        <f t="shared" si="5"/>
        <v>4</v>
      </c>
      <c r="G209" s="125"/>
      <c r="H209" s="326"/>
    </row>
    <row r="210" spans="2:8" ht="15.75" customHeight="1">
      <c r="B210" s="538"/>
      <c r="C210" s="230">
        <v>1416</v>
      </c>
      <c r="D210" s="228" t="s">
        <v>1277</v>
      </c>
      <c r="E210" s="229">
        <v>1</v>
      </c>
      <c r="F210" s="226">
        <f t="shared" si="5"/>
        <v>4</v>
      </c>
      <c r="G210" s="125"/>
      <c r="H210" s="326"/>
    </row>
    <row r="211" spans="2:8" ht="15.75" customHeight="1">
      <c r="B211" s="538"/>
      <c r="C211" s="230" t="s">
        <v>1411</v>
      </c>
      <c r="D211" s="228" t="s">
        <v>868</v>
      </c>
      <c r="E211" s="229">
        <v>1</v>
      </c>
      <c r="F211" s="226">
        <f t="shared" si="5"/>
        <v>4</v>
      </c>
      <c r="G211" s="125"/>
      <c r="H211" s="326"/>
    </row>
    <row r="212" spans="2:8" ht="15.75" customHeight="1">
      <c r="B212" s="538"/>
      <c r="C212" s="230" t="s">
        <v>1261</v>
      </c>
      <c r="D212" s="228" t="s">
        <v>1223</v>
      </c>
      <c r="E212" s="229">
        <v>5</v>
      </c>
      <c r="F212" s="226">
        <f t="shared" si="5"/>
        <v>4</v>
      </c>
      <c r="G212" s="125"/>
      <c r="H212" s="326"/>
    </row>
    <row r="213" spans="2:8" ht="15.75" customHeight="1">
      <c r="B213" s="538"/>
      <c r="C213" s="230" t="s">
        <v>1412</v>
      </c>
      <c r="D213" s="228" t="s">
        <v>868</v>
      </c>
      <c r="E213" s="229">
        <v>1</v>
      </c>
      <c r="F213" s="226">
        <f t="shared" si="5"/>
        <v>4</v>
      </c>
      <c r="G213" s="125"/>
      <c r="H213" s="326"/>
    </row>
    <row r="214" spans="2:8" ht="15.75" customHeight="1">
      <c r="B214" s="538"/>
      <c r="C214" s="230" t="s">
        <v>1413</v>
      </c>
      <c r="D214" s="228" t="s">
        <v>868</v>
      </c>
      <c r="E214" s="229">
        <v>1</v>
      </c>
      <c r="F214" s="226">
        <f t="shared" si="5"/>
        <v>4</v>
      </c>
      <c r="G214" s="125"/>
      <c r="H214" s="326"/>
    </row>
    <row r="215" spans="2:8" ht="15.75" customHeight="1">
      <c r="B215" s="538"/>
      <c r="C215" s="230" t="s">
        <v>1267</v>
      </c>
      <c r="D215" s="228" t="s">
        <v>1212</v>
      </c>
      <c r="E215" s="229">
        <v>2</v>
      </c>
      <c r="F215" s="226">
        <f t="shared" si="5"/>
        <v>4</v>
      </c>
      <c r="G215" s="125"/>
      <c r="H215" s="326"/>
    </row>
    <row r="216" spans="2:8" ht="15.75" customHeight="1">
      <c r="B216" s="538"/>
      <c r="C216" s="230" t="s">
        <v>1414</v>
      </c>
      <c r="D216" s="228" t="s">
        <v>1212</v>
      </c>
      <c r="E216" s="229">
        <v>2</v>
      </c>
      <c r="F216" s="226">
        <f t="shared" si="5"/>
        <v>4</v>
      </c>
      <c r="G216" s="125"/>
      <c r="H216" s="326"/>
    </row>
    <row r="217" spans="2:8" ht="15.75" customHeight="1">
      <c r="B217" s="538"/>
      <c r="C217" s="230" t="s">
        <v>1415</v>
      </c>
      <c r="D217" s="228" t="s">
        <v>1212</v>
      </c>
      <c r="E217" s="229">
        <v>1</v>
      </c>
      <c r="F217" s="226">
        <f t="shared" si="5"/>
        <v>4</v>
      </c>
      <c r="G217" s="125"/>
      <c r="H217" s="326"/>
    </row>
    <row r="218" spans="2:8" ht="15.75" customHeight="1">
      <c r="B218" s="538"/>
      <c r="C218" s="230" t="s">
        <v>1416</v>
      </c>
      <c r="D218" s="228" t="s">
        <v>1249</v>
      </c>
      <c r="E218" s="229">
        <v>1</v>
      </c>
      <c r="F218" s="226">
        <f t="shared" si="5"/>
        <v>4</v>
      </c>
      <c r="G218" s="125"/>
      <c r="H218" s="326"/>
    </row>
    <row r="219" spans="2:8" ht="15.75" customHeight="1">
      <c r="B219" s="538"/>
      <c r="C219" s="230" t="s">
        <v>1417</v>
      </c>
      <c r="D219" s="228" t="s">
        <v>1418</v>
      </c>
      <c r="E219" s="229">
        <v>1</v>
      </c>
      <c r="F219" s="226">
        <f t="shared" si="5"/>
        <v>4</v>
      </c>
      <c r="G219" s="125"/>
      <c r="H219" s="326"/>
    </row>
    <row r="220" spans="2:8" ht="15.75" customHeight="1">
      <c r="B220" s="538"/>
      <c r="C220" s="230" t="s">
        <v>1419</v>
      </c>
      <c r="D220" s="228" t="s">
        <v>1266</v>
      </c>
      <c r="E220" s="229">
        <v>1</v>
      </c>
      <c r="F220" s="226">
        <f t="shared" si="5"/>
        <v>4</v>
      </c>
      <c r="G220" s="125"/>
      <c r="H220" s="326"/>
    </row>
    <row r="221" spans="2:8" ht="15.75" customHeight="1">
      <c r="B221" s="538"/>
      <c r="C221" s="230" t="s">
        <v>1420</v>
      </c>
      <c r="D221" s="228" t="s">
        <v>868</v>
      </c>
      <c r="E221" s="229">
        <v>1</v>
      </c>
      <c r="F221" s="226">
        <f t="shared" si="5"/>
        <v>4</v>
      </c>
      <c r="G221" s="125"/>
      <c r="H221" s="326"/>
    </row>
    <row r="222" spans="2:8" ht="15.75" customHeight="1">
      <c r="B222" s="538"/>
      <c r="C222" s="230" t="s">
        <v>1421</v>
      </c>
      <c r="D222" s="228" t="s">
        <v>1277</v>
      </c>
      <c r="E222" s="229">
        <v>1</v>
      </c>
      <c r="F222" s="226">
        <f t="shared" si="5"/>
        <v>4</v>
      </c>
      <c r="G222" s="125"/>
      <c r="H222" s="326"/>
    </row>
    <row r="223" spans="2:8" ht="15.75" customHeight="1">
      <c r="B223" s="538"/>
      <c r="C223" s="230" t="s">
        <v>1422</v>
      </c>
      <c r="D223" s="228" t="s">
        <v>1257</v>
      </c>
      <c r="E223" s="229">
        <v>1</v>
      </c>
      <c r="F223" s="226">
        <f t="shared" si="5"/>
        <v>4</v>
      </c>
      <c r="G223" s="125"/>
      <c r="H223" s="326"/>
    </row>
    <row r="224" spans="2:8" ht="15.75" customHeight="1">
      <c r="B224" s="538"/>
      <c r="C224" s="230" t="s">
        <v>1289</v>
      </c>
      <c r="D224" s="228" t="s">
        <v>1257</v>
      </c>
      <c r="E224" s="229">
        <v>1</v>
      </c>
      <c r="F224" s="226">
        <f t="shared" si="5"/>
        <v>4</v>
      </c>
      <c r="G224" s="125"/>
      <c r="H224" s="326"/>
    </row>
    <row r="225" spans="2:8" ht="15.75" customHeight="1">
      <c r="B225" s="538"/>
      <c r="C225" s="230" t="s">
        <v>1423</v>
      </c>
      <c r="D225" s="228" t="s">
        <v>1212</v>
      </c>
      <c r="E225" s="229">
        <v>1</v>
      </c>
      <c r="F225" s="226">
        <f t="shared" si="5"/>
        <v>4</v>
      </c>
      <c r="G225" s="125"/>
      <c r="H225" s="326"/>
    </row>
    <row r="226" spans="2:8" ht="15.75" customHeight="1">
      <c r="B226" s="538"/>
      <c r="C226" s="230" t="s">
        <v>1282</v>
      </c>
      <c r="D226" s="228" t="s">
        <v>1257</v>
      </c>
      <c r="E226" s="229">
        <v>1</v>
      </c>
      <c r="F226" s="226">
        <f t="shared" si="5"/>
        <v>4</v>
      </c>
      <c r="G226" s="125"/>
      <c r="H226" s="326"/>
    </row>
    <row r="227" spans="2:8" ht="15.75" customHeight="1">
      <c r="B227" s="538"/>
      <c r="C227" s="230" t="s">
        <v>1424</v>
      </c>
      <c r="D227" s="228" t="s">
        <v>1425</v>
      </c>
      <c r="E227" s="229">
        <v>1</v>
      </c>
      <c r="F227" s="226">
        <f t="shared" si="5"/>
        <v>4</v>
      </c>
      <c r="G227" s="125"/>
      <c r="H227" s="326"/>
    </row>
    <row r="228" spans="2:8" ht="15.75" customHeight="1" thickBot="1">
      <c r="B228" s="538"/>
      <c r="C228" s="231" t="s">
        <v>1426</v>
      </c>
      <c r="D228" s="232" t="s">
        <v>1427</v>
      </c>
      <c r="E228" s="233">
        <v>1</v>
      </c>
      <c r="F228" s="226">
        <f t="shared" si="5"/>
        <v>4</v>
      </c>
      <c r="G228" s="126"/>
      <c r="H228" s="328"/>
    </row>
    <row r="229" spans="2:8" ht="15.75" customHeight="1">
      <c r="F229" s="271" t="s">
        <v>770</v>
      </c>
    </row>
    <row r="230" spans="2:8" ht="15.75" customHeight="1">
      <c r="F230" s="269">
        <f>SUM(E196:E228)</f>
        <v>41</v>
      </c>
    </row>
    <row r="231" spans="2:8" ht="15.75" customHeight="1">
      <c r="F231" s="268" t="s">
        <v>773</v>
      </c>
    </row>
    <row r="232" spans="2:8" ht="15.75" customHeight="1">
      <c r="F232" s="270">
        <v>2</v>
      </c>
    </row>
    <row r="233" spans="2:8" ht="15.75" customHeight="1" thickBot="1"/>
    <row r="234" spans="2:8" ht="15.75" customHeight="1">
      <c r="B234" s="535" t="s">
        <v>1691</v>
      </c>
      <c r="C234" s="189" t="s">
        <v>747</v>
      </c>
      <c r="D234" s="190" t="s">
        <v>106</v>
      </c>
      <c r="E234" s="190" t="s">
        <v>782</v>
      </c>
      <c r="F234" s="72" t="s">
        <v>769</v>
      </c>
      <c r="G234" s="349" t="s">
        <v>1707</v>
      </c>
      <c r="H234" s="350" t="s">
        <v>1166</v>
      </c>
    </row>
    <row r="235" spans="2:8" ht="15.75" customHeight="1">
      <c r="B235" s="536"/>
      <c r="C235" s="196" t="s">
        <v>1211</v>
      </c>
      <c r="D235" s="197" t="s">
        <v>1212</v>
      </c>
      <c r="E235" s="198">
        <v>1</v>
      </c>
      <c r="F235" s="195">
        <f>E235*$F$278</f>
        <v>2</v>
      </c>
      <c r="G235" s="390"/>
      <c r="H235" s="391"/>
    </row>
    <row r="236" spans="2:8" ht="15.75" customHeight="1">
      <c r="B236" s="536"/>
      <c r="C236" s="196" t="s">
        <v>1213</v>
      </c>
      <c r="D236" s="197" t="s">
        <v>1214</v>
      </c>
      <c r="E236" s="198">
        <v>1</v>
      </c>
      <c r="F236" s="195">
        <f t="shared" ref="F236:F275" si="6">E236*$F$278</f>
        <v>2</v>
      </c>
      <c r="G236" s="390"/>
      <c r="H236" s="391"/>
    </row>
    <row r="237" spans="2:8" ht="15.75" customHeight="1">
      <c r="B237" s="536"/>
      <c r="C237" s="196" t="s">
        <v>1218</v>
      </c>
      <c r="D237" s="197" t="s">
        <v>1219</v>
      </c>
      <c r="E237" s="198">
        <v>1</v>
      </c>
      <c r="F237" s="195">
        <f t="shared" si="6"/>
        <v>2</v>
      </c>
      <c r="G237" s="390"/>
      <c r="H237" s="391"/>
    </row>
    <row r="238" spans="2:8" ht="15.75" customHeight="1">
      <c r="B238" s="536"/>
      <c r="C238" s="196" t="s">
        <v>1222</v>
      </c>
      <c r="D238" s="197" t="s">
        <v>1223</v>
      </c>
      <c r="E238" s="198">
        <v>2</v>
      </c>
      <c r="F238" s="195">
        <f t="shared" si="6"/>
        <v>4</v>
      </c>
      <c r="G238" s="390"/>
      <c r="H238" s="391"/>
    </row>
    <row r="239" spans="2:8" ht="15.75" customHeight="1">
      <c r="B239" s="536"/>
      <c r="C239" s="196" t="s">
        <v>1224</v>
      </c>
      <c r="D239" s="197" t="s">
        <v>1225</v>
      </c>
      <c r="E239" s="198">
        <v>1</v>
      </c>
      <c r="F239" s="195">
        <f t="shared" si="6"/>
        <v>2</v>
      </c>
      <c r="G239" s="390"/>
      <c r="H239" s="391"/>
    </row>
    <row r="240" spans="2:8" ht="15.75" customHeight="1">
      <c r="B240" s="536"/>
      <c r="C240" s="196" t="s">
        <v>1226</v>
      </c>
      <c r="D240" s="197" t="s">
        <v>1227</v>
      </c>
      <c r="E240" s="198">
        <v>1</v>
      </c>
      <c r="F240" s="195">
        <f t="shared" si="6"/>
        <v>2</v>
      </c>
      <c r="G240" s="390"/>
      <c r="H240" s="391"/>
    </row>
    <row r="241" spans="2:8" ht="15.75" customHeight="1">
      <c r="B241" s="536"/>
      <c r="C241" s="192" t="s">
        <v>1228</v>
      </c>
      <c r="D241" s="193" t="s">
        <v>1229</v>
      </c>
      <c r="E241" s="194">
        <v>1</v>
      </c>
      <c r="F241" s="195">
        <f t="shared" si="6"/>
        <v>2</v>
      </c>
      <c r="G241" s="125"/>
      <c r="H241" s="326"/>
    </row>
    <row r="242" spans="2:8" ht="15.75" customHeight="1">
      <c r="B242" s="536"/>
      <c r="C242" s="196" t="s">
        <v>1230</v>
      </c>
      <c r="D242" s="197" t="s">
        <v>1231</v>
      </c>
      <c r="E242" s="198">
        <v>1</v>
      </c>
      <c r="F242" s="195">
        <f t="shared" si="6"/>
        <v>2</v>
      </c>
      <c r="G242" s="125"/>
      <c r="H242" s="326"/>
    </row>
    <row r="243" spans="2:8" ht="15.75" customHeight="1">
      <c r="B243" s="536"/>
      <c r="C243" s="196" t="s">
        <v>1232</v>
      </c>
      <c r="D243" s="197" t="s">
        <v>1233</v>
      </c>
      <c r="E243" s="198">
        <v>1</v>
      </c>
      <c r="F243" s="195">
        <f t="shared" si="6"/>
        <v>2</v>
      </c>
      <c r="G243" s="125"/>
      <c r="H243" s="326"/>
    </row>
    <row r="244" spans="2:8" ht="15.75" customHeight="1">
      <c r="B244" s="536"/>
      <c r="C244" s="196" t="s">
        <v>1240</v>
      </c>
      <c r="D244" s="197" t="s">
        <v>1241</v>
      </c>
      <c r="E244" s="198">
        <v>1</v>
      </c>
      <c r="F244" s="195">
        <f t="shared" si="6"/>
        <v>2</v>
      </c>
      <c r="G244" s="125"/>
      <c r="H244" s="326"/>
    </row>
    <row r="245" spans="2:8" ht="15.75" customHeight="1">
      <c r="B245" s="536"/>
      <c r="C245" s="196" t="s">
        <v>1242</v>
      </c>
      <c r="D245" s="197" t="s">
        <v>1243</v>
      </c>
      <c r="E245" s="198">
        <v>1</v>
      </c>
      <c r="F245" s="195">
        <f t="shared" si="6"/>
        <v>2</v>
      </c>
      <c r="G245" s="125"/>
      <c r="H245" s="326"/>
    </row>
    <row r="246" spans="2:8" ht="15.75" customHeight="1">
      <c r="B246" s="536"/>
      <c r="C246" s="196" t="s">
        <v>1244</v>
      </c>
      <c r="D246" s="197" t="s">
        <v>1243</v>
      </c>
      <c r="E246" s="198">
        <v>1</v>
      </c>
      <c r="F246" s="195">
        <f t="shared" si="6"/>
        <v>2</v>
      </c>
      <c r="G246" s="125"/>
      <c r="H246" s="326"/>
    </row>
    <row r="247" spans="2:8" ht="15.75" customHeight="1">
      <c r="B247" s="536"/>
      <c r="C247" s="196" t="s">
        <v>1245</v>
      </c>
      <c r="D247" s="197" t="s">
        <v>1246</v>
      </c>
      <c r="E247" s="198">
        <v>1</v>
      </c>
      <c r="F247" s="195">
        <f t="shared" si="6"/>
        <v>2</v>
      </c>
      <c r="G247" s="125"/>
      <c r="H247" s="326"/>
    </row>
    <row r="248" spans="2:8" ht="15.75" customHeight="1">
      <c r="B248" s="536"/>
      <c r="C248" s="196" t="s">
        <v>1247</v>
      </c>
      <c r="D248" s="199"/>
      <c r="E248" s="198">
        <v>2</v>
      </c>
      <c r="F248" s="195">
        <f t="shared" si="6"/>
        <v>4</v>
      </c>
      <c r="G248" s="125"/>
      <c r="H248" s="326"/>
    </row>
    <row r="249" spans="2:8" ht="15.75" customHeight="1">
      <c r="B249" s="536"/>
      <c r="C249" s="196" t="s">
        <v>1248</v>
      </c>
      <c r="D249" s="197" t="s">
        <v>1249</v>
      </c>
      <c r="E249" s="198">
        <v>1</v>
      </c>
      <c r="F249" s="195">
        <f t="shared" si="6"/>
        <v>2</v>
      </c>
      <c r="G249" s="125"/>
      <c r="H249" s="326"/>
    </row>
    <row r="250" spans="2:8" ht="15.75" customHeight="1">
      <c r="B250" s="536"/>
      <c r="C250" s="196" t="s">
        <v>1255</v>
      </c>
      <c r="D250" s="200"/>
      <c r="E250" s="198">
        <v>1</v>
      </c>
      <c r="F250" s="195">
        <f t="shared" si="6"/>
        <v>2</v>
      </c>
      <c r="G250" s="125"/>
      <c r="H250" s="326"/>
    </row>
    <row r="251" spans="2:8" ht="15.75" customHeight="1">
      <c r="B251" s="536"/>
      <c r="C251" s="196" t="s">
        <v>1259</v>
      </c>
      <c r="D251" s="197" t="s">
        <v>1257</v>
      </c>
      <c r="E251" s="198">
        <v>1</v>
      </c>
      <c r="F251" s="195">
        <f t="shared" si="6"/>
        <v>2</v>
      </c>
      <c r="G251" s="125"/>
      <c r="H251" s="326"/>
    </row>
    <row r="252" spans="2:8" ht="15.75" customHeight="1">
      <c r="B252" s="536"/>
      <c r="C252" s="196" t="s">
        <v>1264</v>
      </c>
      <c r="D252" s="197" t="s">
        <v>1229</v>
      </c>
      <c r="E252" s="198">
        <v>1</v>
      </c>
      <c r="F252" s="195">
        <f t="shared" si="6"/>
        <v>2</v>
      </c>
      <c r="G252" s="125"/>
      <c r="H252" s="326"/>
    </row>
    <row r="253" spans="2:8" ht="15.75" customHeight="1">
      <c r="B253" s="536"/>
      <c r="C253" s="196" t="s">
        <v>1273</v>
      </c>
      <c r="D253" s="197" t="s">
        <v>1274</v>
      </c>
      <c r="E253" s="198">
        <v>1</v>
      </c>
      <c r="F253" s="195">
        <f t="shared" si="6"/>
        <v>2</v>
      </c>
      <c r="G253" s="125"/>
      <c r="H253" s="326"/>
    </row>
    <row r="254" spans="2:8" ht="15.75" customHeight="1">
      <c r="B254" s="536"/>
      <c r="C254" s="196" t="s">
        <v>1275</v>
      </c>
      <c r="D254" s="197" t="s">
        <v>1257</v>
      </c>
      <c r="E254" s="198">
        <v>1</v>
      </c>
      <c r="F254" s="195">
        <f t="shared" si="6"/>
        <v>2</v>
      </c>
      <c r="G254" s="125"/>
      <c r="H254" s="326"/>
    </row>
    <row r="255" spans="2:8" ht="15.75" customHeight="1">
      <c r="B255" s="536"/>
      <c r="C255" s="196" t="s">
        <v>1278</v>
      </c>
      <c r="D255" s="197" t="s">
        <v>1249</v>
      </c>
      <c r="E255" s="198">
        <v>1</v>
      </c>
      <c r="F255" s="195">
        <f t="shared" si="6"/>
        <v>2</v>
      </c>
      <c r="G255" s="125"/>
      <c r="H255" s="326"/>
    </row>
    <row r="256" spans="2:8" ht="15.75" customHeight="1">
      <c r="B256" s="536"/>
      <c r="C256" s="196" t="s">
        <v>1279</v>
      </c>
      <c r="D256" s="197" t="s">
        <v>1280</v>
      </c>
      <c r="E256" s="198">
        <v>1</v>
      </c>
      <c r="F256" s="195">
        <f t="shared" si="6"/>
        <v>2</v>
      </c>
      <c r="G256" s="125"/>
      <c r="H256" s="326"/>
    </row>
    <row r="257" spans="2:8" ht="15.75" customHeight="1">
      <c r="B257" s="536"/>
      <c r="C257" s="196" t="s">
        <v>1281</v>
      </c>
      <c r="D257" s="197" t="s">
        <v>1277</v>
      </c>
      <c r="E257" s="198">
        <v>1</v>
      </c>
      <c r="F257" s="195">
        <f t="shared" si="6"/>
        <v>2</v>
      </c>
      <c r="G257" s="125"/>
      <c r="H257" s="326"/>
    </row>
    <row r="258" spans="2:8" ht="15.75" customHeight="1">
      <c r="B258" s="536"/>
      <c r="C258" s="196" t="s">
        <v>1283</v>
      </c>
      <c r="D258" s="197" t="s">
        <v>1284</v>
      </c>
      <c r="E258" s="198">
        <v>1</v>
      </c>
      <c r="F258" s="195">
        <f>E258*$F$278</f>
        <v>2</v>
      </c>
      <c r="G258" s="125"/>
      <c r="H258" s="326"/>
    </row>
    <row r="259" spans="2:8" ht="15.75" customHeight="1">
      <c r="B259" s="536"/>
      <c r="C259" s="196" t="s">
        <v>1285</v>
      </c>
      <c r="D259" s="197" t="s">
        <v>1209</v>
      </c>
      <c r="E259" s="198">
        <v>1</v>
      </c>
      <c r="F259" s="195">
        <f t="shared" si="6"/>
        <v>2</v>
      </c>
      <c r="G259" s="125"/>
      <c r="H259" s="326"/>
    </row>
    <row r="260" spans="2:8" ht="15.75" customHeight="1">
      <c r="B260" s="536"/>
      <c r="C260" s="196" t="s">
        <v>1286</v>
      </c>
      <c r="D260" s="197" t="s">
        <v>1212</v>
      </c>
      <c r="E260" s="198">
        <v>1</v>
      </c>
      <c r="F260" s="195">
        <f t="shared" si="6"/>
        <v>2</v>
      </c>
      <c r="G260" s="125"/>
      <c r="H260" s="326"/>
    </row>
    <row r="261" spans="2:8" ht="15.75" customHeight="1">
      <c r="B261" s="536"/>
      <c r="C261" s="196" t="s">
        <v>1290</v>
      </c>
      <c r="D261" s="197" t="s">
        <v>1257</v>
      </c>
      <c r="E261" s="198">
        <v>1</v>
      </c>
      <c r="F261" s="195">
        <f t="shared" si="6"/>
        <v>2</v>
      </c>
      <c r="G261" s="125"/>
      <c r="H261" s="326"/>
    </row>
    <row r="262" spans="2:8" ht="15.75" customHeight="1">
      <c r="B262" s="536"/>
      <c r="C262" s="196" t="s">
        <v>1692</v>
      </c>
      <c r="D262" s="197" t="s">
        <v>251</v>
      </c>
      <c r="E262" s="198">
        <v>1</v>
      </c>
      <c r="F262" s="195">
        <f t="shared" si="6"/>
        <v>2</v>
      </c>
      <c r="G262" s="125"/>
      <c r="H262" s="326"/>
    </row>
    <row r="263" spans="2:8" ht="15.75" customHeight="1">
      <c r="B263" s="536"/>
      <c r="C263" s="196" t="s">
        <v>1693</v>
      </c>
      <c r="D263" s="197" t="s">
        <v>1585</v>
      </c>
      <c r="E263" s="198">
        <v>2</v>
      </c>
      <c r="F263" s="195">
        <f t="shared" si="6"/>
        <v>4</v>
      </c>
      <c r="G263" s="125"/>
      <c r="H263" s="326"/>
    </row>
    <row r="264" spans="2:8" ht="15.75" customHeight="1">
      <c r="B264" s="536"/>
      <c r="C264" s="196" t="s">
        <v>1694</v>
      </c>
      <c r="D264" s="197" t="s">
        <v>889</v>
      </c>
      <c r="E264" s="198">
        <v>1</v>
      </c>
      <c r="F264" s="195">
        <f t="shared" si="6"/>
        <v>2</v>
      </c>
      <c r="G264" s="125"/>
      <c r="H264" s="326"/>
    </row>
    <row r="265" spans="2:8" ht="15.75" customHeight="1">
      <c r="B265" s="536"/>
      <c r="C265" s="196" t="s">
        <v>1695</v>
      </c>
      <c r="D265" s="197" t="s">
        <v>762</v>
      </c>
      <c r="E265" s="198">
        <v>1</v>
      </c>
      <c r="F265" s="195">
        <f t="shared" si="6"/>
        <v>2</v>
      </c>
      <c r="G265" s="125"/>
      <c r="H265" s="326"/>
    </row>
    <row r="266" spans="2:8" ht="15.75" customHeight="1">
      <c r="B266" s="536"/>
      <c r="C266" s="196" t="s">
        <v>1696</v>
      </c>
      <c r="D266" s="197"/>
      <c r="E266" s="198">
        <v>1</v>
      </c>
      <c r="F266" s="195">
        <f t="shared" si="6"/>
        <v>2</v>
      </c>
      <c r="G266" s="125"/>
      <c r="H266" s="326"/>
    </row>
    <row r="267" spans="2:8" ht="15.75" customHeight="1">
      <c r="B267" s="536"/>
      <c r="C267" s="196" t="s">
        <v>1697</v>
      </c>
      <c r="D267" s="197" t="s">
        <v>689</v>
      </c>
      <c r="E267" s="198">
        <v>4</v>
      </c>
      <c r="F267" s="195">
        <f t="shared" si="6"/>
        <v>8</v>
      </c>
      <c r="G267" s="125"/>
      <c r="H267" s="326"/>
    </row>
    <row r="268" spans="2:8" ht="15.75" customHeight="1">
      <c r="B268" s="536"/>
      <c r="C268" s="196" t="s">
        <v>1698</v>
      </c>
      <c r="D268" s="197" t="s">
        <v>1585</v>
      </c>
      <c r="E268" s="198">
        <v>1</v>
      </c>
      <c r="F268" s="195">
        <f t="shared" si="6"/>
        <v>2</v>
      </c>
      <c r="G268" s="125"/>
      <c r="H268" s="326"/>
    </row>
    <row r="269" spans="2:8" ht="15.75" customHeight="1">
      <c r="B269" s="536"/>
      <c r="C269" s="196" t="s">
        <v>1699</v>
      </c>
      <c r="D269" s="197" t="s">
        <v>1585</v>
      </c>
      <c r="E269" s="198">
        <v>1</v>
      </c>
      <c r="F269" s="195">
        <f t="shared" si="6"/>
        <v>2</v>
      </c>
      <c r="G269" s="125"/>
      <c r="H269" s="326"/>
    </row>
    <row r="270" spans="2:8" ht="15.75" customHeight="1">
      <c r="B270" s="536"/>
      <c r="C270" s="196" t="s">
        <v>1700</v>
      </c>
      <c r="D270" s="197" t="s">
        <v>682</v>
      </c>
      <c r="E270" s="198">
        <v>2</v>
      </c>
      <c r="F270" s="195">
        <f t="shared" si="6"/>
        <v>4</v>
      </c>
      <c r="G270" s="125"/>
      <c r="H270" s="326"/>
    </row>
    <row r="271" spans="2:8" ht="15.75" customHeight="1">
      <c r="B271" s="536"/>
      <c r="C271" s="196" t="s">
        <v>1701</v>
      </c>
      <c r="D271" s="197" t="s">
        <v>686</v>
      </c>
      <c r="E271" s="198">
        <v>1</v>
      </c>
      <c r="F271" s="195">
        <f t="shared" si="6"/>
        <v>2</v>
      </c>
      <c r="G271" s="125"/>
      <c r="H271" s="326"/>
    </row>
    <row r="272" spans="2:8" ht="15.75" customHeight="1">
      <c r="B272" s="536"/>
      <c r="C272" s="196" t="s">
        <v>1702</v>
      </c>
      <c r="D272" s="197" t="s">
        <v>682</v>
      </c>
      <c r="E272" s="198">
        <v>1</v>
      </c>
      <c r="F272" s="195">
        <f t="shared" si="6"/>
        <v>2</v>
      </c>
      <c r="G272" s="125"/>
      <c r="H272" s="326"/>
    </row>
    <row r="273" spans="2:8" ht="15.75" customHeight="1">
      <c r="B273" s="536"/>
      <c r="C273" s="196" t="s">
        <v>1703</v>
      </c>
      <c r="D273" s="197" t="s">
        <v>682</v>
      </c>
      <c r="E273" s="198">
        <v>1</v>
      </c>
      <c r="F273" s="195">
        <f t="shared" si="6"/>
        <v>2</v>
      </c>
      <c r="G273" s="125"/>
      <c r="H273" s="326"/>
    </row>
    <row r="274" spans="2:8" ht="15.75" customHeight="1">
      <c r="B274" s="536"/>
      <c r="C274" s="196" t="s">
        <v>1291</v>
      </c>
      <c r="D274" s="197" t="s">
        <v>1221</v>
      </c>
      <c r="E274" s="198">
        <v>1</v>
      </c>
      <c r="F274" s="195">
        <f t="shared" si="6"/>
        <v>2</v>
      </c>
      <c r="G274" s="125"/>
      <c r="H274" s="326"/>
    </row>
    <row r="275" spans="2:8" ht="15.75" customHeight="1" thickBot="1">
      <c r="B275" s="537"/>
      <c r="C275" s="196" t="s">
        <v>1704</v>
      </c>
      <c r="D275" s="197"/>
      <c r="E275" s="198">
        <v>1</v>
      </c>
      <c r="F275" s="195">
        <f t="shared" si="6"/>
        <v>2</v>
      </c>
      <c r="G275" s="126"/>
      <c r="H275" s="328"/>
    </row>
    <row r="276" spans="2:8" ht="15.75" customHeight="1">
      <c r="B276" s="123"/>
      <c r="C276" s="208"/>
      <c r="D276" s="209"/>
      <c r="E276" s="210"/>
      <c r="F276" s="298">
        <v>66</v>
      </c>
    </row>
    <row r="277" spans="2:8" ht="15.75" customHeight="1">
      <c r="B277" s="123"/>
      <c r="C277" s="208"/>
      <c r="D277" s="209"/>
      <c r="E277" s="210"/>
      <c r="F277" s="299" t="s">
        <v>773</v>
      </c>
    </row>
    <row r="278" spans="2:8" ht="15.75" customHeight="1">
      <c r="F278" s="263">
        <v>2</v>
      </c>
    </row>
  </sheetData>
  <autoFilter ref="B36:F167" xr:uid="{00000000-0009-0000-0000-00000E000000}"/>
  <mergeCells count="9">
    <mergeCell ref="B99:B124"/>
    <mergeCell ref="B130:B163"/>
    <mergeCell ref="B169:B189"/>
    <mergeCell ref="A2:H2"/>
    <mergeCell ref="B234:B275"/>
    <mergeCell ref="B37:B93"/>
    <mergeCell ref="B4:B30"/>
    <mergeCell ref="A4:A30"/>
    <mergeCell ref="B195:B228"/>
  </mergeCells>
  <hyperlinks>
    <hyperlink ref="C37" r:id="rId1" display="2091-Abaixador%20de%20lingua%20Bruennings%2019%20cm.JPG" xr:uid="{00000000-0004-0000-0E00-000000000000}"/>
    <hyperlink ref="C38" r:id="rId2" display="1861-%20Afastador%20aba%20nasal%2019%20cm%20n°1.JPG" xr:uid="{00000000-0004-0000-0E00-000001000000}"/>
    <hyperlink ref="C41" r:id="rId3" display="Aspirador%20Atraumatico.JPG" xr:uid="{00000000-0004-0000-0E00-000002000000}"/>
    <hyperlink ref="C42" r:id="rId4" display="Aspirador%20descolador%20de%20septo.JPG" xr:uid="{00000000-0004-0000-0E00-000003000000}"/>
    <hyperlink ref="C44" r:id="rId5" display="2171-%20Cabo%20p%20bisturi%20N°%207%2017%20cm.jpg" xr:uid="{00000000-0004-0000-0E00-000004000000}"/>
    <hyperlink ref="C51" r:id="rId6" display="0493-%20Especulo%20nasal%20de%20killian%20n.1.JPG" xr:uid="{00000000-0004-0000-0E00-000005000000}"/>
    <hyperlink ref="C52" r:id="rId7" display="0494-%20Especulo%20nasal%20de%20killian%20n.2.JPG" xr:uid="{00000000-0004-0000-0E00-000006000000}"/>
    <hyperlink ref="C53" r:id="rId8" display="0495-%20Especulo%20nasal%20de%20killian%20n.3.JPG" xr:uid="{00000000-0004-0000-0E00-000007000000}"/>
    <hyperlink ref="C60" r:id="rId9" display="3550-%20Goiva%20angulada.JPG" xr:uid="{00000000-0004-0000-0E00-000008000000}"/>
    <hyperlink ref="C61" r:id="rId10" display="3551-%20Goiva%20reta.JPG" xr:uid="{00000000-0004-0000-0E00-000009000000}"/>
    <hyperlink ref="C62" r:id="rId11" display="2766-%20Martelo%20250%20gr%20diam.%2022%20x%20185%20mm.JPG" xr:uid="{00000000-0004-0000-0E00-00000A000000}"/>
    <hyperlink ref="C67" r:id="rId12" display="2833-%20Pinça%20anatômica%20adson%20s%20dente%2012%20cm.JPG" xr:uid="{00000000-0004-0000-0E00-00000B000000}"/>
    <hyperlink ref="C68" r:id="rId13" display="0957-%20Pinça%20backaus%2013%20cm.JPG" xr:uid="{00000000-0004-0000-0E00-00000C000000}"/>
    <hyperlink ref="C69" r:id="rId14" display="2827-%20Pinça%20Baioneta%2014%20cm.JPG" xr:uid="{00000000-0004-0000-0E00-00000D000000}"/>
    <hyperlink ref="C75" r:id="rId15" display="3247-%20Pinça%20nasal%20bruenings%2019%20cm%20nº%202.JPG" xr:uid="{00000000-0004-0000-0E00-00000E000000}"/>
    <hyperlink ref="C72" r:id="rId16" display="1300-%20Pinça%20Hartmann%20150%20mm.JPG" xr:uid="{00000000-0004-0000-0E00-00000F000000}"/>
    <hyperlink ref="C73" r:id="rId17" display="1317-%20Pinça%20hemostática%20kelly%20curva%2014%20cm.JPG" xr:uid="{00000000-0004-0000-0E00-000010000000}"/>
    <hyperlink ref="C74" r:id="rId18" display="3217-%20Pinça%20midleton-jansen.JPG" xr:uid="{00000000-0004-0000-0E00-000011000000}"/>
    <hyperlink ref="C76" r:id="rId19" display="3254-%20Pinça%20nasal%20takahashi%20reta%20adulto%2014%20cm.JPG" xr:uid="{00000000-0004-0000-0E00-000012000000}"/>
    <hyperlink ref="C80" r:id="rId20" display="0645-%20Porta%20agulha%20mayo-hegar%2015%20cm%20c%20widia.JPG" xr:uid="{00000000-0004-0000-0E00-000013000000}"/>
    <hyperlink ref="C84" r:id="rId21" display="Seringa%20de%20carpule.JPG" xr:uid="{00000000-0004-0000-0E00-000014000000}"/>
    <hyperlink ref="C88" r:id="rId22" display="3359-%20Tesoura%20heyman%2019%20cm.jpg" xr:uid="{00000000-0004-0000-0E00-000015000000}"/>
    <hyperlink ref="C90" r:id="rId23" display="3320-%20Tesoura%20iris%20curva%2012%20cm.JPG" xr:uid="{00000000-0004-0000-0E00-000016000000}"/>
    <hyperlink ref="C94" r:id="rId24" display="Estojo%20de%20inox%2028%20x%2014%20x%206%20cm%20Perfurado.jpg" xr:uid="{00000000-0004-0000-0E00-000017000000}"/>
    <hyperlink ref="C131" r:id="rId25" display="Aspirador%20p%20seio%20maxilar.JPG" xr:uid="{00000000-0004-0000-0E00-000018000000}"/>
    <hyperlink ref="C132" r:id="rId26" display="2049-%20Aspirador%20Atraumatico%20diam.3%2C0%20mm.JPG" xr:uid="{00000000-0004-0000-0E00-000019000000}"/>
    <hyperlink ref="C133" r:id="rId27" display="2050-%20Aspirador%20Atraumatico%20diam.3%2C5%20mm.JPG" xr:uid="{00000000-0004-0000-0E00-00001A000000}"/>
    <hyperlink ref="C134" r:id="rId28" display="4909-%20Bisturi%20Vertical.JPG" xr:uid="{00000000-0004-0000-0E00-00001B000000}"/>
    <hyperlink ref="C137" r:id="rId29" display="2437-%20Espátula%20de%20conchas%20nasais%2021%20cm.jpg" xr:uid="{00000000-0004-0000-0E00-00001C000000}"/>
    <hyperlink ref="C138" r:id="rId30" display="0487-%20Especulo%20nasal%20autostático%20n.1.JPG" xr:uid="{00000000-0004-0000-0E00-00001D000000}"/>
    <hyperlink ref="C139" r:id="rId31" display="0488-%20Especulo%20nasal%20autostático%20n.2.JPG" xr:uid="{00000000-0004-0000-0E00-00001E000000}"/>
    <hyperlink ref="C140" r:id="rId32" display="0489-%20Especulo%20nasal%20autostático%20n.3.JPG" xr:uid="{00000000-0004-0000-0E00-00001F000000}"/>
    <hyperlink ref="C141" r:id="rId33" display="4878-%20Micro%20bisturi%20descolador%2020%20cm.jpg" xr:uid="{00000000-0004-0000-0E00-000020000000}"/>
    <hyperlink ref="C142" r:id="rId34" display="4873-%20Micro%20dissector%20fino%2020%20cm.JPG" xr:uid="{00000000-0004-0000-0E00-000021000000}"/>
    <hyperlink ref="C143" r:id="rId35" display="4872-%20Micro%20dissector%20grosso%2020%20cm.jpg" xr:uid="{00000000-0004-0000-0E00-000022000000}"/>
    <hyperlink ref="C144" r:id="rId36" display="4876-%20Micro%20osteotomo%2018%20cm.jpg" xr:uid="{00000000-0004-0000-0E00-000023000000}"/>
    <hyperlink ref="C145" r:id="rId37" display="2893-%20Palpador%20seio%20maxilar%20185%20mm.JPG" xr:uid="{00000000-0004-0000-0E00-000024000000}"/>
    <hyperlink ref="C146" r:id="rId38" display="3232-%20Pinça%20nasal%20blaskeley%20reta%2014%20cm%20adulto%20nº%201.JPG" xr:uid="{00000000-0004-0000-0E00-000025000000}"/>
    <hyperlink ref="C147" r:id="rId39" display="3220-%20Pinça%20nasal%20blaskeley%20angulada%2045º%2014%20cm%20adulto%20nº%201.JPG" xr:uid="{00000000-0004-0000-0E00-000026000000}"/>
    <hyperlink ref="C148" r:id="rId40" display="3059-%20Pinça%20cogumelo%20reta%20160%20mm.jpg" xr:uid="{00000000-0004-0000-0E00-000027000000}"/>
    <hyperlink ref="C149" r:id="rId41" display="3058-%20Pinça%20cogumelo%20curva%20160%20mm.jpg" xr:uid="{00000000-0004-0000-0E00-000028000000}"/>
    <hyperlink ref="C150" r:id="rId42" display="3064-%20Pinça%20come%20p%20frente%20angulada.JPG" xr:uid="{00000000-0004-0000-0E00-000029000000}"/>
    <hyperlink ref="C151" r:id="rId43" display="3065-%20Pinça%20come%20p%20frente%20reta.JPG" xr:uid="{00000000-0004-0000-0E00-00002A000000}"/>
    <hyperlink ref="C152" r:id="rId44" display="1445-%20Pinça%20microendonasal%20jacaré%20140%20mm.jpg" xr:uid="{00000000-0004-0000-0E00-00002B000000}"/>
    <hyperlink ref="C153" r:id="rId45" display="3153-%20Pinça%20kerrison%202%20x%20160%20mm%20p%20cima.JPG" xr:uid="{00000000-0004-0000-0E00-00002C000000}"/>
    <hyperlink ref="C154" r:id="rId46" display="3262-%20Pinça%20nasal%20back%20bite%2014%20cm.JPG" xr:uid="{00000000-0004-0000-0E00-00002D000000}"/>
    <hyperlink ref="C155" r:id="rId47" display="3251-%20Pinça%20nasal%20takahashi%20angulada%2045°adulto%2014%20cm.JPG" xr:uid="{00000000-0004-0000-0E00-00002E000000}"/>
    <hyperlink ref="C156" r:id="rId48" display="3252-%20Pinça%20nasal%20takahashi%20angulada%2045°infantil%2012%20cm.JPG" xr:uid="{00000000-0004-0000-0E00-00002F000000}"/>
    <hyperlink ref="C157" r:id="rId49" display="3254-%20Pinça%20nasal%20takahashi%20reta%20adulto%2014%20cm.JPG" xr:uid="{00000000-0004-0000-0E00-000030000000}"/>
    <hyperlink ref="C158" r:id="rId50" display="3255-%20Pinça%20nasal%20takahashi%20reta%20infantil%2012%20cm.JPG" xr:uid="{00000000-0004-0000-0E00-000031000000}"/>
    <hyperlink ref="C159" r:id="rId51" display="3392-%20Tesoura%20microendonasal%20reta.JPG" xr:uid="{00000000-0004-0000-0E00-000032000000}"/>
    <hyperlink ref="C163" r:id="rId52" display="Estojo%20de%20inox%2028%20x%2014%20x%206%20cm%20Perfurado.jpg" xr:uid="{00000000-0004-0000-0E00-000033000000}"/>
    <hyperlink ref="C189" r:id="rId53" display="../CX.de%20Amigdalas%202/Estojo%20de%20inox%2028%20x%2014%20x%206%20cm%20Perfurado.jpg" xr:uid="{00000000-0004-0000-0E00-000034000000}"/>
    <hyperlink ref="C187" r:id="rId54" display="../CX.de%20Amigdalas%202/2931-%20Suporte%20de%20abre%20boca%2010%20x%2013%20cm.JPG" xr:uid="{00000000-0004-0000-0E00-000035000000}"/>
    <hyperlink ref="C186" r:id="rId55" display="../CX.de%20Amigdalas%202/3295-%20Serra%20nó%20bruenings.JPG" xr:uid="{00000000-0004-0000-0E00-000036000000}"/>
    <hyperlink ref="C185" r:id="rId56" display="../CX.de%20Amigdalas%202/0632-%20Porta%20agulha%20mayo-hegar%2018%20cm%20s%20widia.jpg" xr:uid="{00000000-0004-0000-0E00-000037000000}"/>
    <hyperlink ref="C184" r:id="rId57" display="../CX.de%20Amigdalas%202/1412-%20Pinça%20hemostática%20scobee-%20Allis%20angulada.JPG" xr:uid="{00000000-0004-0000-0E00-000038000000}"/>
    <hyperlink ref="C179" r:id="rId58" display="../CX.de%20Amigdalas%202/2422-%20Descolador%20serrilhado%2021%20cm.JPG" xr:uid="{00000000-0004-0000-0E00-000039000000}"/>
    <hyperlink ref="C178" r:id="rId59" display="../CX.de%20Amigdalas%202/2432-%20Descolador%20hurd%20p%20amígdalas%2023%20cm.JPG" xr:uid="{00000000-0004-0000-0E00-00003A000000}"/>
    <hyperlink ref="C177" r:id="rId60" display="../CX.de%20Amigdalas%202/3427-%20Cureta%20de%20beckmann%20Nº%205.JPG" xr:uid="{00000000-0004-0000-0E00-00003B000000}"/>
    <hyperlink ref="C176" r:id="rId61" display="../CX.de%20Amigdalas%202/3425-%20Cureta%20de%20beckmann%20Nº%203.JPG" xr:uid="{00000000-0004-0000-0E00-00003C000000}"/>
    <hyperlink ref="C175" r:id="rId62" display="../CX.de%20Amigdalas%202/3423-%20Cureta%20de%20beckmann%20Nº%201.JPG" xr:uid="{00000000-0004-0000-0E00-00003D000000}"/>
    <hyperlink ref="C174" r:id="rId63" display="../CX.de%20Amigdalas%202/2171-%20Cabo%20p%20bisturi%20N°%207%2017%20cm.jpg" xr:uid="{00000000-0004-0000-0E00-00003E000000}"/>
    <hyperlink ref="C173" r:id="rId64" display="../CX.de%20Amigdalas%202/2015-Aspirador%20yankauer%20adulto%2028%20cm.JPG" xr:uid="{00000000-0004-0000-0E00-00003F000000}"/>
    <hyperlink ref="C172" r:id="rId65" display="../CX.de%20Amigdalas%202/1995-Aspirador%20descolador%20de%20amigdala%20diam.4%2C0%20mm.JPG" xr:uid="{00000000-0004-0000-0E00-000040000000}"/>
    <hyperlink ref="C171" r:id="rId66" display="../CX.de%20Amigdalas%202/0017-Abre%20boca%20MC%20Ivor%20c%203%20abaixa%20lingua.JPG" xr:uid="{00000000-0004-0000-0E00-000041000000}"/>
    <hyperlink ref="C170" r:id="rId67" display="../CX.de%20Amigdalas%202/2091-Abaixador%20de%20lingua%20Bruennings%2019%20cm.JPG" xr:uid="{00000000-0004-0000-0E00-000042000000}"/>
  </hyperlinks>
  <pageMargins left="0.511811024" right="0.511811024" top="0.78740157499999996" bottom="0.78740157499999996" header="0.31496062000000002" footer="0.31496062000000002"/>
  <pageSetup paperSize="9" orientation="portrait" r:id="rId68"/>
  <drawing r:id="rId6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20">
    <tabColor rgb="FF00FF00"/>
    <outlinePr summaryBelow="0" summaryRight="0"/>
  </sheetPr>
  <dimension ref="A1:H136"/>
  <sheetViews>
    <sheetView topLeftCell="C106" zoomScaleNormal="100" workbookViewId="0">
      <selection activeCell="G108" sqref="G108:H113"/>
    </sheetView>
  </sheetViews>
  <sheetFormatPr defaultColWidth="12.5703125" defaultRowHeight="15.75" customHeight="1"/>
  <cols>
    <col min="1" max="1" width="17.7109375" bestFit="1" customWidth="1"/>
    <col min="2" max="2" width="29.42578125" customWidth="1"/>
    <col min="3" max="3" width="43.7109375" bestFit="1" customWidth="1"/>
    <col min="4" max="4" width="23.140625" customWidth="1"/>
    <col min="6" max="6" width="30" customWidth="1"/>
    <col min="7" max="7" width="20.5703125" customWidth="1"/>
    <col min="8" max="8" width="21.85546875" customWidth="1"/>
  </cols>
  <sheetData>
    <row r="1" spans="1:8" ht="12.75"/>
    <row r="2" spans="1:8" ht="15.75" customHeight="1" thickBot="1">
      <c r="A2" s="55" t="s">
        <v>855</v>
      </c>
      <c r="B2" s="55"/>
      <c r="C2" s="55"/>
      <c r="D2" s="55"/>
      <c r="E2" s="55"/>
      <c r="F2" s="55"/>
    </row>
    <row r="3" spans="1:8" ht="12.75">
      <c r="A3" s="13" t="s">
        <v>1135</v>
      </c>
      <c r="B3" s="13" t="s">
        <v>1127</v>
      </c>
      <c r="C3" s="13" t="s">
        <v>747</v>
      </c>
      <c r="D3" s="13" t="s">
        <v>106</v>
      </c>
      <c r="E3" s="13" t="s">
        <v>782</v>
      </c>
      <c r="F3" s="71" t="s">
        <v>769</v>
      </c>
      <c r="G3" s="349" t="s">
        <v>1707</v>
      </c>
      <c r="H3" s="350" t="s">
        <v>1166</v>
      </c>
    </row>
    <row r="4" spans="1:8" ht="12.75">
      <c r="A4" s="478" t="s">
        <v>1157</v>
      </c>
      <c r="B4" s="450" t="s">
        <v>16</v>
      </c>
      <c r="C4" s="3" t="s">
        <v>145</v>
      </c>
      <c r="D4" s="3" t="s">
        <v>811</v>
      </c>
      <c r="E4" s="3">
        <v>2</v>
      </c>
      <c r="F4" s="50">
        <f t="shared" ref="F4:F35" si="0">SUM(E4*$F$75)</f>
        <v>4</v>
      </c>
      <c r="G4" s="390"/>
      <c r="H4" s="391"/>
    </row>
    <row r="5" spans="1:8" ht="12.75">
      <c r="A5" s="479"/>
      <c r="B5" s="451"/>
      <c r="C5" s="3" t="s">
        <v>166</v>
      </c>
      <c r="D5" s="3" t="s">
        <v>116</v>
      </c>
      <c r="E5" s="3">
        <v>1</v>
      </c>
      <c r="F5" s="50">
        <f t="shared" si="0"/>
        <v>2</v>
      </c>
      <c r="G5" s="390"/>
      <c r="H5" s="391"/>
    </row>
    <row r="6" spans="1:8" ht="12.75">
      <c r="A6" s="479"/>
      <c r="B6" s="451"/>
      <c r="C6" s="3" t="s">
        <v>202</v>
      </c>
      <c r="D6" s="3" t="s">
        <v>113</v>
      </c>
      <c r="E6" s="3">
        <v>1</v>
      </c>
      <c r="F6" s="50">
        <f t="shared" si="0"/>
        <v>2</v>
      </c>
      <c r="G6" s="390"/>
      <c r="H6" s="391"/>
    </row>
    <row r="7" spans="1:8" ht="12.75">
      <c r="A7" s="479"/>
      <c r="B7" s="451"/>
      <c r="C7" s="3" t="s">
        <v>771</v>
      </c>
      <c r="D7" s="3" t="s">
        <v>251</v>
      </c>
      <c r="E7" s="3">
        <v>1</v>
      </c>
      <c r="F7" s="50">
        <f t="shared" si="0"/>
        <v>2</v>
      </c>
      <c r="G7" s="390"/>
      <c r="H7" s="391"/>
    </row>
    <row r="8" spans="1:8" ht="12.75">
      <c r="A8" s="479"/>
      <c r="B8" s="451"/>
      <c r="C8" s="3" t="s">
        <v>252</v>
      </c>
      <c r="D8" s="3" t="s">
        <v>251</v>
      </c>
      <c r="E8" s="3">
        <v>1</v>
      </c>
      <c r="F8" s="50">
        <f t="shared" si="0"/>
        <v>2</v>
      </c>
      <c r="G8" s="390"/>
      <c r="H8" s="391"/>
    </row>
    <row r="9" spans="1:8" ht="12.75">
      <c r="A9" s="479"/>
      <c r="B9" s="451"/>
      <c r="C9" s="3" t="s">
        <v>253</v>
      </c>
      <c r="D9" s="3" t="s">
        <v>118</v>
      </c>
      <c r="E9" s="3">
        <v>1</v>
      </c>
      <c r="F9" s="50">
        <f t="shared" si="0"/>
        <v>2</v>
      </c>
      <c r="G9" s="390"/>
      <c r="H9" s="391"/>
    </row>
    <row r="10" spans="1:8" ht="12.75">
      <c r="A10" s="479"/>
      <c r="B10" s="451"/>
      <c r="C10" s="3" t="s">
        <v>291</v>
      </c>
      <c r="D10" s="3" t="s">
        <v>772</v>
      </c>
      <c r="E10" s="3">
        <v>1</v>
      </c>
      <c r="F10" s="50">
        <f t="shared" si="0"/>
        <v>2</v>
      </c>
      <c r="G10" s="125"/>
      <c r="H10" s="326"/>
    </row>
    <row r="11" spans="1:8" ht="12.75">
      <c r="A11" s="479"/>
      <c r="B11" s="451"/>
      <c r="C11" s="3" t="s">
        <v>291</v>
      </c>
      <c r="D11" s="3" t="s">
        <v>293</v>
      </c>
      <c r="E11" s="3">
        <v>1</v>
      </c>
      <c r="F11" s="50">
        <f t="shared" si="0"/>
        <v>2</v>
      </c>
      <c r="G11" s="125"/>
      <c r="H11" s="326"/>
    </row>
    <row r="12" spans="1:8" ht="12.75">
      <c r="A12" s="479"/>
      <c r="B12" s="451"/>
      <c r="C12" s="3" t="s">
        <v>801</v>
      </c>
      <c r="D12" s="3" t="s">
        <v>251</v>
      </c>
      <c r="E12" s="3">
        <v>1</v>
      </c>
      <c r="F12" s="50">
        <f t="shared" si="0"/>
        <v>2</v>
      </c>
      <c r="G12" s="125"/>
      <c r="H12" s="326"/>
    </row>
    <row r="13" spans="1:8" ht="12.75">
      <c r="A13" s="479"/>
      <c r="B13" s="451"/>
      <c r="C13" s="3" t="s">
        <v>802</v>
      </c>
      <c r="D13" s="3" t="s">
        <v>251</v>
      </c>
      <c r="E13" s="3">
        <v>1</v>
      </c>
      <c r="F13" s="50">
        <f t="shared" si="0"/>
        <v>2</v>
      </c>
      <c r="G13" s="125"/>
      <c r="H13" s="326"/>
    </row>
    <row r="14" spans="1:8" ht="12.75">
      <c r="A14" s="479"/>
      <c r="B14" s="451"/>
      <c r="C14" s="3" t="s">
        <v>526</v>
      </c>
      <c r="D14" s="3" t="s">
        <v>242</v>
      </c>
      <c r="E14" s="3">
        <v>2</v>
      </c>
      <c r="F14" s="50">
        <f t="shared" si="0"/>
        <v>4</v>
      </c>
      <c r="G14" s="125"/>
      <c r="H14" s="326"/>
    </row>
    <row r="15" spans="1:8" ht="12.75">
      <c r="A15" s="479"/>
      <c r="B15" s="451"/>
      <c r="C15" s="3" t="s">
        <v>527</v>
      </c>
      <c r="D15" s="5" t="s">
        <v>286</v>
      </c>
      <c r="E15" s="5">
        <v>4</v>
      </c>
      <c r="F15" s="50">
        <f t="shared" si="0"/>
        <v>8</v>
      </c>
      <c r="G15" s="125"/>
      <c r="H15" s="326"/>
    </row>
    <row r="16" spans="1:8" ht="12.75">
      <c r="A16" s="479"/>
      <c r="B16" s="451"/>
      <c r="C16" s="3" t="s">
        <v>528</v>
      </c>
      <c r="D16" s="3" t="s">
        <v>113</v>
      </c>
      <c r="E16" s="3">
        <v>1</v>
      </c>
      <c r="F16" s="50">
        <f t="shared" si="0"/>
        <v>2</v>
      </c>
      <c r="G16" s="125"/>
      <c r="H16" s="326"/>
    </row>
    <row r="17" spans="1:8" ht="12.75">
      <c r="A17" s="479"/>
      <c r="B17" s="451"/>
      <c r="C17" s="3" t="s">
        <v>528</v>
      </c>
      <c r="D17" s="3" t="s">
        <v>118</v>
      </c>
      <c r="E17" s="3">
        <v>1</v>
      </c>
      <c r="F17" s="50">
        <f t="shared" si="0"/>
        <v>2</v>
      </c>
      <c r="G17" s="125"/>
      <c r="H17" s="326"/>
    </row>
    <row r="18" spans="1:8" ht="12.75">
      <c r="A18" s="479"/>
      <c r="B18" s="451"/>
      <c r="C18" s="3" t="s">
        <v>856</v>
      </c>
      <c r="D18" s="5" t="s">
        <v>118</v>
      </c>
      <c r="E18" s="5">
        <v>2</v>
      </c>
      <c r="F18" s="50">
        <f t="shared" si="0"/>
        <v>4</v>
      </c>
      <c r="G18" s="125"/>
      <c r="H18" s="326"/>
    </row>
    <row r="19" spans="1:8" ht="12.75">
      <c r="A19" s="479"/>
      <c r="B19" s="451"/>
      <c r="C19" s="3" t="s">
        <v>774</v>
      </c>
      <c r="D19" s="3" t="s">
        <v>533</v>
      </c>
      <c r="E19" s="3">
        <v>10</v>
      </c>
      <c r="F19" s="50">
        <f t="shared" si="0"/>
        <v>20</v>
      </c>
      <c r="G19" s="125"/>
      <c r="H19" s="326"/>
    </row>
    <row r="20" spans="1:8" ht="12.75">
      <c r="A20" s="479"/>
      <c r="B20" s="451"/>
      <c r="C20" s="3" t="s">
        <v>778</v>
      </c>
      <c r="D20" s="3" t="s">
        <v>111</v>
      </c>
      <c r="E20" s="3">
        <v>1</v>
      </c>
      <c r="F20" s="50">
        <f t="shared" si="0"/>
        <v>2</v>
      </c>
      <c r="G20" s="125"/>
      <c r="H20" s="326"/>
    </row>
    <row r="21" spans="1:8" ht="12.75">
      <c r="A21" s="479"/>
      <c r="B21" s="451"/>
      <c r="C21" s="3" t="s">
        <v>540</v>
      </c>
      <c r="D21" s="3" t="s">
        <v>541</v>
      </c>
      <c r="E21" s="3">
        <v>1</v>
      </c>
      <c r="F21" s="50">
        <f t="shared" si="0"/>
        <v>2</v>
      </c>
      <c r="G21" s="125"/>
      <c r="H21" s="326"/>
    </row>
    <row r="22" spans="1:8" ht="12.75">
      <c r="A22" s="479"/>
      <c r="B22" s="451"/>
      <c r="C22" s="3" t="s">
        <v>542</v>
      </c>
      <c r="D22" s="3" t="s">
        <v>543</v>
      </c>
      <c r="E22" s="3">
        <v>1</v>
      </c>
      <c r="F22" s="50">
        <f t="shared" si="0"/>
        <v>2</v>
      </c>
      <c r="G22" s="125"/>
      <c r="H22" s="326"/>
    </row>
    <row r="23" spans="1:8" ht="12.75">
      <c r="A23" s="479"/>
      <c r="B23" s="451"/>
      <c r="C23" s="3" t="s">
        <v>544</v>
      </c>
      <c r="D23" s="3" t="s">
        <v>545</v>
      </c>
      <c r="E23" s="3">
        <v>1</v>
      </c>
      <c r="F23" s="50">
        <f t="shared" si="0"/>
        <v>2</v>
      </c>
      <c r="G23" s="125"/>
      <c r="H23" s="326"/>
    </row>
    <row r="24" spans="1:8" ht="12.75">
      <c r="A24" s="479"/>
      <c r="B24" s="451"/>
      <c r="C24" s="3" t="s">
        <v>544</v>
      </c>
      <c r="D24" s="3" t="s">
        <v>546</v>
      </c>
      <c r="E24" s="3">
        <v>1</v>
      </c>
      <c r="F24" s="50">
        <f t="shared" si="0"/>
        <v>2</v>
      </c>
      <c r="G24" s="125"/>
      <c r="H24" s="326"/>
    </row>
    <row r="25" spans="1:8" ht="12.75">
      <c r="A25" s="479"/>
      <c r="B25" s="451"/>
      <c r="C25" s="3" t="s">
        <v>547</v>
      </c>
      <c r="D25" s="3" t="s">
        <v>548</v>
      </c>
      <c r="E25" s="3">
        <v>1</v>
      </c>
      <c r="F25" s="50">
        <f t="shared" si="0"/>
        <v>2</v>
      </c>
      <c r="G25" s="125"/>
      <c r="H25" s="326"/>
    </row>
    <row r="26" spans="1:8" ht="12.75">
      <c r="A26" s="479"/>
      <c r="B26" s="451"/>
      <c r="C26" s="3" t="s">
        <v>549</v>
      </c>
      <c r="D26" s="3" t="s">
        <v>550</v>
      </c>
      <c r="E26" s="3">
        <v>1</v>
      </c>
      <c r="F26" s="50">
        <f t="shared" si="0"/>
        <v>2</v>
      </c>
      <c r="G26" s="125"/>
      <c r="H26" s="326"/>
    </row>
    <row r="27" spans="1:8" ht="12.75">
      <c r="A27" s="479"/>
      <c r="B27" s="451"/>
      <c r="C27" s="3" t="s">
        <v>553</v>
      </c>
      <c r="D27" s="3" t="s">
        <v>554</v>
      </c>
      <c r="E27" s="3">
        <v>1</v>
      </c>
      <c r="F27" s="50">
        <f t="shared" si="0"/>
        <v>2</v>
      </c>
      <c r="G27" s="125"/>
      <c r="H27" s="326"/>
    </row>
    <row r="28" spans="1:8" ht="12.75">
      <c r="A28" s="479"/>
      <c r="B28" s="451"/>
      <c r="C28" s="3" t="s">
        <v>555</v>
      </c>
      <c r="D28" s="3" t="s">
        <v>556</v>
      </c>
      <c r="E28" s="3">
        <v>1</v>
      </c>
      <c r="F28" s="50">
        <f t="shared" si="0"/>
        <v>2</v>
      </c>
      <c r="G28" s="125"/>
      <c r="H28" s="326"/>
    </row>
    <row r="29" spans="1:8" ht="12.75">
      <c r="A29" s="479"/>
      <c r="B29" s="451"/>
      <c r="C29" s="3" t="s">
        <v>557</v>
      </c>
      <c r="D29" s="3" t="s">
        <v>556</v>
      </c>
      <c r="E29" s="3">
        <v>1</v>
      </c>
      <c r="F29" s="50">
        <f t="shared" si="0"/>
        <v>2</v>
      </c>
      <c r="G29" s="125"/>
      <c r="H29" s="326"/>
    </row>
    <row r="30" spans="1:8" ht="12.75">
      <c r="A30" s="479"/>
      <c r="B30" s="451"/>
      <c r="C30" s="3" t="s">
        <v>558</v>
      </c>
      <c r="D30" s="3" t="s">
        <v>559</v>
      </c>
      <c r="E30" s="3">
        <v>1</v>
      </c>
      <c r="F30" s="50">
        <f t="shared" si="0"/>
        <v>2</v>
      </c>
      <c r="G30" s="125"/>
      <c r="H30" s="326"/>
    </row>
    <row r="31" spans="1:8" ht="12.75">
      <c r="A31" s="479"/>
      <c r="B31" s="451"/>
      <c r="C31" s="3" t="s">
        <v>558</v>
      </c>
      <c r="D31" s="3" t="s">
        <v>560</v>
      </c>
      <c r="E31" s="3">
        <v>1</v>
      </c>
      <c r="F31" s="50">
        <f t="shared" si="0"/>
        <v>2</v>
      </c>
      <c r="G31" s="125"/>
      <c r="H31" s="326"/>
    </row>
    <row r="32" spans="1:8" ht="12.75">
      <c r="A32" s="479"/>
      <c r="B32" s="451"/>
      <c r="C32" s="3" t="s">
        <v>558</v>
      </c>
      <c r="D32" s="3" t="s">
        <v>561</v>
      </c>
      <c r="E32" s="3">
        <v>1</v>
      </c>
      <c r="F32" s="50">
        <f t="shared" si="0"/>
        <v>2</v>
      </c>
      <c r="G32" s="125"/>
      <c r="H32" s="326"/>
    </row>
    <row r="33" spans="1:8" ht="12.75">
      <c r="A33" s="479"/>
      <c r="B33" s="451"/>
      <c r="C33" s="3" t="s">
        <v>562</v>
      </c>
      <c r="D33" s="3" t="s">
        <v>563</v>
      </c>
      <c r="E33" s="3">
        <v>1</v>
      </c>
      <c r="F33" s="50">
        <f t="shared" si="0"/>
        <v>2</v>
      </c>
      <c r="G33" s="125"/>
      <c r="H33" s="326"/>
    </row>
    <row r="34" spans="1:8" ht="12.75">
      <c r="A34" s="479"/>
      <c r="B34" s="451"/>
      <c r="C34" s="3" t="s">
        <v>564</v>
      </c>
      <c r="D34" s="3" t="s">
        <v>563</v>
      </c>
      <c r="E34" s="3">
        <v>1</v>
      </c>
      <c r="F34" s="50">
        <f t="shared" si="0"/>
        <v>2</v>
      </c>
      <c r="G34" s="125"/>
      <c r="H34" s="326"/>
    </row>
    <row r="35" spans="1:8" ht="12.75">
      <c r="A35" s="479"/>
      <c r="B35" s="451"/>
      <c r="C35" s="3" t="s">
        <v>565</v>
      </c>
      <c r="D35" s="3" t="s">
        <v>566</v>
      </c>
      <c r="E35" s="3">
        <v>1</v>
      </c>
      <c r="F35" s="50">
        <f t="shared" si="0"/>
        <v>2</v>
      </c>
      <c r="G35" s="125"/>
      <c r="H35" s="326"/>
    </row>
    <row r="36" spans="1:8" ht="12.75">
      <c r="A36" s="479"/>
      <c r="B36" s="451"/>
      <c r="C36" s="3" t="s">
        <v>565</v>
      </c>
      <c r="D36" s="3" t="s">
        <v>567</v>
      </c>
      <c r="E36" s="3">
        <v>1</v>
      </c>
      <c r="F36" s="50">
        <f t="shared" ref="F36:F67" si="1">SUM(E36*$F$75)</f>
        <v>2</v>
      </c>
      <c r="G36" s="125"/>
      <c r="H36" s="326"/>
    </row>
    <row r="37" spans="1:8" ht="12.75">
      <c r="A37" s="479"/>
      <c r="B37" s="451"/>
      <c r="C37" s="3" t="s">
        <v>580</v>
      </c>
      <c r="D37" s="3" t="s">
        <v>118</v>
      </c>
      <c r="E37" s="3">
        <v>1</v>
      </c>
      <c r="F37" s="50">
        <f t="shared" si="1"/>
        <v>2</v>
      </c>
      <c r="G37" s="125"/>
      <c r="H37" s="326"/>
    </row>
    <row r="38" spans="1:8" ht="12.75">
      <c r="A38" s="479"/>
      <c r="B38" s="451"/>
      <c r="C38" s="3" t="s">
        <v>580</v>
      </c>
      <c r="D38" s="3" t="s">
        <v>157</v>
      </c>
      <c r="E38" s="3">
        <v>1</v>
      </c>
      <c r="F38" s="50">
        <f t="shared" si="1"/>
        <v>2</v>
      </c>
      <c r="G38" s="125"/>
      <c r="H38" s="326"/>
    </row>
    <row r="39" spans="1:8" ht="12.75">
      <c r="A39" s="479"/>
      <c r="B39" s="451"/>
      <c r="C39" s="3" t="s">
        <v>580</v>
      </c>
      <c r="D39" s="3" t="s">
        <v>111</v>
      </c>
      <c r="E39" s="3">
        <v>1</v>
      </c>
      <c r="F39" s="50">
        <f t="shared" si="1"/>
        <v>2</v>
      </c>
      <c r="G39" s="125"/>
      <c r="H39" s="326"/>
    </row>
    <row r="40" spans="1:8" ht="12.75">
      <c r="A40" s="479"/>
      <c r="B40" s="451"/>
      <c r="C40" s="3" t="s">
        <v>583</v>
      </c>
      <c r="D40" s="3" t="s">
        <v>157</v>
      </c>
      <c r="E40" s="3">
        <v>1</v>
      </c>
      <c r="F40" s="50">
        <f t="shared" si="1"/>
        <v>2</v>
      </c>
      <c r="G40" s="125"/>
      <c r="H40" s="326"/>
    </row>
    <row r="41" spans="1:8" ht="12.75">
      <c r="A41" s="479"/>
      <c r="B41" s="451"/>
      <c r="C41" s="3" t="s">
        <v>583</v>
      </c>
      <c r="D41" s="3" t="s">
        <v>242</v>
      </c>
      <c r="E41" s="3">
        <v>1</v>
      </c>
      <c r="F41" s="50">
        <f t="shared" si="1"/>
        <v>2</v>
      </c>
      <c r="G41" s="125"/>
      <c r="H41" s="326"/>
    </row>
    <row r="42" spans="1:8" ht="12.75">
      <c r="A42" s="479"/>
      <c r="B42" s="451"/>
      <c r="C42" s="3" t="s">
        <v>583</v>
      </c>
      <c r="D42" s="3" t="s">
        <v>288</v>
      </c>
      <c r="E42" s="3">
        <v>1</v>
      </c>
      <c r="F42" s="50">
        <f t="shared" si="1"/>
        <v>2</v>
      </c>
      <c r="G42" s="125"/>
      <c r="H42" s="326"/>
    </row>
    <row r="43" spans="1:8" ht="12.75">
      <c r="A43" s="479"/>
      <c r="B43" s="451"/>
      <c r="C43" s="3" t="s">
        <v>587</v>
      </c>
      <c r="D43" s="5" t="s">
        <v>588</v>
      </c>
      <c r="E43" s="5">
        <v>1</v>
      </c>
      <c r="F43" s="50">
        <f t="shared" si="1"/>
        <v>2</v>
      </c>
      <c r="G43" s="125"/>
      <c r="H43" s="326"/>
    </row>
    <row r="44" spans="1:8" ht="12.75">
      <c r="A44" s="479"/>
      <c r="B44" s="451"/>
      <c r="C44" s="3" t="s">
        <v>598</v>
      </c>
      <c r="D44" s="3" t="s">
        <v>251</v>
      </c>
      <c r="E44" s="3">
        <v>12</v>
      </c>
      <c r="F44" s="50">
        <f t="shared" si="1"/>
        <v>24</v>
      </c>
      <c r="G44" s="125"/>
      <c r="H44" s="326"/>
    </row>
    <row r="45" spans="1:8" ht="12.75">
      <c r="A45" s="479"/>
      <c r="B45" s="451"/>
      <c r="C45" s="3" t="s">
        <v>599</v>
      </c>
      <c r="D45" s="3" t="s">
        <v>251</v>
      </c>
      <c r="E45" s="3">
        <v>6</v>
      </c>
      <c r="F45" s="50">
        <f t="shared" si="1"/>
        <v>12</v>
      </c>
      <c r="G45" s="125"/>
      <c r="H45" s="326"/>
    </row>
    <row r="46" spans="1:8" ht="12.75">
      <c r="A46" s="479"/>
      <c r="B46" s="451"/>
      <c r="C46" s="3" t="s">
        <v>610</v>
      </c>
      <c r="D46" s="3" t="s">
        <v>118</v>
      </c>
      <c r="E46" s="3">
        <v>8</v>
      </c>
      <c r="F46" s="50">
        <f t="shared" si="1"/>
        <v>16</v>
      </c>
      <c r="G46" s="125"/>
      <c r="H46" s="326"/>
    </row>
    <row r="47" spans="1:8" ht="12.75">
      <c r="A47" s="479"/>
      <c r="B47" s="451"/>
      <c r="C47" s="3" t="s">
        <v>611</v>
      </c>
      <c r="D47" s="3" t="s">
        <v>118</v>
      </c>
      <c r="E47" s="3">
        <v>4</v>
      </c>
      <c r="F47" s="50">
        <f t="shared" si="1"/>
        <v>8</v>
      </c>
      <c r="G47" s="125"/>
      <c r="H47" s="326"/>
    </row>
    <row r="48" spans="1:8" ht="12.75">
      <c r="A48" s="479"/>
      <c r="B48" s="451"/>
      <c r="C48" s="3" t="s">
        <v>620</v>
      </c>
      <c r="D48" s="3" t="s">
        <v>113</v>
      </c>
      <c r="E48" s="3">
        <v>4</v>
      </c>
      <c r="F48" s="50">
        <f t="shared" si="1"/>
        <v>8</v>
      </c>
      <c r="G48" s="125"/>
      <c r="H48" s="326"/>
    </row>
    <row r="49" spans="1:8" ht="12.75">
      <c r="A49" s="479"/>
      <c r="B49" s="451"/>
      <c r="C49" s="4" t="s">
        <v>640</v>
      </c>
      <c r="D49" s="3" t="s">
        <v>335</v>
      </c>
      <c r="E49" s="3">
        <v>3</v>
      </c>
      <c r="F49" s="50">
        <f t="shared" si="1"/>
        <v>6</v>
      </c>
      <c r="G49" s="125"/>
      <c r="H49" s="326"/>
    </row>
    <row r="50" spans="1:8" ht="12.75">
      <c r="A50" s="479"/>
      <c r="B50" s="451"/>
      <c r="C50" s="3" t="s">
        <v>641</v>
      </c>
      <c r="D50" s="3" t="s">
        <v>113</v>
      </c>
      <c r="E50" s="3">
        <v>2</v>
      </c>
      <c r="F50" s="50">
        <f t="shared" si="1"/>
        <v>4</v>
      </c>
      <c r="G50" s="125"/>
      <c r="H50" s="326"/>
    </row>
    <row r="51" spans="1:8" ht="12.75">
      <c r="A51" s="479"/>
      <c r="B51" s="451"/>
      <c r="C51" s="3" t="s">
        <v>650</v>
      </c>
      <c r="D51" s="3" t="s">
        <v>157</v>
      </c>
      <c r="E51" s="3">
        <v>1</v>
      </c>
      <c r="F51" s="50">
        <f t="shared" si="1"/>
        <v>2</v>
      </c>
      <c r="G51" s="125"/>
      <c r="H51" s="326"/>
    </row>
    <row r="52" spans="1:8" ht="12.75">
      <c r="A52" s="479"/>
      <c r="B52" s="451"/>
      <c r="C52" s="4" t="s">
        <v>857</v>
      </c>
      <c r="D52" s="3" t="s">
        <v>286</v>
      </c>
      <c r="E52" s="3">
        <v>2</v>
      </c>
      <c r="F52" s="50">
        <f t="shared" si="1"/>
        <v>4</v>
      </c>
      <c r="G52" s="125"/>
      <c r="H52" s="326"/>
    </row>
    <row r="53" spans="1:8" ht="12.75">
      <c r="A53" s="479"/>
      <c r="B53" s="451"/>
      <c r="C53" s="3" t="s">
        <v>687</v>
      </c>
      <c r="D53" s="3" t="s">
        <v>118</v>
      </c>
      <c r="E53" s="3">
        <v>1</v>
      </c>
      <c r="F53" s="50">
        <f t="shared" si="1"/>
        <v>2</v>
      </c>
      <c r="G53" s="125"/>
      <c r="H53" s="326"/>
    </row>
    <row r="54" spans="1:8" ht="12.75">
      <c r="A54" s="479"/>
      <c r="B54" s="451"/>
      <c r="C54" s="3" t="s">
        <v>687</v>
      </c>
      <c r="D54" s="3" t="s">
        <v>242</v>
      </c>
      <c r="E54" s="3">
        <v>1</v>
      </c>
      <c r="F54" s="50">
        <f t="shared" si="1"/>
        <v>2</v>
      </c>
      <c r="G54" s="125"/>
      <c r="H54" s="326"/>
    </row>
    <row r="55" spans="1:8" ht="12.75">
      <c r="A55" s="479"/>
      <c r="B55" s="451"/>
      <c r="C55" s="3" t="s">
        <v>687</v>
      </c>
      <c r="D55" s="3" t="s">
        <v>123</v>
      </c>
      <c r="E55" s="3">
        <v>1</v>
      </c>
      <c r="F55" s="50">
        <f t="shared" si="1"/>
        <v>2</v>
      </c>
      <c r="G55" s="125"/>
      <c r="H55" s="326"/>
    </row>
    <row r="56" spans="1:8" ht="12.75">
      <c r="A56" s="479"/>
      <c r="B56" s="451"/>
      <c r="C56" s="4" t="s">
        <v>690</v>
      </c>
      <c r="D56" s="3" t="s">
        <v>335</v>
      </c>
      <c r="E56" s="3">
        <v>1</v>
      </c>
      <c r="F56" s="50">
        <f t="shared" si="1"/>
        <v>2</v>
      </c>
      <c r="G56" s="125"/>
      <c r="H56" s="326"/>
    </row>
    <row r="57" spans="1:8" ht="12.75">
      <c r="A57" s="479"/>
      <c r="B57" s="451"/>
      <c r="C57" s="4" t="s">
        <v>690</v>
      </c>
      <c r="D57" s="3" t="s">
        <v>123</v>
      </c>
      <c r="E57" s="3">
        <v>1</v>
      </c>
      <c r="F57" s="50">
        <f t="shared" si="1"/>
        <v>2</v>
      </c>
      <c r="G57" s="125"/>
      <c r="H57" s="326"/>
    </row>
    <row r="58" spans="1:8" ht="12.75">
      <c r="A58" s="479"/>
      <c r="B58" s="451"/>
      <c r="C58" s="4" t="s">
        <v>691</v>
      </c>
      <c r="D58" s="3" t="s">
        <v>684</v>
      </c>
      <c r="E58" s="3">
        <v>1</v>
      </c>
      <c r="F58" s="50">
        <f t="shared" si="1"/>
        <v>2</v>
      </c>
      <c r="G58" s="125"/>
      <c r="H58" s="326"/>
    </row>
    <row r="59" spans="1:8" ht="12.75">
      <c r="A59" s="479"/>
      <c r="B59" s="451"/>
      <c r="C59" s="4" t="s">
        <v>691</v>
      </c>
      <c r="D59" s="3" t="s">
        <v>692</v>
      </c>
      <c r="E59" s="3">
        <v>1</v>
      </c>
      <c r="F59" s="50">
        <f t="shared" si="1"/>
        <v>2</v>
      </c>
      <c r="G59" s="125"/>
      <c r="H59" s="326"/>
    </row>
    <row r="60" spans="1:8" ht="12.75">
      <c r="A60" s="479"/>
      <c r="B60" s="451"/>
      <c r="C60" s="4" t="s">
        <v>693</v>
      </c>
      <c r="D60" s="3" t="s">
        <v>684</v>
      </c>
      <c r="E60" s="3">
        <v>1</v>
      </c>
      <c r="F60" s="50">
        <f t="shared" si="1"/>
        <v>2</v>
      </c>
      <c r="G60" s="125"/>
      <c r="H60" s="326"/>
    </row>
    <row r="61" spans="1:8" ht="12.75">
      <c r="A61" s="479"/>
      <c r="B61" s="451"/>
      <c r="C61" s="4" t="s">
        <v>693</v>
      </c>
      <c r="D61" s="3" t="s">
        <v>692</v>
      </c>
      <c r="E61" s="3">
        <v>1</v>
      </c>
      <c r="F61" s="50">
        <f t="shared" si="1"/>
        <v>2</v>
      </c>
      <c r="G61" s="125"/>
      <c r="H61" s="326"/>
    </row>
    <row r="62" spans="1:8" ht="12.75">
      <c r="A62" s="479"/>
      <c r="B62" s="451"/>
      <c r="C62" s="3" t="s">
        <v>710</v>
      </c>
      <c r="D62" s="3" t="s">
        <v>303</v>
      </c>
      <c r="E62" s="3">
        <v>1</v>
      </c>
      <c r="F62" s="50">
        <f t="shared" si="1"/>
        <v>2</v>
      </c>
      <c r="G62" s="125"/>
      <c r="H62" s="326"/>
    </row>
    <row r="63" spans="1:8" ht="12.75">
      <c r="A63" s="479"/>
      <c r="B63" s="451"/>
      <c r="C63" s="3" t="s">
        <v>712</v>
      </c>
      <c r="D63" s="3" t="s">
        <v>303</v>
      </c>
      <c r="E63" s="3">
        <v>1</v>
      </c>
      <c r="F63" s="50">
        <f t="shared" si="1"/>
        <v>2</v>
      </c>
      <c r="G63" s="125"/>
      <c r="H63" s="326"/>
    </row>
    <row r="64" spans="1:8" ht="12.75">
      <c r="A64" s="479"/>
      <c r="B64" s="451"/>
      <c r="C64" s="3" t="s">
        <v>716</v>
      </c>
      <c r="D64" s="3" t="s">
        <v>157</v>
      </c>
      <c r="E64" s="3">
        <v>1</v>
      </c>
      <c r="F64" s="50">
        <f t="shared" si="1"/>
        <v>2</v>
      </c>
      <c r="G64" s="125"/>
      <c r="H64" s="326"/>
    </row>
    <row r="65" spans="1:8" ht="12.75">
      <c r="A65" s="479"/>
      <c r="B65" s="451"/>
      <c r="C65" s="3" t="s">
        <v>716</v>
      </c>
      <c r="D65" s="3" t="s">
        <v>242</v>
      </c>
      <c r="E65" s="3">
        <v>1</v>
      </c>
      <c r="F65" s="50">
        <f t="shared" si="1"/>
        <v>2</v>
      </c>
      <c r="G65" s="125"/>
      <c r="H65" s="326"/>
    </row>
    <row r="66" spans="1:8" ht="12.75">
      <c r="A66" s="479"/>
      <c r="B66" s="451"/>
      <c r="C66" s="3" t="s">
        <v>716</v>
      </c>
      <c r="D66" s="3" t="s">
        <v>335</v>
      </c>
      <c r="E66" s="3">
        <v>1</v>
      </c>
      <c r="F66" s="50">
        <f t="shared" si="1"/>
        <v>2</v>
      </c>
      <c r="G66" s="125"/>
      <c r="H66" s="326"/>
    </row>
    <row r="67" spans="1:8" ht="12.75">
      <c r="A67" s="479"/>
      <c r="B67" s="451"/>
      <c r="C67" s="3" t="s">
        <v>717</v>
      </c>
      <c r="D67" s="3" t="s">
        <v>157</v>
      </c>
      <c r="E67" s="3">
        <v>1</v>
      </c>
      <c r="F67" s="50">
        <f t="shared" si="1"/>
        <v>2</v>
      </c>
      <c r="G67" s="125"/>
      <c r="H67" s="326"/>
    </row>
    <row r="68" spans="1:8" ht="12.75">
      <c r="A68" s="479"/>
      <c r="B68" s="451"/>
      <c r="C68" s="4" t="s">
        <v>719</v>
      </c>
      <c r="D68" s="3" t="s">
        <v>286</v>
      </c>
      <c r="E68" s="3">
        <v>1</v>
      </c>
      <c r="F68" s="50">
        <f t="shared" ref="F68:F99" si="2">SUM(E68*$F$75)</f>
        <v>2</v>
      </c>
      <c r="G68" s="125"/>
      <c r="H68" s="326"/>
    </row>
    <row r="69" spans="1:8" ht="12.75">
      <c r="A69" s="479"/>
      <c r="B69" s="451"/>
      <c r="C69" s="4" t="s">
        <v>720</v>
      </c>
      <c r="D69" s="3" t="s">
        <v>286</v>
      </c>
      <c r="E69" s="3">
        <v>1</v>
      </c>
      <c r="F69" s="50">
        <f t="shared" si="2"/>
        <v>2</v>
      </c>
      <c r="G69" s="125"/>
      <c r="H69" s="326"/>
    </row>
    <row r="70" spans="1:8" ht="12.75">
      <c r="A70" s="479"/>
      <c r="B70" s="451"/>
      <c r="C70" s="4" t="s">
        <v>721</v>
      </c>
      <c r="D70" s="3" t="s">
        <v>286</v>
      </c>
      <c r="E70" s="3">
        <v>1</v>
      </c>
      <c r="F70" s="50">
        <f t="shared" si="2"/>
        <v>2</v>
      </c>
      <c r="G70" s="125"/>
      <c r="H70" s="326"/>
    </row>
    <row r="71" spans="1:8" ht="15.75" customHeight="1" thickBot="1">
      <c r="A71" s="479"/>
      <c r="B71" s="451"/>
      <c r="C71" s="44" t="s">
        <v>438</v>
      </c>
      <c r="D71" s="44" t="s">
        <v>440</v>
      </c>
      <c r="E71" s="48">
        <v>1</v>
      </c>
      <c r="F71" s="121">
        <f t="shared" si="2"/>
        <v>2</v>
      </c>
      <c r="G71" s="126"/>
      <c r="H71" s="328"/>
    </row>
    <row r="72" spans="1:8" ht="12.75">
      <c r="A72" s="29"/>
      <c r="B72" s="51"/>
      <c r="C72" s="1"/>
      <c r="D72" s="1"/>
      <c r="E72" s="1"/>
      <c r="F72" s="28" t="s">
        <v>770</v>
      </c>
    </row>
    <row r="73" spans="1:8" ht="12.75">
      <c r="A73" s="29"/>
      <c r="B73" s="51"/>
      <c r="C73" s="1"/>
      <c r="D73" s="1"/>
      <c r="E73" s="1"/>
      <c r="F73" s="30">
        <f>SUM(E4:E70)</f>
        <v>115</v>
      </c>
    </row>
    <row r="74" spans="1:8" ht="12.75">
      <c r="A74" s="29"/>
      <c r="B74" s="51"/>
      <c r="C74" s="1"/>
      <c r="D74" s="1"/>
      <c r="E74" s="1"/>
      <c r="F74" s="28" t="s">
        <v>773</v>
      </c>
    </row>
    <row r="75" spans="1:8" ht="12.75">
      <c r="A75" s="29"/>
      <c r="B75" s="51"/>
      <c r="C75" s="1"/>
      <c r="D75" s="1"/>
      <c r="E75" s="1"/>
      <c r="F75" s="30">
        <v>2</v>
      </c>
    </row>
    <row r="76" spans="1:8" ht="13.5" thickBot="1">
      <c r="C76" s="1"/>
      <c r="D76" s="1"/>
      <c r="E76" s="1"/>
    </row>
    <row r="77" spans="1:8" ht="12.75">
      <c r="A77" s="72" t="s">
        <v>1135</v>
      </c>
      <c r="B77" s="72" t="s">
        <v>1127</v>
      </c>
      <c r="C77" s="13" t="s">
        <v>747</v>
      </c>
      <c r="D77" s="13" t="s">
        <v>106</v>
      </c>
      <c r="E77" s="13" t="s">
        <v>782</v>
      </c>
      <c r="F77" s="71" t="s">
        <v>769</v>
      </c>
      <c r="G77" s="349" t="s">
        <v>1707</v>
      </c>
      <c r="H77" s="350" t="s">
        <v>1166</v>
      </c>
    </row>
    <row r="78" spans="1:8" ht="12.75">
      <c r="A78" s="468" t="s">
        <v>1158</v>
      </c>
      <c r="B78" s="539" t="s">
        <v>10</v>
      </c>
      <c r="C78" s="35" t="s">
        <v>337</v>
      </c>
      <c r="D78" s="3" t="s">
        <v>338</v>
      </c>
      <c r="E78" s="3">
        <v>1</v>
      </c>
      <c r="F78" s="50">
        <f t="shared" ref="F78:F102" si="3">SUM(E78*$F$106)</f>
        <v>2</v>
      </c>
      <c r="G78" s="390"/>
      <c r="H78" s="391"/>
    </row>
    <row r="79" spans="1:8" ht="12.75">
      <c r="A79" s="468"/>
      <c r="B79" s="539"/>
      <c r="C79" s="35" t="s">
        <v>347</v>
      </c>
      <c r="D79" s="3" t="s">
        <v>348</v>
      </c>
      <c r="E79" s="3">
        <v>1</v>
      </c>
      <c r="F79" s="50">
        <f t="shared" si="3"/>
        <v>2</v>
      </c>
      <c r="G79" s="390"/>
      <c r="H79" s="391"/>
    </row>
    <row r="80" spans="1:8" ht="12.75">
      <c r="A80" s="468"/>
      <c r="B80" s="539"/>
      <c r="C80" s="35" t="s">
        <v>349</v>
      </c>
      <c r="D80" s="3" t="s">
        <v>350</v>
      </c>
      <c r="E80" s="3">
        <v>1</v>
      </c>
      <c r="F80" s="50">
        <f t="shared" si="3"/>
        <v>2</v>
      </c>
      <c r="G80" s="390"/>
      <c r="H80" s="391"/>
    </row>
    <row r="81" spans="1:8" ht="12.75">
      <c r="A81" s="468"/>
      <c r="B81" s="539"/>
      <c r="C81" s="35" t="s">
        <v>351</v>
      </c>
      <c r="D81" s="3" t="s">
        <v>352</v>
      </c>
      <c r="E81" s="3">
        <v>1</v>
      </c>
      <c r="F81" s="50">
        <f t="shared" si="3"/>
        <v>2</v>
      </c>
      <c r="G81" s="390"/>
      <c r="H81" s="391"/>
    </row>
    <row r="82" spans="1:8" ht="12.75">
      <c r="A82" s="468"/>
      <c r="B82" s="539"/>
      <c r="C82" s="35" t="s">
        <v>353</v>
      </c>
      <c r="D82" s="3" t="s">
        <v>354</v>
      </c>
      <c r="E82" s="3">
        <v>1</v>
      </c>
      <c r="F82" s="50">
        <f t="shared" si="3"/>
        <v>2</v>
      </c>
      <c r="G82" s="390"/>
      <c r="H82" s="391"/>
    </row>
    <row r="83" spans="1:8" ht="12.75">
      <c r="A83" s="468"/>
      <c r="B83" s="539"/>
      <c r="C83" s="35" t="s">
        <v>355</v>
      </c>
      <c r="D83" s="3" t="s">
        <v>356</v>
      </c>
      <c r="E83" s="3">
        <v>1</v>
      </c>
      <c r="F83" s="50">
        <f t="shared" si="3"/>
        <v>2</v>
      </c>
      <c r="G83" s="390"/>
      <c r="H83" s="391"/>
    </row>
    <row r="84" spans="1:8" ht="12.75">
      <c r="A84" s="468"/>
      <c r="B84" s="539"/>
      <c r="C84" s="35" t="s">
        <v>357</v>
      </c>
      <c r="D84" s="3" t="s">
        <v>358</v>
      </c>
      <c r="E84" s="3">
        <v>1</v>
      </c>
      <c r="F84" s="50">
        <f t="shared" si="3"/>
        <v>2</v>
      </c>
      <c r="G84" s="125"/>
      <c r="H84" s="326"/>
    </row>
    <row r="85" spans="1:8" ht="12.75">
      <c r="A85" s="468"/>
      <c r="B85" s="539"/>
      <c r="C85" s="35" t="s">
        <v>359</v>
      </c>
      <c r="D85" s="3" t="s">
        <v>360</v>
      </c>
      <c r="E85" s="3">
        <v>1</v>
      </c>
      <c r="F85" s="50">
        <f t="shared" si="3"/>
        <v>2</v>
      </c>
      <c r="G85" s="125"/>
      <c r="H85" s="326"/>
    </row>
    <row r="86" spans="1:8" ht="12.75">
      <c r="A86" s="468"/>
      <c r="B86" s="539"/>
      <c r="C86" s="35" t="s">
        <v>361</v>
      </c>
      <c r="D86" s="3" t="s">
        <v>362</v>
      </c>
      <c r="E86" s="3">
        <v>1</v>
      </c>
      <c r="F86" s="50">
        <f t="shared" si="3"/>
        <v>2</v>
      </c>
      <c r="G86" s="125"/>
      <c r="H86" s="326"/>
    </row>
    <row r="87" spans="1:8" ht="12.75">
      <c r="A87" s="468"/>
      <c r="B87" s="539"/>
      <c r="C87" s="35" t="s">
        <v>339</v>
      </c>
      <c r="D87" s="3" t="s">
        <v>340</v>
      </c>
      <c r="E87" s="3">
        <v>1</v>
      </c>
      <c r="F87" s="50">
        <f t="shared" si="3"/>
        <v>2</v>
      </c>
      <c r="G87" s="125"/>
      <c r="H87" s="326"/>
    </row>
    <row r="88" spans="1:8" ht="12.75">
      <c r="A88" s="468"/>
      <c r="B88" s="539"/>
      <c r="C88" s="35" t="s">
        <v>341</v>
      </c>
      <c r="D88" s="3" t="s">
        <v>342</v>
      </c>
      <c r="E88" s="3">
        <v>1</v>
      </c>
      <c r="F88" s="50">
        <f t="shared" si="3"/>
        <v>2</v>
      </c>
      <c r="G88" s="125"/>
      <c r="H88" s="326"/>
    </row>
    <row r="89" spans="1:8" ht="12.75">
      <c r="A89" s="468"/>
      <c r="B89" s="539"/>
      <c r="C89" s="35" t="s">
        <v>343</v>
      </c>
      <c r="D89" s="3" t="s">
        <v>344</v>
      </c>
      <c r="E89" s="3">
        <v>1</v>
      </c>
      <c r="F89" s="50">
        <f t="shared" si="3"/>
        <v>2</v>
      </c>
      <c r="G89" s="125"/>
      <c r="H89" s="326"/>
    </row>
    <row r="90" spans="1:8" ht="12.75">
      <c r="A90" s="468"/>
      <c r="B90" s="539"/>
      <c r="C90" s="35" t="s">
        <v>345</v>
      </c>
      <c r="D90" s="3" t="s">
        <v>346</v>
      </c>
      <c r="E90" s="3">
        <v>1</v>
      </c>
      <c r="F90" s="50">
        <f t="shared" si="3"/>
        <v>2</v>
      </c>
      <c r="G90" s="125"/>
      <c r="H90" s="326"/>
    </row>
    <row r="91" spans="1:8" ht="12.75">
      <c r="A91" s="468"/>
      <c r="B91" s="539"/>
      <c r="C91" s="37" t="s">
        <v>363</v>
      </c>
      <c r="D91" s="3" t="s">
        <v>364</v>
      </c>
      <c r="E91" s="3">
        <v>1</v>
      </c>
      <c r="F91" s="50">
        <f t="shared" si="3"/>
        <v>2</v>
      </c>
      <c r="G91" s="125"/>
      <c r="H91" s="326"/>
    </row>
    <row r="92" spans="1:8" ht="12.75">
      <c r="A92" s="468"/>
      <c r="B92" s="539"/>
      <c r="C92" s="37" t="s">
        <v>363</v>
      </c>
      <c r="D92" s="3" t="s">
        <v>365</v>
      </c>
      <c r="E92" s="3">
        <v>1</v>
      </c>
      <c r="F92" s="50">
        <f t="shared" si="3"/>
        <v>2</v>
      </c>
      <c r="G92" s="125"/>
      <c r="H92" s="326"/>
    </row>
    <row r="93" spans="1:8" ht="12.75">
      <c r="A93" s="468"/>
      <c r="B93" s="539"/>
      <c r="C93" s="37" t="s">
        <v>363</v>
      </c>
      <c r="D93" s="3" t="s">
        <v>366</v>
      </c>
      <c r="E93" s="3">
        <v>1</v>
      </c>
      <c r="F93" s="50">
        <f t="shared" si="3"/>
        <v>2</v>
      </c>
      <c r="G93" s="125"/>
      <c r="H93" s="326"/>
    </row>
    <row r="94" spans="1:8" ht="12.75">
      <c r="A94" s="468"/>
      <c r="B94" s="539"/>
      <c r="C94" s="37" t="s">
        <v>363</v>
      </c>
      <c r="D94" s="3" t="s">
        <v>367</v>
      </c>
      <c r="E94" s="3">
        <v>1</v>
      </c>
      <c r="F94" s="50">
        <f t="shared" si="3"/>
        <v>2</v>
      </c>
      <c r="G94" s="125"/>
      <c r="H94" s="326"/>
    </row>
    <row r="95" spans="1:8" ht="12.75">
      <c r="A95" s="468"/>
      <c r="B95" s="539"/>
      <c r="C95" s="37" t="s">
        <v>363</v>
      </c>
      <c r="D95" s="3" t="s">
        <v>368</v>
      </c>
      <c r="E95" s="3">
        <v>1</v>
      </c>
      <c r="F95" s="50">
        <f t="shared" si="3"/>
        <v>2</v>
      </c>
      <c r="G95" s="125"/>
      <c r="H95" s="326"/>
    </row>
    <row r="96" spans="1:8" ht="12.75">
      <c r="A96" s="468"/>
      <c r="B96" s="539"/>
      <c r="C96" s="37" t="s">
        <v>363</v>
      </c>
      <c r="D96" s="3" t="s">
        <v>369</v>
      </c>
      <c r="E96" s="3">
        <v>1</v>
      </c>
      <c r="F96" s="50">
        <f t="shared" si="3"/>
        <v>2</v>
      </c>
      <c r="G96" s="125"/>
      <c r="H96" s="326"/>
    </row>
    <row r="97" spans="1:8" ht="12.75">
      <c r="A97" s="468"/>
      <c r="B97" s="539"/>
      <c r="C97" s="37" t="s">
        <v>363</v>
      </c>
      <c r="D97" s="3" t="s">
        <v>370</v>
      </c>
      <c r="E97" s="3">
        <v>1</v>
      </c>
      <c r="F97" s="50">
        <f t="shared" si="3"/>
        <v>2</v>
      </c>
      <c r="G97" s="125"/>
      <c r="H97" s="326"/>
    </row>
    <row r="98" spans="1:8" ht="12.75">
      <c r="A98" s="468"/>
      <c r="B98" s="539"/>
      <c r="C98" s="37" t="s">
        <v>363</v>
      </c>
      <c r="D98" s="3" t="s">
        <v>371</v>
      </c>
      <c r="E98" s="3">
        <v>1</v>
      </c>
      <c r="F98" s="50">
        <f t="shared" si="3"/>
        <v>2</v>
      </c>
      <c r="G98" s="125"/>
      <c r="H98" s="326"/>
    </row>
    <row r="99" spans="1:8" ht="12.75">
      <c r="A99" s="468"/>
      <c r="B99" s="539"/>
      <c r="C99" s="37" t="s">
        <v>363</v>
      </c>
      <c r="D99" s="3" t="s">
        <v>372</v>
      </c>
      <c r="E99" s="3">
        <v>1</v>
      </c>
      <c r="F99" s="50">
        <f t="shared" si="3"/>
        <v>2</v>
      </c>
      <c r="G99" s="125"/>
      <c r="H99" s="326"/>
    </row>
    <row r="100" spans="1:8" ht="12.75">
      <c r="A100" s="468"/>
      <c r="B100" s="539"/>
      <c r="C100" s="37" t="s">
        <v>363</v>
      </c>
      <c r="D100" s="3" t="s">
        <v>373</v>
      </c>
      <c r="E100" s="3">
        <v>1</v>
      </c>
      <c r="F100" s="50">
        <f t="shared" si="3"/>
        <v>2</v>
      </c>
      <c r="G100" s="125"/>
      <c r="H100" s="326"/>
    </row>
    <row r="101" spans="1:8" ht="12.75">
      <c r="A101" s="468"/>
      <c r="B101" s="539"/>
      <c r="C101" s="398" t="s">
        <v>363</v>
      </c>
      <c r="D101" s="48" t="s">
        <v>374</v>
      </c>
      <c r="E101" s="48">
        <v>1</v>
      </c>
      <c r="F101" s="50">
        <f t="shared" si="3"/>
        <v>2</v>
      </c>
      <c r="G101" s="125"/>
      <c r="H101" s="326"/>
    </row>
    <row r="102" spans="1:8" ht="13.5" thickBot="1">
      <c r="A102" s="468"/>
      <c r="B102" s="539"/>
      <c r="C102" s="170" t="s">
        <v>438</v>
      </c>
      <c r="D102" s="170" t="s">
        <v>786</v>
      </c>
      <c r="E102" s="49">
        <v>1</v>
      </c>
      <c r="F102" s="121">
        <f t="shared" si="3"/>
        <v>2</v>
      </c>
      <c r="G102" s="126"/>
      <c r="H102" s="328"/>
    </row>
    <row r="103" spans="1:8" ht="12.75">
      <c r="A103" s="29"/>
      <c r="B103" s="42"/>
      <c r="C103" s="1"/>
      <c r="D103" s="1"/>
      <c r="E103" s="9"/>
      <c r="F103" s="28" t="s">
        <v>770</v>
      </c>
    </row>
    <row r="104" spans="1:8" ht="12.75">
      <c r="A104" s="29"/>
      <c r="B104" s="42"/>
      <c r="C104" s="1"/>
      <c r="D104" s="1"/>
      <c r="E104" s="9"/>
      <c r="F104" s="30">
        <f>SUM(E78:E101)</f>
        <v>24</v>
      </c>
    </row>
    <row r="105" spans="1:8" ht="12.75">
      <c r="A105" s="29"/>
      <c r="B105" s="42"/>
      <c r="C105" s="1"/>
      <c r="D105" s="1"/>
      <c r="E105" s="9"/>
      <c r="F105" s="28" t="s">
        <v>773</v>
      </c>
    </row>
    <row r="106" spans="1:8" ht="12.75">
      <c r="A106" s="29"/>
      <c r="B106" s="42"/>
      <c r="C106" s="1"/>
      <c r="D106" s="1"/>
      <c r="E106" s="9"/>
      <c r="F106" s="30">
        <v>2</v>
      </c>
    </row>
    <row r="107" spans="1:8" ht="15.75" customHeight="1" thickBot="1"/>
    <row r="108" spans="1:8" ht="12.75">
      <c r="A108" s="13" t="s">
        <v>1135</v>
      </c>
      <c r="B108" s="13" t="s">
        <v>1127</v>
      </c>
      <c r="C108" s="13" t="s">
        <v>747</v>
      </c>
      <c r="D108" s="13" t="s">
        <v>106</v>
      </c>
      <c r="E108" s="13" t="s">
        <v>782</v>
      </c>
      <c r="F108" s="71" t="s">
        <v>769</v>
      </c>
      <c r="G108" s="349" t="s">
        <v>1707</v>
      </c>
      <c r="H108" s="350" t="s">
        <v>1166</v>
      </c>
    </row>
    <row r="109" spans="1:8" ht="12.75">
      <c r="A109" s="478" t="s">
        <v>1159</v>
      </c>
      <c r="B109" s="540" t="s">
        <v>2</v>
      </c>
      <c r="C109" s="3" t="s">
        <v>206</v>
      </c>
      <c r="D109" s="3" t="s">
        <v>207</v>
      </c>
      <c r="E109" s="3">
        <v>1</v>
      </c>
      <c r="F109" s="50">
        <f t="shared" ref="F109:F116" si="4">SUM(E109*$F$120)</f>
        <v>2</v>
      </c>
      <c r="G109" s="390"/>
      <c r="H109" s="391"/>
    </row>
    <row r="110" spans="1:8" ht="12.75">
      <c r="A110" s="485"/>
      <c r="B110" s="541"/>
      <c r="C110" s="3" t="s">
        <v>208</v>
      </c>
      <c r="D110" s="3" t="s">
        <v>209</v>
      </c>
      <c r="E110" s="3">
        <v>1</v>
      </c>
      <c r="F110" s="50">
        <f t="shared" si="4"/>
        <v>2</v>
      </c>
      <c r="G110" s="390"/>
      <c r="H110" s="391"/>
    </row>
    <row r="111" spans="1:8" ht="12.75">
      <c r="A111" s="485"/>
      <c r="B111" s="541"/>
      <c r="C111" s="3" t="s">
        <v>210</v>
      </c>
      <c r="D111" s="3" t="s">
        <v>211</v>
      </c>
      <c r="E111" s="3">
        <v>1</v>
      </c>
      <c r="F111" s="50">
        <f t="shared" si="4"/>
        <v>2</v>
      </c>
      <c r="G111" s="390"/>
      <c r="H111" s="391"/>
    </row>
    <row r="112" spans="1:8" ht="12.75">
      <c r="A112" s="485"/>
      <c r="B112" s="541"/>
      <c r="C112" s="3" t="s">
        <v>212</v>
      </c>
      <c r="D112" s="3" t="s">
        <v>213</v>
      </c>
      <c r="E112" s="3">
        <v>1</v>
      </c>
      <c r="F112" s="50">
        <f t="shared" si="4"/>
        <v>2</v>
      </c>
      <c r="G112" s="390"/>
      <c r="H112" s="391"/>
    </row>
    <row r="113" spans="1:8" ht="12.75">
      <c r="A113" s="485"/>
      <c r="B113" s="541"/>
      <c r="C113" s="3" t="s">
        <v>214</v>
      </c>
      <c r="D113" s="3" t="s">
        <v>215</v>
      </c>
      <c r="E113" s="3">
        <v>1</v>
      </c>
      <c r="F113" s="50">
        <f t="shared" si="4"/>
        <v>2</v>
      </c>
      <c r="G113" s="390"/>
      <c r="H113" s="391"/>
    </row>
    <row r="114" spans="1:8" ht="12.75">
      <c r="A114" s="485"/>
      <c r="B114" s="541"/>
      <c r="C114" s="3" t="s">
        <v>216</v>
      </c>
      <c r="D114" s="3" t="s">
        <v>217</v>
      </c>
      <c r="E114" s="3">
        <v>1</v>
      </c>
      <c r="F114" s="50">
        <f t="shared" si="4"/>
        <v>2</v>
      </c>
      <c r="G114" s="390"/>
      <c r="H114" s="391"/>
    </row>
    <row r="115" spans="1:8" ht="12.75">
      <c r="A115" s="485"/>
      <c r="B115" s="541"/>
      <c r="C115" s="3" t="s">
        <v>218</v>
      </c>
      <c r="D115" s="3" t="s">
        <v>219</v>
      </c>
      <c r="E115" s="3">
        <v>1</v>
      </c>
      <c r="F115" s="50">
        <f t="shared" si="4"/>
        <v>2</v>
      </c>
      <c r="G115" s="125"/>
      <c r="H115" s="326"/>
    </row>
    <row r="116" spans="1:8" ht="13.5" thickBot="1">
      <c r="A116" s="486"/>
      <c r="B116" s="542"/>
      <c r="C116" s="5" t="s">
        <v>438</v>
      </c>
      <c r="D116" s="3" t="s">
        <v>858</v>
      </c>
      <c r="E116" s="3">
        <v>1</v>
      </c>
      <c r="F116" s="50">
        <f t="shared" si="4"/>
        <v>2</v>
      </c>
      <c r="G116" s="126"/>
      <c r="H116" s="328"/>
    </row>
    <row r="117" spans="1:8" ht="12.75">
      <c r="A117" s="29"/>
      <c r="B117" s="17"/>
      <c r="C117" s="1"/>
      <c r="D117" s="1"/>
      <c r="E117" s="1"/>
      <c r="F117" s="12" t="s">
        <v>770</v>
      </c>
      <c r="G117" s="399"/>
      <c r="H117" s="399"/>
    </row>
    <row r="118" spans="1:8" ht="12.75">
      <c r="A118" s="29"/>
      <c r="B118" s="17"/>
      <c r="C118" s="1"/>
      <c r="D118" s="1"/>
      <c r="E118" s="1"/>
      <c r="F118" s="7">
        <f>SUM(E109:E115)</f>
        <v>7</v>
      </c>
    </row>
    <row r="119" spans="1:8" ht="12.75">
      <c r="A119" s="29"/>
      <c r="B119" s="17"/>
      <c r="C119" s="1"/>
      <c r="D119" s="1"/>
      <c r="E119" s="1"/>
      <c r="F119" s="12" t="s">
        <v>773</v>
      </c>
    </row>
    <row r="120" spans="1:8" ht="12.75">
      <c r="A120" s="29"/>
      <c r="B120" s="17"/>
      <c r="C120" s="1"/>
      <c r="D120" s="1"/>
      <c r="E120" s="1"/>
      <c r="F120" s="7">
        <v>2</v>
      </c>
    </row>
    <row r="121" spans="1:8" ht="12.75">
      <c r="A121" s="29"/>
      <c r="B121" s="17"/>
      <c r="C121" s="1"/>
      <c r="D121" s="1"/>
      <c r="E121" s="1"/>
    </row>
    <row r="122" spans="1:8" ht="15.75" customHeight="1" thickBot="1">
      <c r="C122" s="15"/>
      <c r="D122" s="15"/>
      <c r="G122" s="358"/>
      <c r="H122" s="358"/>
    </row>
    <row r="123" spans="1:8" ht="12.75" customHeight="1">
      <c r="A123" s="13" t="s">
        <v>1135</v>
      </c>
      <c r="B123" s="13" t="s">
        <v>1127</v>
      </c>
      <c r="C123" s="13" t="s">
        <v>747</v>
      </c>
      <c r="D123" s="13" t="s">
        <v>106</v>
      </c>
      <c r="E123" s="13" t="s">
        <v>782</v>
      </c>
      <c r="F123" s="71" t="s">
        <v>769</v>
      </c>
      <c r="G123" s="349" t="s">
        <v>1707</v>
      </c>
      <c r="H123" s="350" t="s">
        <v>1166</v>
      </c>
    </row>
    <row r="124" spans="1:8" ht="12.75">
      <c r="A124" s="478" t="s">
        <v>1160</v>
      </c>
      <c r="B124" s="481" t="s">
        <v>859</v>
      </c>
      <c r="C124" s="5" t="s">
        <v>274</v>
      </c>
      <c r="D124" s="5" t="s">
        <v>275</v>
      </c>
      <c r="E124" s="5">
        <v>1</v>
      </c>
      <c r="F124" s="50">
        <f t="shared" ref="F124:F132" si="5">SUM(E124*$F$136)</f>
        <v>2</v>
      </c>
      <c r="G124" s="390"/>
      <c r="H124" s="391"/>
    </row>
    <row r="125" spans="1:8" ht="12.75">
      <c r="A125" s="485"/>
      <c r="B125" s="482"/>
      <c r="C125" s="5" t="s">
        <v>274</v>
      </c>
      <c r="D125" s="5" t="s">
        <v>276</v>
      </c>
      <c r="E125" s="5">
        <v>1</v>
      </c>
      <c r="F125" s="50">
        <f t="shared" si="5"/>
        <v>2</v>
      </c>
      <c r="G125" s="390"/>
      <c r="H125" s="391"/>
    </row>
    <row r="126" spans="1:8" ht="12.75">
      <c r="A126" s="485"/>
      <c r="B126" s="482"/>
      <c r="C126" s="5" t="s">
        <v>277</v>
      </c>
      <c r="D126" s="5" t="s">
        <v>275</v>
      </c>
      <c r="E126" s="5">
        <v>1</v>
      </c>
      <c r="F126" s="50">
        <f t="shared" si="5"/>
        <v>2</v>
      </c>
      <c r="G126" s="390"/>
      <c r="H126" s="391"/>
    </row>
    <row r="127" spans="1:8" ht="12.75">
      <c r="A127" s="485"/>
      <c r="B127" s="482"/>
      <c r="C127" s="5" t="s">
        <v>277</v>
      </c>
      <c r="D127" s="5" t="s">
        <v>276</v>
      </c>
      <c r="E127" s="5">
        <v>1</v>
      </c>
      <c r="F127" s="50">
        <f t="shared" si="5"/>
        <v>2</v>
      </c>
      <c r="G127" s="390"/>
      <c r="H127" s="391"/>
    </row>
    <row r="128" spans="1:8" ht="12.75">
      <c r="A128" s="485"/>
      <c r="B128" s="482"/>
      <c r="C128" s="5" t="s">
        <v>278</v>
      </c>
      <c r="D128" s="5" t="s">
        <v>246</v>
      </c>
      <c r="E128" s="5">
        <v>1</v>
      </c>
      <c r="F128" s="50">
        <f t="shared" si="5"/>
        <v>2</v>
      </c>
      <c r="G128" s="390"/>
      <c r="H128" s="391"/>
    </row>
    <row r="129" spans="1:8" ht="12.75">
      <c r="A129" s="485"/>
      <c r="B129" s="482"/>
      <c r="C129" s="5" t="s">
        <v>278</v>
      </c>
      <c r="D129" s="5" t="s">
        <v>279</v>
      </c>
      <c r="E129" s="5">
        <v>1</v>
      </c>
      <c r="F129" s="50">
        <f t="shared" si="5"/>
        <v>2</v>
      </c>
      <c r="G129" s="390"/>
      <c r="H129" s="391"/>
    </row>
    <row r="130" spans="1:8" ht="12.75">
      <c r="A130" s="485"/>
      <c r="B130" s="482"/>
      <c r="C130" s="5" t="s">
        <v>280</v>
      </c>
      <c r="D130" s="5" t="s">
        <v>281</v>
      </c>
      <c r="E130" s="5">
        <v>1</v>
      </c>
      <c r="F130" s="50">
        <f t="shared" si="5"/>
        <v>2</v>
      </c>
      <c r="G130" s="125"/>
      <c r="H130" s="326"/>
    </row>
    <row r="131" spans="1:8" ht="12.75">
      <c r="A131" s="485"/>
      <c r="B131" s="482"/>
      <c r="C131" s="5" t="s">
        <v>280</v>
      </c>
      <c r="D131" s="5" t="s">
        <v>282</v>
      </c>
      <c r="E131" s="5">
        <v>1</v>
      </c>
      <c r="F131" s="50">
        <f t="shared" si="5"/>
        <v>2</v>
      </c>
      <c r="G131" s="125"/>
      <c r="H131" s="326"/>
    </row>
    <row r="132" spans="1:8" ht="13.5" thickBot="1">
      <c r="A132" s="486"/>
      <c r="B132" s="483"/>
      <c r="C132" s="5" t="s">
        <v>438</v>
      </c>
      <c r="D132" s="3" t="s">
        <v>858</v>
      </c>
      <c r="E132" s="3">
        <v>1</v>
      </c>
      <c r="F132" s="50">
        <f t="shared" si="5"/>
        <v>2</v>
      </c>
      <c r="G132" s="126"/>
      <c r="H132" s="328"/>
    </row>
    <row r="133" spans="1:8" ht="15.75" customHeight="1">
      <c r="F133" s="12" t="s">
        <v>770</v>
      </c>
      <c r="G133" s="399"/>
      <c r="H133" s="399"/>
    </row>
    <row r="134" spans="1:8" ht="15.75" customHeight="1">
      <c r="F134" s="7">
        <f>SUM(E124:E131)</f>
        <v>8</v>
      </c>
    </row>
    <row r="135" spans="1:8" ht="15.75" customHeight="1">
      <c r="F135" s="12" t="s">
        <v>773</v>
      </c>
    </row>
    <row r="136" spans="1:8" ht="15.75" customHeight="1">
      <c r="F136" s="7">
        <v>2</v>
      </c>
    </row>
  </sheetData>
  <mergeCells count="8">
    <mergeCell ref="A124:A132"/>
    <mergeCell ref="B124:B132"/>
    <mergeCell ref="A4:A71"/>
    <mergeCell ref="B78:B102"/>
    <mergeCell ref="A78:A102"/>
    <mergeCell ref="A109:A116"/>
    <mergeCell ref="B109:B116"/>
    <mergeCell ref="B4:B7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21">
    <tabColor rgb="FF00CC00"/>
    <outlinePr summaryBelow="0" summaryRight="0"/>
  </sheetPr>
  <dimension ref="A1:H48"/>
  <sheetViews>
    <sheetView topLeftCell="E1" zoomScale="85" zoomScaleNormal="85" workbookViewId="0">
      <selection activeCell="G3" sqref="G3:H13"/>
    </sheetView>
  </sheetViews>
  <sheetFormatPr defaultColWidth="12.5703125" defaultRowHeight="15.75" customHeight="1"/>
  <cols>
    <col min="1" max="1" width="17" bestFit="1" customWidth="1"/>
    <col min="2" max="2" width="20" customWidth="1"/>
    <col min="3" max="3" width="56" customWidth="1"/>
    <col min="4" max="4" width="24.42578125" customWidth="1"/>
    <col min="5" max="5" width="8.7109375" bestFit="1" customWidth="1"/>
    <col min="6" max="6" width="30" bestFit="1" customWidth="1"/>
    <col min="7" max="7" width="18" customWidth="1"/>
    <col min="8" max="8" width="22.42578125" customWidth="1"/>
  </cols>
  <sheetData>
    <row r="1" spans="1:8" ht="12.75"/>
    <row r="2" spans="1:8" ht="15.75" customHeight="1" thickBot="1">
      <c r="A2" s="53" t="s">
        <v>860</v>
      </c>
      <c r="B2" s="54"/>
      <c r="C2" s="54"/>
      <c r="D2" s="54"/>
      <c r="E2" s="54"/>
      <c r="F2" s="54"/>
    </row>
    <row r="3" spans="1:8" ht="15" customHeight="1">
      <c r="A3" s="13" t="s">
        <v>1035</v>
      </c>
      <c r="B3" s="13" t="s">
        <v>1127</v>
      </c>
      <c r="C3" s="13" t="s">
        <v>747</v>
      </c>
      <c r="D3" s="13" t="s">
        <v>106</v>
      </c>
      <c r="E3" s="13" t="s">
        <v>782</v>
      </c>
      <c r="F3" s="71" t="s">
        <v>769</v>
      </c>
      <c r="G3" s="349" t="s">
        <v>1707</v>
      </c>
      <c r="H3" s="350" t="s">
        <v>1166</v>
      </c>
    </row>
    <row r="4" spans="1:8" ht="12.75">
      <c r="A4" s="478" t="s">
        <v>1161</v>
      </c>
      <c r="B4" s="481" t="s">
        <v>861</v>
      </c>
      <c r="C4" s="3" t="s">
        <v>145</v>
      </c>
      <c r="D4" s="3" t="s">
        <v>800</v>
      </c>
      <c r="E4" s="3">
        <v>2</v>
      </c>
      <c r="F4" s="50">
        <f t="shared" ref="F4:F42" si="0">SUM(E4*$F$48)</f>
        <v>4</v>
      </c>
      <c r="G4" s="390"/>
      <c r="H4" s="391"/>
    </row>
    <row r="5" spans="1:8" ht="12.75">
      <c r="A5" s="485"/>
      <c r="B5" s="482"/>
      <c r="C5" s="3" t="s">
        <v>145</v>
      </c>
      <c r="D5" s="3" t="s">
        <v>811</v>
      </c>
      <c r="E5" s="3">
        <v>2</v>
      </c>
      <c r="F5" s="50">
        <f t="shared" si="0"/>
        <v>4</v>
      </c>
      <c r="G5" s="390"/>
      <c r="H5" s="391"/>
    </row>
    <row r="6" spans="1:8" ht="12.75">
      <c r="A6" s="485"/>
      <c r="B6" s="482"/>
      <c r="C6" s="3" t="s">
        <v>849</v>
      </c>
      <c r="D6" s="3" t="s">
        <v>118</v>
      </c>
      <c r="E6" s="3">
        <v>2</v>
      </c>
      <c r="F6" s="50">
        <f t="shared" si="0"/>
        <v>4</v>
      </c>
      <c r="G6" s="390"/>
      <c r="H6" s="391"/>
    </row>
    <row r="7" spans="1:8" ht="12.75">
      <c r="A7" s="485"/>
      <c r="B7" s="482"/>
      <c r="C7" s="3" t="s">
        <v>37</v>
      </c>
      <c r="D7" s="3" t="s">
        <v>245</v>
      </c>
      <c r="E7" s="3">
        <v>1</v>
      </c>
      <c r="F7" s="50">
        <f t="shared" si="0"/>
        <v>2</v>
      </c>
      <c r="G7" s="390"/>
      <c r="H7" s="391"/>
    </row>
    <row r="8" spans="1:8" ht="12.75">
      <c r="A8" s="485"/>
      <c r="B8" s="482"/>
      <c r="C8" s="5" t="s">
        <v>771</v>
      </c>
      <c r="D8" s="5" t="s">
        <v>251</v>
      </c>
      <c r="E8" s="5">
        <v>1</v>
      </c>
      <c r="F8" s="50">
        <f t="shared" si="0"/>
        <v>2</v>
      </c>
      <c r="G8" s="390"/>
      <c r="H8" s="391"/>
    </row>
    <row r="9" spans="1:8" ht="12.75">
      <c r="A9" s="485"/>
      <c r="B9" s="482"/>
      <c r="C9" s="3" t="s">
        <v>253</v>
      </c>
      <c r="D9" s="3" t="s">
        <v>118</v>
      </c>
      <c r="E9" s="3">
        <v>1</v>
      </c>
      <c r="F9" s="50">
        <f t="shared" si="0"/>
        <v>2</v>
      </c>
      <c r="G9" s="125"/>
      <c r="H9" s="326"/>
    </row>
    <row r="10" spans="1:8" ht="12.75">
      <c r="A10" s="485"/>
      <c r="B10" s="482"/>
      <c r="C10" s="5" t="s">
        <v>291</v>
      </c>
      <c r="D10" s="5" t="s">
        <v>772</v>
      </c>
      <c r="E10" s="5">
        <v>1</v>
      </c>
      <c r="F10" s="50">
        <f t="shared" si="0"/>
        <v>2</v>
      </c>
      <c r="G10" s="125"/>
      <c r="H10" s="326"/>
    </row>
    <row r="11" spans="1:8" ht="12.75">
      <c r="A11" s="485"/>
      <c r="B11" s="482"/>
      <c r="C11" s="3" t="s">
        <v>801</v>
      </c>
      <c r="D11" s="3" t="s">
        <v>251</v>
      </c>
      <c r="E11" s="3">
        <v>1</v>
      </c>
      <c r="F11" s="50">
        <f t="shared" si="0"/>
        <v>2</v>
      </c>
      <c r="G11" s="125"/>
      <c r="H11" s="326"/>
    </row>
    <row r="12" spans="1:8" ht="12.75">
      <c r="A12" s="485"/>
      <c r="B12" s="482"/>
      <c r="C12" s="3" t="s">
        <v>802</v>
      </c>
      <c r="D12" s="3" t="s">
        <v>251</v>
      </c>
      <c r="E12" s="3">
        <v>1</v>
      </c>
      <c r="F12" s="50">
        <f t="shared" si="0"/>
        <v>2</v>
      </c>
      <c r="G12" s="125"/>
      <c r="H12" s="326"/>
    </row>
    <row r="13" spans="1:8" ht="12.75">
      <c r="A13" s="485"/>
      <c r="B13" s="482"/>
      <c r="C13" s="3" t="s">
        <v>526</v>
      </c>
      <c r="D13" s="3" t="s">
        <v>286</v>
      </c>
      <c r="E13" s="3">
        <v>2</v>
      </c>
      <c r="F13" s="50">
        <f t="shared" si="0"/>
        <v>4</v>
      </c>
      <c r="G13" s="125"/>
      <c r="H13" s="326"/>
    </row>
    <row r="14" spans="1:8" ht="12.75">
      <c r="A14" s="485"/>
      <c r="B14" s="482"/>
      <c r="C14" s="3" t="s">
        <v>528</v>
      </c>
      <c r="D14" s="3" t="s">
        <v>157</v>
      </c>
      <c r="E14" s="3">
        <v>1</v>
      </c>
      <c r="F14" s="50">
        <f t="shared" si="0"/>
        <v>2</v>
      </c>
      <c r="G14" s="125"/>
      <c r="H14" s="326"/>
    </row>
    <row r="15" spans="1:8" ht="12.75">
      <c r="A15" s="485"/>
      <c r="B15" s="482"/>
      <c r="C15" s="3" t="s">
        <v>528</v>
      </c>
      <c r="D15" s="3" t="s">
        <v>113</v>
      </c>
      <c r="E15" s="3">
        <v>1</v>
      </c>
      <c r="F15" s="50">
        <f t="shared" si="0"/>
        <v>2</v>
      </c>
      <c r="G15" s="125"/>
      <c r="H15" s="326"/>
    </row>
    <row r="16" spans="1:8" ht="12.75">
      <c r="A16" s="485"/>
      <c r="B16" s="482"/>
      <c r="C16" s="3" t="s">
        <v>531</v>
      </c>
      <c r="D16" s="3" t="s">
        <v>257</v>
      </c>
      <c r="E16" s="3">
        <v>2</v>
      </c>
      <c r="F16" s="50">
        <f t="shared" si="0"/>
        <v>4</v>
      </c>
      <c r="G16" s="125"/>
      <c r="H16" s="326"/>
    </row>
    <row r="17" spans="1:8" ht="12.75">
      <c r="A17" s="485"/>
      <c r="B17" s="482"/>
      <c r="C17" s="3" t="s">
        <v>774</v>
      </c>
      <c r="D17" s="3" t="s">
        <v>533</v>
      </c>
      <c r="E17" s="3">
        <v>10</v>
      </c>
      <c r="F17" s="50">
        <f t="shared" si="0"/>
        <v>20</v>
      </c>
      <c r="G17" s="125"/>
      <c r="H17" s="326"/>
    </row>
    <row r="18" spans="1:8" ht="12.75">
      <c r="A18" s="485"/>
      <c r="B18" s="482"/>
      <c r="C18" s="3" t="s">
        <v>551</v>
      </c>
      <c r="D18" s="3" t="s">
        <v>111</v>
      </c>
      <c r="E18" s="3">
        <v>2</v>
      </c>
      <c r="F18" s="50">
        <f t="shared" si="0"/>
        <v>4</v>
      </c>
      <c r="G18" s="125"/>
      <c r="H18" s="326"/>
    </row>
    <row r="19" spans="1:8" ht="12.75">
      <c r="A19" s="485"/>
      <c r="B19" s="482"/>
      <c r="C19" s="3" t="s">
        <v>552</v>
      </c>
      <c r="D19" s="3" t="s">
        <v>111</v>
      </c>
      <c r="E19" s="3">
        <v>2</v>
      </c>
      <c r="F19" s="50">
        <f t="shared" si="0"/>
        <v>4</v>
      </c>
      <c r="G19" s="125"/>
      <c r="H19" s="326"/>
    </row>
    <row r="20" spans="1:8" ht="12.75">
      <c r="A20" s="485"/>
      <c r="B20" s="482"/>
      <c r="C20" s="3" t="s">
        <v>568</v>
      </c>
      <c r="D20" s="3" t="s">
        <v>118</v>
      </c>
      <c r="E20" s="3">
        <v>1</v>
      </c>
      <c r="F20" s="50">
        <f t="shared" si="0"/>
        <v>2</v>
      </c>
      <c r="G20" s="125"/>
      <c r="H20" s="326"/>
    </row>
    <row r="21" spans="1:8" ht="12.75">
      <c r="A21" s="485"/>
      <c r="B21" s="482"/>
      <c r="C21" s="3" t="s">
        <v>580</v>
      </c>
      <c r="D21" s="3" t="s">
        <v>113</v>
      </c>
      <c r="E21" s="3">
        <v>2</v>
      </c>
      <c r="F21" s="50">
        <f t="shared" si="0"/>
        <v>4</v>
      </c>
      <c r="G21" s="125"/>
      <c r="H21" s="326"/>
    </row>
    <row r="22" spans="1:8" ht="12.75">
      <c r="A22" s="485"/>
      <c r="B22" s="482"/>
      <c r="C22" s="3" t="s">
        <v>580</v>
      </c>
      <c r="D22" s="3" t="s">
        <v>118</v>
      </c>
      <c r="E22" s="3">
        <v>1</v>
      </c>
      <c r="F22" s="50">
        <f t="shared" si="0"/>
        <v>2</v>
      </c>
      <c r="G22" s="125"/>
      <c r="H22" s="326"/>
    </row>
    <row r="23" spans="1:8" ht="12.75">
      <c r="A23" s="485"/>
      <c r="B23" s="482"/>
      <c r="C23" s="3" t="s">
        <v>589</v>
      </c>
      <c r="D23" s="3" t="s">
        <v>242</v>
      </c>
      <c r="E23" s="3">
        <v>1</v>
      </c>
      <c r="F23" s="50">
        <f t="shared" si="0"/>
        <v>2</v>
      </c>
      <c r="G23" s="125"/>
      <c r="H23" s="326"/>
    </row>
    <row r="24" spans="1:8" ht="12.75">
      <c r="A24" s="485"/>
      <c r="B24" s="482"/>
      <c r="C24" s="3" t="s">
        <v>598</v>
      </c>
      <c r="D24" s="3" t="s">
        <v>251</v>
      </c>
      <c r="E24" s="3">
        <v>8</v>
      </c>
      <c r="F24" s="50">
        <f t="shared" si="0"/>
        <v>16</v>
      </c>
      <c r="G24" s="125"/>
      <c r="H24" s="326"/>
    </row>
    <row r="25" spans="1:8" ht="12.75">
      <c r="A25" s="485"/>
      <c r="B25" s="482"/>
      <c r="C25" s="3" t="s">
        <v>599</v>
      </c>
      <c r="D25" s="3" t="s">
        <v>251</v>
      </c>
      <c r="E25" s="3">
        <v>4</v>
      </c>
      <c r="F25" s="50">
        <f t="shared" si="0"/>
        <v>8</v>
      </c>
      <c r="G25" s="125"/>
      <c r="H25" s="326"/>
    </row>
    <row r="26" spans="1:8" ht="12.75">
      <c r="A26" s="485"/>
      <c r="B26" s="482"/>
      <c r="C26" s="3" t="s">
        <v>610</v>
      </c>
      <c r="D26" s="3" t="s">
        <v>118</v>
      </c>
      <c r="E26" s="3">
        <v>8</v>
      </c>
      <c r="F26" s="50">
        <f t="shared" si="0"/>
        <v>16</v>
      </c>
      <c r="G26" s="125"/>
      <c r="H26" s="326"/>
    </row>
    <row r="27" spans="1:8" ht="12.75">
      <c r="A27" s="485"/>
      <c r="B27" s="482"/>
      <c r="C27" s="3" t="s">
        <v>611</v>
      </c>
      <c r="D27" s="3" t="s">
        <v>118</v>
      </c>
      <c r="E27" s="3">
        <v>3</v>
      </c>
      <c r="F27" s="50">
        <f t="shared" si="0"/>
        <v>6</v>
      </c>
      <c r="G27" s="125"/>
      <c r="H27" s="326"/>
    </row>
    <row r="28" spans="1:8" ht="12.75">
      <c r="A28" s="485"/>
      <c r="B28" s="482"/>
      <c r="C28" s="3" t="s">
        <v>620</v>
      </c>
      <c r="D28" s="3" t="s">
        <v>118</v>
      </c>
      <c r="E28" s="3">
        <v>3</v>
      </c>
      <c r="F28" s="50">
        <f t="shared" si="0"/>
        <v>6</v>
      </c>
      <c r="G28" s="125"/>
      <c r="H28" s="326"/>
    </row>
    <row r="29" spans="1:8" ht="12.75">
      <c r="A29" s="485"/>
      <c r="B29" s="482"/>
      <c r="C29" s="3" t="s">
        <v>640</v>
      </c>
      <c r="D29" s="3" t="s">
        <v>157</v>
      </c>
      <c r="E29" s="3">
        <v>2</v>
      </c>
      <c r="F29" s="50">
        <f t="shared" si="0"/>
        <v>4</v>
      </c>
      <c r="G29" s="125"/>
      <c r="H29" s="326"/>
    </row>
    <row r="30" spans="1:8" ht="12.75">
      <c r="A30" s="485"/>
      <c r="B30" s="482"/>
      <c r="C30" s="3" t="s">
        <v>641</v>
      </c>
      <c r="D30" s="3" t="s">
        <v>113</v>
      </c>
      <c r="E30" s="3">
        <v>3</v>
      </c>
      <c r="F30" s="50">
        <f t="shared" si="0"/>
        <v>6</v>
      </c>
      <c r="G30" s="125"/>
      <c r="H30" s="326"/>
    </row>
    <row r="31" spans="1:8" ht="12.75">
      <c r="A31" s="485"/>
      <c r="B31" s="482"/>
      <c r="C31" s="3" t="s">
        <v>648</v>
      </c>
      <c r="D31" s="3" t="s">
        <v>118</v>
      </c>
      <c r="E31" s="3">
        <v>1</v>
      </c>
      <c r="F31" s="50">
        <f t="shared" si="0"/>
        <v>2</v>
      </c>
      <c r="G31" s="125"/>
      <c r="H31" s="326"/>
    </row>
    <row r="32" spans="1:8" ht="12.75">
      <c r="A32" s="485"/>
      <c r="B32" s="482"/>
      <c r="C32" s="3" t="s">
        <v>662</v>
      </c>
      <c r="D32" s="3" t="s">
        <v>242</v>
      </c>
      <c r="E32" s="3">
        <v>2</v>
      </c>
      <c r="F32" s="50">
        <f t="shared" si="0"/>
        <v>4</v>
      </c>
      <c r="G32" s="125"/>
      <c r="H32" s="326"/>
    </row>
    <row r="33" spans="1:8" ht="12.75">
      <c r="A33" s="485"/>
      <c r="B33" s="482"/>
      <c r="C33" s="3" t="s">
        <v>687</v>
      </c>
      <c r="D33" s="3" t="s">
        <v>242</v>
      </c>
      <c r="E33" s="3">
        <v>1</v>
      </c>
      <c r="F33" s="50">
        <f t="shared" si="0"/>
        <v>2</v>
      </c>
      <c r="G33" s="125"/>
      <c r="H33" s="326"/>
    </row>
    <row r="34" spans="1:8" ht="12.75">
      <c r="A34" s="485"/>
      <c r="B34" s="482"/>
      <c r="C34" s="3" t="s">
        <v>687</v>
      </c>
      <c r="D34" s="3" t="s">
        <v>113</v>
      </c>
      <c r="E34" s="3">
        <v>1</v>
      </c>
      <c r="F34" s="50">
        <f t="shared" si="0"/>
        <v>2</v>
      </c>
      <c r="G34" s="125"/>
      <c r="H34" s="326"/>
    </row>
    <row r="35" spans="1:8" ht="12.75">
      <c r="A35" s="485"/>
      <c r="B35" s="482"/>
      <c r="C35" s="3" t="s">
        <v>688</v>
      </c>
      <c r="D35" s="3" t="s">
        <v>113</v>
      </c>
      <c r="E35" s="3">
        <v>1</v>
      </c>
      <c r="F35" s="50">
        <f t="shared" si="0"/>
        <v>2</v>
      </c>
      <c r="G35" s="125"/>
      <c r="H35" s="326"/>
    </row>
    <row r="36" spans="1:8" ht="12.75">
      <c r="A36" s="485"/>
      <c r="B36" s="482"/>
      <c r="C36" s="5" t="s">
        <v>708</v>
      </c>
      <c r="D36" s="5" t="s">
        <v>113</v>
      </c>
      <c r="E36" s="5">
        <v>1</v>
      </c>
      <c r="F36" s="50">
        <f t="shared" si="0"/>
        <v>2</v>
      </c>
      <c r="G36" s="125"/>
      <c r="H36" s="326"/>
    </row>
    <row r="37" spans="1:8" ht="12.75">
      <c r="A37" s="485"/>
      <c r="B37" s="482"/>
      <c r="C37" s="5" t="s">
        <v>709</v>
      </c>
      <c r="D37" s="5" t="s">
        <v>113</v>
      </c>
      <c r="E37" s="5">
        <v>1</v>
      </c>
      <c r="F37" s="50">
        <f t="shared" si="0"/>
        <v>2</v>
      </c>
      <c r="G37" s="125"/>
      <c r="H37" s="326"/>
    </row>
    <row r="38" spans="1:8" ht="12.75">
      <c r="A38" s="485"/>
      <c r="B38" s="482"/>
      <c r="C38" s="3" t="s">
        <v>710</v>
      </c>
      <c r="D38" s="3" t="s">
        <v>303</v>
      </c>
      <c r="E38" s="3">
        <v>1</v>
      </c>
      <c r="F38" s="50">
        <f t="shared" si="0"/>
        <v>2</v>
      </c>
      <c r="G38" s="125"/>
      <c r="H38" s="326"/>
    </row>
    <row r="39" spans="1:8" ht="12.75">
      <c r="A39" s="485"/>
      <c r="B39" s="482"/>
      <c r="C39" s="3" t="s">
        <v>713</v>
      </c>
      <c r="D39" s="3" t="s">
        <v>303</v>
      </c>
      <c r="E39" s="3">
        <v>1</v>
      </c>
      <c r="F39" s="50">
        <f t="shared" si="0"/>
        <v>2</v>
      </c>
      <c r="G39" s="125"/>
      <c r="H39" s="326"/>
    </row>
    <row r="40" spans="1:8" ht="12.75">
      <c r="A40" s="485"/>
      <c r="B40" s="482"/>
      <c r="C40" s="3" t="s">
        <v>716</v>
      </c>
      <c r="D40" s="3" t="s">
        <v>113</v>
      </c>
      <c r="E40" s="3">
        <v>1</v>
      </c>
      <c r="F40" s="50">
        <f t="shared" si="0"/>
        <v>2</v>
      </c>
      <c r="G40" s="125"/>
      <c r="H40" s="326"/>
    </row>
    <row r="41" spans="1:8" ht="12.75">
      <c r="A41" s="485"/>
      <c r="B41" s="482"/>
      <c r="C41" s="3" t="s">
        <v>716</v>
      </c>
      <c r="D41" s="3" t="s">
        <v>157</v>
      </c>
      <c r="E41" s="3">
        <v>1</v>
      </c>
      <c r="F41" s="50">
        <f t="shared" si="0"/>
        <v>2</v>
      </c>
      <c r="G41" s="125"/>
      <c r="H41" s="326"/>
    </row>
    <row r="42" spans="1:8" ht="12.75">
      <c r="A42" s="485"/>
      <c r="B42" s="482"/>
      <c r="C42" s="3" t="s">
        <v>717</v>
      </c>
      <c r="D42" s="25" t="s">
        <v>113</v>
      </c>
      <c r="E42" s="3">
        <v>1</v>
      </c>
      <c r="F42" s="50">
        <f t="shared" si="0"/>
        <v>2</v>
      </c>
      <c r="G42" s="125"/>
      <c r="H42" s="326"/>
    </row>
    <row r="43" spans="1:8" ht="12.75">
      <c r="A43" s="485"/>
      <c r="B43" s="482"/>
      <c r="C43" s="3" t="s">
        <v>539</v>
      </c>
      <c r="D43" s="3" t="s">
        <v>529</v>
      </c>
      <c r="E43" s="5">
        <v>1</v>
      </c>
      <c r="F43" s="50">
        <v>2</v>
      </c>
      <c r="G43" s="125"/>
      <c r="H43" s="326"/>
    </row>
    <row r="44" spans="1:8" ht="13.5" thickBot="1">
      <c r="A44" s="486"/>
      <c r="B44" s="483"/>
      <c r="C44" s="5" t="s">
        <v>438</v>
      </c>
      <c r="D44" s="3" t="s">
        <v>440</v>
      </c>
      <c r="E44" s="5">
        <v>1</v>
      </c>
      <c r="F44" s="50">
        <f>SUM(E44*$F$48)</f>
        <v>2</v>
      </c>
      <c r="G44" s="126"/>
      <c r="H44" s="328"/>
    </row>
    <row r="45" spans="1:8" ht="12.75">
      <c r="C45" s="1"/>
      <c r="D45" s="1"/>
      <c r="E45" s="1"/>
      <c r="F45" s="12" t="s">
        <v>770</v>
      </c>
    </row>
    <row r="46" spans="1:8" ht="15.75" customHeight="1">
      <c r="F46" s="7">
        <f>SUM(E4:E42)</f>
        <v>81</v>
      </c>
    </row>
    <row r="47" spans="1:8" ht="15.75" customHeight="1">
      <c r="F47" s="12" t="s">
        <v>773</v>
      </c>
    </row>
    <row r="48" spans="1:8" ht="15.75" customHeight="1">
      <c r="F48" s="7">
        <v>2</v>
      </c>
    </row>
  </sheetData>
  <mergeCells count="2">
    <mergeCell ref="B4:B44"/>
    <mergeCell ref="A4:A44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23">
    <tabColor rgb="FF00CC00"/>
    <outlinePr summaryBelow="0" summaryRight="0"/>
  </sheetPr>
  <dimension ref="A1:I96"/>
  <sheetViews>
    <sheetView topLeftCell="C1" zoomScale="85" zoomScaleNormal="85" workbookViewId="0">
      <selection activeCell="M54" sqref="M54"/>
    </sheetView>
  </sheetViews>
  <sheetFormatPr defaultColWidth="12.5703125" defaultRowHeight="15.75" customHeight="1"/>
  <cols>
    <col min="1" max="1" width="17" bestFit="1" customWidth="1"/>
    <col min="2" max="2" width="20" customWidth="1"/>
    <col min="3" max="3" width="4.7109375" bestFit="1" customWidth="1"/>
    <col min="4" max="4" width="75.5703125" bestFit="1" customWidth="1"/>
    <col min="5" max="5" width="18.85546875" customWidth="1"/>
    <col min="7" max="7" width="30" bestFit="1" customWidth="1"/>
    <col min="8" max="8" width="27.42578125" customWidth="1"/>
    <col min="9" max="9" width="23.85546875" customWidth="1"/>
  </cols>
  <sheetData>
    <row r="1" spans="1:9" ht="12.75"/>
    <row r="2" spans="1:9" ht="15.75" customHeight="1" thickBot="1">
      <c r="A2" s="466" t="s">
        <v>834</v>
      </c>
      <c r="B2" s="467"/>
      <c r="C2" s="467"/>
      <c r="D2" s="467"/>
      <c r="E2" s="467"/>
      <c r="F2" s="467"/>
      <c r="G2" s="467"/>
    </row>
    <row r="3" spans="1:9" ht="15.75" customHeight="1">
      <c r="A3" s="159" t="s">
        <v>1035</v>
      </c>
      <c r="B3" s="159" t="s">
        <v>1127</v>
      </c>
      <c r="C3" s="40"/>
      <c r="D3" s="159" t="s">
        <v>747</v>
      </c>
      <c r="E3" s="159" t="s">
        <v>106</v>
      </c>
      <c r="F3" s="159" t="s">
        <v>782</v>
      </c>
      <c r="G3" s="160" t="s">
        <v>769</v>
      </c>
      <c r="H3" s="349" t="s">
        <v>1707</v>
      </c>
      <c r="I3" s="350" t="s">
        <v>1166</v>
      </c>
    </row>
    <row r="4" spans="1:9" ht="12.75">
      <c r="A4" s="468" t="s">
        <v>1163</v>
      </c>
      <c r="B4" s="484" t="s">
        <v>4</v>
      </c>
      <c r="C4" s="161">
        <v>1</v>
      </c>
      <c r="D4" s="162" t="s">
        <v>108</v>
      </c>
      <c r="E4" s="163" t="s">
        <v>286</v>
      </c>
      <c r="F4" s="49">
        <v>1</v>
      </c>
      <c r="G4" s="166">
        <f t="shared" ref="G4:G35" si="0">SUM(F4*$G$96)</f>
        <v>2</v>
      </c>
      <c r="H4" s="390"/>
      <c r="I4" s="391"/>
    </row>
    <row r="5" spans="1:9" ht="12.75">
      <c r="A5" s="468"/>
      <c r="B5" s="484"/>
      <c r="C5" s="161">
        <v>2</v>
      </c>
      <c r="D5" s="162" t="s">
        <v>109</v>
      </c>
      <c r="E5" s="163" t="s">
        <v>113</v>
      </c>
      <c r="F5" s="49">
        <v>1</v>
      </c>
      <c r="G5" s="166">
        <f t="shared" si="0"/>
        <v>2</v>
      </c>
      <c r="H5" s="390"/>
      <c r="I5" s="391"/>
    </row>
    <row r="6" spans="1:9" ht="12.75">
      <c r="A6" s="468"/>
      <c r="B6" s="484"/>
      <c r="C6" s="161">
        <v>3</v>
      </c>
      <c r="D6" s="162" t="s">
        <v>114</v>
      </c>
      <c r="E6" s="163" t="s">
        <v>115</v>
      </c>
      <c r="F6" s="49">
        <v>1</v>
      </c>
      <c r="G6" s="166">
        <f t="shared" si="0"/>
        <v>2</v>
      </c>
      <c r="H6" s="390"/>
      <c r="I6" s="391"/>
    </row>
    <row r="7" spans="1:9" ht="12.75">
      <c r="A7" s="468"/>
      <c r="B7" s="484"/>
      <c r="C7" s="161">
        <v>4</v>
      </c>
      <c r="D7" s="162" t="s">
        <v>131</v>
      </c>
      <c r="E7" s="163" t="s">
        <v>870</v>
      </c>
      <c r="F7" s="49">
        <v>1</v>
      </c>
      <c r="G7" s="166">
        <f t="shared" si="0"/>
        <v>2</v>
      </c>
      <c r="H7" s="390"/>
      <c r="I7" s="391"/>
    </row>
    <row r="8" spans="1:9" ht="12.75">
      <c r="A8" s="468"/>
      <c r="B8" s="484"/>
      <c r="C8" s="161">
        <v>5</v>
      </c>
      <c r="D8" s="162" t="s">
        <v>144</v>
      </c>
      <c r="E8" s="163" t="s">
        <v>113</v>
      </c>
      <c r="F8" s="49">
        <v>1</v>
      </c>
      <c r="G8" s="166">
        <f t="shared" si="0"/>
        <v>2</v>
      </c>
      <c r="H8" s="390"/>
      <c r="I8" s="391"/>
    </row>
    <row r="9" spans="1:9" ht="12.75">
      <c r="A9" s="468"/>
      <c r="B9" s="484"/>
      <c r="C9" s="161">
        <v>6</v>
      </c>
      <c r="D9" s="162" t="s">
        <v>149</v>
      </c>
      <c r="E9" s="163" t="s">
        <v>113</v>
      </c>
      <c r="F9" s="49">
        <v>1</v>
      </c>
      <c r="G9" s="166">
        <f t="shared" si="0"/>
        <v>2</v>
      </c>
      <c r="H9" s="125"/>
      <c r="I9" s="326"/>
    </row>
    <row r="10" spans="1:9" ht="12.75">
      <c r="A10" s="468"/>
      <c r="B10" s="484"/>
      <c r="C10" s="161">
        <v>7</v>
      </c>
      <c r="D10" s="162" t="s">
        <v>156</v>
      </c>
      <c r="E10" s="163" t="s">
        <v>157</v>
      </c>
      <c r="F10" s="49">
        <v>1</v>
      </c>
      <c r="G10" s="166">
        <f t="shared" si="0"/>
        <v>2</v>
      </c>
      <c r="H10" s="125"/>
      <c r="I10" s="326"/>
    </row>
    <row r="11" spans="1:9" ht="12.75">
      <c r="A11" s="468"/>
      <c r="B11" s="484"/>
      <c r="C11" s="161">
        <v>8</v>
      </c>
      <c r="D11" s="162" t="s">
        <v>158</v>
      </c>
      <c r="E11" s="163" t="s">
        <v>157</v>
      </c>
      <c r="F11" s="49">
        <v>1</v>
      </c>
      <c r="G11" s="166">
        <f t="shared" si="0"/>
        <v>2</v>
      </c>
      <c r="H11" s="125"/>
      <c r="I11" s="326"/>
    </row>
    <row r="12" spans="1:9" ht="12.75">
      <c r="A12" s="468"/>
      <c r="B12" s="484"/>
      <c r="C12" s="161">
        <v>9</v>
      </c>
      <c r="D12" s="162" t="s">
        <v>167</v>
      </c>
      <c r="E12" s="163" t="s">
        <v>871</v>
      </c>
      <c r="F12" s="49">
        <v>1</v>
      </c>
      <c r="G12" s="166">
        <f t="shared" si="0"/>
        <v>2</v>
      </c>
      <c r="H12" s="125"/>
      <c r="I12" s="326"/>
    </row>
    <row r="13" spans="1:9" ht="12.75">
      <c r="A13" s="468"/>
      <c r="B13" s="484"/>
      <c r="C13" s="161">
        <v>10</v>
      </c>
      <c r="D13" s="162" t="s">
        <v>174</v>
      </c>
      <c r="E13" s="163" t="s">
        <v>682</v>
      </c>
      <c r="F13" s="49">
        <v>2</v>
      </c>
      <c r="G13" s="166">
        <f t="shared" si="0"/>
        <v>4</v>
      </c>
      <c r="H13" s="125"/>
      <c r="I13" s="326"/>
    </row>
    <row r="14" spans="1:9" ht="12.75">
      <c r="A14" s="468"/>
      <c r="B14" s="484"/>
      <c r="C14" s="161">
        <v>11</v>
      </c>
      <c r="D14" s="162" t="s">
        <v>175</v>
      </c>
      <c r="E14" s="163" t="s">
        <v>176</v>
      </c>
      <c r="F14" s="49">
        <v>2</v>
      </c>
      <c r="G14" s="166">
        <f t="shared" si="0"/>
        <v>4</v>
      </c>
      <c r="H14" s="125"/>
      <c r="I14" s="326"/>
    </row>
    <row r="15" spans="1:9" ht="12.75">
      <c r="A15" s="468"/>
      <c r="B15" s="484"/>
      <c r="C15" s="161">
        <v>12</v>
      </c>
      <c r="D15" s="162" t="s">
        <v>177</v>
      </c>
      <c r="E15" s="163" t="s">
        <v>178</v>
      </c>
      <c r="F15" s="49">
        <v>2</v>
      </c>
      <c r="G15" s="166">
        <f t="shared" si="0"/>
        <v>4</v>
      </c>
      <c r="H15" s="125"/>
      <c r="I15" s="326"/>
    </row>
    <row r="16" spans="1:9" ht="12.75">
      <c r="A16" s="468"/>
      <c r="B16" s="484"/>
      <c r="C16" s="161">
        <v>13</v>
      </c>
      <c r="D16" s="162" t="s">
        <v>179</v>
      </c>
      <c r="E16" s="163" t="s">
        <v>178</v>
      </c>
      <c r="F16" s="49">
        <v>2</v>
      </c>
      <c r="G16" s="166">
        <f t="shared" si="0"/>
        <v>4</v>
      </c>
      <c r="H16" s="125"/>
      <c r="I16" s="326"/>
    </row>
    <row r="17" spans="1:9" ht="12.75">
      <c r="A17" s="468"/>
      <c r="B17" s="484"/>
      <c r="C17" s="161">
        <v>14</v>
      </c>
      <c r="D17" s="162" t="s">
        <v>180</v>
      </c>
      <c r="E17" s="163" t="s">
        <v>947</v>
      </c>
      <c r="F17" s="49">
        <v>1</v>
      </c>
      <c r="G17" s="166">
        <f t="shared" si="0"/>
        <v>2</v>
      </c>
      <c r="H17" s="125"/>
      <c r="I17" s="326"/>
    </row>
    <row r="18" spans="1:9" ht="12.75">
      <c r="A18" s="468"/>
      <c r="B18" s="484"/>
      <c r="C18" s="161">
        <v>15</v>
      </c>
      <c r="D18" s="162" t="s">
        <v>181</v>
      </c>
      <c r="E18" s="163"/>
      <c r="F18" s="49">
        <v>1</v>
      </c>
      <c r="G18" s="166">
        <f t="shared" si="0"/>
        <v>2</v>
      </c>
      <c r="H18" s="125"/>
      <c r="I18" s="326"/>
    </row>
    <row r="19" spans="1:9" ht="12.75">
      <c r="A19" s="468"/>
      <c r="B19" s="484"/>
      <c r="C19" s="161">
        <v>16</v>
      </c>
      <c r="D19" s="162" t="s">
        <v>182</v>
      </c>
      <c r="E19" s="163" t="s">
        <v>948</v>
      </c>
      <c r="F19" s="49">
        <v>2</v>
      </c>
      <c r="G19" s="166">
        <f t="shared" si="0"/>
        <v>4</v>
      </c>
      <c r="H19" s="125"/>
      <c r="I19" s="326"/>
    </row>
    <row r="20" spans="1:9" ht="12.75">
      <c r="A20" s="468"/>
      <c r="B20" s="484"/>
      <c r="C20" s="161">
        <v>17</v>
      </c>
      <c r="D20" s="162" t="s">
        <v>183</v>
      </c>
      <c r="E20" s="163"/>
      <c r="F20" s="49">
        <v>1</v>
      </c>
      <c r="G20" s="166">
        <f t="shared" si="0"/>
        <v>2</v>
      </c>
      <c r="H20" s="125"/>
      <c r="I20" s="326"/>
    </row>
    <row r="21" spans="1:9" ht="12.75">
      <c r="A21" s="468"/>
      <c r="B21" s="484"/>
      <c r="C21" s="161">
        <v>18</v>
      </c>
      <c r="D21" s="162" t="s">
        <v>184</v>
      </c>
      <c r="E21" s="163" t="s">
        <v>949</v>
      </c>
      <c r="F21" s="49">
        <v>1</v>
      </c>
      <c r="G21" s="166">
        <f t="shared" si="0"/>
        <v>2</v>
      </c>
      <c r="H21" s="125"/>
      <c r="I21" s="326"/>
    </row>
    <row r="22" spans="1:9" ht="12.75">
      <c r="A22" s="468"/>
      <c r="B22" s="484"/>
      <c r="C22" s="161">
        <v>19</v>
      </c>
      <c r="D22" s="162" t="s">
        <v>956</v>
      </c>
      <c r="E22" s="163" t="s">
        <v>957</v>
      </c>
      <c r="F22" s="49">
        <v>1</v>
      </c>
      <c r="G22" s="166">
        <f t="shared" si="0"/>
        <v>2</v>
      </c>
      <c r="H22" s="125"/>
      <c r="I22" s="326"/>
    </row>
    <row r="23" spans="1:9" ht="12.75">
      <c r="A23" s="468"/>
      <c r="B23" s="484"/>
      <c r="C23" s="161">
        <v>20</v>
      </c>
      <c r="D23" s="162" t="s">
        <v>835</v>
      </c>
      <c r="E23" s="163" t="s">
        <v>118</v>
      </c>
      <c r="F23" s="49">
        <v>2</v>
      </c>
      <c r="G23" s="166">
        <f>SUM(F23*$G$96)</f>
        <v>4</v>
      </c>
      <c r="H23" s="125"/>
      <c r="I23" s="326"/>
    </row>
    <row r="24" spans="1:9" ht="12.75">
      <c r="A24" s="468"/>
      <c r="B24" s="484"/>
      <c r="C24" s="161">
        <v>21</v>
      </c>
      <c r="D24" s="162" t="s">
        <v>191</v>
      </c>
      <c r="E24" s="163" t="s">
        <v>192</v>
      </c>
      <c r="F24" s="49">
        <v>1</v>
      </c>
      <c r="G24" s="166">
        <f t="shared" si="0"/>
        <v>2</v>
      </c>
      <c r="H24" s="125"/>
      <c r="I24" s="326"/>
    </row>
    <row r="25" spans="1:9" ht="12.75">
      <c r="A25" s="468"/>
      <c r="B25" s="484"/>
      <c r="C25" s="161">
        <v>21</v>
      </c>
      <c r="D25" s="162" t="s">
        <v>202</v>
      </c>
      <c r="E25" s="163" t="s">
        <v>113</v>
      </c>
      <c r="F25" s="49">
        <v>1</v>
      </c>
      <c r="G25" s="166">
        <f t="shared" si="0"/>
        <v>2</v>
      </c>
      <c r="H25" s="125"/>
      <c r="I25" s="326"/>
    </row>
    <row r="26" spans="1:9" ht="12.75">
      <c r="A26" s="468"/>
      <c r="B26" s="484"/>
      <c r="C26" s="161">
        <v>23</v>
      </c>
      <c r="D26" s="162" t="s">
        <v>836</v>
      </c>
      <c r="E26" s="163" t="s">
        <v>251</v>
      </c>
      <c r="F26" s="49">
        <v>1</v>
      </c>
      <c r="G26" s="166">
        <f t="shared" si="0"/>
        <v>2</v>
      </c>
      <c r="H26" s="125"/>
      <c r="I26" s="326"/>
    </row>
    <row r="27" spans="1:9" ht="12.75">
      <c r="A27" s="468"/>
      <c r="B27" s="484"/>
      <c r="C27" s="161">
        <v>24</v>
      </c>
      <c r="D27" s="162" t="s">
        <v>256</v>
      </c>
      <c r="E27" s="163" t="s">
        <v>257</v>
      </c>
      <c r="F27" s="49">
        <v>1</v>
      </c>
      <c r="G27" s="166">
        <f t="shared" si="0"/>
        <v>2</v>
      </c>
      <c r="H27" s="125"/>
      <c r="I27" s="326"/>
    </row>
    <row r="28" spans="1:9" ht="12.75">
      <c r="A28" s="468"/>
      <c r="B28" s="484"/>
      <c r="C28" s="161">
        <v>25</v>
      </c>
      <c r="D28" s="162" t="s">
        <v>263</v>
      </c>
      <c r="E28" s="163" t="s">
        <v>264</v>
      </c>
      <c r="F28" s="49">
        <v>1</v>
      </c>
      <c r="G28" s="166">
        <f t="shared" si="0"/>
        <v>2</v>
      </c>
      <c r="H28" s="125"/>
      <c r="I28" s="326"/>
    </row>
    <row r="29" spans="1:9" ht="12.75">
      <c r="A29" s="468"/>
      <c r="B29" s="484"/>
      <c r="C29" s="161">
        <v>26</v>
      </c>
      <c r="D29" s="162" t="s">
        <v>265</v>
      </c>
      <c r="E29" s="163" t="s">
        <v>266</v>
      </c>
      <c r="F29" s="49">
        <v>1</v>
      </c>
      <c r="G29" s="166">
        <f t="shared" si="0"/>
        <v>2</v>
      </c>
      <c r="H29" s="125"/>
      <c r="I29" s="326"/>
    </row>
    <row r="30" spans="1:9" ht="12.75">
      <c r="A30" s="468"/>
      <c r="B30" s="484"/>
      <c r="C30" s="161">
        <v>27</v>
      </c>
      <c r="D30" s="162" t="s">
        <v>950</v>
      </c>
      <c r="E30" s="163" t="s">
        <v>393</v>
      </c>
      <c r="F30" s="49">
        <v>1</v>
      </c>
      <c r="G30" s="166">
        <f t="shared" si="0"/>
        <v>2</v>
      </c>
      <c r="H30" s="125"/>
      <c r="I30" s="326"/>
    </row>
    <row r="31" spans="1:9" ht="12.75">
      <c r="A31" s="468"/>
      <c r="B31" s="484"/>
      <c r="C31" s="161">
        <v>28</v>
      </c>
      <c r="D31" s="162" t="s">
        <v>951</v>
      </c>
      <c r="E31" s="163" t="s">
        <v>393</v>
      </c>
      <c r="F31" s="49">
        <v>1</v>
      </c>
      <c r="G31" s="166">
        <f t="shared" si="0"/>
        <v>2</v>
      </c>
      <c r="H31" s="125"/>
      <c r="I31" s="326"/>
    </row>
    <row r="32" spans="1:9" ht="12.75">
      <c r="A32" s="468"/>
      <c r="B32" s="484"/>
      <c r="C32" s="161">
        <v>29</v>
      </c>
      <c r="D32" s="162" t="s">
        <v>952</v>
      </c>
      <c r="E32" s="163" t="s">
        <v>393</v>
      </c>
      <c r="F32" s="49">
        <v>1</v>
      </c>
      <c r="G32" s="166">
        <f t="shared" si="0"/>
        <v>2</v>
      </c>
      <c r="H32" s="125"/>
      <c r="I32" s="326"/>
    </row>
    <row r="33" spans="1:9" ht="12.75">
      <c r="A33" s="468"/>
      <c r="B33" s="484"/>
      <c r="C33" s="161">
        <v>30</v>
      </c>
      <c r="D33" s="162" t="s">
        <v>953</v>
      </c>
      <c r="E33" s="163" t="s">
        <v>272</v>
      </c>
      <c r="F33" s="49">
        <v>1</v>
      </c>
      <c r="G33" s="166">
        <f t="shared" si="0"/>
        <v>2</v>
      </c>
      <c r="H33" s="125"/>
      <c r="I33" s="326"/>
    </row>
    <row r="34" spans="1:9" ht="12.75">
      <c r="A34" s="468"/>
      <c r="B34" s="484"/>
      <c r="C34" s="161">
        <v>31</v>
      </c>
      <c r="D34" s="162" t="s">
        <v>954</v>
      </c>
      <c r="E34" s="163" t="s">
        <v>273</v>
      </c>
      <c r="F34" s="49">
        <v>1</v>
      </c>
      <c r="G34" s="166">
        <f t="shared" si="0"/>
        <v>2</v>
      </c>
      <c r="H34" s="125"/>
      <c r="I34" s="326"/>
    </row>
    <row r="35" spans="1:9" ht="12.75">
      <c r="A35" s="468"/>
      <c r="B35" s="484"/>
      <c r="C35" s="161">
        <v>32</v>
      </c>
      <c r="D35" s="162" t="s">
        <v>955</v>
      </c>
      <c r="E35" s="163" t="s">
        <v>260</v>
      </c>
      <c r="F35" s="49">
        <v>1</v>
      </c>
      <c r="G35" s="166">
        <f t="shared" si="0"/>
        <v>2</v>
      </c>
      <c r="H35" s="125"/>
      <c r="I35" s="326"/>
    </row>
    <row r="36" spans="1:9" ht="12.75">
      <c r="A36" s="468"/>
      <c r="B36" s="484"/>
      <c r="C36" s="161">
        <v>33</v>
      </c>
      <c r="D36" s="162" t="s">
        <v>297</v>
      </c>
      <c r="E36" s="163" t="s">
        <v>958</v>
      </c>
      <c r="F36" s="49">
        <v>1</v>
      </c>
      <c r="G36" s="166">
        <f t="shared" ref="G36:G67" si="1">SUM(F36*$G$96)</f>
        <v>2</v>
      </c>
      <c r="H36" s="125"/>
      <c r="I36" s="326"/>
    </row>
    <row r="37" spans="1:9" ht="12.75">
      <c r="A37" s="468"/>
      <c r="B37" s="484"/>
      <c r="C37" s="161">
        <v>34</v>
      </c>
      <c r="D37" s="162" t="s">
        <v>298</v>
      </c>
      <c r="E37" s="163" t="s">
        <v>959</v>
      </c>
      <c r="F37" s="49">
        <v>1</v>
      </c>
      <c r="G37" s="166">
        <f t="shared" si="1"/>
        <v>2</v>
      </c>
      <c r="H37" s="125"/>
      <c r="I37" s="326"/>
    </row>
    <row r="38" spans="1:9" ht="12.75">
      <c r="A38" s="468"/>
      <c r="B38" s="484"/>
      <c r="C38" s="161">
        <v>35</v>
      </c>
      <c r="D38" s="162" t="s">
        <v>299</v>
      </c>
      <c r="E38" s="163" t="s">
        <v>960</v>
      </c>
      <c r="F38" s="49">
        <v>1</v>
      </c>
      <c r="G38" s="166">
        <f t="shared" si="1"/>
        <v>2</v>
      </c>
      <c r="H38" s="125"/>
      <c r="I38" s="326"/>
    </row>
    <row r="39" spans="1:9" ht="12.75">
      <c r="A39" s="468"/>
      <c r="B39" s="484"/>
      <c r="C39" s="161">
        <v>36</v>
      </c>
      <c r="D39" s="162" t="s">
        <v>961</v>
      </c>
      <c r="E39" s="163" t="s">
        <v>889</v>
      </c>
      <c r="F39" s="49">
        <v>1</v>
      </c>
      <c r="G39" s="166">
        <f t="shared" si="1"/>
        <v>2</v>
      </c>
      <c r="H39" s="125"/>
      <c r="I39" s="326"/>
    </row>
    <row r="40" spans="1:9" ht="12.75">
      <c r="A40" s="468"/>
      <c r="B40" s="484"/>
      <c r="C40" s="161">
        <v>37</v>
      </c>
      <c r="D40" s="162" t="s">
        <v>332</v>
      </c>
      <c r="E40" s="163"/>
      <c r="F40" s="49">
        <v>1</v>
      </c>
      <c r="G40" s="166">
        <f t="shared" si="1"/>
        <v>2</v>
      </c>
      <c r="H40" s="125"/>
      <c r="I40" s="326"/>
    </row>
    <row r="41" spans="1:9" ht="12.75">
      <c r="A41" s="468"/>
      <c r="B41" s="484"/>
      <c r="C41" s="161">
        <v>38</v>
      </c>
      <c r="D41" s="162" t="s">
        <v>962</v>
      </c>
      <c r="E41" s="163"/>
      <c r="F41" s="49">
        <v>1</v>
      </c>
      <c r="G41" s="166">
        <f t="shared" si="1"/>
        <v>2</v>
      </c>
      <c r="H41" s="125"/>
      <c r="I41" s="326"/>
    </row>
    <row r="42" spans="1:9" ht="12.75">
      <c r="A42" s="468"/>
      <c r="B42" s="484"/>
      <c r="C42" s="161">
        <v>39</v>
      </c>
      <c r="D42" s="162" t="s">
        <v>333</v>
      </c>
      <c r="E42" s="163"/>
      <c r="F42" s="49">
        <v>1</v>
      </c>
      <c r="G42" s="166">
        <f t="shared" si="1"/>
        <v>2</v>
      </c>
      <c r="H42" s="125"/>
      <c r="I42" s="326"/>
    </row>
    <row r="43" spans="1:9" ht="12.75">
      <c r="A43" s="468"/>
      <c r="B43" s="484"/>
      <c r="C43" s="161">
        <v>40</v>
      </c>
      <c r="D43" s="162" t="s">
        <v>336</v>
      </c>
      <c r="E43" s="163"/>
      <c r="F43" s="49">
        <v>1</v>
      </c>
      <c r="G43" s="166">
        <f t="shared" si="1"/>
        <v>2</v>
      </c>
      <c r="H43" s="125"/>
      <c r="I43" s="326"/>
    </row>
    <row r="44" spans="1:9" ht="12.75">
      <c r="A44" s="468"/>
      <c r="B44" s="484"/>
      <c r="C44" s="161">
        <v>41</v>
      </c>
      <c r="D44" s="162" t="s">
        <v>405</v>
      </c>
      <c r="E44" s="163" t="s">
        <v>406</v>
      </c>
      <c r="F44" s="49">
        <v>2</v>
      </c>
      <c r="G44" s="166">
        <f t="shared" si="1"/>
        <v>4</v>
      </c>
      <c r="H44" s="125"/>
      <c r="I44" s="326"/>
    </row>
    <row r="45" spans="1:9" ht="12.75">
      <c r="A45" s="468"/>
      <c r="B45" s="484"/>
      <c r="C45" s="161">
        <v>42</v>
      </c>
      <c r="D45" s="162" t="s">
        <v>963</v>
      </c>
      <c r="E45" s="163" t="s">
        <v>425</v>
      </c>
      <c r="F45" s="49">
        <v>1</v>
      </c>
      <c r="G45" s="166">
        <f t="shared" si="1"/>
        <v>2</v>
      </c>
      <c r="H45" s="125"/>
      <c r="I45" s="326"/>
    </row>
    <row r="46" spans="1:9" ht="12.75">
      <c r="A46" s="468"/>
      <c r="B46" s="484"/>
      <c r="C46" s="161">
        <v>43</v>
      </c>
      <c r="D46" s="162" t="s">
        <v>964</v>
      </c>
      <c r="E46" s="163" t="s">
        <v>426</v>
      </c>
      <c r="F46" s="49">
        <v>1</v>
      </c>
      <c r="G46" s="166">
        <f t="shared" si="1"/>
        <v>2</v>
      </c>
      <c r="H46" s="125"/>
      <c r="I46" s="326"/>
    </row>
    <row r="47" spans="1:9" ht="12.75">
      <c r="A47" s="468"/>
      <c r="B47" s="484"/>
      <c r="C47" s="161">
        <v>44</v>
      </c>
      <c r="D47" s="162" t="s">
        <v>872</v>
      </c>
      <c r="E47" s="163"/>
      <c r="F47" s="49">
        <v>1</v>
      </c>
      <c r="G47" s="166">
        <f t="shared" si="1"/>
        <v>2</v>
      </c>
      <c r="H47" s="125"/>
      <c r="I47" s="326"/>
    </row>
    <row r="48" spans="1:9" ht="12.75">
      <c r="A48" s="468"/>
      <c r="B48" s="484"/>
      <c r="C48" s="161">
        <v>45</v>
      </c>
      <c r="D48" s="162" t="s">
        <v>446</v>
      </c>
      <c r="E48" s="163"/>
      <c r="F48" s="49">
        <v>1</v>
      </c>
      <c r="G48" s="166">
        <f t="shared" si="1"/>
        <v>2</v>
      </c>
      <c r="H48" s="125"/>
      <c r="I48" s="326"/>
    </row>
    <row r="49" spans="1:9" ht="12.75">
      <c r="A49" s="468"/>
      <c r="B49" s="484"/>
      <c r="C49" s="161">
        <v>46</v>
      </c>
      <c r="D49" s="162" t="s">
        <v>447</v>
      </c>
      <c r="E49" s="163"/>
      <c r="F49" s="49">
        <v>1</v>
      </c>
      <c r="G49" s="166">
        <f t="shared" si="1"/>
        <v>2</v>
      </c>
      <c r="H49" s="125"/>
      <c r="I49" s="326"/>
    </row>
    <row r="50" spans="1:9" ht="12.75">
      <c r="A50" s="468"/>
      <c r="B50" s="484"/>
      <c r="C50" s="161">
        <v>47</v>
      </c>
      <c r="D50" s="162" t="s">
        <v>447</v>
      </c>
      <c r="E50" s="163"/>
      <c r="F50" s="49">
        <v>1</v>
      </c>
      <c r="G50" s="166">
        <f t="shared" si="1"/>
        <v>2</v>
      </c>
      <c r="H50" s="125"/>
      <c r="I50" s="326"/>
    </row>
    <row r="51" spans="1:9" ht="12.75">
      <c r="A51" s="468"/>
      <c r="B51" s="484"/>
      <c r="C51" s="161">
        <v>48</v>
      </c>
      <c r="D51" s="162" t="s">
        <v>448</v>
      </c>
      <c r="E51" s="163"/>
      <c r="F51" s="49">
        <v>1</v>
      </c>
      <c r="G51" s="166">
        <f t="shared" si="1"/>
        <v>2</v>
      </c>
      <c r="H51" s="125"/>
      <c r="I51" s="326"/>
    </row>
    <row r="52" spans="1:9" ht="12.75">
      <c r="A52" s="468"/>
      <c r="B52" s="484"/>
      <c r="C52" s="161">
        <v>49</v>
      </c>
      <c r="D52" s="162" t="s">
        <v>448</v>
      </c>
      <c r="E52" s="163"/>
      <c r="F52" s="49">
        <v>1</v>
      </c>
      <c r="G52" s="166">
        <f t="shared" si="1"/>
        <v>2</v>
      </c>
      <c r="H52" s="125"/>
      <c r="I52" s="326"/>
    </row>
    <row r="53" spans="1:9" ht="12.75">
      <c r="A53" s="468"/>
      <c r="B53" s="484"/>
      <c r="C53" s="161">
        <v>50</v>
      </c>
      <c r="D53" s="162" t="s">
        <v>449</v>
      </c>
      <c r="E53" s="163"/>
      <c r="F53" s="49">
        <v>1</v>
      </c>
      <c r="G53" s="166">
        <f t="shared" si="1"/>
        <v>2</v>
      </c>
      <c r="H53" s="125"/>
      <c r="I53" s="326"/>
    </row>
    <row r="54" spans="1:9" ht="12.75">
      <c r="A54" s="468"/>
      <c r="B54" s="484"/>
      <c r="C54" s="161">
        <v>51</v>
      </c>
      <c r="D54" s="162" t="s">
        <v>450</v>
      </c>
      <c r="E54" s="163"/>
      <c r="F54" s="49">
        <v>1</v>
      </c>
      <c r="G54" s="166">
        <f t="shared" si="1"/>
        <v>2</v>
      </c>
      <c r="H54" s="125"/>
      <c r="I54" s="326"/>
    </row>
    <row r="55" spans="1:9" ht="12.75">
      <c r="A55" s="468"/>
      <c r="B55" s="484"/>
      <c r="C55" s="161">
        <v>52</v>
      </c>
      <c r="D55" s="162" t="s">
        <v>451</v>
      </c>
      <c r="E55" s="163"/>
      <c r="F55" s="49">
        <v>1</v>
      </c>
      <c r="G55" s="166">
        <f t="shared" si="1"/>
        <v>2</v>
      </c>
      <c r="H55" s="125"/>
      <c r="I55" s="326"/>
    </row>
    <row r="56" spans="1:9" ht="12.75">
      <c r="A56" s="468"/>
      <c r="B56" s="484"/>
      <c r="C56" s="161">
        <v>53</v>
      </c>
      <c r="D56" s="162" t="s">
        <v>452</v>
      </c>
      <c r="E56" s="163"/>
      <c r="F56" s="49">
        <v>1</v>
      </c>
      <c r="G56" s="166">
        <f t="shared" si="1"/>
        <v>2</v>
      </c>
      <c r="H56" s="125"/>
      <c r="I56" s="326"/>
    </row>
    <row r="57" spans="1:9" ht="12.75">
      <c r="A57" s="468"/>
      <c r="B57" s="484"/>
      <c r="C57" s="161">
        <v>54</v>
      </c>
      <c r="D57" s="162" t="s">
        <v>453</v>
      </c>
      <c r="E57" s="163"/>
      <c r="F57" s="49">
        <v>1</v>
      </c>
      <c r="G57" s="166">
        <f t="shared" si="1"/>
        <v>2</v>
      </c>
      <c r="H57" s="125"/>
      <c r="I57" s="326"/>
    </row>
    <row r="58" spans="1:9" ht="12.75">
      <c r="A58" s="468"/>
      <c r="B58" s="484"/>
      <c r="C58" s="161">
        <v>55</v>
      </c>
      <c r="D58" s="162" t="s">
        <v>454</v>
      </c>
      <c r="E58" s="163"/>
      <c r="F58" s="49">
        <v>1</v>
      </c>
      <c r="G58" s="166">
        <f t="shared" si="1"/>
        <v>2</v>
      </c>
      <c r="H58" s="125"/>
      <c r="I58" s="326"/>
    </row>
    <row r="59" spans="1:9" ht="12.75">
      <c r="A59" s="468"/>
      <c r="B59" s="484"/>
      <c r="C59" s="161">
        <v>56</v>
      </c>
      <c r="D59" s="162" t="s">
        <v>455</v>
      </c>
      <c r="E59" s="163"/>
      <c r="F59" s="49">
        <v>1</v>
      </c>
      <c r="G59" s="166">
        <f t="shared" si="1"/>
        <v>2</v>
      </c>
      <c r="H59" s="125"/>
      <c r="I59" s="326"/>
    </row>
    <row r="60" spans="1:9" ht="12.75">
      <c r="A60" s="468"/>
      <c r="B60" s="484"/>
      <c r="C60" s="161">
        <v>57</v>
      </c>
      <c r="D60" s="162" t="s">
        <v>457</v>
      </c>
      <c r="E60" s="163"/>
      <c r="F60" s="49">
        <v>1</v>
      </c>
      <c r="G60" s="166">
        <f t="shared" si="1"/>
        <v>2</v>
      </c>
      <c r="H60" s="125"/>
      <c r="I60" s="326"/>
    </row>
    <row r="61" spans="1:9" ht="12.75">
      <c r="A61" s="468"/>
      <c r="B61" s="484"/>
      <c r="C61" s="161">
        <v>58</v>
      </c>
      <c r="D61" s="162" t="s">
        <v>461</v>
      </c>
      <c r="E61" s="163"/>
      <c r="F61" s="49">
        <v>1</v>
      </c>
      <c r="G61" s="166">
        <f t="shared" si="1"/>
        <v>2</v>
      </c>
      <c r="H61" s="125"/>
      <c r="I61" s="326"/>
    </row>
    <row r="62" spans="1:9" ht="12.75">
      <c r="A62" s="468"/>
      <c r="B62" s="484"/>
      <c r="C62" s="161">
        <v>59</v>
      </c>
      <c r="D62" s="162" t="s">
        <v>464</v>
      </c>
      <c r="E62" s="163" t="s">
        <v>465</v>
      </c>
      <c r="F62" s="49">
        <v>1</v>
      </c>
      <c r="G62" s="166">
        <f t="shared" si="1"/>
        <v>2</v>
      </c>
      <c r="H62" s="125"/>
      <c r="I62" s="326"/>
    </row>
    <row r="63" spans="1:9" ht="12.75">
      <c r="A63" s="468"/>
      <c r="B63" s="484"/>
      <c r="C63" s="161">
        <v>60</v>
      </c>
      <c r="D63" s="162" t="s">
        <v>469</v>
      </c>
      <c r="E63" s="163" t="s">
        <v>157</v>
      </c>
      <c r="F63" s="49">
        <v>1</v>
      </c>
      <c r="G63" s="166">
        <f t="shared" si="1"/>
        <v>2</v>
      </c>
      <c r="H63" s="125"/>
      <c r="I63" s="326"/>
    </row>
    <row r="64" spans="1:9" ht="12.75">
      <c r="A64" s="468"/>
      <c r="B64" s="484"/>
      <c r="C64" s="161">
        <v>61</v>
      </c>
      <c r="D64" s="162" t="s">
        <v>470</v>
      </c>
      <c r="E64" s="163" t="s">
        <v>471</v>
      </c>
      <c r="F64" s="49">
        <v>1</v>
      </c>
      <c r="G64" s="166">
        <f t="shared" si="1"/>
        <v>2</v>
      </c>
      <c r="H64" s="125"/>
      <c r="I64" s="326"/>
    </row>
    <row r="65" spans="1:9" ht="12.75">
      <c r="A65" s="468"/>
      <c r="B65" s="484"/>
      <c r="C65" s="161">
        <v>62</v>
      </c>
      <c r="D65" s="162" t="s">
        <v>516</v>
      </c>
      <c r="E65" s="163"/>
      <c r="F65" s="49">
        <v>1</v>
      </c>
      <c r="G65" s="166">
        <f t="shared" si="1"/>
        <v>2</v>
      </c>
      <c r="H65" s="125"/>
      <c r="I65" s="326"/>
    </row>
    <row r="66" spans="1:9" ht="12.75">
      <c r="A66" s="468"/>
      <c r="B66" s="484"/>
      <c r="C66" s="161">
        <v>63</v>
      </c>
      <c r="D66" s="162" t="s">
        <v>969</v>
      </c>
      <c r="E66" s="163" t="s">
        <v>517</v>
      </c>
      <c r="F66" s="49">
        <v>1</v>
      </c>
      <c r="G66" s="166">
        <f t="shared" si="1"/>
        <v>2</v>
      </c>
      <c r="H66" s="125"/>
      <c r="I66" s="326"/>
    </row>
    <row r="67" spans="1:9" ht="12.75">
      <c r="A67" s="468"/>
      <c r="B67" s="484"/>
      <c r="C67" s="161">
        <v>64</v>
      </c>
      <c r="D67" s="162" t="s">
        <v>518</v>
      </c>
      <c r="E67" s="163"/>
      <c r="F67" s="49">
        <v>1</v>
      </c>
      <c r="G67" s="166">
        <f t="shared" si="1"/>
        <v>2</v>
      </c>
      <c r="H67" s="125"/>
      <c r="I67" s="326"/>
    </row>
    <row r="68" spans="1:9" ht="12.75">
      <c r="A68" s="468"/>
      <c r="B68" s="484"/>
      <c r="C68" s="161">
        <v>65</v>
      </c>
      <c r="D68" s="162" t="s">
        <v>521</v>
      </c>
      <c r="E68" s="163"/>
      <c r="F68" s="49">
        <v>1</v>
      </c>
      <c r="G68" s="166">
        <f t="shared" ref="G68:G92" si="2">SUM(F68*$G$96)</f>
        <v>2</v>
      </c>
      <c r="H68" s="125"/>
      <c r="I68" s="326"/>
    </row>
    <row r="69" spans="1:9" ht="12.75">
      <c r="A69" s="468"/>
      <c r="B69" s="484"/>
      <c r="C69" s="161">
        <v>66</v>
      </c>
      <c r="D69" s="162" t="s">
        <v>837</v>
      </c>
      <c r="E69" s="163" t="s">
        <v>251</v>
      </c>
      <c r="F69" s="49">
        <v>1</v>
      </c>
      <c r="G69" s="166">
        <f t="shared" si="2"/>
        <v>2</v>
      </c>
      <c r="H69" s="125"/>
      <c r="I69" s="326"/>
    </row>
    <row r="70" spans="1:9" ht="12.75">
      <c r="A70" s="468"/>
      <c r="B70" s="484"/>
      <c r="C70" s="161">
        <v>67</v>
      </c>
      <c r="D70" s="162" t="s">
        <v>851</v>
      </c>
      <c r="E70" s="163" t="s">
        <v>965</v>
      </c>
      <c r="F70" s="49">
        <v>1</v>
      </c>
      <c r="G70" s="166">
        <f t="shared" si="2"/>
        <v>2</v>
      </c>
      <c r="H70" s="125"/>
      <c r="I70" s="326"/>
    </row>
    <row r="71" spans="1:9" ht="12.75">
      <c r="A71" s="468"/>
      <c r="B71" s="484"/>
      <c r="C71" s="161">
        <v>68</v>
      </c>
      <c r="D71" s="162" t="s">
        <v>817</v>
      </c>
      <c r="E71" s="163" t="s">
        <v>533</v>
      </c>
      <c r="F71" s="49">
        <v>6</v>
      </c>
      <c r="G71" s="166">
        <f>SUM(F71*$G$96)</f>
        <v>12</v>
      </c>
      <c r="H71" s="125"/>
      <c r="I71" s="326"/>
    </row>
    <row r="72" spans="1:9" ht="12.75">
      <c r="A72" s="468"/>
      <c r="B72" s="484"/>
      <c r="C72" s="161">
        <v>69</v>
      </c>
      <c r="D72" s="162" t="s">
        <v>576</v>
      </c>
      <c r="E72" s="163"/>
      <c r="F72" s="49">
        <v>1</v>
      </c>
      <c r="G72" s="166">
        <f t="shared" si="2"/>
        <v>2</v>
      </c>
      <c r="H72" s="125"/>
      <c r="I72" s="326"/>
    </row>
    <row r="73" spans="1:9" ht="12.75">
      <c r="A73" s="468"/>
      <c r="B73" s="484"/>
      <c r="C73" s="161">
        <v>70</v>
      </c>
      <c r="D73" s="162" t="s">
        <v>583</v>
      </c>
      <c r="E73" s="163" t="s">
        <v>157</v>
      </c>
      <c r="F73" s="49">
        <v>1</v>
      </c>
      <c r="G73" s="166">
        <f t="shared" si="2"/>
        <v>2</v>
      </c>
      <c r="H73" s="125"/>
      <c r="I73" s="326"/>
    </row>
    <row r="74" spans="1:9" ht="12.75">
      <c r="A74" s="468"/>
      <c r="B74" s="484"/>
      <c r="C74" s="161">
        <v>71</v>
      </c>
      <c r="D74" s="162" t="s">
        <v>609</v>
      </c>
      <c r="E74" s="163"/>
      <c r="F74" s="49">
        <v>1</v>
      </c>
      <c r="G74" s="166">
        <f t="shared" si="2"/>
        <v>2</v>
      </c>
      <c r="H74" s="125"/>
      <c r="I74" s="326"/>
    </row>
    <row r="75" spans="1:9" ht="12.75">
      <c r="A75" s="468"/>
      <c r="B75" s="484"/>
      <c r="C75" s="161">
        <v>72</v>
      </c>
      <c r="D75" s="162" t="s">
        <v>621</v>
      </c>
      <c r="E75" s="163" t="s">
        <v>113</v>
      </c>
      <c r="F75" s="49">
        <v>1</v>
      </c>
      <c r="G75" s="166">
        <f t="shared" si="2"/>
        <v>2</v>
      </c>
      <c r="H75" s="125"/>
      <c r="I75" s="326"/>
    </row>
    <row r="76" spans="1:9" ht="12.75">
      <c r="A76" s="468"/>
      <c r="B76" s="484"/>
      <c r="C76" s="161">
        <v>73</v>
      </c>
      <c r="D76" s="162" t="s">
        <v>838</v>
      </c>
      <c r="E76" s="163" t="s">
        <v>118</v>
      </c>
      <c r="F76" s="49">
        <v>1</v>
      </c>
      <c r="G76" s="166">
        <f t="shared" si="2"/>
        <v>2</v>
      </c>
      <c r="H76" s="125"/>
      <c r="I76" s="326"/>
    </row>
    <row r="77" spans="1:9" ht="12.75">
      <c r="A77" s="468"/>
      <c r="B77" s="484"/>
      <c r="C77" s="161">
        <v>74</v>
      </c>
      <c r="D77" s="162" t="s">
        <v>639</v>
      </c>
      <c r="E77" s="163" t="s">
        <v>251</v>
      </c>
      <c r="F77" s="49">
        <v>1</v>
      </c>
      <c r="G77" s="166">
        <f t="shared" si="2"/>
        <v>2</v>
      </c>
      <c r="H77" s="125"/>
      <c r="I77" s="326"/>
    </row>
    <row r="78" spans="1:9" ht="12.75">
      <c r="A78" s="468"/>
      <c r="B78" s="484"/>
      <c r="C78" s="161">
        <v>75</v>
      </c>
      <c r="D78" s="162" t="s">
        <v>839</v>
      </c>
      <c r="E78" s="163" t="s">
        <v>251</v>
      </c>
      <c r="F78" s="49">
        <v>2</v>
      </c>
      <c r="G78" s="166">
        <f t="shared" si="2"/>
        <v>4</v>
      </c>
      <c r="H78" s="125"/>
      <c r="I78" s="326"/>
    </row>
    <row r="79" spans="1:9" ht="12.75">
      <c r="A79" s="468"/>
      <c r="B79" s="484"/>
      <c r="C79" s="161">
        <v>76</v>
      </c>
      <c r="D79" s="162" t="s">
        <v>1198</v>
      </c>
      <c r="E79" s="163" t="s">
        <v>251</v>
      </c>
      <c r="F79" s="49">
        <v>2</v>
      </c>
      <c r="G79" s="166">
        <f t="shared" si="2"/>
        <v>4</v>
      </c>
      <c r="H79" s="125"/>
      <c r="I79" s="326"/>
    </row>
    <row r="80" spans="1:9" ht="12.75">
      <c r="A80" s="468"/>
      <c r="B80" s="484"/>
      <c r="C80" s="164" t="s">
        <v>1200</v>
      </c>
      <c r="D80" s="165" t="s">
        <v>1199</v>
      </c>
      <c r="E80" s="49" t="s">
        <v>251</v>
      </c>
      <c r="F80" s="49">
        <v>2</v>
      </c>
      <c r="G80" s="166">
        <f t="shared" si="2"/>
        <v>4</v>
      </c>
      <c r="H80" s="125"/>
      <c r="I80" s="326"/>
    </row>
    <row r="81" spans="1:9" ht="12.75">
      <c r="A81" s="468"/>
      <c r="B81" s="484"/>
      <c r="C81" s="161">
        <v>77</v>
      </c>
      <c r="D81" s="162" t="s">
        <v>679</v>
      </c>
      <c r="E81" s="163" t="s">
        <v>118</v>
      </c>
      <c r="F81" s="49">
        <v>1</v>
      </c>
      <c r="G81" s="166">
        <f t="shared" si="2"/>
        <v>2</v>
      </c>
      <c r="H81" s="125"/>
      <c r="I81" s="326"/>
    </row>
    <row r="82" spans="1:9" ht="12.75">
      <c r="A82" s="468"/>
      <c r="B82" s="484"/>
      <c r="C82" s="161">
        <v>78</v>
      </c>
      <c r="D82" s="162" t="s">
        <v>681</v>
      </c>
      <c r="E82" s="163" t="s">
        <v>118</v>
      </c>
      <c r="F82" s="49">
        <v>1</v>
      </c>
      <c r="G82" s="166">
        <f t="shared" si="2"/>
        <v>2</v>
      </c>
      <c r="H82" s="125"/>
      <c r="I82" s="326"/>
    </row>
    <row r="83" spans="1:9" ht="12.75">
      <c r="A83" s="468"/>
      <c r="B83" s="484"/>
      <c r="C83" s="161">
        <v>79</v>
      </c>
      <c r="D83" s="162" t="s">
        <v>840</v>
      </c>
      <c r="E83" s="163" t="s">
        <v>303</v>
      </c>
      <c r="F83" s="49">
        <v>1</v>
      </c>
      <c r="G83" s="166">
        <f t="shared" si="2"/>
        <v>2</v>
      </c>
      <c r="H83" s="125"/>
      <c r="I83" s="326"/>
    </row>
    <row r="84" spans="1:9" ht="12.75">
      <c r="A84" s="468"/>
      <c r="B84" s="484"/>
      <c r="C84" s="161">
        <v>80</v>
      </c>
      <c r="D84" s="162" t="s">
        <v>966</v>
      </c>
      <c r="E84" s="163" t="s">
        <v>242</v>
      </c>
      <c r="F84" s="49">
        <v>1</v>
      </c>
      <c r="G84" s="166">
        <f t="shared" si="2"/>
        <v>2</v>
      </c>
      <c r="H84" s="125"/>
      <c r="I84" s="326"/>
    </row>
    <row r="85" spans="1:9" ht="12.75">
      <c r="A85" s="468"/>
      <c r="B85" s="484"/>
      <c r="C85" s="161">
        <v>81</v>
      </c>
      <c r="D85" s="162" t="s">
        <v>696</v>
      </c>
      <c r="E85" s="163"/>
      <c r="F85" s="49">
        <v>1</v>
      </c>
      <c r="G85" s="166">
        <f t="shared" si="2"/>
        <v>2</v>
      </c>
      <c r="H85" s="125"/>
      <c r="I85" s="326"/>
    </row>
    <row r="86" spans="1:9" ht="12.75">
      <c r="A86" s="468"/>
      <c r="B86" s="484"/>
      <c r="C86" s="161">
        <v>82</v>
      </c>
      <c r="D86" s="162" t="s">
        <v>697</v>
      </c>
      <c r="E86" s="163" t="s">
        <v>157</v>
      </c>
      <c r="F86" s="49">
        <v>2</v>
      </c>
      <c r="G86" s="166">
        <f t="shared" si="2"/>
        <v>4</v>
      </c>
      <c r="H86" s="125"/>
      <c r="I86" s="326"/>
    </row>
    <row r="87" spans="1:9" ht="12.75">
      <c r="A87" s="468"/>
      <c r="B87" s="484"/>
      <c r="C87" s="161">
        <v>83</v>
      </c>
      <c r="D87" s="162" t="s">
        <v>967</v>
      </c>
      <c r="E87" s="163"/>
      <c r="F87" s="49">
        <v>1</v>
      </c>
      <c r="G87" s="166">
        <f t="shared" si="2"/>
        <v>2</v>
      </c>
      <c r="H87" s="125"/>
      <c r="I87" s="326"/>
    </row>
    <row r="88" spans="1:9" ht="12.75">
      <c r="A88" s="468"/>
      <c r="B88" s="484"/>
      <c r="C88" s="161">
        <v>84</v>
      </c>
      <c r="D88" s="162" t="s">
        <v>701</v>
      </c>
      <c r="E88" s="163" t="s">
        <v>113</v>
      </c>
      <c r="F88" s="49">
        <v>1</v>
      </c>
      <c r="G88" s="166">
        <f t="shared" si="2"/>
        <v>2</v>
      </c>
      <c r="H88" s="125"/>
      <c r="I88" s="326"/>
    </row>
    <row r="89" spans="1:9" ht="12.75">
      <c r="A89" s="468"/>
      <c r="B89" s="484"/>
      <c r="C89" s="161">
        <v>85</v>
      </c>
      <c r="D89" s="162" t="s">
        <v>703</v>
      </c>
      <c r="E89" s="163" t="s">
        <v>303</v>
      </c>
      <c r="F89" s="49">
        <v>1</v>
      </c>
      <c r="G89" s="166">
        <f t="shared" si="2"/>
        <v>2</v>
      </c>
      <c r="H89" s="125"/>
      <c r="I89" s="326"/>
    </row>
    <row r="90" spans="1:9" ht="12.75">
      <c r="A90" s="468"/>
      <c r="B90" s="484"/>
      <c r="C90" s="161">
        <v>86</v>
      </c>
      <c r="D90" s="162" t="s">
        <v>841</v>
      </c>
      <c r="E90" s="163" t="s">
        <v>257</v>
      </c>
      <c r="F90" s="49">
        <v>1</v>
      </c>
      <c r="G90" s="166">
        <f t="shared" si="2"/>
        <v>2</v>
      </c>
      <c r="H90" s="125"/>
      <c r="I90" s="326"/>
    </row>
    <row r="91" spans="1:9" ht="12.75">
      <c r="A91" s="468"/>
      <c r="B91" s="484"/>
      <c r="C91" s="161">
        <v>87</v>
      </c>
      <c r="D91" s="162" t="s">
        <v>842</v>
      </c>
      <c r="E91" s="163" t="s">
        <v>257</v>
      </c>
      <c r="F91" s="49">
        <v>1</v>
      </c>
      <c r="G91" s="166">
        <f t="shared" si="2"/>
        <v>2</v>
      </c>
      <c r="H91" s="125"/>
      <c r="I91" s="326"/>
    </row>
    <row r="92" spans="1:9" ht="13.5" thickBot="1">
      <c r="A92" s="468"/>
      <c r="B92" s="484"/>
      <c r="C92" s="161">
        <v>88</v>
      </c>
      <c r="D92" s="162" t="s">
        <v>438</v>
      </c>
      <c r="E92" s="163" t="s">
        <v>968</v>
      </c>
      <c r="F92" s="49">
        <v>1</v>
      </c>
      <c r="G92" s="166">
        <f t="shared" si="2"/>
        <v>2</v>
      </c>
      <c r="H92" s="126"/>
      <c r="I92" s="328"/>
    </row>
    <row r="93" spans="1:9" ht="12.75">
      <c r="A93" s="158"/>
      <c r="B93" s="16"/>
      <c r="G93" s="28" t="s">
        <v>770</v>
      </c>
    </row>
    <row r="94" spans="1:9" ht="15.75" customHeight="1">
      <c r="G94" s="30">
        <f>SUM(F4:F91)</f>
        <v>104</v>
      </c>
    </row>
    <row r="95" spans="1:9" ht="15.75" customHeight="1">
      <c r="G95" s="28" t="s">
        <v>773</v>
      </c>
    </row>
    <row r="96" spans="1:9" ht="15.75" customHeight="1">
      <c r="G96" s="30">
        <v>2</v>
      </c>
    </row>
  </sheetData>
  <mergeCells count="3">
    <mergeCell ref="A2:G2"/>
    <mergeCell ref="B4:B92"/>
    <mergeCell ref="A4:A92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22">
    <tabColor rgb="FF00FF00"/>
    <outlinePr summaryBelow="0" summaryRight="0"/>
  </sheetPr>
  <dimension ref="A1:H78"/>
  <sheetViews>
    <sheetView topLeftCell="D1" zoomScale="85" zoomScaleNormal="85" workbookViewId="0">
      <selection activeCell="G3" sqref="G3:H12"/>
    </sheetView>
  </sheetViews>
  <sheetFormatPr defaultColWidth="12.5703125" defaultRowHeight="15.75" customHeight="1"/>
  <cols>
    <col min="1" max="1" width="17" bestFit="1" customWidth="1"/>
    <col min="2" max="2" width="20" customWidth="1"/>
    <col min="3" max="3" width="56" customWidth="1"/>
    <col min="4" max="4" width="24.42578125" customWidth="1"/>
    <col min="6" max="6" width="30" bestFit="1" customWidth="1"/>
    <col min="7" max="7" width="23.140625" customWidth="1"/>
    <col min="8" max="8" width="30.5703125" customWidth="1"/>
  </cols>
  <sheetData>
    <row r="1" spans="1:8" ht="12.75"/>
    <row r="2" spans="1:8" ht="15.75" customHeight="1" thickBot="1">
      <c r="A2" s="53" t="s">
        <v>862</v>
      </c>
      <c r="B2" s="54"/>
      <c r="C2" s="54"/>
      <c r="D2" s="54"/>
      <c r="E2" s="54"/>
      <c r="F2" s="54"/>
    </row>
    <row r="3" spans="1:8" ht="15" customHeight="1">
      <c r="A3" s="38" t="s">
        <v>1035</v>
      </c>
      <c r="B3" s="38" t="s">
        <v>1127</v>
      </c>
      <c r="C3" s="38" t="s">
        <v>747</v>
      </c>
      <c r="D3" s="38" t="s">
        <v>106</v>
      </c>
      <c r="E3" s="38" t="s">
        <v>782</v>
      </c>
      <c r="F3" s="79" t="s">
        <v>769</v>
      </c>
      <c r="G3" s="349" t="s">
        <v>1707</v>
      </c>
      <c r="H3" s="350" t="s">
        <v>1166</v>
      </c>
    </row>
    <row r="4" spans="1:8" ht="12.75">
      <c r="A4" s="544" t="s">
        <v>1162</v>
      </c>
      <c r="B4" s="543" t="s">
        <v>863</v>
      </c>
      <c r="C4" s="3" t="s">
        <v>145</v>
      </c>
      <c r="D4" s="3" t="s">
        <v>800</v>
      </c>
      <c r="E4" s="3">
        <v>2</v>
      </c>
      <c r="F4" s="50">
        <f t="shared" ref="F4:F39" si="0">SUM(E4*$F$43)</f>
        <v>8</v>
      </c>
      <c r="G4" s="390"/>
      <c r="H4" s="391"/>
    </row>
    <row r="5" spans="1:8" ht="12.75">
      <c r="A5" s="545"/>
      <c r="B5" s="543"/>
      <c r="C5" s="3" t="s">
        <v>145</v>
      </c>
      <c r="D5" s="3" t="s">
        <v>811</v>
      </c>
      <c r="E5" s="3">
        <v>2</v>
      </c>
      <c r="F5" s="50">
        <f t="shared" si="0"/>
        <v>8</v>
      </c>
      <c r="G5" s="390"/>
      <c r="H5" s="391"/>
    </row>
    <row r="6" spans="1:8" ht="12.75">
      <c r="A6" s="545"/>
      <c r="B6" s="543"/>
      <c r="C6" s="3" t="s">
        <v>155</v>
      </c>
      <c r="D6" s="3" t="s">
        <v>118</v>
      </c>
      <c r="E6" s="3">
        <v>2</v>
      </c>
      <c r="F6" s="50">
        <f t="shared" si="0"/>
        <v>8</v>
      </c>
      <c r="G6" s="390"/>
      <c r="H6" s="391"/>
    </row>
    <row r="7" spans="1:8" ht="12.75">
      <c r="A7" s="545"/>
      <c r="B7" s="543"/>
      <c r="C7" s="3" t="s">
        <v>849</v>
      </c>
      <c r="D7" s="3" t="s">
        <v>118</v>
      </c>
      <c r="E7" s="3">
        <v>2</v>
      </c>
      <c r="F7" s="50">
        <f t="shared" si="0"/>
        <v>8</v>
      </c>
      <c r="G7" s="390"/>
      <c r="H7" s="391"/>
    </row>
    <row r="8" spans="1:8" ht="12.75">
      <c r="A8" s="545"/>
      <c r="B8" s="543"/>
      <c r="C8" s="4" t="s">
        <v>235</v>
      </c>
      <c r="D8" s="3" t="s">
        <v>236</v>
      </c>
      <c r="E8" s="3">
        <v>1</v>
      </c>
      <c r="F8" s="50">
        <f t="shared" si="0"/>
        <v>4</v>
      </c>
      <c r="G8" s="390"/>
      <c r="H8" s="391"/>
    </row>
    <row r="9" spans="1:8" ht="12.75">
      <c r="A9" s="545"/>
      <c r="B9" s="543"/>
      <c r="C9" s="4" t="s">
        <v>237</v>
      </c>
      <c r="D9" s="3" t="s">
        <v>238</v>
      </c>
      <c r="E9" s="3">
        <v>1</v>
      </c>
      <c r="F9" s="50">
        <f t="shared" si="0"/>
        <v>4</v>
      </c>
      <c r="G9" s="125"/>
      <c r="H9" s="326"/>
    </row>
    <row r="10" spans="1:8" ht="12.75">
      <c r="A10" s="545"/>
      <c r="B10" s="543"/>
      <c r="C10" s="3" t="s">
        <v>239</v>
      </c>
      <c r="D10" s="3" t="s">
        <v>240</v>
      </c>
      <c r="E10" s="3">
        <v>1</v>
      </c>
      <c r="F10" s="50">
        <f t="shared" si="0"/>
        <v>4</v>
      </c>
      <c r="G10" s="125"/>
      <c r="H10" s="326"/>
    </row>
    <row r="11" spans="1:8" ht="12.75">
      <c r="A11" s="545"/>
      <c r="B11" s="543"/>
      <c r="C11" s="9" t="s">
        <v>37</v>
      </c>
      <c r="D11" s="3" t="s">
        <v>245</v>
      </c>
      <c r="E11" s="3">
        <v>1</v>
      </c>
      <c r="F11" s="50">
        <f t="shared" si="0"/>
        <v>4</v>
      </c>
      <c r="G11" s="125"/>
      <c r="H11" s="326"/>
    </row>
    <row r="12" spans="1:8" ht="12.75">
      <c r="A12" s="545"/>
      <c r="B12" s="543"/>
      <c r="C12" s="5" t="s">
        <v>771</v>
      </c>
      <c r="D12" s="5" t="s">
        <v>251</v>
      </c>
      <c r="E12" s="5">
        <v>1</v>
      </c>
      <c r="F12" s="50">
        <f t="shared" si="0"/>
        <v>4</v>
      </c>
      <c r="G12" s="125"/>
      <c r="H12" s="326"/>
    </row>
    <row r="13" spans="1:8" ht="12.75">
      <c r="A13" s="545"/>
      <c r="B13" s="543"/>
      <c r="C13" s="5" t="s">
        <v>252</v>
      </c>
      <c r="D13" s="5" t="s">
        <v>251</v>
      </c>
      <c r="E13" s="5">
        <v>1</v>
      </c>
      <c r="F13" s="50">
        <f t="shared" si="0"/>
        <v>4</v>
      </c>
      <c r="G13" s="125"/>
      <c r="H13" s="326"/>
    </row>
    <row r="14" spans="1:8" ht="12.75">
      <c r="A14" s="545"/>
      <c r="B14" s="543"/>
      <c r="C14" s="5" t="s">
        <v>291</v>
      </c>
      <c r="D14" s="5" t="s">
        <v>293</v>
      </c>
      <c r="E14" s="5">
        <v>1</v>
      </c>
      <c r="F14" s="50">
        <f t="shared" si="0"/>
        <v>4</v>
      </c>
      <c r="G14" s="125"/>
      <c r="H14" s="326"/>
    </row>
    <row r="15" spans="1:8" ht="12.75">
      <c r="A15" s="545"/>
      <c r="B15" s="543"/>
      <c r="C15" s="5" t="s">
        <v>291</v>
      </c>
      <c r="D15" s="5" t="s">
        <v>772</v>
      </c>
      <c r="E15" s="5">
        <v>1</v>
      </c>
      <c r="F15" s="50">
        <f t="shared" si="0"/>
        <v>4</v>
      </c>
      <c r="G15" s="125"/>
      <c r="H15" s="326"/>
    </row>
    <row r="16" spans="1:8" ht="12.75">
      <c r="A16" s="545"/>
      <c r="B16" s="543"/>
      <c r="C16" s="3" t="s">
        <v>456</v>
      </c>
      <c r="D16" s="3" t="s">
        <v>286</v>
      </c>
      <c r="E16" s="3">
        <v>2</v>
      </c>
      <c r="F16" s="50">
        <f t="shared" si="0"/>
        <v>8</v>
      </c>
      <c r="G16" s="125"/>
      <c r="H16" s="326"/>
    </row>
    <row r="17" spans="1:8" ht="12.75">
      <c r="A17" s="545"/>
      <c r="B17" s="543"/>
      <c r="C17" s="3" t="s">
        <v>801</v>
      </c>
      <c r="D17" s="3" t="s">
        <v>251</v>
      </c>
      <c r="E17" s="3">
        <v>1</v>
      </c>
      <c r="F17" s="50">
        <f t="shared" si="0"/>
        <v>4</v>
      </c>
      <c r="G17" s="125"/>
      <c r="H17" s="326"/>
    </row>
    <row r="18" spans="1:8" ht="12.75">
      <c r="A18" s="545"/>
      <c r="B18" s="543"/>
      <c r="C18" s="3" t="s">
        <v>802</v>
      </c>
      <c r="D18" s="3" t="s">
        <v>251</v>
      </c>
      <c r="E18" s="3">
        <v>1</v>
      </c>
      <c r="F18" s="50">
        <f t="shared" si="0"/>
        <v>4</v>
      </c>
      <c r="G18" s="125"/>
      <c r="H18" s="326"/>
    </row>
    <row r="19" spans="1:8" ht="12.75">
      <c r="A19" s="545"/>
      <c r="B19" s="543"/>
      <c r="C19" s="3" t="s">
        <v>526</v>
      </c>
      <c r="D19" s="3" t="s">
        <v>257</v>
      </c>
      <c r="E19" s="3">
        <v>4</v>
      </c>
      <c r="F19" s="50">
        <f t="shared" si="0"/>
        <v>16</v>
      </c>
      <c r="G19" s="125"/>
      <c r="H19" s="326"/>
    </row>
    <row r="20" spans="1:8" ht="12.75">
      <c r="A20" s="545"/>
      <c r="B20" s="543"/>
      <c r="C20" s="5" t="s">
        <v>528</v>
      </c>
      <c r="D20" s="5" t="s">
        <v>242</v>
      </c>
      <c r="E20" s="5">
        <v>2</v>
      </c>
      <c r="F20" s="50">
        <f t="shared" si="0"/>
        <v>8</v>
      </c>
      <c r="G20" s="125"/>
      <c r="H20" s="326"/>
    </row>
    <row r="21" spans="1:8" ht="12.75">
      <c r="A21" s="545"/>
      <c r="B21" s="543"/>
      <c r="C21" s="3" t="s">
        <v>774</v>
      </c>
      <c r="D21" s="3" t="s">
        <v>533</v>
      </c>
      <c r="E21" s="3">
        <v>10</v>
      </c>
      <c r="F21" s="50">
        <f t="shared" si="0"/>
        <v>40</v>
      </c>
      <c r="G21" s="125"/>
      <c r="H21" s="326"/>
    </row>
    <row r="22" spans="1:8" ht="12.75">
      <c r="A22" s="545"/>
      <c r="B22" s="543"/>
      <c r="C22" s="3" t="s">
        <v>778</v>
      </c>
      <c r="D22" s="3" t="s">
        <v>111</v>
      </c>
      <c r="E22" s="3">
        <v>1</v>
      </c>
      <c r="F22" s="50">
        <f t="shared" si="0"/>
        <v>4</v>
      </c>
      <c r="G22" s="125"/>
      <c r="H22" s="326"/>
    </row>
    <row r="23" spans="1:8" ht="12.75">
      <c r="A23" s="545"/>
      <c r="B23" s="543"/>
      <c r="C23" s="5" t="s">
        <v>580</v>
      </c>
      <c r="D23" s="5" t="s">
        <v>242</v>
      </c>
      <c r="E23" s="5">
        <v>2</v>
      </c>
      <c r="F23" s="50">
        <f t="shared" si="0"/>
        <v>8</v>
      </c>
      <c r="G23" s="125"/>
      <c r="H23" s="326"/>
    </row>
    <row r="24" spans="1:8" ht="12.75">
      <c r="A24" s="545"/>
      <c r="B24" s="543"/>
      <c r="C24" s="3" t="s">
        <v>589</v>
      </c>
      <c r="D24" s="3" t="s">
        <v>588</v>
      </c>
      <c r="E24" s="3">
        <v>1</v>
      </c>
      <c r="F24" s="50">
        <f t="shared" si="0"/>
        <v>4</v>
      </c>
      <c r="G24" s="125"/>
      <c r="H24" s="326"/>
    </row>
    <row r="25" spans="1:8" ht="12.75">
      <c r="A25" s="545"/>
      <c r="B25" s="543"/>
      <c r="C25" s="3" t="s">
        <v>610</v>
      </c>
      <c r="D25" s="3" t="s">
        <v>118</v>
      </c>
      <c r="E25" s="3">
        <v>8</v>
      </c>
      <c r="F25" s="50">
        <f t="shared" si="0"/>
        <v>32</v>
      </c>
      <c r="G25" s="125"/>
      <c r="H25" s="326"/>
    </row>
    <row r="26" spans="1:8" ht="12.75">
      <c r="A26" s="545"/>
      <c r="B26" s="543"/>
      <c r="C26" s="3" t="s">
        <v>611</v>
      </c>
      <c r="D26" s="3" t="s">
        <v>118</v>
      </c>
      <c r="E26" s="3">
        <v>4</v>
      </c>
      <c r="F26" s="50">
        <f t="shared" si="0"/>
        <v>16</v>
      </c>
      <c r="G26" s="125"/>
      <c r="H26" s="326"/>
    </row>
    <row r="27" spans="1:8" ht="12.75">
      <c r="A27" s="545"/>
      <c r="B27" s="543"/>
      <c r="C27" s="3" t="s">
        <v>620</v>
      </c>
      <c r="D27" s="3" t="s">
        <v>118</v>
      </c>
      <c r="E27" s="3">
        <v>3</v>
      </c>
      <c r="F27" s="50">
        <f t="shared" si="0"/>
        <v>12</v>
      </c>
      <c r="G27" s="125"/>
      <c r="H27" s="326"/>
    </row>
    <row r="28" spans="1:8" ht="12.75">
      <c r="A28" s="545"/>
      <c r="B28" s="543"/>
      <c r="C28" s="3" t="s">
        <v>662</v>
      </c>
      <c r="D28" s="3" t="s">
        <v>192</v>
      </c>
      <c r="E28" s="3">
        <v>1</v>
      </c>
      <c r="F28" s="50">
        <f t="shared" si="0"/>
        <v>4</v>
      </c>
      <c r="G28" s="125"/>
      <c r="H28" s="326"/>
    </row>
    <row r="29" spans="1:8" ht="12.75">
      <c r="A29" s="545"/>
      <c r="B29" s="543"/>
      <c r="C29" s="3" t="s">
        <v>687</v>
      </c>
      <c r="D29" s="3" t="s">
        <v>113</v>
      </c>
      <c r="E29" s="3">
        <v>1</v>
      </c>
      <c r="F29" s="50">
        <f t="shared" si="0"/>
        <v>4</v>
      </c>
      <c r="G29" s="125"/>
      <c r="H29" s="326"/>
    </row>
    <row r="30" spans="1:8" ht="12.75">
      <c r="A30" s="545"/>
      <c r="B30" s="543"/>
      <c r="C30" s="3" t="s">
        <v>687</v>
      </c>
      <c r="D30" s="3" t="s">
        <v>118</v>
      </c>
      <c r="E30" s="3">
        <v>1</v>
      </c>
      <c r="F30" s="50">
        <f t="shared" si="0"/>
        <v>4</v>
      </c>
      <c r="G30" s="125"/>
      <c r="H30" s="326"/>
    </row>
    <row r="31" spans="1:8" ht="12.75">
      <c r="A31" s="545"/>
      <c r="B31" s="543"/>
      <c r="C31" s="3" t="s">
        <v>687</v>
      </c>
      <c r="D31" s="3" t="s">
        <v>157</v>
      </c>
      <c r="E31" s="3">
        <v>1</v>
      </c>
      <c r="F31" s="50">
        <f t="shared" si="0"/>
        <v>4</v>
      </c>
      <c r="G31" s="125"/>
      <c r="H31" s="326"/>
    </row>
    <row r="32" spans="1:8" ht="12.75">
      <c r="A32" s="545"/>
      <c r="B32" s="543"/>
      <c r="C32" s="3" t="s">
        <v>688</v>
      </c>
      <c r="D32" s="3" t="s">
        <v>157</v>
      </c>
      <c r="E32" s="3">
        <v>1</v>
      </c>
      <c r="F32" s="50">
        <f t="shared" si="0"/>
        <v>4</v>
      </c>
      <c r="G32" s="125"/>
      <c r="H32" s="326"/>
    </row>
    <row r="33" spans="1:8" ht="12.75">
      <c r="A33" s="545"/>
      <c r="B33" s="543"/>
      <c r="C33" s="3" t="s">
        <v>845</v>
      </c>
      <c r="D33" s="3" t="s">
        <v>242</v>
      </c>
      <c r="E33" s="3">
        <v>1</v>
      </c>
      <c r="F33" s="50">
        <f t="shared" si="0"/>
        <v>4</v>
      </c>
      <c r="G33" s="125"/>
      <c r="H33" s="326"/>
    </row>
    <row r="34" spans="1:8" ht="12.75">
      <c r="A34" s="545"/>
      <c r="B34" s="543"/>
      <c r="C34" s="5" t="s">
        <v>708</v>
      </c>
      <c r="D34" s="5" t="s">
        <v>113</v>
      </c>
      <c r="E34" s="5">
        <v>1</v>
      </c>
      <c r="F34" s="50">
        <f t="shared" si="0"/>
        <v>4</v>
      </c>
      <c r="G34" s="125"/>
      <c r="H34" s="326"/>
    </row>
    <row r="35" spans="1:8" ht="12.75">
      <c r="A35" s="545"/>
      <c r="B35" s="543"/>
      <c r="C35" s="5" t="s">
        <v>710</v>
      </c>
      <c r="D35" s="5" t="s">
        <v>303</v>
      </c>
      <c r="E35" s="5">
        <v>1</v>
      </c>
      <c r="F35" s="50">
        <f t="shared" si="0"/>
        <v>4</v>
      </c>
      <c r="G35" s="125"/>
      <c r="H35" s="326"/>
    </row>
    <row r="36" spans="1:8" ht="12.75">
      <c r="A36" s="545"/>
      <c r="B36" s="543"/>
      <c r="C36" s="5" t="s">
        <v>713</v>
      </c>
      <c r="D36" s="5" t="s">
        <v>303</v>
      </c>
      <c r="E36" s="5">
        <v>1</v>
      </c>
      <c r="F36" s="50">
        <f t="shared" si="0"/>
        <v>4</v>
      </c>
      <c r="G36" s="125"/>
      <c r="H36" s="326"/>
    </row>
    <row r="37" spans="1:8" ht="12.75">
      <c r="A37" s="545"/>
      <c r="B37" s="543"/>
      <c r="C37" s="5" t="s">
        <v>716</v>
      </c>
      <c r="D37" s="5" t="s">
        <v>113</v>
      </c>
      <c r="E37" s="5">
        <v>1</v>
      </c>
      <c r="F37" s="50">
        <f t="shared" si="0"/>
        <v>4</v>
      </c>
      <c r="G37" s="125"/>
      <c r="H37" s="326"/>
    </row>
    <row r="38" spans="1:8" ht="12.75">
      <c r="A38" s="545"/>
      <c r="B38" s="543"/>
      <c r="C38" s="5" t="s">
        <v>716</v>
      </c>
      <c r="D38" s="5" t="s">
        <v>242</v>
      </c>
      <c r="E38" s="5">
        <v>1</v>
      </c>
      <c r="F38" s="50">
        <f t="shared" si="0"/>
        <v>4</v>
      </c>
      <c r="G38" s="125"/>
      <c r="H38" s="326"/>
    </row>
    <row r="39" spans="1:8" ht="13.5" thickBot="1">
      <c r="A39" s="545"/>
      <c r="B39" s="543"/>
      <c r="C39" s="5" t="s">
        <v>438</v>
      </c>
      <c r="D39" s="3" t="s">
        <v>441</v>
      </c>
      <c r="E39" s="5">
        <v>1</v>
      </c>
      <c r="F39" s="50">
        <f t="shared" si="0"/>
        <v>4</v>
      </c>
      <c r="G39" s="126"/>
      <c r="H39" s="328"/>
    </row>
    <row r="40" spans="1:8" ht="12.75">
      <c r="C40" s="1"/>
      <c r="D40" s="1"/>
      <c r="E40" s="1"/>
      <c r="F40" s="39" t="s">
        <v>770</v>
      </c>
    </row>
    <row r="41" spans="1:8" ht="15.75" customHeight="1">
      <c r="F41" s="7">
        <f>SUM(E4:E38)</f>
        <v>66</v>
      </c>
    </row>
    <row r="42" spans="1:8" ht="15.75" customHeight="1">
      <c r="F42" s="12" t="s">
        <v>773</v>
      </c>
    </row>
    <row r="43" spans="1:8" ht="15.75" customHeight="1">
      <c r="F43" s="7">
        <v>4</v>
      </c>
    </row>
    <row r="71" spans="3:5" ht="12.75">
      <c r="C71" s="1" t="s">
        <v>864</v>
      </c>
      <c r="E71" s="1">
        <v>2</v>
      </c>
    </row>
    <row r="77" spans="3:5" ht="12.75">
      <c r="C77" s="1" t="s">
        <v>865</v>
      </c>
      <c r="E77" s="1">
        <v>1</v>
      </c>
    </row>
    <row r="78" spans="3:5" ht="12.75">
      <c r="C78" s="1" t="s">
        <v>866</v>
      </c>
      <c r="E78" s="1">
        <v>2</v>
      </c>
    </row>
  </sheetData>
  <mergeCells count="2">
    <mergeCell ref="B4:B39"/>
    <mergeCell ref="A4:A39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FF00"/>
    <outlinePr summaryBelow="0" summaryRight="0"/>
  </sheetPr>
  <dimension ref="A1:G74"/>
  <sheetViews>
    <sheetView zoomScale="85" zoomScaleNormal="85" workbookViewId="0">
      <selection activeCell="F3" sqref="F3:G15"/>
    </sheetView>
  </sheetViews>
  <sheetFormatPr defaultColWidth="12.5703125" defaultRowHeight="15.75" customHeight="1"/>
  <cols>
    <col min="1" max="1" width="20" customWidth="1"/>
    <col min="2" max="2" width="56" customWidth="1"/>
    <col min="3" max="3" width="24.42578125" customWidth="1"/>
    <col min="5" max="5" width="30" bestFit="1" customWidth="1"/>
    <col min="6" max="7" width="35.140625" customWidth="1"/>
  </cols>
  <sheetData>
    <row r="1" spans="1:7" ht="12.75"/>
    <row r="2" spans="1:7" ht="15.75" customHeight="1" thickBot="1">
      <c r="A2" s="529"/>
      <c r="B2" s="529"/>
      <c r="C2" s="529"/>
      <c r="D2" s="529"/>
      <c r="E2" s="529"/>
      <c r="F2" s="529"/>
      <c r="G2" s="529"/>
    </row>
    <row r="3" spans="1:7" ht="15" customHeight="1">
      <c r="A3" s="38" t="s">
        <v>1127</v>
      </c>
      <c r="B3" s="38" t="s">
        <v>747</v>
      </c>
      <c r="C3" s="38" t="s">
        <v>106</v>
      </c>
      <c r="D3" s="38" t="s">
        <v>782</v>
      </c>
      <c r="E3" s="79" t="s">
        <v>769</v>
      </c>
      <c r="F3" s="349" t="s">
        <v>1707</v>
      </c>
      <c r="G3" s="350" t="s">
        <v>1166</v>
      </c>
    </row>
    <row r="4" spans="1:7" ht="12.75">
      <c r="A4" s="543" t="s">
        <v>1205</v>
      </c>
      <c r="B4" s="3" t="s">
        <v>1657</v>
      </c>
      <c r="C4" s="3" t="s">
        <v>246</v>
      </c>
      <c r="D4" s="302">
        <v>1</v>
      </c>
      <c r="E4" s="166">
        <f>D4*$E$39</f>
        <v>3</v>
      </c>
      <c r="F4" s="390"/>
      <c r="G4" s="391"/>
    </row>
    <row r="5" spans="1:7" ht="12.75">
      <c r="A5" s="543"/>
      <c r="B5" s="3" t="s">
        <v>1658</v>
      </c>
      <c r="C5" s="3" t="s">
        <v>118</v>
      </c>
      <c r="D5" s="302">
        <v>1</v>
      </c>
      <c r="E5" s="166">
        <f t="shared" ref="E5:E35" si="0">D5*$E$39</f>
        <v>3</v>
      </c>
      <c r="F5" s="390"/>
      <c r="G5" s="391"/>
    </row>
    <row r="6" spans="1:7" ht="12.75">
      <c r="A6" s="543"/>
      <c r="B6" s="3"/>
      <c r="C6" s="3"/>
      <c r="D6" s="302">
        <v>1</v>
      </c>
      <c r="E6" s="166">
        <f t="shared" si="0"/>
        <v>3</v>
      </c>
      <c r="F6" s="390"/>
      <c r="G6" s="391"/>
    </row>
    <row r="7" spans="1:7" ht="12.75">
      <c r="A7" s="543"/>
      <c r="B7" s="3" t="s">
        <v>1659</v>
      </c>
      <c r="C7" s="3" t="s">
        <v>261</v>
      </c>
      <c r="D7" s="302">
        <v>1</v>
      </c>
      <c r="E7" s="166">
        <f t="shared" si="0"/>
        <v>3</v>
      </c>
      <c r="F7" s="390"/>
      <c r="G7" s="391"/>
    </row>
    <row r="8" spans="1:7" ht="12.75">
      <c r="A8" s="543"/>
      <c r="B8" s="3" t="s">
        <v>1660</v>
      </c>
      <c r="C8" s="3" t="s">
        <v>118</v>
      </c>
      <c r="D8" s="302">
        <v>1</v>
      </c>
      <c r="E8" s="166">
        <f t="shared" si="0"/>
        <v>3</v>
      </c>
      <c r="F8" s="390"/>
      <c r="G8" s="391"/>
    </row>
    <row r="9" spans="1:7" ht="12.75">
      <c r="A9" s="543"/>
      <c r="B9" s="3" t="s">
        <v>1661</v>
      </c>
      <c r="C9" s="3" t="s">
        <v>157</v>
      </c>
      <c r="D9" s="302">
        <v>1</v>
      </c>
      <c r="E9" s="166">
        <f t="shared" si="0"/>
        <v>3</v>
      </c>
      <c r="F9" s="125"/>
      <c r="G9" s="326"/>
    </row>
    <row r="10" spans="1:7" ht="12.75">
      <c r="A10" s="543"/>
      <c r="B10" s="3" t="s">
        <v>1662</v>
      </c>
      <c r="C10" s="3" t="s">
        <v>1686</v>
      </c>
      <c r="D10" s="302">
        <v>1</v>
      </c>
      <c r="E10" s="166">
        <f t="shared" si="0"/>
        <v>3</v>
      </c>
      <c r="F10" s="125"/>
      <c r="G10" s="326"/>
    </row>
    <row r="11" spans="1:7" ht="12.75">
      <c r="A11" s="543"/>
      <c r="B11" s="3" t="s">
        <v>1663</v>
      </c>
      <c r="C11" s="3" t="s">
        <v>157</v>
      </c>
      <c r="D11" s="302">
        <v>1</v>
      </c>
      <c r="E11" s="166">
        <f t="shared" si="0"/>
        <v>3</v>
      </c>
      <c r="F11" s="125"/>
      <c r="G11" s="326"/>
    </row>
    <row r="12" spans="1:7" ht="12.75">
      <c r="A12" s="543"/>
      <c r="B12" s="3" t="s">
        <v>1664</v>
      </c>
      <c r="C12" s="3" t="s">
        <v>118</v>
      </c>
      <c r="D12" s="302">
        <v>1</v>
      </c>
      <c r="E12" s="166">
        <f t="shared" si="0"/>
        <v>3</v>
      </c>
      <c r="F12" s="125"/>
      <c r="G12" s="326"/>
    </row>
    <row r="13" spans="1:7" ht="12.75">
      <c r="A13" s="543"/>
      <c r="B13" s="3" t="s">
        <v>1665</v>
      </c>
      <c r="C13" s="3" t="s">
        <v>118</v>
      </c>
      <c r="D13" s="302">
        <v>1</v>
      </c>
      <c r="E13" s="166">
        <f t="shared" si="0"/>
        <v>3</v>
      </c>
      <c r="F13" s="125"/>
      <c r="G13" s="326"/>
    </row>
    <row r="14" spans="1:7" ht="12.75">
      <c r="A14" s="543"/>
      <c r="B14" s="3" t="s">
        <v>1666</v>
      </c>
      <c r="C14" s="3" t="s">
        <v>535</v>
      </c>
      <c r="D14" s="302">
        <v>1</v>
      </c>
      <c r="E14" s="166">
        <f t="shared" si="0"/>
        <v>3</v>
      </c>
      <c r="F14" s="125"/>
      <c r="G14" s="326"/>
    </row>
    <row r="15" spans="1:7" ht="12.75">
      <c r="A15" s="543"/>
      <c r="B15" s="3" t="s">
        <v>1667</v>
      </c>
      <c r="C15" s="3" t="s">
        <v>251</v>
      </c>
      <c r="D15" s="302">
        <v>1</v>
      </c>
      <c r="E15" s="166">
        <f t="shared" si="0"/>
        <v>3</v>
      </c>
      <c r="F15" s="125"/>
      <c r="G15" s="326"/>
    </row>
    <row r="16" spans="1:7" ht="12.75">
      <c r="A16" s="543"/>
      <c r="B16" s="3" t="s">
        <v>1668</v>
      </c>
      <c r="C16" s="3" t="s">
        <v>251</v>
      </c>
      <c r="D16" s="302">
        <v>1</v>
      </c>
      <c r="E16" s="166">
        <f t="shared" si="0"/>
        <v>3</v>
      </c>
      <c r="F16" s="125"/>
      <c r="G16" s="326"/>
    </row>
    <row r="17" spans="1:7" ht="12.75">
      <c r="A17" s="543"/>
      <c r="B17" s="3" t="s">
        <v>1669</v>
      </c>
      <c r="C17" s="3" t="s">
        <v>251</v>
      </c>
      <c r="D17" s="302">
        <v>1</v>
      </c>
      <c r="E17" s="166">
        <f t="shared" si="0"/>
        <v>3</v>
      </c>
      <c r="F17" s="125"/>
      <c r="G17" s="326"/>
    </row>
    <row r="18" spans="1:7" ht="12.75">
      <c r="A18" s="543"/>
      <c r="B18" s="3" t="s">
        <v>1670</v>
      </c>
      <c r="C18" s="3" t="s">
        <v>535</v>
      </c>
      <c r="D18" s="302">
        <v>1</v>
      </c>
      <c r="E18" s="166">
        <f t="shared" si="0"/>
        <v>3</v>
      </c>
      <c r="F18" s="125"/>
      <c r="G18" s="326"/>
    </row>
    <row r="19" spans="1:7" ht="12.75">
      <c r="A19" s="543"/>
      <c r="B19" s="3" t="s">
        <v>1671</v>
      </c>
      <c r="C19" s="3" t="s">
        <v>535</v>
      </c>
      <c r="D19" s="302">
        <v>1</v>
      </c>
      <c r="E19" s="166">
        <f t="shared" si="0"/>
        <v>3</v>
      </c>
      <c r="F19" s="125"/>
      <c r="G19" s="326"/>
    </row>
    <row r="20" spans="1:7" ht="12.75">
      <c r="A20" s="543"/>
      <c r="B20" s="3" t="s">
        <v>1672</v>
      </c>
      <c r="C20" s="3" t="s">
        <v>257</v>
      </c>
      <c r="D20" s="302">
        <v>1</v>
      </c>
      <c r="E20" s="166">
        <f t="shared" si="0"/>
        <v>3</v>
      </c>
      <c r="F20" s="125"/>
      <c r="G20" s="326"/>
    </row>
    <row r="21" spans="1:7" ht="12.75">
      <c r="A21" s="543"/>
      <c r="B21" s="3" t="s">
        <v>1673</v>
      </c>
      <c r="C21" s="3" t="s">
        <v>116</v>
      </c>
      <c r="D21" s="302">
        <v>1</v>
      </c>
      <c r="E21" s="166">
        <f t="shared" si="0"/>
        <v>3</v>
      </c>
      <c r="F21" s="125"/>
      <c r="G21" s="326"/>
    </row>
    <row r="22" spans="1:7" ht="12.75">
      <c r="A22" s="543"/>
      <c r="B22" s="3" t="s">
        <v>1674</v>
      </c>
      <c r="C22" s="3" t="s">
        <v>251</v>
      </c>
      <c r="D22" s="302">
        <v>1</v>
      </c>
      <c r="E22" s="166">
        <f t="shared" si="0"/>
        <v>3</v>
      </c>
      <c r="F22" s="125"/>
      <c r="G22" s="326"/>
    </row>
    <row r="23" spans="1:7" ht="12.75">
      <c r="A23" s="543"/>
      <c r="B23" s="3" t="s">
        <v>1675</v>
      </c>
      <c r="C23" s="3" t="s">
        <v>533</v>
      </c>
      <c r="D23" s="302">
        <v>2</v>
      </c>
      <c r="E23" s="166">
        <f t="shared" si="0"/>
        <v>6</v>
      </c>
      <c r="F23" s="125"/>
      <c r="G23" s="326"/>
    </row>
    <row r="24" spans="1:7" ht="12.75">
      <c r="A24" s="543"/>
      <c r="B24" s="3" t="s">
        <v>1676</v>
      </c>
      <c r="C24" s="3" t="s">
        <v>251</v>
      </c>
      <c r="D24" s="302">
        <v>2</v>
      </c>
      <c r="E24" s="166">
        <f t="shared" si="0"/>
        <v>6</v>
      </c>
      <c r="F24" s="125"/>
      <c r="G24" s="326"/>
    </row>
    <row r="25" spans="1:7" ht="12.75">
      <c r="A25" s="543"/>
      <c r="B25" s="3" t="s">
        <v>1677</v>
      </c>
      <c r="C25" s="3" t="s">
        <v>535</v>
      </c>
      <c r="D25" s="302">
        <v>1</v>
      </c>
      <c r="E25" s="166">
        <f t="shared" si="0"/>
        <v>3</v>
      </c>
      <c r="F25" s="125"/>
      <c r="G25" s="326"/>
    </row>
    <row r="26" spans="1:7" ht="12.75">
      <c r="A26" s="543"/>
      <c r="B26" s="3" t="s">
        <v>1678</v>
      </c>
      <c r="C26" s="3" t="s">
        <v>118</v>
      </c>
      <c r="D26" s="302">
        <v>1</v>
      </c>
      <c r="E26" s="166">
        <f t="shared" si="0"/>
        <v>3</v>
      </c>
      <c r="F26" s="125"/>
      <c r="G26" s="326"/>
    </row>
    <row r="27" spans="1:7" ht="12.75">
      <c r="A27" s="543"/>
      <c r="B27" s="3" t="s">
        <v>1679</v>
      </c>
      <c r="C27" s="3" t="s">
        <v>1687</v>
      </c>
      <c r="D27" s="302">
        <v>1</v>
      </c>
      <c r="E27" s="166">
        <f t="shared" si="0"/>
        <v>3</v>
      </c>
      <c r="F27" s="125"/>
      <c r="G27" s="326"/>
    </row>
    <row r="28" spans="1:7" ht="12.75">
      <c r="A28" s="543"/>
      <c r="B28" s="3" t="s">
        <v>1680</v>
      </c>
      <c r="C28" s="3" t="s">
        <v>533</v>
      </c>
      <c r="D28" s="302">
        <v>1</v>
      </c>
      <c r="E28" s="166">
        <f t="shared" si="0"/>
        <v>3</v>
      </c>
      <c r="F28" s="125"/>
      <c r="G28" s="326"/>
    </row>
    <row r="29" spans="1:7" ht="12.75">
      <c r="A29" s="543"/>
      <c r="B29" s="3" t="s">
        <v>1681</v>
      </c>
      <c r="C29" s="3" t="s">
        <v>251</v>
      </c>
      <c r="D29" s="302">
        <v>1</v>
      </c>
      <c r="E29" s="166">
        <f t="shared" si="0"/>
        <v>3</v>
      </c>
      <c r="F29" s="125"/>
      <c r="G29" s="326"/>
    </row>
    <row r="30" spans="1:7" ht="12.75">
      <c r="A30" s="543"/>
      <c r="B30" s="3" t="s">
        <v>1682</v>
      </c>
      <c r="C30" s="3" t="s">
        <v>251</v>
      </c>
      <c r="D30" s="302">
        <v>1</v>
      </c>
      <c r="E30" s="166">
        <f t="shared" si="0"/>
        <v>3</v>
      </c>
      <c r="F30" s="125"/>
      <c r="G30" s="326"/>
    </row>
    <row r="31" spans="1:7" ht="12.75">
      <c r="A31" s="543"/>
      <c r="B31" s="3" t="s">
        <v>708</v>
      </c>
      <c r="C31" s="3" t="s">
        <v>113</v>
      </c>
      <c r="D31" s="302">
        <v>1</v>
      </c>
      <c r="E31" s="166">
        <f t="shared" si="0"/>
        <v>3</v>
      </c>
      <c r="F31" s="125"/>
      <c r="G31" s="326"/>
    </row>
    <row r="32" spans="1:7" ht="12.75">
      <c r="A32" s="543"/>
      <c r="B32" s="3" t="s">
        <v>1683</v>
      </c>
      <c r="C32" s="3" t="s">
        <v>113</v>
      </c>
      <c r="D32" s="302">
        <v>1</v>
      </c>
      <c r="E32" s="166">
        <f t="shared" si="0"/>
        <v>3</v>
      </c>
      <c r="F32" s="125"/>
      <c r="G32" s="326"/>
    </row>
    <row r="33" spans="1:7" ht="12.75">
      <c r="A33" s="543"/>
      <c r="B33" s="3" t="s">
        <v>1684</v>
      </c>
      <c r="C33" s="3" t="s">
        <v>1585</v>
      </c>
      <c r="D33" s="302">
        <v>1</v>
      </c>
      <c r="E33" s="166">
        <f t="shared" si="0"/>
        <v>3</v>
      </c>
      <c r="F33" s="125"/>
      <c r="G33" s="326"/>
    </row>
    <row r="34" spans="1:7" ht="12.75">
      <c r="A34" s="543"/>
      <c r="B34" s="3" t="s">
        <v>1685</v>
      </c>
      <c r="C34" s="3" t="s">
        <v>1688</v>
      </c>
      <c r="D34" s="302">
        <v>1</v>
      </c>
      <c r="E34" s="166">
        <f t="shared" si="0"/>
        <v>3</v>
      </c>
      <c r="F34" s="125"/>
      <c r="G34" s="326"/>
    </row>
    <row r="35" spans="1:7" ht="13.5" thickBot="1">
      <c r="A35" s="543"/>
      <c r="B35" s="3" t="s">
        <v>438</v>
      </c>
      <c r="C35" s="3" t="s">
        <v>1689</v>
      </c>
      <c r="D35" s="302">
        <v>1</v>
      </c>
      <c r="E35" s="166">
        <f t="shared" si="0"/>
        <v>3</v>
      </c>
      <c r="F35" s="126"/>
      <c r="G35" s="328"/>
    </row>
    <row r="36" spans="1:7" ht="12.75">
      <c r="B36" s="1"/>
      <c r="C36" s="1"/>
      <c r="D36" s="1"/>
      <c r="E36" s="39" t="s">
        <v>770</v>
      </c>
    </row>
    <row r="37" spans="1:7" ht="15.75" customHeight="1">
      <c r="E37" s="7">
        <v>30</v>
      </c>
    </row>
    <row r="38" spans="1:7" ht="15.75" customHeight="1">
      <c r="E38" s="12" t="s">
        <v>773</v>
      </c>
    </row>
    <row r="39" spans="1:7" ht="15.75" customHeight="1">
      <c r="E39" s="7">
        <v>3</v>
      </c>
    </row>
    <row r="67" spans="2:4" ht="12.75">
      <c r="B67" s="1" t="s">
        <v>864</v>
      </c>
      <c r="D67" s="1">
        <v>2</v>
      </c>
    </row>
    <row r="73" spans="2:4" ht="12.75">
      <c r="B73" s="1" t="s">
        <v>865</v>
      </c>
      <c r="D73" s="1">
        <v>1</v>
      </c>
    </row>
    <row r="74" spans="2:4" ht="12.75">
      <c r="B74" s="1" t="s">
        <v>866</v>
      </c>
      <c r="D74" s="1">
        <v>2</v>
      </c>
    </row>
  </sheetData>
  <mergeCells count="2">
    <mergeCell ref="A4:A35"/>
    <mergeCell ref="A2:G2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25">
    <tabColor rgb="FF00FF00"/>
  </sheetPr>
  <dimension ref="B2:C40"/>
  <sheetViews>
    <sheetView topLeftCell="A4" workbookViewId="0">
      <selection activeCell="C5" sqref="C5:C23"/>
    </sheetView>
  </sheetViews>
  <sheetFormatPr defaultRowHeight="12.75"/>
  <cols>
    <col min="1" max="1" width="5.140625" customWidth="1"/>
    <col min="2" max="2" width="17.85546875" bestFit="1" customWidth="1"/>
    <col min="3" max="3" width="28.5703125" bestFit="1" customWidth="1"/>
  </cols>
  <sheetData>
    <row r="2" spans="2:3" ht="15">
      <c r="B2" s="546" t="s">
        <v>970</v>
      </c>
      <c r="C2" s="546"/>
    </row>
    <row r="3" spans="2:3" ht="15">
      <c r="B3" s="26" t="s">
        <v>971</v>
      </c>
      <c r="C3" s="27" t="s">
        <v>972</v>
      </c>
    </row>
    <row r="4" spans="2:3" ht="15">
      <c r="B4" s="26" t="s">
        <v>973</v>
      </c>
      <c r="C4" s="27" t="s">
        <v>974</v>
      </c>
    </row>
    <row r="5" spans="2:3" ht="15">
      <c r="B5" s="26" t="s">
        <v>1033</v>
      </c>
      <c r="C5" s="27" t="s">
        <v>1032</v>
      </c>
    </row>
    <row r="6" spans="2:3" ht="15">
      <c r="B6" s="26" t="s">
        <v>983</v>
      </c>
      <c r="C6" s="27" t="s">
        <v>984</v>
      </c>
    </row>
    <row r="7" spans="2:3" ht="15">
      <c r="B7" s="26" t="s">
        <v>1018</v>
      </c>
      <c r="C7" s="27" t="s">
        <v>1001</v>
      </c>
    </row>
    <row r="8" spans="2:3" ht="15">
      <c r="B8" s="26" t="s">
        <v>1126</v>
      </c>
      <c r="C8" s="27" t="s">
        <v>1002</v>
      </c>
    </row>
    <row r="9" spans="2:3" ht="15">
      <c r="B9" s="26" t="s">
        <v>1024</v>
      </c>
      <c r="C9" s="27" t="s">
        <v>1003</v>
      </c>
    </row>
    <row r="10" spans="2:3" ht="15">
      <c r="B10" s="26" t="s">
        <v>1025</v>
      </c>
      <c r="C10" s="27" t="s">
        <v>1004</v>
      </c>
    </row>
    <row r="11" spans="2:3" ht="15">
      <c r="B11" s="26" t="s">
        <v>1026</v>
      </c>
      <c r="C11" s="27" t="s">
        <v>1005</v>
      </c>
    </row>
    <row r="12" spans="2:3" ht="15">
      <c r="B12" s="26" t="s">
        <v>1019</v>
      </c>
      <c r="C12" s="27" t="s">
        <v>1006</v>
      </c>
    </row>
    <row r="13" spans="2:3" ht="15">
      <c r="B13" s="26" t="s">
        <v>1165</v>
      </c>
      <c r="C13" s="27" t="s">
        <v>1007</v>
      </c>
    </row>
    <row r="14" spans="2:3" ht="15">
      <c r="B14" s="26" t="s">
        <v>1027</v>
      </c>
      <c r="C14" s="27" t="s">
        <v>1008</v>
      </c>
    </row>
    <row r="15" spans="2:3" ht="15">
      <c r="B15" s="26" t="s">
        <v>1028</v>
      </c>
      <c r="C15" s="27" t="s">
        <v>1009</v>
      </c>
    </row>
    <row r="16" spans="2:3" ht="15">
      <c r="B16" s="26" t="s">
        <v>1150</v>
      </c>
      <c r="C16" s="27" t="s">
        <v>1010</v>
      </c>
    </row>
    <row r="17" spans="2:3" ht="15">
      <c r="B17" s="26" t="s">
        <v>1020</v>
      </c>
      <c r="C17" s="27" t="s">
        <v>1011</v>
      </c>
    </row>
    <row r="18" spans="2:3" ht="15">
      <c r="B18" s="26" t="s">
        <v>1021</v>
      </c>
      <c r="C18" s="27" t="s">
        <v>1012</v>
      </c>
    </row>
    <row r="19" spans="2:3" ht="15">
      <c r="B19" s="26" t="s">
        <v>1022</v>
      </c>
      <c r="C19" s="27" t="s">
        <v>1013</v>
      </c>
    </row>
    <row r="20" spans="2:3" ht="15">
      <c r="B20" s="26" t="s">
        <v>1023</v>
      </c>
      <c r="C20" s="27" t="s">
        <v>1014</v>
      </c>
    </row>
    <row r="21" spans="2:3" ht="15">
      <c r="B21" s="26" t="s">
        <v>1029</v>
      </c>
      <c r="C21" s="27" t="s">
        <v>1015</v>
      </c>
    </row>
    <row r="22" spans="2:3" ht="15">
      <c r="B22" s="26" t="s">
        <v>1030</v>
      </c>
      <c r="C22" s="27" t="s">
        <v>1016</v>
      </c>
    </row>
    <row r="23" spans="2:3" ht="15">
      <c r="B23" s="26" t="s">
        <v>1031</v>
      </c>
      <c r="C23" s="27" t="s">
        <v>1017</v>
      </c>
    </row>
    <row r="25" spans="2:3" ht="15">
      <c r="B25" s="546" t="s">
        <v>970</v>
      </c>
      <c r="C25" s="546"/>
    </row>
    <row r="26" spans="2:3" ht="15">
      <c r="B26" s="26" t="s">
        <v>971</v>
      </c>
      <c r="C26" s="27" t="s">
        <v>972</v>
      </c>
    </row>
    <row r="27" spans="2:3" ht="15">
      <c r="B27" s="26" t="s">
        <v>973</v>
      </c>
      <c r="C27" s="27" t="s">
        <v>974</v>
      </c>
    </row>
    <row r="28" spans="2:3" ht="15">
      <c r="B28" s="26" t="s">
        <v>975</v>
      </c>
      <c r="C28" s="27" t="s">
        <v>976</v>
      </c>
    </row>
    <row r="29" spans="2:3" ht="15">
      <c r="B29" s="26" t="s">
        <v>977</v>
      </c>
      <c r="C29" s="27" t="s">
        <v>978</v>
      </c>
    </row>
    <row r="30" spans="2:3" ht="15">
      <c r="B30" s="26" t="s">
        <v>979</v>
      </c>
      <c r="C30" s="27" t="s">
        <v>980</v>
      </c>
    </row>
    <row r="31" spans="2:3" ht="15">
      <c r="B31" s="26" t="s">
        <v>981</v>
      </c>
      <c r="C31" s="27" t="s">
        <v>982</v>
      </c>
    </row>
    <row r="32" spans="2:3" ht="15">
      <c r="B32" s="26" t="s">
        <v>983</v>
      </c>
      <c r="C32" s="27" t="s">
        <v>984</v>
      </c>
    </row>
    <row r="33" spans="2:3" ht="15">
      <c r="B33" s="26" t="s">
        <v>985</v>
      </c>
      <c r="C33" s="27" t="s">
        <v>986</v>
      </c>
    </row>
    <row r="34" spans="2:3" ht="15">
      <c r="B34" s="26" t="s">
        <v>987</v>
      </c>
      <c r="C34" s="27" t="s">
        <v>988</v>
      </c>
    </row>
    <row r="35" spans="2:3" ht="15">
      <c r="B35" s="26" t="s">
        <v>989</v>
      </c>
      <c r="C35" s="27" t="s">
        <v>990</v>
      </c>
    </row>
    <row r="36" spans="2:3" ht="15">
      <c r="B36" s="26" t="s">
        <v>991</v>
      </c>
      <c r="C36" s="27" t="s">
        <v>992</v>
      </c>
    </row>
    <row r="37" spans="2:3" ht="15">
      <c r="B37" s="26" t="s">
        <v>993</v>
      </c>
      <c r="C37" s="27" t="s">
        <v>994</v>
      </c>
    </row>
    <row r="38" spans="2:3" ht="15">
      <c r="B38" s="26" t="s">
        <v>995</v>
      </c>
      <c r="C38" s="27" t="s">
        <v>996</v>
      </c>
    </row>
    <row r="39" spans="2:3" ht="15">
      <c r="B39" s="26" t="s">
        <v>997</v>
      </c>
      <c r="C39" s="27" t="s">
        <v>998</v>
      </c>
    </row>
    <row r="40" spans="2:3" ht="15">
      <c r="B40" s="26" t="s">
        <v>999</v>
      </c>
      <c r="C40" s="27" t="s">
        <v>1000</v>
      </c>
    </row>
  </sheetData>
  <mergeCells count="2">
    <mergeCell ref="B2:C2"/>
    <mergeCell ref="B25:C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 Mat avulso Conjuntos pequenos</vt:lpstr>
      <vt:lpstr>Caixas Peq Amb</vt:lpstr>
      <vt:lpstr>Geral</vt:lpstr>
      <vt:lpstr>Gastro</vt:lpstr>
      <vt:lpstr>Gineco</vt:lpstr>
      <vt:lpstr>Procto</vt:lpstr>
      <vt:lpstr>Urolog</vt:lpstr>
      <vt:lpstr>Torax</vt:lpstr>
      <vt:lpstr>Cab e Pes</vt:lpstr>
      <vt:lpstr>Neuro</vt:lpstr>
      <vt:lpstr>Cardio</vt:lpstr>
      <vt:lpstr>Ortop</vt:lpstr>
      <vt:lpstr>Otorri</vt:lpstr>
      <vt:lpstr>Vasc</vt:lpstr>
      <vt:lpstr>Pediat</vt:lpstr>
      <vt:lpstr>Buco</vt:lpstr>
      <vt:lpstr>Masto</vt:lpstr>
      <vt:lpstr>Oftalmo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GPH- Gisela Viana Pereira</dc:creator>
  <cp:lastModifiedBy>Camila Cadamuro</cp:lastModifiedBy>
  <cp:lastPrinted>2025-06-23T12:34:58Z</cp:lastPrinted>
  <dcterms:created xsi:type="dcterms:W3CDTF">2025-02-18T21:34:14Z</dcterms:created>
  <dcterms:modified xsi:type="dcterms:W3CDTF">2025-08-20T19:34:33Z</dcterms:modified>
</cp:coreProperties>
</file>