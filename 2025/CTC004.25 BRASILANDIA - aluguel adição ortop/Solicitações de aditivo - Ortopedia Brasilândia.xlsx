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eu Drive\CMETK COMPARTILHADA CAMILA E MM\CLIENTES ALUGUEL\BRASILANDIA\"/>
    </mc:Choice>
  </mc:AlternateContent>
  <bookViews>
    <workbookView xWindow="-105" yWindow="-105" windowWidth="23250" windowHeight="12450" activeTab="2"/>
  </bookViews>
  <sheets>
    <sheet name="Cx. Básica Ortopedia" sheetId="1" r:id="rId1"/>
    <sheet name="Caixa de Ombro" sheetId="2" r:id="rId2"/>
    <sheet name="Caixa de Pé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3" l="1"/>
  <c r="I37" i="3"/>
  <c r="I38" i="3"/>
  <c r="I35" i="3"/>
  <c r="I45" i="2"/>
  <c r="I46" i="2"/>
  <c r="I47" i="2"/>
  <c r="I48" i="2"/>
  <c r="I49" i="2"/>
  <c r="I50" i="2"/>
  <c r="I51" i="2"/>
  <c r="I52" i="2"/>
  <c r="I44" i="2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6" i="1"/>
  <c r="G45" i="2" l="1"/>
  <c r="G46" i="2"/>
  <c r="G47" i="2"/>
  <c r="G48" i="2"/>
  <c r="G49" i="2"/>
  <c r="G50" i="2"/>
  <c r="G51" i="2"/>
  <c r="G52" i="2"/>
  <c r="G44" i="2"/>
  <c r="G39" i="3"/>
  <c r="G40" i="3" s="1"/>
  <c r="G36" i="3"/>
  <c r="G37" i="3"/>
  <c r="G38" i="3"/>
  <c r="G35" i="3"/>
  <c r="G27" i="1"/>
  <c r="G45" i="1" s="1"/>
  <c r="G46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6" i="1"/>
  <c r="D24" i="1"/>
  <c r="G53" i="2" l="1"/>
  <c r="G54" i="2" s="1"/>
  <c r="G43" i="3" s="1"/>
</calcChain>
</file>

<file path=xl/sharedStrings.xml><?xml version="1.0" encoding="utf-8"?>
<sst xmlns="http://schemas.openxmlformats.org/spreadsheetml/2006/main" count="191" uniqueCount="152">
  <si>
    <t>Pinça kelly reta</t>
  </si>
  <si>
    <t>Item</t>
  </si>
  <si>
    <t>Descrição</t>
  </si>
  <si>
    <t>Afastador farabeuf conjunto, 120 mm</t>
  </si>
  <si>
    <t>Afastador farabeuf conjunto, 130 mm</t>
  </si>
  <si>
    <t>Afastador adson baby, 160 mm</t>
  </si>
  <si>
    <t>Qt</t>
  </si>
  <si>
    <t>1 par</t>
  </si>
  <si>
    <t>Afastador senn muller, 170 mm</t>
  </si>
  <si>
    <t>Cizalha ruskin liston, 230 mm</t>
  </si>
  <si>
    <t>Cabo de bisturi n° 3, 120 mm</t>
  </si>
  <si>
    <t>Cabo de bisturi, n°4, 120 mm</t>
  </si>
  <si>
    <t>Cúpula, 220 ml</t>
  </si>
  <si>
    <t>Pinça allis 5x 6 dentes, 19 cm</t>
  </si>
  <si>
    <t>Pinça anatômica de dissecção, 160 mm</t>
  </si>
  <si>
    <t>Pinça anatômica dente de rato, 160 mm</t>
  </si>
  <si>
    <t>Pinça foerster reta, 180 mm</t>
  </si>
  <si>
    <t>Pinça backhaus, 130 mm</t>
  </si>
  <si>
    <t>Pinça kelly curva, 160 mm</t>
  </si>
  <si>
    <t>Pinça kelly reta, 160 mm</t>
  </si>
  <si>
    <t>Porta agulha mayo hegar com vídea, 160 mm</t>
  </si>
  <si>
    <t>Tesoura metzenbaum curva, 180 mm</t>
  </si>
  <si>
    <t>Tesoura metzenbaum reta, 180 mm</t>
  </si>
  <si>
    <t>Pinça cheron, 250 mm</t>
  </si>
  <si>
    <t>CAIXA BÁSICA DE ORTOPEDIA - CONFIGURAÇÃO ATUAL</t>
  </si>
  <si>
    <t>Martelo</t>
  </si>
  <si>
    <t>Cortador de fio de kirshnner</t>
  </si>
  <si>
    <t>Afastador Langenbeck, 30x16x220 mm</t>
  </si>
  <si>
    <t>Rugina Farabeuf curva, 150 mm</t>
  </si>
  <si>
    <t>Farabeuf grande</t>
  </si>
  <si>
    <t>Osteótomo Lambotte, reto, 15 mm</t>
  </si>
  <si>
    <t>Osteótomo Lambotte, reto, 20 mm</t>
  </si>
  <si>
    <t>Goiva Echlin, 230 mm</t>
  </si>
  <si>
    <t>Cureta Volkman, 3 x 170 mm</t>
  </si>
  <si>
    <t>Cureta Volkman, 5 x 170 mm</t>
  </si>
  <si>
    <t>Cureta Volkman, 7 x 170 mm</t>
  </si>
  <si>
    <t>Pinça Kelly, curva, 18 cm</t>
  </si>
  <si>
    <t>Pinça Kocher reto, 14 cm</t>
  </si>
  <si>
    <t>Pinça Kocher reto, 18 cm</t>
  </si>
  <si>
    <t>Pinça Kocher curvo, 14 cm</t>
  </si>
  <si>
    <t>Pinça Kocher curvo, 18 cm</t>
  </si>
  <si>
    <t>Pinça Halstead (mosquito) reto, 120 mm</t>
  </si>
  <si>
    <t>Pinça Halstead (mosquito) curvo, 120 mm</t>
  </si>
  <si>
    <t>Total</t>
  </si>
  <si>
    <t>Pinça fixação óssea, 21 cm</t>
  </si>
  <si>
    <t>Itens a serem incluídos a pedido do Dr. Ricardo</t>
  </si>
  <si>
    <t>CAIXA DE OMBRO - CONFIGURAÇÃO ATUAL</t>
  </si>
  <si>
    <t>Afastador autoestático weitlainer, 160 mm</t>
  </si>
  <si>
    <t>Afastador bennet grande</t>
  </si>
  <si>
    <t>Afastador bennet médio</t>
  </si>
  <si>
    <t>Afastador hohmann grande</t>
  </si>
  <si>
    <t>Afastador hohmann médio</t>
  </si>
  <si>
    <t>Afastador langenbeck grande</t>
  </si>
  <si>
    <t>Afastador langenbeck médio</t>
  </si>
  <si>
    <t>Afastador richardson grande</t>
  </si>
  <si>
    <t>Afastador richardson médio</t>
  </si>
  <si>
    <t>Afastador glenoide posterior</t>
  </si>
  <si>
    <t>Afastador detoilde</t>
  </si>
  <si>
    <t>Afastador fukuda</t>
  </si>
  <si>
    <t>Afastador farabeuf conjunto medio conjunto, 120 mm</t>
  </si>
  <si>
    <t>Afastador farabeuf conjunto grande conjunto, 150 mm</t>
  </si>
  <si>
    <t>Cureta média</t>
  </si>
  <si>
    <t>Cureta pequena</t>
  </si>
  <si>
    <t>Gancho ósseo grande</t>
  </si>
  <si>
    <t xml:space="preserve">Gancho ósseo médio </t>
  </si>
  <si>
    <t>Osteótomo (formão) delicado</t>
  </si>
  <si>
    <t>Osteótomo (formão) médio</t>
  </si>
  <si>
    <t>Pinça de placa média</t>
  </si>
  <si>
    <t>Pinça de placa pequena</t>
  </si>
  <si>
    <t>Pinça de redução de côndilo com speed look</t>
  </si>
  <si>
    <t>Pinça de redução espanhola média</t>
  </si>
  <si>
    <t>Pinça de redução espanhola pequena</t>
  </si>
  <si>
    <t>Pinça de weber com speed loocker e cremalheira</t>
  </si>
  <si>
    <t>Pinça faure reta</t>
  </si>
  <si>
    <t>Pinça mixter</t>
  </si>
  <si>
    <t>Pinça faure curva, 200 mm</t>
  </si>
  <si>
    <t>Pinça faure reta, 200 mm</t>
  </si>
  <si>
    <t>Pinça kocher curva, 180 mm</t>
  </si>
  <si>
    <t>Pinça kocher reta, 180 mm</t>
  </si>
  <si>
    <t>Pinça satinsky, 200 mm</t>
  </si>
  <si>
    <t>Rugina</t>
  </si>
  <si>
    <t>Sacabocado médio</t>
  </si>
  <si>
    <t>Sacabocado pequeno</t>
  </si>
  <si>
    <t>Itens a serem incluídos a pedido do Dr. Otávio</t>
  </si>
  <si>
    <t>Afastador de glenóide</t>
  </si>
  <si>
    <t>Afastador bidente</t>
  </si>
  <si>
    <t>Afastador playboy</t>
  </si>
  <si>
    <t>Afastador um dente</t>
  </si>
  <si>
    <t>Gelpi</t>
  </si>
  <si>
    <t>Pinça Pozzi</t>
  </si>
  <si>
    <t>Afastador hohmann medio</t>
  </si>
  <si>
    <t>Afastador hohmans delicado</t>
  </si>
  <si>
    <t>Cureta delicada</t>
  </si>
  <si>
    <t>Pinça de weber com cremalheira</t>
  </si>
  <si>
    <t>Pinça de weber com speed loocker</t>
  </si>
  <si>
    <t>Pinça faure curva</t>
  </si>
  <si>
    <t>Ponta bola</t>
  </si>
  <si>
    <t>Rugina delicada</t>
  </si>
  <si>
    <t>Rugina media</t>
  </si>
  <si>
    <t>Saca abocado médio</t>
  </si>
  <si>
    <t>Saca abocado pequeno</t>
  </si>
  <si>
    <t>Afastador farabeuf conjunto delicado, 100 mm</t>
  </si>
  <si>
    <t>Afastador farabeuf conjunto medio, 150 mm</t>
  </si>
  <si>
    <t>Afastador farabeuf conjunto pequeno, 120 mm</t>
  </si>
  <si>
    <t>Pinça Adson, com dente, 120 mm</t>
  </si>
  <si>
    <t>Pinça adson com dente, 120 mm</t>
  </si>
  <si>
    <t>Pinça backhaus sem cremalheira, 160 mm</t>
  </si>
  <si>
    <t>Tesoura metzenbaum reta, 150 mm</t>
  </si>
  <si>
    <t xml:space="preserve">Itens a serem incluídos </t>
  </si>
  <si>
    <t>Adson delicada sem dente, 120 mm</t>
  </si>
  <si>
    <t>CAIXA DE PÉ - CONFIGURAÇÃO ATUAL</t>
  </si>
  <si>
    <t>Formão delicado, 3x170 mm</t>
  </si>
  <si>
    <t>Formão delicado, 6 x 170 mm</t>
  </si>
  <si>
    <t>Dissector Penfield, bilateral, 220 mm (fuça-fuça)</t>
  </si>
  <si>
    <t>49.1054.19</t>
  </si>
  <si>
    <t>28.1320.03</t>
  </si>
  <si>
    <t>28.0344.30</t>
  </si>
  <si>
    <t>28.0344.20</t>
  </si>
  <si>
    <t>28.0344.01</t>
  </si>
  <si>
    <t>28.0535.15</t>
  </si>
  <si>
    <t>28.0094.15</t>
  </si>
  <si>
    <t>28.0094.20</t>
  </si>
  <si>
    <t>Código</t>
  </si>
  <si>
    <t>18.0018.00</t>
  </si>
  <si>
    <t>18.0340.03</t>
  </si>
  <si>
    <t>28.0824.20</t>
  </si>
  <si>
    <t>14.0060.12</t>
  </si>
  <si>
    <t>14.0061.12</t>
  </si>
  <si>
    <t>14.0351.19</t>
  </si>
  <si>
    <t>14.0226.14</t>
  </si>
  <si>
    <t>14.0226.18</t>
  </si>
  <si>
    <t>14.0227.14</t>
  </si>
  <si>
    <t>14.0227.18</t>
  </si>
  <si>
    <t>25.5820.18</t>
  </si>
  <si>
    <t>28.0092.08</t>
  </si>
  <si>
    <t>Formão curvo, 8x170 mm</t>
  </si>
  <si>
    <t>Formão curvo, 12x170 mm</t>
  </si>
  <si>
    <t>28.0092.12</t>
  </si>
  <si>
    <t>Foto</t>
  </si>
  <si>
    <t>19.0182.16</t>
  </si>
  <si>
    <t>60.0542.25</t>
  </si>
  <si>
    <t>12.0246.12</t>
  </si>
  <si>
    <t>12.0066.12</t>
  </si>
  <si>
    <t>28.0092.03</t>
  </si>
  <si>
    <t>28.0092.06</t>
  </si>
  <si>
    <t>30.0244.22</t>
  </si>
  <si>
    <t>R$ unitario</t>
  </si>
  <si>
    <t>R$ total</t>
  </si>
  <si>
    <t>7 caixas</t>
  </si>
  <si>
    <t>1 caixa</t>
  </si>
  <si>
    <t>4 caixas</t>
  </si>
  <si>
    <t>3 caixas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</si>
</sst>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4" fontId="0" fillId="2" borderId="0" xfId="0" applyNumberFormat="1" applyFill="1"/>
    <xf numFmtId="44" fontId="3" fillId="2" borderId="0" xfId="0" applyNumberFormat="1" applyFont="1" applyFill="1"/>
    <xf numFmtId="0" fontId="3" fillId="2" borderId="0" xfId="0" applyFont="1" applyFill="1"/>
    <xf numFmtId="0" fontId="0" fillId="2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5"/>
  <sheetViews>
    <sheetView topLeftCell="A25" zoomScaleNormal="100" workbookViewId="0">
      <selection activeCell="G26" sqref="G26:G44"/>
    </sheetView>
  </sheetViews>
  <sheetFormatPr defaultRowHeight="14.25"/>
  <cols>
    <col min="1" max="1" width="9.125" style="2"/>
    <col min="3" max="3" width="44.5" customWidth="1"/>
    <col min="4" max="4" width="8.5" style="1" customWidth="1"/>
    <col min="5" max="5" width="11.875" style="3" hidden="1" customWidth="1"/>
    <col min="6" max="6" width="10.375" style="10" bestFit="1" customWidth="1"/>
    <col min="7" max="7" width="11.875" style="10" bestFit="1" customWidth="1"/>
    <col min="8" max="8" width="9.125" style="2"/>
    <col min="9" max="9" width="9.125" style="3"/>
    <col min="10" max="27" width="9.125" style="2"/>
  </cols>
  <sheetData>
    <row r="1" spans="2:9" s="2" customFormat="1" ht="24" customHeight="1">
      <c r="D1" s="3"/>
      <c r="E1" s="3"/>
      <c r="F1" s="10"/>
      <c r="G1" s="10"/>
      <c r="I1" s="3"/>
    </row>
    <row r="2" spans="2:9" ht="15">
      <c r="B2" s="14" t="s">
        <v>24</v>
      </c>
      <c r="C2" s="14"/>
      <c r="D2" s="14"/>
    </row>
    <row r="3" spans="2:9" s="2" customFormat="1">
      <c r="D3" s="3"/>
      <c r="E3" s="3"/>
      <c r="F3" s="10"/>
      <c r="G3" s="10"/>
      <c r="I3" s="3"/>
    </row>
    <row r="4" spans="2:9" ht="15">
      <c r="B4" s="4" t="s">
        <v>1</v>
      </c>
      <c r="C4" s="4" t="s">
        <v>2</v>
      </c>
      <c r="D4" s="4" t="s">
        <v>6</v>
      </c>
    </row>
    <row r="5" spans="2:9">
      <c r="B5" s="6">
        <v>1</v>
      </c>
      <c r="C5" s="5" t="s">
        <v>3</v>
      </c>
      <c r="D5" s="6" t="s">
        <v>7</v>
      </c>
    </row>
    <row r="6" spans="2:9">
      <c r="B6" s="6">
        <v>2</v>
      </c>
      <c r="C6" s="5" t="s">
        <v>4</v>
      </c>
      <c r="D6" s="6" t="s">
        <v>7</v>
      </c>
    </row>
    <row r="7" spans="2:9">
      <c r="B7" s="6">
        <v>3</v>
      </c>
      <c r="C7" s="5" t="s">
        <v>5</v>
      </c>
      <c r="D7" s="6">
        <v>1</v>
      </c>
    </row>
    <row r="8" spans="2:9">
      <c r="B8" s="6">
        <v>4</v>
      </c>
      <c r="C8" s="5" t="s">
        <v>8</v>
      </c>
      <c r="D8" s="6">
        <v>2</v>
      </c>
    </row>
    <row r="9" spans="2:9">
      <c r="B9" s="6">
        <v>5</v>
      </c>
      <c r="C9" s="5" t="s">
        <v>9</v>
      </c>
      <c r="D9" s="6">
        <v>1</v>
      </c>
    </row>
    <row r="10" spans="2:9">
      <c r="B10" s="6">
        <v>6</v>
      </c>
      <c r="C10" s="5" t="s">
        <v>10</v>
      </c>
      <c r="D10" s="6">
        <v>1</v>
      </c>
    </row>
    <row r="11" spans="2:9">
      <c r="B11" s="6">
        <v>7</v>
      </c>
      <c r="C11" s="5" t="s">
        <v>11</v>
      </c>
      <c r="D11" s="6">
        <v>1</v>
      </c>
    </row>
    <row r="12" spans="2:9">
      <c r="B12" s="6">
        <v>8</v>
      </c>
      <c r="C12" s="5" t="s">
        <v>12</v>
      </c>
      <c r="D12" s="6">
        <v>1</v>
      </c>
    </row>
    <row r="13" spans="2:9">
      <c r="B13" s="6">
        <v>9</v>
      </c>
      <c r="C13" s="5" t="s">
        <v>13</v>
      </c>
      <c r="D13" s="6">
        <v>2</v>
      </c>
    </row>
    <row r="14" spans="2:9">
      <c r="B14" s="6">
        <v>10</v>
      </c>
      <c r="C14" s="5" t="s">
        <v>14</v>
      </c>
      <c r="D14" s="6">
        <v>2</v>
      </c>
    </row>
    <row r="15" spans="2:9">
      <c r="B15" s="6">
        <v>11</v>
      </c>
      <c r="C15" s="5" t="s">
        <v>15</v>
      </c>
      <c r="D15" s="6">
        <v>2</v>
      </c>
    </row>
    <row r="16" spans="2:9">
      <c r="B16" s="6">
        <v>12</v>
      </c>
      <c r="C16" s="5" t="s">
        <v>16</v>
      </c>
      <c r="D16" s="6">
        <v>2</v>
      </c>
    </row>
    <row r="17" spans="2:9">
      <c r="B17" s="6">
        <v>13</v>
      </c>
      <c r="C17" s="5" t="s">
        <v>17</v>
      </c>
      <c r="D17" s="6">
        <v>5</v>
      </c>
    </row>
    <row r="18" spans="2:9">
      <c r="B18" s="6">
        <v>14</v>
      </c>
      <c r="C18" s="5" t="s">
        <v>18</v>
      </c>
      <c r="D18" s="6">
        <v>4</v>
      </c>
    </row>
    <row r="19" spans="2:9">
      <c r="B19" s="6">
        <v>15</v>
      </c>
      <c r="C19" s="5" t="s">
        <v>19</v>
      </c>
      <c r="D19" s="6">
        <v>4</v>
      </c>
    </row>
    <row r="20" spans="2:9">
      <c r="B20" s="6">
        <v>16</v>
      </c>
      <c r="C20" s="5" t="s">
        <v>20</v>
      </c>
      <c r="D20" s="6">
        <v>2</v>
      </c>
    </row>
    <row r="21" spans="2:9">
      <c r="B21" s="6">
        <v>17</v>
      </c>
      <c r="C21" s="5" t="s">
        <v>21</v>
      </c>
      <c r="D21" s="6">
        <v>1</v>
      </c>
    </row>
    <row r="22" spans="2:9">
      <c r="B22" s="6">
        <v>18</v>
      </c>
      <c r="C22" s="5" t="s">
        <v>22</v>
      </c>
      <c r="D22" s="6">
        <v>1</v>
      </c>
    </row>
    <row r="23" spans="2:9">
      <c r="B23" s="6">
        <v>19</v>
      </c>
      <c r="C23" s="5" t="s">
        <v>23</v>
      </c>
      <c r="D23" s="6">
        <v>1</v>
      </c>
    </row>
    <row r="24" spans="2:9">
      <c r="B24" s="6"/>
      <c r="C24" s="6" t="s">
        <v>43</v>
      </c>
      <c r="D24" s="6">
        <f>SUM(D5:D23)</f>
        <v>33</v>
      </c>
    </row>
    <row r="25" spans="2:9" s="2" customFormat="1" ht="15">
      <c r="B25" s="15" t="s">
        <v>45</v>
      </c>
      <c r="C25" s="15"/>
      <c r="D25" s="15"/>
      <c r="E25" s="9" t="s">
        <v>122</v>
      </c>
      <c r="F25" s="17" t="s">
        <v>146</v>
      </c>
      <c r="G25" s="17" t="s">
        <v>147</v>
      </c>
      <c r="I25" s="3" t="s">
        <v>148</v>
      </c>
    </row>
    <row r="26" spans="2:9" s="2" customFormat="1">
      <c r="B26" s="8">
        <v>20</v>
      </c>
      <c r="C26" s="7" t="s">
        <v>25</v>
      </c>
      <c r="D26" s="8">
        <v>1</v>
      </c>
      <c r="E26" s="6" t="s">
        <v>114</v>
      </c>
      <c r="F26" s="17">
        <v>93.6</v>
      </c>
      <c r="G26" s="17">
        <f>F26*D26</f>
        <v>93.6</v>
      </c>
      <c r="I26" s="3">
        <f>D26*7</f>
        <v>7</v>
      </c>
    </row>
    <row r="27" spans="2:9" s="2" customFormat="1">
      <c r="B27" s="8">
        <v>21</v>
      </c>
      <c r="C27" s="7" t="s">
        <v>26</v>
      </c>
      <c r="D27" s="8">
        <v>1</v>
      </c>
      <c r="E27" s="8" t="s">
        <v>133</v>
      </c>
      <c r="F27" s="17">
        <v>215.83</v>
      </c>
      <c r="G27" s="17">
        <f t="shared" ref="G27:G44" si="0">F27*D27</f>
        <v>215.83</v>
      </c>
      <c r="I27" s="3">
        <f t="shared" ref="I27:I44" si="1">D27*7</f>
        <v>7</v>
      </c>
    </row>
    <row r="28" spans="2:9" s="2" customFormat="1">
      <c r="B28" s="8">
        <v>22</v>
      </c>
      <c r="C28" s="7" t="s">
        <v>27</v>
      </c>
      <c r="D28" s="8">
        <v>2</v>
      </c>
      <c r="E28" s="6" t="s">
        <v>124</v>
      </c>
      <c r="F28" s="17">
        <v>23.99</v>
      </c>
      <c r="G28" s="17">
        <f t="shared" si="0"/>
        <v>47.98</v>
      </c>
      <c r="I28" s="3">
        <f t="shared" si="1"/>
        <v>14</v>
      </c>
    </row>
    <row r="29" spans="2:9" s="2" customFormat="1">
      <c r="B29" s="8">
        <v>23</v>
      </c>
      <c r="C29" s="7" t="s">
        <v>28</v>
      </c>
      <c r="D29" s="8">
        <v>1</v>
      </c>
      <c r="E29" s="6" t="s">
        <v>119</v>
      </c>
      <c r="F29" s="17">
        <v>15.18</v>
      </c>
      <c r="G29" s="17">
        <f t="shared" si="0"/>
        <v>15.18</v>
      </c>
      <c r="I29" s="3">
        <f t="shared" si="1"/>
        <v>7</v>
      </c>
    </row>
    <row r="30" spans="2:9" s="2" customFormat="1">
      <c r="B30" s="8">
        <v>24</v>
      </c>
      <c r="C30" s="7" t="s">
        <v>29</v>
      </c>
      <c r="D30" s="8">
        <v>1</v>
      </c>
      <c r="E30" s="6" t="s">
        <v>123</v>
      </c>
      <c r="F30" s="17">
        <v>42.45</v>
      </c>
      <c r="G30" s="17">
        <f t="shared" si="0"/>
        <v>42.45</v>
      </c>
      <c r="I30" s="3">
        <f t="shared" si="1"/>
        <v>7</v>
      </c>
    </row>
    <row r="31" spans="2:9" s="2" customFormat="1">
      <c r="B31" s="8">
        <v>25</v>
      </c>
      <c r="C31" s="7" t="s">
        <v>30</v>
      </c>
      <c r="D31" s="8">
        <v>1</v>
      </c>
      <c r="E31" s="6" t="s">
        <v>120</v>
      </c>
      <c r="F31" s="17">
        <v>68.69</v>
      </c>
      <c r="G31" s="17">
        <f t="shared" si="0"/>
        <v>68.69</v>
      </c>
      <c r="I31" s="3">
        <f t="shared" si="1"/>
        <v>7</v>
      </c>
    </row>
    <row r="32" spans="2:9" s="2" customFormat="1">
      <c r="B32" s="8">
        <v>26</v>
      </c>
      <c r="C32" s="7" t="s">
        <v>31</v>
      </c>
      <c r="D32" s="8">
        <v>1</v>
      </c>
      <c r="E32" s="6" t="s">
        <v>121</v>
      </c>
      <c r="F32" s="17">
        <v>68.69</v>
      </c>
      <c r="G32" s="17">
        <f t="shared" si="0"/>
        <v>68.69</v>
      </c>
      <c r="I32" s="3">
        <f t="shared" si="1"/>
        <v>7</v>
      </c>
    </row>
    <row r="33" spans="2:9" s="2" customFormat="1">
      <c r="B33" s="8">
        <v>27</v>
      </c>
      <c r="C33" s="7" t="s">
        <v>32</v>
      </c>
      <c r="D33" s="8">
        <v>1</v>
      </c>
      <c r="E33" s="6" t="s">
        <v>115</v>
      </c>
      <c r="F33" s="17">
        <v>222.7</v>
      </c>
      <c r="G33" s="17">
        <f t="shared" si="0"/>
        <v>222.7</v>
      </c>
      <c r="I33" s="3">
        <f t="shared" si="1"/>
        <v>7</v>
      </c>
    </row>
    <row r="34" spans="2:9" s="2" customFormat="1">
      <c r="B34" s="8">
        <v>28</v>
      </c>
      <c r="C34" s="7" t="s">
        <v>33</v>
      </c>
      <c r="D34" s="8">
        <v>1</v>
      </c>
      <c r="E34" s="6" t="s">
        <v>116</v>
      </c>
      <c r="F34" s="17">
        <v>21.54</v>
      </c>
      <c r="G34" s="17">
        <f t="shared" si="0"/>
        <v>21.54</v>
      </c>
      <c r="I34" s="3">
        <f t="shared" si="1"/>
        <v>7</v>
      </c>
    </row>
    <row r="35" spans="2:9" s="2" customFormat="1">
      <c r="B35" s="8">
        <v>29</v>
      </c>
      <c r="C35" s="7" t="s">
        <v>34</v>
      </c>
      <c r="D35" s="8">
        <v>1</v>
      </c>
      <c r="E35" s="6" t="s">
        <v>117</v>
      </c>
      <c r="F35" s="17">
        <v>21.54</v>
      </c>
      <c r="G35" s="17">
        <f t="shared" si="0"/>
        <v>21.54</v>
      </c>
      <c r="I35" s="3">
        <f t="shared" si="1"/>
        <v>7</v>
      </c>
    </row>
    <row r="36" spans="2:9" s="2" customFormat="1" ht="14.25" customHeight="1">
      <c r="B36" s="8">
        <v>30</v>
      </c>
      <c r="C36" s="7" t="s">
        <v>35</v>
      </c>
      <c r="D36" s="8">
        <v>1</v>
      </c>
      <c r="E36" s="6" t="s">
        <v>118</v>
      </c>
      <c r="F36" s="17">
        <v>21.54</v>
      </c>
      <c r="G36" s="17">
        <f t="shared" si="0"/>
        <v>21.54</v>
      </c>
      <c r="I36" s="3">
        <f t="shared" si="1"/>
        <v>7</v>
      </c>
    </row>
    <row r="37" spans="2:9" s="2" customFormat="1">
      <c r="B37" s="8">
        <v>31</v>
      </c>
      <c r="C37" s="7" t="s">
        <v>36</v>
      </c>
      <c r="D37" s="8">
        <v>2</v>
      </c>
      <c r="E37" s="6" t="s">
        <v>128</v>
      </c>
      <c r="F37" s="17">
        <v>16.25</v>
      </c>
      <c r="G37" s="17">
        <f t="shared" si="0"/>
        <v>32.5</v>
      </c>
      <c r="I37" s="3">
        <f t="shared" si="1"/>
        <v>14</v>
      </c>
    </row>
    <row r="38" spans="2:9" s="2" customFormat="1">
      <c r="B38" s="8">
        <v>32</v>
      </c>
      <c r="C38" s="7" t="s">
        <v>37</v>
      </c>
      <c r="D38" s="8">
        <v>2</v>
      </c>
      <c r="E38" s="6" t="s">
        <v>129</v>
      </c>
      <c r="F38" s="17">
        <v>11.45</v>
      </c>
      <c r="G38" s="17">
        <f t="shared" si="0"/>
        <v>22.9</v>
      </c>
      <c r="I38" s="3">
        <f t="shared" si="1"/>
        <v>14</v>
      </c>
    </row>
    <row r="39" spans="2:9" s="2" customFormat="1">
      <c r="B39" s="8">
        <v>33</v>
      </c>
      <c r="C39" s="7" t="s">
        <v>38</v>
      </c>
      <c r="D39" s="8">
        <v>2</v>
      </c>
      <c r="E39" s="6" t="s">
        <v>130</v>
      </c>
      <c r="F39" s="17">
        <v>16.149999999999999</v>
      </c>
      <c r="G39" s="17">
        <f t="shared" si="0"/>
        <v>32.299999999999997</v>
      </c>
      <c r="I39" s="3">
        <f t="shared" si="1"/>
        <v>14</v>
      </c>
    </row>
    <row r="40" spans="2:9" s="2" customFormat="1">
      <c r="B40" s="8">
        <v>34</v>
      </c>
      <c r="C40" s="7" t="s">
        <v>39</v>
      </c>
      <c r="D40" s="8">
        <v>2</v>
      </c>
      <c r="E40" s="6" t="s">
        <v>131</v>
      </c>
      <c r="F40" s="17">
        <v>11.75</v>
      </c>
      <c r="G40" s="17">
        <f t="shared" si="0"/>
        <v>23.5</v>
      </c>
      <c r="I40" s="3">
        <f t="shared" si="1"/>
        <v>14</v>
      </c>
    </row>
    <row r="41" spans="2:9" s="2" customFormat="1">
      <c r="B41" s="8">
        <v>35</v>
      </c>
      <c r="C41" s="7" t="s">
        <v>40</v>
      </c>
      <c r="D41" s="8">
        <v>2</v>
      </c>
      <c r="E41" s="6" t="s">
        <v>132</v>
      </c>
      <c r="F41" s="17">
        <v>16.45</v>
      </c>
      <c r="G41" s="17">
        <f t="shared" si="0"/>
        <v>32.9</v>
      </c>
      <c r="I41" s="3">
        <f t="shared" si="1"/>
        <v>14</v>
      </c>
    </row>
    <row r="42" spans="2:9" s="2" customFormat="1">
      <c r="B42" s="8">
        <v>36</v>
      </c>
      <c r="C42" s="7" t="s">
        <v>41</v>
      </c>
      <c r="D42" s="8">
        <v>2</v>
      </c>
      <c r="E42" s="6" t="s">
        <v>126</v>
      </c>
      <c r="F42" s="17">
        <v>10.69</v>
      </c>
      <c r="G42" s="17">
        <f t="shared" si="0"/>
        <v>21.38</v>
      </c>
      <c r="I42" s="3">
        <f t="shared" si="1"/>
        <v>14</v>
      </c>
    </row>
    <row r="43" spans="2:9" s="2" customFormat="1">
      <c r="B43" s="8">
        <v>37</v>
      </c>
      <c r="C43" s="7" t="s">
        <v>42</v>
      </c>
      <c r="D43" s="8">
        <v>2</v>
      </c>
      <c r="E43" s="6" t="s">
        <v>127</v>
      </c>
      <c r="F43" s="17">
        <v>10.96</v>
      </c>
      <c r="G43" s="17">
        <f t="shared" si="0"/>
        <v>21.92</v>
      </c>
      <c r="I43" s="3">
        <f t="shared" si="1"/>
        <v>14</v>
      </c>
    </row>
    <row r="44" spans="2:9" s="2" customFormat="1">
      <c r="B44" s="8">
        <v>38</v>
      </c>
      <c r="C44" s="7" t="s">
        <v>44</v>
      </c>
      <c r="D44" s="8">
        <v>1</v>
      </c>
      <c r="E44" s="6" t="s">
        <v>125</v>
      </c>
      <c r="F44" s="17">
        <v>155.96</v>
      </c>
      <c r="G44" s="17">
        <f t="shared" si="0"/>
        <v>155.96</v>
      </c>
      <c r="I44" s="3">
        <f t="shared" si="1"/>
        <v>7</v>
      </c>
    </row>
    <row r="45" spans="2:9" s="2" customFormat="1">
      <c r="D45" s="3"/>
      <c r="E45" s="3"/>
      <c r="F45" s="10"/>
      <c r="G45" s="10">
        <f>SUM(G26:G44)</f>
        <v>1183.0999999999999</v>
      </c>
      <c r="H45" s="2" t="s">
        <v>149</v>
      </c>
      <c r="I45" s="3"/>
    </row>
    <row r="46" spans="2:9" s="2" customFormat="1" ht="15">
      <c r="D46" s="3"/>
      <c r="E46" s="3"/>
      <c r="F46" s="10"/>
      <c r="G46" s="11">
        <f>7*G45</f>
        <v>8281.6999999999989</v>
      </c>
      <c r="H46" s="12" t="s">
        <v>148</v>
      </c>
      <c r="I46" s="3"/>
    </row>
    <row r="47" spans="2:9" s="2" customFormat="1">
      <c r="D47" s="3"/>
      <c r="E47" s="3"/>
      <c r="F47" s="10"/>
      <c r="G47" s="10"/>
      <c r="I47" s="3"/>
    </row>
    <row r="48" spans="2:9" s="2" customFormat="1">
      <c r="D48" s="3"/>
      <c r="E48" s="3"/>
      <c r="F48" s="10"/>
      <c r="G48" s="10"/>
      <c r="I48" s="3"/>
    </row>
    <row r="49" spans="4:9" s="2" customFormat="1">
      <c r="D49" s="3"/>
      <c r="E49" s="3"/>
      <c r="F49" s="10"/>
      <c r="G49" s="10"/>
      <c r="I49" s="3"/>
    </row>
    <row r="50" spans="4:9" s="2" customFormat="1">
      <c r="D50" s="3"/>
      <c r="E50" s="3"/>
      <c r="F50" s="10"/>
      <c r="G50" s="10"/>
      <c r="I50" s="3"/>
    </row>
    <row r="51" spans="4:9" s="2" customFormat="1">
      <c r="D51" s="3"/>
      <c r="E51" s="3"/>
      <c r="F51" s="10"/>
      <c r="G51" s="10"/>
      <c r="I51" s="3"/>
    </row>
    <row r="52" spans="4:9" s="2" customFormat="1">
      <c r="D52" s="3"/>
      <c r="E52" s="3"/>
      <c r="F52" s="10"/>
      <c r="G52" s="10"/>
      <c r="I52" s="3"/>
    </row>
    <row r="53" spans="4:9" s="2" customFormat="1">
      <c r="D53" s="3"/>
      <c r="E53" s="3"/>
      <c r="F53" s="10"/>
      <c r="G53" s="10"/>
      <c r="I53" s="3"/>
    </row>
    <row r="54" spans="4:9" s="2" customFormat="1">
      <c r="D54" s="3"/>
      <c r="E54" s="3"/>
      <c r="F54" s="10"/>
      <c r="G54" s="10"/>
      <c r="I54" s="3"/>
    </row>
    <row r="55" spans="4:9" s="2" customFormat="1">
      <c r="D55" s="3"/>
      <c r="E55" s="3"/>
      <c r="F55" s="10"/>
      <c r="G55" s="10"/>
      <c r="I55" s="3"/>
    </row>
    <row r="56" spans="4:9" s="2" customFormat="1">
      <c r="D56" s="3"/>
      <c r="E56" s="3"/>
      <c r="F56" s="10"/>
      <c r="G56" s="10"/>
      <c r="I56" s="3"/>
    </row>
    <row r="57" spans="4:9" s="2" customFormat="1">
      <c r="D57" s="3"/>
      <c r="E57" s="3"/>
      <c r="F57" s="10"/>
      <c r="G57" s="10"/>
      <c r="I57" s="3"/>
    </row>
    <row r="58" spans="4:9" s="2" customFormat="1">
      <c r="D58" s="3"/>
      <c r="E58" s="3"/>
      <c r="F58" s="10"/>
      <c r="G58" s="10"/>
      <c r="I58" s="3"/>
    </row>
    <row r="59" spans="4:9" s="2" customFormat="1">
      <c r="D59" s="3"/>
      <c r="E59" s="3"/>
      <c r="F59" s="10"/>
      <c r="G59" s="10"/>
      <c r="I59" s="3"/>
    </row>
    <row r="60" spans="4:9" s="2" customFormat="1">
      <c r="D60" s="3"/>
      <c r="E60" s="3"/>
      <c r="F60" s="10"/>
      <c r="G60" s="10"/>
      <c r="I60" s="3"/>
    </row>
    <row r="61" spans="4:9" s="2" customFormat="1">
      <c r="D61" s="3"/>
      <c r="E61" s="3"/>
      <c r="F61" s="10"/>
      <c r="G61" s="10"/>
      <c r="I61" s="3"/>
    </row>
    <row r="62" spans="4:9" s="2" customFormat="1">
      <c r="D62" s="3"/>
      <c r="E62" s="3"/>
      <c r="F62" s="10"/>
      <c r="G62" s="10"/>
      <c r="I62" s="3"/>
    </row>
    <row r="63" spans="4:9" s="2" customFormat="1">
      <c r="D63" s="3"/>
      <c r="E63" s="3"/>
      <c r="F63" s="10"/>
      <c r="G63" s="10"/>
      <c r="I63" s="3"/>
    </row>
    <row r="64" spans="4:9" s="2" customFormat="1">
      <c r="D64" s="3"/>
      <c r="E64" s="3"/>
      <c r="F64" s="10"/>
      <c r="G64" s="10"/>
      <c r="I64" s="3"/>
    </row>
    <row r="65" spans="4:9" s="2" customFormat="1">
      <c r="D65" s="3"/>
      <c r="E65" s="3"/>
      <c r="F65" s="10"/>
      <c r="G65" s="10"/>
      <c r="I65" s="3"/>
    </row>
    <row r="66" spans="4:9" s="2" customFormat="1">
      <c r="D66" s="3"/>
      <c r="E66" s="3"/>
      <c r="F66" s="10"/>
      <c r="G66" s="10"/>
      <c r="I66" s="3"/>
    </row>
    <row r="67" spans="4:9" s="2" customFormat="1">
      <c r="D67" s="3"/>
      <c r="E67" s="3"/>
      <c r="F67" s="10"/>
      <c r="G67" s="10"/>
      <c r="I67" s="3"/>
    </row>
    <row r="68" spans="4:9" s="2" customFormat="1">
      <c r="D68" s="3"/>
      <c r="E68" s="3"/>
      <c r="F68" s="10"/>
      <c r="G68" s="10"/>
      <c r="I68" s="3"/>
    </row>
    <row r="69" spans="4:9" s="2" customFormat="1">
      <c r="D69" s="3"/>
      <c r="E69" s="3"/>
      <c r="F69" s="10"/>
      <c r="G69" s="10"/>
      <c r="I69" s="3"/>
    </row>
    <row r="70" spans="4:9" s="2" customFormat="1">
      <c r="D70" s="3"/>
      <c r="E70" s="3"/>
      <c r="F70" s="10"/>
      <c r="G70" s="10"/>
      <c r="I70" s="3"/>
    </row>
    <row r="71" spans="4:9" s="2" customFormat="1">
      <c r="D71" s="3"/>
      <c r="E71" s="3"/>
      <c r="F71" s="10"/>
      <c r="G71" s="10"/>
      <c r="I71" s="3"/>
    </row>
    <row r="72" spans="4:9" s="2" customFormat="1">
      <c r="D72" s="3"/>
      <c r="E72" s="3"/>
      <c r="F72" s="10"/>
      <c r="G72" s="10"/>
      <c r="I72" s="3"/>
    </row>
    <row r="73" spans="4:9" s="2" customFormat="1">
      <c r="D73" s="3"/>
      <c r="E73" s="3"/>
      <c r="F73" s="10"/>
      <c r="G73" s="10"/>
      <c r="I73" s="3"/>
    </row>
    <row r="74" spans="4:9" s="2" customFormat="1">
      <c r="D74" s="3"/>
      <c r="E74" s="3"/>
      <c r="F74" s="10"/>
      <c r="G74" s="10"/>
      <c r="I74" s="3"/>
    </row>
    <row r="75" spans="4:9" s="2" customFormat="1">
      <c r="D75" s="3"/>
      <c r="E75" s="3"/>
      <c r="F75" s="10"/>
      <c r="G75" s="10"/>
      <c r="I75" s="3"/>
    </row>
    <row r="76" spans="4:9" s="2" customFormat="1">
      <c r="D76" s="3"/>
      <c r="E76" s="3"/>
      <c r="F76" s="10"/>
      <c r="G76" s="10"/>
      <c r="I76" s="3"/>
    </row>
    <row r="77" spans="4:9" s="2" customFormat="1">
      <c r="D77" s="3"/>
      <c r="E77" s="3"/>
      <c r="F77" s="10"/>
      <c r="G77" s="10"/>
      <c r="I77" s="3"/>
    </row>
    <row r="78" spans="4:9" s="2" customFormat="1">
      <c r="D78" s="3"/>
      <c r="E78" s="3"/>
      <c r="F78" s="10"/>
      <c r="G78" s="10"/>
      <c r="I78" s="3"/>
    </row>
    <row r="79" spans="4:9" s="2" customFormat="1">
      <c r="D79" s="3"/>
      <c r="E79" s="3"/>
      <c r="F79" s="10"/>
      <c r="G79" s="10"/>
      <c r="I79" s="3"/>
    </row>
    <row r="80" spans="4:9" s="2" customFormat="1">
      <c r="D80" s="3"/>
      <c r="E80" s="3"/>
      <c r="F80" s="10"/>
      <c r="G80" s="10"/>
      <c r="I80" s="3"/>
    </row>
    <row r="81" spans="4:9" s="2" customFormat="1">
      <c r="D81" s="3"/>
      <c r="E81" s="3"/>
      <c r="F81" s="10"/>
      <c r="G81" s="10"/>
      <c r="I81" s="3"/>
    </row>
    <row r="82" spans="4:9" s="2" customFormat="1">
      <c r="D82" s="3"/>
      <c r="E82" s="3"/>
      <c r="F82" s="10"/>
      <c r="G82" s="10"/>
      <c r="I82" s="3"/>
    </row>
    <row r="83" spans="4:9" s="2" customFormat="1">
      <c r="D83" s="3"/>
      <c r="E83" s="3"/>
      <c r="F83" s="10"/>
      <c r="G83" s="10"/>
      <c r="I83" s="3"/>
    </row>
    <row r="84" spans="4:9" s="2" customFormat="1">
      <c r="D84" s="3"/>
      <c r="E84" s="3"/>
      <c r="F84" s="10"/>
      <c r="G84" s="10"/>
      <c r="I84" s="3"/>
    </row>
    <row r="85" spans="4:9" s="2" customFormat="1">
      <c r="D85" s="3"/>
      <c r="E85" s="3"/>
      <c r="F85" s="10"/>
      <c r="G85" s="10"/>
      <c r="I85" s="3"/>
    </row>
    <row r="86" spans="4:9" s="2" customFormat="1">
      <c r="D86" s="3"/>
      <c r="E86" s="3"/>
      <c r="F86" s="10"/>
      <c r="G86" s="10"/>
      <c r="I86" s="3"/>
    </row>
    <row r="87" spans="4:9" s="2" customFormat="1">
      <c r="D87" s="3"/>
      <c r="E87" s="3"/>
      <c r="F87" s="10"/>
      <c r="G87" s="10"/>
      <c r="I87" s="3"/>
    </row>
    <row r="88" spans="4:9" s="2" customFormat="1">
      <c r="D88" s="3"/>
      <c r="E88" s="3"/>
      <c r="F88" s="10"/>
      <c r="G88" s="10"/>
      <c r="I88" s="3"/>
    </row>
    <row r="89" spans="4:9" s="2" customFormat="1">
      <c r="D89" s="3"/>
      <c r="E89" s="3"/>
      <c r="F89" s="10"/>
      <c r="G89" s="10"/>
      <c r="I89" s="3"/>
    </row>
    <row r="90" spans="4:9" s="2" customFormat="1">
      <c r="D90" s="3"/>
      <c r="E90" s="3"/>
      <c r="F90" s="10"/>
      <c r="G90" s="10"/>
      <c r="I90" s="3"/>
    </row>
    <row r="91" spans="4:9" s="2" customFormat="1">
      <c r="D91" s="3"/>
      <c r="E91" s="3"/>
      <c r="F91" s="10"/>
      <c r="G91" s="10"/>
      <c r="I91" s="3"/>
    </row>
    <row r="92" spans="4:9" s="2" customFormat="1">
      <c r="D92" s="3"/>
      <c r="E92" s="3"/>
      <c r="F92" s="10"/>
      <c r="G92" s="10"/>
      <c r="I92" s="3"/>
    </row>
    <row r="93" spans="4:9" s="2" customFormat="1">
      <c r="D93" s="3"/>
      <c r="E93" s="3"/>
      <c r="F93" s="10"/>
      <c r="G93" s="10"/>
      <c r="I93" s="3"/>
    </row>
    <row r="94" spans="4:9" s="2" customFormat="1">
      <c r="D94" s="3"/>
      <c r="E94" s="3"/>
      <c r="F94" s="10"/>
      <c r="G94" s="10"/>
      <c r="I94" s="3"/>
    </row>
    <row r="95" spans="4:9" s="2" customFormat="1">
      <c r="D95" s="3"/>
      <c r="E95" s="3"/>
      <c r="F95" s="10"/>
      <c r="G95" s="10"/>
      <c r="I95" s="3"/>
    </row>
    <row r="96" spans="4:9" s="2" customFormat="1">
      <c r="D96" s="3"/>
      <c r="E96" s="3"/>
      <c r="F96" s="10"/>
      <c r="G96" s="10"/>
      <c r="I96" s="3"/>
    </row>
    <row r="97" spans="4:9" s="2" customFormat="1">
      <c r="D97" s="3"/>
      <c r="E97" s="3"/>
      <c r="F97" s="10"/>
      <c r="G97" s="10"/>
      <c r="I97" s="3"/>
    </row>
    <row r="98" spans="4:9" s="2" customFormat="1">
      <c r="D98" s="3"/>
      <c r="E98" s="3"/>
      <c r="F98" s="10"/>
      <c r="G98" s="10"/>
      <c r="I98" s="3"/>
    </row>
    <row r="99" spans="4:9" s="2" customFormat="1">
      <c r="D99" s="3"/>
      <c r="E99" s="3"/>
      <c r="F99" s="10"/>
      <c r="G99" s="10"/>
      <c r="I99" s="3"/>
    </row>
    <row r="100" spans="4:9" s="2" customFormat="1">
      <c r="D100" s="3"/>
      <c r="E100" s="3"/>
      <c r="F100" s="10"/>
      <c r="G100" s="10"/>
      <c r="I100" s="3"/>
    </row>
    <row r="101" spans="4:9" s="2" customFormat="1">
      <c r="D101" s="3"/>
      <c r="E101" s="3"/>
      <c r="F101" s="10"/>
      <c r="G101" s="10"/>
      <c r="I101" s="3"/>
    </row>
    <row r="102" spans="4:9" s="2" customFormat="1">
      <c r="D102" s="3"/>
      <c r="E102" s="3"/>
      <c r="F102" s="10"/>
      <c r="G102" s="10"/>
      <c r="I102" s="3"/>
    </row>
    <row r="103" spans="4:9" s="2" customFormat="1">
      <c r="D103" s="3"/>
      <c r="E103" s="3"/>
      <c r="F103" s="10"/>
      <c r="G103" s="10"/>
      <c r="I103" s="3"/>
    </row>
    <row r="104" spans="4:9" s="2" customFormat="1">
      <c r="D104" s="3"/>
      <c r="E104" s="3"/>
      <c r="F104" s="10"/>
      <c r="G104" s="10"/>
      <c r="I104" s="3"/>
    </row>
    <row r="105" spans="4:9" s="2" customFormat="1">
      <c r="D105" s="3"/>
      <c r="E105" s="3"/>
      <c r="F105" s="10"/>
      <c r="G105" s="10"/>
      <c r="I105" s="3"/>
    </row>
    <row r="106" spans="4:9" s="2" customFormat="1">
      <c r="D106" s="3"/>
      <c r="E106" s="3"/>
      <c r="F106" s="10"/>
      <c r="G106" s="10"/>
      <c r="I106" s="3"/>
    </row>
    <row r="107" spans="4:9" s="2" customFormat="1">
      <c r="D107" s="3"/>
      <c r="E107" s="3"/>
      <c r="F107" s="10"/>
      <c r="G107" s="10"/>
      <c r="I107" s="3"/>
    </row>
    <row r="108" spans="4:9" s="2" customFormat="1">
      <c r="D108" s="3"/>
      <c r="E108" s="3"/>
      <c r="F108" s="10"/>
      <c r="G108" s="10"/>
      <c r="I108" s="3"/>
    </row>
    <row r="109" spans="4:9" s="2" customFormat="1">
      <c r="D109" s="3"/>
      <c r="E109" s="3"/>
      <c r="F109" s="10"/>
      <c r="G109" s="10"/>
      <c r="I109" s="3"/>
    </row>
    <row r="110" spans="4:9" s="2" customFormat="1">
      <c r="D110" s="3"/>
      <c r="E110" s="3"/>
      <c r="F110" s="10"/>
      <c r="G110" s="10"/>
      <c r="I110" s="3"/>
    </row>
    <row r="111" spans="4:9" s="2" customFormat="1">
      <c r="D111" s="3"/>
      <c r="E111" s="3"/>
      <c r="F111" s="10"/>
      <c r="G111" s="10"/>
      <c r="I111" s="3"/>
    </row>
    <row r="112" spans="4:9" s="2" customFormat="1">
      <c r="D112" s="3"/>
      <c r="E112" s="3"/>
      <c r="F112" s="10"/>
      <c r="G112" s="10"/>
      <c r="I112" s="3"/>
    </row>
    <row r="113" spans="4:9" s="2" customFormat="1">
      <c r="D113" s="3"/>
      <c r="E113" s="3"/>
      <c r="F113" s="10"/>
      <c r="G113" s="10"/>
      <c r="I113" s="3"/>
    </row>
    <row r="114" spans="4:9" s="2" customFormat="1">
      <c r="D114" s="3"/>
      <c r="E114" s="3"/>
      <c r="F114" s="10"/>
      <c r="G114" s="10"/>
      <c r="I114" s="3"/>
    </row>
    <row r="115" spans="4:9" s="2" customFormat="1">
      <c r="D115" s="3"/>
      <c r="E115" s="3"/>
      <c r="F115" s="10"/>
      <c r="G115" s="10"/>
      <c r="I115" s="3"/>
    </row>
    <row r="116" spans="4:9" s="2" customFormat="1">
      <c r="D116" s="3"/>
      <c r="E116" s="3"/>
      <c r="F116" s="10"/>
      <c r="G116" s="10"/>
      <c r="I116" s="3"/>
    </row>
    <row r="117" spans="4:9" s="2" customFormat="1">
      <c r="D117" s="3"/>
      <c r="E117" s="3"/>
      <c r="F117" s="10"/>
      <c r="G117" s="10"/>
      <c r="I117" s="3"/>
    </row>
    <row r="118" spans="4:9" s="2" customFormat="1">
      <c r="D118" s="3"/>
      <c r="E118" s="3"/>
      <c r="F118" s="10"/>
      <c r="G118" s="10"/>
      <c r="I118" s="3"/>
    </row>
    <row r="119" spans="4:9" s="2" customFormat="1">
      <c r="D119" s="3"/>
      <c r="E119" s="3"/>
      <c r="F119" s="10"/>
      <c r="G119" s="10"/>
      <c r="I119" s="3"/>
    </row>
    <row r="120" spans="4:9" s="2" customFormat="1">
      <c r="D120" s="3"/>
      <c r="E120" s="3"/>
      <c r="F120" s="10"/>
      <c r="G120" s="10"/>
      <c r="I120" s="3"/>
    </row>
    <row r="121" spans="4:9" s="2" customFormat="1">
      <c r="D121" s="3"/>
      <c r="E121" s="3"/>
      <c r="F121" s="10"/>
      <c r="G121" s="10"/>
      <c r="I121" s="3"/>
    </row>
    <row r="122" spans="4:9" s="2" customFormat="1">
      <c r="D122" s="3"/>
      <c r="E122" s="3"/>
      <c r="F122" s="10"/>
      <c r="G122" s="10"/>
      <c r="I122" s="3"/>
    </row>
    <row r="123" spans="4:9" s="2" customFormat="1">
      <c r="D123" s="3"/>
      <c r="E123" s="3"/>
      <c r="F123" s="10"/>
      <c r="G123" s="10"/>
      <c r="I123" s="3"/>
    </row>
    <row r="124" spans="4:9" s="2" customFormat="1">
      <c r="D124" s="3"/>
      <c r="E124" s="3"/>
      <c r="F124" s="10"/>
      <c r="G124" s="10"/>
      <c r="I124" s="3"/>
    </row>
    <row r="125" spans="4:9" s="2" customFormat="1">
      <c r="D125" s="3"/>
      <c r="E125" s="3"/>
      <c r="F125" s="10"/>
      <c r="G125" s="10"/>
      <c r="I125" s="3"/>
    </row>
    <row r="126" spans="4:9" s="2" customFormat="1">
      <c r="D126" s="3"/>
      <c r="E126" s="3"/>
      <c r="F126" s="10"/>
      <c r="G126" s="10"/>
      <c r="I126" s="3"/>
    </row>
    <row r="127" spans="4:9" s="2" customFormat="1">
      <c r="D127" s="3"/>
      <c r="E127" s="3"/>
      <c r="F127" s="10"/>
      <c r="G127" s="10"/>
      <c r="I127" s="3"/>
    </row>
    <row r="128" spans="4:9" s="2" customFormat="1">
      <c r="D128" s="3"/>
      <c r="E128" s="3"/>
      <c r="F128" s="10"/>
      <c r="G128" s="10"/>
      <c r="I128" s="3"/>
    </row>
    <row r="129" spans="4:9" s="2" customFormat="1">
      <c r="D129" s="3"/>
      <c r="E129" s="3"/>
      <c r="F129" s="10"/>
      <c r="G129" s="10"/>
      <c r="I129" s="3"/>
    </row>
    <row r="130" spans="4:9" s="2" customFormat="1">
      <c r="D130" s="3"/>
      <c r="E130" s="3"/>
      <c r="F130" s="10"/>
      <c r="G130" s="10"/>
      <c r="I130" s="3"/>
    </row>
    <row r="131" spans="4:9" s="2" customFormat="1">
      <c r="D131" s="3"/>
      <c r="E131" s="3"/>
      <c r="F131" s="10"/>
      <c r="G131" s="10"/>
      <c r="I131" s="3"/>
    </row>
    <row r="132" spans="4:9" s="2" customFormat="1">
      <c r="D132" s="3"/>
      <c r="E132" s="3"/>
      <c r="F132" s="10"/>
      <c r="G132" s="10"/>
      <c r="I132" s="3"/>
    </row>
    <row r="133" spans="4:9" s="2" customFormat="1">
      <c r="D133" s="3"/>
      <c r="E133" s="3"/>
      <c r="F133" s="10"/>
      <c r="G133" s="10"/>
      <c r="I133" s="3"/>
    </row>
    <row r="134" spans="4:9" s="2" customFormat="1">
      <c r="D134" s="3"/>
      <c r="E134" s="3"/>
      <c r="F134" s="10"/>
      <c r="G134" s="10"/>
      <c r="I134" s="3"/>
    </row>
    <row r="135" spans="4:9" s="2" customFormat="1">
      <c r="D135" s="3"/>
      <c r="E135" s="3"/>
      <c r="F135" s="10"/>
      <c r="G135" s="10"/>
      <c r="I135" s="3"/>
    </row>
    <row r="136" spans="4:9" s="2" customFormat="1">
      <c r="D136" s="3"/>
      <c r="E136" s="3"/>
      <c r="F136" s="10"/>
      <c r="G136" s="10"/>
      <c r="I136" s="3"/>
    </row>
    <row r="137" spans="4:9" s="2" customFormat="1">
      <c r="D137" s="3"/>
      <c r="E137" s="3"/>
      <c r="F137" s="10"/>
      <c r="G137" s="10"/>
      <c r="I137" s="3"/>
    </row>
    <row r="138" spans="4:9" s="2" customFormat="1">
      <c r="D138" s="3"/>
      <c r="E138" s="3"/>
      <c r="F138" s="10"/>
      <c r="G138" s="10"/>
      <c r="I138" s="3"/>
    </row>
    <row r="139" spans="4:9" s="2" customFormat="1">
      <c r="D139" s="3"/>
      <c r="E139" s="3"/>
      <c r="F139" s="10"/>
      <c r="G139" s="10"/>
      <c r="I139" s="3"/>
    </row>
    <row r="140" spans="4:9" s="2" customFormat="1">
      <c r="D140" s="3"/>
      <c r="E140" s="3"/>
      <c r="F140" s="10"/>
      <c r="G140" s="10"/>
      <c r="I140" s="3"/>
    </row>
    <row r="141" spans="4:9" s="2" customFormat="1">
      <c r="D141" s="3"/>
      <c r="E141" s="3"/>
      <c r="F141" s="10"/>
      <c r="G141" s="10"/>
      <c r="I141" s="3"/>
    </row>
    <row r="142" spans="4:9" s="2" customFormat="1">
      <c r="D142" s="3"/>
      <c r="E142" s="3"/>
      <c r="F142" s="10"/>
      <c r="G142" s="10"/>
      <c r="I142" s="3"/>
    </row>
    <row r="143" spans="4:9" s="2" customFormat="1">
      <c r="D143" s="3"/>
      <c r="E143" s="3"/>
      <c r="F143" s="10"/>
      <c r="G143" s="10"/>
      <c r="I143" s="3"/>
    </row>
    <row r="144" spans="4:9" s="2" customFormat="1">
      <c r="D144" s="3"/>
      <c r="E144" s="3"/>
      <c r="F144" s="10"/>
      <c r="G144" s="10"/>
      <c r="I144" s="3"/>
    </row>
    <row r="145" spans="4:9" s="2" customFormat="1">
      <c r="D145" s="3"/>
      <c r="E145" s="3"/>
      <c r="F145" s="10"/>
      <c r="G145" s="10"/>
      <c r="I145" s="3"/>
    </row>
    <row r="146" spans="4:9" s="2" customFormat="1">
      <c r="D146" s="3"/>
      <c r="E146" s="3"/>
      <c r="F146" s="10"/>
      <c r="G146" s="10"/>
      <c r="I146" s="3"/>
    </row>
    <row r="147" spans="4:9" s="2" customFormat="1">
      <c r="D147" s="3"/>
      <c r="E147" s="3"/>
      <c r="F147" s="10"/>
      <c r="G147" s="10"/>
      <c r="I147" s="3"/>
    </row>
    <row r="148" spans="4:9" s="2" customFormat="1">
      <c r="D148" s="3"/>
      <c r="E148" s="3"/>
      <c r="F148" s="10"/>
      <c r="G148" s="10"/>
      <c r="I148" s="3"/>
    </row>
    <row r="149" spans="4:9" s="2" customFormat="1">
      <c r="D149" s="3"/>
      <c r="E149" s="3"/>
      <c r="F149" s="10"/>
      <c r="G149" s="10"/>
      <c r="I149" s="3"/>
    </row>
    <row r="150" spans="4:9" s="2" customFormat="1">
      <c r="D150" s="3"/>
      <c r="E150" s="3"/>
      <c r="F150" s="10"/>
      <c r="G150" s="10"/>
      <c r="I150" s="3"/>
    </row>
    <row r="151" spans="4:9" s="2" customFormat="1">
      <c r="D151" s="3"/>
      <c r="E151" s="3"/>
      <c r="F151" s="10"/>
      <c r="G151" s="10"/>
      <c r="I151" s="3"/>
    </row>
    <row r="152" spans="4:9" s="2" customFormat="1">
      <c r="D152" s="3"/>
      <c r="E152" s="3"/>
      <c r="F152" s="10"/>
      <c r="G152" s="10"/>
      <c r="I152" s="3"/>
    </row>
    <row r="153" spans="4:9" s="2" customFormat="1">
      <c r="D153" s="3"/>
      <c r="E153" s="3"/>
      <c r="F153" s="10"/>
      <c r="G153" s="10"/>
      <c r="I153" s="3"/>
    </row>
    <row r="154" spans="4:9" s="2" customFormat="1">
      <c r="D154" s="3"/>
      <c r="E154" s="3"/>
      <c r="F154" s="10"/>
      <c r="G154" s="10"/>
      <c r="I154" s="3"/>
    </row>
    <row r="155" spans="4:9" s="2" customFormat="1">
      <c r="D155" s="3"/>
      <c r="E155" s="3"/>
      <c r="F155" s="10"/>
      <c r="G155" s="10"/>
      <c r="I155" s="3"/>
    </row>
    <row r="156" spans="4:9" s="2" customFormat="1">
      <c r="D156" s="3"/>
      <c r="E156" s="3"/>
      <c r="F156" s="10"/>
      <c r="G156" s="10"/>
      <c r="I156" s="3"/>
    </row>
    <row r="157" spans="4:9" s="2" customFormat="1">
      <c r="D157" s="3"/>
      <c r="E157" s="3"/>
      <c r="F157" s="10"/>
      <c r="G157" s="10"/>
      <c r="I157" s="3"/>
    </row>
    <row r="158" spans="4:9" s="2" customFormat="1">
      <c r="D158" s="3"/>
      <c r="E158" s="3"/>
      <c r="F158" s="10"/>
      <c r="G158" s="10"/>
      <c r="I158" s="3"/>
    </row>
    <row r="159" spans="4:9" s="2" customFormat="1">
      <c r="D159" s="3"/>
      <c r="E159" s="3"/>
      <c r="F159" s="10"/>
      <c r="G159" s="10"/>
      <c r="I159" s="3"/>
    </row>
    <row r="160" spans="4:9" s="2" customFormat="1">
      <c r="D160" s="3"/>
      <c r="E160" s="3"/>
      <c r="F160" s="10"/>
      <c r="G160" s="10"/>
      <c r="I160" s="3"/>
    </row>
    <row r="161" spans="4:9" s="2" customFormat="1">
      <c r="D161" s="3"/>
      <c r="E161" s="3"/>
      <c r="F161" s="10"/>
      <c r="G161" s="10"/>
      <c r="I161" s="3"/>
    </row>
    <row r="162" spans="4:9" s="2" customFormat="1">
      <c r="D162" s="3"/>
      <c r="E162" s="3"/>
      <c r="F162" s="10"/>
      <c r="G162" s="10"/>
      <c r="I162" s="3"/>
    </row>
    <row r="163" spans="4:9" s="2" customFormat="1">
      <c r="D163" s="3"/>
      <c r="E163" s="3"/>
      <c r="F163" s="10"/>
      <c r="G163" s="10"/>
      <c r="I163" s="3"/>
    </row>
    <row r="164" spans="4:9" s="2" customFormat="1">
      <c r="D164" s="3"/>
      <c r="E164" s="3"/>
      <c r="F164" s="10"/>
      <c r="G164" s="10"/>
      <c r="I164" s="3"/>
    </row>
    <row r="165" spans="4:9" s="2" customFormat="1">
      <c r="D165" s="3"/>
      <c r="E165" s="3"/>
      <c r="F165" s="10"/>
      <c r="G165" s="10"/>
      <c r="I165" s="3"/>
    </row>
    <row r="166" spans="4:9" s="2" customFormat="1">
      <c r="D166" s="3"/>
      <c r="E166" s="3"/>
      <c r="F166" s="10"/>
      <c r="G166" s="10"/>
      <c r="I166" s="3"/>
    </row>
    <row r="167" spans="4:9" s="2" customFormat="1">
      <c r="D167" s="3"/>
      <c r="E167" s="3"/>
      <c r="F167" s="10"/>
      <c r="G167" s="10"/>
      <c r="I167" s="3"/>
    </row>
    <row r="168" spans="4:9" s="2" customFormat="1">
      <c r="D168" s="3"/>
      <c r="E168" s="3"/>
      <c r="F168" s="10"/>
      <c r="G168" s="10"/>
      <c r="I168" s="3"/>
    </row>
    <row r="169" spans="4:9" s="2" customFormat="1">
      <c r="D169" s="3"/>
      <c r="E169" s="3"/>
      <c r="F169" s="10"/>
      <c r="G169" s="10"/>
      <c r="I169" s="3"/>
    </row>
    <row r="170" spans="4:9" s="2" customFormat="1">
      <c r="D170" s="3"/>
      <c r="E170" s="3"/>
      <c r="F170" s="10"/>
      <c r="G170" s="10"/>
      <c r="I170" s="3"/>
    </row>
    <row r="171" spans="4:9" s="2" customFormat="1">
      <c r="D171" s="3"/>
      <c r="E171" s="3"/>
      <c r="F171" s="10"/>
      <c r="G171" s="10"/>
      <c r="I171" s="3"/>
    </row>
    <row r="172" spans="4:9" s="2" customFormat="1">
      <c r="D172" s="3"/>
      <c r="E172" s="3"/>
      <c r="F172" s="10"/>
      <c r="G172" s="10"/>
      <c r="I172" s="3"/>
    </row>
    <row r="173" spans="4:9" s="2" customFormat="1">
      <c r="D173" s="3"/>
      <c r="E173" s="3"/>
      <c r="F173" s="10"/>
      <c r="G173" s="10"/>
      <c r="I173" s="3"/>
    </row>
    <row r="174" spans="4:9" s="2" customFormat="1">
      <c r="D174" s="3"/>
      <c r="E174" s="3"/>
      <c r="F174" s="10"/>
      <c r="G174" s="10"/>
      <c r="I174" s="3"/>
    </row>
    <row r="175" spans="4:9" s="2" customFormat="1">
      <c r="D175" s="3"/>
      <c r="E175" s="3"/>
      <c r="F175" s="10"/>
      <c r="G175" s="10"/>
      <c r="I175" s="3"/>
    </row>
    <row r="176" spans="4:9" s="2" customFormat="1">
      <c r="D176" s="3"/>
      <c r="E176" s="3"/>
      <c r="F176" s="10"/>
      <c r="G176" s="10"/>
      <c r="I176" s="3"/>
    </row>
    <row r="177" spans="4:9" s="2" customFormat="1">
      <c r="D177" s="3"/>
      <c r="E177" s="3"/>
      <c r="F177" s="10"/>
      <c r="G177" s="10"/>
      <c r="I177" s="3"/>
    </row>
    <row r="178" spans="4:9" s="2" customFormat="1">
      <c r="D178" s="3"/>
      <c r="E178" s="3"/>
      <c r="F178" s="10"/>
      <c r="G178" s="10"/>
      <c r="I178" s="3"/>
    </row>
    <row r="179" spans="4:9" s="2" customFormat="1">
      <c r="D179" s="3"/>
      <c r="E179" s="3"/>
      <c r="F179" s="10"/>
      <c r="G179" s="10"/>
      <c r="I179" s="3"/>
    </row>
    <row r="180" spans="4:9" s="2" customFormat="1">
      <c r="D180" s="3"/>
      <c r="E180" s="3"/>
      <c r="F180" s="10"/>
      <c r="G180" s="10"/>
      <c r="I180" s="3"/>
    </row>
    <row r="181" spans="4:9" s="2" customFormat="1">
      <c r="D181" s="3"/>
      <c r="E181" s="3"/>
      <c r="F181" s="10"/>
      <c r="G181" s="10"/>
      <c r="I181" s="3"/>
    </row>
    <row r="182" spans="4:9" s="2" customFormat="1">
      <c r="D182" s="3"/>
      <c r="E182" s="3"/>
      <c r="F182" s="10"/>
      <c r="G182" s="10"/>
      <c r="I182" s="3"/>
    </row>
    <row r="183" spans="4:9" s="2" customFormat="1">
      <c r="D183" s="3"/>
      <c r="E183" s="3"/>
      <c r="F183" s="10"/>
      <c r="G183" s="10"/>
      <c r="I183" s="3"/>
    </row>
    <row r="184" spans="4:9" s="2" customFormat="1">
      <c r="D184" s="3"/>
      <c r="E184" s="3"/>
      <c r="F184" s="10"/>
      <c r="G184" s="10"/>
      <c r="I184" s="3"/>
    </row>
    <row r="185" spans="4:9" s="2" customFormat="1">
      <c r="D185" s="3"/>
      <c r="E185" s="3"/>
      <c r="F185" s="10"/>
      <c r="G185" s="10"/>
      <c r="I185" s="3"/>
    </row>
    <row r="186" spans="4:9" s="2" customFormat="1">
      <c r="D186" s="3"/>
      <c r="E186" s="3"/>
      <c r="F186" s="10"/>
      <c r="G186" s="10"/>
      <c r="I186" s="3"/>
    </row>
    <row r="187" spans="4:9" s="2" customFormat="1">
      <c r="D187" s="3"/>
      <c r="E187" s="3"/>
      <c r="F187" s="10"/>
      <c r="G187" s="10"/>
      <c r="I187" s="3"/>
    </row>
    <row r="188" spans="4:9" s="2" customFormat="1">
      <c r="D188" s="3"/>
      <c r="E188" s="3"/>
      <c r="F188" s="10"/>
      <c r="G188" s="10"/>
      <c r="I188" s="3"/>
    </row>
    <row r="189" spans="4:9" s="2" customFormat="1">
      <c r="D189" s="3"/>
      <c r="E189" s="3"/>
      <c r="F189" s="10"/>
      <c r="G189" s="10"/>
      <c r="I189" s="3"/>
    </row>
    <row r="190" spans="4:9" s="2" customFormat="1">
      <c r="D190" s="3"/>
      <c r="E190" s="3"/>
      <c r="F190" s="10"/>
      <c r="G190" s="10"/>
      <c r="I190" s="3"/>
    </row>
    <row r="191" spans="4:9" s="2" customFormat="1">
      <c r="D191" s="3"/>
      <c r="E191" s="3"/>
      <c r="F191" s="10"/>
      <c r="G191" s="10"/>
      <c r="I191" s="3"/>
    </row>
    <row r="192" spans="4:9" s="2" customFormat="1">
      <c r="D192" s="3"/>
      <c r="E192" s="3"/>
      <c r="F192" s="10"/>
      <c r="G192" s="10"/>
      <c r="I192" s="3"/>
    </row>
    <row r="193" spans="4:9" s="2" customFormat="1">
      <c r="D193" s="3"/>
      <c r="E193" s="3"/>
      <c r="F193" s="10"/>
      <c r="G193" s="10"/>
      <c r="I193" s="3"/>
    </row>
    <row r="194" spans="4:9" s="2" customFormat="1">
      <c r="D194" s="3"/>
      <c r="E194" s="3"/>
      <c r="F194" s="10"/>
      <c r="G194" s="10"/>
      <c r="I194" s="3"/>
    </row>
    <row r="195" spans="4:9" s="2" customFormat="1">
      <c r="D195" s="3"/>
      <c r="E195" s="3"/>
      <c r="F195" s="10"/>
      <c r="G195" s="10"/>
      <c r="I195" s="3"/>
    </row>
    <row r="196" spans="4:9" s="2" customFormat="1">
      <c r="D196" s="3"/>
      <c r="E196" s="3"/>
      <c r="F196" s="10"/>
      <c r="G196" s="10"/>
      <c r="I196" s="3"/>
    </row>
    <row r="197" spans="4:9" s="2" customFormat="1">
      <c r="D197" s="3"/>
      <c r="E197" s="3"/>
      <c r="F197" s="10"/>
      <c r="G197" s="10"/>
      <c r="I197" s="3"/>
    </row>
    <row r="198" spans="4:9" s="2" customFormat="1">
      <c r="D198" s="3"/>
      <c r="E198" s="3"/>
      <c r="F198" s="10"/>
      <c r="G198" s="10"/>
      <c r="I198" s="3"/>
    </row>
    <row r="199" spans="4:9" s="2" customFormat="1">
      <c r="D199" s="3"/>
      <c r="E199" s="3"/>
      <c r="F199" s="10"/>
      <c r="G199" s="10"/>
      <c r="I199" s="3"/>
    </row>
    <row r="200" spans="4:9" s="2" customFormat="1">
      <c r="D200" s="3"/>
      <c r="E200" s="3"/>
      <c r="F200" s="10"/>
      <c r="G200" s="10"/>
      <c r="I200" s="3"/>
    </row>
    <row r="201" spans="4:9" s="2" customFormat="1">
      <c r="D201" s="3"/>
      <c r="E201" s="3"/>
      <c r="F201" s="10"/>
      <c r="G201" s="10"/>
      <c r="I201" s="3"/>
    </row>
    <row r="202" spans="4:9" s="2" customFormat="1">
      <c r="D202" s="3"/>
      <c r="E202" s="3"/>
      <c r="F202" s="10"/>
      <c r="G202" s="10"/>
      <c r="I202" s="3"/>
    </row>
    <row r="203" spans="4:9" s="2" customFormat="1">
      <c r="D203" s="3"/>
      <c r="E203" s="3"/>
      <c r="F203" s="10"/>
      <c r="G203" s="10"/>
      <c r="I203" s="3"/>
    </row>
    <row r="204" spans="4:9" s="2" customFormat="1">
      <c r="D204" s="3"/>
      <c r="E204" s="3"/>
      <c r="F204" s="10"/>
      <c r="G204" s="10"/>
      <c r="I204" s="3"/>
    </row>
    <row r="205" spans="4:9" s="2" customFormat="1">
      <c r="D205" s="3"/>
      <c r="E205" s="3"/>
      <c r="F205" s="10"/>
      <c r="G205" s="10"/>
      <c r="I205" s="3"/>
    </row>
    <row r="206" spans="4:9" s="2" customFormat="1">
      <c r="D206" s="3"/>
      <c r="E206" s="3"/>
      <c r="F206" s="10"/>
      <c r="G206" s="10"/>
      <c r="I206" s="3"/>
    </row>
    <row r="207" spans="4:9" s="2" customFormat="1">
      <c r="D207" s="3"/>
      <c r="E207" s="3"/>
      <c r="F207" s="10"/>
      <c r="G207" s="10"/>
      <c r="I207" s="3"/>
    </row>
    <row r="208" spans="4:9" s="2" customFormat="1">
      <c r="D208" s="3"/>
      <c r="E208" s="3"/>
      <c r="F208" s="10"/>
      <c r="G208" s="10"/>
      <c r="I208" s="3"/>
    </row>
    <row r="209" spans="4:9" s="2" customFormat="1">
      <c r="D209" s="3"/>
      <c r="E209" s="3"/>
      <c r="F209" s="10"/>
      <c r="G209" s="10"/>
      <c r="I209" s="3"/>
    </row>
    <row r="210" spans="4:9" s="2" customFormat="1">
      <c r="D210" s="3"/>
      <c r="E210" s="3"/>
      <c r="F210" s="10"/>
      <c r="G210" s="10"/>
      <c r="I210" s="3"/>
    </row>
    <row r="211" spans="4:9" s="2" customFormat="1">
      <c r="D211" s="3"/>
      <c r="E211" s="3"/>
      <c r="F211" s="10"/>
      <c r="G211" s="10"/>
      <c r="I211" s="3"/>
    </row>
    <row r="212" spans="4:9" s="2" customFormat="1">
      <c r="D212" s="3"/>
      <c r="E212" s="3"/>
      <c r="F212" s="10"/>
      <c r="G212" s="10"/>
      <c r="I212" s="3"/>
    </row>
    <row r="213" spans="4:9" s="2" customFormat="1">
      <c r="D213" s="3"/>
      <c r="E213" s="3"/>
      <c r="F213" s="10"/>
      <c r="G213" s="10"/>
      <c r="I213" s="3"/>
    </row>
    <row r="214" spans="4:9" s="2" customFormat="1">
      <c r="D214" s="3"/>
      <c r="E214" s="3"/>
      <c r="F214" s="10"/>
      <c r="G214" s="10"/>
      <c r="I214" s="3"/>
    </row>
    <row r="215" spans="4:9" s="2" customFormat="1">
      <c r="D215" s="3"/>
      <c r="E215" s="3"/>
      <c r="F215" s="10"/>
      <c r="G215" s="10"/>
      <c r="I215" s="3"/>
    </row>
    <row r="216" spans="4:9" s="2" customFormat="1">
      <c r="D216" s="3"/>
      <c r="E216" s="3"/>
      <c r="F216" s="10"/>
      <c r="G216" s="10"/>
      <c r="I216" s="3"/>
    </row>
    <row r="217" spans="4:9" s="2" customFormat="1">
      <c r="D217" s="3"/>
      <c r="E217" s="3"/>
      <c r="F217" s="10"/>
      <c r="G217" s="10"/>
      <c r="I217" s="3"/>
    </row>
    <row r="218" spans="4:9" s="2" customFormat="1">
      <c r="D218" s="3"/>
      <c r="E218" s="3"/>
      <c r="F218" s="10"/>
      <c r="G218" s="10"/>
      <c r="I218" s="3"/>
    </row>
    <row r="219" spans="4:9" s="2" customFormat="1">
      <c r="D219" s="3"/>
      <c r="E219" s="3"/>
      <c r="F219" s="10"/>
      <c r="G219" s="10"/>
      <c r="I219" s="3"/>
    </row>
    <row r="220" spans="4:9" s="2" customFormat="1">
      <c r="D220" s="3"/>
      <c r="E220" s="3"/>
      <c r="F220" s="10"/>
      <c r="G220" s="10"/>
      <c r="I220" s="3"/>
    </row>
    <row r="221" spans="4:9" s="2" customFormat="1">
      <c r="D221" s="3"/>
      <c r="E221" s="3"/>
      <c r="F221" s="10"/>
      <c r="G221" s="10"/>
      <c r="I221" s="3"/>
    </row>
    <row r="222" spans="4:9" s="2" customFormat="1">
      <c r="D222" s="3"/>
      <c r="E222" s="3"/>
      <c r="F222" s="10"/>
      <c r="G222" s="10"/>
      <c r="I222" s="3"/>
    </row>
    <row r="223" spans="4:9" s="2" customFormat="1">
      <c r="D223" s="3"/>
      <c r="E223" s="3"/>
      <c r="F223" s="10"/>
      <c r="G223" s="10"/>
      <c r="I223" s="3"/>
    </row>
    <row r="224" spans="4:9" s="2" customFormat="1">
      <c r="D224" s="3"/>
      <c r="E224" s="3"/>
      <c r="F224" s="10"/>
      <c r="G224" s="10"/>
      <c r="I224" s="3"/>
    </row>
    <row r="225" spans="4:9" s="2" customFormat="1">
      <c r="D225" s="3"/>
      <c r="E225" s="3"/>
      <c r="F225" s="10"/>
      <c r="G225" s="10"/>
      <c r="I225" s="3"/>
    </row>
    <row r="226" spans="4:9" s="2" customFormat="1">
      <c r="D226" s="3"/>
      <c r="E226" s="3"/>
      <c r="F226" s="10"/>
      <c r="G226" s="10"/>
      <c r="I226" s="3"/>
    </row>
    <row r="227" spans="4:9" s="2" customFormat="1">
      <c r="D227" s="3"/>
      <c r="E227" s="3"/>
      <c r="F227" s="10"/>
      <c r="G227" s="10"/>
      <c r="I227" s="3"/>
    </row>
    <row r="228" spans="4:9" s="2" customFormat="1">
      <c r="D228" s="3"/>
      <c r="E228" s="3"/>
      <c r="F228" s="10"/>
      <c r="G228" s="10"/>
      <c r="I228" s="3"/>
    </row>
    <row r="229" spans="4:9" s="2" customFormat="1">
      <c r="D229" s="3"/>
      <c r="E229" s="3"/>
      <c r="F229" s="10"/>
      <c r="G229" s="10"/>
      <c r="I229" s="3"/>
    </row>
    <row r="230" spans="4:9" s="2" customFormat="1">
      <c r="D230" s="3"/>
      <c r="E230" s="3"/>
      <c r="F230" s="10"/>
      <c r="G230" s="10"/>
      <c r="I230" s="3"/>
    </row>
    <row r="231" spans="4:9" s="2" customFormat="1">
      <c r="D231" s="3"/>
      <c r="E231" s="3"/>
      <c r="F231" s="10"/>
      <c r="G231" s="10"/>
      <c r="I231" s="3"/>
    </row>
    <row r="232" spans="4:9" s="2" customFormat="1">
      <c r="D232" s="3"/>
      <c r="E232" s="3"/>
      <c r="F232" s="10"/>
      <c r="G232" s="10"/>
      <c r="I232" s="3"/>
    </row>
    <row r="233" spans="4:9" s="2" customFormat="1">
      <c r="D233" s="3"/>
      <c r="E233" s="3"/>
      <c r="F233" s="10"/>
      <c r="G233" s="10"/>
      <c r="I233" s="3"/>
    </row>
    <row r="234" spans="4:9" s="2" customFormat="1">
      <c r="D234" s="3"/>
      <c r="E234" s="3"/>
      <c r="F234" s="10"/>
      <c r="G234" s="10"/>
      <c r="I234" s="3"/>
    </row>
    <row r="235" spans="4:9" s="2" customFormat="1">
      <c r="D235" s="3"/>
      <c r="E235" s="3"/>
      <c r="F235" s="10"/>
      <c r="G235" s="10"/>
      <c r="I235" s="3"/>
    </row>
    <row r="236" spans="4:9" s="2" customFormat="1">
      <c r="D236" s="3"/>
      <c r="E236" s="3"/>
      <c r="F236" s="10"/>
      <c r="G236" s="10"/>
      <c r="I236" s="3"/>
    </row>
    <row r="237" spans="4:9" s="2" customFormat="1">
      <c r="D237" s="3"/>
      <c r="E237" s="3"/>
      <c r="F237" s="10"/>
      <c r="G237" s="10"/>
      <c r="I237" s="3"/>
    </row>
    <row r="238" spans="4:9" s="2" customFormat="1">
      <c r="D238" s="3"/>
      <c r="E238" s="3"/>
      <c r="F238" s="10"/>
      <c r="G238" s="10"/>
      <c r="I238" s="3"/>
    </row>
    <row r="239" spans="4:9" s="2" customFormat="1">
      <c r="D239" s="3"/>
      <c r="E239" s="3"/>
      <c r="F239" s="10"/>
      <c r="G239" s="10"/>
      <c r="I239" s="3"/>
    </row>
    <row r="240" spans="4:9" s="2" customFormat="1">
      <c r="D240" s="3"/>
      <c r="E240" s="3"/>
      <c r="F240" s="10"/>
      <c r="G240" s="10"/>
      <c r="I240" s="3"/>
    </row>
    <row r="241" spans="4:9" s="2" customFormat="1">
      <c r="D241" s="3"/>
      <c r="E241" s="3"/>
      <c r="F241" s="10"/>
      <c r="G241" s="10"/>
      <c r="I241" s="3"/>
    </row>
    <row r="242" spans="4:9" s="2" customFormat="1">
      <c r="D242" s="3"/>
      <c r="E242" s="3"/>
      <c r="F242" s="10"/>
      <c r="G242" s="10"/>
      <c r="I242" s="3"/>
    </row>
    <row r="243" spans="4:9" s="2" customFormat="1">
      <c r="D243" s="3"/>
      <c r="E243" s="3"/>
      <c r="F243" s="10"/>
      <c r="G243" s="10"/>
      <c r="I243" s="3"/>
    </row>
    <row r="244" spans="4:9" s="2" customFormat="1">
      <c r="D244" s="3"/>
      <c r="E244" s="3"/>
      <c r="F244" s="10"/>
      <c r="G244" s="10"/>
      <c r="I244" s="3"/>
    </row>
    <row r="245" spans="4:9" s="2" customFormat="1">
      <c r="D245" s="3"/>
      <c r="E245" s="3"/>
      <c r="F245" s="10"/>
      <c r="G245" s="10"/>
      <c r="I245" s="3"/>
    </row>
    <row r="246" spans="4:9" s="2" customFormat="1">
      <c r="D246" s="3"/>
      <c r="E246" s="3"/>
      <c r="F246" s="10"/>
      <c r="G246" s="10"/>
      <c r="I246" s="3"/>
    </row>
    <row r="247" spans="4:9" s="2" customFormat="1">
      <c r="D247" s="3"/>
      <c r="E247" s="3"/>
      <c r="F247" s="10"/>
      <c r="G247" s="10"/>
      <c r="I247" s="3"/>
    </row>
    <row r="248" spans="4:9" s="2" customFormat="1">
      <c r="D248" s="3"/>
      <c r="E248" s="3"/>
      <c r="F248" s="10"/>
      <c r="G248" s="10"/>
      <c r="I248" s="3"/>
    </row>
    <row r="249" spans="4:9" s="2" customFormat="1">
      <c r="D249" s="3"/>
      <c r="E249" s="3"/>
      <c r="F249" s="10"/>
      <c r="G249" s="10"/>
      <c r="I249" s="3"/>
    </row>
    <row r="250" spans="4:9" s="2" customFormat="1">
      <c r="D250" s="3"/>
      <c r="E250" s="3"/>
      <c r="F250" s="10"/>
      <c r="G250" s="10"/>
      <c r="I250" s="3"/>
    </row>
    <row r="251" spans="4:9" s="2" customFormat="1">
      <c r="D251" s="3"/>
      <c r="E251" s="3"/>
      <c r="F251" s="10"/>
      <c r="G251" s="10"/>
      <c r="I251" s="3"/>
    </row>
    <row r="252" spans="4:9" s="2" customFormat="1">
      <c r="D252" s="3"/>
      <c r="E252" s="3"/>
      <c r="F252" s="10"/>
      <c r="G252" s="10"/>
      <c r="I252" s="3"/>
    </row>
    <row r="253" spans="4:9" s="2" customFormat="1">
      <c r="D253" s="3"/>
      <c r="E253" s="3"/>
      <c r="F253" s="10"/>
      <c r="G253" s="10"/>
      <c r="I253" s="3"/>
    </row>
    <row r="254" spans="4:9" s="2" customFormat="1">
      <c r="D254" s="3"/>
      <c r="E254" s="3"/>
      <c r="F254" s="10"/>
      <c r="G254" s="10"/>
      <c r="I254" s="3"/>
    </row>
    <row r="255" spans="4:9" s="2" customFormat="1">
      <c r="D255" s="3"/>
      <c r="E255" s="3"/>
      <c r="F255" s="10"/>
      <c r="G255" s="10"/>
      <c r="I255" s="3"/>
    </row>
    <row r="256" spans="4:9" s="2" customFormat="1">
      <c r="D256" s="3"/>
      <c r="E256" s="3"/>
      <c r="F256" s="10"/>
      <c r="G256" s="10"/>
      <c r="I256" s="3"/>
    </row>
    <row r="257" spans="4:9" s="2" customFormat="1">
      <c r="D257" s="3"/>
      <c r="E257" s="3"/>
      <c r="F257" s="10"/>
      <c r="G257" s="10"/>
      <c r="I257" s="3"/>
    </row>
    <row r="258" spans="4:9" s="2" customFormat="1">
      <c r="D258" s="3"/>
      <c r="E258" s="3"/>
      <c r="F258" s="10"/>
      <c r="G258" s="10"/>
      <c r="I258" s="3"/>
    </row>
    <row r="259" spans="4:9" s="2" customFormat="1">
      <c r="D259" s="3"/>
      <c r="E259" s="3"/>
      <c r="F259" s="10"/>
      <c r="G259" s="10"/>
      <c r="I259" s="3"/>
    </row>
    <row r="260" spans="4:9" s="2" customFormat="1">
      <c r="D260" s="3"/>
      <c r="E260" s="3"/>
      <c r="F260" s="10"/>
      <c r="G260" s="10"/>
      <c r="I260" s="3"/>
    </row>
    <row r="261" spans="4:9" s="2" customFormat="1">
      <c r="D261" s="3"/>
      <c r="E261" s="3"/>
      <c r="F261" s="10"/>
      <c r="G261" s="10"/>
      <c r="I261" s="3"/>
    </row>
    <row r="262" spans="4:9" s="2" customFormat="1">
      <c r="D262" s="3"/>
      <c r="E262" s="3"/>
      <c r="F262" s="10"/>
      <c r="G262" s="10"/>
      <c r="I262" s="3"/>
    </row>
    <row r="263" spans="4:9" s="2" customFormat="1">
      <c r="D263" s="3"/>
      <c r="E263" s="3"/>
      <c r="F263" s="10"/>
      <c r="G263" s="10"/>
      <c r="I263" s="3"/>
    </row>
    <row r="264" spans="4:9" s="2" customFormat="1">
      <c r="D264" s="3"/>
      <c r="E264" s="3"/>
      <c r="F264" s="10"/>
      <c r="G264" s="10"/>
      <c r="I264" s="3"/>
    </row>
    <row r="265" spans="4:9" s="2" customFormat="1">
      <c r="D265" s="3"/>
      <c r="E265" s="3"/>
      <c r="F265" s="10"/>
      <c r="G265" s="10"/>
      <c r="I265" s="3"/>
    </row>
    <row r="266" spans="4:9" s="2" customFormat="1">
      <c r="D266" s="3"/>
      <c r="E266" s="3"/>
      <c r="F266" s="10"/>
      <c r="G266" s="10"/>
      <c r="I266" s="3"/>
    </row>
    <row r="267" spans="4:9" s="2" customFormat="1">
      <c r="D267" s="3"/>
      <c r="E267" s="3"/>
      <c r="F267" s="10"/>
      <c r="G267" s="10"/>
      <c r="I267" s="3"/>
    </row>
    <row r="268" spans="4:9" s="2" customFormat="1">
      <c r="D268" s="3"/>
      <c r="E268" s="3"/>
      <c r="F268" s="10"/>
      <c r="G268" s="10"/>
      <c r="I268" s="3"/>
    </row>
    <row r="269" spans="4:9" s="2" customFormat="1">
      <c r="D269" s="3"/>
      <c r="E269" s="3"/>
      <c r="F269" s="10"/>
      <c r="G269" s="10"/>
      <c r="I269" s="3"/>
    </row>
    <row r="270" spans="4:9" s="2" customFormat="1">
      <c r="D270" s="3"/>
      <c r="E270" s="3"/>
      <c r="F270" s="10"/>
      <c r="G270" s="10"/>
      <c r="I270" s="3"/>
    </row>
    <row r="271" spans="4:9" s="2" customFormat="1">
      <c r="D271" s="3"/>
      <c r="E271" s="3"/>
      <c r="F271" s="10"/>
      <c r="G271" s="10"/>
      <c r="I271" s="3"/>
    </row>
    <row r="272" spans="4:9" s="2" customFormat="1">
      <c r="D272" s="3"/>
      <c r="E272" s="3"/>
      <c r="F272" s="10"/>
      <c r="G272" s="10"/>
      <c r="I272" s="3"/>
    </row>
    <row r="273" spans="4:9" s="2" customFormat="1">
      <c r="D273" s="3"/>
      <c r="E273" s="3"/>
      <c r="F273" s="10"/>
      <c r="G273" s="10"/>
      <c r="I273" s="3"/>
    </row>
    <row r="274" spans="4:9" s="2" customFormat="1">
      <c r="D274" s="3"/>
      <c r="E274" s="3"/>
      <c r="F274" s="10"/>
      <c r="G274" s="10"/>
      <c r="I274" s="3"/>
    </row>
    <row r="275" spans="4:9" s="2" customFormat="1">
      <c r="D275" s="3"/>
      <c r="E275" s="3"/>
      <c r="F275" s="10"/>
      <c r="G275" s="10"/>
      <c r="I275" s="3"/>
    </row>
    <row r="276" spans="4:9" s="2" customFormat="1">
      <c r="D276" s="3"/>
      <c r="E276" s="3"/>
      <c r="F276" s="10"/>
      <c r="G276" s="10"/>
      <c r="I276" s="3"/>
    </row>
    <row r="277" spans="4:9" s="2" customFormat="1">
      <c r="D277" s="3"/>
      <c r="E277" s="3"/>
      <c r="F277" s="10"/>
      <c r="G277" s="10"/>
      <c r="I277" s="3"/>
    </row>
    <row r="278" spans="4:9" s="2" customFormat="1">
      <c r="D278" s="3"/>
      <c r="E278" s="3"/>
      <c r="F278" s="10"/>
      <c r="G278" s="10"/>
      <c r="I278" s="3"/>
    </row>
    <row r="279" spans="4:9" s="2" customFormat="1">
      <c r="D279" s="3"/>
      <c r="E279" s="3"/>
      <c r="F279" s="10"/>
      <c r="G279" s="10"/>
      <c r="I279" s="3"/>
    </row>
    <row r="280" spans="4:9" s="2" customFormat="1">
      <c r="D280" s="3"/>
      <c r="E280" s="3"/>
      <c r="F280" s="10"/>
      <c r="G280" s="10"/>
      <c r="I280" s="3"/>
    </row>
    <row r="281" spans="4:9" s="2" customFormat="1">
      <c r="D281" s="3"/>
      <c r="E281" s="3"/>
      <c r="F281" s="10"/>
      <c r="G281" s="10"/>
      <c r="I281" s="3"/>
    </row>
    <row r="282" spans="4:9" s="2" customFormat="1">
      <c r="D282" s="3"/>
      <c r="E282" s="3"/>
      <c r="F282" s="10"/>
      <c r="G282" s="10"/>
      <c r="I282" s="3"/>
    </row>
    <row r="283" spans="4:9" s="2" customFormat="1">
      <c r="D283" s="3"/>
      <c r="E283" s="3"/>
      <c r="F283" s="10"/>
      <c r="G283" s="10"/>
      <c r="I283" s="3"/>
    </row>
    <row r="284" spans="4:9" s="2" customFormat="1">
      <c r="D284" s="3"/>
      <c r="E284" s="3"/>
      <c r="F284" s="10"/>
      <c r="G284" s="10"/>
      <c r="I284" s="3"/>
    </row>
    <row r="285" spans="4:9" s="2" customFormat="1">
      <c r="D285" s="3"/>
      <c r="E285" s="3"/>
      <c r="F285" s="10"/>
      <c r="G285" s="10"/>
      <c r="I285" s="3"/>
    </row>
    <row r="286" spans="4:9" s="2" customFormat="1">
      <c r="D286" s="3"/>
      <c r="E286" s="3"/>
      <c r="F286" s="10"/>
      <c r="G286" s="10"/>
      <c r="I286" s="3"/>
    </row>
    <row r="287" spans="4:9" s="2" customFormat="1">
      <c r="D287" s="3"/>
      <c r="E287" s="3"/>
      <c r="F287" s="10"/>
      <c r="G287" s="10"/>
      <c r="I287" s="3"/>
    </row>
    <row r="288" spans="4:9" s="2" customFormat="1">
      <c r="D288" s="3"/>
      <c r="E288" s="3"/>
      <c r="F288" s="10"/>
      <c r="G288" s="10"/>
      <c r="I288" s="3"/>
    </row>
    <row r="289" spans="4:9" s="2" customFormat="1">
      <c r="D289" s="3"/>
      <c r="E289" s="3"/>
      <c r="F289" s="10"/>
      <c r="G289" s="10"/>
      <c r="I289" s="3"/>
    </row>
    <row r="290" spans="4:9" s="2" customFormat="1">
      <c r="D290" s="3"/>
      <c r="E290" s="3"/>
      <c r="F290" s="10"/>
      <c r="G290" s="10"/>
      <c r="I290" s="3"/>
    </row>
    <row r="291" spans="4:9" s="2" customFormat="1">
      <c r="D291" s="3"/>
      <c r="E291" s="3"/>
      <c r="F291" s="10"/>
      <c r="G291" s="10"/>
      <c r="I291" s="3"/>
    </row>
    <row r="292" spans="4:9" s="2" customFormat="1">
      <c r="D292" s="3"/>
      <c r="E292" s="3"/>
      <c r="F292" s="10"/>
      <c r="G292" s="10"/>
      <c r="I292" s="3"/>
    </row>
    <row r="293" spans="4:9" s="2" customFormat="1">
      <c r="D293" s="3"/>
      <c r="E293" s="3"/>
      <c r="F293" s="10"/>
      <c r="G293" s="10"/>
      <c r="I293" s="3"/>
    </row>
    <row r="294" spans="4:9" s="2" customFormat="1">
      <c r="D294" s="3"/>
      <c r="E294" s="3"/>
      <c r="F294" s="10"/>
      <c r="G294" s="10"/>
      <c r="I294" s="3"/>
    </row>
    <row r="295" spans="4:9" s="2" customFormat="1">
      <c r="D295" s="3"/>
      <c r="E295" s="3"/>
      <c r="F295" s="10"/>
      <c r="G295" s="10"/>
      <c r="I295" s="3"/>
    </row>
    <row r="296" spans="4:9" s="2" customFormat="1">
      <c r="D296" s="3"/>
      <c r="E296" s="3"/>
      <c r="F296" s="10"/>
      <c r="G296" s="10"/>
      <c r="I296" s="3"/>
    </row>
    <row r="297" spans="4:9" s="2" customFormat="1">
      <c r="D297" s="3"/>
      <c r="E297" s="3"/>
      <c r="F297" s="10"/>
      <c r="G297" s="10"/>
      <c r="I297" s="3"/>
    </row>
    <row r="298" spans="4:9" s="2" customFormat="1">
      <c r="D298" s="3"/>
      <c r="E298" s="3"/>
      <c r="F298" s="10"/>
      <c r="G298" s="10"/>
      <c r="I298" s="3"/>
    </row>
    <row r="299" spans="4:9" s="2" customFormat="1">
      <c r="D299" s="3"/>
      <c r="E299" s="3"/>
      <c r="F299" s="10"/>
      <c r="G299" s="10"/>
      <c r="I299" s="3"/>
    </row>
    <row r="300" spans="4:9" s="2" customFormat="1">
      <c r="D300" s="3"/>
      <c r="E300" s="3"/>
      <c r="F300" s="10"/>
      <c r="G300" s="10"/>
      <c r="I300" s="3"/>
    </row>
    <row r="301" spans="4:9" s="2" customFormat="1">
      <c r="D301" s="3"/>
      <c r="E301" s="3"/>
      <c r="F301" s="10"/>
      <c r="G301" s="10"/>
      <c r="I301" s="3"/>
    </row>
    <row r="302" spans="4:9" s="2" customFormat="1">
      <c r="D302" s="3"/>
      <c r="E302" s="3"/>
      <c r="F302" s="10"/>
      <c r="G302" s="10"/>
      <c r="I302" s="3"/>
    </row>
    <row r="303" spans="4:9" s="2" customFormat="1">
      <c r="D303" s="3"/>
      <c r="E303" s="3"/>
      <c r="F303" s="10"/>
      <c r="G303" s="10"/>
      <c r="I303" s="3"/>
    </row>
    <row r="304" spans="4:9" s="2" customFormat="1">
      <c r="D304" s="3"/>
      <c r="E304" s="3"/>
      <c r="F304" s="10"/>
      <c r="G304" s="10"/>
      <c r="I304" s="3"/>
    </row>
    <row r="305" spans="4:9" s="2" customFormat="1">
      <c r="D305" s="3"/>
      <c r="E305" s="3"/>
      <c r="F305" s="10"/>
      <c r="G305" s="10"/>
      <c r="I305" s="3"/>
    </row>
    <row r="306" spans="4:9" s="2" customFormat="1">
      <c r="D306" s="3"/>
      <c r="E306" s="3"/>
      <c r="F306" s="10"/>
      <c r="G306" s="10"/>
      <c r="I306" s="3"/>
    </row>
    <row r="307" spans="4:9" s="2" customFormat="1">
      <c r="D307" s="3"/>
      <c r="E307" s="3"/>
      <c r="F307" s="10"/>
      <c r="G307" s="10"/>
      <c r="I307" s="3"/>
    </row>
    <row r="308" spans="4:9" s="2" customFormat="1">
      <c r="D308" s="3"/>
      <c r="E308" s="3"/>
      <c r="F308" s="10"/>
      <c r="G308" s="10"/>
      <c r="I308" s="3"/>
    </row>
    <row r="309" spans="4:9" s="2" customFormat="1">
      <c r="D309" s="3"/>
      <c r="E309" s="3"/>
      <c r="F309" s="10"/>
      <c r="G309" s="10"/>
      <c r="I309" s="3"/>
    </row>
    <row r="310" spans="4:9" s="2" customFormat="1">
      <c r="D310" s="3"/>
      <c r="E310" s="3"/>
      <c r="F310" s="10"/>
      <c r="G310" s="10"/>
      <c r="I310" s="3"/>
    </row>
    <row r="311" spans="4:9" s="2" customFormat="1">
      <c r="D311" s="3"/>
      <c r="E311" s="3"/>
      <c r="F311" s="10"/>
      <c r="G311" s="10"/>
      <c r="I311" s="3"/>
    </row>
    <row r="312" spans="4:9" s="2" customFormat="1">
      <c r="D312" s="3"/>
      <c r="E312" s="3"/>
      <c r="F312" s="10"/>
      <c r="G312" s="10"/>
      <c r="I312" s="3"/>
    </row>
    <row r="313" spans="4:9" s="2" customFormat="1">
      <c r="D313" s="3"/>
      <c r="E313" s="3"/>
      <c r="F313" s="10"/>
      <c r="G313" s="10"/>
      <c r="I313" s="3"/>
    </row>
    <row r="314" spans="4:9" s="2" customFormat="1">
      <c r="D314" s="3"/>
      <c r="E314" s="3"/>
      <c r="F314" s="10"/>
      <c r="G314" s="10"/>
      <c r="I314" s="3"/>
    </row>
    <row r="315" spans="4:9" s="2" customFormat="1">
      <c r="D315" s="3"/>
      <c r="E315" s="3"/>
      <c r="F315" s="10"/>
      <c r="G315" s="10"/>
      <c r="I315" s="3"/>
    </row>
    <row r="316" spans="4:9" s="2" customFormat="1">
      <c r="D316" s="3"/>
      <c r="E316" s="3"/>
      <c r="F316" s="10"/>
      <c r="G316" s="10"/>
      <c r="I316" s="3"/>
    </row>
    <row r="317" spans="4:9" s="2" customFormat="1">
      <c r="D317" s="3"/>
      <c r="E317" s="3"/>
      <c r="F317" s="10"/>
      <c r="G317" s="10"/>
      <c r="I317" s="3"/>
    </row>
    <row r="318" spans="4:9" s="2" customFormat="1">
      <c r="D318" s="3"/>
      <c r="E318" s="3"/>
      <c r="F318" s="10"/>
      <c r="G318" s="10"/>
      <c r="I318" s="3"/>
    </row>
    <row r="319" spans="4:9" s="2" customFormat="1">
      <c r="D319" s="3"/>
      <c r="E319" s="3"/>
      <c r="F319" s="10"/>
      <c r="G319" s="10"/>
      <c r="I319" s="3"/>
    </row>
    <row r="320" spans="4:9" s="2" customFormat="1">
      <c r="D320" s="3"/>
      <c r="E320" s="3"/>
      <c r="F320" s="10"/>
      <c r="G320" s="10"/>
      <c r="I320" s="3"/>
    </row>
    <row r="321" spans="4:9" s="2" customFormat="1">
      <c r="D321" s="3"/>
      <c r="E321" s="3"/>
      <c r="F321" s="10"/>
      <c r="G321" s="10"/>
      <c r="I321" s="3"/>
    </row>
    <row r="322" spans="4:9" s="2" customFormat="1">
      <c r="D322" s="3"/>
      <c r="E322" s="3"/>
      <c r="F322" s="10"/>
      <c r="G322" s="10"/>
      <c r="I322" s="3"/>
    </row>
    <row r="323" spans="4:9" s="2" customFormat="1">
      <c r="D323" s="3"/>
      <c r="E323" s="3"/>
      <c r="F323" s="10"/>
      <c r="G323" s="10"/>
      <c r="I323" s="3"/>
    </row>
    <row r="324" spans="4:9" s="2" customFormat="1">
      <c r="D324" s="3"/>
      <c r="E324" s="3"/>
      <c r="F324" s="10"/>
      <c r="G324" s="10"/>
      <c r="I324" s="3"/>
    </row>
    <row r="325" spans="4:9" s="2" customFormat="1">
      <c r="D325" s="3"/>
      <c r="E325" s="3"/>
      <c r="F325" s="10"/>
      <c r="G325" s="10"/>
      <c r="I325" s="3"/>
    </row>
    <row r="326" spans="4:9" s="2" customFormat="1">
      <c r="D326" s="3"/>
      <c r="E326" s="3"/>
      <c r="F326" s="10"/>
      <c r="G326" s="10"/>
      <c r="I326" s="3"/>
    </row>
    <row r="327" spans="4:9" s="2" customFormat="1">
      <c r="D327" s="3"/>
      <c r="E327" s="3"/>
      <c r="F327" s="10"/>
      <c r="G327" s="10"/>
      <c r="I327" s="3"/>
    </row>
    <row r="328" spans="4:9" s="2" customFormat="1">
      <c r="D328" s="3"/>
      <c r="E328" s="3"/>
      <c r="F328" s="10"/>
      <c r="G328" s="10"/>
      <c r="I328" s="3"/>
    </row>
    <row r="329" spans="4:9" s="2" customFormat="1">
      <c r="D329" s="3"/>
      <c r="E329" s="3"/>
      <c r="F329" s="10"/>
      <c r="G329" s="10"/>
      <c r="I329" s="3"/>
    </row>
    <row r="330" spans="4:9" s="2" customFormat="1">
      <c r="D330" s="3"/>
      <c r="E330" s="3"/>
      <c r="F330" s="10"/>
      <c r="G330" s="10"/>
      <c r="I330" s="3"/>
    </row>
    <row r="331" spans="4:9" s="2" customFormat="1">
      <c r="D331" s="3"/>
      <c r="E331" s="3"/>
      <c r="F331" s="10"/>
      <c r="G331" s="10"/>
      <c r="I331" s="3"/>
    </row>
    <row r="332" spans="4:9" s="2" customFormat="1">
      <c r="D332" s="3"/>
      <c r="E332" s="3"/>
      <c r="F332" s="10"/>
      <c r="G332" s="10"/>
      <c r="I332" s="3"/>
    </row>
    <row r="333" spans="4:9" s="2" customFormat="1">
      <c r="D333" s="3"/>
      <c r="E333" s="3"/>
      <c r="F333" s="10"/>
      <c r="G333" s="10"/>
      <c r="I333" s="3"/>
    </row>
    <row r="334" spans="4:9" s="2" customFormat="1">
      <c r="D334" s="3"/>
      <c r="E334" s="3"/>
      <c r="F334" s="10"/>
      <c r="G334" s="10"/>
      <c r="I334" s="3"/>
    </row>
    <row r="335" spans="4:9" s="2" customFormat="1">
      <c r="D335" s="3"/>
      <c r="E335" s="3"/>
      <c r="F335" s="10"/>
      <c r="G335" s="10"/>
      <c r="I335" s="3"/>
    </row>
    <row r="336" spans="4:9" s="2" customFormat="1">
      <c r="D336" s="3"/>
      <c r="E336" s="3"/>
      <c r="F336" s="10"/>
      <c r="G336" s="10"/>
      <c r="I336" s="3"/>
    </row>
    <row r="337" spans="4:9" s="2" customFormat="1">
      <c r="D337" s="3"/>
      <c r="E337" s="3"/>
      <c r="F337" s="10"/>
      <c r="G337" s="10"/>
      <c r="I337" s="3"/>
    </row>
    <row r="338" spans="4:9" s="2" customFormat="1">
      <c r="D338" s="3"/>
      <c r="E338" s="3"/>
      <c r="F338" s="10"/>
      <c r="G338" s="10"/>
      <c r="I338" s="3"/>
    </row>
    <row r="339" spans="4:9" s="2" customFormat="1">
      <c r="D339" s="3"/>
      <c r="E339" s="3"/>
      <c r="F339" s="10"/>
      <c r="G339" s="10"/>
      <c r="I339" s="3"/>
    </row>
    <row r="340" spans="4:9" s="2" customFormat="1">
      <c r="D340" s="3"/>
      <c r="E340" s="3"/>
      <c r="F340" s="10"/>
      <c r="G340" s="10"/>
      <c r="I340" s="3"/>
    </row>
    <row r="341" spans="4:9" s="2" customFormat="1">
      <c r="D341" s="3"/>
      <c r="E341" s="3"/>
      <c r="F341" s="10"/>
      <c r="G341" s="10"/>
      <c r="I341" s="3"/>
    </row>
    <row r="342" spans="4:9" s="2" customFormat="1">
      <c r="D342" s="3"/>
      <c r="E342" s="3"/>
      <c r="F342" s="10"/>
      <c r="G342" s="10"/>
      <c r="I342" s="3"/>
    </row>
    <row r="343" spans="4:9" s="2" customFormat="1">
      <c r="D343" s="3"/>
      <c r="E343" s="3"/>
      <c r="F343" s="10"/>
      <c r="G343" s="10"/>
      <c r="I343" s="3"/>
    </row>
    <row r="344" spans="4:9" s="2" customFormat="1">
      <c r="D344" s="3"/>
      <c r="E344" s="3"/>
      <c r="F344" s="10"/>
      <c r="G344" s="10"/>
      <c r="I344" s="3"/>
    </row>
    <row r="345" spans="4:9" s="2" customFormat="1">
      <c r="D345" s="3"/>
      <c r="E345" s="3"/>
      <c r="F345" s="10"/>
      <c r="G345" s="10"/>
      <c r="I345" s="3"/>
    </row>
    <row r="346" spans="4:9" s="2" customFormat="1">
      <c r="D346" s="3"/>
      <c r="E346" s="3"/>
      <c r="F346" s="10"/>
      <c r="G346" s="10"/>
      <c r="I346" s="3"/>
    </row>
    <row r="347" spans="4:9" s="2" customFormat="1">
      <c r="D347" s="3"/>
      <c r="E347" s="3"/>
      <c r="F347" s="10"/>
      <c r="G347" s="10"/>
      <c r="I347" s="3"/>
    </row>
    <row r="348" spans="4:9" s="2" customFormat="1">
      <c r="D348" s="3"/>
      <c r="E348" s="3"/>
      <c r="F348" s="10"/>
      <c r="G348" s="10"/>
      <c r="I348" s="3"/>
    </row>
    <row r="349" spans="4:9" s="2" customFormat="1">
      <c r="D349" s="3"/>
      <c r="E349" s="3"/>
      <c r="F349" s="10"/>
      <c r="G349" s="10"/>
      <c r="I349" s="3"/>
    </row>
    <row r="350" spans="4:9" s="2" customFormat="1">
      <c r="D350" s="3"/>
      <c r="E350" s="3"/>
      <c r="F350" s="10"/>
      <c r="G350" s="10"/>
      <c r="I350" s="3"/>
    </row>
    <row r="351" spans="4:9" s="2" customFormat="1">
      <c r="D351" s="3"/>
      <c r="E351" s="3"/>
      <c r="F351" s="10"/>
      <c r="G351" s="10"/>
      <c r="I351" s="3"/>
    </row>
    <row r="352" spans="4:9" s="2" customFormat="1">
      <c r="D352" s="3"/>
      <c r="E352" s="3"/>
      <c r="F352" s="10"/>
      <c r="G352" s="10"/>
      <c r="I352" s="3"/>
    </row>
    <row r="353" spans="4:9" s="2" customFormat="1">
      <c r="D353" s="3"/>
      <c r="E353" s="3"/>
      <c r="F353" s="10"/>
      <c r="G353" s="10"/>
      <c r="I353" s="3"/>
    </row>
    <row r="354" spans="4:9" s="2" customFormat="1">
      <c r="D354" s="3"/>
      <c r="E354" s="3"/>
      <c r="F354" s="10"/>
      <c r="G354" s="10"/>
      <c r="I354" s="3"/>
    </row>
    <row r="355" spans="4:9" s="2" customFormat="1">
      <c r="D355" s="3"/>
      <c r="E355" s="3"/>
      <c r="F355" s="10"/>
      <c r="G355" s="10"/>
      <c r="I355" s="3"/>
    </row>
    <row r="356" spans="4:9" s="2" customFormat="1">
      <c r="D356" s="3"/>
      <c r="E356" s="3"/>
      <c r="F356" s="10"/>
      <c r="G356" s="10"/>
      <c r="I356" s="3"/>
    </row>
    <row r="357" spans="4:9" s="2" customFormat="1">
      <c r="D357" s="3"/>
      <c r="E357" s="3"/>
      <c r="F357" s="10"/>
      <c r="G357" s="10"/>
      <c r="I357" s="3"/>
    </row>
    <row r="358" spans="4:9" s="2" customFormat="1">
      <c r="D358" s="3"/>
      <c r="E358" s="3"/>
      <c r="F358" s="10"/>
      <c r="G358" s="10"/>
      <c r="I358" s="3"/>
    </row>
    <row r="359" spans="4:9" s="2" customFormat="1">
      <c r="D359" s="3"/>
      <c r="E359" s="3"/>
      <c r="F359" s="10"/>
      <c r="G359" s="10"/>
      <c r="I359" s="3"/>
    </row>
    <row r="360" spans="4:9" s="2" customFormat="1">
      <c r="D360" s="3"/>
      <c r="E360" s="3"/>
      <c r="F360" s="10"/>
      <c r="G360" s="10"/>
      <c r="I360" s="3"/>
    </row>
    <row r="361" spans="4:9" s="2" customFormat="1">
      <c r="D361" s="3"/>
      <c r="E361" s="3"/>
      <c r="F361" s="10"/>
      <c r="G361" s="10"/>
      <c r="I361" s="3"/>
    </row>
    <row r="362" spans="4:9" s="2" customFormat="1">
      <c r="D362" s="3"/>
      <c r="E362" s="3"/>
      <c r="F362" s="10"/>
      <c r="G362" s="10"/>
      <c r="I362" s="3"/>
    </row>
    <row r="363" spans="4:9" s="2" customFormat="1">
      <c r="D363" s="3"/>
      <c r="E363" s="3"/>
      <c r="F363" s="10"/>
      <c r="G363" s="10"/>
      <c r="I363" s="3"/>
    </row>
    <row r="364" spans="4:9" s="2" customFormat="1">
      <c r="D364" s="3"/>
      <c r="E364" s="3"/>
      <c r="F364" s="10"/>
      <c r="G364" s="10"/>
      <c r="I364" s="3"/>
    </row>
    <row r="365" spans="4:9" s="2" customFormat="1">
      <c r="D365" s="3"/>
      <c r="E365" s="3"/>
      <c r="F365" s="10"/>
      <c r="G365" s="10"/>
      <c r="I365" s="3"/>
    </row>
    <row r="366" spans="4:9" s="2" customFormat="1">
      <c r="D366" s="3"/>
      <c r="E366" s="3"/>
      <c r="F366" s="10"/>
      <c r="G366" s="10"/>
      <c r="I366" s="3"/>
    </row>
    <row r="367" spans="4:9" s="2" customFormat="1">
      <c r="D367" s="3"/>
      <c r="E367" s="3"/>
      <c r="F367" s="10"/>
      <c r="G367" s="10"/>
      <c r="I367" s="3"/>
    </row>
    <row r="368" spans="4:9" s="2" customFormat="1">
      <c r="D368" s="3"/>
      <c r="E368" s="3"/>
      <c r="F368" s="10"/>
      <c r="G368" s="10"/>
      <c r="I368" s="3"/>
    </row>
    <row r="369" spans="4:9" s="2" customFormat="1">
      <c r="D369" s="3"/>
      <c r="E369" s="3"/>
      <c r="F369" s="10"/>
      <c r="G369" s="10"/>
      <c r="I369" s="3"/>
    </row>
    <row r="370" spans="4:9" s="2" customFormat="1">
      <c r="D370" s="3"/>
      <c r="E370" s="3"/>
      <c r="F370" s="10"/>
      <c r="G370" s="10"/>
      <c r="I370" s="3"/>
    </row>
    <row r="371" spans="4:9" s="2" customFormat="1">
      <c r="D371" s="3"/>
      <c r="E371" s="3"/>
      <c r="F371" s="10"/>
      <c r="G371" s="10"/>
      <c r="I371" s="3"/>
    </row>
    <row r="372" spans="4:9" s="2" customFormat="1">
      <c r="D372" s="3"/>
      <c r="E372" s="3"/>
      <c r="F372" s="10"/>
      <c r="G372" s="10"/>
      <c r="I372" s="3"/>
    </row>
    <row r="373" spans="4:9" s="2" customFormat="1">
      <c r="D373" s="3"/>
      <c r="E373" s="3"/>
      <c r="F373" s="10"/>
      <c r="G373" s="10"/>
      <c r="I373" s="3"/>
    </row>
    <row r="374" spans="4:9" s="2" customFormat="1">
      <c r="D374" s="3"/>
      <c r="E374" s="3"/>
      <c r="F374" s="10"/>
      <c r="G374" s="10"/>
      <c r="I374" s="3"/>
    </row>
    <row r="375" spans="4:9" s="2" customFormat="1">
      <c r="D375" s="3"/>
      <c r="E375" s="3"/>
      <c r="F375" s="10"/>
      <c r="G375" s="10"/>
      <c r="I375" s="3"/>
    </row>
  </sheetData>
  <mergeCells count="2">
    <mergeCell ref="B2:D2"/>
    <mergeCell ref="B25:D25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87"/>
  <sheetViews>
    <sheetView topLeftCell="A37" workbookViewId="0">
      <selection activeCell="H56" sqref="H56"/>
    </sheetView>
  </sheetViews>
  <sheetFormatPr defaultRowHeight="14.25"/>
  <cols>
    <col min="1" max="1" width="9.125" style="2"/>
    <col min="2" max="2" width="9.125" style="1"/>
    <col min="3" max="3" width="49.375" customWidth="1"/>
    <col min="4" max="4" width="9.125" style="1"/>
    <col min="5" max="5" width="12" style="2" hidden="1" customWidth="1"/>
    <col min="6" max="6" width="10.5" style="2" bestFit="1" customWidth="1"/>
    <col min="7" max="7" width="12" style="2" bestFit="1" customWidth="1"/>
    <col min="8" max="53" width="9.125" style="2"/>
  </cols>
  <sheetData>
    <row r="1" spans="2:4">
      <c r="B1" s="3"/>
      <c r="C1" s="2"/>
      <c r="D1" s="3"/>
    </row>
    <row r="2" spans="2:4" ht="15">
      <c r="B2" s="14" t="s">
        <v>46</v>
      </c>
      <c r="C2" s="14"/>
      <c r="D2" s="14"/>
    </row>
    <row r="3" spans="2:4">
      <c r="B3" s="3"/>
      <c r="C3" s="2"/>
      <c r="D3" s="3"/>
    </row>
    <row r="4" spans="2:4" ht="15">
      <c r="B4" s="4" t="s">
        <v>1</v>
      </c>
      <c r="C4" s="4" t="s">
        <v>2</v>
      </c>
      <c r="D4" s="4" t="s">
        <v>6</v>
      </c>
    </row>
    <row r="5" spans="2:4">
      <c r="B5" s="6">
        <v>1</v>
      </c>
      <c r="C5" s="5" t="s">
        <v>47</v>
      </c>
      <c r="D5" s="6">
        <v>2</v>
      </c>
    </row>
    <row r="6" spans="2:4">
      <c r="B6" s="6">
        <v>2</v>
      </c>
      <c r="C6" s="5" t="s">
        <v>48</v>
      </c>
      <c r="D6" s="6">
        <v>2</v>
      </c>
    </row>
    <row r="7" spans="2:4">
      <c r="B7" s="6">
        <v>3</v>
      </c>
      <c r="C7" s="5" t="s">
        <v>49</v>
      </c>
      <c r="D7" s="6">
        <v>2</v>
      </c>
    </row>
    <row r="8" spans="2:4">
      <c r="B8" s="6">
        <v>4</v>
      </c>
      <c r="C8" s="5" t="s">
        <v>59</v>
      </c>
      <c r="D8" s="6" t="s">
        <v>7</v>
      </c>
    </row>
    <row r="9" spans="2:4">
      <c r="B9" s="6">
        <v>5</v>
      </c>
      <c r="C9" s="5" t="s">
        <v>60</v>
      </c>
      <c r="D9" s="6" t="s">
        <v>7</v>
      </c>
    </row>
    <row r="10" spans="2:4">
      <c r="B10" s="6">
        <v>6</v>
      </c>
      <c r="C10" s="5" t="s">
        <v>50</v>
      </c>
      <c r="D10" s="6">
        <v>2</v>
      </c>
    </row>
    <row r="11" spans="2:4">
      <c r="B11" s="6">
        <v>7</v>
      </c>
      <c r="C11" s="5" t="s">
        <v>51</v>
      </c>
      <c r="D11" s="6">
        <v>2</v>
      </c>
    </row>
    <row r="12" spans="2:4">
      <c r="B12" s="6">
        <v>8</v>
      </c>
      <c r="C12" s="5" t="s">
        <v>52</v>
      </c>
      <c r="D12" s="6">
        <v>2</v>
      </c>
    </row>
    <row r="13" spans="2:4">
      <c r="B13" s="6">
        <v>9</v>
      </c>
      <c r="C13" s="5" t="s">
        <v>53</v>
      </c>
      <c r="D13" s="6">
        <v>2</v>
      </c>
    </row>
    <row r="14" spans="2:4">
      <c r="B14" s="6">
        <v>10</v>
      </c>
      <c r="C14" s="5" t="s">
        <v>54</v>
      </c>
      <c r="D14" s="6">
        <v>2</v>
      </c>
    </row>
    <row r="15" spans="2:4">
      <c r="B15" s="6">
        <v>11</v>
      </c>
      <c r="C15" s="5" t="s">
        <v>55</v>
      </c>
      <c r="D15" s="6">
        <v>2</v>
      </c>
    </row>
    <row r="16" spans="2:4">
      <c r="B16" s="6">
        <v>12</v>
      </c>
      <c r="C16" s="5" t="s">
        <v>61</v>
      </c>
      <c r="D16" s="6">
        <v>1</v>
      </c>
    </row>
    <row r="17" spans="2:4">
      <c r="B17" s="6">
        <v>13</v>
      </c>
      <c r="C17" s="5" t="s">
        <v>61</v>
      </c>
      <c r="D17" s="6">
        <v>1</v>
      </c>
    </row>
    <row r="18" spans="2:4">
      <c r="B18" s="6">
        <v>14</v>
      </c>
      <c r="C18" s="5" t="s">
        <v>62</v>
      </c>
      <c r="D18" s="6">
        <v>2</v>
      </c>
    </row>
    <row r="19" spans="2:4">
      <c r="B19" s="6">
        <v>15</v>
      </c>
      <c r="C19" s="5" t="s">
        <v>63</v>
      </c>
      <c r="D19" s="6">
        <v>1</v>
      </c>
    </row>
    <row r="20" spans="2:4">
      <c r="B20" s="6">
        <v>16</v>
      </c>
      <c r="C20" s="5" t="s">
        <v>64</v>
      </c>
      <c r="D20" s="6">
        <v>1</v>
      </c>
    </row>
    <row r="21" spans="2:4">
      <c r="B21" s="6">
        <v>17</v>
      </c>
      <c r="C21" s="5" t="s">
        <v>25</v>
      </c>
      <c r="D21" s="6">
        <v>1</v>
      </c>
    </row>
    <row r="22" spans="2:4">
      <c r="B22" s="6">
        <v>18</v>
      </c>
      <c r="C22" s="5" t="s">
        <v>65</v>
      </c>
      <c r="D22" s="6">
        <v>4</v>
      </c>
    </row>
    <row r="23" spans="2:4">
      <c r="B23" s="6">
        <v>19</v>
      </c>
      <c r="C23" s="5" t="s">
        <v>66</v>
      </c>
      <c r="D23" s="6">
        <v>4</v>
      </c>
    </row>
    <row r="24" spans="2:4">
      <c r="B24" s="6">
        <v>20</v>
      </c>
      <c r="C24" s="5" t="s">
        <v>67</v>
      </c>
      <c r="D24" s="6">
        <v>2</v>
      </c>
    </row>
    <row r="25" spans="2:4">
      <c r="B25" s="6">
        <v>21</v>
      </c>
      <c r="C25" s="5" t="s">
        <v>68</v>
      </c>
      <c r="D25" s="6">
        <v>2</v>
      </c>
    </row>
    <row r="26" spans="2:4">
      <c r="B26" s="6">
        <v>22</v>
      </c>
      <c r="C26" s="5" t="s">
        <v>69</v>
      </c>
      <c r="D26" s="6">
        <v>1</v>
      </c>
    </row>
    <row r="27" spans="2:4">
      <c r="B27" s="6">
        <v>23</v>
      </c>
      <c r="C27" s="5" t="s">
        <v>70</v>
      </c>
      <c r="D27" s="6">
        <v>2</v>
      </c>
    </row>
    <row r="28" spans="2:4">
      <c r="B28" s="6">
        <v>24</v>
      </c>
      <c r="C28" s="5" t="s">
        <v>71</v>
      </c>
      <c r="D28" s="6">
        <v>2</v>
      </c>
    </row>
    <row r="29" spans="2:4">
      <c r="B29" s="6">
        <v>25</v>
      </c>
      <c r="C29" s="5" t="s">
        <v>72</v>
      </c>
      <c r="D29" s="6">
        <v>1</v>
      </c>
    </row>
    <row r="30" spans="2:4">
      <c r="B30" s="6">
        <v>26</v>
      </c>
      <c r="C30" s="5" t="s">
        <v>75</v>
      </c>
      <c r="D30" s="6">
        <v>2</v>
      </c>
    </row>
    <row r="31" spans="2:4">
      <c r="B31" s="6">
        <v>27</v>
      </c>
      <c r="C31" s="5" t="s">
        <v>76</v>
      </c>
      <c r="D31" s="6">
        <v>2</v>
      </c>
    </row>
    <row r="32" spans="2:4">
      <c r="B32" s="6">
        <v>28</v>
      </c>
      <c r="C32" s="5" t="s">
        <v>77</v>
      </c>
      <c r="D32" s="6">
        <v>2</v>
      </c>
    </row>
    <row r="33" spans="2:9">
      <c r="B33" s="6">
        <v>29</v>
      </c>
      <c r="C33" s="5" t="s">
        <v>78</v>
      </c>
      <c r="D33" s="6">
        <v>2</v>
      </c>
    </row>
    <row r="34" spans="2:9">
      <c r="B34" s="6">
        <v>30</v>
      </c>
      <c r="C34" s="5" t="s">
        <v>79</v>
      </c>
      <c r="D34" s="6">
        <v>2</v>
      </c>
    </row>
    <row r="35" spans="2:9">
      <c r="B35" s="6">
        <v>31</v>
      </c>
      <c r="C35" s="5" t="s">
        <v>17</v>
      </c>
      <c r="D35" s="6">
        <v>5</v>
      </c>
    </row>
    <row r="36" spans="2:9">
      <c r="B36" s="6">
        <v>32</v>
      </c>
      <c r="C36" s="5" t="s">
        <v>74</v>
      </c>
      <c r="D36" s="6">
        <v>2</v>
      </c>
    </row>
    <row r="37" spans="2:9">
      <c r="B37" s="6">
        <v>33</v>
      </c>
      <c r="C37" s="5" t="s">
        <v>80</v>
      </c>
      <c r="D37" s="6">
        <v>1</v>
      </c>
    </row>
    <row r="38" spans="2:9">
      <c r="B38" s="6">
        <v>34</v>
      </c>
      <c r="C38" s="5" t="s">
        <v>81</v>
      </c>
      <c r="D38" s="6">
        <v>1</v>
      </c>
    </row>
    <row r="39" spans="2:9">
      <c r="B39" s="6">
        <v>35</v>
      </c>
      <c r="C39" s="5" t="s">
        <v>82</v>
      </c>
      <c r="D39" s="6">
        <v>1</v>
      </c>
    </row>
    <row r="40" spans="2:9">
      <c r="B40" s="6">
        <v>36</v>
      </c>
      <c r="C40" s="5" t="s">
        <v>56</v>
      </c>
      <c r="D40" s="6">
        <v>1</v>
      </c>
    </row>
    <row r="41" spans="2:9">
      <c r="B41" s="6">
        <v>37</v>
      </c>
      <c r="C41" s="5" t="s">
        <v>57</v>
      </c>
      <c r="D41" s="6">
        <v>1</v>
      </c>
    </row>
    <row r="42" spans="2:9">
      <c r="B42" s="6">
        <v>38</v>
      </c>
      <c r="C42" s="5" t="s">
        <v>58</v>
      </c>
      <c r="D42" s="6">
        <v>1</v>
      </c>
    </row>
    <row r="43" spans="2:9" s="2" customFormat="1" ht="15">
      <c r="B43" s="15" t="s">
        <v>83</v>
      </c>
      <c r="C43" s="15"/>
      <c r="D43" s="15"/>
      <c r="E43" s="9" t="s">
        <v>122</v>
      </c>
      <c r="F43" s="17" t="s">
        <v>146</v>
      </c>
      <c r="G43" s="17" t="s">
        <v>147</v>
      </c>
      <c r="I43" s="2" t="s">
        <v>150</v>
      </c>
    </row>
    <row r="44" spans="2:9" s="2" customFormat="1">
      <c r="B44" s="8">
        <v>39</v>
      </c>
      <c r="C44" s="7" t="s">
        <v>135</v>
      </c>
      <c r="D44" s="8">
        <v>1</v>
      </c>
      <c r="E44" s="8" t="s">
        <v>134</v>
      </c>
      <c r="F44" s="17">
        <v>24.71</v>
      </c>
      <c r="G44" s="17">
        <f>F44*D44</f>
        <v>24.71</v>
      </c>
      <c r="I44" s="2">
        <f>4*D44</f>
        <v>4</v>
      </c>
    </row>
    <row r="45" spans="2:9" s="2" customFormat="1">
      <c r="B45" s="8">
        <v>40</v>
      </c>
      <c r="C45" s="7" t="s">
        <v>136</v>
      </c>
      <c r="D45" s="8">
        <v>1</v>
      </c>
      <c r="E45" s="8" t="s">
        <v>137</v>
      </c>
      <c r="F45" s="17">
        <v>24.81</v>
      </c>
      <c r="G45" s="17">
        <f t="shared" ref="G45:G52" si="0">F45*D45</f>
        <v>24.81</v>
      </c>
      <c r="I45" s="2">
        <f t="shared" ref="I45:I52" si="1">4*D45</f>
        <v>4</v>
      </c>
    </row>
    <row r="46" spans="2:9" s="2" customFormat="1">
      <c r="B46" s="8">
        <v>41</v>
      </c>
      <c r="C46" s="7" t="s">
        <v>84</v>
      </c>
      <c r="D46" s="8">
        <v>1</v>
      </c>
      <c r="E46" s="8" t="s">
        <v>138</v>
      </c>
      <c r="F46" s="17">
        <v>43.55</v>
      </c>
      <c r="G46" s="17">
        <f t="shared" si="0"/>
        <v>43.55</v>
      </c>
      <c r="I46" s="2">
        <f t="shared" si="1"/>
        <v>4</v>
      </c>
    </row>
    <row r="47" spans="2:9" s="2" customFormat="1">
      <c r="B47" s="8">
        <v>42</v>
      </c>
      <c r="C47" s="7" t="s">
        <v>85</v>
      </c>
      <c r="D47" s="8">
        <v>1</v>
      </c>
      <c r="E47" s="8" t="s">
        <v>138</v>
      </c>
      <c r="F47" s="17">
        <v>57</v>
      </c>
      <c r="G47" s="17">
        <f t="shared" si="0"/>
        <v>57</v>
      </c>
      <c r="I47" s="2">
        <f t="shared" si="1"/>
        <v>4</v>
      </c>
    </row>
    <row r="48" spans="2:9" s="2" customFormat="1">
      <c r="B48" s="8">
        <v>43</v>
      </c>
      <c r="C48" s="7" t="s">
        <v>86</v>
      </c>
      <c r="D48" s="8">
        <v>1</v>
      </c>
      <c r="E48" s="8" t="s">
        <v>138</v>
      </c>
      <c r="F48" s="17">
        <v>132.5</v>
      </c>
      <c r="G48" s="17">
        <f t="shared" si="0"/>
        <v>132.5</v>
      </c>
      <c r="I48" s="2">
        <f t="shared" si="1"/>
        <v>4</v>
      </c>
    </row>
    <row r="49" spans="2:9" s="2" customFormat="1">
      <c r="B49" s="8">
        <v>44</v>
      </c>
      <c r="C49" s="7" t="s">
        <v>87</v>
      </c>
      <c r="D49" s="8">
        <v>1</v>
      </c>
      <c r="E49" s="8" t="s">
        <v>138</v>
      </c>
      <c r="F49" s="17">
        <v>57</v>
      </c>
      <c r="G49" s="17">
        <f t="shared" si="0"/>
        <v>57</v>
      </c>
      <c r="I49" s="2">
        <f t="shared" si="1"/>
        <v>4</v>
      </c>
    </row>
    <row r="50" spans="2:9" s="2" customFormat="1">
      <c r="B50" s="8">
        <v>45</v>
      </c>
      <c r="C50" s="7" t="s">
        <v>88</v>
      </c>
      <c r="D50" s="8">
        <v>1</v>
      </c>
      <c r="E50" s="8" t="s">
        <v>139</v>
      </c>
      <c r="F50" s="17">
        <v>227.87</v>
      </c>
      <c r="G50" s="17">
        <f t="shared" si="0"/>
        <v>227.87</v>
      </c>
      <c r="I50" s="2">
        <f t="shared" si="1"/>
        <v>4</v>
      </c>
    </row>
    <row r="51" spans="2:9" s="2" customFormat="1">
      <c r="B51" s="8">
        <v>46</v>
      </c>
      <c r="C51" s="7" t="s">
        <v>89</v>
      </c>
      <c r="D51" s="8">
        <v>1</v>
      </c>
      <c r="E51" s="6" t="s">
        <v>140</v>
      </c>
      <c r="F51" s="17">
        <v>22.08</v>
      </c>
      <c r="G51" s="17">
        <f t="shared" si="0"/>
        <v>22.08</v>
      </c>
      <c r="I51" s="2">
        <f t="shared" si="1"/>
        <v>4</v>
      </c>
    </row>
    <row r="52" spans="2:9" s="2" customFormat="1">
      <c r="B52" s="8">
        <v>47</v>
      </c>
      <c r="C52" s="7" t="s">
        <v>104</v>
      </c>
      <c r="D52" s="8">
        <v>1</v>
      </c>
      <c r="E52" s="8" t="s">
        <v>141</v>
      </c>
      <c r="F52" s="17">
        <v>9.18</v>
      </c>
      <c r="G52" s="17">
        <f t="shared" si="0"/>
        <v>9.18</v>
      </c>
      <c r="I52" s="2">
        <f t="shared" si="1"/>
        <v>4</v>
      </c>
    </row>
    <row r="53" spans="2:9" s="2" customFormat="1">
      <c r="B53" s="3"/>
      <c r="D53" s="3"/>
      <c r="F53" s="10"/>
      <c r="G53" s="10">
        <f>SUM(G44:G52)</f>
        <v>598.70000000000005</v>
      </c>
      <c r="H53" s="2" t="s">
        <v>149</v>
      </c>
    </row>
    <row r="54" spans="2:9" s="2" customFormat="1" ht="15">
      <c r="B54" s="3"/>
      <c r="D54" s="3"/>
      <c r="F54" s="10"/>
      <c r="G54" s="11">
        <f>4*G53</f>
        <v>2394.8000000000002</v>
      </c>
      <c r="H54" s="12" t="s">
        <v>150</v>
      </c>
    </row>
    <row r="55" spans="2:9" s="2" customFormat="1">
      <c r="B55" s="3"/>
      <c r="D55" s="3"/>
    </row>
    <row r="56" spans="2:9" s="2" customFormat="1">
      <c r="B56" s="3"/>
      <c r="D56" s="3"/>
    </row>
    <row r="57" spans="2:9" s="2" customFormat="1">
      <c r="B57" s="3"/>
      <c r="D57" s="3"/>
    </row>
    <row r="58" spans="2:9" s="2" customFormat="1">
      <c r="B58" s="3"/>
      <c r="D58" s="3"/>
    </row>
    <row r="59" spans="2:9" s="2" customFormat="1">
      <c r="B59" s="3"/>
      <c r="D59" s="3"/>
    </row>
    <row r="60" spans="2:9" s="2" customFormat="1">
      <c r="B60" s="3"/>
      <c r="D60" s="3"/>
    </row>
    <row r="61" spans="2:9" s="2" customFormat="1">
      <c r="B61" s="3"/>
      <c r="D61" s="3"/>
    </row>
    <row r="62" spans="2:9" s="2" customFormat="1">
      <c r="B62" s="3"/>
      <c r="D62" s="3"/>
    </row>
    <row r="63" spans="2:9" s="2" customFormat="1">
      <c r="B63" s="3"/>
      <c r="D63" s="3"/>
    </row>
    <row r="64" spans="2:9" s="2" customFormat="1">
      <c r="B64" s="3"/>
      <c r="D64" s="3"/>
    </row>
    <row r="65" spans="2:4" s="2" customFormat="1">
      <c r="B65" s="3"/>
      <c r="D65" s="3"/>
    </row>
    <row r="66" spans="2:4" s="2" customFormat="1">
      <c r="B66" s="3"/>
      <c r="D66" s="3"/>
    </row>
    <row r="67" spans="2:4" s="2" customFormat="1">
      <c r="B67" s="3"/>
      <c r="D67" s="3"/>
    </row>
    <row r="68" spans="2:4" s="2" customFormat="1">
      <c r="B68" s="3"/>
      <c r="D68" s="3"/>
    </row>
    <row r="69" spans="2:4" s="2" customFormat="1">
      <c r="B69" s="3"/>
      <c r="D69" s="3"/>
    </row>
    <row r="70" spans="2:4" s="2" customFormat="1">
      <c r="B70" s="3"/>
      <c r="D70" s="3"/>
    </row>
    <row r="71" spans="2:4" s="2" customFormat="1">
      <c r="B71" s="3"/>
      <c r="D71" s="3"/>
    </row>
    <row r="72" spans="2:4" s="2" customFormat="1">
      <c r="B72" s="3"/>
      <c r="D72" s="3"/>
    </row>
    <row r="73" spans="2:4" s="2" customFormat="1">
      <c r="B73" s="3"/>
      <c r="D73" s="3"/>
    </row>
    <row r="74" spans="2:4" s="2" customFormat="1">
      <c r="B74" s="3"/>
      <c r="D74" s="3"/>
    </row>
    <row r="75" spans="2:4" s="2" customFormat="1">
      <c r="B75" s="3"/>
      <c r="D75" s="3"/>
    </row>
    <row r="76" spans="2:4" s="2" customFormat="1">
      <c r="B76" s="3"/>
      <c r="D76" s="3"/>
    </row>
    <row r="77" spans="2:4" s="2" customFormat="1">
      <c r="B77" s="3"/>
      <c r="D77" s="3"/>
    </row>
    <row r="78" spans="2:4" s="2" customFormat="1">
      <c r="B78" s="3"/>
      <c r="D78" s="3"/>
    </row>
    <row r="79" spans="2:4" s="2" customFormat="1">
      <c r="B79" s="3"/>
      <c r="D79" s="3"/>
    </row>
    <row r="80" spans="2:4" s="2" customFormat="1">
      <c r="B80" s="3"/>
      <c r="D80" s="3"/>
    </row>
    <row r="81" spans="2:4" s="2" customFormat="1">
      <c r="B81" s="3"/>
      <c r="D81" s="3"/>
    </row>
    <row r="82" spans="2:4" s="2" customFormat="1">
      <c r="B82" s="3"/>
      <c r="D82" s="3"/>
    </row>
    <row r="83" spans="2:4" s="2" customFormat="1">
      <c r="B83" s="3"/>
      <c r="D83" s="3"/>
    </row>
    <row r="84" spans="2:4" s="2" customFormat="1">
      <c r="B84" s="3"/>
      <c r="D84" s="3"/>
    </row>
    <row r="85" spans="2:4" s="2" customFormat="1">
      <c r="B85" s="3"/>
      <c r="D85" s="3"/>
    </row>
    <row r="86" spans="2:4" s="2" customFormat="1">
      <c r="B86" s="3"/>
      <c r="D86" s="3"/>
    </row>
    <row r="87" spans="2:4" s="2" customFormat="1">
      <c r="B87" s="3"/>
      <c r="D87" s="3"/>
    </row>
    <row r="88" spans="2:4" s="2" customFormat="1">
      <c r="B88" s="3"/>
      <c r="D88" s="3"/>
    </row>
    <row r="89" spans="2:4" s="2" customFormat="1">
      <c r="B89" s="3"/>
      <c r="D89" s="3"/>
    </row>
    <row r="90" spans="2:4" s="2" customFormat="1">
      <c r="B90" s="3"/>
      <c r="D90" s="3"/>
    </row>
    <row r="91" spans="2:4" s="2" customFormat="1">
      <c r="B91" s="3"/>
      <c r="D91" s="3"/>
    </row>
    <row r="92" spans="2:4" s="2" customFormat="1">
      <c r="B92" s="3"/>
      <c r="D92" s="3"/>
    </row>
    <row r="93" spans="2:4" s="2" customFormat="1">
      <c r="B93" s="3"/>
      <c r="D93" s="3"/>
    </row>
    <row r="94" spans="2:4" s="2" customFormat="1">
      <c r="B94" s="3"/>
      <c r="D94" s="3"/>
    </row>
    <row r="95" spans="2:4" s="2" customFormat="1">
      <c r="B95" s="3"/>
      <c r="D95" s="3"/>
    </row>
    <row r="96" spans="2:4" s="2" customFormat="1">
      <c r="B96" s="3"/>
      <c r="D96" s="3"/>
    </row>
    <row r="97" spans="2:4" s="2" customFormat="1">
      <c r="B97" s="3"/>
      <c r="D97" s="3"/>
    </row>
    <row r="98" spans="2:4" s="2" customFormat="1">
      <c r="B98" s="3"/>
      <c r="D98" s="3"/>
    </row>
    <row r="99" spans="2:4" s="2" customFormat="1">
      <c r="B99" s="3"/>
      <c r="D99" s="3"/>
    </row>
    <row r="100" spans="2:4" s="2" customFormat="1">
      <c r="B100" s="3"/>
      <c r="D100" s="3"/>
    </row>
    <row r="101" spans="2:4" s="2" customFormat="1">
      <c r="B101" s="3"/>
      <c r="D101" s="3"/>
    </row>
    <row r="102" spans="2:4" s="2" customFormat="1">
      <c r="B102" s="3"/>
      <c r="D102" s="3"/>
    </row>
    <row r="103" spans="2:4" s="2" customFormat="1">
      <c r="B103" s="3"/>
      <c r="D103" s="3"/>
    </row>
    <row r="104" spans="2:4" s="2" customFormat="1">
      <c r="B104" s="3"/>
      <c r="D104" s="3"/>
    </row>
    <row r="105" spans="2:4" s="2" customFormat="1">
      <c r="B105" s="3"/>
      <c r="D105" s="3"/>
    </row>
    <row r="106" spans="2:4" s="2" customFormat="1">
      <c r="B106" s="3"/>
      <c r="D106" s="3"/>
    </row>
    <row r="107" spans="2:4" s="2" customFormat="1">
      <c r="B107" s="3"/>
      <c r="D107" s="3"/>
    </row>
    <row r="108" spans="2:4" s="2" customFormat="1">
      <c r="B108" s="3"/>
      <c r="D108" s="3"/>
    </row>
    <row r="109" spans="2:4" s="2" customFormat="1">
      <c r="B109" s="3"/>
      <c r="D109" s="3"/>
    </row>
    <row r="110" spans="2:4" s="2" customFormat="1">
      <c r="B110" s="3"/>
      <c r="D110" s="3"/>
    </row>
    <row r="111" spans="2:4" s="2" customFormat="1">
      <c r="B111" s="3"/>
      <c r="D111" s="3"/>
    </row>
    <row r="112" spans="2:4" s="2" customFormat="1">
      <c r="B112" s="3"/>
      <c r="D112" s="3"/>
    </row>
    <row r="113" spans="2:4" s="2" customFormat="1">
      <c r="B113" s="3"/>
      <c r="D113" s="3"/>
    </row>
    <row r="114" spans="2:4" s="2" customFormat="1">
      <c r="B114" s="3"/>
      <c r="D114" s="3"/>
    </row>
    <row r="115" spans="2:4" s="2" customFormat="1">
      <c r="B115" s="3"/>
      <c r="D115" s="3"/>
    </row>
    <row r="116" spans="2:4" s="2" customFormat="1">
      <c r="B116" s="3"/>
      <c r="D116" s="3"/>
    </row>
    <row r="117" spans="2:4" s="2" customFormat="1">
      <c r="B117" s="3"/>
      <c r="D117" s="3"/>
    </row>
    <row r="118" spans="2:4" s="2" customFormat="1">
      <c r="B118" s="3"/>
      <c r="D118" s="3"/>
    </row>
    <row r="119" spans="2:4" s="2" customFormat="1">
      <c r="B119" s="3"/>
      <c r="D119" s="3"/>
    </row>
    <row r="120" spans="2:4" s="2" customFormat="1">
      <c r="B120" s="3"/>
      <c r="D120" s="3"/>
    </row>
    <row r="121" spans="2:4" s="2" customFormat="1">
      <c r="B121" s="3"/>
      <c r="D121" s="3"/>
    </row>
    <row r="122" spans="2:4" s="2" customFormat="1">
      <c r="B122" s="3"/>
      <c r="D122" s="3"/>
    </row>
    <row r="123" spans="2:4" s="2" customFormat="1">
      <c r="B123" s="3"/>
      <c r="D123" s="3"/>
    </row>
    <row r="124" spans="2:4" s="2" customFormat="1">
      <c r="B124" s="3"/>
      <c r="D124" s="3"/>
    </row>
    <row r="125" spans="2:4" s="2" customFormat="1">
      <c r="B125" s="3"/>
      <c r="D125" s="3"/>
    </row>
    <row r="126" spans="2:4" s="2" customFormat="1">
      <c r="B126" s="3"/>
      <c r="D126" s="3"/>
    </row>
    <row r="127" spans="2:4" s="2" customFormat="1">
      <c r="B127" s="3"/>
      <c r="D127" s="3"/>
    </row>
    <row r="128" spans="2:4" s="2" customFormat="1">
      <c r="B128" s="3"/>
      <c r="D128" s="3"/>
    </row>
    <row r="129" spans="2:4" s="2" customFormat="1">
      <c r="B129" s="3"/>
      <c r="D129" s="3"/>
    </row>
    <row r="130" spans="2:4" s="2" customFormat="1">
      <c r="B130" s="3"/>
      <c r="D130" s="3"/>
    </row>
    <row r="131" spans="2:4" s="2" customFormat="1">
      <c r="B131" s="3"/>
      <c r="D131" s="3"/>
    </row>
    <row r="132" spans="2:4" s="2" customFormat="1">
      <c r="B132" s="3"/>
      <c r="D132" s="3"/>
    </row>
    <row r="133" spans="2:4" s="2" customFormat="1">
      <c r="B133" s="3"/>
      <c r="D133" s="3"/>
    </row>
    <row r="134" spans="2:4" s="2" customFormat="1">
      <c r="B134" s="3"/>
      <c r="D134" s="3"/>
    </row>
    <row r="135" spans="2:4" s="2" customFormat="1">
      <c r="B135" s="3"/>
      <c r="D135" s="3"/>
    </row>
    <row r="136" spans="2:4" s="2" customFormat="1">
      <c r="B136" s="3"/>
      <c r="D136" s="3"/>
    </row>
    <row r="137" spans="2:4" s="2" customFormat="1">
      <c r="B137" s="3"/>
      <c r="D137" s="3"/>
    </row>
    <row r="138" spans="2:4" s="2" customFormat="1">
      <c r="B138" s="3"/>
      <c r="D138" s="3"/>
    </row>
    <row r="139" spans="2:4" s="2" customFormat="1">
      <c r="B139" s="3"/>
      <c r="D139" s="3"/>
    </row>
    <row r="140" spans="2:4" s="2" customFormat="1">
      <c r="B140" s="3"/>
      <c r="D140" s="3"/>
    </row>
    <row r="141" spans="2:4" s="2" customFormat="1">
      <c r="B141" s="3"/>
      <c r="D141" s="3"/>
    </row>
    <row r="142" spans="2:4" s="2" customFormat="1">
      <c r="B142" s="3"/>
      <c r="D142" s="3"/>
    </row>
    <row r="143" spans="2:4" s="2" customFormat="1">
      <c r="B143" s="3"/>
      <c r="D143" s="3"/>
    </row>
    <row r="144" spans="2:4" s="2" customFormat="1">
      <c r="B144" s="3"/>
      <c r="D144" s="3"/>
    </row>
    <row r="145" spans="2:4" s="2" customFormat="1">
      <c r="B145" s="3"/>
      <c r="D145" s="3"/>
    </row>
    <row r="146" spans="2:4" s="2" customFormat="1">
      <c r="B146" s="3"/>
      <c r="D146" s="3"/>
    </row>
    <row r="147" spans="2:4" s="2" customFormat="1">
      <c r="B147" s="3"/>
      <c r="D147" s="3"/>
    </row>
    <row r="148" spans="2:4" s="2" customFormat="1">
      <c r="B148" s="3"/>
      <c r="D148" s="3"/>
    </row>
    <row r="149" spans="2:4" s="2" customFormat="1">
      <c r="B149" s="3"/>
      <c r="D149" s="3"/>
    </row>
    <row r="150" spans="2:4" s="2" customFormat="1">
      <c r="B150" s="3"/>
      <c r="D150" s="3"/>
    </row>
    <row r="151" spans="2:4" s="2" customFormat="1">
      <c r="B151" s="3"/>
      <c r="D151" s="3"/>
    </row>
    <row r="152" spans="2:4" s="2" customFormat="1">
      <c r="B152" s="3"/>
      <c r="D152" s="3"/>
    </row>
    <row r="153" spans="2:4" s="2" customFormat="1">
      <c r="B153" s="3"/>
      <c r="D153" s="3"/>
    </row>
    <row r="154" spans="2:4" s="2" customFormat="1">
      <c r="B154" s="3"/>
      <c r="D154" s="3"/>
    </row>
    <row r="155" spans="2:4" s="2" customFormat="1">
      <c r="B155" s="3"/>
      <c r="D155" s="3"/>
    </row>
    <row r="156" spans="2:4" s="2" customFormat="1">
      <c r="B156" s="3"/>
      <c r="D156" s="3"/>
    </row>
    <row r="157" spans="2:4" s="2" customFormat="1">
      <c r="B157" s="3"/>
      <c r="D157" s="3"/>
    </row>
    <row r="158" spans="2:4" s="2" customFormat="1">
      <c r="B158" s="3"/>
      <c r="D158" s="3"/>
    </row>
    <row r="159" spans="2:4" s="2" customFormat="1">
      <c r="B159" s="3"/>
      <c r="D159" s="3"/>
    </row>
    <row r="160" spans="2:4" s="2" customFormat="1">
      <c r="B160" s="3"/>
      <c r="D160" s="3"/>
    </row>
    <row r="161" spans="2:4" s="2" customFormat="1">
      <c r="B161" s="3"/>
      <c r="D161" s="3"/>
    </row>
    <row r="162" spans="2:4" s="2" customFormat="1">
      <c r="B162" s="3"/>
      <c r="D162" s="3"/>
    </row>
    <row r="163" spans="2:4" s="2" customFormat="1">
      <c r="B163" s="3"/>
      <c r="D163" s="3"/>
    </row>
    <row r="164" spans="2:4" s="2" customFormat="1">
      <c r="B164" s="3"/>
      <c r="D164" s="3"/>
    </row>
    <row r="165" spans="2:4" s="2" customFormat="1">
      <c r="B165" s="3"/>
      <c r="D165" s="3"/>
    </row>
    <row r="166" spans="2:4" s="2" customFormat="1">
      <c r="B166" s="3"/>
      <c r="D166" s="3"/>
    </row>
    <row r="167" spans="2:4" s="2" customFormat="1">
      <c r="B167" s="3"/>
      <c r="D167" s="3"/>
    </row>
    <row r="168" spans="2:4" s="2" customFormat="1">
      <c r="B168" s="3"/>
      <c r="D168" s="3"/>
    </row>
    <row r="169" spans="2:4" s="2" customFormat="1">
      <c r="B169" s="3"/>
      <c r="D169" s="3"/>
    </row>
    <row r="170" spans="2:4" s="2" customFormat="1">
      <c r="B170" s="3"/>
      <c r="D170" s="3"/>
    </row>
    <row r="171" spans="2:4" s="2" customFormat="1">
      <c r="B171" s="3"/>
      <c r="D171" s="3"/>
    </row>
    <row r="172" spans="2:4" s="2" customFormat="1">
      <c r="B172" s="3"/>
      <c r="D172" s="3"/>
    </row>
    <row r="173" spans="2:4" s="2" customFormat="1">
      <c r="B173" s="3"/>
      <c r="D173" s="3"/>
    </row>
    <row r="174" spans="2:4" s="2" customFormat="1">
      <c r="B174" s="3"/>
      <c r="D174" s="3"/>
    </row>
    <row r="175" spans="2:4" s="2" customFormat="1">
      <c r="B175" s="3"/>
      <c r="D175" s="3"/>
    </row>
    <row r="176" spans="2:4" s="2" customFormat="1">
      <c r="B176" s="3"/>
      <c r="D176" s="3"/>
    </row>
    <row r="177" spans="2:4" s="2" customFormat="1">
      <c r="B177" s="3"/>
      <c r="D177" s="3"/>
    </row>
    <row r="178" spans="2:4" s="2" customFormat="1">
      <c r="B178" s="3"/>
      <c r="D178" s="3"/>
    </row>
    <row r="179" spans="2:4" s="2" customFormat="1">
      <c r="B179" s="3"/>
      <c r="D179" s="3"/>
    </row>
    <row r="180" spans="2:4" s="2" customFormat="1">
      <c r="B180" s="3"/>
      <c r="D180" s="3"/>
    </row>
    <row r="181" spans="2:4" s="2" customFormat="1">
      <c r="B181" s="3"/>
      <c r="D181" s="3"/>
    </row>
    <row r="182" spans="2:4" s="2" customFormat="1">
      <c r="B182" s="3"/>
      <c r="D182" s="3"/>
    </row>
    <row r="183" spans="2:4" s="2" customFormat="1">
      <c r="B183" s="3"/>
      <c r="D183" s="3"/>
    </row>
    <row r="184" spans="2:4" s="2" customFormat="1">
      <c r="B184" s="3"/>
      <c r="D184" s="3"/>
    </row>
    <row r="185" spans="2:4" s="2" customFormat="1">
      <c r="B185" s="3"/>
      <c r="D185" s="3"/>
    </row>
    <row r="186" spans="2:4" s="2" customFormat="1">
      <c r="B186" s="3"/>
      <c r="D186" s="3"/>
    </row>
    <row r="187" spans="2:4" s="2" customFormat="1">
      <c r="B187" s="3"/>
      <c r="D187" s="3"/>
    </row>
    <row r="188" spans="2:4" s="2" customFormat="1">
      <c r="B188" s="3"/>
      <c r="D188" s="3"/>
    </row>
    <row r="189" spans="2:4" s="2" customFormat="1">
      <c r="B189" s="3"/>
      <c r="D189" s="3"/>
    </row>
    <row r="190" spans="2:4" s="2" customFormat="1">
      <c r="B190" s="3"/>
      <c r="D190" s="3"/>
    </row>
    <row r="191" spans="2:4" s="2" customFormat="1">
      <c r="B191" s="3"/>
      <c r="D191" s="3"/>
    </row>
    <row r="192" spans="2:4" s="2" customFormat="1">
      <c r="B192" s="3"/>
      <c r="D192" s="3"/>
    </row>
    <row r="193" spans="2:4" s="2" customFormat="1">
      <c r="B193" s="3"/>
      <c r="D193" s="3"/>
    </row>
    <row r="194" spans="2:4" s="2" customFormat="1">
      <c r="B194" s="3"/>
      <c r="D194" s="3"/>
    </row>
    <row r="195" spans="2:4" s="2" customFormat="1">
      <c r="B195" s="3"/>
      <c r="D195" s="3"/>
    </row>
    <row r="196" spans="2:4" s="2" customFormat="1">
      <c r="B196" s="3"/>
      <c r="D196" s="3"/>
    </row>
    <row r="197" spans="2:4" s="2" customFormat="1">
      <c r="B197" s="3"/>
      <c r="D197" s="3"/>
    </row>
    <row r="198" spans="2:4" s="2" customFormat="1">
      <c r="B198" s="3"/>
      <c r="D198" s="3"/>
    </row>
    <row r="199" spans="2:4" s="2" customFormat="1">
      <c r="B199" s="3"/>
      <c r="D199" s="3"/>
    </row>
    <row r="200" spans="2:4" s="2" customFormat="1">
      <c r="B200" s="3"/>
      <c r="D200" s="3"/>
    </row>
    <row r="201" spans="2:4" s="2" customFormat="1">
      <c r="B201" s="3"/>
      <c r="D201" s="3"/>
    </row>
    <row r="202" spans="2:4" s="2" customFormat="1">
      <c r="B202" s="3"/>
      <c r="D202" s="3"/>
    </row>
    <row r="203" spans="2:4" s="2" customFormat="1">
      <c r="B203" s="3"/>
      <c r="D203" s="3"/>
    </row>
    <row r="204" spans="2:4" s="2" customFormat="1">
      <c r="B204" s="3"/>
      <c r="D204" s="3"/>
    </row>
    <row r="205" spans="2:4" s="2" customFormat="1">
      <c r="B205" s="3"/>
      <c r="D205" s="3"/>
    </row>
    <row r="206" spans="2:4" s="2" customFormat="1">
      <c r="B206" s="3"/>
      <c r="D206" s="3"/>
    </row>
    <row r="207" spans="2:4" s="2" customFormat="1">
      <c r="B207" s="3"/>
      <c r="D207" s="3"/>
    </row>
    <row r="208" spans="2:4" s="2" customFormat="1">
      <c r="B208" s="3"/>
      <c r="D208" s="3"/>
    </row>
    <row r="209" spans="2:4" s="2" customFormat="1">
      <c r="B209" s="3"/>
      <c r="D209" s="3"/>
    </row>
    <row r="210" spans="2:4" s="2" customFormat="1">
      <c r="B210" s="3"/>
      <c r="D210" s="3"/>
    </row>
    <row r="211" spans="2:4" s="2" customFormat="1">
      <c r="B211" s="3"/>
      <c r="D211" s="3"/>
    </row>
    <row r="212" spans="2:4" s="2" customFormat="1">
      <c r="B212" s="3"/>
      <c r="D212" s="3"/>
    </row>
    <row r="213" spans="2:4" s="2" customFormat="1">
      <c r="B213" s="3"/>
      <c r="D213" s="3"/>
    </row>
    <row r="214" spans="2:4" s="2" customFormat="1">
      <c r="B214" s="3"/>
      <c r="D214" s="3"/>
    </row>
    <row r="215" spans="2:4" s="2" customFormat="1">
      <c r="B215" s="3"/>
      <c r="D215" s="3"/>
    </row>
    <row r="216" spans="2:4" s="2" customFormat="1">
      <c r="B216" s="3"/>
      <c r="D216" s="3"/>
    </row>
    <row r="217" spans="2:4" s="2" customFormat="1">
      <c r="B217" s="3"/>
      <c r="D217" s="3"/>
    </row>
    <row r="218" spans="2:4" s="2" customFormat="1">
      <c r="B218" s="3"/>
      <c r="D218" s="3"/>
    </row>
    <row r="219" spans="2:4" s="2" customFormat="1">
      <c r="B219" s="3"/>
      <c r="D219" s="3"/>
    </row>
    <row r="220" spans="2:4" s="2" customFormat="1">
      <c r="B220" s="3"/>
      <c r="D220" s="3"/>
    </row>
    <row r="221" spans="2:4" s="2" customFormat="1">
      <c r="B221" s="3"/>
      <c r="D221" s="3"/>
    </row>
    <row r="222" spans="2:4" s="2" customFormat="1">
      <c r="B222" s="3"/>
      <c r="D222" s="3"/>
    </row>
    <row r="223" spans="2:4" s="2" customFormat="1">
      <c r="B223" s="3"/>
      <c r="D223" s="3"/>
    </row>
    <row r="224" spans="2:4" s="2" customFormat="1">
      <c r="B224" s="3"/>
      <c r="D224" s="3"/>
    </row>
    <row r="225" spans="2:4" s="2" customFormat="1">
      <c r="B225" s="3"/>
      <c r="D225" s="3"/>
    </row>
    <row r="226" spans="2:4" s="2" customFormat="1">
      <c r="B226" s="3"/>
      <c r="D226" s="3"/>
    </row>
    <row r="227" spans="2:4" s="2" customFormat="1">
      <c r="B227" s="3"/>
      <c r="D227" s="3"/>
    </row>
    <row r="228" spans="2:4" s="2" customFormat="1">
      <c r="B228" s="3"/>
      <c r="D228" s="3"/>
    </row>
    <row r="229" spans="2:4" s="2" customFormat="1">
      <c r="B229" s="3"/>
      <c r="D229" s="3"/>
    </row>
    <row r="230" spans="2:4" s="2" customFormat="1">
      <c r="B230" s="3"/>
      <c r="D230" s="3"/>
    </row>
    <row r="231" spans="2:4" s="2" customFormat="1">
      <c r="B231" s="3"/>
      <c r="D231" s="3"/>
    </row>
    <row r="232" spans="2:4" s="2" customFormat="1">
      <c r="B232" s="3"/>
      <c r="D232" s="3"/>
    </row>
    <row r="233" spans="2:4" s="2" customFormat="1">
      <c r="B233" s="3"/>
      <c r="D233" s="3"/>
    </row>
    <row r="234" spans="2:4" s="2" customFormat="1">
      <c r="B234" s="3"/>
      <c r="D234" s="3"/>
    </row>
    <row r="235" spans="2:4" s="2" customFormat="1">
      <c r="B235" s="3"/>
      <c r="D235" s="3"/>
    </row>
    <row r="236" spans="2:4" s="2" customFormat="1">
      <c r="B236" s="3"/>
      <c r="D236" s="3"/>
    </row>
    <row r="237" spans="2:4" s="2" customFormat="1">
      <c r="B237" s="3"/>
      <c r="D237" s="3"/>
    </row>
    <row r="238" spans="2:4" s="2" customFormat="1">
      <c r="B238" s="3"/>
      <c r="D238" s="3"/>
    </row>
    <row r="239" spans="2:4" s="2" customFormat="1">
      <c r="B239" s="3"/>
      <c r="D239" s="3"/>
    </row>
    <row r="240" spans="2:4" s="2" customFormat="1">
      <c r="B240" s="3"/>
      <c r="D240" s="3"/>
    </row>
    <row r="241" spans="2:4" s="2" customFormat="1">
      <c r="B241" s="3"/>
      <c r="D241" s="3"/>
    </row>
    <row r="242" spans="2:4" s="2" customFormat="1">
      <c r="B242" s="3"/>
      <c r="D242" s="3"/>
    </row>
    <row r="243" spans="2:4" s="2" customFormat="1">
      <c r="B243" s="3"/>
      <c r="D243" s="3"/>
    </row>
    <row r="244" spans="2:4" s="2" customFormat="1">
      <c r="B244" s="3"/>
      <c r="D244" s="3"/>
    </row>
    <row r="245" spans="2:4" s="2" customFormat="1">
      <c r="B245" s="3"/>
      <c r="D245" s="3"/>
    </row>
    <row r="246" spans="2:4" s="2" customFormat="1">
      <c r="B246" s="3"/>
      <c r="D246" s="3"/>
    </row>
    <row r="247" spans="2:4" s="2" customFormat="1">
      <c r="B247" s="3"/>
      <c r="D247" s="3"/>
    </row>
    <row r="248" spans="2:4" s="2" customFormat="1">
      <c r="B248" s="3"/>
      <c r="D248" s="3"/>
    </row>
    <row r="249" spans="2:4" s="2" customFormat="1">
      <c r="B249" s="3"/>
      <c r="D249" s="3"/>
    </row>
    <row r="250" spans="2:4" s="2" customFormat="1">
      <c r="B250" s="3"/>
      <c r="D250" s="3"/>
    </row>
    <row r="251" spans="2:4" s="2" customFormat="1">
      <c r="B251" s="3"/>
      <c r="D251" s="3"/>
    </row>
    <row r="252" spans="2:4" s="2" customFormat="1">
      <c r="B252" s="3"/>
      <c r="D252" s="3"/>
    </row>
    <row r="253" spans="2:4" s="2" customFormat="1">
      <c r="B253" s="3"/>
      <c r="D253" s="3"/>
    </row>
    <row r="254" spans="2:4" s="2" customFormat="1">
      <c r="B254" s="3"/>
      <c r="D254" s="3"/>
    </row>
    <row r="255" spans="2:4" s="2" customFormat="1">
      <c r="B255" s="3"/>
      <c r="D255" s="3"/>
    </row>
    <row r="256" spans="2:4" s="2" customFormat="1">
      <c r="B256" s="3"/>
      <c r="D256" s="3"/>
    </row>
    <row r="257" spans="2:4" s="2" customFormat="1">
      <c r="B257" s="3"/>
      <c r="D257" s="3"/>
    </row>
    <row r="258" spans="2:4" s="2" customFormat="1">
      <c r="B258" s="3"/>
      <c r="D258" s="3"/>
    </row>
    <row r="259" spans="2:4" s="2" customFormat="1">
      <c r="B259" s="3"/>
      <c r="D259" s="3"/>
    </row>
    <row r="260" spans="2:4" s="2" customFormat="1">
      <c r="B260" s="3"/>
      <c r="D260" s="3"/>
    </row>
    <row r="261" spans="2:4" s="2" customFormat="1">
      <c r="B261" s="3"/>
      <c r="D261" s="3"/>
    </row>
    <row r="262" spans="2:4" s="2" customFormat="1">
      <c r="B262" s="3"/>
      <c r="D262" s="3"/>
    </row>
    <row r="263" spans="2:4" s="2" customFormat="1">
      <c r="B263" s="3"/>
      <c r="D263" s="3"/>
    </row>
    <row r="264" spans="2:4" s="2" customFormat="1">
      <c r="B264" s="3"/>
      <c r="D264" s="3"/>
    </row>
    <row r="265" spans="2:4" s="2" customFormat="1">
      <c r="B265" s="3"/>
      <c r="D265" s="3"/>
    </row>
    <row r="266" spans="2:4" s="2" customFormat="1">
      <c r="B266" s="3"/>
      <c r="D266" s="3"/>
    </row>
    <row r="267" spans="2:4" s="2" customFormat="1">
      <c r="B267" s="3"/>
      <c r="D267" s="3"/>
    </row>
    <row r="268" spans="2:4" s="2" customFormat="1">
      <c r="B268" s="3"/>
      <c r="D268" s="3"/>
    </row>
    <row r="269" spans="2:4" s="2" customFormat="1">
      <c r="B269" s="3"/>
      <c r="D269" s="3"/>
    </row>
    <row r="270" spans="2:4" s="2" customFormat="1">
      <c r="B270" s="3"/>
      <c r="D270" s="3"/>
    </row>
    <row r="271" spans="2:4" s="2" customFormat="1">
      <c r="B271" s="3"/>
      <c r="D271" s="3"/>
    </row>
    <row r="272" spans="2:4" s="2" customFormat="1">
      <c r="B272" s="3"/>
      <c r="D272" s="3"/>
    </row>
    <row r="273" spans="2:4" s="2" customFormat="1">
      <c r="B273" s="3"/>
      <c r="D273" s="3"/>
    </row>
    <row r="274" spans="2:4" s="2" customFormat="1">
      <c r="B274" s="3"/>
      <c r="D274" s="3"/>
    </row>
    <row r="275" spans="2:4" s="2" customFormat="1">
      <c r="B275" s="3"/>
      <c r="D275" s="3"/>
    </row>
    <row r="276" spans="2:4" s="2" customFormat="1">
      <c r="B276" s="3"/>
      <c r="D276" s="3"/>
    </row>
    <row r="277" spans="2:4" s="2" customFormat="1">
      <c r="B277" s="3"/>
      <c r="D277" s="3"/>
    </row>
    <row r="278" spans="2:4" s="2" customFormat="1">
      <c r="B278" s="3"/>
      <c r="D278" s="3"/>
    </row>
    <row r="279" spans="2:4" s="2" customFormat="1">
      <c r="B279" s="3"/>
      <c r="D279" s="3"/>
    </row>
    <row r="280" spans="2:4" s="2" customFormat="1">
      <c r="B280" s="3"/>
      <c r="D280" s="3"/>
    </row>
    <row r="281" spans="2:4" s="2" customFormat="1">
      <c r="B281" s="3"/>
      <c r="D281" s="3"/>
    </row>
    <row r="282" spans="2:4" s="2" customFormat="1">
      <c r="B282" s="3"/>
      <c r="D282" s="3"/>
    </row>
    <row r="283" spans="2:4" s="2" customFormat="1">
      <c r="B283" s="3"/>
      <c r="D283" s="3"/>
    </row>
    <row r="284" spans="2:4" s="2" customFormat="1">
      <c r="B284" s="3"/>
      <c r="D284" s="3"/>
    </row>
    <row r="285" spans="2:4" s="2" customFormat="1">
      <c r="B285" s="3"/>
      <c r="D285" s="3"/>
    </row>
    <row r="286" spans="2:4" s="2" customFormat="1">
      <c r="B286" s="3"/>
      <c r="D286" s="3"/>
    </row>
    <row r="287" spans="2:4" s="2" customFormat="1">
      <c r="B287" s="3"/>
      <c r="D287" s="3"/>
    </row>
    <row r="288" spans="2:4" s="2" customFormat="1">
      <c r="B288" s="3"/>
      <c r="D288" s="3"/>
    </row>
    <row r="289" spans="2:4" s="2" customFormat="1">
      <c r="B289" s="3"/>
      <c r="D289" s="3"/>
    </row>
    <row r="290" spans="2:4" s="2" customFormat="1">
      <c r="B290" s="3"/>
      <c r="D290" s="3"/>
    </row>
    <row r="291" spans="2:4" s="2" customFormat="1">
      <c r="B291" s="3"/>
      <c r="D291" s="3"/>
    </row>
    <row r="292" spans="2:4" s="2" customFormat="1">
      <c r="B292" s="3"/>
      <c r="D292" s="3"/>
    </row>
    <row r="293" spans="2:4" s="2" customFormat="1">
      <c r="B293" s="3"/>
      <c r="D293" s="3"/>
    </row>
    <row r="294" spans="2:4" s="2" customFormat="1">
      <c r="B294" s="3"/>
      <c r="D294" s="3"/>
    </row>
    <row r="295" spans="2:4" s="2" customFormat="1">
      <c r="B295" s="3"/>
      <c r="D295" s="3"/>
    </row>
    <row r="296" spans="2:4" s="2" customFormat="1">
      <c r="B296" s="3"/>
      <c r="D296" s="3"/>
    </row>
    <row r="297" spans="2:4" s="2" customFormat="1">
      <c r="B297" s="3"/>
      <c r="D297" s="3"/>
    </row>
    <row r="298" spans="2:4" s="2" customFormat="1">
      <c r="B298" s="3"/>
      <c r="D298" s="3"/>
    </row>
    <row r="299" spans="2:4" s="2" customFormat="1">
      <c r="B299" s="3"/>
      <c r="D299" s="3"/>
    </row>
    <row r="300" spans="2:4" s="2" customFormat="1">
      <c r="B300" s="3"/>
      <c r="D300" s="3"/>
    </row>
    <row r="301" spans="2:4" s="2" customFormat="1">
      <c r="B301" s="3"/>
      <c r="D301" s="3"/>
    </row>
    <row r="302" spans="2:4" s="2" customFormat="1">
      <c r="B302" s="3"/>
      <c r="D302" s="3"/>
    </row>
    <row r="303" spans="2:4" s="2" customFormat="1">
      <c r="B303" s="3"/>
      <c r="D303" s="3"/>
    </row>
    <row r="304" spans="2:4" s="2" customFormat="1">
      <c r="B304" s="3"/>
      <c r="D304" s="3"/>
    </row>
    <row r="305" spans="2:4" s="2" customFormat="1">
      <c r="B305" s="3"/>
      <c r="D305" s="3"/>
    </row>
    <row r="306" spans="2:4" s="2" customFormat="1">
      <c r="B306" s="3"/>
      <c r="D306" s="3"/>
    </row>
    <row r="307" spans="2:4" s="2" customFormat="1">
      <c r="B307" s="3"/>
      <c r="D307" s="3"/>
    </row>
    <row r="308" spans="2:4" s="2" customFormat="1">
      <c r="B308" s="3"/>
      <c r="D308" s="3"/>
    </row>
    <row r="309" spans="2:4" s="2" customFormat="1">
      <c r="B309" s="3"/>
      <c r="D309" s="3"/>
    </row>
    <row r="310" spans="2:4" s="2" customFormat="1">
      <c r="B310" s="3"/>
      <c r="D310" s="3"/>
    </row>
    <row r="311" spans="2:4" s="2" customFormat="1">
      <c r="B311" s="3"/>
      <c r="D311" s="3"/>
    </row>
    <row r="312" spans="2:4" s="2" customFormat="1">
      <c r="B312" s="3"/>
      <c r="D312" s="3"/>
    </row>
    <row r="313" spans="2:4" s="2" customFormat="1">
      <c r="B313" s="3"/>
      <c r="D313" s="3"/>
    </row>
    <row r="314" spans="2:4" s="2" customFormat="1">
      <c r="B314" s="3"/>
      <c r="D314" s="3"/>
    </row>
    <row r="315" spans="2:4" s="2" customFormat="1">
      <c r="B315" s="3"/>
      <c r="D315" s="3"/>
    </row>
    <row r="316" spans="2:4" s="2" customFormat="1">
      <c r="B316" s="3"/>
      <c r="D316" s="3"/>
    </row>
    <row r="317" spans="2:4" s="2" customFormat="1">
      <c r="B317" s="3"/>
      <c r="D317" s="3"/>
    </row>
    <row r="318" spans="2:4" s="2" customFormat="1">
      <c r="B318" s="3"/>
      <c r="D318" s="3"/>
    </row>
    <row r="319" spans="2:4" s="2" customFormat="1">
      <c r="B319" s="3"/>
      <c r="D319" s="3"/>
    </row>
    <row r="320" spans="2:4" s="2" customFormat="1">
      <c r="B320" s="3"/>
      <c r="D320" s="3"/>
    </row>
    <row r="321" spans="2:4" s="2" customFormat="1">
      <c r="B321" s="3"/>
      <c r="D321" s="3"/>
    </row>
    <row r="322" spans="2:4" s="2" customFormat="1">
      <c r="B322" s="3"/>
      <c r="D322" s="3"/>
    </row>
    <row r="323" spans="2:4" s="2" customFormat="1">
      <c r="B323" s="3"/>
      <c r="D323" s="3"/>
    </row>
    <row r="324" spans="2:4" s="2" customFormat="1">
      <c r="B324" s="3"/>
      <c r="D324" s="3"/>
    </row>
    <row r="325" spans="2:4" s="2" customFormat="1">
      <c r="B325" s="3"/>
      <c r="D325" s="3"/>
    </row>
    <row r="326" spans="2:4" s="2" customFormat="1">
      <c r="B326" s="3"/>
      <c r="D326" s="3"/>
    </row>
    <row r="327" spans="2:4" s="2" customFormat="1">
      <c r="B327" s="3"/>
      <c r="D327" s="3"/>
    </row>
    <row r="328" spans="2:4" s="2" customFormat="1">
      <c r="B328" s="3"/>
      <c r="D328" s="3"/>
    </row>
    <row r="329" spans="2:4" s="2" customFormat="1">
      <c r="B329" s="3"/>
      <c r="D329" s="3"/>
    </row>
    <row r="330" spans="2:4" s="2" customFormat="1">
      <c r="B330" s="3"/>
      <c r="D330" s="3"/>
    </row>
    <row r="331" spans="2:4" s="2" customFormat="1">
      <c r="B331" s="3"/>
      <c r="D331" s="3"/>
    </row>
    <row r="332" spans="2:4" s="2" customFormat="1">
      <c r="B332" s="3"/>
      <c r="D332" s="3"/>
    </row>
    <row r="333" spans="2:4" s="2" customFormat="1">
      <c r="B333" s="3"/>
      <c r="D333" s="3"/>
    </row>
    <row r="334" spans="2:4" s="2" customFormat="1">
      <c r="B334" s="3"/>
      <c r="D334" s="3"/>
    </row>
    <row r="335" spans="2:4" s="2" customFormat="1">
      <c r="B335" s="3"/>
      <c r="D335" s="3"/>
    </row>
    <row r="336" spans="2:4" s="2" customFormat="1">
      <c r="B336" s="3"/>
      <c r="D336" s="3"/>
    </row>
    <row r="337" spans="2:4" s="2" customFormat="1">
      <c r="B337" s="3"/>
      <c r="D337" s="3"/>
    </row>
    <row r="338" spans="2:4" s="2" customFormat="1">
      <c r="B338" s="3"/>
      <c r="D338" s="3"/>
    </row>
    <row r="339" spans="2:4" s="2" customFormat="1">
      <c r="B339" s="3"/>
      <c r="D339" s="3"/>
    </row>
    <row r="340" spans="2:4" s="2" customFormat="1">
      <c r="B340" s="3"/>
      <c r="D340" s="3"/>
    </row>
    <row r="341" spans="2:4" s="2" customFormat="1">
      <c r="B341" s="3"/>
      <c r="D341" s="3"/>
    </row>
    <row r="342" spans="2:4" s="2" customFormat="1">
      <c r="B342" s="3"/>
      <c r="D342" s="3"/>
    </row>
    <row r="343" spans="2:4" s="2" customFormat="1">
      <c r="B343" s="3"/>
      <c r="D343" s="3"/>
    </row>
    <row r="344" spans="2:4" s="2" customFormat="1">
      <c r="B344" s="3"/>
      <c r="D344" s="3"/>
    </row>
    <row r="345" spans="2:4" s="2" customFormat="1">
      <c r="B345" s="3"/>
      <c r="D345" s="3"/>
    </row>
    <row r="346" spans="2:4" s="2" customFormat="1">
      <c r="B346" s="3"/>
      <c r="D346" s="3"/>
    </row>
    <row r="347" spans="2:4" s="2" customFormat="1">
      <c r="B347" s="3"/>
      <c r="D347" s="3"/>
    </row>
    <row r="348" spans="2:4" s="2" customFormat="1">
      <c r="B348" s="3"/>
      <c r="D348" s="3"/>
    </row>
    <row r="349" spans="2:4" s="2" customFormat="1">
      <c r="B349" s="3"/>
      <c r="D349" s="3"/>
    </row>
    <row r="350" spans="2:4" s="2" customFormat="1">
      <c r="B350" s="3"/>
      <c r="D350" s="3"/>
    </row>
    <row r="351" spans="2:4" s="2" customFormat="1">
      <c r="B351" s="3"/>
      <c r="D351" s="3"/>
    </row>
    <row r="352" spans="2:4" s="2" customFormat="1">
      <c r="B352" s="3"/>
      <c r="D352" s="3"/>
    </row>
    <row r="353" spans="2:4" s="2" customFormat="1">
      <c r="B353" s="3"/>
      <c r="D353" s="3"/>
    </row>
    <row r="354" spans="2:4" s="2" customFormat="1">
      <c r="B354" s="3"/>
      <c r="D354" s="3"/>
    </row>
    <row r="355" spans="2:4" s="2" customFormat="1">
      <c r="B355" s="3"/>
      <c r="D355" s="3"/>
    </row>
    <row r="356" spans="2:4" s="2" customFormat="1">
      <c r="B356" s="3"/>
      <c r="D356" s="3"/>
    </row>
    <row r="357" spans="2:4" s="2" customFormat="1">
      <c r="B357" s="3"/>
      <c r="D357" s="3"/>
    </row>
    <row r="358" spans="2:4" s="2" customFormat="1">
      <c r="B358" s="3"/>
      <c r="D358" s="3"/>
    </row>
    <row r="359" spans="2:4" s="2" customFormat="1">
      <c r="B359" s="3"/>
      <c r="D359" s="3"/>
    </row>
    <row r="360" spans="2:4" s="2" customFormat="1">
      <c r="B360" s="3"/>
      <c r="D360" s="3"/>
    </row>
    <row r="361" spans="2:4" s="2" customFormat="1">
      <c r="B361" s="3"/>
      <c r="D361" s="3"/>
    </row>
    <row r="362" spans="2:4" s="2" customFormat="1">
      <c r="B362" s="3"/>
      <c r="D362" s="3"/>
    </row>
    <row r="363" spans="2:4" s="2" customFormat="1">
      <c r="B363" s="3"/>
      <c r="D363" s="3"/>
    </row>
    <row r="364" spans="2:4" s="2" customFormat="1">
      <c r="B364" s="3"/>
      <c r="D364" s="3"/>
    </row>
    <row r="365" spans="2:4" s="2" customFormat="1">
      <c r="B365" s="3"/>
      <c r="D365" s="3"/>
    </row>
    <row r="366" spans="2:4" s="2" customFormat="1">
      <c r="B366" s="3"/>
      <c r="D366" s="3"/>
    </row>
    <row r="367" spans="2:4" s="2" customFormat="1">
      <c r="B367" s="3"/>
      <c r="D367" s="3"/>
    </row>
    <row r="368" spans="2:4" s="2" customFormat="1">
      <c r="B368" s="3"/>
      <c r="D368" s="3"/>
    </row>
    <row r="369" spans="2:4" s="2" customFormat="1">
      <c r="B369" s="3"/>
      <c r="D369" s="3"/>
    </row>
    <row r="370" spans="2:4" s="2" customFormat="1">
      <c r="B370" s="3"/>
      <c r="D370" s="3"/>
    </row>
    <row r="371" spans="2:4" s="2" customFormat="1">
      <c r="B371" s="3"/>
      <c r="D371" s="3"/>
    </row>
    <row r="372" spans="2:4" s="2" customFormat="1">
      <c r="B372" s="3"/>
      <c r="D372" s="3"/>
    </row>
    <row r="373" spans="2:4" s="2" customFormat="1">
      <c r="B373" s="3"/>
      <c r="D373" s="3"/>
    </row>
    <row r="374" spans="2:4" s="2" customFormat="1">
      <c r="B374" s="3"/>
      <c r="D374" s="3"/>
    </row>
    <row r="375" spans="2:4" s="2" customFormat="1">
      <c r="B375" s="3"/>
      <c r="D375" s="3"/>
    </row>
    <row r="376" spans="2:4" s="2" customFormat="1">
      <c r="B376" s="3"/>
      <c r="D376" s="3"/>
    </row>
    <row r="377" spans="2:4" s="2" customFormat="1">
      <c r="B377" s="3"/>
      <c r="D377" s="3"/>
    </row>
    <row r="378" spans="2:4" s="2" customFormat="1">
      <c r="B378" s="3"/>
      <c r="D378" s="3"/>
    </row>
    <row r="379" spans="2:4" s="2" customFormat="1">
      <c r="B379" s="3"/>
      <c r="D379" s="3"/>
    </row>
    <row r="380" spans="2:4" s="2" customFormat="1">
      <c r="B380" s="3"/>
      <c r="D380" s="3"/>
    </row>
    <row r="381" spans="2:4" s="2" customFormat="1">
      <c r="B381" s="3"/>
      <c r="D381" s="3"/>
    </row>
    <row r="382" spans="2:4" s="2" customFormat="1">
      <c r="B382" s="3"/>
      <c r="D382" s="3"/>
    </row>
    <row r="383" spans="2:4" s="2" customFormat="1">
      <c r="B383" s="3"/>
      <c r="D383" s="3"/>
    </row>
    <row r="384" spans="2:4" s="2" customFormat="1">
      <c r="B384" s="3"/>
      <c r="D384" s="3"/>
    </row>
    <row r="385" spans="2:4" s="2" customFormat="1">
      <c r="B385" s="3"/>
      <c r="D385" s="3"/>
    </row>
    <row r="386" spans="2:4" s="2" customFormat="1">
      <c r="B386" s="3"/>
      <c r="D386" s="3"/>
    </row>
    <row r="387" spans="2:4" s="2" customFormat="1">
      <c r="B387" s="3"/>
      <c r="D387" s="3"/>
    </row>
    <row r="388" spans="2:4" s="2" customFormat="1">
      <c r="B388" s="3"/>
      <c r="D388" s="3"/>
    </row>
    <row r="389" spans="2:4" s="2" customFormat="1">
      <c r="B389" s="3"/>
      <c r="D389" s="3"/>
    </row>
    <row r="390" spans="2:4" s="2" customFormat="1">
      <c r="B390" s="3"/>
      <c r="D390" s="3"/>
    </row>
    <row r="391" spans="2:4" s="2" customFormat="1">
      <c r="B391" s="3"/>
      <c r="D391" s="3"/>
    </row>
    <row r="392" spans="2:4" s="2" customFormat="1">
      <c r="B392" s="3"/>
      <c r="D392" s="3"/>
    </row>
    <row r="393" spans="2:4" s="2" customFormat="1">
      <c r="B393" s="3"/>
      <c r="D393" s="3"/>
    </row>
    <row r="394" spans="2:4" s="2" customFormat="1">
      <c r="B394" s="3"/>
      <c r="D394" s="3"/>
    </row>
    <row r="395" spans="2:4" s="2" customFormat="1">
      <c r="B395" s="3"/>
      <c r="D395" s="3"/>
    </row>
    <row r="396" spans="2:4" s="2" customFormat="1">
      <c r="B396" s="3"/>
      <c r="D396" s="3"/>
    </row>
    <row r="397" spans="2:4" s="2" customFormat="1">
      <c r="B397" s="3"/>
      <c r="D397" s="3"/>
    </row>
    <row r="398" spans="2:4" s="2" customFormat="1">
      <c r="B398" s="3"/>
      <c r="D398" s="3"/>
    </row>
    <row r="399" spans="2:4" s="2" customFormat="1">
      <c r="B399" s="3"/>
      <c r="D399" s="3"/>
    </row>
    <row r="400" spans="2:4" s="2" customFormat="1">
      <c r="B400" s="3"/>
      <c r="D400" s="3"/>
    </row>
    <row r="401" spans="2:4" s="2" customFormat="1">
      <c r="B401" s="3"/>
      <c r="D401" s="3"/>
    </row>
    <row r="402" spans="2:4" s="2" customFormat="1">
      <c r="B402" s="3"/>
      <c r="D402" s="3"/>
    </row>
    <row r="403" spans="2:4" s="2" customFormat="1">
      <c r="B403" s="3"/>
      <c r="D403" s="3"/>
    </row>
    <row r="404" spans="2:4" s="2" customFormat="1">
      <c r="B404" s="3"/>
      <c r="D404" s="3"/>
    </row>
    <row r="405" spans="2:4" s="2" customFormat="1">
      <c r="B405" s="3"/>
      <c r="D405" s="3"/>
    </row>
    <row r="406" spans="2:4" s="2" customFormat="1">
      <c r="B406" s="3"/>
      <c r="D406" s="3"/>
    </row>
    <row r="407" spans="2:4" s="2" customFormat="1">
      <c r="B407" s="3"/>
      <c r="D407" s="3"/>
    </row>
    <row r="408" spans="2:4" s="2" customFormat="1">
      <c r="B408" s="3"/>
      <c r="D408" s="3"/>
    </row>
    <row r="409" spans="2:4" s="2" customFormat="1">
      <c r="B409" s="3"/>
      <c r="D409" s="3"/>
    </row>
    <row r="410" spans="2:4" s="2" customFormat="1">
      <c r="B410" s="3"/>
      <c r="D410" s="3"/>
    </row>
    <row r="411" spans="2:4" s="2" customFormat="1">
      <c r="B411" s="3"/>
      <c r="D411" s="3"/>
    </row>
    <row r="412" spans="2:4" s="2" customFormat="1">
      <c r="B412" s="3"/>
      <c r="D412" s="3"/>
    </row>
    <row r="413" spans="2:4" s="2" customFormat="1">
      <c r="B413" s="3"/>
      <c r="D413" s="3"/>
    </row>
    <row r="414" spans="2:4" s="2" customFormat="1">
      <c r="B414" s="3"/>
      <c r="D414" s="3"/>
    </row>
    <row r="415" spans="2:4" s="2" customFormat="1">
      <c r="B415" s="3"/>
      <c r="D415" s="3"/>
    </row>
    <row r="416" spans="2:4" s="2" customFormat="1">
      <c r="B416" s="3"/>
      <c r="D416" s="3"/>
    </row>
    <row r="417" spans="2:4" s="2" customFormat="1">
      <c r="B417" s="3"/>
      <c r="D417" s="3"/>
    </row>
    <row r="418" spans="2:4" s="2" customFormat="1">
      <c r="B418" s="3"/>
      <c r="D418" s="3"/>
    </row>
    <row r="419" spans="2:4" s="2" customFormat="1">
      <c r="B419" s="3"/>
      <c r="D419" s="3"/>
    </row>
    <row r="420" spans="2:4" s="2" customFormat="1">
      <c r="B420" s="3"/>
      <c r="D420" s="3"/>
    </row>
    <row r="421" spans="2:4" s="2" customFormat="1">
      <c r="B421" s="3"/>
      <c r="D421" s="3"/>
    </row>
    <row r="422" spans="2:4" s="2" customFormat="1">
      <c r="B422" s="3"/>
      <c r="D422" s="3"/>
    </row>
    <row r="423" spans="2:4" s="2" customFormat="1">
      <c r="B423" s="3"/>
      <c r="D423" s="3"/>
    </row>
    <row r="424" spans="2:4" s="2" customFormat="1">
      <c r="B424" s="3"/>
      <c r="D424" s="3"/>
    </row>
    <row r="425" spans="2:4" s="2" customFormat="1">
      <c r="B425" s="3"/>
      <c r="D425" s="3"/>
    </row>
    <row r="426" spans="2:4" s="2" customFormat="1">
      <c r="B426" s="3"/>
      <c r="D426" s="3"/>
    </row>
    <row r="427" spans="2:4" s="2" customFormat="1">
      <c r="B427" s="3"/>
      <c r="D427" s="3"/>
    </row>
    <row r="428" spans="2:4" s="2" customFormat="1">
      <c r="B428" s="3"/>
      <c r="D428" s="3"/>
    </row>
    <row r="429" spans="2:4" s="2" customFormat="1">
      <c r="B429" s="3"/>
      <c r="D429" s="3"/>
    </row>
    <row r="430" spans="2:4" s="2" customFormat="1">
      <c r="B430" s="3"/>
      <c r="D430" s="3"/>
    </row>
    <row r="431" spans="2:4" s="2" customFormat="1">
      <c r="B431" s="3"/>
      <c r="D431" s="3"/>
    </row>
    <row r="432" spans="2:4" s="2" customFormat="1">
      <c r="B432" s="3"/>
      <c r="D432" s="3"/>
    </row>
    <row r="433" spans="2:4" s="2" customFormat="1">
      <c r="B433" s="3"/>
      <c r="D433" s="3"/>
    </row>
    <row r="434" spans="2:4" s="2" customFormat="1">
      <c r="B434" s="3"/>
      <c r="D434" s="3"/>
    </row>
    <row r="435" spans="2:4" s="2" customFormat="1">
      <c r="B435" s="3"/>
      <c r="D435" s="3"/>
    </row>
    <row r="436" spans="2:4" s="2" customFormat="1">
      <c r="B436" s="3"/>
      <c r="D436" s="3"/>
    </row>
    <row r="437" spans="2:4" s="2" customFormat="1">
      <c r="B437" s="3"/>
      <c r="D437" s="3"/>
    </row>
    <row r="438" spans="2:4" s="2" customFormat="1">
      <c r="B438" s="3"/>
      <c r="D438" s="3"/>
    </row>
    <row r="439" spans="2:4" s="2" customFormat="1">
      <c r="B439" s="3"/>
      <c r="D439" s="3"/>
    </row>
    <row r="440" spans="2:4" s="2" customFormat="1">
      <c r="B440" s="3"/>
      <c r="D440" s="3"/>
    </row>
    <row r="441" spans="2:4" s="2" customFormat="1">
      <c r="B441" s="3"/>
      <c r="D441" s="3"/>
    </row>
    <row r="442" spans="2:4" s="2" customFormat="1">
      <c r="B442" s="3"/>
      <c r="D442" s="3"/>
    </row>
    <row r="443" spans="2:4" s="2" customFormat="1">
      <c r="B443" s="3"/>
      <c r="D443" s="3"/>
    </row>
    <row r="444" spans="2:4" s="2" customFormat="1">
      <c r="B444" s="3"/>
      <c r="D444" s="3"/>
    </row>
    <row r="445" spans="2:4" s="2" customFormat="1">
      <c r="B445" s="3"/>
      <c r="D445" s="3"/>
    </row>
    <row r="446" spans="2:4" s="2" customFormat="1">
      <c r="B446" s="3"/>
      <c r="D446" s="3"/>
    </row>
    <row r="447" spans="2:4" s="2" customFormat="1">
      <c r="B447" s="3"/>
      <c r="D447" s="3"/>
    </row>
    <row r="448" spans="2:4" s="2" customFormat="1">
      <c r="B448" s="3"/>
      <c r="D448" s="3"/>
    </row>
    <row r="449" spans="2:4" s="2" customFormat="1">
      <c r="B449" s="3"/>
      <c r="D449" s="3"/>
    </row>
    <row r="450" spans="2:4" s="2" customFormat="1">
      <c r="B450" s="3"/>
      <c r="D450" s="3"/>
    </row>
    <row r="451" spans="2:4" s="2" customFormat="1">
      <c r="B451" s="3"/>
      <c r="D451" s="3"/>
    </row>
    <row r="452" spans="2:4" s="2" customFormat="1">
      <c r="B452" s="3"/>
      <c r="D452" s="3"/>
    </row>
    <row r="453" spans="2:4" s="2" customFormat="1">
      <c r="B453" s="3"/>
      <c r="D453" s="3"/>
    </row>
    <row r="454" spans="2:4" s="2" customFormat="1">
      <c r="B454" s="3"/>
      <c r="D454" s="3"/>
    </row>
    <row r="455" spans="2:4" s="2" customFormat="1">
      <c r="B455" s="3"/>
      <c r="D455" s="3"/>
    </row>
    <row r="456" spans="2:4" s="2" customFormat="1">
      <c r="B456" s="3"/>
      <c r="D456" s="3"/>
    </row>
    <row r="457" spans="2:4" s="2" customFormat="1">
      <c r="B457" s="3"/>
      <c r="D457" s="3"/>
    </row>
    <row r="458" spans="2:4" s="2" customFormat="1">
      <c r="B458" s="3"/>
      <c r="D458" s="3"/>
    </row>
    <row r="459" spans="2:4" s="2" customFormat="1">
      <c r="B459" s="3"/>
      <c r="D459" s="3"/>
    </row>
    <row r="460" spans="2:4" s="2" customFormat="1">
      <c r="B460" s="3"/>
      <c r="D460" s="3"/>
    </row>
    <row r="461" spans="2:4" s="2" customFormat="1">
      <c r="B461" s="3"/>
      <c r="D461" s="3"/>
    </row>
    <row r="462" spans="2:4" s="2" customFormat="1">
      <c r="B462" s="3"/>
      <c r="D462" s="3"/>
    </row>
    <row r="463" spans="2:4" s="2" customFormat="1">
      <c r="B463" s="3"/>
      <c r="D463" s="3"/>
    </row>
    <row r="464" spans="2:4" s="2" customFormat="1">
      <c r="B464" s="3"/>
      <c r="D464" s="3"/>
    </row>
    <row r="465" spans="2:4" s="2" customFormat="1">
      <c r="B465" s="3"/>
      <c r="D465" s="3"/>
    </row>
    <row r="466" spans="2:4" s="2" customFormat="1">
      <c r="B466" s="3"/>
      <c r="D466" s="3"/>
    </row>
    <row r="467" spans="2:4" s="2" customFormat="1">
      <c r="B467" s="3"/>
      <c r="D467" s="3"/>
    </row>
    <row r="468" spans="2:4" s="2" customFormat="1">
      <c r="B468" s="3"/>
      <c r="D468" s="3"/>
    </row>
    <row r="469" spans="2:4" s="2" customFormat="1">
      <c r="B469" s="3"/>
      <c r="D469" s="3"/>
    </row>
    <row r="470" spans="2:4" s="2" customFormat="1">
      <c r="B470" s="3"/>
      <c r="D470" s="3"/>
    </row>
    <row r="471" spans="2:4" s="2" customFormat="1">
      <c r="B471" s="3"/>
      <c r="D471" s="3"/>
    </row>
    <row r="472" spans="2:4" s="2" customFormat="1">
      <c r="B472" s="3"/>
      <c r="D472" s="3"/>
    </row>
    <row r="473" spans="2:4" s="2" customFormat="1">
      <c r="B473" s="3"/>
      <c r="D473" s="3"/>
    </row>
    <row r="474" spans="2:4" s="2" customFormat="1">
      <c r="B474" s="3"/>
      <c r="D474" s="3"/>
    </row>
    <row r="475" spans="2:4" s="2" customFormat="1">
      <c r="B475" s="3"/>
      <c r="D475" s="3"/>
    </row>
    <row r="476" spans="2:4" s="2" customFormat="1">
      <c r="B476" s="3"/>
      <c r="D476" s="3"/>
    </row>
    <row r="477" spans="2:4" s="2" customFormat="1">
      <c r="B477" s="3"/>
      <c r="D477" s="3"/>
    </row>
    <row r="478" spans="2:4" s="2" customFormat="1">
      <c r="B478" s="3"/>
      <c r="D478" s="3"/>
    </row>
    <row r="479" spans="2:4" s="2" customFormat="1">
      <c r="B479" s="3"/>
      <c r="D479" s="3"/>
    </row>
    <row r="480" spans="2:4" s="2" customFormat="1">
      <c r="B480" s="3"/>
      <c r="D480" s="3"/>
    </row>
    <row r="481" spans="2:4" s="2" customFormat="1">
      <c r="B481" s="3"/>
      <c r="D481" s="3"/>
    </row>
    <row r="482" spans="2:4" s="2" customFormat="1">
      <c r="B482" s="3"/>
      <c r="D482" s="3"/>
    </row>
    <row r="483" spans="2:4" s="2" customFormat="1">
      <c r="B483" s="3"/>
      <c r="D483" s="3"/>
    </row>
    <row r="484" spans="2:4" s="2" customFormat="1">
      <c r="B484" s="3"/>
      <c r="D484" s="3"/>
    </row>
    <row r="485" spans="2:4" s="2" customFormat="1">
      <c r="B485" s="3"/>
      <c r="D485" s="3"/>
    </row>
    <row r="486" spans="2:4" s="2" customFormat="1">
      <c r="B486" s="3"/>
      <c r="D486" s="3"/>
    </row>
    <row r="487" spans="2:4" s="2" customFormat="1">
      <c r="B487" s="3"/>
      <c r="D487" s="3"/>
    </row>
    <row r="488" spans="2:4" s="2" customFormat="1">
      <c r="B488" s="3"/>
      <c r="D488" s="3"/>
    </row>
    <row r="489" spans="2:4" s="2" customFormat="1">
      <c r="B489" s="3"/>
      <c r="D489" s="3"/>
    </row>
    <row r="490" spans="2:4" s="2" customFormat="1">
      <c r="B490" s="3"/>
      <c r="D490" s="3"/>
    </row>
    <row r="491" spans="2:4" s="2" customFormat="1">
      <c r="B491" s="3"/>
      <c r="D491" s="3"/>
    </row>
    <row r="492" spans="2:4" s="2" customFormat="1">
      <c r="B492" s="3"/>
      <c r="D492" s="3"/>
    </row>
    <row r="493" spans="2:4" s="2" customFormat="1">
      <c r="B493" s="3"/>
      <c r="D493" s="3"/>
    </row>
    <row r="494" spans="2:4" s="2" customFormat="1">
      <c r="B494" s="3"/>
      <c r="D494" s="3"/>
    </row>
    <row r="495" spans="2:4" s="2" customFormat="1">
      <c r="B495" s="3"/>
      <c r="D495" s="3"/>
    </row>
    <row r="496" spans="2:4" s="2" customFormat="1">
      <c r="B496" s="3"/>
      <c r="D496" s="3"/>
    </row>
    <row r="497" spans="2:4" s="2" customFormat="1">
      <c r="B497" s="3"/>
      <c r="D497" s="3"/>
    </row>
    <row r="498" spans="2:4" s="2" customFormat="1">
      <c r="B498" s="3"/>
      <c r="D498" s="3"/>
    </row>
    <row r="499" spans="2:4" s="2" customFormat="1">
      <c r="B499" s="3"/>
      <c r="D499" s="3"/>
    </row>
    <row r="500" spans="2:4" s="2" customFormat="1">
      <c r="B500" s="3"/>
      <c r="D500" s="3"/>
    </row>
    <row r="501" spans="2:4" s="2" customFormat="1">
      <c r="B501" s="3"/>
      <c r="D501" s="3"/>
    </row>
    <row r="502" spans="2:4" s="2" customFormat="1">
      <c r="B502" s="3"/>
      <c r="D502" s="3"/>
    </row>
    <row r="503" spans="2:4" s="2" customFormat="1">
      <c r="B503" s="3"/>
      <c r="D503" s="3"/>
    </row>
    <row r="504" spans="2:4" s="2" customFormat="1">
      <c r="B504" s="3"/>
      <c r="D504" s="3"/>
    </row>
    <row r="505" spans="2:4" s="2" customFormat="1">
      <c r="B505" s="3"/>
      <c r="D505" s="3"/>
    </row>
    <row r="506" spans="2:4" s="2" customFormat="1">
      <c r="B506" s="3"/>
      <c r="D506" s="3"/>
    </row>
    <row r="507" spans="2:4" s="2" customFormat="1">
      <c r="B507" s="3"/>
      <c r="D507" s="3"/>
    </row>
    <row r="508" spans="2:4" s="2" customFormat="1">
      <c r="B508" s="3"/>
      <c r="D508" s="3"/>
    </row>
    <row r="509" spans="2:4" s="2" customFormat="1">
      <c r="B509" s="3"/>
      <c r="D509" s="3"/>
    </row>
    <row r="510" spans="2:4" s="2" customFormat="1">
      <c r="B510" s="3"/>
      <c r="D510" s="3"/>
    </row>
    <row r="511" spans="2:4" s="2" customFormat="1">
      <c r="B511" s="3"/>
      <c r="D511" s="3"/>
    </row>
    <row r="512" spans="2:4" s="2" customFormat="1">
      <c r="B512" s="3"/>
      <c r="D512" s="3"/>
    </row>
    <row r="513" spans="2:4" s="2" customFormat="1">
      <c r="B513" s="3"/>
      <c r="D513" s="3"/>
    </row>
    <row r="514" spans="2:4" s="2" customFormat="1">
      <c r="B514" s="3"/>
      <c r="D514" s="3"/>
    </row>
    <row r="515" spans="2:4" s="2" customFormat="1">
      <c r="B515" s="3"/>
      <c r="D515" s="3"/>
    </row>
    <row r="516" spans="2:4" s="2" customFormat="1">
      <c r="B516" s="3"/>
      <c r="D516" s="3"/>
    </row>
    <row r="517" spans="2:4" s="2" customFormat="1">
      <c r="B517" s="3"/>
      <c r="D517" s="3"/>
    </row>
    <row r="518" spans="2:4" s="2" customFormat="1">
      <c r="B518" s="3"/>
      <c r="D518" s="3"/>
    </row>
    <row r="519" spans="2:4" s="2" customFormat="1">
      <c r="B519" s="3"/>
      <c r="D519" s="3"/>
    </row>
    <row r="520" spans="2:4" s="2" customFormat="1">
      <c r="B520" s="3"/>
      <c r="D520" s="3"/>
    </row>
    <row r="521" spans="2:4" s="2" customFormat="1">
      <c r="B521" s="3"/>
      <c r="D521" s="3"/>
    </row>
    <row r="522" spans="2:4" s="2" customFormat="1">
      <c r="B522" s="3"/>
      <c r="D522" s="3"/>
    </row>
    <row r="523" spans="2:4" s="2" customFormat="1">
      <c r="B523" s="3"/>
      <c r="D523" s="3"/>
    </row>
    <row r="524" spans="2:4" s="2" customFormat="1">
      <c r="B524" s="3"/>
      <c r="D524" s="3"/>
    </row>
    <row r="525" spans="2:4" s="2" customFormat="1">
      <c r="B525" s="3"/>
      <c r="D525" s="3"/>
    </row>
    <row r="526" spans="2:4" s="2" customFormat="1">
      <c r="B526" s="3"/>
      <c r="D526" s="3"/>
    </row>
    <row r="527" spans="2:4" s="2" customFormat="1">
      <c r="B527" s="3"/>
      <c r="D527" s="3"/>
    </row>
    <row r="528" spans="2:4" s="2" customFormat="1">
      <c r="B528" s="3"/>
      <c r="D528" s="3"/>
    </row>
    <row r="529" spans="2:4" s="2" customFormat="1">
      <c r="B529" s="3"/>
      <c r="D529" s="3"/>
    </row>
    <row r="530" spans="2:4" s="2" customFormat="1">
      <c r="B530" s="3"/>
      <c r="D530" s="3"/>
    </row>
    <row r="531" spans="2:4" s="2" customFormat="1">
      <c r="B531" s="3"/>
      <c r="D531" s="3"/>
    </row>
    <row r="532" spans="2:4" s="2" customFormat="1">
      <c r="B532" s="3"/>
      <c r="D532" s="3"/>
    </row>
    <row r="533" spans="2:4" s="2" customFormat="1">
      <c r="B533" s="3"/>
      <c r="D533" s="3"/>
    </row>
    <row r="534" spans="2:4" s="2" customFormat="1">
      <c r="B534" s="3"/>
      <c r="D534" s="3"/>
    </row>
    <row r="535" spans="2:4" s="2" customFormat="1">
      <c r="B535" s="3"/>
      <c r="D535" s="3"/>
    </row>
    <row r="536" spans="2:4" s="2" customFormat="1">
      <c r="B536" s="3"/>
      <c r="D536" s="3"/>
    </row>
    <row r="537" spans="2:4" s="2" customFormat="1">
      <c r="B537" s="3"/>
      <c r="D537" s="3"/>
    </row>
    <row r="538" spans="2:4" s="2" customFormat="1">
      <c r="B538" s="3"/>
      <c r="D538" s="3"/>
    </row>
    <row r="539" spans="2:4" s="2" customFormat="1">
      <c r="B539" s="3"/>
      <c r="D539" s="3"/>
    </row>
    <row r="540" spans="2:4" s="2" customFormat="1">
      <c r="B540" s="3"/>
      <c r="D540" s="3"/>
    </row>
    <row r="541" spans="2:4" s="2" customFormat="1">
      <c r="B541" s="3"/>
      <c r="D541" s="3"/>
    </row>
    <row r="542" spans="2:4" s="2" customFormat="1">
      <c r="B542" s="3"/>
      <c r="D542" s="3"/>
    </row>
    <row r="543" spans="2:4" s="2" customFormat="1">
      <c r="B543" s="3"/>
      <c r="D543" s="3"/>
    </row>
    <row r="544" spans="2:4" s="2" customFormat="1">
      <c r="B544" s="3"/>
      <c r="D544" s="3"/>
    </row>
    <row r="545" spans="2:4" s="2" customFormat="1">
      <c r="B545" s="3"/>
      <c r="D545" s="3"/>
    </row>
    <row r="546" spans="2:4" s="2" customFormat="1">
      <c r="B546" s="3"/>
      <c r="D546" s="3"/>
    </row>
    <row r="547" spans="2:4" s="2" customFormat="1">
      <c r="B547" s="3"/>
      <c r="D547" s="3"/>
    </row>
    <row r="548" spans="2:4" s="2" customFormat="1">
      <c r="B548" s="3"/>
      <c r="D548" s="3"/>
    </row>
    <row r="549" spans="2:4" s="2" customFormat="1">
      <c r="B549" s="3"/>
      <c r="D549" s="3"/>
    </row>
    <row r="550" spans="2:4" s="2" customFormat="1">
      <c r="B550" s="3"/>
      <c r="D550" s="3"/>
    </row>
    <row r="551" spans="2:4" s="2" customFormat="1">
      <c r="B551" s="3"/>
      <c r="D551" s="3"/>
    </row>
    <row r="552" spans="2:4" s="2" customFormat="1">
      <c r="B552" s="3"/>
      <c r="D552" s="3"/>
    </row>
    <row r="553" spans="2:4" s="2" customFormat="1">
      <c r="B553" s="3"/>
      <c r="D553" s="3"/>
    </row>
    <row r="554" spans="2:4" s="2" customFormat="1">
      <c r="B554" s="3"/>
      <c r="D554" s="3"/>
    </row>
    <row r="555" spans="2:4" s="2" customFormat="1">
      <c r="B555" s="3"/>
      <c r="D555" s="3"/>
    </row>
    <row r="556" spans="2:4" s="2" customFormat="1">
      <c r="B556" s="3"/>
      <c r="D556" s="3"/>
    </row>
    <row r="557" spans="2:4" s="2" customFormat="1">
      <c r="B557" s="3"/>
      <c r="D557" s="3"/>
    </row>
    <row r="558" spans="2:4" s="2" customFormat="1">
      <c r="B558" s="3"/>
      <c r="D558" s="3"/>
    </row>
    <row r="559" spans="2:4" s="2" customFormat="1">
      <c r="B559" s="3"/>
      <c r="D559" s="3"/>
    </row>
    <row r="560" spans="2:4" s="2" customFormat="1">
      <c r="B560" s="3"/>
      <c r="D560" s="3"/>
    </row>
    <row r="561" spans="2:4" s="2" customFormat="1">
      <c r="B561" s="3"/>
      <c r="D561" s="3"/>
    </row>
    <row r="562" spans="2:4" s="2" customFormat="1">
      <c r="B562" s="3"/>
      <c r="D562" s="3"/>
    </row>
    <row r="563" spans="2:4" s="2" customFormat="1">
      <c r="B563" s="3"/>
      <c r="D563" s="3"/>
    </row>
    <row r="564" spans="2:4" s="2" customFormat="1">
      <c r="B564" s="3"/>
      <c r="D564" s="3"/>
    </row>
    <row r="565" spans="2:4" s="2" customFormat="1">
      <c r="B565" s="3"/>
      <c r="D565" s="3"/>
    </row>
    <row r="566" spans="2:4" s="2" customFormat="1">
      <c r="B566" s="3"/>
      <c r="D566" s="3"/>
    </row>
    <row r="567" spans="2:4" s="2" customFormat="1">
      <c r="B567" s="3"/>
      <c r="D567" s="3"/>
    </row>
    <row r="568" spans="2:4" s="2" customFormat="1">
      <c r="B568" s="3"/>
      <c r="D568" s="3"/>
    </row>
    <row r="569" spans="2:4" s="2" customFormat="1">
      <c r="B569" s="3"/>
      <c r="D569" s="3"/>
    </row>
    <row r="570" spans="2:4" s="2" customFormat="1">
      <c r="B570" s="3"/>
      <c r="D570" s="3"/>
    </row>
    <row r="571" spans="2:4" s="2" customFormat="1">
      <c r="B571" s="3"/>
      <c r="D571" s="3"/>
    </row>
    <row r="572" spans="2:4" s="2" customFormat="1">
      <c r="B572" s="3"/>
      <c r="D572" s="3"/>
    </row>
    <row r="573" spans="2:4" s="2" customFormat="1">
      <c r="B573" s="3"/>
      <c r="D573" s="3"/>
    </row>
    <row r="574" spans="2:4" s="2" customFormat="1">
      <c r="B574" s="3"/>
      <c r="D574" s="3"/>
    </row>
    <row r="575" spans="2:4" s="2" customFormat="1">
      <c r="B575" s="3"/>
      <c r="D575" s="3"/>
    </row>
    <row r="576" spans="2:4" s="2" customFormat="1">
      <c r="B576" s="3"/>
      <c r="D576" s="3"/>
    </row>
    <row r="577" spans="2:4" s="2" customFormat="1">
      <c r="B577" s="3"/>
      <c r="D577" s="3"/>
    </row>
    <row r="578" spans="2:4" s="2" customFormat="1">
      <c r="B578" s="3"/>
      <c r="D578" s="3"/>
    </row>
    <row r="579" spans="2:4" s="2" customFormat="1">
      <c r="B579" s="3"/>
      <c r="D579" s="3"/>
    </row>
    <row r="580" spans="2:4" s="2" customFormat="1">
      <c r="B580" s="3"/>
      <c r="D580" s="3"/>
    </row>
    <row r="581" spans="2:4" s="2" customFormat="1">
      <c r="B581" s="3"/>
      <c r="D581" s="3"/>
    </row>
    <row r="582" spans="2:4" s="2" customFormat="1">
      <c r="B582" s="3"/>
      <c r="D582" s="3"/>
    </row>
    <row r="583" spans="2:4" s="2" customFormat="1">
      <c r="B583" s="3"/>
      <c r="D583" s="3"/>
    </row>
    <row r="584" spans="2:4" s="2" customFormat="1">
      <c r="B584" s="3"/>
      <c r="D584" s="3"/>
    </row>
    <row r="585" spans="2:4" s="2" customFormat="1">
      <c r="B585" s="3"/>
      <c r="D585" s="3"/>
    </row>
    <row r="586" spans="2:4" s="2" customFormat="1">
      <c r="B586" s="3"/>
      <c r="D586" s="3"/>
    </row>
    <row r="587" spans="2:4" s="2" customFormat="1">
      <c r="B587" s="3"/>
      <c r="D587" s="3"/>
    </row>
    <row r="588" spans="2:4" s="2" customFormat="1">
      <c r="B588" s="3"/>
      <c r="D588" s="3"/>
    </row>
    <row r="589" spans="2:4" s="2" customFormat="1">
      <c r="B589" s="3"/>
      <c r="D589" s="3"/>
    </row>
    <row r="590" spans="2:4" s="2" customFormat="1">
      <c r="B590" s="3"/>
      <c r="D590" s="3"/>
    </row>
    <row r="591" spans="2:4" s="2" customFormat="1">
      <c r="B591" s="3"/>
      <c r="D591" s="3"/>
    </row>
    <row r="592" spans="2:4" s="2" customFormat="1">
      <c r="B592" s="3"/>
      <c r="D592" s="3"/>
    </row>
    <row r="593" spans="2:4" s="2" customFormat="1">
      <c r="B593" s="3"/>
      <c r="D593" s="3"/>
    </row>
    <row r="594" spans="2:4" s="2" customFormat="1">
      <c r="B594" s="3"/>
      <c r="D594" s="3"/>
    </row>
    <row r="595" spans="2:4" s="2" customFormat="1">
      <c r="B595" s="3"/>
      <c r="D595" s="3"/>
    </row>
    <row r="596" spans="2:4" s="2" customFormat="1">
      <c r="B596" s="3"/>
      <c r="D596" s="3"/>
    </row>
    <row r="597" spans="2:4" s="2" customFormat="1">
      <c r="B597" s="3"/>
      <c r="D597" s="3"/>
    </row>
    <row r="598" spans="2:4" s="2" customFormat="1">
      <c r="B598" s="3"/>
      <c r="D598" s="3"/>
    </row>
    <row r="599" spans="2:4" s="2" customFormat="1">
      <c r="B599" s="3"/>
      <c r="D599" s="3"/>
    </row>
    <row r="600" spans="2:4" s="2" customFormat="1">
      <c r="B600" s="3"/>
      <c r="D600" s="3"/>
    </row>
    <row r="601" spans="2:4" s="2" customFormat="1">
      <c r="B601" s="3"/>
      <c r="D601" s="3"/>
    </row>
    <row r="602" spans="2:4" s="2" customFormat="1">
      <c r="B602" s="3"/>
      <c r="D602" s="3"/>
    </row>
    <row r="603" spans="2:4" s="2" customFormat="1">
      <c r="B603" s="3"/>
      <c r="D603" s="3"/>
    </row>
    <row r="604" spans="2:4" s="2" customFormat="1">
      <c r="B604" s="3"/>
      <c r="D604" s="3"/>
    </row>
    <row r="605" spans="2:4" s="2" customFormat="1">
      <c r="B605" s="3"/>
      <c r="D605" s="3"/>
    </row>
    <row r="606" spans="2:4" s="2" customFormat="1">
      <c r="B606" s="3"/>
      <c r="D606" s="3"/>
    </row>
    <row r="607" spans="2:4" s="2" customFormat="1">
      <c r="B607" s="3"/>
      <c r="D607" s="3"/>
    </row>
    <row r="608" spans="2:4" s="2" customFormat="1">
      <c r="B608" s="3"/>
      <c r="D608" s="3"/>
    </row>
    <row r="609" spans="2:4" s="2" customFormat="1">
      <c r="B609" s="3"/>
      <c r="D609" s="3"/>
    </row>
    <row r="610" spans="2:4" s="2" customFormat="1">
      <c r="B610" s="3"/>
      <c r="D610" s="3"/>
    </row>
    <row r="611" spans="2:4" s="2" customFormat="1">
      <c r="B611" s="3"/>
      <c r="D611" s="3"/>
    </row>
    <row r="612" spans="2:4" s="2" customFormat="1">
      <c r="B612" s="3"/>
      <c r="D612" s="3"/>
    </row>
    <row r="613" spans="2:4" s="2" customFormat="1">
      <c r="B613" s="3"/>
      <c r="D613" s="3"/>
    </row>
    <row r="614" spans="2:4" s="2" customFormat="1">
      <c r="B614" s="3"/>
      <c r="D614" s="3"/>
    </row>
    <row r="615" spans="2:4" s="2" customFormat="1">
      <c r="B615" s="3"/>
      <c r="D615" s="3"/>
    </row>
    <row r="616" spans="2:4" s="2" customFormat="1">
      <c r="B616" s="3"/>
      <c r="D616" s="3"/>
    </row>
    <row r="617" spans="2:4" s="2" customFormat="1">
      <c r="B617" s="3"/>
      <c r="D617" s="3"/>
    </row>
    <row r="618" spans="2:4" s="2" customFormat="1">
      <c r="B618" s="3"/>
      <c r="D618" s="3"/>
    </row>
    <row r="619" spans="2:4" s="2" customFormat="1">
      <c r="B619" s="3"/>
      <c r="D619" s="3"/>
    </row>
    <row r="620" spans="2:4" s="2" customFormat="1">
      <c r="B620" s="3"/>
      <c r="D620" s="3"/>
    </row>
    <row r="621" spans="2:4" s="2" customFormat="1">
      <c r="B621" s="3"/>
      <c r="D621" s="3"/>
    </row>
    <row r="622" spans="2:4" s="2" customFormat="1">
      <c r="B622" s="3"/>
      <c r="D622" s="3"/>
    </row>
    <row r="623" spans="2:4" s="2" customFormat="1">
      <c r="B623" s="3"/>
      <c r="D623" s="3"/>
    </row>
    <row r="624" spans="2:4" s="2" customFormat="1">
      <c r="B624" s="3"/>
      <c r="D624" s="3"/>
    </row>
    <row r="625" spans="2:4" s="2" customFormat="1">
      <c r="B625" s="3"/>
      <c r="D625" s="3"/>
    </row>
    <row r="626" spans="2:4" s="2" customFormat="1">
      <c r="B626" s="3"/>
      <c r="D626" s="3"/>
    </row>
    <row r="627" spans="2:4" s="2" customFormat="1">
      <c r="B627" s="3"/>
      <c r="D627" s="3"/>
    </row>
    <row r="628" spans="2:4" s="2" customFormat="1">
      <c r="B628" s="3"/>
      <c r="D628" s="3"/>
    </row>
    <row r="629" spans="2:4" s="2" customFormat="1">
      <c r="B629" s="3"/>
      <c r="D629" s="3"/>
    </row>
    <row r="630" spans="2:4" s="2" customFormat="1">
      <c r="B630" s="3"/>
      <c r="D630" s="3"/>
    </row>
    <row r="631" spans="2:4" s="2" customFormat="1">
      <c r="B631" s="3"/>
      <c r="D631" s="3"/>
    </row>
    <row r="632" spans="2:4" s="2" customFormat="1">
      <c r="B632" s="3"/>
      <c r="D632" s="3"/>
    </row>
    <row r="633" spans="2:4" s="2" customFormat="1">
      <c r="B633" s="3"/>
      <c r="D633" s="3"/>
    </row>
    <row r="634" spans="2:4" s="2" customFormat="1">
      <c r="B634" s="3"/>
      <c r="D634" s="3"/>
    </row>
    <row r="635" spans="2:4" s="2" customFormat="1">
      <c r="B635" s="3"/>
      <c r="D635" s="3"/>
    </row>
    <row r="636" spans="2:4" s="2" customFormat="1">
      <c r="B636" s="3"/>
      <c r="D636" s="3"/>
    </row>
    <row r="637" spans="2:4" s="2" customFormat="1">
      <c r="B637" s="3"/>
      <c r="D637" s="3"/>
    </row>
    <row r="638" spans="2:4" s="2" customFormat="1">
      <c r="B638" s="3"/>
      <c r="D638" s="3"/>
    </row>
    <row r="639" spans="2:4" s="2" customFormat="1">
      <c r="B639" s="3"/>
      <c r="D639" s="3"/>
    </row>
    <row r="640" spans="2:4" s="2" customFormat="1">
      <c r="B640" s="3"/>
      <c r="D640" s="3"/>
    </row>
    <row r="641" spans="2:4" s="2" customFormat="1">
      <c r="B641" s="3"/>
      <c r="D641" s="3"/>
    </row>
    <row r="642" spans="2:4" s="2" customFormat="1">
      <c r="B642" s="3"/>
      <c r="D642" s="3"/>
    </row>
    <row r="643" spans="2:4" s="2" customFormat="1">
      <c r="B643" s="3"/>
      <c r="D643" s="3"/>
    </row>
    <row r="644" spans="2:4" s="2" customFormat="1">
      <c r="B644" s="3"/>
      <c r="D644" s="3"/>
    </row>
    <row r="645" spans="2:4" s="2" customFormat="1">
      <c r="B645" s="3"/>
      <c r="D645" s="3"/>
    </row>
    <row r="646" spans="2:4" s="2" customFormat="1">
      <c r="B646" s="3"/>
      <c r="D646" s="3"/>
    </row>
    <row r="647" spans="2:4" s="2" customFormat="1">
      <c r="B647" s="3"/>
      <c r="D647" s="3"/>
    </row>
    <row r="648" spans="2:4" s="2" customFormat="1">
      <c r="B648" s="3"/>
      <c r="D648" s="3"/>
    </row>
    <row r="649" spans="2:4" s="2" customFormat="1">
      <c r="B649" s="3"/>
      <c r="D649" s="3"/>
    </row>
    <row r="650" spans="2:4" s="2" customFormat="1">
      <c r="B650" s="3"/>
      <c r="D650" s="3"/>
    </row>
    <row r="651" spans="2:4" s="2" customFormat="1">
      <c r="B651" s="3"/>
      <c r="D651" s="3"/>
    </row>
    <row r="652" spans="2:4" s="2" customFormat="1">
      <c r="B652" s="3"/>
      <c r="D652" s="3"/>
    </row>
    <row r="653" spans="2:4" s="2" customFormat="1">
      <c r="B653" s="3"/>
      <c r="D653" s="3"/>
    </row>
    <row r="654" spans="2:4" s="2" customFormat="1">
      <c r="B654" s="3"/>
      <c r="D654" s="3"/>
    </row>
    <row r="655" spans="2:4" s="2" customFormat="1">
      <c r="B655" s="3"/>
      <c r="D655" s="3"/>
    </row>
    <row r="656" spans="2:4" s="2" customFormat="1">
      <c r="B656" s="3"/>
      <c r="D656" s="3"/>
    </row>
    <row r="657" spans="2:4" s="2" customFormat="1">
      <c r="B657" s="3"/>
      <c r="D657" s="3"/>
    </row>
    <row r="658" spans="2:4" s="2" customFormat="1">
      <c r="B658" s="3"/>
      <c r="D658" s="3"/>
    </row>
    <row r="659" spans="2:4" s="2" customFormat="1">
      <c r="B659" s="3"/>
      <c r="D659" s="3"/>
    </row>
    <row r="660" spans="2:4" s="2" customFormat="1">
      <c r="B660" s="3"/>
      <c r="D660" s="3"/>
    </row>
    <row r="661" spans="2:4" s="2" customFormat="1">
      <c r="B661" s="3"/>
      <c r="D661" s="3"/>
    </row>
    <row r="662" spans="2:4" s="2" customFormat="1">
      <c r="B662" s="3"/>
      <c r="D662" s="3"/>
    </row>
    <row r="663" spans="2:4" s="2" customFormat="1">
      <c r="B663" s="3"/>
      <c r="D663" s="3"/>
    </row>
    <row r="664" spans="2:4" s="2" customFormat="1">
      <c r="B664" s="3"/>
      <c r="D664" s="3"/>
    </row>
    <row r="665" spans="2:4" s="2" customFormat="1">
      <c r="B665" s="3"/>
      <c r="D665" s="3"/>
    </row>
    <row r="666" spans="2:4" s="2" customFormat="1">
      <c r="B666" s="3"/>
      <c r="D666" s="3"/>
    </row>
    <row r="667" spans="2:4" s="2" customFormat="1">
      <c r="B667" s="3"/>
      <c r="D667" s="3"/>
    </row>
    <row r="668" spans="2:4" s="2" customFormat="1">
      <c r="B668" s="3"/>
      <c r="D668" s="3"/>
    </row>
    <row r="669" spans="2:4" s="2" customFormat="1">
      <c r="B669" s="3"/>
      <c r="D669" s="3"/>
    </row>
    <row r="670" spans="2:4" s="2" customFormat="1">
      <c r="B670" s="3"/>
      <c r="D670" s="3"/>
    </row>
    <row r="671" spans="2:4" s="2" customFormat="1">
      <c r="B671" s="3"/>
      <c r="D671" s="3"/>
    </row>
    <row r="672" spans="2:4" s="2" customFormat="1">
      <c r="B672" s="3"/>
      <c r="D672" s="3"/>
    </row>
    <row r="673" spans="2:4" s="2" customFormat="1">
      <c r="B673" s="3"/>
      <c r="D673" s="3"/>
    </row>
    <row r="674" spans="2:4" s="2" customFormat="1">
      <c r="B674" s="3"/>
      <c r="D674" s="3"/>
    </row>
    <row r="675" spans="2:4" s="2" customFormat="1">
      <c r="B675" s="3"/>
      <c r="D675" s="3"/>
    </row>
    <row r="676" spans="2:4" s="2" customFormat="1">
      <c r="B676" s="3"/>
      <c r="D676" s="3"/>
    </row>
    <row r="677" spans="2:4" s="2" customFormat="1">
      <c r="B677" s="3"/>
      <c r="D677" s="3"/>
    </row>
    <row r="678" spans="2:4" s="2" customFormat="1">
      <c r="B678" s="3"/>
      <c r="D678" s="3"/>
    </row>
    <row r="679" spans="2:4" s="2" customFormat="1">
      <c r="B679" s="3"/>
      <c r="D679" s="3"/>
    </row>
    <row r="680" spans="2:4" s="2" customFormat="1">
      <c r="B680" s="3"/>
      <c r="D680" s="3"/>
    </row>
    <row r="681" spans="2:4" s="2" customFormat="1">
      <c r="B681" s="3"/>
      <c r="D681" s="3"/>
    </row>
    <row r="682" spans="2:4" s="2" customFormat="1">
      <c r="B682" s="3"/>
      <c r="D682" s="3"/>
    </row>
    <row r="683" spans="2:4" s="2" customFormat="1">
      <c r="B683" s="3"/>
      <c r="D683" s="3"/>
    </row>
    <row r="684" spans="2:4" s="2" customFormat="1">
      <c r="B684" s="3"/>
      <c r="D684" s="3"/>
    </row>
    <row r="685" spans="2:4" s="2" customFormat="1">
      <c r="B685" s="3"/>
      <c r="D685" s="3"/>
    </row>
    <row r="686" spans="2:4" s="2" customFormat="1">
      <c r="B686" s="3"/>
      <c r="D686" s="3"/>
    </row>
    <row r="687" spans="2:4" s="2" customFormat="1">
      <c r="B687" s="3"/>
      <c r="D687" s="3"/>
    </row>
    <row r="688" spans="2:4" s="2" customFormat="1">
      <c r="B688" s="3"/>
      <c r="D688" s="3"/>
    </row>
    <row r="689" spans="2:4" s="2" customFormat="1">
      <c r="B689" s="3"/>
      <c r="D689" s="3"/>
    </row>
    <row r="690" spans="2:4" s="2" customFormat="1">
      <c r="B690" s="3"/>
      <c r="D690" s="3"/>
    </row>
    <row r="691" spans="2:4" s="2" customFormat="1">
      <c r="B691" s="3"/>
      <c r="D691" s="3"/>
    </row>
    <row r="692" spans="2:4" s="2" customFormat="1">
      <c r="B692" s="3"/>
      <c r="D692" s="3"/>
    </row>
    <row r="693" spans="2:4" s="2" customFormat="1">
      <c r="B693" s="3"/>
      <c r="D693" s="3"/>
    </row>
    <row r="694" spans="2:4" s="2" customFormat="1">
      <c r="B694" s="3"/>
      <c r="D694" s="3"/>
    </row>
    <row r="695" spans="2:4" s="2" customFormat="1">
      <c r="B695" s="3"/>
      <c r="D695" s="3"/>
    </row>
    <row r="696" spans="2:4" s="2" customFormat="1">
      <c r="B696" s="3"/>
      <c r="D696" s="3"/>
    </row>
    <row r="697" spans="2:4" s="2" customFormat="1">
      <c r="B697" s="3"/>
      <c r="D697" s="3"/>
    </row>
    <row r="698" spans="2:4" s="2" customFormat="1">
      <c r="B698" s="3"/>
      <c r="D698" s="3"/>
    </row>
    <row r="699" spans="2:4" s="2" customFormat="1">
      <c r="B699" s="3"/>
      <c r="D699" s="3"/>
    </row>
    <row r="700" spans="2:4" s="2" customFormat="1">
      <c r="B700" s="3"/>
      <c r="D700" s="3"/>
    </row>
    <row r="701" spans="2:4" s="2" customFormat="1">
      <c r="B701" s="3"/>
      <c r="D701" s="3"/>
    </row>
    <row r="702" spans="2:4" s="2" customFormat="1">
      <c r="B702" s="3"/>
      <c r="D702" s="3"/>
    </row>
    <row r="703" spans="2:4" s="2" customFormat="1">
      <c r="B703" s="3"/>
      <c r="D703" s="3"/>
    </row>
    <row r="704" spans="2:4" s="2" customFormat="1">
      <c r="B704" s="3"/>
      <c r="D704" s="3"/>
    </row>
    <row r="705" spans="2:4" s="2" customFormat="1">
      <c r="B705" s="3"/>
      <c r="D705" s="3"/>
    </row>
    <row r="706" spans="2:4" s="2" customFormat="1">
      <c r="B706" s="3"/>
      <c r="D706" s="3"/>
    </row>
    <row r="707" spans="2:4" s="2" customFormat="1">
      <c r="B707" s="3"/>
      <c r="D707" s="3"/>
    </row>
    <row r="708" spans="2:4" s="2" customFormat="1">
      <c r="B708" s="3"/>
      <c r="D708" s="3"/>
    </row>
    <row r="709" spans="2:4" s="2" customFormat="1">
      <c r="B709" s="3"/>
      <c r="D709" s="3"/>
    </row>
    <row r="710" spans="2:4" s="2" customFormat="1">
      <c r="B710" s="3"/>
      <c r="D710" s="3"/>
    </row>
    <row r="711" spans="2:4" s="2" customFormat="1">
      <c r="B711" s="3"/>
      <c r="D711" s="3"/>
    </row>
    <row r="712" spans="2:4" s="2" customFormat="1">
      <c r="B712" s="3"/>
      <c r="D712" s="3"/>
    </row>
    <row r="713" spans="2:4" s="2" customFormat="1">
      <c r="B713" s="3"/>
      <c r="D713" s="3"/>
    </row>
    <row r="714" spans="2:4" s="2" customFormat="1">
      <c r="B714" s="3"/>
      <c r="D714" s="3"/>
    </row>
    <row r="715" spans="2:4" s="2" customFormat="1">
      <c r="B715" s="3"/>
      <c r="D715" s="3"/>
    </row>
    <row r="716" spans="2:4" s="2" customFormat="1">
      <c r="B716" s="3"/>
      <c r="D716" s="3"/>
    </row>
    <row r="717" spans="2:4" s="2" customFormat="1">
      <c r="B717" s="3"/>
      <c r="D717" s="3"/>
    </row>
    <row r="718" spans="2:4" s="2" customFormat="1">
      <c r="B718" s="3"/>
      <c r="D718" s="3"/>
    </row>
    <row r="719" spans="2:4" s="2" customFormat="1">
      <c r="B719" s="3"/>
      <c r="D719" s="3"/>
    </row>
    <row r="720" spans="2:4" s="2" customFormat="1">
      <c r="B720" s="3"/>
      <c r="D720" s="3"/>
    </row>
    <row r="721" spans="2:4" s="2" customFormat="1">
      <c r="B721" s="3"/>
      <c r="D721" s="3"/>
    </row>
    <row r="722" spans="2:4" s="2" customFormat="1">
      <c r="B722" s="3"/>
      <c r="D722" s="3"/>
    </row>
    <row r="723" spans="2:4" s="2" customFormat="1">
      <c r="B723" s="3"/>
      <c r="D723" s="3"/>
    </row>
    <row r="724" spans="2:4" s="2" customFormat="1">
      <c r="B724" s="3"/>
      <c r="D724" s="3"/>
    </row>
    <row r="725" spans="2:4" s="2" customFormat="1">
      <c r="B725" s="3"/>
      <c r="D725" s="3"/>
    </row>
    <row r="726" spans="2:4" s="2" customFormat="1">
      <c r="B726" s="3"/>
      <c r="D726" s="3"/>
    </row>
    <row r="727" spans="2:4" s="2" customFormat="1">
      <c r="B727" s="3"/>
      <c r="D727" s="3"/>
    </row>
    <row r="728" spans="2:4" s="2" customFormat="1">
      <c r="B728" s="3"/>
      <c r="D728" s="3"/>
    </row>
    <row r="729" spans="2:4" s="2" customFormat="1">
      <c r="B729" s="3"/>
      <c r="D729" s="3"/>
    </row>
    <row r="730" spans="2:4" s="2" customFormat="1">
      <c r="B730" s="3"/>
      <c r="D730" s="3"/>
    </row>
    <row r="731" spans="2:4" s="2" customFormat="1">
      <c r="B731" s="3"/>
      <c r="D731" s="3"/>
    </row>
    <row r="732" spans="2:4" s="2" customFormat="1">
      <c r="B732" s="3"/>
      <c r="D732" s="3"/>
    </row>
    <row r="733" spans="2:4" s="2" customFormat="1">
      <c r="B733" s="3"/>
      <c r="D733" s="3"/>
    </row>
    <row r="734" spans="2:4" s="2" customFormat="1">
      <c r="B734" s="3"/>
      <c r="D734" s="3"/>
    </row>
    <row r="735" spans="2:4" s="2" customFormat="1">
      <c r="B735" s="3"/>
      <c r="D735" s="3"/>
    </row>
    <row r="736" spans="2:4" s="2" customFormat="1">
      <c r="B736" s="3"/>
      <c r="D736" s="3"/>
    </row>
    <row r="737" spans="2:4" s="2" customFormat="1">
      <c r="B737" s="3"/>
      <c r="D737" s="3"/>
    </row>
    <row r="738" spans="2:4" s="2" customFormat="1">
      <c r="B738" s="3"/>
      <c r="D738" s="3"/>
    </row>
    <row r="739" spans="2:4" s="2" customFormat="1">
      <c r="B739" s="3"/>
      <c r="D739" s="3"/>
    </row>
    <row r="740" spans="2:4" s="2" customFormat="1">
      <c r="B740" s="3"/>
      <c r="D740" s="3"/>
    </row>
    <row r="741" spans="2:4" s="2" customFormat="1">
      <c r="B741" s="3"/>
      <c r="D741" s="3"/>
    </row>
    <row r="742" spans="2:4" s="2" customFormat="1">
      <c r="B742" s="3"/>
      <c r="D742" s="3"/>
    </row>
    <row r="743" spans="2:4" s="2" customFormat="1">
      <c r="B743" s="3"/>
      <c r="D743" s="3"/>
    </row>
    <row r="744" spans="2:4" s="2" customFormat="1">
      <c r="B744" s="3"/>
      <c r="D744" s="3"/>
    </row>
    <row r="745" spans="2:4" s="2" customFormat="1">
      <c r="B745" s="3"/>
      <c r="D745" s="3"/>
    </row>
    <row r="746" spans="2:4" s="2" customFormat="1">
      <c r="B746" s="3"/>
      <c r="D746" s="3"/>
    </row>
    <row r="747" spans="2:4" s="2" customFormat="1">
      <c r="B747" s="3"/>
      <c r="D747" s="3"/>
    </row>
    <row r="748" spans="2:4" s="2" customFormat="1">
      <c r="B748" s="3"/>
      <c r="D748" s="3"/>
    </row>
    <row r="749" spans="2:4" s="2" customFormat="1">
      <c r="B749" s="3"/>
      <c r="D749" s="3"/>
    </row>
    <row r="750" spans="2:4" s="2" customFormat="1">
      <c r="B750" s="3"/>
      <c r="D750" s="3"/>
    </row>
    <row r="751" spans="2:4" s="2" customFormat="1">
      <c r="B751" s="3"/>
      <c r="D751" s="3"/>
    </row>
    <row r="752" spans="2:4" s="2" customFormat="1">
      <c r="B752" s="3"/>
      <c r="D752" s="3"/>
    </row>
    <row r="753" spans="2:4" s="2" customFormat="1">
      <c r="B753" s="3"/>
      <c r="D753" s="3"/>
    </row>
    <row r="754" spans="2:4" s="2" customFormat="1">
      <c r="B754" s="3"/>
      <c r="D754" s="3"/>
    </row>
    <row r="755" spans="2:4" s="2" customFormat="1">
      <c r="B755" s="3"/>
      <c r="D755" s="3"/>
    </row>
    <row r="756" spans="2:4" s="2" customFormat="1">
      <c r="B756" s="3"/>
      <c r="D756" s="3"/>
    </row>
    <row r="757" spans="2:4" s="2" customFormat="1">
      <c r="B757" s="3"/>
      <c r="D757" s="3"/>
    </row>
    <row r="758" spans="2:4" s="2" customFormat="1">
      <c r="B758" s="3"/>
      <c r="D758" s="3"/>
    </row>
    <row r="759" spans="2:4" s="2" customFormat="1">
      <c r="B759" s="3"/>
      <c r="D759" s="3"/>
    </row>
    <row r="760" spans="2:4" s="2" customFormat="1">
      <c r="B760" s="3"/>
      <c r="D760" s="3"/>
    </row>
    <row r="761" spans="2:4" s="2" customFormat="1">
      <c r="B761" s="3"/>
      <c r="D761" s="3"/>
    </row>
    <row r="762" spans="2:4" s="2" customFormat="1">
      <c r="B762" s="3"/>
      <c r="D762" s="3"/>
    </row>
    <row r="763" spans="2:4" s="2" customFormat="1">
      <c r="B763" s="3"/>
      <c r="D763" s="3"/>
    </row>
    <row r="764" spans="2:4" s="2" customFormat="1">
      <c r="B764" s="3"/>
      <c r="D764" s="3"/>
    </row>
    <row r="765" spans="2:4" s="2" customFormat="1">
      <c r="B765" s="3"/>
      <c r="D765" s="3"/>
    </row>
    <row r="766" spans="2:4" s="2" customFormat="1">
      <c r="B766" s="3"/>
      <c r="D766" s="3"/>
    </row>
    <row r="767" spans="2:4" s="2" customFormat="1">
      <c r="B767" s="3"/>
      <c r="D767" s="3"/>
    </row>
    <row r="768" spans="2:4" s="2" customFormat="1">
      <c r="B768" s="3"/>
      <c r="D768" s="3"/>
    </row>
    <row r="769" spans="2:4" s="2" customFormat="1">
      <c r="B769" s="3"/>
      <c r="D769" s="3"/>
    </row>
    <row r="770" spans="2:4" s="2" customFormat="1">
      <c r="B770" s="3"/>
      <c r="D770" s="3"/>
    </row>
    <row r="771" spans="2:4" s="2" customFormat="1">
      <c r="B771" s="3"/>
      <c r="D771" s="3"/>
    </row>
    <row r="772" spans="2:4" s="2" customFormat="1">
      <c r="B772" s="3"/>
      <c r="D772" s="3"/>
    </row>
    <row r="773" spans="2:4" s="2" customFormat="1">
      <c r="B773" s="3"/>
      <c r="D773" s="3"/>
    </row>
    <row r="774" spans="2:4" s="2" customFormat="1">
      <c r="B774" s="3"/>
      <c r="D774" s="3"/>
    </row>
    <row r="775" spans="2:4" s="2" customFormat="1">
      <c r="B775" s="3"/>
      <c r="D775" s="3"/>
    </row>
    <row r="776" spans="2:4" s="2" customFormat="1">
      <c r="B776" s="3"/>
      <c r="D776" s="3"/>
    </row>
    <row r="777" spans="2:4" s="2" customFormat="1">
      <c r="B777" s="3"/>
      <c r="D777" s="3"/>
    </row>
    <row r="778" spans="2:4" s="2" customFormat="1">
      <c r="B778" s="3"/>
      <c r="D778" s="3"/>
    </row>
    <row r="779" spans="2:4" s="2" customFormat="1">
      <c r="B779" s="3"/>
      <c r="D779" s="3"/>
    </row>
    <row r="780" spans="2:4" s="2" customFormat="1">
      <c r="B780" s="3"/>
      <c r="D780" s="3"/>
    </row>
    <row r="781" spans="2:4" s="2" customFormat="1">
      <c r="B781" s="3"/>
      <c r="D781" s="3"/>
    </row>
    <row r="782" spans="2:4" s="2" customFormat="1">
      <c r="B782" s="3"/>
      <c r="D782" s="3"/>
    </row>
    <row r="783" spans="2:4" s="2" customFormat="1">
      <c r="B783" s="3"/>
      <c r="D783" s="3"/>
    </row>
    <row r="784" spans="2:4" s="2" customFormat="1">
      <c r="B784" s="3"/>
      <c r="D784" s="3"/>
    </row>
    <row r="785" spans="2:4" s="2" customFormat="1">
      <c r="B785" s="3"/>
      <c r="D785" s="3"/>
    </row>
    <row r="786" spans="2:4" s="2" customFormat="1">
      <c r="B786" s="3"/>
      <c r="D786" s="3"/>
    </row>
    <row r="787" spans="2:4" s="2" customFormat="1">
      <c r="B787" s="3"/>
      <c r="D787" s="3"/>
    </row>
    <row r="788" spans="2:4" s="2" customFormat="1">
      <c r="B788" s="3"/>
      <c r="D788" s="3"/>
    </row>
    <row r="789" spans="2:4" s="2" customFormat="1">
      <c r="B789" s="3"/>
      <c r="D789" s="3"/>
    </row>
    <row r="790" spans="2:4" s="2" customFormat="1">
      <c r="B790" s="3"/>
      <c r="D790" s="3"/>
    </row>
    <row r="791" spans="2:4" s="2" customFormat="1">
      <c r="B791" s="3"/>
      <c r="D791" s="3"/>
    </row>
    <row r="792" spans="2:4" s="2" customFormat="1">
      <c r="B792" s="3"/>
      <c r="D792" s="3"/>
    </row>
    <row r="793" spans="2:4" s="2" customFormat="1">
      <c r="B793" s="3"/>
      <c r="D793" s="3"/>
    </row>
    <row r="794" spans="2:4" s="2" customFormat="1">
      <c r="B794" s="3"/>
      <c r="D794" s="3"/>
    </row>
    <row r="795" spans="2:4" s="2" customFormat="1">
      <c r="B795" s="3"/>
      <c r="D795" s="3"/>
    </row>
    <row r="796" spans="2:4" s="2" customFormat="1">
      <c r="B796" s="3"/>
      <c r="D796" s="3"/>
    </row>
    <row r="797" spans="2:4" s="2" customFormat="1">
      <c r="B797" s="3"/>
      <c r="D797" s="3"/>
    </row>
    <row r="798" spans="2:4" s="2" customFormat="1">
      <c r="B798" s="3"/>
      <c r="D798" s="3"/>
    </row>
    <row r="799" spans="2:4" s="2" customFormat="1">
      <c r="B799" s="3"/>
      <c r="D799" s="3"/>
    </row>
    <row r="800" spans="2:4" s="2" customFormat="1">
      <c r="B800" s="3"/>
      <c r="D800" s="3"/>
    </row>
    <row r="801" spans="2:4" s="2" customFormat="1">
      <c r="B801" s="3"/>
      <c r="D801" s="3"/>
    </row>
    <row r="802" spans="2:4" s="2" customFormat="1">
      <c r="B802" s="3"/>
      <c r="D802" s="3"/>
    </row>
    <row r="803" spans="2:4" s="2" customFormat="1">
      <c r="B803" s="3"/>
      <c r="D803" s="3"/>
    </row>
    <row r="804" spans="2:4" s="2" customFormat="1">
      <c r="B804" s="3"/>
      <c r="D804" s="3"/>
    </row>
    <row r="805" spans="2:4" s="2" customFormat="1">
      <c r="B805" s="3"/>
      <c r="D805" s="3"/>
    </row>
    <row r="806" spans="2:4" s="2" customFormat="1">
      <c r="B806" s="3"/>
      <c r="D806" s="3"/>
    </row>
    <row r="807" spans="2:4" s="2" customFormat="1">
      <c r="B807" s="3"/>
      <c r="D807" s="3"/>
    </row>
    <row r="808" spans="2:4" s="2" customFormat="1">
      <c r="B808" s="3"/>
      <c r="D808" s="3"/>
    </row>
    <row r="809" spans="2:4" s="2" customFormat="1">
      <c r="B809" s="3"/>
      <c r="D809" s="3"/>
    </row>
    <row r="810" spans="2:4" s="2" customFormat="1">
      <c r="B810" s="3"/>
      <c r="D810" s="3"/>
    </row>
    <row r="811" spans="2:4" s="2" customFormat="1">
      <c r="B811" s="3"/>
      <c r="D811" s="3"/>
    </row>
    <row r="812" spans="2:4" s="2" customFormat="1">
      <c r="B812" s="3"/>
      <c r="D812" s="3"/>
    </row>
    <row r="813" spans="2:4" s="2" customFormat="1">
      <c r="B813" s="3"/>
      <c r="D813" s="3"/>
    </row>
    <row r="814" spans="2:4" s="2" customFormat="1">
      <c r="B814" s="3"/>
      <c r="D814" s="3"/>
    </row>
    <row r="815" spans="2:4" s="2" customFormat="1">
      <c r="B815" s="3"/>
      <c r="D815" s="3"/>
    </row>
    <row r="816" spans="2:4" s="2" customFormat="1">
      <c r="B816" s="3"/>
      <c r="D816" s="3"/>
    </row>
    <row r="817" spans="2:4" s="2" customFormat="1">
      <c r="B817" s="3"/>
      <c r="D817" s="3"/>
    </row>
    <row r="818" spans="2:4" s="2" customFormat="1">
      <c r="B818" s="3"/>
      <c r="D818" s="3"/>
    </row>
    <row r="819" spans="2:4" s="2" customFormat="1">
      <c r="B819" s="3"/>
      <c r="D819" s="3"/>
    </row>
    <row r="820" spans="2:4" s="2" customFormat="1">
      <c r="B820" s="3"/>
      <c r="D820" s="3"/>
    </row>
    <row r="821" spans="2:4" s="2" customFormat="1">
      <c r="B821" s="3"/>
      <c r="D821" s="3"/>
    </row>
    <row r="822" spans="2:4" s="2" customFormat="1">
      <c r="B822" s="3"/>
      <c r="D822" s="3"/>
    </row>
    <row r="823" spans="2:4" s="2" customFormat="1">
      <c r="B823" s="3"/>
      <c r="D823" s="3"/>
    </row>
    <row r="824" spans="2:4" s="2" customFormat="1">
      <c r="B824" s="3"/>
      <c r="D824" s="3"/>
    </row>
    <row r="825" spans="2:4" s="2" customFormat="1">
      <c r="B825" s="3"/>
      <c r="D825" s="3"/>
    </row>
    <row r="826" spans="2:4" s="2" customFormat="1">
      <c r="B826" s="3"/>
      <c r="D826" s="3"/>
    </row>
    <row r="827" spans="2:4" s="2" customFormat="1">
      <c r="B827" s="3"/>
      <c r="D827" s="3"/>
    </row>
    <row r="828" spans="2:4" s="2" customFormat="1">
      <c r="B828" s="3"/>
      <c r="D828" s="3"/>
    </row>
    <row r="829" spans="2:4" s="2" customFormat="1">
      <c r="B829" s="3"/>
      <c r="D829" s="3"/>
    </row>
    <row r="830" spans="2:4" s="2" customFormat="1">
      <c r="B830" s="3"/>
      <c r="D830" s="3"/>
    </row>
    <row r="831" spans="2:4" s="2" customFormat="1">
      <c r="B831" s="3"/>
      <c r="D831" s="3"/>
    </row>
    <row r="832" spans="2:4" s="2" customFormat="1">
      <c r="B832" s="3"/>
      <c r="D832" s="3"/>
    </row>
    <row r="833" spans="2:4" s="2" customFormat="1">
      <c r="B833" s="3"/>
      <c r="D833" s="3"/>
    </row>
    <row r="834" spans="2:4" s="2" customFormat="1">
      <c r="B834" s="3"/>
      <c r="D834" s="3"/>
    </row>
    <row r="835" spans="2:4" s="2" customFormat="1">
      <c r="B835" s="3"/>
      <c r="D835" s="3"/>
    </row>
    <row r="836" spans="2:4" s="2" customFormat="1">
      <c r="B836" s="3"/>
      <c r="D836" s="3"/>
    </row>
    <row r="837" spans="2:4" s="2" customFormat="1">
      <c r="B837" s="3"/>
      <c r="D837" s="3"/>
    </row>
    <row r="838" spans="2:4" s="2" customFormat="1">
      <c r="B838" s="3"/>
      <c r="D838" s="3"/>
    </row>
    <row r="839" spans="2:4" s="2" customFormat="1">
      <c r="B839" s="3"/>
      <c r="D839" s="3"/>
    </row>
    <row r="840" spans="2:4" s="2" customFormat="1">
      <c r="B840" s="3"/>
      <c r="D840" s="3"/>
    </row>
    <row r="841" spans="2:4" s="2" customFormat="1">
      <c r="B841" s="3"/>
      <c r="D841" s="3"/>
    </row>
    <row r="842" spans="2:4" s="2" customFormat="1">
      <c r="B842" s="3"/>
      <c r="D842" s="3"/>
    </row>
    <row r="843" spans="2:4" s="2" customFormat="1">
      <c r="B843" s="3"/>
      <c r="D843" s="3"/>
    </row>
    <row r="844" spans="2:4" s="2" customFormat="1">
      <c r="B844" s="3"/>
      <c r="D844" s="3"/>
    </row>
    <row r="845" spans="2:4" s="2" customFormat="1">
      <c r="B845" s="3"/>
      <c r="D845" s="3"/>
    </row>
    <row r="846" spans="2:4" s="2" customFormat="1">
      <c r="B846" s="3"/>
      <c r="D846" s="3"/>
    </row>
    <row r="847" spans="2:4" s="2" customFormat="1">
      <c r="B847" s="3"/>
      <c r="D847" s="3"/>
    </row>
    <row r="848" spans="2:4" s="2" customFormat="1">
      <c r="B848" s="3"/>
      <c r="D848" s="3"/>
    </row>
    <row r="849" spans="2:4" s="2" customFormat="1">
      <c r="B849" s="3"/>
      <c r="D849" s="3"/>
    </row>
    <row r="850" spans="2:4" s="2" customFormat="1">
      <c r="B850" s="3"/>
      <c r="D850" s="3"/>
    </row>
    <row r="851" spans="2:4" s="2" customFormat="1">
      <c r="B851" s="3"/>
      <c r="D851" s="3"/>
    </row>
    <row r="852" spans="2:4" s="2" customFormat="1">
      <c r="B852" s="3"/>
      <c r="D852" s="3"/>
    </row>
    <row r="853" spans="2:4" s="2" customFormat="1">
      <c r="B853" s="3"/>
      <c r="D853" s="3"/>
    </row>
    <row r="854" spans="2:4" s="2" customFormat="1">
      <c r="B854" s="3"/>
      <c r="D854" s="3"/>
    </row>
    <row r="855" spans="2:4" s="2" customFormat="1">
      <c r="B855" s="3"/>
      <c r="D855" s="3"/>
    </row>
    <row r="856" spans="2:4" s="2" customFormat="1">
      <c r="B856" s="3"/>
      <c r="D856" s="3"/>
    </row>
    <row r="857" spans="2:4" s="2" customFormat="1">
      <c r="B857" s="3"/>
      <c r="D857" s="3"/>
    </row>
    <row r="858" spans="2:4" s="2" customFormat="1">
      <c r="B858" s="3"/>
      <c r="D858" s="3"/>
    </row>
    <row r="859" spans="2:4" s="2" customFormat="1">
      <c r="B859" s="3"/>
      <c r="D859" s="3"/>
    </row>
    <row r="860" spans="2:4" s="2" customFormat="1">
      <c r="B860" s="3"/>
      <c r="D860" s="3"/>
    </row>
    <row r="861" spans="2:4" s="2" customFormat="1">
      <c r="B861" s="3"/>
      <c r="D861" s="3"/>
    </row>
    <row r="862" spans="2:4" s="2" customFormat="1">
      <c r="B862" s="3"/>
      <c r="D862" s="3"/>
    </row>
    <row r="863" spans="2:4" s="2" customFormat="1">
      <c r="B863" s="3"/>
      <c r="D863" s="3"/>
    </row>
    <row r="864" spans="2:4" s="2" customFormat="1">
      <c r="B864" s="3"/>
      <c r="D864" s="3"/>
    </row>
    <row r="865" spans="2:4" s="2" customFormat="1">
      <c r="B865" s="3"/>
      <c r="D865" s="3"/>
    </row>
    <row r="866" spans="2:4" s="2" customFormat="1">
      <c r="B866" s="3"/>
      <c r="D866" s="3"/>
    </row>
    <row r="867" spans="2:4" s="2" customFormat="1">
      <c r="B867" s="3"/>
      <c r="D867" s="3"/>
    </row>
    <row r="868" spans="2:4" s="2" customFormat="1">
      <c r="B868" s="3"/>
      <c r="D868" s="3"/>
    </row>
    <row r="869" spans="2:4" s="2" customFormat="1">
      <c r="B869" s="3"/>
      <c r="D869" s="3"/>
    </row>
    <row r="870" spans="2:4" s="2" customFormat="1">
      <c r="B870" s="3"/>
      <c r="D870" s="3"/>
    </row>
    <row r="871" spans="2:4" s="2" customFormat="1">
      <c r="B871" s="3"/>
      <c r="D871" s="3"/>
    </row>
    <row r="872" spans="2:4" s="2" customFormat="1">
      <c r="B872" s="3"/>
      <c r="D872" s="3"/>
    </row>
    <row r="873" spans="2:4" s="2" customFormat="1">
      <c r="B873" s="3"/>
      <c r="D873" s="3"/>
    </row>
    <row r="874" spans="2:4" s="2" customFormat="1">
      <c r="B874" s="3"/>
      <c r="D874" s="3"/>
    </row>
    <row r="875" spans="2:4" s="2" customFormat="1">
      <c r="B875" s="3"/>
      <c r="D875" s="3"/>
    </row>
    <row r="876" spans="2:4" s="2" customFormat="1">
      <c r="B876" s="3"/>
      <c r="D876" s="3"/>
    </row>
    <row r="877" spans="2:4" s="2" customFormat="1">
      <c r="B877" s="3"/>
      <c r="D877" s="3"/>
    </row>
    <row r="878" spans="2:4" s="2" customFormat="1">
      <c r="B878" s="3"/>
      <c r="D878" s="3"/>
    </row>
    <row r="879" spans="2:4" s="2" customFormat="1">
      <c r="B879" s="3"/>
      <c r="D879" s="3"/>
    </row>
    <row r="880" spans="2:4" s="2" customFormat="1">
      <c r="B880" s="3"/>
      <c r="D880" s="3"/>
    </row>
    <row r="881" spans="2:4" s="2" customFormat="1">
      <c r="B881" s="3"/>
      <c r="D881" s="3"/>
    </row>
    <row r="882" spans="2:4" s="2" customFormat="1">
      <c r="B882" s="3"/>
      <c r="D882" s="3"/>
    </row>
    <row r="883" spans="2:4" s="2" customFormat="1">
      <c r="B883" s="3"/>
      <c r="D883" s="3"/>
    </row>
    <row r="884" spans="2:4" s="2" customFormat="1">
      <c r="B884" s="3"/>
      <c r="D884" s="3"/>
    </row>
    <row r="885" spans="2:4" s="2" customFormat="1">
      <c r="B885" s="3"/>
      <c r="D885" s="3"/>
    </row>
    <row r="886" spans="2:4" s="2" customFormat="1">
      <c r="B886" s="3"/>
      <c r="D886" s="3"/>
    </row>
    <row r="887" spans="2:4" s="2" customFormat="1">
      <c r="B887" s="3"/>
      <c r="D887" s="3"/>
    </row>
  </sheetData>
  <mergeCells count="2">
    <mergeCell ref="B2:D2"/>
    <mergeCell ref="B43:D43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4"/>
  <sheetViews>
    <sheetView tabSelected="1" topLeftCell="A22" workbookViewId="0">
      <selection activeCell="J39" sqref="J39"/>
    </sheetView>
  </sheetViews>
  <sheetFormatPr defaultRowHeight="14.25"/>
  <cols>
    <col min="1" max="1" width="9.125" style="2"/>
    <col min="3" max="3" width="40.875" customWidth="1"/>
    <col min="4" max="4" width="9.125" style="1"/>
    <col min="5" max="5" width="12.875" style="3" hidden="1" customWidth="1"/>
    <col min="6" max="6" width="11.5" style="2" customWidth="1"/>
    <col min="7" max="7" width="12.875" style="2" bestFit="1" customWidth="1"/>
    <col min="8" max="8" width="9.125" style="2" customWidth="1"/>
    <col min="9" max="9" width="13.125" style="2" customWidth="1"/>
    <col min="10" max="11" width="45.5" style="2" customWidth="1"/>
    <col min="12" max="38" width="9.125" style="2"/>
  </cols>
  <sheetData>
    <row r="1" spans="2:5" s="2" customFormat="1">
      <c r="D1" s="3"/>
      <c r="E1" s="3"/>
    </row>
    <row r="2" spans="2:5" s="2" customFormat="1" ht="15">
      <c r="B2" s="16" t="s">
        <v>110</v>
      </c>
      <c r="C2" s="16"/>
      <c r="D2" s="16"/>
      <c r="E2" s="3"/>
    </row>
    <row r="3" spans="2:5" s="2" customFormat="1">
      <c r="D3" s="3"/>
      <c r="E3" s="3"/>
    </row>
    <row r="4" spans="2:5" ht="15">
      <c r="B4" s="4" t="s">
        <v>1</v>
      </c>
      <c r="C4" s="4" t="s">
        <v>2</v>
      </c>
      <c r="D4" s="4" t="s">
        <v>6</v>
      </c>
    </row>
    <row r="5" spans="2:5">
      <c r="B5" s="6">
        <v>1</v>
      </c>
      <c r="C5" s="5" t="s">
        <v>101</v>
      </c>
      <c r="D5" s="6" t="s">
        <v>7</v>
      </c>
    </row>
    <row r="6" spans="2:5">
      <c r="B6" s="6">
        <v>2</v>
      </c>
      <c r="C6" s="5" t="s">
        <v>102</v>
      </c>
      <c r="D6" s="6" t="s">
        <v>7</v>
      </c>
    </row>
    <row r="7" spans="2:5">
      <c r="B7" s="6">
        <v>3</v>
      </c>
      <c r="C7" s="5" t="s">
        <v>103</v>
      </c>
      <c r="D7" s="6" t="s">
        <v>7</v>
      </c>
    </row>
    <row r="8" spans="2:5">
      <c r="B8" s="6">
        <v>4</v>
      </c>
      <c r="C8" s="5" t="s">
        <v>90</v>
      </c>
      <c r="D8" s="6">
        <v>2</v>
      </c>
    </row>
    <row r="9" spans="2:5">
      <c r="B9" s="6">
        <v>5</v>
      </c>
      <c r="C9" s="5" t="s">
        <v>91</v>
      </c>
      <c r="D9" s="6">
        <v>2</v>
      </c>
    </row>
    <row r="10" spans="2:5">
      <c r="B10" s="6">
        <v>6</v>
      </c>
      <c r="C10" s="5" t="s">
        <v>52</v>
      </c>
      <c r="D10" s="6">
        <v>2</v>
      </c>
    </row>
    <row r="11" spans="2:5">
      <c r="B11" s="6">
        <v>7</v>
      </c>
      <c r="C11" s="5" t="s">
        <v>53</v>
      </c>
      <c r="D11" s="6">
        <v>2</v>
      </c>
    </row>
    <row r="12" spans="2:5">
      <c r="B12" s="6">
        <v>8</v>
      </c>
      <c r="C12" s="5" t="s">
        <v>8</v>
      </c>
      <c r="D12" s="6">
        <v>2</v>
      </c>
    </row>
    <row r="13" spans="2:5">
      <c r="B13" s="6">
        <v>9</v>
      </c>
      <c r="C13" s="5" t="s">
        <v>92</v>
      </c>
      <c r="D13" s="6">
        <v>2</v>
      </c>
    </row>
    <row r="14" spans="2:5">
      <c r="B14" s="6">
        <v>10</v>
      </c>
      <c r="C14" s="5" t="s">
        <v>61</v>
      </c>
      <c r="D14" s="6">
        <v>2</v>
      </c>
    </row>
    <row r="15" spans="2:5">
      <c r="B15" s="6">
        <v>11</v>
      </c>
      <c r="C15" s="5" t="s">
        <v>62</v>
      </c>
      <c r="D15" s="6">
        <v>2</v>
      </c>
    </row>
    <row r="16" spans="2:5">
      <c r="B16" s="6">
        <v>12</v>
      </c>
      <c r="C16" s="5" t="s">
        <v>25</v>
      </c>
      <c r="D16" s="6">
        <v>1</v>
      </c>
    </row>
    <row r="17" spans="2:4">
      <c r="B17" s="6">
        <v>13</v>
      </c>
      <c r="C17" s="5" t="s">
        <v>65</v>
      </c>
      <c r="D17" s="6">
        <v>4</v>
      </c>
    </row>
    <row r="18" spans="2:4">
      <c r="B18" s="6">
        <v>14</v>
      </c>
      <c r="C18" s="5" t="s">
        <v>105</v>
      </c>
      <c r="D18" s="6">
        <v>2</v>
      </c>
    </row>
    <row r="19" spans="2:4">
      <c r="B19" s="6">
        <v>15</v>
      </c>
      <c r="C19" s="5" t="s">
        <v>106</v>
      </c>
      <c r="D19" s="6">
        <v>2</v>
      </c>
    </row>
    <row r="20" spans="2:4">
      <c r="B20" s="6">
        <v>16</v>
      </c>
      <c r="C20" s="5" t="s">
        <v>93</v>
      </c>
      <c r="D20" s="6">
        <v>2</v>
      </c>
    </row>
    <row r="21" spans="2:4">
      <c r="B21" s="6">
        <v>17</v>
      </c>
      <c r="C21" s="5" t="s">
        <v>94</v>
      </c>
      <c r="D21" s="6">
        <v>2</v>
      </c>
    </row>
    <row r="22" spans="2:4">
      <c r="B22" s="6">
        <v>18</v>
      </c>
      <c r="C22" s="5" t="s">
        <v>95</v>
      </c>
      <c r="D22" s="6">
        <v>2</v>
      </c>
    </row>
    <row r="23" spans="2:4">
      <c r="B23" s="6">
        <v>19</v>
      </c>
      <c r="C23" s="5" t="s">
        <v>73</v>
      </c>
      <c r="D23" s="6">
        <v>2</v>
      </c>
    </row>
    <row r="24" spans="2:4">
      <c r="B24" s="6">
        <v>20</v>
      </c>
      <c r="C24" s="5" t="s">
        <v>17</v>
      </c>
      <c r="D24" s="6">
        <v>6</v>
      </c>
    </row>
    <row r="25" spans="2:4">
      <c r="B25" s="6">
        <v>21</v>
      </c>
      <c r="C25" s="5" t="s">
        <v>70</v>
      </c>
      <c r="D25" s="6">
        <v>2</v>
      </c>
    </row>
    <row r="26" spans="2:4">
      <c r="B26" s="6">
        <v>22</v>
      </c>
      <c r="C26" s="5" t="s">
        <v>71</v>
      </c>
      <c r="D26" s="6">
        <v>2</v>
      </c>
    </row>
    <row r="27" spans="2:4">
      <c r="B27" s="6">
        <v>23</v>
      </c>
      <c r="C27" s="5" t="s">
        <v>0</v>
      </c>
      <c r="D27" s="6">
        <v>6</v>
      </c>
    </row>
    <row r="28" spans="2:4">
      <c r="B28" s="6">
        <v>24</v>
      </c>
      <c r="C28" s="5" t="s">
        <v>96</v>
      </c>
      <c r="D28" s="6">
        <v>2</v>
      </c>
    </row>
    <row r="29" spans="2:4">
      <c r="B29" s="6">
        <v>25</v>
      </c>
      <c r="C29" s="5" t="s">
        <v>97</v>
      </c>
      <c r="D29" s="6">
        <v>1</v>
      </c>
    </row>
    <row r="30" spans="2:4">
      <c r="B30" s="6">
        <v>26</v>
      </c>
      <c r="C30" s="5" t="s">
        <v>98</v>
      </c>
      <c r="D30" s="6">
        <v>1</v>
      </c>
    </row>
    <row r="31" spans="2:4">
      <c r="B31" s="6">
        <v>27</v>
      </c>
      <c r="C31" s="5" t="s">
        <v>99</v>
      </c>
      <c r="D31" s="6">
        <v>1</v>
      </c>
    </row>
    <row r="32" spans="2:4">
      <c r="B32" s="6">
        <v>28</v>
      </c>
      <c r="C32" s="5" t="s">
        <v>100</v>
      </c>
      <c r="D32" s="6">
        <v>1</v>
      </c>
    </row>
    <row r="33" spans="2:9">
      <c r="B33" s="6">
        <v>29</v>
      </c>
      <c r="C33" s="5" t="s">
        <v>107</v>
      </c>
      <c r="D33" s="6">
        <v>2</v>
      </c>
    </row>
    <row r="34" spans="2:9" ht="15">
      <c r="B34" s="15" t="s">
        <v>108</v>
      </c>
      <c r="C34" s="15"/>
      <c r="D34" s="15"/>
      <c r="E34" s="9" t="s">
        <v>122</v>
      </c>
      <c r="F34" s="17" t="s">
        <v>146</v>
      </c>
      <c r="G34" s="17" t="s">
        <v>147</v>
      </c>
      <c r="I34" s="2" t="s">
        <v>151</v>
      </c>
    </row>
    <row r="35" spans="2:9">
      <c r="B35" s="6">
        <v>30</v>
      </c>
      <c r="C35" s="5" t="s">
        <v>111</v>
      </c>
      <c r="D35" s="6">
        <v>1</v>
      </c>
      <c r="E35" s="6" t="s">
        <v>143</v>
      </c>
      <c r="F35" s="17">
        <v>24.71</v>
      </c>
      <c r="G35" s="17">
        <f>F35*D35</f>
        <v>24.71</v>
      </c>
      <c r="I35" s="13">
        <f>3*D35</f>
        <v>3</v>
      </c>
    </row>
    <row r="36" spans="2:9">
      <c r="B36" s="6">
        <v>31</v>
      </c>
      <c r="C36" s="5" t="s">
        <v>112</v>
      </c>
      <c r="D36" s="6">
        <v>1</v>
      </c>
      <c r="E36" s="6" t="s">
        <v>144</v>
      </c>
      <c r="F36" s="17">
        <v>24</v>
      </c>
      <c r="G36" s="17">
        <f t="shared" ref="G36:G38" si="0">F36*D36</f>
        <v>24</v>
      </c>
      <c r="I36" s="13">
        <f t="shared" ref="I36:I38" si="1">3*D36</f>
        <v>3</v>
      </c>
    </row>
    <row r="37" spans="2:9">
      <c r="B37" s="6">
        <v>32</v>
      </c>
      <c r="C37" s="5" t="s">
        <v>109</v>
      </c>
      <c r="D37" s="6">
        <v>1</v>
      </c>
      <c r="E37" s="6" t="s">
        <v>142</v>
      </c>
      <c r="F37" s="17">
        <v>71</v>
      </c>
      <c r="G37" s="17">
        <f t="shared" si="0"/>
        <v>71</v>
      </c>
      <c r="I37" s="13">
        <f t="shared" si="1"/>
        <v>3</v>
      </c>
    </row>
    <row r="38" spans="2:9">
      <c r="B38" s="6">
        <v>33</v>
      </c>
      <c r="C38" s="5" t="s">
        <v>113</v>
      </c>
      <c r="D38" s="6">
        <v>1</v>
      </c>
      <c r="E38" s="6" t="s">
        <v>145</v>
      </c>
      <c r="F38" s="17">
        <v>19.2</v>
      </c>
      <c r="G38" s="17">
        <f t="shared" si="0"/>
        <v>19.2</v>
      </c>
      <c r="I38" s="13">
        <f t="shared" si="1"/>
        <v>3</v>
      </c>
    </row>
    <row r="39" spans="2:9" s="2" customFormat="1">
      <c r="D39" s="3"/>
      <c r="E39" s="3"/>
      <c r="G39" s="10">
        <f>SUM(G35:G38)</f>
        <v>138.91</v>
      </c>
      <c r="H39" s="2" t="s">
        <v>149</v>
      </c>
    </row>
    <row r="40" spans="2:9" s="2" customFormat="1" ht="15">
      <c r="D40" s="3"/>
      <c r="E40" s="3"/>
      <c r="G40" s="11">
        <f>3*G39</f>
        <v>416.73</v>
      </c>
      <c r="H40" s="12" t="s">
        <v>151</v>
      </c>
    </row>
    <row r="41" spans="2:9" s="2" customFormat="1">
      <c r="D41" s="3"/>
      <c r="E41" s="3"/>
    </row>
    <row r="42" spans="2:9" s="2" customFormat="1">
      <c r="D42" s="3"/>
      <c r="E42" s="3"/>
    </row>
    <row r="43" spans="2:9" s="2" customFormat="1">
      <c r="D43" s="3"/>
      <c r="E43" s="3"/>
      <c r="G43" s="10">
        <f>G40+'Caixa de Ombro'!G54+'Cx. Básica Ortopedia'!G46</f>
        <v>11093.23</v>
      </c>
    </row>
    <row r="44" spans="2:9" s="2" customFormat="1">
      <c r="D44" s="3"/>
      <c r="E44" s="3"/>
    </row>
    <row r="45" spans="2:9" s="2" customFormat="1">
      <c r="D45" s="3"/>
      <c r="E45" s="3"/>
    </row>
    <row r="46" spans="2:9" s="2" customFormat="1">
      <c r="D46" s="3"/>
      <c r="E46" s="3"/>
    </row>
    <row r="47" spans="2:9" s="2" customFormat="1">
      <c r="D47" s="3"/>
      <c r="E47" s="3"/>
    </row>
    <row r="48" spans="2:9" s="2" customFormat="1">
      <c r="D48" s="3"/>
      <c r="E48" s="3"/>
    </row>
    <row r="49" spans="4:5" s="2" customFormat="1">
      <c r="D49" s="3"/>
      <c r="E49" s="3"/>
    </row>
    <row r="50" spans="4:5" s="2" customFormat="1">
      <c r="D50" s="3"/>
      <c r="E50" s="3"/>
    </row>
    <row r="51" spans="4:5" s="2" customFormat="1">
      <c r="D51" s="3"/>
      <c r="E51" s="3"/>
    </row>
    <row r="52" spans="4:5" s="2" customFormat="1">
      <c r="D52" s="3"/>
      <c r="E52" s="3"/>
    </row>
    <row r="53" spans="4:5" s="2" customFormat="1">
      <c r="D53" s="3"/>
      <c r="E53" s="3"/>
    </row>
    <row r="54" spans="4:5" s="2" customFormat="1">
      <c r="D54" s="3"/>
      <c r="E54" s="3"/>
    </row>
    <row r="55" spans="4:5" s="2" customFormat="1">
      <c r="D55" s="3"/>
      <c r="E55" s="3"/>
    </row>
    <row r="56" spans="4:5" s="2" customFormat="1">
      <c r="D56" s="3"/>
      <c r="E56" s="3"/>
    </row>
    <row r="57" spans="4:5" s="2" customFormat="1">
      <c r="D57" s="3"/>
      <c r="E57" s="3"/>
    </row>
    <row r="58" spans="4:5" s="2" customFormat="1">
      <c r="D58" s="3"/>
      <c r="E58" s="3"/>
    </row>
    <row r="59" spans="4:5" s="2" customFormat="1">
      <c r="D59" s="3"/>
      <c r="E59" s="3"/>
    </row>
    <row r="60" spans="4:5" s="2" customFormat="1">
      <c r="D60" s="3"/>
      <c r="E60" s="3"/>
    </row>
    <row r="61" spans="4:5" s="2" customFormat="1">
      <c r="D61" s="3"/>
      <c r="E61" s="3"/>
    </row>
    <row r="62" spans="4:5" s="2" customFormat="1">
      <c r="D62" s="3"/>
      <c r="E62" s="3"/>
    </row>
    <row r="63" spans="4:5" s="2" customFormat="1">
      <c r="D63" s="3"/>
      <c r="E63" s="3"/>
    </row>
    <row r="64" spans="4:5" s="2" customFormat="1">
      <c r="D64" s="3"/>
      <c r="E64" s="3"/>
    </row>
    <row r="65" spans="4:5" s="2" customFormat="1">
      <c r="D65" s="3"/>
      <c r="E65" s="3"/>
    </row>
    <row r="66" spans="4:5" s="2" customFormat="1">
      <c r="D66" s="3"/>
      <c r="E66" s="3"/>
    </row>
    <row r="67" spans="4:5" s="2" customFormat="1">
      <c r="D67" s="3"/>
      <c r="E67" s="3"/>
    </row>
    <row r="68" spans="4:5" s="2" customFormat="1">
      <c r="D68" s="3"/>
      <c r="E68" s="3"/>
    </row>
    <row r="69" spans="4:5" s="2" customFormat="1">
      <c r="D69" s="3"/>
      <c r="E69" s="3"/>
    </row>
    <row r="70" spans="4:5" s="2" customFormat="1">
      <c r="D70" s="3"/>
      <c r="E70" s="3"/>
    </row>
    <row r="71" spans="4:5" s="2" customFormat="1">
      <c r="D71" s="3"/>
      <c r="E71" s="3"/>
    </row>
    <row r="72" spans="4:5" s="2" customFormat="1">
      <c r="D72" s="3"/>
      <c r="E72" s="3"/>
    </row>
    <row r="73" spans="4:5" s="2" customFormat="1">
      <c r="D73" s="3"/>
      <c r="E73" s="3"/>
    </row>
    <row r="74" spans="4:5" s="2" customFormat="1">
      <c r="D74" s="3"/>
      <c r="E74" s="3"/>
    </row>
    <row r="75" spans="4:5" s="2" customFormat="1">
      <c r="D75" s="3"/>
      <c r="E75" s="3"/>
    </row>
    <row r="76" spans="4:5" s="2" customFormat="1">
      <c r="D76" s="3"/>
      <c r="E76" s="3"/>
    </row>
    <row r="77" spans="4:5" s="2" customFormat="1">
      <c r="D77" s="3"/>
      <c r="E77" s="3"/>
    </row>
    <row r="78" spans="4:5" s="2" customFormat="1">
      <c r="D78" s="3"/>
      <c r="E78" s="3"/>
    </row>
    <row r="79" spans="4:5" s="2" customFormat="1">
      <c r="D79" s="3"/>
      <c r="E79" s="3"/>
    </row>
    <row r="80" spans="4:5" s="2" customFormat="1">
      <c r="D80" s="3"/>
      <c r="E80" s="3"/>
    </row>
    <row r="81" spans="4:5" s="2" customFormat="1">
      <c r="D81" s="3"/>
      <c r="E81" s="3"/>
    </row>
    <row r="82" spans="4:5" s="2" customFormat="1">
      <c r="D82" s="3"/>
      <c r="E82" s="3"/>
    </row>
    <row r="83" spans="4:5" s="2" customFormat="1">
      <c r="D83" s="3"/>
      <c r="E83" s="3"/>
    </row>
    <row r="84" spans="4:5" s="2" customFormat="1">
      <c r="D84" s="3"/>
      <c r="E84" s="3"/>
    </row>
    <row r="85" spans="4:5" s="2" customFormat="1">
      <c r="D85" s="3"/>
      <c r="E85" s="3"/>
    </row>
    <row r="86" spans="4:5" s="2" customFormat="1">
      <c r="D86" s="3"/>
      <c r="E86" s="3"/>
    </row>
    <row r="87" spans="4:5" s="2" customFormat="1">
      <c r="D87" s="3"/>
      <c r="E87" s="3"/>
    </row>
    <row r="88" spans="4:5" s="2" customFormat="1">
      <c r="D88" s="3"/>
      <c r="E88" s="3"/>
    </row>
    <row r="89" spans="4:5" s="2" customFormat="1">
      <c r="D89" s="3"/>
      <c r="E89" s="3"/>
    </row>
    <row r="90" spans="4:5" s="2" customFormat="1">
      <c r="D90" s="3"/>
      <c r="E90" s="3"/>
    </row>
    <row r="91" spans="4:5" s="2" customFormat="1">
      <c r="D91" s="3"/>
      <c r="E91" s="3"/>
    </row>
    <row r="92" spans="4:5" s="2" customFormat="1">
      <c r="D92" s="3"/>
      <c r="E92" s="3"/>
    </row>
    <row r="93" spans="4:5" s="2" customFormat="1">
      <c r="D93" s="3"/>
      <c r="E93" s="3"/>
    </row>
    <row r="94" spans="4:5" s="2" customFormat="1">
      <c r="D94" s="3"/>
      <c r="E94" s="3"/>
    </row>
    <row r="95" spans="4:5" s="2" customFormat="1">
      <c r="D95" s="3"/>
      <c r="E95" s="3"/>
    </row>
    <row r="96" spans="4:5" s="2" customFormat="1">
      <c r="D96" s="3"/>
      <c r="E96" s="3"/>
    </row>
    <row r="97" spans="4:5" s="2" customFormat="1">
      <c r="D97" s="3"/>
      <c r="E97" s="3"/>
    </row>
    <row r="98" spans="4:5" s="2" customFormat="1">
      <c r="D98" s="3"/>
      <c r="E98" s="3"/>
    </row>
    <row r="99" spans="4:5" s="2" customFormat="1">
      <c r="D99" s="3"/>
      <c r="E99" s="3"/>
    </row>
    <row r="100" spans="4:5" s="2" customFormat="1">
      <c r="D100" s="3"/>
      <c r="E100" s="3"/>
    </row>
    <row r="101" spans="4:5" s="2" customFormat="1">
      <c r="D101" s="3"/>
      <c r="E101" s="3"/>
    </row>
    <row r="102" spans="4:5" s="2" customFormat="1">
      <c r="D102" s="3"/>
      <c r="E102" s="3"/>
    </row>
    <row r="103" spans="4:5" s="2" customFormat="1">
      <c r="D103" s="3"/>
      <c r="E103" s="3"/>
    </row>
    <row r="104" spans="4:5" s="2" customFormat="1">
      <c r="D104" s="3"/>
      <c r="E104" s="3"/>
    </row>
    <row r="105" spans="4:5" s="2" customFormat="1">
      <c r="D105" s="3"/>
      <c r="E105" s="3"/>
    </row>
    <row r="106" spans="4:5" s="2" customFormat="1">
      <c r="D106" s="3"/>
      <c r="E106" s="3"/>
    </row>
    <row r="107" spans="4:5" s="2" customFormat="1">
      <c r="D107" s="3"/>
      <c r="E107" s="3"/>
    </row>
    <row r="108" spans="4:5" s="2" customFormat="1">
      <c r="D108" s="3"/>
      <c r="E108" s="3"/>
    </row>
    <row r="109" spans="4:5" s="2" customFormat="1">
      <c r="D109" s="3"/>
      <c r="E109" s="3"/>
    </row>
    <row r="110" spans="4:5" s="2" customFormat="1">
      <c r="D110" s="3"/>
      <c r="E110" s="3"/>
    </row>
    <row r="111" spans="4:5" s="2" customFormat="1">
      <c r="D111" s="3"/>
      <c r="E111" s="3"/>
    </row>
    <row r="112" spans="4:5" s="2" customFormat="1">
      <c r="D112" s="3"/>
      <c r="E112" s="3"/>
    </row>
    <row r="113" spans="4:5" s="2" customFormat="1">
      <c r="D113" s="3"/>
      <c r="E113" s="3"/>
    </row>
    <row r="114" spans="4:5" s="2" customFormat="1">
      <c r="D114" s="3"/>
      <c r="E114" s="3"/>
    </row>
    <row r="115" spans="4:5" s="2" customFormat="1">
      <c r="D115" s="3"/>
      <c r="E115" s="3"/>
    </row>
    <row r="116" spans="4:5" s="2" customFormat="1">
      <c r="D116" s="3"/>
      <c r="E116" s="3"/>
    </row>
    <row r="117" spans="4:5" s="2" customFormat="1">
      <c r="D117" s="3"/>
      <c r="E117" s="3"/>
    </row>
    <row r="118" spans="4:5" s="2" customFormat="1">
      <c r="D118" s="3"/>
      <c r="E118" s="3"/>
    </row>
    <row r="119" spans="4:5" s="2" customFormat="1">
      <c r="D119" s="3"/>
      <c r="E119" s="3"/>
    </row>
    <row r="120" spans="4:5" s="2" customFormat="1">
      <c r="D120" s="3"/>
      <c r="E120" s="3"/>
    </row>
    <row r="121" spans="4:5" s="2" customFormat="1">
      <c r="D121" s="3"/>
      <c r="E121" s="3"/>
    </row>
    <row r="122" spans="4:5" s="2" customFormat="1">
      <c r="D122" s="3"/>
      <c r="E122" s="3"/>
    </row>
    <row r="123" spans="4:5" s="2" customFormat="1">
      <c r="D123" s="3"/>
      <c r="E123" s="3"/>
    </row>
    <row r="124" spans="4:5" s="2" customFormat="1">
      <c r="D124" s="3"/>
      <c r="E124" s="3"/>
    </row>
    <row r="125" spans="4:5" s="2" customFormat="1">
      <c r="D125" s="3"/>
      <c r="E125" s="3"/>
    </row>
    <row r="126" spans="4:5" s="2" customFormat="1">
      <c r="D126" s="3"/>
      <c r="E126" s="3"/>
    </row>
    <row r="127" spans="4:5" s="2" customFormat="1">
      <c r="D127" s="3"/>
      <c r="E127" s="3"/>
    </row>
    <row r="128" spans="4:5" s="2" customFormat="1">
      <c r="D128" s="3"/>
      <c r="E128" s="3"/>
    </row>
    <row r="129" spans="4:5" s="2" customFormat="1">
      <c r="D129" s="3"/>
      <c r="E129" s="3"/>
    </row>
    <row r="130" spans="4:5" s="2" customFormat="1">
      <c r="D130" s="3"/>
      <c r="E130" s="3"/>
    </row>
    <row r="131" spans="4:5" s="2" customFormat="1">
      <c r="D131" s="3"/>
      <c r="E131" s="3"/>
    </row>
    <row r="132" spans="4:5" s="2" customFormat="1">
      <c r="D132" s="3"/>
      <c r="E132" s="3"/>
    </row>
    <row r="133" spans="4:5" s="2" customFormat="1">
      <c r="D133" s="3"/>
      <c r="E133" s="3"/>
    </row>
    <row r="134" spans="4:5" s="2" customFormat="1">
      <c r="D134" s="3"/>
      <c r="E134" s="3"/>
    </row>
    <row r="135" spans="4:5" s="2" customFormat="1">
      <c r="D135" s="3"/>
      <c r="E135" s="3"/>
    </row>
    <row r="136" spans="4:5" s="2" customFormat="1">
      <c r="D136" s="3"/>
      <c r="E136" s="3"/>
    </row>
    <row r="137" spans="4:5" s="2" customFormat="1">
      <c r="D137" s="3"/>
      <c r="E137" s="3"/>
    </row>
    <row r="138" spans="4:5" s="2" customFormat="1">
      <c r="D138" s="3"/>
      <c r="E138" s="3"/>
    </row>
    <row r="139" spans="4:5" s="2" customFormat="1">
      <c r="D139" s="3"/>
      <c r="E139" s="3"/>
    </row>
    <row r="140" spans="4:5" s="2" customFormat="1">
      <c r="D140" s="3"/>
      <c r="E140" s="3"/>
    </row>
    <row r="141" spans="4:5" s="2" customFormat="1">
      <c r="D141" s="3"/>
      <c r="E141" s="3"/>
    </row>
    <row r="142" spans="4:5" s="2" customFormat="1">
      <c r="D142" s="3"/>
      <c r="E142" s="3"/>
    </row>
    <row r="143" spans="4:5" s="2" customFormat="1">
      <c r="D143" s="3"/>
      <c r="E143" s="3"/>
    </row>
    <row r="144" spans="4:5" s="2" customFormat="1">
      <c r="D144" s="3"/>
      <c r="E144" s="3"/>
    </row>
    <row r="145" spans="4:5" s="2" customFormat="1">
      <c r="D145" s="3"/>
      <c r="E145" s="3"/>
    </row>
    <row r="146" spans="4:5" s="2" customFormat="1">
      <c r="D146" s="3"/>
      <c r="E146" s="3"/>
    </row>
    <row r="147" spans="4:5" s="2" customFormat="1">
      <c r="D147" s="3"/>
      <c r="E147" s="3"/>
    </row>
    <row r="148" spans="4:5" s="2" customFormat="1">
      <c r="D148" s="3"/>
      <c r="E148" s="3"/>
    </row>
    <row r="149" spans="4:5" s="2" customFormat="1">
      <c r="D149" s="3"/>
      <c r="E149" s="3"/>
    </row>
    <row r="150" spans="4:5" s="2" customFormat="1">
      <c r="D150" s="3"/>
      <c r="E150" s="3"/>
    </row>
    <row r="151" spans="4:5" s="2" customFormat="1">
      <c r="D151" s="3"/>
      <c r="E151" s="3"/>
    </row>
    <row r="152" spans="4:5" s="2" customFormat="1">
      <c r="D152" s="3"/>
      <c r="E152" s="3"/>
    </row>
    <row r="153" spans="4:5" s="2" customFormat="1">
      <c r="D153" s="3"/>
      <c r="E153" s="3"/>
    </row>
    <row r="154" spans="4:5" s="2" customFormat="1">
      <c r="D154" s="3"/>
      <c r="E154" s="3"/>
    </row>
    <row r="155" spans="4:5" s="2" customFormat="1">
      <c r="D155" s="3"/>
      <c r="E155" s="3"/>
    </row>
    <row r="156" spans="4:5" s="2" customFormat="1">
      <c r="D156" s="3"/>
      <c r="E156" s="3"/>
    </row>
    <row r="157" spans="4:5" s="2" customFormat="1">
      <c r="D157" s="3"/>
      <c r="E157" s="3"/>
    </row>
    <row r="158" spans="4:5" s="2" customFormat="1">
      <c r="D158" s="3"/>
      <c r="E158" s="3"/>
    </row>
    <row r="159" spans="4:5" s="2" customFormat="1">
      <c r="D159" s="3"/>
      <c r="E159" s="3"/>
    </row>
    <row r="160" spans="4:5" s="2" customFormat="1">
      <c r="D160" s="3"/>
      <c r="E160" s="3"/>
    </row>
    <row r="161" spans="4:5" s="2" customFormat="1">
      <c r="D161" s="3"/>
      <c r="E161" s="3"/>
    </row>
    <row r="162" spans="4:5" s="2" customFormat="1">
      <c r="D162" s="3"/>
      <c r="E162" s="3"/>
    </row>
    <row r="163" spans="4:5" s="2" customFormat="1">
      <c r="D163" s="3"/>
      <c r="E163" s="3"/>
    </row>
    <row r="164" spans="4:5" s="2" customFormat="1">
      <c r="D164" s="3"/>
      <c r="E164" s="3"/>
    </row>
    <row r="165" spans="4:5" s="2" customFormat="1">
      <c r="D165" s="3"/>
      <c r="E165" s="3"/>
    </row>
    <row r="166" spans="4:5" s="2" customFormat="1">
      <c r="D166" s="3"/>
      <c r="E166" s="3"/>
    </row>
    <row r="167" spans="4:5" s="2" customFormat="1">
      <c r="D167" s="3"/>
      <c r="E167" s="3"/>
    </row>
    <row r="168" spans="4:5" s="2" customFormat="1">
      <c r="D168" s="3"/>
      <c r="E168" s="3"/>
    </row>
    <row r="169" spans="4:5" s="2" customFormat="1">
      <c r="D169" s="3"/>
      <c r="E169" s="3"/>
    </row>
    <row r="170" spans="4:5" s="2" customFormat="1">
      <c r="D170" s="3"/>
      <c r="E170" s="3"/>
    </row>
    <row r="171" spans="4:5" s="2" customFormat="1">
      <c r="D171" s="3"/>
      <c r="E171" s="3"/>
    </row>
    <row r="172" spans="4:5" s="2" customFormat="1">
      <c r="D172" s="3"/>
      <c r="E172" s="3"/>
    </row>
    <row r="173" spans="4:5" s="2" customFormat="1">
      <c r="D173" s="3"/>
      <c r="E173" s="3"/>
    </row>
    <row r="174" spans="4:5" s="2" customFormat="1">
      <c r="D174" s="3"/>
      <c r="E174" s="3"/>
    </row>
    <row r="175" spans="4:5" s="2" customFormat="1">
      <c r="D175" s="3"/>
      <c r="E175" s="3"/>
    </row>
    <row r="176" spans="4:5" s="2" customFormat="1">
      <c r="D176" s="3"/>
      <c r="E176" s="3"/>
    </row>
    <row r="177" spans="4:5" s="2" customFormat="1">
      <c r="D177" s="3"/>
      <c r="E177" s="3"/>
    </row>
    <row r="178" spans="4:5" s="2" customFormat="1">
      <c r="D178" s="3"/>
      <c r="E178" s="3"/>
    </row>
    <row r="179" spans="4:5" s="2" customFormat="1">
      <c r="D179" s="3"/>
      <c r="E179" s="3"/>
    </row>
    <row r="180" spans="4:5" s="2" customFormat="1">
      <c r="D180" s="3"/>
      <c r="E180" s="3"/>
    </row>
    <row r="181" spans="4:5" s="2" customFormat="1">
      <c r="D181" s="3"/>
      <c r="E181" s="3"/>
    </row>
    <row r="182" spans="4:5" s="2" customFormat="1">
      <c r="D182" s="3"/>
      <c r="E182" s="3"/>
    </row>
    <row r="183" spans="4:5" s="2" customFormat="1">
      <c r="D183" s="3"/>
      <c r="E183" s="3"/>
    </row>
    <row r="184" spans="4:5" s="2" customFormat="1">
      <c r="D184" s="3"/>
      <c r="E184" s="3"/>
    </row>
    <row r="185" spans="4:5" s="2" customFormat="1">
      <c r="D185" s="3"/>
      <c r="E185" s="3"/>
    </row>
    <row r="186" spans="4:5" s="2" customFormat="1">
      <c r="D186" s="3"/>
      <c r="E186" s="3"/>
    </row>
    <row r="187" spans="4:5" s="2" customFormat="1">
      <c r="D187" s="3"/>
      <c r="E187" s="3"/>
    </row>
    <row r="188" spans="4:5" s="2" customFormat="1">
      <c r="D188" s="3"/>
      <c r="E188" s="3"/>
    </row>
    <row r="189" spans="4:5" s="2" customFormat="1">
      <c r="D189" s="3"/>
      <c r="E189" s="3"/>
    </row>
    <row r="190" spans="4:5" s="2" customFormat="1">
      <c r="D190" s="3"/>
      <c r="E190" s="3"/>
    </row>
    <row r="191" spans="4:5" s="2" customFormat="1">
      <c r="D191" s="3"/>
      <c r="E191" s="3"/>
    </row>
    <row r="192" spans="4:5" s="2" customFormat="1">
      <c r="D192" s="3"/>
      <c r="E192" s="3"/>
    </row>
    <row r="193" spans="4:5" s="2" customFormat="1">
      <c r="D193" s="3"/>
      <c r="E193" s="3"/>
    </row>
    <row r="194" spans="4:5" s="2" customFormat="1">
      <c r="D194" s="3"/>
      <c r="E194" s="3"/>
    </row>
    <row r="195" spans="4:5" s="2" customFormat="1">
      <c r="D195" s="3"/>
      <c r="E195" s="3"/>
    </row>
    <row r="196" spans="4:5" s="2" customFormat="1">
      <c r="D196" s="3"/>
      <c r="E196" s="3"/>
    </row>
    <row r="197" spans="4:5" s="2" customFormat="1">
      <c r="D197" s="3"/>
      <c r="E197" s="3"/>
    </row>
    <row r="198" spans="4:5" s="2" customFormat="1">
      <c r="D198" s="3"/>
      <c r="E198" s="3"/>
    </row>
    <row r="199" spans="4:5" s="2" customFormat="1">
      <c r="D199" s="3"/>
      <c r="E199" s="3"/>
    </row>
    <row r="200" spans="4:5" s="2" customFormat="1">
      <c r="D200" s="3"/>
      <c r="E200" s="3"/>
    </row>
    <row r="201" spans="4:5" s="2" customFormat="1">
      <c r="D201" s="3"/>
      <c r="E201" s="3"/>
    </row>
    <row r="202" spans="4:5" s="2" customFormat="1">
      <c r="D202" s="3"/>
      <c r="E202" s="3"/>
    </row>
    <row r="203" spans="4:5" s="2" customFormat="1">
      <c r="D203" s="3"/>
      <c r="E203" s="3"/>
    </row>
    <row r="204" spans="4:5" s="2" customFormat="1">
      <c r="D204" s="3"/>
      <c r="E204" s="3"/>
    </row>
    <row r="205" spans="4:5" s="2" customFormat="1">
      <c r="D205" s="3"/>
      <c r="E205" s="3"/>
    </row>
    <row r="206" spans="4:5" s="2" customFormat="1">
      <c r="D206" s="3"/>
      <c r="E206" s="3"/>
    </row>
    <row r="207" spans="4:5" s="2" customFormat="1">
      <c r="D207" s="3"/>
      <c r="E207" s="3"/>
    </row>
    <row r="208" spans="4:5" s="2" customFormat="1">
      <c r="D208" s="3"/>
      <c r="E208" s="3"/>
    </row>
    <row r="209" spans="4:5" s="2" customFormat="1">
      <c r="D209" s="3"/>
      <c r="E209" s="3"/>
    </row>
    <row r="210" spans="4:5" s="2" customFormat="1">
      <c r="D210" s="3"/>
      <c r="E210" s="3"/>
    </row>
    <row r="211" spans="4:5" s="2" customFormat="1">
      <c r="D211" s="3"/>
      <c r="E211" s="3"/>
    </row>
    <row r="212" spans="4:5" s="2" customFormat="1">
      <c r="D212" s="3"/>
      <c r="E212" s="3"/>
    </row>
    <row r="213" spans="4:5" s="2" customFormat="1">
      <c r="D213" s="3"/>
      <c r="E213" s="3"/>
    </row>
    <row r="214" spans="4:5" s="2" customFormat="1">
      <c r="D214" s="3"/>
      <c r="E214" s="3"/>
    </row>
    <row r="215" spans="4:5" s="2" customFormat="1">
      <c r="D215" s="3"/>
      <c r="E215" s="3"/>
    </row>
    <row r="216" spans="4:5" s="2" customFormat="1">
      <c r="D216" s="3"/>
      <c r="E216" s="3"/>
    </row>
    <row r="217" spans="4:5" s="2" customFormat="1">
      <c r="D217" s="3"/>
      <c r="E217" s="3"/>
    </row>
    <row r="218" spans="4:5" s="2" customFormat="1">
      <c r="D218" s="3"/>
      <c r="E218" s="3"/>
    </row>
    <row r="219" spans="4:5" s="2" customFormat="1">
      <c r="D219" s="3"/>
      <c r="E219" s="3"/>
    </row>
    <row r="220" spans="4:5" s="2" customFormat="1">
      <c r="D220" s="3"/>
      <c r="E220" s="3"/>
    </row>
    <row r="221" spans="4:5" s="2" customFormat="1">
      <c r="D221" s="3"/>
      <c r="E221" s="3"/>
    </row>
    <row r="222" spans="4:5" s="2" customFormat="1">
      <c r="D222" s="3"/>
      <c r="E222" s="3"/>
    </row>
    <row r="223" spans="4:5" s="2" customFormat="1">
      <c r="D223" s="3"/>
      <c r="E223" s="3"/>
    </row>
    <row r="224" spans="4:5" s="2" customFormat="1">
      <c r="D224" s="3"/>
      <c r="E224" s="3"/>
    </row>
    <row r="225" spans="4:5" s="2" customFormat="1">
      <c r="D225" s="3"/>
      <c r="E225" s="3"/>
    </row>
    <row r="226" spans="4:5" s="2" customFormat="1">
      <c r="D226" s="3"/>
      <c r="E226" s="3"/>
    </row>
    <row r="227" spans="4:5" s="2" customFormat="1">
      <c r="D227" s="3"/>
      <c r="E227" s="3"/>
    </row>
    <row r="228" spans="4:5" s="2" customFormat="1">
      <c r="D228" s="3"/>
      <c r="E228" s="3"/>
    </row>
    <row r="229" spans="4:5" s="2" customFormat="1">
      <c r="D229" s="3"/>
      <c r="E229" s="3"/>
    </row>
    <row r="230" spans="4:5" s="2" customFormat="1">
      <c r="D230" s="3"/>
      <c r="E230" s="3"/>
    </row>
    <row r="231" spans="4:5" s="2" customFormat="1">
      <c r="D231" s="3"/>
      <c r="E231" s="3"/>
    </row>
    <row r="232" spans="4:5" s="2" customFormat="1">
      <c r="D232" s="3"/>
      <c r="E232" s="3"/>
    </row>
    <row r="233" spans="4:5" s="2" customFormat="1">
      <c r="D233" s="3"/>
      <c r="E233" s="3"/>
    </row>
    <row r="234" spans="4:5" s="2" customFormat="1">
      <c r="D234" s="3"/>
      <c r="E234" s="3"/>
    </row>
    <row r="235" spans="4:5" s="2" customFormat="1">
      <c r="D235" s="3"/>
      <c r="E235" s="3"/>
    </row>
    <row r="236" spans="4:5" s="2" customFormat="1">
      <c r="D236" s="3"/>
      <c r="E236" s="3"/>
    </row>
    <row r="237" spans="4:5" s="2" customFormat="1">
      <c r="D237" s="3"/>
      <c r="E237" s="3"/>
    </row>
    <row r="238" spans="4:5" s="2" customFormat="1">
      <c r="D238" s="3"/>
      <c r="E238" s="3"/>
    </row>
    <row r="239" spans="4:5" s="2" customFormat="1">
      <c r="D239" s="3"/>
      <c r="E239" s="3"/>
    </row>
    <row r="240" spans="4:5" s="2" customFormat="1">
      <c r="D240" s="3"/>
      <c r="E240" s="3"/>
    </row>
    <row r="241" spans="4:5" s="2" customFormat="1">
      <c r="D241" s="3"/>
      <c r="E241" s="3"/>
    </row>
    <row r="242" spans="4:5" s="2" customFormat="1">
      <c r="D242" s="3"/>
      <c r="E242" s="3"/>
    </row>
    <row r="243" spans="4:5" s="2" customFormat="1">
      <c r="D243" s="3"/>
      <c r="E243" s="3"/>
    </row>
    <row r="244" spans="4:5" s="2" customFormat="1">
      <c r="D244" s="3"/>
      <c r="E244" s="3"/>
    </row>
    <row r="245" spans="4:5" s="2" customFormat="1">
      <c r="D245" s="3"/>
      <c r="E245" s="3"/>
    </row>
    <row r="246" spans="4:5" s="2" customFormat="1">
      <c r="D246" s="3"/>
      <c r="E246" s="3"/>
    </row>
    <row r="247" spans="4:5" s="2" customFormat="1">
      <c r="D247" s="3"/>
      <c r="E247" s="3"/>
    </row>
    <row r="248" spans="4:5" s="2" customFormat="1">
      <c r="D248" s="3"/>
      <c r="E248" s="3"/>
    </row>
    <row r="249" spans="4:5" s="2" customFormat="1">
      <c r="D249" s="3"/>
      <c r="E249" s="3"/>
    </row>
    <row r="250" spans="4:5" s="2" customFormat="1">
      <c r="D250" s="3"/>
      <c r="E250" s="3"/>
    </row>
    <row r="251" spans="4:5" s="2" customFormat="1">
      <c r="D251" s="3"/>
      <c r="E251" s="3"/>
    </row>
    <row r="252" spans="4:5" s="2" customFormat="1">
      <c r="D252" s="3"/>
      <c r="E252" s="3"/>
    </row>
    <row r="253" spans="4:5" s="2" customFormat="1">
      <c r="D253" s="3"/>
      <c r="E253" s="3"/>
    </row>
    <row r="254" spans="4:5" s="2" customFormat="1">
      <c r="D254" s="3"/>
      <c r="E254" s="3"/>
    </row>
    <row r="255" spans="4:5" s="2" customFormat="1">
      <c r="D255" s="3"/>
      <c r="E255" s="3"/>
    </row>
    <row r="256" spans="4:5" s="2" customFormat="1">
      <c r="D256" s="3"/>
      <c r="E256" s="3"/>
    </row>
    <row r="257" spans="4:5" s="2" customFormat="1">
      <c r="D257" s="3"/>
      <c r="E257" s="3"/>
    </row>
    <row r="258" spans="4:5" s="2" customFormat="1">
      <c r="D258" s="3"/>
      <c r="E258" s="3"/>
    </row>
    <row r="259" spans="4:5" s="2" customFormat="1">
      <c r="D259" s="3"/>
      <c r="E259" s="3"/>
    </row>
    <row r="260" spans="4:5" s="2" customFormat="1">
      <c r="D260" s="3"/>
      <c r="E260" s="3"/>
    </row>
    <row r="261" spans="4:5" s="2" customFormat="1">
      <c r="D261" s="3"/>
      <c r="E261" s="3"/>
    </row>
    <row r="262" spans="4:5" s="2" customFormat="1">
      <c r="D262" s="3"/>
      <c r="E262" s="3"/>
    </row>
    <row r="263" spans="4:5" s="2" customFormat="1">
      <c r="D263" s="3"/>
      <c r="E263" s="3"/>
    </row>
    <row r="264" spans="4:5" s="2" customFormat="1">
      <c r="D264" s="3"/>
      <c r="E264" s="3"/>
    </row>
    <row r="265" spans="4:5" s="2" customFormat="1">
      <c r="D265" s="3"/>
      <c r="E265" s="3"/>
    </row>
    <row r="266" spans="4:5" s="2" customFormat="1">
      <c r="D266" s="3"/>
      <c r="E266" s="3"/>
    </row>
    <row r="267" spans="4:5" s="2" customFormat="1">
      <c r="D267" s="3"/>
      <c r="E267" s="3"/>
    </row>
    <row r="268" spans="4:5" s="2" customFormat="1">
      <c r="D268" s="3"/>
      <c r="E268" s="3"/>
    </row>
    <row r="269" spans="4:5" s="2" customFormat="1">
      <c r="D269" s="3"/>
      <c r="E269" s="3"/>
    </row>
    <row r="270" spans="4:5" s="2" customFormat="1">
      <c r="D270" s="3"/>
      <c r="E270" s="3"/>
    </row>
    <row r="271" spans="4:5" s="2" customFormat="1">
      <c r="D271" s="3"/>
      <c r="E271" s="3"/>
    </row>
    <row r="272" spans="4:5" s="2" customFormat="1">
      <c r="D272" s="3"/>
      <c r="E272" s="3"/>
    </row>
    <row r="273" spans="4:5" s="2" customFormat="1">
      <c r="D273" s="3"/>
      <c r="E273" s="3"/>
    </row>
    <row r="274" spans="4:5" s="2" customFormat="1">
      <c r="D274" s="3"/>
      <c r="E274" s="3"/>
    </row>
    <row r="275" spans="4:5" s="2" customFormat="1">
      <c r="D275" s="3"/>
      <c r="E275" s="3"/>
    </row>
    <row r="276" spans="4:5" s="2" customFormat="1">
      <c r="D276" s="3"/>
      <c r="E276" s="3"/>
    </row>
    <row r="277" spans="4:5" s="2" customFormat="1">
      <c r="D277" s="3"/>
      <c r="E277" s="3"/>
    </row>
    <row r="278" spans="4:5" s="2" customFormat="1">
      <c r="D278" s="3"/>
      <c r="E278" s="3"/>
    </row>
    <row r="279" spans="4:5" s="2" customFormat="1">
      <c r="D279" s="3"/>
      <c r="E279" s="3"/>
    </row>
    <row r="280" spans="4:5" s="2" customFormat="1">
      <c r="D280" s="3"/>
      <c r="E280" s="3"/>
    </row>
    <row r="281" spans="4:5" s="2" customFormat="1">
      <c r="D281" s="3"/>
      <c r="E281" s="3"/>
    </row>
    <row r="282" spans="4:5" s="2" customFormat="1">
      <c r="D282" s="3"/>
      <c r="E282" s="3"/>
    </row>
    <row r="283" spans="4:5" s="2" customFormat="1">
      <c r="D283" s="3"/>
      <c r="E283" s="3"/>
    </row>
    <row r="284" spans="4:5" s="2" customFormat="1">
      <c r="D284" s="3"/>
      <c r="E284" s="3"/>
    </row>
    <row r="285" spans="4:5" s="2" customFormat="1">
      <c r="D285" s="3"/>
      <c r="E285" s="3"/>
    </row>
    <row r="286" spans="4:5" s="2" customFormat="1">
      <c r="D286" s="3"/>
      <c r="E286" s="3"/>
    </row>
    <row r="287" spans="4:5" s="2" customFormat="1">
      <c r="D287" s="3"/>
      <c r="E287" s="3"/>
    </row>
    <row r="288" spans="4:5" s="2" customFormat="1">
      <c r="D288" s="3"/>
      <c r="E288" s="3"/>
    </row>
    <row r="289" spans="4:5" s="2" customFormat="1">
      <c r="D289" s="3"/>
      <c r="E289" s="3"/>
    </row>
    <row r="290" spans="4:5" s="2" customFormat="1">
      <c r="D290" s="3"/>
      <c r="E290" s="3"/>
    </row>
    <row r="291" spans="4:5" s="2" customFormat="1">
      <c r="D291" s="3"/>
      <c r="E291" s="3"/>
    </row>
    <row r="292" spans="4:5" s="2" customFormat="1">
      <c r="D292" s="3"/>
      <c r="E292" s="3"/>
    </row>
    <row r="293" spans="4:5" s="2" customFormat="1">
      <c r="D293" s="3"/>
      <c r="E293" s="3"/>
    </row>
    <row r="294" spans="4:5" s="2" customFormat="1">
      <c r="D294" s="3"/>
      <c r="E294" s="3"/>
    </row>
    <row r="295" spans="4:5" s="2" customFormat="1">
      <c r="D295" s="3"/>
      <c r="E295" s="3"/>
    </row>
    <row r="296" spans="4:5" s="2" customFormat="1">
      <c r="D296" s="3"/>
      <c r="E296" s="3"/>
    </row>
    <row r="297" spans="4:5" s="2" customFormat="1">
      <c r="D297" s="3"/>
      <c r="E297" s="3"/>
    </row>
    <row r="298" spans="4:5" s="2" customFormat="1">
      <c r="D298" s="3"/>
      <c r="E298" s="3"/>
    </row>
    <row r="299" spans="4:5" s="2" customFormat="1">
      <c r="D299" s="3"/>
      <c r="E299" s="3"/>
    </row>
    <row r="300" spans="4:5" s="2" customFormat="1">
      <c r="D300" s="3"/>
      <c r="E300" s="3"/>
    </row>
    <row r="301" spans="4:5" s="2" customFormat="1">
      <c r="D301" s="3"/>
      <c r="E301" s="3"/>
    </row>
    <row r="302" spans="4:5" s="2" customFormat="1">
      <c r="D302" s="3"/>
      <c r="E302" s="3"/>
    </row>
    <row r="303" spans="4:5" s="2" customFormat="1">
      <c r="D303" s="3"/>
      <c r="E303" s="3"/>
    </row>
    <row r="304" spans="4:5" s="2" customFormat="1">
      <c r="D304" s="3"/>
      <c r="E304" s="3"/>
    </row>
    <row r="305" spans="4:5" s="2" customFormat="1">
      <c r="D305" s="3"/>
      <c r="E305" s="3"/>
    </row>
    <row r="306" spans="4:5" s="2" customFormat="1">
      <c r="D306" s="3"/>
      <c r="E306" s="3"/>
    </row>
    <row r="307" spans="4:5" s="2" customFormat="1">
      <c r="D307" s="3"/>
      <c r="E307" s="3"/>
    </row>
    <row r="308" spans="4:5" s="2" customFormat="1">
      <c r="D308" s="3"/>
      <c r="E308" s="3"/>
    </row>
    <row r="309" spans="4:5" s="2" customFormat="1">
      <c r="D309" s="3"/>
      <c r="E309" s="3"/>
    </row>
    <row r="310" spans="4:5" s="2" customFormat="1">
      <c r="D310" s="3"/>
      <c r="E310" s="3"/>
    </row>
    <row r="311" spans="4:5" s="2" customFormat="1">
      <c r="D311" s="3"/>
      <c r="E311" s="3"/>
    </row>
    <row r="312" spans="4:5" s="2" customFormat="1">
      <c r="D312" s="3"/>
      <c r="E312" s="3"/>
    </row>
    <row r="313" spans="4:5" s="2" customFormat="1">
      <c r="D313" s="3"/>
      <c r="E313" s="3"/>
    </row>
    <row r="314" spans="4:5" s="2" customFormat="1">
      <c r="D314" s="3"/>
      <c r="E314" s="3"/>
    </row>
    <row r="315" spans="4:5" s="2" customFormat="1">
      <c r="D315" s="3"/>
      <c r="E315" s="3"/>
    </row>
    <row r="316" spans="4:5" s="2" customFormat="1">
      <c r="D316" s="3"/>
      <c r="E316" s="3"/>
    </row>
    <row r="317" spans="4:5" s="2" customFormat="1">
      <c r="D317" s="3"/>
      <c r="E317" s="3"/>
    </row>
    <row r="318" spans="4:5" s="2" customFormat="1">
      <c r="D318" s="3"/>
      <c r="E318" s="3"/>
    </row>
    <row r="319" spans="4:5" s="2" customFormat="1">
      <c r="D319" s="3"/>
      <c r="E319" s="3"/>
    </row>
    <row r="320" spans="4:5" s="2" customFormat="1">
      <c r="D320" s="3"/>
      <c r="E320" s="3"/>
    </row>
    <row r="321" spans="4:5" s="2" customFormat="1">
      <c r="D321" s="3"/>
      <c r="E321" s="3"/>
    </row>
    <row r="322" spans="4:5" s="2" customFormat="1">
      <c r="D322" s="3"/>
      <c r="E322" s="3"/>
    </row>
    <row r="323" spans="4:5" s="2" customFormat="1">
      <c r="D323" s="3"/>
      <c r="E323" s="3"/>
    </row>
    <row r="324" spans="4:5" s="2" customFormat="1">
      <c r="D324" s="3"/>
      <c r="E324" s="3"/>
    </row>
    <row r="325" spans="4:5" s="2" customFormat="1">
      <c r="D325" s="3"/>
      <c r="E325" s="3"/>
    </row>
    <row r="326" spans="4:5" s="2" customFormat="1">
      <c r="D326" s="3"/>
      <c r="E326" s="3"/>
    </row>
    <row r="327" spans="4:5" s="2" customFormat="1">
      <c r="D327" s="3"/>
      <c r="E327" s="3"/>
    </row>
    <row r="328" spans="4:5" s="2" customFormat="1">
      <c r="D328" s="3"/>
      <c r="E328" s="3"/>
    </row>
    <row r="329" spans="4:5" s="2" customFormat="1">
      <c r="D329" s="3"/>
      <c r="E329" s="3"/>
    </row>
    <row r="330" spans="4:5" s="2" customFormat="1">
      <c r="D330" s="3"/>
      <c r="E330" s="3"/>
    </row>
    <row r="331" spans="4:5" s="2" customFormat="1">
      <c r="D331" s="3"/>
      <c r="E331" s="3"/>
    </row>
    <row r="332" spans="4:5" s="2" customFormat="1">
      <c r="D332" s="3"/>
      <c r="E332" s="3"/>
    </row>
    <row r="333" spans="4:5" s="2" customFormat="1">
      <c r="D333" s="3"/>
      <c r="E333" s="3"/>
    </row>
    <row r="334" spans="4:5" s="2" customFormat="1">
      <c r="D334" s="3"/>
      <c r="E334" s="3"/>
    </row>
    <row r="335" spans="4:5" s="2" customFormat="1">
      <c r="D335" s="3"/>
      <c r="E335" s="3"/>
    </row>
    <row r="336" spans="4:5" s="2" customFormat="1">
      <c r="D336" s="3"/>
      <c r="E336" s="3"/>
    </row>
    <row r="337" spans="4:5" s="2" customFormat="1">
      <c r="D337" s="3"/>
      <c r="E337" s="3"/>
    </row>
    <row r="338" spans="4:5" s="2" customFormat="1">
      <c r="D338" s="3"/>
      <c r="E338" s="3"/>
    </row>
    <row r="339" spans="4:5" s="2" customFormat="1">
      <c r="D339" s="3"/>
      <c r="E339" s="3"/>
    </row>
    <row r="340" spans="4:5" s="2" customFormat="1">
      <c r="D340" s="3"/>
      <c r="E340" s="3"/>
    </row>
    <row r="341" spans="4:5" s="2" customFormat="1">
      <c r="D341" s="3"/>
      <c r="E341" s="3"/>
    </row>
    <row r="342" spans="4:5" s="2" customFormat="1">
      <c r="D342" s="3"/>
      <c r="E342" s="3"/>
    </row>
    <row r="343" spans="4:5" s="2" customFormat="1">
      <c r="D343" s="3"/>
      <c r="E343" s="3"/>
    </row>
    <row r="344" spans="4:5" s="2" customFormat="1">
      <c r="D344" s="3"/>
      <c r="E344" s="3"/>
    </row>
    <row r="345" spans="4:5" s="2" customFormat="1">
      <c r="D345" s="3"/>
      <c r="E345" s="3"/>
    </row>
    <row r="346" spans="4:5" s="2" customFormat="1">
      <c r="D346" s="3"/>
      <c r="E346" s="3"/>
    </row>
    <row r="347" spans="4:5" s="2" customFormat="1">
      <c r="D347" s="3"/>
      <c r="E347" s="3"/>
    </row>
    <row r="348" spans="4:5" s="2" customFormat="1">
      <c r="D348" s="3"/>
      <c r="E348" s="3"/>
    </row>
    <row r="349" spans="4:5" s="2" customFormat="1">
      <c r="D349" s="3"/>
      <c r="E349" s="3"/>
    </row>
    <row r="350" spans="4:5" s="2" customFormat="1">
      <c r="D350" s="3"/>
      <c r="E350" s="3"/>
    </row>
    <row r="351" spans="4:5" s="2" customFormat="1">
      <c r="D351" s="3"/>
      <c r="E351" s="3"/>
    </row>
    <row r="352" spans="4:5" s="2" customFormat="1">
      <c r="D352" s="3"/>
      <c r="E352" s="3"/>
    </row>
    <row r="353" spans="4:5" s="2" customFormat="1">
      <c r="D353" s="3"/>
      <c r="E353" s="3"/>
    </row>
    <row r="354" spans="4:5" s="2" customFormat="1">
      <c r="D354" s="3"/>
      <c r="E354" s="3"/>
    </row>
    <row r="355" spans="4:5" s="2" customFormat="1">
      <c r="D355" s="3"/>
      <c r="E355" s="3"/>
    </row>
    <row r="356" spans="4:5" s="2" customFormat="1">
      <c r="D356" s="3"/>
      <c r="E356" s="3"/>
    </row>
    <row r="357" spans="4:5" s="2" customFormat="1">
      <c r="D357" s="3"/>
      <c r="E357" s="3"/>
    </row>
    <row r="358" spans="4:5" s="2" customFormat="1">
      <c r="D358" s="3"/>
      <c r="E358" s="3"/>
    </row>
    <row r="359" spans="4:5" s="2" customFormat="1">
      <c r="D359" s="3"/>
      <c r="E359" s="3"/>
    </row>
    <row r="360" spans="4:5" s="2" customFormat="1">
      <c r="D360" s="3"/>
      <c r="E360" s="3"/>
    </row>
    <row r="361" spans="4:5" s="2" customFormat="1">
      <c r="D361" s="3"/>
      <c r="E361" s="3"/>
    </row>
    <row r="362" spans="4:5" s="2" customFormat="1">
      <c r="D362" s="3"/>
      <c r="E362" s="3"/>
    </row>
    <row r="363" spans="4:5" s="2" customFormat="1">
      <c r="D363" s="3"/>
      <c r="E363" s="3"/>
    </row>
    <row r="364" spans="4:5" s="2" customFormat="1">
      <c r="D364" s="3"/>
      <c r="E364" s="3"/>
    </row>
    <row r="365" spans="4:5" s="2" customFormat="1">
      <c r="D365" s="3"/>
      <c r="E365" s="3"/>
    </row>
    <row r="366" spans="4:5" s="2" customFormat="1">
      <c r="D366" s="3"/>
      <c r="E366" s="3"/>
    </row>
    <row r="367" spans="4:5" s="2" customFormat="1">
      <c r="D367" s="3"/>
      <c r="E367" s="3"/>
    </row>
    <row r="368" spans="4:5" s="2" customFormat="1">
      <c r="D368" s="3"/>
      <c r="E368" s="3"/>
    </row>
    <row r="369" spans="4:5" s="2" customFormat="1">
      <c r="D369" s="3"/>
      <c r="E369" s="3"/>
    </row>
    <row r="370" spans="4:5" s="2" customFormat="1">
      <c r="D370" s="3"/>
      <c r="E370" s="3"/>
    </row>
    <row r="371" spans="4:5" s="2" customFormat="1">
      <c r="D371" s="3"/>
      <c r="E371" s="3"/>
    </row>
    <row r="372" spans="4:5" s="2" customFormat="1">
      <c r="D372" s="3"/>
      <c r="E372" s="3"/>
    </row>
    <row r="373" spans="4:5" s="2" customFormat="1">
      <c r="D373" s="3"/>
      <c r="E373" s="3"/>
    </row>
    <row r="374" spans="4:5" s="2" customFormat="1">
      <c r="D374" s="3"/>
      <c r="E374" s="3"/>
    </row>
    <row r="375" spans="4:5" s="2" customFormat="1">
      <c r="D375" s="3"/>
      <c r="E375" s="3"/>
    </row>
    <row r="376" spans="4:5" s="2" customFormat="1">
      <c r="D376" s="3"/>
      <c r="E376" s="3"/>
    </row>
    <row r="377" spans="4:5" s="2" customFormat="1">
      <c r="D377" s="3"/>
      <c r="E377" s="3"/>
    </row>
    <row r="378" spans="4:5" s="2" customFormat="1">
      <c r="D378" s="3"/>
      <c r="E378" s="3"/>
    </row>
    <row r="379" spans="4:5" s="2" customFormat="1">
      <c r="D379" s="3"/>
      <c r="E379" s="3"/>
    </row>
    <row r="380" spans="4:5" s="2" customFormat="1">
      <c r="D380" s="3"/>
      <c r="E380" s="3"/>
    </row>
    <row r="381" spans="4:5" s="2" customFormat="1">
      <c r="D381" s="3"/>
      <c r="E381" s="3"/>
    </row>
    <row r="382" spans="4:5" s="2" customFormat="1">
      <c r="D382" s="3"/>
      <c r="E382" s="3"/>
    </row>
    <row r="383" spans="4:5" s="2" customFormat="1">
      <c r="D383" s="3"/>
      <c r="E383" s="3"/>
    </row>
    <row r="384" spans="4:5" s="2" customFormat="1">
      <c r="D384" s="3"/>
      <c r="E384" s="3"/>
    </row>
    <row r="385" spans="4:5" s="2" customFormat="1">
      <c r="D385" s="3"/>
      <c r="E385" s="3"/>
    </row>
    <row r="386" spans="4:5" s="2" customFormat="1">
      <c r="D386" s="3"/>
      <c r="E386" s="3"/>
    </row>
    <row r="387" spans="4:5" s="2" customFormat="1">
      <c r="D387" s="3"/>
      <c r="E387" s="3"/>
    </row>
    <row r="388" spans="4:5" s="2" customFormat="1">
      <c r="D388" s="3"/>
      <c r="E388" s="3"/>
    </row>
    <row r="389" spans="4:5" s="2" customFormat="1">
      <c r="D389" s="3"/>
      <c r="E389" s="3"/>
    </row>
    <row r="390" spans="4:5" s="2" customFormat="1">
      <c r="D390" s="3"/>
      <c r="E390" s="3"/>
    </row>
    <row r="391" spans="4:5" s="2" customFormat="1">
      <c r="D391" s="3"/>
      <c r="E391" s="3"/>
    </row>
    <row r="392" spans="4:5" s="2" customFormat="1">
      <c r="D392" s="3"/>
      <c r="E392" s="3"/>
    </row>
    <row r="393" spans="4:5" s="2" customFormat="1">
      <c r="D393" s="3"/>
      <c r="E393" s="3"/>
    </row>
    <row r="394" spans="4:5" s="2" customFormat="1">
      <c r="D394" s="3"/>
      <c r="E394" s="3"/>
    </row>
    <row r="395" spans="4:5" s="2" customFormat="1">
      <c r="D395" s="3"/>
      <c r="E395" s="3"/>
    </row>
    <row r="396" spans="4:5" s="2" customFormat="1">
      <c r="D396" s="3"/>
      <c r="E396" s="3"/>
    </row>
    <row r="397" spans="4:5" s="2" customFormat="1">
      <c r="D397" s="3"/>
      <c r="E397" s="3"/>
    </row>
    <row r="398" spans="4:5" s="2" customFormat="1">
      <c r="D398" s="3"/>
      <c r="E398" s="3"/>
    </row>
    <row r="399" spans="4:5" s="2" customFormat="1">
      <c r="D399" s="3"/>
      <c r="E399" s="3"/>
    </row>
    <row r="400" spans="4:5" s="2" customFormat="1">
      <c r="D400" s="3"/>
      <c r="E400" s="3"/>
    </row>
    <row r="401" spans="4:5" s="2" customFormat="1">
      <c r="D401" s="3"/>
      <c r="E401" s="3"/>
    </row>
    <row r="402" spans="4:5" s="2" customFormat="1">
      <c r="D402" s="3"/>
      <c r="E402" s="3"/>
    </row>
    <row r="403" spans="4:5" s="2" customFormat="1">
      <c r="D403" s="3"/>
      <c r="E403" s="3"/>
    </row>
    <row r="404" spans="4:5" s="2" customFormat="1">
      <c r="D404" s="3"/>
      <c r="E404" s="3"/>
    </row>
    <row r="405" spans="4:5" s="2" customFormat="1">
      <c r="D405" s="3"/>
      <c r="E405" s="3"/>
    </row>
    <row r="406" spans="4:5" s="2" customFormat="1">
      <c r="D406" s="3"/>
      <c r="E406" s="3"/>
    </row>
    <row r="407" spans="4:5" s="2" customFormat="1">
      <c r="D407" s="3"/>
      <c r="E407" s="3"/>
    </row>
    <row r="408" spans="4:5" s="2" customFormat="1">
      <c r="D408" s="3"/>
      <c r="E408" s="3"/>
    </row>
    <row r="409" spans="4:5" s="2" customFormat="1">
      <c r="D409" s="3"/>
      <c r="E409" s="3"/>
    </row>
    <row r="410" spans="4:5" s="2" customFormat="1">
      <c r="D410" s="3"/>
      <c r="E410" s="3"/>
    </row>
    <row r="411" spans="4:5" s="2" customFormat="1">
      <c r="D411" s="3"/>
      <c r="E411" s="3"/>
    </row>
    <row r="412" spans="4:5" s="2" customFormat="1">
      <c r="D412" s="3"/>
      <c r="E412" s="3"/>
    </row>
    <row r="413" spans="4:5" s="2" customFormat="1">
      <c r="D413" s="3"/>
      <c r="E413" s="3"/>
    </row>
    <row r="414" spans="4:5" s="2" customFormat="1">
      <c r="D414" s="3"/>
      <c r="E414" s="3"/>
    </row>
    <row r="415" spans="4:5" s="2" customFormat="1">
      <c r="D415" s="3"/>
      <c r="E415" s="3"/>
    </row>
    <row r="416" spans="4:5" s="2" customFormat="1">
      <c r="D416" s="3"/>
      <c r="E416" s="3"/>
    </row>
    <row r="417" spans="4:5" s="2" customFormat="1">
      <c r="D417" s="3"/>
      <c r="E417" s="3"/>
    </row>
    <row r="418" spans="4:5" s="2" customFormat="1">
      <c r="D418" s="3"/>
      <c r="E418" s="3"/>
    </row>
    <row r="419" spans="4:5" s="2" customFormat="1">
      <c r="D419" s="3"/>
      <c r="E419" s="3"/>
    </row>
    <row r="420" spans="4:5" s="2" customFormat="1">
      <c r="D420" s="3"/>
      <c r="E420" s="3"/>
    </row>
    <row r="421" spans="4:5" s="2" customFormat="1">
      <c r="D421" s="3"/>
      <c r="E421" s="3"/>
    </row>
    <row r="422" spans="4:5" s="2" customFormat="1">
      <c r="D422" s="3"/>
      <c r="E422" s="3"/>
    </row>
    <row r="423" spans="4:5" s="2" customFormat="1">
      <c r="D423" s="3"/>
      <c r="E423" s="3"/>
    </row>
    <row r="424" spans="4:5" s="2" customFormat="1">
      <c r="D424" s="3"/>
      <c r="E424" s="3"/>
    </row>
    <row r="425" spans="4:5" s="2" customFormat="1">
      <c r="D425" s="3"/>
      <c r="E425" s="3"/>
    </row>
    <row r="426" spans="4:5" s="2" customFormat="1">
      <c r="D426" s="3"/>
      <c r="E426" s="3"/>
    </row>
    <row r="427" spans="4:5" s="2" customFormat="1">
      <c r="D427" s="3"/>
      <c r="E427" s="3"/>
    </row>
    <row r="428" spans="4:5" s="2" customFormat="1">
      <c r="D428" s="3"/>
      <c r="E428" s="3"/>
    </row>
    <row r="429" spans="4:5" s="2" customFormat="1">
      <c r="D429" s="3"/>
      <c r="E429" s="3"/>
    </row>
    <row r="430" spans="4:5" s="2" customFormat="1">
      <c r="D430" s="3"/>
      <c r="E430" s="3"/>
    </row>
    <row r="431" spans="4:5" s="2" customFormat="1">
      <c r="D431" s="3"/>
      <c r="E431" s="3"/>
    </row>
    <row r="432" spans="4:5" s="2" customFormat="1">
      <c r="D432" s="3"/>
      <c r="E432" s="3"/>
    </row>
    <row r="433" spans="4:5" s="2" customFormat="1">
      <c r="D433" s="3"/>
      <c r="E433" s="3"/>
    </row>
    <row r="434" spans="4:5" s="2" customFormat="1">
      <c r="D434" s="3"/>
      <c r="E434" s="3"/>
    </row>
    <row r="435" spans="4:5" s="2" customFormat="1">
      <c r="D435" s="3"/>
      <c r="E435" s="3"/>
    </row>
    <row r="436" spans="4:5" s="2" customFormat="1">
      <c r="D436" s="3"/>
      <c r="E436" s="3"/>
    </row>
    <row r="437" spans="4:5" s="2" customFormat="1">
      <c r="D437" s="3"/>
      <c r="E437" s="3"/>
    </row>
    <row r="438" spans="4:5" s="2" customFormat="1">
      <c r="D438" s="3"/>
      <c r="E438" s="3"/>
    </row>
    <row r="439" spans="4:5" s="2" customFormat="1">
      <c r="D439" s="3"/>
      <c r="E439" s="3"/>
    </row>
    <row r="440" spans="4:5" s="2" customFormat="1">
      <c r="D440" s="3"/>
      <c r="E440" s="3"/>
    </row>
    <row r="441" spans="4:5" s="2" customFormat="1">
      <c r="D441" s="3"/>
      <c r="E441" s="3"/>
    </row>
    <row r="442" spans="4:5" s="2" customFormat="1">
      <c r="D442" s="3"/>
      <c r="E442" s="3"/>
    </row>
    <row r="443" spans="4:5" s="2" customFormat="1">
      <c r="D443" s="3"/>
      <c r="E443" s="3"/>
    </row>
    <row r="444" spans="4:5" s="2" customFormat="1">
      <c r="D444" s="3"/>
      <c r="E444" s="3"/>
    </row>
    <row r="445" spans="4:5" s="2" customFormat="1">
      <c r="D445" s="3"/>
      <c r="E445" s="3"/>
    </row>
    <row r="446" spans="4:5" s="2" customFormat="1">
      <c r="D446" s="3"/>
      <c r="E446" s="3"/>
    </row>
    <row r="447" spans="4:5" s="2" customFormat="1">
      <c r="D447" s="3"/>
      <c r="E447" s="3"/>
    </row>
    <row r="448" spans="4:5" s="2" customFormat="1">
      <c r="D448" s="3"/>
      <c r="E448" s="3"/>
    </row>
    <row r="449" spans="4:5" s="2" customFormat="1">
      <c r="D449" s="3"/>
      <c r="E449" s="3"/>
    </row>
    <row r="450" spans="4:5" s="2" customFormat="1">
      <c r="D450" s="3"/>
      <c r="E450" s="3"/>
    </row>
    <row r="451" spans="4:5" s="2" customFormat="1">
      <c r="D451" s="3"/>
      <c r="E451" s="3"/>
    </row>
    <row r="452" spans="4:5" s="2" customFormat="1">
      <c r="D452" s="3"/>
      <c r="E452" s="3"/>
    </row>
    <row r="453" spans="4:5" s="2" customFormat="1">
      <c r="D453" s="3"/>
      <c r="E453" s="3"/>
    </row>
    <row r="454" spans="4:5" s="2" customFormat="1">
      <c r="D454" s="3"/>
      <c r="E454" s="3"/>
    </row>
    <row r="455" spans="4:5" s="2" customFormat="1">
      <c r="D455" s="3"/>
      <c r="E455" s="3"/>
    </row>
    <row r="456" spans="4:5" s="2" customFormat="1">
      <c r="D456" s="3"/>
      <c r="E456" s="3"/>
    </row>
    <row r="457" spans="4:5" s="2" customFormat="1">
      <c r="D457" s="3"/>
      <c r="E457" s="3"/>
    </row>
    <row r="458" spans="4:5" s="2" customFormat="1">
      <c r="D458" s="3"/>
      <c r="E458" s="3"/>
    </row>
    <row r="459" spans="4:5" s="2" customFormat="1">
      <c r="D459" s="3"/>
      <c r="E459" s="3"/>
    </row>
    <row r="460" spans="4:5" s="2" customFormat="1">
      <c r="D460" s="3"/>
      <c r="E460" s="3"/>
    </row>
    <row r="461" spans="4:5" s="2" customFormat="1">
      <c r="D461" s="3"/>
      <c r="E461" s="3"/>
    </row>
    <row r="462" spans="4:5" s="2" customFormat="1">
      <c r="D462" s="3"/>
      <c r="E462" s="3"/>
    </row>
    <row r="463" spans="4:5" s="2" customFormat="1">
      <c r="D463" s="3"/>
      <c r="E463" s="3"/>
    </row>
    <row r="464" spans="4:5" s="2" customFormat="1">
      <c r="D464" s="3"/>
      <c r="E464" s="3"/>
    </row>
    <row r="465" spans="4:5" s="2" customFormat="1">
      <c r="D465" s="3"/>
      <c r="E465" s="3"/>
    </row>
    <row r="466" spans="4:5" s="2" customFormat="1">
      <c r="D466" s="3"/>
      <c r="E466" s="3"/>
    </row>
    <row r="467" spans="4:5" s="2" customFormat="1">
      <c r="D467" s="3"/>
      <c r="E467" s="3"/>
    </row>
    <row r="468" spans="4:5" s="2" customFormat="1">
      <c r="D468" s="3"/>
      <c r="E468" s="3"/>
    </row>
    <row r="469" spans="4:5" s="2" customFormat="1">
      <c r="D469" s="3"/>
      <c r="E469" s="3"/>
    </row>
    <row r="470" spans="4:5" s="2" customFormat="1">
      <c r="D470" s="3"/>
      <c r="E470" s="3"/>
    </row>
    <row r="471" spans="4:5" s="2" customFormat="1">
      <c r="D471" s="3"/>
      <c r="E471" s="3"/>
    </row>
    <row r="472" spans="4:5" s="2" customFormat="1">
      <c r="D472" s="3"/>
      <c r="E472" s="3"/>
    </row>
    <row r="473" spans="4:5" s="2" customFormat="1">
      <c r="D473" s="3"/>
      <c r="E473" s="3"/>
    </row>
    <row r="474" spans="4:5" s="2" customFormat="1">
      <c r="D474" s="3"/>
      <c r="E474" s="3"/>
    </row>
    <row r="475" spans="4:5" s="2" customFormat="1">
      <c r="D475" s="3"/>
      <c r="E475" s="3"/>
    </row>
    <row r="476" spans="4:5" s="2" customFormat="1">
      <c r="D476" s="3"/>
      <c r="E476" s="3"/>
    </row>
    <row r="477" spans="4:5" s="2" customFormat="1">
      <c r="D477" s="3"/>
      <c r="E477" s="3"/>
    </row>
    <row r="478" spans="4:5" s="2" customFormat="1">
      <c r="D478" s="3"/>
      <c r="E478" s="3"/>
    </row>
    <row r="479" spans="4:5" s="2" customFormat="1">
      <c r="D479" s="3"/>
      <c r="E479" s="3"/>
    </row>
    <row r="480" spans="4:5" s="2" customFormat="1">
      <c r="D480" s="3"/>
      <c r="E480" s="3"/>
    </row>
    <row r="481" spans="4:5" s="2" customFormat="1">
      <c r="D481" s="3"/>
      <c r="E481" s="3"/>
    </row>
    <row r="482" spans="4:5" s="2" customFormat="1">
      <c r="D482" s="3"/>
      <c r="E482" s="3"/>
    </row>
    <row r="483" spans="4:5" s="2" customFormat="1">
      <c r="D483" s="3"/>
      <c r="E483" s="3"/>
    </row>
    <row r="484" spans="4:5" s="2" customFormat="1">
      <c r="D484" s="3"/>
      <c r="E484" s="3"/>
    </row>
    <row r="485" spans="4:5" s="2" customFormat="1">
      <c r="D485" s="3"/>
      <c r="E485" s="3"/>
    </row>
    <row r="486" spans="4:5" s="2" customFormat="1">
      <c r="D486" s="3"/>
      <c r="E486" s="3"/>
    </row>
    <row r="487" spans="4:5" s="2" customFormat="1">
      <c r="D487" s="3"/>
      <c r="E487" s="3"/>
    </row>
    <row r="488" spans="4:5" s="2" customFormat="1">
      <c r="D488" s="3"/>
      <c r="E488" s="3"/>
    </row>
    <row r="489" spans="4:5" s="2" customFormat="1">
      <c r="D489" s="3"/>
      <c r="E489" s="3"/>
    </row>
    <row r="490" spans="4:5" s="2" customFormat="1">
      <c r="D490" s="3"/>
      <c r="E490" s="3"/>
    </row>
    <row r="491" spans="4:5" s="2" customFormat="1">
      <c r="D491" s="3"/>
      <c r="E491" s="3"/>
    </row>
    <row r="492" spans="4:5" s="2" customFormat="1">
      <c r="D492" s="3"/>
      <c r="E492" s="3"/>
    </row>
    <row r="493" spans="4:5" s="2" customFormat="1">
      <c r="D493" s="3"/>
      <c r="E493" s="3"/>
    </row>
    <row r="494" spans="4:5" s="2" customFormat="1">
      <c r="D494" s="3"/>
      <c r="E494" s="3"/>
    </row>
    <row r="495" spans="4:5" s="2" customFormat="1">
      <c r="D495" s="3"/>
      <c r="E495" s="3"/>
    </row>
    <row r="496" spans="4:5" s="2" customFormat="1">
      <c r="D496" s="3"/>
      <c r="E496" s="3"/>
    </row>
    <row r="497" spans="4:5" s="2" customFormat="1">
      <c r="D497" s="3"/>
      <c r="E497" s="3"/>
    </row>
    <row r="498" spans="4:5" s="2" customFormat="1">
      <c r="D498" s="3"/>
      <c r="E498" s="3"/>
    </row>
    <row r="499" spans="4:5" s="2" customFormat="1">
      <c r="D499" s="3"/>
      <c r="E499" s="3"/>
    </row>
    <row r="500" spans="4:5" s="2" customFormat="1">
      <c r="D500" s="3"/>
      <c r="E500" s="3"/>
    </row>
    <row r="501" spans="4:5" s="2" customFormat="1">
      <c r="D501" s="3"/>
      <c r="E501" s="3"/>
    </row>
    <row r="502" spans="4:5" s="2" customFormat="1">
      <c r="D502" s="3"/>
      <c r="E502" s="3"/>
    </row>
    <row r="503" spans="4:5" s="2" customFormat="1">
      <c r="D503" s="3"/>
      <c r="E503" s="3"/>
    </row>
    <row r="504" spans="4:5" s="2" customFormat="1">
      <c r="D504" s="3"/>
      <c r="E504" s="3"/>
    </row>
  </sheetData>
  <mergeCells count="2">
    <mergeCell ref="B2:D2"/>
    <mergeCell ref="B34:D34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Cx. Básica Ortopedia</vt:lpstr>
      <vt:lpstr>Caixa de Ombro</vt:lpstr>
      <vt:lpstr>Caixa de Pé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Danielle</cp:lastModifiedBy>
  <dcterms:created xsi:type="dcterms:W3CDTF">2025-04-03T14:36:50Z</dcterms:created>
  <dcterms:modified xsi:type="dcterms:W3CDTF">2025-05-14T18:31:27Z</dcterms:modified>
</cp:coreProperties>
</file>