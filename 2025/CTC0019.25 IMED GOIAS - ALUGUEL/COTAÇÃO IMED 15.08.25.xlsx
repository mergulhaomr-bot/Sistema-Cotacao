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eu Drive\COTAÇÕES clientes\2025\CTC0019.25 IMED GOIAS - ALUGUEL\"/>
    </mc:Choice>
  </mc:AlternateContent>
  <xr:revisionPtr revIDLastSave="0" documentId="13_ncr:1_{6DF78004-809C-4DDA-B149-CA9A54C5CB93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RESUMO" sheetId="2" r:id="rId1"/>
    <sheet name="Table 1" sheetId="1" r:id="rId2"/>
  </sheets>
  <definedNames>
    <definedName name="_xlnm._FilterDatabase" localSheetId="1" hidden="1">'Table 1'!$A$1:$F$346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2" i="2"/>
  <c r="D16" i="2" s="1"/>
  <c r="B16" i="2"/>
</calcChain>
</file>

<file path=xl/sharedStrings.xml><?xml version="1.0" encoding="utf-8"?>
<sst xmlns="http://schemas.openxmlformats.org/spreadsheetml/2006/main" count="688" uniqueCount="416">
  <si>
    <r>
      <rPr>
        <sz val="11.5"/>
        <rFont val="Arial"/>
        <family val="2"/>
      </rPr>
      <t>Pinça Kelly Reta</t>
    </r>
  </si>
  <si>
    <r>
      <rPr>
        <sz val="11.5"/>
        <rFont val="Arial"/>
        <family val="2"/>
      </rPr>
      <t>Porta Agulha Hegar</t>
    </r>
  </si>
  <si>
    <r>
      <rPr>
        <sz val="11.5"/>
        <rFont val="Arial"/>
        <family val="2"/>
      </rPr>
      <t>Pinça Kelly Curva</t>
    </r>
  </si>
  <si>
    <r>
      <rPr>
        <sz val="11.5"/>
        <rFont val="Arial"/>
        <family val="2"/>
      </rPr>
      <t>Tesoura Metzenbaum Reta</t>
    </r>
  </si>
  <si>
    <r>
      <rPr>
        <sz val="11.5"/>
        <rFont val="Arial"/>
        <family val="2"/>
      </rPr>
      <t>Pinça Anatômica</t>
    </r>
  </si>
  <si>
    <r>
      <rPr>
        <b/>
        <sz val="11.5"/>
        <rFont val="Arial"/>
        <family val="2"/>
      </rPr>
      <t>DESCRIÇÃO DE CADA CAIXA: 30 bandejas para suturas</t>
    </r>
  </si>
  <si>
    <r>
      <rPr>
        <sz val="11.5"/>
        <rFont val="Arial"/>
        <family val="2"/>
      </rPr>
      <t>Descrição Do Material</t>
    </r>
  </si>
  <si>
    <r>
      <rPr>
        <sz val="11.5"/>
        <rFont val="Arial"/>
        <family val="2"/>
      </rPr>
      <t>Qtde</t>
    </r>
  </si>
  <si>
    <r>
      <rPr>
        <sz val="11.5"/>
        <rFont val="Arial"/>
        <family val="2"/>
      </rPr>
      <t>Cuba de degermação</t>
    </r>
  </si>
  <si>
    <r>
      <rPr>
        <sz val="11.5"/>
        <rFont val="Arial"/>
        <family val="2"/>
      </rPr>
      <t>Pinça Dente de Rato</t>
    </r>
  </si>
  <si>
    <r>
      <rPr>
        <b/>
        <sz val="11.5"/>
        <rFont val="Arial"/>
        <family val="2"/>
      </rPr>
      <t>DESCRIÇÃO DE CADA CAIXA: 30 bandejas de pequenas cirurgias</t>
    </r>
  </si>
  <si>
    <r>
      <rPr>
        <sz val="11.5"/>
        <rFont val="Arial"/>
        <family val="2"/>
      </rPr>
      <t>Bandeja inox</t>
    </r>
  </si>
  <si>
    <r>
      <rPr>
        <sz val="11.5"/>
        <rFont val="Arial"/>
        <family val="2"/>
      </rPr>
      <t>Cuba de inox</t>
    </r>
  </si>
  <si>
    <r>
      <rPr>
        <sz val="11.5"/>
        <rFont val="Arial"/>
        <family val="2"/>
      </rPr>
      <t>Pinça de assepsia</t>
    </r>
  </si>
  <si>
    <r>
      <rPr>
        <b/>
        <sz val="11.5"/>
        <rFont val="Arial"/>
        <family val="2"/>
      </rPr>
      <t>DESCRIÇÃO DE CADA CAIXA: 16 de bucomaxilofacial</t>
    </r>
  </si>
  <si>
    <r>
      <rPr>
        <sz val="11.5"/>
        <rFont val="Arial"/>
        <family val="2"/>
      </rPr>
      <t>Descrição do Material</t>
    </r>
  </si>
  <si>
    <r>
      <rPr>
        <sz val="11.5"/>
        <rFont val="Arial"/>
        <family val="2"/>
      </rPr>
      <t>Adson baby com dente</t>
    </r>
  </si>
  <si>
    <r>
      <rPr>
        <sz val="11.5"/>
        <rFont val="Arial"/>
        <family val="2"/>
      </rPr>
      <t>Afastador Bauer</t>
    </r>
  </si>
  <si>
    <r>
      <rPr>
        <sz val="11.5"/>
        <rFont val="Arial"/>
        <family val="2"/>
      </rPr>
      <t>Afastador desmares</t>
    </r>
  </si>
  <si>
    <r>
      <rPr>
        <sz val="11.5"/>
        <rFont val="Arial"/>
        <family val="2"/>
      </rPr>
      <t>Afastador hargis</t>
    </r>
  </si>
  <si>
    <r>
      <rPr>
        <sz val="11.5"/>
        <rFont val="Arial"/>
        <family val="2"/>
      </rPr>
      <t>Afastador lavaisser</t>
    </r>
  </si>
  <si>
    <r>
      <rPr>
        <sz val="11.5"/>
        <rFont val="Arial"/>
        <family val="2"/>
      </rPr>
      <t>Afastador obwegeser para cima</t>
    </r>
  </si>
  <si>
    <r>
      <rPr>
        <sz val="11.5"/>
        <rFont val="Arial"/>
        <family val="2"/>
      </rPr>
      <t>Afastador obwegeser para mento</t>
    </r>
  </si>
  <si>
    <r>
      <rPr>
        <sz val="11.5"/>
        <rFont val="Arial"/>
        <family val="2"/>
      </rPr>
      <t>Afastador parabeuf</t>
    </r>
  </si>
  <si>
    <r>
      <rPr>
        <sz val="11.5"/>
        <rFont val="Arial"/>
        <family val="2"/>
      </rPr>
      <t>Afastador seen miller</t>
    </r>
  </si>
  <si>
    <r>
      <rPr>
        <sz val="11.5"/>
        <rFont val="Arial"/>
        <family val="2"/>
      </rPr>
      <t>Afastador weber coração</t>
    </r>
  </si>
  <si>
    <r>
      <rPr>
        <sz val="11.5"/>
        <rFont val="Arial"/>
        <family val="2"/>
      </rPr>
      <t>Agulha obwegeser</t>
    </r>
  </si>
  <si>
    <r>
      <rPr>
        <sz val="11.5"/>
        <rFont val="Arial"/>
        <family val="2"/>
      </rPr>
      <t>Cabo de bisturi 3</t>
    </r>
  </si>
  <si>
    <r>
      <rPr>
        <sz val="11.5"/>
        <rFont val="Arial"/>
        <family val="2"/>
      </rPr>
      <t>Cinzel lambote reta</t>
    </r>
  </si>
  <si>
    <r>
      <rPr>
        <sz val="11.5"/>
        <rFont val="Arial"/>
        <family val="2"/>
      </rPr>
      <t>Cinzel sverzut</t>
    </r>
  </si>
  <si>
    <r>
      <rPr>
        <sz val="11.5"/>
        <rFont val="Arial"/>
        <family val="2"/>
      </rPr>
      <t>Cinzel wagner com ponta oliva</t>
    </r>
  </si>
  <si>
    <r>
      <rPr>
        <sz val="11.5"/>
        <rFont val="Arial"/>
        <family val="2"/>
      </rPr>
      <t>Compasso castrovejo</t>
    </r>
  </si>
  <si>
    <r>
      <rPr>
        <sz val="11.5"/>
        <rFont val="Arial"/>
        <family val="2"/>
      </rPr>
      <t>Cureta lucas 86</t>
    </r>
  </si>
  <si>
    <r>
      <rPr>
        <sz val="11.5"/>
        <rFont val="Arial"/>
        <family val="2"/>
      </rPr>
      <t>Cureta maxilar</t>
    </r>
  </si>
  <si>
    <r>
      <rPr>
        <sz val="11.5"/>
        <rFont val="Arial"/>
        <family val="2"/>
      </rPr>
      <t>Depressor de lingua</t>
    </r>
  </si>
  <si>
    <r>
      <rPr>
        <sz val="11.5"/>
        <rFont val="Arial"/>
        <family val="2"/>
      </rPr>
      <t>Descolador molt 2-4</t>
    </r>
  </si>
  <si>
    <r>
      <rPr>
        <sz val="11.5"/>
        <rFont val="Arial"/>
        <family val="2"/>
      </rPr>
      <t>Descolador molt 9</t>
    </r>
  </si>
  <si>
    <r>
      <rPr>
        <sz val="11.5"/>
        <rFont val="Arial"/>
        <family val="2"/>
      </rPr>
      <t>Descolador sverzut</t>
    </r>
  </si>
  <si>
    <r>
      <rPr>
        <sz val="11.5"/>
        <rFont val="Arial"/>
        <family val="2"/>
      </rPr>
      <t>Elevador apical</t>
    </r>
  </si>
  <si>
    <r>
      <rPr>
        <sz val="11.5"/>
        <rFont val="Arial"/>
        <family val="2"/>
      </rPr>
      <t xml:space="preserve">Elevador seldin 1 </t>
    </r>
    <r>
      <rPr>
        <sz val="7"/>
        <rFont val="Arial"/>
        <family val="2"/>
      </rPr>
      <t>1</t>
    </r>
  </si>
  <si>
    <r>
      <rPr>
        <sz val="11.5"/>
        <rFont val="Arial"/>
        <family val="2"/>
      </rPr>
      <t>Elevador seldin 2</t>
    </r>
  </si>
  <si>
    <r>
      <rPr>
        <sz val="11.5"/>
        <rFont val="Arial"/>
        <family val="2"/>
      </rPr>
      <t>Espatula maleavel</t>
    </r>
  </si>
  <si>
    <r>
      <rPr>
        <sz val="11.5"/>
        <rFont val="Arial"/>
        <family val="2"/>
      </rPr>
      <t>Forceps 150</t>
    </r>
  </si>
  <si>
    <r>
      <rPr>
        <sz val="11.5"/>
        <rFont val="Arial"/>
        <family val="2"/>
      </rPr>
      <t>Forceps 151</t>
    </r>
  </si>
  <si>
    <r>
      <rPr>
        <sz val="11.5"/>
        <rFont val="Arial"/>
        <family val="2"/>
      </rPr>
      <t>Forceps 17</t>
    </r>
  </si>
  <si>
    <r>
      <rPr>
        <sz val="11.5"/>
        <rFont val="Arial"/>
        <family val="2"/>
      </rPr>
      <t xml:space="preserve">Forceps 18 </t>
    </r>
    <r>
      <rPr>
        <sz val="7"/>
        <rFont val="Arial"/>
        <family val="2"/>
      </rPr>
      <t>1</t>
    </r>
  </si>
  <si>
    <r>
      <rPr>
        <sz val="11.5"/>
        <rFont val="Arial"/>
        <family val="2"/>
      </rPr>
      <t>Forceps 18 r</t>
    </r>
  </si>
  <si>
    <r>
      <rPr>
        <sz val="11.5"/>
        <rFont val="Arial"/>
        <family val="2"/>
      </rPr>
      <t>Kelly curva</t>
    </r>
  </si>
  <si>
    <r>
      <rPr>
        <sz val="11.5"/>
        <rFont val="Arial"/>
        <family val="2"/>
      </rPr>
      <t>Kelly reta</t>
    </r>
  </si>
  <si>
    <r>
      <rPr>
        <sz val="11.5"/>
        <rFont val="Arial"/>
        <family val="2"/>
      </rPr>
      <t>Kocher curva</t>
    </r>
  </si>
  <si>
    <r>
      <rPr>
        <sz val="11.5"/>
        <rFont val="Arial"/>
        <family val="2"/>
      </rPr>
      <t>Lima para osso</t>
    </r>
  </si>
  <si>
    <r>
      <rPr>
        <sz val="11.5"/>
        <rFont val="Arial"/>
        <family val="2"/>
      </rPr>
      <t>Martelo mead</t>
    </r>
  </si>
  <si>
    <r>
      <rPr>
        <sz val="11.5"/>
        <rFont val="Arial"/>
        <family val="2"/>
      </rPr>
      <t>Mosquito curva</t>
    </r>
  </si>
  <si>
    <r>
      <rPr>
        <sz val="11.5"/>
        <rFont val="Arial"/>
        <family val="2"/>
      </rPr>
      <t>Mosquito reta</t>
    </r>
  </si>
  <si>
    <r>
      <rPr>
        <sz val="11.5"/>
        <rFont val="Arial"/>
        <family val="2"/>
      </rPr>
      <t>Pinça allis reta</t>
    </r>
  </si>
  <si>
    <r>
      <rPr>
        <sz val="11.5"/>
        <rFont val="Arial"/>
        <family val="2"/>
      </rPr>
      <t>Pinça anatomica</t>
    </r>
  </si>
  <si>
    <r>
      <rPr>
        <sz val="11.5"/>
        <rFont val="Arial"/>
        <family val="2"/>
      </rPr>
      <t>Pinça dente de rato</t>
    </r>
  </si>
  <si>
    <r>
      <rPr>
        <sz val="11.5"/>
        <rFont val="Arial"/>
        <family val="2"/>
      </rPr>
      <t>Porta agulha  16 cm</t>
    </r>
  </si>
  <si>
    <r>
      <rPr>
        <sz val="11.5"/>
        <rFont val="Arial"/>
        <family val="2"/>
      </rPr>
      <t>Porta agulha 14 cm</t>
    </r>
  </si>
  <si>
    <r>
      <rPr>
        <sz val="11.5"/>
        <rFont val="Arial"/>
        <family val="2"/>
      </rPr>
      <t>Porta agulha 18 cm com widia</t>
    </r>
  </si>
  <si>
    <r>
      <rPr>
        <sz val="11.5"/>
        <rFont val="Arial"/>
        <family val="2"/>
      </rPr>
      <t>Porta agulha 20 cm</t>
    </r>
  </si>
  <si>
    <r>
      <rPr>
        <sz val="11.5"/>
        <rFont val="Arial"/>
        <family val="2"/>
      </rPr>
      <t>Porta aguilha 18cm</t>
    </r>
  </si>
  <si>
    <r>
      <rPr>
        <sz val="11.5"/>
        <rFont val="Arial"/>
        <family val="2"/>
      </rPr>
      <t>Rowe direita</t>
    </r>
  </si>
  <si>
    <r>
      <rPr>
        <sz val="11.5"/>
        <rFont val="Arial"/>
        <family val="2"/>
      </rPr>
      <t>Rowe esquerda</t>
    </r>
  </si>
  <si>
    <r>
      <rPr>
        <sz val="11.5"/>
        <rFont val="Arial"/>
        <family val="2"/>
      </rPr>
      <t>Separador de cavidade smith</t>
    </r>
  </si>
  <si>
    <r>
      <rPr>
        <sz val="11.5"/>
        <rFont val="Arial"/>
        <family val="2"/>
      </rPr>
      <t>Separador sagital</t>
    </r>
  </si>
  <si>
    <r>
      <rPr>
        <sz val="11.5"/>
        <rFont val="Arial"/>
        <family val="2"/>
      </rPr>
      <t>Tesoura duteis para fio de aço</t>
    </r>
  </si>
  <si>
    <r>
      <rPr>
        <sz val="11.5"/>
        <rFont val="Arial"/>
        <family val="2"/>
      </rPr>
      <t>Tesoura metzenbaum curva com widia</t>
    </r>
  </si>
  <si>
    <r>
      <rPr>
        <sz val="11.5"/>
        <rFont val="Arial"/>
        <family val="2"/>
      </rPr>
      <t>Tesoura metzenbaum fina</t>
    </r>
  </si>
  <si>
    <r>
      <rPr>
        <sz val="11.5"/>
        <rFont val="Arial"/>
        <family val="2"/>
      </rPr>
      <t>Tesoura metzenbaum reta</t>
    </r>
  </si>
  <si>
    <r>
      <rPr>
        <sz val="11.5"/>
        <rFont val="Arial"/>
        <family val="2"/>
      </rPr>
      <t>Estojo perfurado e com tampa</t>
    </r>
  </si>
  <si>
    <r>
      <rPr>
        <sz val="11.5"/>
        <rFont val="Arial"/>
        <family val="2"/>
      </rPr>
      <t>Afastador Labial</t>
    </r>
  </si>
  <si>
    <r>
      <rPr>
        <sz val="11.5"/>
        <rFont val="Arial"/>
        <family val="2"/>
      </rPr>
      <t>Afastador De Minessota</t>
    </r>
  </si>
  <si>
    <r>
      <rPr>
        <sz val="11.5"/>
        <rFont val="Arial"/>
        <family val="2"/>
      </rPr>
      <t>Afastador Langbeck</t>
    </r>
  </si>
  <si>
    <r>
      <rPr>
        <sz val="11.5"/>
        <rFont val="Arial"/>
        <family val="2"/>
      </rPr>
      <t>Afastador Langbeck Reverso</t>
    </r>
  </si>
  <si>
    <r>
      <rPr>
        <sz val="11.5"/>
        <rFont val="Arial"/>
        <family val="2"/>
      </rPr>
      <t>Colher De Sopa</t>
    </r>
  </si>
  <si>
    <r>
      <rPr>
        <sz val="11.5"/>
        <rFont val="Arial"/>
        <family val="2"/>
      </rPr>
      <t>Colher De Sobremesa</t>
    </r>
  </si>
  <si>
    <r>
      <rPr>
        <sz val="11.5"/>
        <rFont val="Arial"/>
        <family val="2"/>
      </rPr>
      <t>Gancho De Pele</t>
    </r>
  </si>
  <si>
    <r>
      <rPr>
        <sz val="11.5"/>
        <rFont val="Arial"/>
        <family val="2"/>
      </rPr>
      <t>Estojo perfurado com tampa</t>
    </r>
  </si>
  <si>
    <r>
      <rPr>
        <sz val="11.5"/>
        <rFont val="Arial"/>
        <family val="2"/>
      </rPr>
      <t>Cuba Redonda</t>
    </r>
  </si>
  <si>
    <r>
      <rPr>
        <sz val="11.5"/>
        <rFont val="Arial"/>
        <family val="2"/>
      </rPr>
      <t>Pinça backhauss</t>
    </r>
  </si>
  <si>
    <r>
      <rPr>
        <sz val="11.5"/>
        <rFont val="Arial"/>
        <family val="2"/>
      </rPr>
      <t>Pinça kelly reta</t>
    </r>
  </si>
  <si>
    <r>
      <rPr>
        <sz val="11.5"/>
        <rFont val="Arial"/>
        <family val="2"/>
      </rPr>
      <t>Pinça kelly curva</t>
    </r>
  </si>
  <si>
    <r>
      <rPr>
        <sz val="11.5"/>
        <rFont val="Arial"/>
        <family val="2"/>
      </rPr>
      <t>Pinça cheron</t>
    </r>
  </si>
  <si>
    <r>
      <rPr>
        <sz val="11.5"/>
        <rFont val="Arial"/>
        <family val="2"/>
      </rPr>
      <t>Cabo de bisturi nº 4</t>
    </r>
  </si>
  <si>
    <r>
      <rPr>
        <sz val="11.5"/>
        <rFont val="Arial"/>
        <family val="2"/>
      </rPr>
      <t>Cureta nº2</t>
    </r>
  </si>
  <si>
    <r>
      <rPr>
        <sz val="11.5"/>
        <rFont val="Arial"/>
        <family val="2"/>
      </rPr>
      <t>Cureta nº3</t>
    </r>
  </si>
  <si>
    <r>
      <rPr>
        <sz val="11.5"/>
        <rFont val="Arial"/>
        <family val="2"/>
      </rPr>
      <t>Cureta nº4</t>
    </r>
  </si>
  <si>
    <r>
      <rPr>
        <sz val="11.5"/>
        <rFont val="Arial"/>
        <family val="2"/>
      </rPr>
      <t>Cureta nº5</t>
    </r>
  </si>
  <si>
    <r>
      <rPr>
        <sz val="11.5"/>
        <rFont val="Arial"/>
        <family val="2"/>
      </rPr>
      <t>Velas hegar nº02</t>
    </r>
  </si>
  <si>
    <r>
      <rPr>
        <sz val="11.5"/>
        <rFont val="Arial"/>
        <family val="2"/>
      </rPr>
      <t>Velas hegar nº04</t>
    </r>
  </si>
  <si>
    <r>
      <rPr>
        <sz val="11.5"/>
        <rFont val="Arial"/>
        <family val="2"/>
      </rPr>
      <t>Velas hegar nº06</t>
    </r>
  </si>
  <si>
    <r>
      <rPr>
        <sz val="11.5"/>
        <rFont val="Arial"/>
        <family val="2"/>
      </rPr>
      <t>Velas hegar nº07</t>
    </r>
  </si>
  <si>
    <r>
      <rPr>
        <sz val="11.5"/>
        <rFont val="Arial"/>
        <family val="2"/>
      </rPr>
      <t>Velas hegar nº08</t>
    </r>
  </si>
  <si>
    <r>
      <rPr>
        <sz val="11.5"/>
        <rFont val="Arial"/>
        <family val="2"/>
      </rPr>
      <t>Velas hegar nº09</t>
    </r>
  </si>
  <si>
    <r>
      <rPr>
        <sz val="11.5"/>
        <rFont val="Arial"/>
        <family val="2"/>
      </rPr>
      <t>Velas hegar nº10</t>
    </r>
  </si>
  <si>
    <r>
      <rPr>
        <sz val="11.5"/>
        <rFont val="Arial"/>
        <family val="2"/>
      </rPr>
      <t>Pinça Pozzi</t>
    </r>
  </si>
  <si>
    <r>
      <rPr>
        <sz val="11.5"/>
        <rFont val="Arial"/>
        <family val="2"/>
      </rPr>
      <t>Histerometro</t>
    </r>
  </si>
  <si>
    <r>
      <rPr>
        <sz val="11.5"/>
        <rFont val="Arial"/>
        <family val="2"/>
      </rPr>
      <t>Especulo nº2</t>
    </r>
  </si>
  <si>
    <r>
      <rPr>
        <sz val="11.5"/>
        <rFont val="Arial"/>
        <family val="2"/>
      </rPr>
      <t>Especulo nº3</t>
    </r>
  </si>
  <si>
    <r>
      <rPr>
        <sz val="11.5"/>
        <rFont val="Arial"/>
        <family val="2"/>
      </rPr>
      <t>Pinça winter reta</t>
    </r>
  </si>
  <si>
    <r>
      <rPr>
        <b/>
        <sz val="11.5"/>
        <rFont val="Arial"/>
        <family val="2"/>
      </rPr>
      <t>DESCRIÇÃO DE CADA CAIXA: 1O caixas para cirurgias geral</t>
    </r>
  </si>
  <si>
    <r>
      <rPr>
        <sz val="11.5"/>
        <rFont val="Arial"/>
        <family val="2"/>
      </rPr>
      <t>Estojo Perfurado Com Tampa</t>
    </r>
  </si>
  <si>
    <r>
      <rPr>
        <sz val="11.5"/>
        <rFont val="Arial"/>
        <family val="2"/>
      </rPr>
      <t>Pinça backauss</t>
    </r>
  </si>
  <si>
    <r>
      <rPr>
        <sz val="11.5"/>
        <rFont val="Arial"/>
        <family val="2"/>
      </rPr>
      <t>Afastador Farabeuf lnfatil (Par)</t>
    </r>
  </si>
  <si>
    <r>
      <rPr>
        <sz val="11.5"/>
        <rFont val="Arial"/>
        <family val="2"/>
      </rPr>
      <t>Afastador Farabeuf Extra (Par)</t>
    </r>
  </si>
  <si>
    <r>
      <rPr>
        <sz val="11.5"/>
        <rFont val="Arial"/>
        <family val="2"/>
      </rPr>
      <t>Afastador Volkman Com 4 Garras</t>
    </r>
  </si>
  <si>
    <r>
      <rPr>
        <sz val="11.5"/>
        <rFont val="Arial"/>
        <family val="2"/>
      </rPr>
      <t>Afastador Senn Muller</t>
    </r>
  </si>
  <si>
    <r>
      <rPr>
        <sz val="11.5"/>
        <rFont val="Arial"/>
        <family val="2"/>
      </rPr>
      <t>Clips Mayo</t>
    </r>
  </si>
  <si>
    <r>
      <rPr>
        <sz val="11.5"/>
        <rFont val="Arial"/>
        <family val="2"/>
      </rPr>
      <t>Cabo De Bisturi 3</t>
    </r>
  </si>
  <si>
    <r>
      <rPr>
        <sz val="11.5"/>
        <rFont val="Arial"/>
        <family val="2"/>
      </rPr>
      <t>Cabo De Bisturi 4</t>
    </r>
  </si>
  <si>
    <r>
      <rPr>
        <sz val="11.5"/>
        <rFont val="Arial"/>
        <family val="2"/>
      </rPr>
      <t>Pinça Cheron</t>
    </r>
  </si>
  <si>
    <r>
      <rPr>
        <sz val="11.5"/>
        <rFont val="Arial"/>
        <family val="2"/>
      </rPr>
      <t>Pinça Anatomica Dente De Rato</t>
    </r>
  </si>
  <si>
    <r>
      <rPr>
        <sz val="11.5"/>
        <rFont val="Arial"/>
        <family val="2"/>
      </rPr>
      <t>Pinça Anatomica Dissecção Com Serrila</t>
    </r>
  </si>
  <si>
    <r>
      <rPr>
        <sz val="11.5"/>
        <rFont val="Arial"/>
        <family val="2"/>
      </rPr>
      <t>Pinça Halstead Mosquito Curva</t>
    </r>
  </si>
  <si>
    <r>
      <rPr>
        <sz val="11.5"/>
        <rFont val="Arial"/>
        <family val="2"/>
      </rPr>
      <t>Pinça Mixter</t>
    </r>
  </si>
  <si>
    <r>
      <rPr>
        <sz val="11.5"/>
        <rFont val="Arial"/>
        <family val="2"/>
      </rPr>
      <t>Porta Agulha Mayo Com Widia</t>
    </r>
  </si>
  <si>
    <r>
      <rPr>
        <sz val="11.5"/>
        <rFont val="Arial"/>
        <family val="2"/>
      </rPr>
      <t>Porta Agulha Mayo Sem Widia</t>
    </r>
  </si>
  <si>
    <r>
      <rPr>
        <sz val="11.5"/>
        <rFont val="Arial"/>
        <family val="2"/>
      </rPr>
      <t>Tesoura lris Curva</t>
    </r>
  </si>
  <si>
    <r>
      <rPr>
        <sz val="11.5"/>
        <rFont val="Arial"/>
        <family val="2"/>
      </rPr>
      <t>Tesoura Mayo Stille Reta</t>
    </r>
  </si>
  <si>
    <r>
      <rPr>
        <sz val="11.5"/>
        <rFont val="Arial"/>
        <family val="2"/>
      </rPr>
      <t>Tesoura Metzembaum  Curva</t>
    </r>
  </si>
  <si>
    <r>
      <rPr>
        <sz val="11.5"/>
        <rFont val="Arial"/>
        <family val="2"/>
      </rPr>
      <t>Tesoura Metzembaum Reta Delicada</t>
    </r>
  </si>
  <si>
    <r>
      <rPr>
        <sz val="11.5"/>
        <rFont val="Arial"/>
        <family val="2"/>
      </rPr>
      <t>Pinça Arterial hemostática</t>
    </r>
  </si>
  <si>
    <r>
      <rPr>
        <sz val="11.5"/>
        <rFont val="Arial"/>
        <family val="2"/>
      </rPr>
      <t>Afastador Doyen curto</t>
    </r>
  </si>
  <si>
    <r>
      <rPr>
        <sz val="11.5"/>
        <rFont val="Arial"/>
        <family val="2"/>
      </rPr>
      <t>Afastador Doyen Longo</t>
    </r>
  </si>
  <si>
    <r>
      <rPr>
        <sz val="11.5"/>
        <rFont val="Arial"/>
        <family val="2"/>
      </rPr>
      <t>Pinça Rochester Curva 26cm</t>
    </r>
  </si>
  <si>
    <r>
      <rPr>
        <sz val="11.5"/>
        <rFont val="Arial"/>
        <family val="2"/>
      </rPr>
      <t>Pinça Rochester Reta 24cm</t>
    </r>
  </si>
  <si>
    <r>
      <rPr>
        <sz val="11.5"/>
        <rFont val="Arial"/>
        <family val="2"/>
      </rPr>
      <t>Afastador Balfour</t>
    </r>
  </si>
  <si>
    <r>
      <rPr>
        <sz val="11.5"/>
        <rFont val="Arial"/>
        <family val="2"/>
      </rPr>
      <t>Clamp intestinal</t>
    </r>
  </si>
  <si>
    <r>
      <rPr>
        <b/>
        <sz val="11.5"/>
        <rFont val="Arial"/>
        <family val="2"/>
      </rPr>
      <t>DESCRIÇÃO DE CADA CAIXA: 1O caixas ginecológica geral</t>
    </r>
  </si>
  <si>
    <r>
      <rPr>
        <sz val="11.5"/>
        <rFont val="Arial"/>
        <family val="2"/>
      </rPr>
      <t>Afastador de Farabeuf G</t>
    </r>
  </si>
  <si>
    <r>
      <rPr>
        <sz val="11.5"/>
        <rFont val="Arial"/>
        <family val="2"/>
      </rPr>
      <t>Afastador de Farabeuf P</t>
    </r>
  </si>
  <si>
    <r>
      <rPr>
        <sz val="11.5"/>
        <rFont val="Arial"/>
        <family val="2"/>
      </rPr>
      <t>Cabo de Bisturi nº 04</t>
    </r>
  </si>
  <si>
    <r>
      <rPr>
        <sz val="11.5"/>
        <rFont val="Arial"/>
        <family val="2"/>
      </rPr>
      <t>Cuba redonda</t>
    </r>
  </si>
  <si>
    <r>
      <rPr>
        <sz val="11.5"/>
        <rFont val="Arial"/>
        <family val="2"/>
      </rPr>
      <t>Pinça Allis</t>
    </r>
  </si>
  <si>
    <r>
      <rPr>
        <sz val="11.5"/>
        <rFont val="Arial"/>
        <family val="2"/>
      </rPr>
      <t>Pinça Pata De Gato</t>
    </r>
  </si>
  <si>
    <r>
      <rPr>
        <sz val="11.5"/>
        <rFont val="Arial"/>
        <family val="2"/>
      </rPr>
      <t>Pinça p/Assepsia</t>
    </r>
  </si>
  <si>
    <r>
      <rPr>
        <sz val="11.5"/>
        <rFont val="Arial"/>
        <family val="2"/>
      </rPr>
      <t>Pinça Duval</t>
    </r>
  </si>
  <si>
    <r>
      <rPr>
        <sz val="11.5"/>
        <rFont val="Arial"/>
        <family val="2"/>
      </rPr>
      <t>Pinça Backhaus</t>
    </r>
  </si>
  <si>
    <r>
      <rPr>
        <sz val="11.5"/>
        <rFont val="Arial"/>
        <family val="2"/>
      </rPr>
      <t>Pinça Crile Reta</t>
    </r>
  </si>
  <si>
    <r>
      <rPr>
        <sz val="11.5"/>
        <rFont val="Arial"/>
        <family val="2"/>
      </rPr>
      <t>Pinça Crile Curva</t>
    </r>
  </si>
  <si>
    <r>
      <rPr>
        <sz val="11.5"/>
        <rFont val="Arial"/>
        <family val="2"/>
      </rPr>
      <t>Histerômetro</t>
    </r>
  </si>
  <si>
    <r>
      <rPr>
        <sz val="11.5"/>
        <rFont val="Arial"/>
        <family val="2"/>
      </rPr>
      <t>Pinça Faure</t>
    </r>
  </si>
  <si>
    <r>
      <rPr>
        <sz val="11.5"/>
        <rFont val="Arial"/>
        <family val="2"/>
      </rPr>
      <t>Pinça Collin</t>
    </r>
  </si>
  <si>
    <r>
      <rPr>
        <sz val="11.5"/>
        <rFont val="Arial"/>
        <family val="2"/>
      </rPr>
      <t>Tesoura Metzenbaum Curva</t>
    </r>
  </si>
  <si>
    <r>
      <rPr>
        <sz val="11.5"/>
        <rFont val="Arial"/>
        <family val="2"/>
      </rPr>
      <t>Saca fibroma</t>
    </r>
  </si>
  <si>
    <r>
      <rPr>
        <sz val="11.5"/>
        <rFont val="Arial"/>
        <family val="2"/>
      </rPr>
      <t>Pinça Dartigues</t>
    </r>
  </si>
  <si>
    <r>
      <rPr>
        <sz val="11.5"/>
        <rFont val="Arial"/>
        <family val="2"/>
      </rPr>
      <t>Pinça mouseux</t>
    </r>
  </si>
  <si>
    <r>
      <rPr>
        <b/>
        <sz val="11.5"/>
        <rFont val="Arial"/>
        <family val="2"/>
      </rPr>
      <t>DESCRIÇÃO DE CADA CAIXA: 25 bandejas de raqui anestesia</t>
    </r>
  </si>
  <si>
    <r>
      <rPr>
        <sz val="11.5"/>
        <rFont val="Arial"/>
        <family val="2"/>
      </rPr>
      <t>Bandeja de inox</t>
    </r>
  </si>
  <si>
    <r>
      <rPr>
        <sz val="11.5"/>
        <rFont val="Arial"/>
        <family val="2"/>
      </rPr>
      <t>Cuba</t>
    </r>
  </si>
  <si>
    <r>
      <rPr>
        <b/>
        <sz val="11.5"/>
        <rFont val="Arial"/>
        <family val="2"/>
      </rPr>
      <t>DESCRIÇÃO DE CADA CAIXA: 12 caixas de ortopedia geral</t>
    </r>
  </si>
  <si>
    <r>
      <rPr>
        <sz val="11.5"/>
        <rFont val="Arial"/>
        <family val="2"/>
      </rPr>
      <t>Cuba de assepsia</t>
    </r>
  </si>
  <si>
    <r>
      <rPr>
        <sz val="11.5"/>
        <rFont val="Arial"/>
        <family val="2"/>
      </rPr>
      <t>Afastador de Farabeuf</t>
    </r>
  </si>
  <si>
    <r>
      <rPr>
        <sz val="11.5"/>
        <rFont val="Arial"/>
        <family val="2"/>
      </rPr>
      <t>Cabo de Bisturi nº 03</t>
    </r>
  </si>
  <si>
    <r>
      <rPr>
        <sz val="11.5"/>
        <color rgb="FF010101"/>
        <rFont val="Arial"/>
        <family val="2"/>
      </rPr>
      <t>Cabo de Bisturi nº 04</t>
    </r>
  </si>
  <si>
    <r>
      <rPr>
        <sz val="11.5"/>
        <color rgb="FF010101"/>
        <rFont val="Arial"/>
        <family val="2"/>
      </rPr>
      <t>Pinça Cheron</t>
    </r>
  </si>
  <si>
    <r>
      <rPr>
        <sz val="11.5"/>
        <color rgb="FF010101"/>
        <rFont val="Arial"/>
        <family val="2"/>
      </rPr>
      <t>Pinça Allis</t>
    </r>
  </si>
  <si>
    <r>
      <rPr>
        <sz val="11.5"/>
        <color rgb="FF010101"/>
        <rFont val="Arial"/>
        <family val="2"/>
      </rPr>
      <t>Pinça Anatômica</t>
    </r>
  </si>
  <si>
    <r>
      <rPr>
        <sz val="11.5"/>
        <color rgb="FF010101"/>
        <rFont val="Arial"/>
        <family val="2"/>
      </rPr>
      <t>Pinça Dente de Rato</t>
    </r>
  </si>
  <si>
    <r>
      <rPr>
        <sz val="11.5"/>
        <color rgb="FF010101"/>
        <rFont val="Arial"/>
        <family val="2"/>
      </rPr>
      <t>Pinça Rochester</t>
    </r>
  </si>
  <si>
    <r>
      <rPr>
        <sz val="11.5"/>
        <color rgb="FF010101"/>
        <rFont val="Arial"/>
        <family val="2"/>
      </rPr>
      <t>Pinça Backhaus</t>
    </r>
  </si>
  <si>
    <r>
      <rPr>
        <sz val="11.5"/>
        <color rgb="FF010101"/>
        <rFont val="Arial"/>
        <family val="2"/>
      </rPr>
      <t>Pinça Kelly Curva</t>
    </r>
  </si>
  <si>
    <r>
      <rPr>
        <sz val="11.5"/>
        <color rgb="FF010101"/>
        <rFont val="Arial"/>
        <family val="2"/>
      </rPr>
      <t>Pinça Kelly Reta</t>
    </r>
  </si>
  <si>
    <r>
      <rPr>
        <sz val="11.5"/>
        <color rgb="FF010101"/>
        <rFont val="Arial"/>
        <family val="2"/>
      </rPr>
      <t>Pinça mosquito curva</t>
    </r>
  </si>
  <si>
    <r>
      <rPr>
        <sz val="11.5"/>
        <color rgb="FF010101"/>
        <rFont val="Arial"/>
        <family val="2"/>
      </rPr>
      <t>Pinça Kocher</t>
    </r>
  </si>
  <si>
    <r>
      <rPr>
        <sz val="11.5"/>
        <color rgb="FF010101"/>
        <rFont val="Arial"/>
        <family val="2"/>
      </rPr>
      <t>Clip de mayo</t>
    </r>
  </si>
  <si>
    <r>
      <rPr>
        <sz val="11.5"/>
        <color rgb="FF010101"/>
        <rFont val="Arial"/>
        <family val="2"/>
      </rPr>
      <t>Rugina Lambotte</t>
    </r>
  </si>
  <si>
    <r>
      <rPr>
        <sz val="11.5"/>
        <color rgb="FF010101"/>
        <rFont val="Arial"/>
        <family val="2"/>
      </rPr>
      <t>Porta Agulha com wídea</t>
    </r>
  </si>
  <si>
    <r>
      <rPr>
        <sz val="11.5"/>
        <color rgb="FF010101"/>
        <rFont val="Arial"/>
        <family val="2"/>
      </rPr>
      <t>Tesoura Metzenbaum Reta</t>
    </r>
  </si>
  <si>
    <r>
      <rPr>
        <sz val="11.5"/>
        <color rgb="FF010101"/>
        <rFont val="Arial"/>
        <family val="2"/>
      </rPr>
      <t>Tesoura Metzenbaum Curva</t>
    </r>
  </si>
  <si>
    <r>
      <rPr>
        <b/>
        <sz val="11.5"/>
        <color rgb="FF010101"/>
        <rFont val="Arial"/>
        <family val="2"/>
      </rPr>
      <t>DESCRIÇÃO DE CADA CAIXA: 11 caixas para cirurgias de varizes</t>
    </r>
  </si>
  <si>
    <r>
      <rPr>
        <sz val="11.5"/>
        <color rgb="FF010101"/>
        <rFont val="Arial"/>
        <family val="2"/>
      </rPr>
      <t>Afastador Farabeuf lnfatil (Par)</t>
    </r>
  </si>
  <si>
    <r>
      <rPr>
        <sz val="11.5"/>
        <color rgb="FF010101"/>
        <rFont val="Arial"/>
        <family val="2"/>
      </rPr>
      <t>Afastador Farabeuf Extra (Par)</t>
    </r>
  </si>
  <si>
    <r>
      <rPr>
        <sz val="11.5"/>
        <color rgb="FF010101"/>
        <rFont val="Arial"/>
        <family val="2"/>
      </rPr>
      <t>Afastador Volkman Com 4 Garras</t>
    </r>
  </si>
  <si>
    <r>
      <rPr>
        <sz val="11.5"/>
        <color rgb="FF010101"/>
        <rFont val="Arial"/>
        <family val="2"/>
      </rPr>
      <t>Clips Mayo</t>
    </r>
  </si>
  <si>
    <r>
      <rPr>
        <sz val="11.5"/>
        <color rgb="FF010101"/>
        <rFont val="Arial"/>
        <family val="2"/>
      </rPr>
      <t>Cabo De Bisturi 3</t>
    </r>
  </si>
  <si>
    <r>
      <rPr>
        <sz val="11.5"/>
        <color rgb="FF010101"/>
        <rFont val="Arial"/>
        <family val="2"/>
      </rPr>
      <t>Cabo De Bisturi 4</t>
    </r>
  </si>
  <si>
    <r>
      <rPr>
        <sz val="11.5"/>
        <color rgb="FF010101"/>
        <rFont val="Arial"/>
        <family val="2"/>
      </rPr>
      <t>Pinça Mixter</t>
    </r>
  </si>
  <si>
    <r>
      <rPr>
        <sz val="11.5"/>
        <color rgb="FF010101"/>
        <rFont val="Arial"/>
        <family val="2"/>
      </rPr>
      <t>Porta Agulha Mayo Com Widia</t>
    </r>
  </si>
  <si>
    <r>
      <rPr>
        <sz val="11.5"/>
        <color rgb="FF010101"/>
        <rFont val="Arial"/>
        <family val="2"/>
      </rPr>
      <t>Tesoura lris Curva</t>
    </r>
  </si>
  <si>
    <r>
      <rPr>
        <sz val="11.5"/>
        <color rgb="FF010101"/>
        <rFont val="Arial"/>
        <family val="2"/>
      </rPr>
      <t>Tesoura Mayo Stille Reta</t>
    </r>
  </si>
  <si>
    <r>
      <rPr>
        <sz val="11.5"/>
        <color rgb="FF010101"/>
        <rFont val="Arial"/>
        <family val="2"/>
      </rPr>
      <t>Tesoura Metzembaum  Curva</t>
    </r>
  </si>
  <si>
    <r>
      <rPr>
        <sz val="11.5"/>
        <color rgb="FF010101"/>
        <rFont val="Arial"/>
        <family val="2"/>
      </rPr>
      <t>Pinça Arterial hemostática</t>
    </r>
  </si>
  <si>
    <r>
      <rPr>
        <b/>
        <sz val="11"/>
        <color rgb="FF010101"/>
        <rFont val="Arial"/>
        <family val="2"/>
      </rPr>
      <t>DESCRIÇÃO DE CADA CAIXA: 1</t>
    </r>
    <r>
      <rPr>
        <b/>
        <sz val="11.5"/>
        <color rgb="FF010101"/>
        <rFont val="Arial"/>
        <family val="2"/>
      </rPr>
      <t xml:space="preserve">O </t>
    </r>
    <r>
      <rPr>
        <b/>
        <sz val="11"/>
        <color rgb="FF010101"/>
        <rFont val="Arial"/>
        <family val="2"/>
      </rPr>
      <t>caixas de cirurgia vasectomia</t>
    </r>
  </si>
  <si>
    <t>Pinça Kelly Reta</t>
  </si>
  <si>
    <t>Porta Agulha Hegar</t>
  </si>
  <si>
    <t>Pinça Kelly Curva</t>
  </si>
  <si>
    <t>Tesoura Metzenbaum Reta</t>
  </si>
  <si>
    <t>Pinça Anatômica</t>
  </si>
  <si>
    <t>Pinca dente de rato</t>
  </si>
  <si>
    <t>bandeja inox</t>
  </si>
  <si>
    <t>cabo de bisturi 4</t>
  </si>
  <si>
    <t>DESCRIÇÃO DE CADA CAIXA: 30 bandejas para pequenas cirurgias</t>
  </si>
  <si>
    <t>DESCRIÇÃO DE CADA CAIXA: 10 caixas Geral Basicas</t>
  </si>
  <si>
    <t>cuba de assepsia</t>
  </si>
  <si>
    <t>pinca de assepsia</t>
  </si>
  <si>
    <t>seringa de vidro 10ml</t>
  </si>
  <si>
    <t>sem lista</t>
  </si>
  <si>
    <t xml:space="preserve">Descrição do Material                                        </t>
  </si>
  <si>
    <t>Qtde</t>
  </si>
  <si>
    <t xml:space="preserve">Perfurador pneumático                                                     </t>
  </si>
  <si>
    <t xml:space="preserve">Grampeador circular                                                               </t>
  </si>
  <si>
    <t xml:space="preserve">Pinça anatômica serrilha 15cm                                              </t>
  </si>
  <si>
    <t xml:space="preserve">Pinça sartinsky                                                                  </t>
  </si>
  <si>
    <t xml:space="preserve">Cortador de fio                                                                    </t>
  </si>
  <si>
    <t xml:space="preserve">Alicate bicudo                                                                          </t>
  </si>
  <si>
    <t xml:space="preserve">Alicate reforçado                                                                     </t>
  </si>
  <si>
    <t xml:space="preserve">lmpactador de enxerto                                                           </t>
  </si>
  <si>
    <t xml:space="preserve">Pinça de redução de platô                                                    </t>
  </si>
  <si>
    <t xml:space="preserve">Tentacanula                                                                            </t>
  </si>
  <si>
    <t xml:space="preserve">Pinça de redução                                                                  </t>
  </si>
  <si>
    <t xml:space="preserve">Guia de broca 3,5                                                                </t>
  </si>
  <si>
    <t xml:space="preserve">Protetor de  broca 3,5                                                           </t>
  </si>
  <si>
    <t xml:space="preserve">Descrição Do Material                                        </t>
  </si>
  <si>
    <t xml:space="preserve">Estojo Perfurado Com Tampa                                                </t>
  </si>
  <si>
    <t xml:space="preserve">Pinça backauss                                                                        </t>
  </si>
  <si>
    <t>Basica Geral</t>
  </si>
  <si>
    <t>Pequenas Cirurgias</t>
  </si>
  <si>
    <t>Sutura</t>
  </si>
  <si>
    <t>Pequenas Cirurgias 2</t>
  </si>
  <si>
    <t>Varizes</t>
  </si>
  <si>
    <t>Buco</t>
  </si>
  <si>
    <t>Curetagem e Histeroscopia</t>
  </si>
  <si>
    <t>Perfurador Pneumatico</t>
  </si>
  <si>
    <t>Geral</t>
  </si>
  <si>
    <t>Gineco</t>
  </si>
  <si>
    <t>Raqui</t>
  </si>
  <si>
    <t>Ortopedia</t>
  </si>
  <si>
    <t>Vasectomia</t>
  </si>
  <si>
    <t>DESCRIÇÃO DE CADA CAIXA: 1O caixas para cirurgias de varizes</t>
  </si>
  <si>
    <t>QTD CAIXAS</t>
  </si>
  <si>
    <t xml:space="preserve">Afastador Senn Muller                                                             </t>
  </si>
  <si>
    <t xml:space="preserve">Agulha De Croche 6                                                                </t>
  </si>
  <si>
    <t xml:space="preserve">Agulha De Croche 8                                                                </t>
  </si>
  <si>
    <t xml:space="preserve">Agulha De Croche 1O                                                               </t>
  </si>
  <si>
    <t xml:space="preserve">Agulha De Croche 12                                                              </t>
  </si>
  <si>
    <t xml:space="preserve">Cuba Redonda                                                                         </t>
  </si>
  <si>
    <t xml:space="preserve">Pinça Anatomica Dente De Rato                                            </t>
  </si>
  <si>
    <t xml:space="preserve">Pinça Anatomica Dissecção Com Serrila                               </t>
  </si>
  <si>
    <t xml:space="preserve">Pinça Halstead Mosquito Curva                                              </t>
  </si>
  <si>
    <t xml:space="preserve">Pinça Kelly Curva                                                                     </t>
  </si>
  <si>
    <t xml:space="preserve">Porta Agulha Mayo Sem Widia                                               </t>
  </si>
  <si>
    <t xml:space="preserve">Tesoura Metzembaum Reta Delicada                                    </t>
  </si>
  <si>
    <t xml:space="preserve">Bandeja Inox                                                                            </t>
  </si>
  <si>
    <t xml:space="preserve">Pinça bachauss                                                                        </t>
  </si>
  <si>
    <t xml:space="preserve">Afastador Farabeuf lnfatil (Par)                                              </t>
  </si>
  <si>
    <t xml:space="preserve">Afastador Farabeuf Extra (Par)                                               </t>
  </si>
  <si>
    <t xml:space="preserve">Afastador Volkman Com 4 Garras                                          </t>
  </si>
  <si>
    <t xml:space="preserve">Agulha De Croche 1O                                                              </t>
  </si>
  <si>
    <t xml:space="preserve">Cips Mayo                                                                                </t>
  </si>
  <si>
    <t xml:space="preserve">Cabo De Bisturi                                                                        </t>
  </si>
  <si>
    <t xml:space="preserve">Pinça Cheron                                                                           </t>
  </si>
  <si>
    <t xml:space="preserve">Pinça Mixter                                                                             </t>
  </si>
  <si>
    <t xml:space="preserve">Porta Agulha Mayo Com Widia                                               </t>
  </si>
  <si>
    <t xml:space="preserve">Tesoura lris Curva                                                                   </t>
  </si>
  <si>
    <t xml:space="preserve">Tesoura Mayo Stille Reta                                                        </t>
  </si>
  <si>
    <t xml:space="preserve">Tesoura Metzembaum  Curva                                                  </t>
  </si>
  <si>
    <t xml:space="preserve">Pinça de Canal deferente                                                        </t>
  </si>
  <si>
    <t xml:space="preserve">Pinça Dietrich                                                                           </t>
  </si>
  <si>
    <t xml:space="preserve">Pinça Me Dougal Direita                                                          </t>
  </si>
  <si>
    <t xml:space="preserve">Pinça randall                                                                            </t>
  </si>
  <si>
    <t>08.0120.04</t>
  </si>
  <si>
    <t>16.0044.25</t>
  </si>
  <si>
    <t>12.0114.16</t>
  </si>
  <si>
    <t>14.0090.14</t>
  </si>
  <si>
    <t>21.5050.16</t>
  </si>
  <si>
    <t>14.0091.14</t>
  </si>
  <si>
    <t>10.0380.18</t>
  </si>
  <si>
    <t>12.0010.16</t>
  </si>
  <si>
    <t>12.0114.14</t>
  </si>
  <si>
    <t>12.0254.12</t>
  </si>
  <si>
    <t>18.0140.08</t>
  </si>
  <si>
    <t>49.0116.40</t>
  </si>
  <si>
    <t>49.0174.16</t>
  </si>
  <si>
    <t>18.0010.00</t>
  </si>
  <si>
    <t>18.0195.16</t>
  </si>
  <si>
    <t>48.0230.01</t>
  </si>
  <si>
    <t>49.1076.17</t>
  </si>
  <si>
    <t>08.0100.03</t>
  </si>
  <si>
    <t>28.0092.06</t>
  </si>
  <si>
    <t>QD.122.18</t>
  </si>
  <si>
    <t>GOLGRAN</t>
  </si>
  <si>
    <t>HARTE</t>
  </si>
  <si>
    <t>QUINELATO</t>
  </si>
  <si>
    <t>18.0680.12</t>
  </si>
  <si>
    <t>14.0226.14</t>
  </si>
  <si>
    <t>28.0450.11</t>
  </si>
  <si>
    <t>28.0120.17</t>
  </si>
  <si>
    <t>14.0060.12</t>
  </si>
  <si>
    <t>14.0061.12</t>
  </si>
  <si>
    <t>52.0022.15</t>
  </si>
  <si>
    <t>12.0010.14</t>
  </si>
  <si>
    <t>21.5050.14</t>
  </si>
  <si>
    <t>21.5050.18</t>
  </si>
  <si>
    <t>21.5050.20</t>
  </si>
  <si>
    <t>22.0050.18</t>
  </si>
  <si>
    <t>49.1192.22</t>
  </si>
  <si>
    <t>49.1190.22</t>
  </si>
  <si>
    <t>48.0250.19</t>
  </si>
  <si>
    <t>10.0808.12</t>
  </si>
  <si>
    <t>10.5363.18</t>
  </si>
  <si>
    <t>10.0350.14</t>
  </si>
  <si>
    <t>48.0180.15</t>
  </si>
  <si>
    <t>18.0320.10</t>
  </si>
  <si>
    <t>40.0054.01</t>
  </si>
  <si>
    <t>78.0292.08</t>
  </si>
  <si>
    <t>14.0740.13</t>
  </si>
  <si>
    <t>14.0100.16</t>
  </si>
  <si>
    <t>14.0101.16</t>
  </si>
  <si>
    <t>60.0350.02</t>
  </si>
  <si>
    <t>60.0350.04</t>
  </si>
  <si>
    <t>60.0350.06</t>
  </si>
  <si>
    <t>60.0350.07</t>
  </si>
  <si>
    <t>60.0350.08</t>
  </si>
  <si>
    <t>60.0350.09</t>
  </si>
  <si>
    <t>60.0350.10</t>
  </si>
  <si>
    <t>60.0542.25</t>
  </si>
  <si>
    <t>60.0480.28</t>
  </si>
  <si>
    <t>60.0066.02</t>
  </si>
  <si>
    <t>60.0066.03</t>
  </si>
  <si>
    <t>62.0420.01</t>
  </si>
  <si>
    <t>60.0824.02</t>
  </si>
  <si>
    <t>60.0824.03</t>
  </si>
  <si>
    <t>60.0824.04</t>
  </si>
  <si>
    <t>60.0824.05</t>
  </si>
  <si>
    <t>18.0012.00</t>
  </si>
  <si>
    <t>18.0252.04</t>
  </si>
  <si>
    <t>64.0104.14</t>
  </si>
  <si>
    <t>14.0430.19</t>
  </si>
  <si>
    <t>14.0430.15</t>
  </si>
  <si>
    <t>10.0145.11</t>
  </si>
  <si>
    <t>10.0068.17</t>
  </si>
  <si>
    <t>10.0381.18</t>
  </si>
  <si>
    <t>60.0202.01</t>
  </si>
  <si>
    <t>60.0204.03</t>
  </si>
  <si>
    <t>14.0227.26</t>
  </si>
  <si>
    <t>14.0226.24</t>
  </si>
  <si>
    <t>19.0444.00</t>
  </si>
  <si>
    <t>52.0290.25</t>
  </si>
  <si>
    <t>Afastador Tompson</t>
  </si>
  <si>
    <t>AI01229</t>
  </si>
  <si>
    <t>12.0058.23</t>
  </si>
  <si>
    <t>52.0190.20</t>
  </si>
  <si>
    <t>14.0106.16</t>
  </si>
  <si>
    <t>14.0107.16</t>
  </si>
  <si>
    <t>60.0510.01</t>
  </si>
  <si>
    <t>Doyen</t>
  </si>
  <si>
    <t>14.0512.20</t>
  </si>
  <si>
    <t>48.0304.16</t>
  </si>
  <si>
    <t>60.0700.27</t>
  </si>
  <si>
    <t>60.0630.08</t>
  </si>
  <si>
    <t>14.0226.18</t>
  </si>
  <si>
    <t>14.0220.16</t>
  </si>
  <si>
    <t>28.0506.20</t>
  </si>
  <si>
    <t>34.0330.24</t>
  </si>
  <si>
    <t>25.5820.18</t>
  </si>
  <si>
    <t>20.0040.16</t>
  </si>
  <si>
    <t>28.0880.18</t>
  </si>
  <si>
    <t>34.0036.16</t>
  </si>
  <si>
    <t>56.0010.03</t>
  </si>
  <si>
    <t>FAMI</t>
  </si>
  <si>
    <t>Gancho garras</t>
  </si>
  <si>
    <t>46X28X12CM</t>
  </si>
  <si>
    <t>200ML</t>
  </si>
  <si>
    <t>30X20X4CM</t>
  </si>
  <si>
    <t>?????</t>
  </si>
  <si>
    <t>Pinça Clamp robusta</t>
  </si>
  <si>
    <t>Pinça jacaré 20cm</t>
  </si>
  <si>
    <t>Grampeador linear</t>
  </si>
  <si>
    <t>DESCARTAVEL</t>
  </si>
  <si>
    <t>Saca Útero</t>
  </si>
  <si>
    <t>Agulhas de sling (par )</t>
  </si>
  <si>
    <t>Pinça de degermação</t>
  </si>
  <si>
    <t>Cureta Óssea curta nº 03</t>
  </si>
  <si>
    <t>Cureta Óssea longa nº 02</t>
  </si>
  <si>
    <t>Cureta Óssea longa nº 03</t>
  </si>
  <si>
    <t>Martelo 500G</t>
  </si>
  <si>
    <t>SE REPETE</t>
  </si>
  <si>
    <t>42X28X12CM</t>
  </si>
  <si>
    <t>Agulha De Croche 6</t>
  </si>
  <si>
    <t>Agulha De Croche 8</t>
  </si>
  <si>
    <t>Agulha De Croche 1O</t>
  </si>
  <si>
    <t>Agulha De Croche 12</t>
  </si>
  <si>
    <t>60.0512.02</t>
  </si>
  <si>
    <t>Bico de aspiração</t>
  </si>
  <si>
    <t>AI0137</t>
  </si>
  <si>
    <t>ESPANHOLA</t>
  </si>
  <si>
    <t>32X16X08CM</t>
  </si>
  <si>
    <t>AI2161</t>
  </si>
  <si>
    <t>AI1707</t>
  </si>
  <si>
    <t>AI0060</t>
  </si>
  <si>
    <t>AI1272</t>
  </si>
  <si>
    <t>AI1271</t>
  </si>
  <si>
    <t>AI0655</t>
  </si>
  <si>
    <t>AI0656</t>
  </si>
  <si>
    <t>AI0658</t>
  </si>
  <si>
    <t>AI0660</t>
  </si>
  <si>
    <t>AI0659</t>
  </si>
  <si>
    <t>Forceps 69</t>
  </si>
  <si>
    <t>AI0673</t>
  </si>
  <si>
    <t>35-2</t>
  </si>
  <si>
    <t>AI0493</t>
  </si>
  <si>
    <t>AI0503</t>
  </si>
  <si>
    <t>AI0122</t>
  </si>
  <si>
    <t>AI0140</t>
  </si>
  <si>
    <t>AI0142</t>
  </si>
  <si>
    <t>AI0434</t>
  </si>
  <si>
    <t>AI0376</t>
  </si>
  <si>
    <t>AI0348</t>
  </si>
  <si>
    <t>AI0067</t>
  </si>
  <si>
    <t>AI01444</t>
  </si>
  <si>
    <t>AI0014</t>
  </si>
  <si>
    <t>DESCRIÇÃO DE CADA CAIXA: 1O caixas de curetagem e histeroscopia</t>
  </si>
  <si>
    <t>DESCRIÇÃO DE CADA CAIXA 1O perfuradores pneumáticos</t>
  </si>
  <si>
    <r>
      <t> </t>
    </r>
    <r>
      <rPr>
        <sz val="11"/>
        <color rgb="FF334457"/>
        <rFont val="Arial"/>
        <family val="2"/>
      </rPr>
      <t>10401310108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</si>
</sst>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_-[$R$-416]\ * #,##0.00_-;\-[$R$-416]\ * #,##0.00_-;_-[$R$-416]\ * &quot;-&quot;??_-;_-@_-"/>
    <numFmt numFmtId="166" formatCode="&quot;R$&quot;\ #,##0.00"/>
  </numFmts>
  <fonts count="28">
    <font>
      <sz val="10"/>
      <color rgb="FF000000"/>
      <name val="Times New Roman"/>
      <charset val="204"/>
    </font>
    <font>
      <sz val="11.5"/>
      <name val="Arial"/>
    </font>
    <font>
      <sz val="13.5"/>
      <color rgb="FF000000"/>
      <name val="Courier New"/>
      <family val="2"/>
    </font>
    <font>
      <b/>
      <sz val="11.5"/>
      <name val="Arial"/>
    </font>
    <font>
      <sz val="12"/>
      <color rgb="FF000000"/>
      <name val="Arial"/>
      <family val="2"/>
    </font>
    <font>
      <sz val="11.5"/>
      <color rgb="FF000000"/>
      <name val="Arial"/>
      <family val="2"/>
    </font>
    <font>
      <sz val="12.5"/>
      <color rgb="FF000000"/>
      <name val="Times New Roman"/>
      <family val="2"/>
    </font>
    <font>
      <b/>
      <sz val="11.5"/>
      <name val="Arial"/>
      <family val="2"/>
    </font>
    <font>
      <sz val="11.5"/>
      <name val="Arial"/>
      <family val="2"/>
    </font>
    <font>
      <sz val="7"/>
      <name val="Arial"/>
      <family val="2"/>
    </font>
    <font>
      <sz val="11.5"/>
      <color rgb="FF010101"/>
      <name val="Arial"/>
      <family val="2"/>
    </font>
    <font>
      <b/>
      <sz val="11.5"/>
      <color rgb="FF010101"/>
      <name val="Arial"/>
      <family val="2"/>
    </font>
    <font>
      <b/>
      <sz val="11"/>
      <color rgb="FF010101"/>
      <name val="Arial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8"/>
      <color rgb="FF595959"/>
      <name val="Inter"/>
    </font>
    <font>
      <sz val="8"/>
      <name val="Times New Roman"/>
      <family val="1"/>
    </font>
    <font>
      <sz val="9"/>
      <color rgb="FF7A7A7A"/>
      <name val="Arial"/>
      <family val="2"/>
    </font>
    <font>
      <b/>
      <sz val="9"/>
      <color rgb="FF7A7A7A"/>
      <name val="Arial"/>
      <family val="2"/>
    </font>
    <font>
      <sz val="11.5"/>
      <color rgb="FFFF0000"/>
      <name val="Arial"/>
      <family val="2"/>
    </font>
    <font>
      <sz val="13.5"/>
      <color rgb="FFFF0000"/>
      <name val="Courier New"/>
      <family val="2"/>
    </font>
    <font>
      <sz val="11.5"/>
      <color theme="1"/>
      <name val="Arial"/>
      <family val="2"/>
    </font>
    <font>
      <sz val="13.5"/>
      <color theme="1"/>
      <name val="Courier New"/>
      <family val="2"/>
    </font>
    <font>
      <b/>
      <sz val="9"/>
      <color rgb="FF667381"/>
      <name val="Arial"/>
      <family val="2"/>
    </font>
    <font>
      <sz val="12"/>
      <color rgb="FF333333"/>
      <name val="Arial"/>
      <family val="2"/>
    </font>
    <font>
      <b/>
      <sz val="11"/>
      <color rgb="FF334457"/>
      <name val="Arial"/>
      <family val="2"/>
    </font>
    <font>
      <sz val="11"/>
      <color rgb="FF334457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64" fontId="5" fillId="0" borderId="4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left" vertical="top" wrapText="1" indent="8"/>
    </xf>
    <xf numFmtId="0" fontId="1" fillId="0" borderId="5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0" xfId="0" applyNumberFormat="1" applyFont="1" applyAlignment="1">
      <alignment horizontal="center" vertical="top" shrinkToFi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" fontId="4" fillId="0" borderId="0" xfId="0" applyNumberFormat="1" applyFont="1" applyAlignment="1">
      <alignment horizontal="center" vertical="top" shrinkToFit="1"/>
    </xf>
    <xf numFmtId="0" fontId="1" fillId="0" borderId="5" xfId="0" applyFont="1" applyBorder="1" applyAlignment="1">
      <alignment vertical="top" wrapText="1"/>
    </xf>
    <xf numFmtId="1" fontId="4" fillId="0" borderId="5" xfId="0" applyNumberFormat="1" applyFont="1" applyBorder="1" applyAlignment="1">
      <alignment horizontal="center" vertical="top" shrinkToFit="1"/>
    </xf>
    <xf numFmtId="0" fontId="7" fillId="2" borderId="0" xfId="0" applyFont="1" applyFill="1" applyAlignment="1">
      <alignment horizontal="center" vertical="top" wrapText="1"/>
    </xf>
    <xf numFmtId="1" fontId="5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vertical="top" wrapText="1"/>
    </xf>
    <xf numFmtId="1" fontId="5" fillId="0" borderId="0" xfId="0" applyNumberFormat="1" applyFont="1" applyAlignment="1">
      <alignment horizontal="center" vertical="top" shrinkToFit="1"/>
    </xf>
    <xf numFmtId="164" fontId="6" fillId="0" borderId="5" xfId="0" applyNumberFormat="1" applyFont="1" applyBorder="1" applyAlignment="1">
      <alignment horizontal="center" vertical="top" shrinkToFit="1"/>
    </xf>
    <xf numFmtId="164" fontId="5" fillId="0" borderId="5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164" fontId="2" fillId="0" borderId="5" xfId="0" applyNumberFormat="1" applyFont="1" applyBorder="1" applyAlignment="1">
      <alignment horizontal="center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0" fontId="0" fillId="0" borderId="5" xfId="0" applyBorder="1" applyAlignment="1">
      <alignment horizontal="center" vertical="top" wrapText="1"/>
    </xf>
    <xf numFmtId="0" fontId="10" fillId="0" borderId="5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165" fontId="0" fillId="0" borderId="6" xfId="0" applyNumberForma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7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" fillId="2" borderId="5" xfId="0" applyFont="1" applyFill="1" applyBorder="1" applyAlignment="1">
      <alignment vertical="top" wrapText="1"/>
    </xf>
    <xf numFmtId="1" fontId="5" fillId="2" borderId="5" xfId="0" applyNumberFormat="1" applyFont="1" applyFill="1" applyBorder="1" applyAlignment="1">
      <alignment horizontal="center" vertical="top" shrinkToFit="1"/>
    </xf>
    <xf numFmtId="0" fontId="1" fillId="3" borderId="5" xfId="0" applyFont="1" applyFill="1" applyBorder="1" applyAlignment="1">
      <alignment vertical="top" wrapText="1"/>
    </xf>
    <xf numFmtId="164" fontId="5" fillId="3" borderId="5" xfId="0" applyNumberFormat="1" applyFont="1" applyFill="1" applyBorder="1" applyAlignment="1">
      <alignment horizontal="center" vertical="top" shrinkToFit="1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166" fontId="14" fillId="0" borderId="0" xfId="0" applyNumberFormat="1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19" fillId="0" borderId="5" xfId="0" applyFont="1" applyBorder="1" applyAlignment="1">
      <alignment vertical="top" wrapText="1"/>
    </xf>
    <xf numFmtId="1" fontId="19" fillId="0" borderId="5" xfId="0" applyNumberFormat="1" applyFont="1" applyBorder="1" applyAlignment="1">
      <alignment horizontal="center" vertical="top" shrinkToFit="1"/>
    </xf>
    <xf numFmtId="0" fontId="14" fillId="2" borderId="0" xfId="0" applyFont="1" applyFill="1" applyAlignment="1">
      <alignment horizontal="left" vertical="top"/>
    </xf>
    <xf numFmtId="164" fontId="19" fillId="0" borderId="5" xfId="0" applyNumberFormat="1" applyFont="1" applyBorder="1" applyAlignment="1">
      <alignment horizontal="center" vertical="top" shrinkToFit="1"/>
    </xf>
    <xf numFmtId="0" fontId="19" fillId="0" borderId="5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left" vertical="top" wrapText="1"/>
    </xf>
    <xf numFmtId="1" fontId="20" fillId="0" borderId="5" xfId="0" applyNumberFormat="1" applyFont="1" applyBorder="1" applyAlignment="1">
      <alignment horizontal="center" vertical="top" shrinkToFit="1"/>
    </xf>
    <xf numFmtId="0" fontId="1" fillId="4" borderId="5" xfId="0" applyFont="1" applyFill="1" applyBorder="1" applyAlignment="1">
      <alignment vertical="top" wrapText="1"/>
    </xf>
    <xf numFmtId="1" fontId="5" fillId="4" borderId="5" xfId="0" applyNumberFormat="1" applyFont="1" applyFill="1" applyBorder="1" applyAlignment="1">
      <alignment horizontal="center" vertical="top" shrinkToFit="1"/>
    </xf>
    <xf numFmtId="0" fontId="14" fillId="4" borderId="0" xfId="0" applyFont="1" applyFill="1" applyAlignment="1">
      <alignment horizontal="left" vertical="top"/>
    </xf>
    <xf numFmtId="0" fontId="19" fillId="3" borderId="5" xfId="0" applyFont="1" applyFill="1" applyBorder="1" applyAlignment="1">
      <alignment vertical="top" wrapText="1"/>
    </xf>
    <xf numFmtId="164" fontId="19" fillId="3" borderId="5" xfId="0" applyNumberFormat="1" applyFont="1" applyFill="1" applyBorder="1" applyAlignment="1">
      <alignment horizontal="center" vertical="top" shrinkToFit="1"/>
    </xf>
    <xf numFmtId="0" fontId="21" fillId="0" borderId="5" xfId="0" applyFont="1" applyBorder="1" applyAlignment="1">
      <alignment horizontal="left" vertical="top" wrapText="1"/>
    </xf>
    <xf numFmtId="164" fontId="21" fillId="0" borderId="5" xfId="0" applyNumberFormat="1" applyFont="1" applyBorder="1" applyAlignment="1">
      <alignment horizontal="center" vertical="top" shrinkToFit="1"/>
    </xf>
    <xf numFmtId="164" fontId="22" fillId="0" borderId="5" xfId="0" applyNumberFormat="1" applyFont="1" applyBorder="1" applyAlignment="1">
      <alignment horizontal="center" vertical="top" shrinkToFit="1"/>
    </xf>
    <xf numFmtId="0" fontId="13" fillId="0" borderId="5" xfId="0" applyFont="1" applyBorder="1" applyAlignment="1">
      <alignment horizontal="center" vertical="top" wrapText="1"/>
    </xf>
    <xf numFmtId="0" fontId="19" fillId="2" borderId="5" xfId="0" applyFont="1" applyFill="1" applyBorder="1" applyAlignment="1">
      <alignment horizontal="center" vertical="top" wrapText="1"/>
    </xf>
    <xf numFmtId="0" fontId="21" fillId="0" borderId="5" xfId="0" applyFont="1" applyBorder="1" applyAlignment="1">
      <alignment vertical="top" wrapText="1"/>
    </xf>
    <xf numFmtId="0" fontId="21" fillId="2" borderId="5" xfId="0" applyFont="1" applyFill="1" applyBorder="1" applyAlignment="1">
      <alignment horizontal="center" vertical="top" wrapText="1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8504-3746-45AA-80D9-019F35402388}">
  <dimension ref="A1:D16"/>
  <sheetViews>
    <sheetView workbookViewId="0">
      <selection activeCell="B2" sqref="B2:B15"/>
    </sheetView>
  </sheetViews>
  <sheetFormatPr defaultRowHeight="12.75"/>
  <cols>
    <col min="1" max="1" width="21.83203125" bestFit="1" customWidth="1"/>
    <col min="2" max="2" width="16" style="14" customWidth="1"/>
    <col min="3" max="3" width="10.5" customWidth="1"/>
    <col min="4" max="4" width="12.5" customWidth="1"/>
  </cols>
  <sheetData>
    <row r="1" spans="1:4">
      <c r="B1" s="14" t="s">
        <v>231</v>
      </c>
    </row>
    <row r="2" spans="1:4">
      <c r="A2" s="15" t="s">
        <v>217</v>
      </c>
      <c r="B2" s="16">
        <v>10</v>
      </c>
      <c r="C2" s="48"/>
      <c r="D2" s="48">
        <f>C2*B2</f>
        <v>0</v>
      </c>
    </row>
    <row r="3" spans="1:4">
      <c r="A3" s="15" t="s">
        <v>218</v>
      </c>
      <c r="B3" s="16">
        <v>30</v>
      </c>
      <c r="C3" s="48"/>
      <c r="D3" s="48">
        <f t="shared" ref="D3:D15" si="0">C3*B3</f>
        <v>0</v>
      </c>
    </row>
    <row r="4" spans="1:4">
      <c r="A4" s="15" t="s">
        <v>219</v>
      </c>
      <c r="B4" s="16">
        <v>30</v>
      </c>
      <c r="C4" s="48"/>
      <c r="D4" s="48">
        <f t="shared" si="0"/>
        <v>0</v>
      </c>
    </row>
    <row r="5" spans="1:4">
      <c r="A5" s="15" t="s">
        <v>220</v>
      </c>
      <c r="B5" s="16">
        <v>30</v>
      </c>
      <c r="C5" s="48"/>
      <c r="D5" s="48">
        <f t="shared" si="0"/>
        <v>0</v>
      </c>
    </row>
    <row r="6" spans="1:4">
      <c r="A6" s="15" t="s">
        <v>221</v>
      </c>
      <c r="B6" s="16">
        <v>10</v>
      </c>
      <c r="C6" s="48"/>
      <c r="D6" s="48">
        <f t="shared" si="0"/>
        <v>0</v>
      </c>
    </row>
    <row r="7" spans="1:4">
      <c r="A7" s="15" t="s">
        <v>222</v>
      </c>
      <c r="B7" s="16">
        <v>16</v>
      </c>
      <c r="C7" s="48"/>
      <c r="D7" s="48">
        <f t="shared" si="0"/>
        <v>0</v>
      </c>
    </row>
    <row r="8" spans="1:4">
      <c r="A8" s="15" t="s">
        <v>223</v>
      </c>
      <c r="B8" s="16">
        <v>10</v>
      </c>
      <c r="C8" s="48"/>
      <c r="D8" s="48">
        <f t="shared" si="0"/>
        <v>0</v>
      </c>
    </row>
    <row r="9" spans="1:4">
      <c r="A9" s="15" t="s">
        <v>224</v>
      </c>
      <c r="B9" s="16">
        <v>10</v>
      </c>
      <c r="C9" s="48"/>
      <c r="D9" s="48">
        <f t="shared" si="0"/>
        <v>0</v>
      </c>
    </row>
    <row r="10" spans="1:4">
      <c r="A10" s="15" t="s">
        <v>225</v>
      </c>
      <c r="B10" s="16">
        <v>10</v>
      </c>
      <c r="C10" s="48"/>
      <c r="D10" s="48">
        <f t="shared" si="0"/>
        <v>0</v>
      </c>
    </row>
    <row r="11" spans="1:4">
      <c r="A11" s="15" t="s">
        <v>226</v>
      </c>
      <c r="B11" s="16">
        <v>10</v>
      </c>
      <c r="C11" s="48"/>
      <c r="D11" s="48">
        <f t="shared" si="0"/>
        <v>0</v>
      </c>
    </row>
    <row r="12" spans="1:4">
      <c r="A12" s="15" t="s">
        <v>227</v>
      </c>
      <c r="B12" s="16">
        <v>25</v>
      </c>
      <c r="C12" s="48"/>
      <c r="D12" s="48">
        <f t="shared" si="0"/>
        <v>0</v>
      </c>
    </row>
    <row r="13" spans="1:4">
      <c r="A13" s="15" t="s">
        <v>228</v>
      </c>
      <c r="B13" s="16">
        <v>12</v>
      </c>
      <c r="C13" s="48"/>
      <c r="D13" s="48">
        <f t="shared" si="0"/>
        <v>0</v>
      </c>
    </row>
    <row r="14" spans="1:4">
      <c r="A14" s="15" t="s">
        <v>221</v>
      </c>
      <c r="B14" s="16">
        <v>11</v>
      </c>
      <c r="C14" s="48"/>
      <c r="D14" s="48">
        <f t="shared" si="0"/>
        <v>0</v>
      </c>
    </row>
    <row r="15" spans="1:4">
      <c r="A15" s="15" t="s">
        <v>229</v>
      </c>
      <c r="B15" s="16">
        <v>10</v>
      </c>
      <c r="C15" s="48"/>
      <c r="D15" s="48">
        <f t="shared" si="0"/>
        <v>0</v>
      </c>
    </row>
    <row r="16" spans="1:4">
      <c r="B16" s="14">
        <f>SUM(B2:B15)</f>
        <v>224</v>
      </c>
      <c r="D16" s="49">
        <f>SUM(D2:D15)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6"/>
  <sheetViews>
    <sheetView tabSelected="1" topLeftCell="A155" workbookViewId="0">
      <selection activeCell="F164" sqref="F164"/>
    </sheetView>
  </sheetViews>
  <sheetFormatPr defaultRowHeight="12.75"/>
  <cols>
    <col min="1" max="1" width="84.83203125" customWidth="1"/>
    <col min="2" max="2" width="10.33203125" style="14" bestFit="1" customWidth="1"/>
    <col min="3" max="3" width="16.1640625" customWidth="1"/>
    <col min="4" max="4" width="12" style="54" customWidth="1"/>
    <col min="6" max="6" width="37" customWidth="1"/>
  </cols>
  <sheetData>
    <row r="1" spans="1:6" ht="15">
      <c r="A1" s="18" t="s">
        <v>194</v>
      </c>
    </row>
    <row r="2" spans="1:6" ht="14.25">
      <c r="A2" s="22" t="s">
        <v>6</v>
      </c>
      <c r="B2" s="22" t="s">
        <v>7</v>
      </c>
    </row>
    <row r="3" spans="1:6">
      <c r="A3" s="15" t="s">
        <v>191</v>
      </c>
      <c r="B3" s="16">
        <v>1</v>
      </c>
      <c r="C3" s="64">
        <v>231054</v>
      </c>
      <c r="D3" s="54">
        <v>75</v>
      </c>
      <c r="E3" s="55" t="s">
        <v>361</v>
      </c>
      <c r="F3" s="55" t="s">
        <v>365</v>
      </c>
    </row>
    <row r="4" spans="1:6">
      <c r="A4" s="15" t="s">
        <v>195</v>
      </c>
      <c r="B4" s="16">
        <v>1</v>
      </c>
      <c r="C4" s="64">
        <v>231014</v>
      </c>
      <c r="D4" s="54">
        <v>15</v>
      </c>
      <c r="E4" s="55" t="s">
        <v>361</v>
      </c>
      <c r="F4" s="55" t="s">
        <v>364</v>
      </c>
    </row>
    <row r="5" spans="1:6">
      <c r="A5" s="15" t="s">
        <v>196</v>
      </c>
      <c r="B5" s="16">
        <v>1</v>
      </c>
      <c r="C5" t="s">
        <v>263</v>
      </c>
    </row>
    <row r="6" spans="1:6" ht="18">
      <c r="A6" s="15" t="s">
        <v>197</v>
      </c>
      <c r="B6" s="16">
        <v>1</v>
      </c>
      <c r="D6" s="54">
        <v>35</v>
      </c>
      <c r="F6" s="87">
        <v>10150470082</v>
      </c>
    </row>
    <row r="7" spans="1:6" ht="18">
      <c r="A7" s="19"/>
      <c r="B7" s="20"/>
    </row>
    <row r="8" spans="1:6" ht="15">
      <c r="A8" s="23" t="s">
        <v>193</v>
      </c>
    </row>
    <row r="9" spans="1:6" ht="14.25">
      <c r="A9" s="22" t="s">
        <v>6</v>
      </c>
      <c r="B9" s="22" t="s">
        <v>7</v>
      </c>
    </row>
    <row r="10" spans="1:6">
      <c r="A10" s="15" t="s">
        <v>192</v>
      </c>
      <c r="B10" s="16">
        <v>1</v>
      </c>
      <c r="C10" t="s">
        <v>262</v>
      </c>
    </row>
    <row r="11" spans="1:6">
      <c r="A11" s="15" t="s">
        <v>191</v>
      </c>
      <c r="B11" s="16">
        <v>1</v>
      </c>
      <c r="C11" s="64">
        <v>231054</v>
      </c>
      <c r="D11" s="54">
        <v>75</v>
      </c>
      <c r="E11" s="55" t="s">
        <v>361</v>
      </c>
      <c r="F11" s="55" t="s">
        <v>365</v>
      </c>
    </row>
    <row r="12" spans="1:6">
      <c r="A12" s="15" t="s">
        <v>190</v>
      </c>
      <c r="B12" s="16">
        <v>1</v>
      </c>
      <c r="C12" t="s">
        <v>264</v>
      </c>
    </row>
    <row r="13" spans="1:6">
      <c r="A13" s="17" t="s">
        <v>185</v>
      </c>
      <c r="B13" s="16">
        <v>1</v>
      </c>
      <c r="C13" t="s">
        <v>265</v>
      </c>
    </row>
    <row r="14" spans="1:6">
      <c r="A14" s="17" t="s">
        <v>186</v>
      </c>
      <c r="B14" s="16">
        <v>1</v>
      </c>
      <c r="C14" t="s">
        <v>266</v>
      </c>
    </row>
    <row r="15" spans="1:6">
      <c r="A15" s="17" t="s">
        <v>187</v>
      </c>
      <c r="B15" s="16">
        <v>1</v>
      </c>
      <c r="C15" t="s">
        <v>267</v>
      </c>
    </row>
    <row r="16" spans="1:6">
      <c r="A16" s="17" t="s">
        <v>188</v>
      </c>
      <c r="B16" s="16">
        <v>1</v>
      </c>
      <c r="C16" t="s">
        <v>268</v>
      </c>
    </row>
    <row r="17" spans="1:6">
      <c r="A17" s="17" t="s">
        <v>189</v>
      </c>
      <c r="B17" s="16">
        <v>1</v>
      </c>
      <c r="C17" t="s">
        <v>269</v>
      </c>
    </row>
    <row r="18" spans="1:6">
      <c r="A18" s="19"/>
    </row>
    <row r="19" spans="1:6" ht="15">
      <c r="A19" s="9" t="s">
        <v>5</v>
      </c>
      <c r="B19" s="11"/>
    </row>
    <row r="20" spans="1:6" ht="14.25">
      <c r="A20" s="22" t="s">
        <v>6</v>
      </c>
      <c r="B20" s="22" t="s">
        <v>7</v>
      </c>
    </row>
    <row r="21" spans="1:6" ht="14.25">
      <c r="A21" s="21" t="s">
        <v>8</v>
      </c>
      <c r="B21" s="16">
        <v>1</v>
      </c>
      <c r="C21" s="64">
        <v>231014</v>
      </c>
      <c r="D21" s="54">
        <v>15</v>
      </c>
      <c r="E21" s="55" t="s">
        <v>361</v>
      </c>
      <c r="F21" s="55" t="s">
        <v>364</v>
      </c>
    </row>
    <row r="22" spans="1:6" ht="14.25">
      <c r="A22" s="21" t="s">
        <v>9</v>
      </c>
      <c r="B22" s="16">
        <v>1</v>
      </c>
      <c r="C22" t="s">
        <v>270</v>
      </c>
    </row>
    <row r="23" spans="1:6" ht="14.25">
      <c r="A23" s="21" t="s">
        <v>0</v>
      </c>
      <c r="B23" s="16">
        <v>1</v>
      </c>
      <c r="C23" t="s">
        <v>265</v>
      </c>
    </row>
    <row r="24" spans="1:6" ht="14.25">
      <c r="A24" s="21" t="s">
        <v>2</v>
      </c>
      <c r="B24" s="16">
        <v>1</v>
      </c>
      <c r="C24" t="s">
        <v>267</v>
      </c>
    </row>
    <row r="25" spans="1:6" ht="14.25">
      <c r="A25" s="21" t="s">
        <v>3</v>
      </c>
      <c r="B25" s="16">
        <v>1</v>
      </c>
      <c r="C25" t="s">
        <v>268</v>
      </c>
    </row>
    <row r="26" spans="1:6" ht="14.25">
      <c r="A26" s="21" t="s">
        <v>1</v>
      </c>
      <c r="B26" s="16">
        <v>1</v>
      </c>
      <c r="C26" t="s">
        <v>266</v>
      </c>
    </row>
    <row r="27" spans="1:6" ht="14.25">
      <c r="A27" s="24"/>
    </row>
    <row r="28" spans="1:6" ht="15">
      <c r="A28" s="9" t="s">
        <v>10</v>
      </c>
      <c r="B28" s="11"/>
    </row>
    <row r="29" spans="1:6" ht="14.25">
      <c r="A29" s="6" t="s">
        <v>6</v>
      </c>
      <c r="B29" s="6" t="s">
        <v>7</v>
      </c>
    </row>
    <row r="30" spans="1:6" ht="15">
      <c r="A30" s="26" t="s">
        <v>11</v>
      </c>
      <c r="B30" s="27">
        <v>1</v>
      </c>
      <c r="C30" s="64">
        <v>231054</v>
      </c>
      <c r="D30" s="54">
        <v>75</v>
      </c>
      <c r="E30" s="55" t="s">
        <v>361</v>
      </c>
      <c r="F30" s="55" t="s">
        <v>365</v>
      </c>
    </row>
    <row r="31" spans="1:6" ht="15">
      <c r="A31" s="26" t="s">
        <v>12</v>
      </c>
      <c r="B31" s="27">
        <v>1</v>
      </c>
      <c r="C31" s="64">
        <v>231014</v>
      </c>
      <c r="D31" s="54">
        <v>15</v>
      </c>
      <c r="E31" s="55" t="s">
        <v>361</v>
      </c>
      <c r="F31" s="55" t="s">
        <v>364</v>
      </c>
    </row>
    <row r="32" spans="1:6" ht="15">
      <c r="A32" s="26" t="s">
        <v>13</v>
      </c>
      <c r="B32" s="27">
        <v>1</v>
      </c>
      <c r="C32" t="s">
        <v>263</v>
      </c>
    </row>
    <row r="33" spans="1:6" ht="15">
      <c r="A33" s="24"/>
      <c r="B33" s="25"/>
    </row>
    <row r="34" spans="1:6" ht="30">
      <c r="A34" s="50" t="s">
        <v>230</v>
      </c>
      <c r="B34" s="28" t="s">
        <v>198</v>
      </c>
    </row>
    <row r="35" spans="1:6" ht="15">
      <c r="A35" s="9"/>
      <c r="B35" s="11"/>
    </row>
    <row r="36" spans="1:6" ht="15">
      <c r="A36" s="10" t="s">
        <v>14</v>
      </c>
      <c r="B36" s="12"/>
    </row>
    <row r="37" spans="1:6" ht="14.25">
      <c r="A37" s="26" t="s">
        <v>15</v>
      </c>
      <c r="B37" s="6" t="s">
        <v>7</v>
      </c>
    </row>
    <row r="38" spans="1:6" ht="14.25">
      <c r="A38" s="26" t="s">
        <v>16</v>
      </c>
      <c r="B38" s="29">
        <v>4</v>
      </c>
      <c r="C38" t="s">
        <v>271</v>
      </c>
    </row>
    <row r="39" spans="1:6" ht="15">
      <c r="A39" s="26" t="s">
        <v>17</v>
      </c>
      <c r="B39" s="29">
        <v>4</v>
      </c>
      <c r="C39" s="61" t="s">
        <v>412</v>
      </c>
      <c r="D39" s="54">
        <v>520</v>
      </c>
      <c r="E39" s="55" t="s">
        <v>283</v>
      </c>
      <c r="F39" s="85"/>
    </row>
    <row r="40" spans="1:6" ht="14.25">
      <c r="A40" s="26" t="s">
        <v>18</v>
      </c>
      <c r="B40" s="29">
        <v>6</v>
      </c>
      <c r="C40" t="s">
        <v>272</v>
      </c>
    </row>
    <row r="41" spans="1:6" ht="15">
      <c r="A41" s="26" t="s">
        <v>19</v>
      </c>
      <c r="B41" s="29">
        <v>2</v>
      </c>
      <c r="C41" s="61" t="s">
        <v>411</v>
      </c>
      <c r="D41" s="54">
        <v>240</v>
      </c>
      <c r="E41" s="55" t="s">
        <v>283</v>
      </c>
      <c r="F41" s="85">
        <v>80476380011</v>
      </c>
    </row>
    <row r="42" spans="1:6" ht="15">
      <c r="A42" s="26" t="s">
        <v>20</v>
      </c>
      <c r="B42" s="29">
        <v>2</v>
      </c>
      <c r="C42" s="61" t="s">
        <v>410</v>
      </c>
      <c r="D42" s="54">
        <v>260</v>
      </c>
      <c r="E42" s="55" t="s">
        <v>283</v>
      </c>
      <c r="F42" s="85"/>
    </row>
    <row r="43" spans="1:6" ht="14.25">
      <c r="A43" s="26" t="s">
        <v>21</v>
      </c>
      <c r="B43" s="29">
        <v>4</v>
      </c>
      <c r="C43" t="s">
        <v>273</v>
      </c>
    </row>
    <row r="44" spans="1:6" ht="14.25">
      <c r="A44" s="26" t="s">
        <v>22</v>
      </c>
      <c r="B44" s="29">
        <v>2</v>
      </c>
      <c r="C44" t="s">
        <v>274</v>
      </c>
    </row>
    <row r="45" spans="1:6" ht="14.25">
      <c r="A45" s="26" t="s">
        <v>23</v>
      </c>
      <c r="B45" s="29">
        <v>4</v>
      </c>
      <c r="C45" t="s">
        <v>275</v>
      </c>
    </row>
    <row r="46" spans="1:6" ht="14.25">
      <c r="A46" s="26" t="s">
        <v>24</v>
      </c>
      <c r="B46" s="29">
        <v>2</v>
      </c>
      <c r="C46" t="s">
        <v>276</v>
      </c>
    </row>
    <row r="47" spans="1:6" ht="14.25">
      <c r="A47" s="26" t="s">
        <v>25</v>
      </c>
      <c r="B47" s="29">
        <v>2</v>
      </c>
      <c r="C47" t="s">
        <v>277</v>
      </c>
    </row>
    <row r="48" spans="1:6" ht="14.25">
      <c r="A48" s="26" t="s">
        <v>26</v>
      </c>
      <c r="B48" s="29">
        <v>2</v>
      </c>
      <c r="C48" t="s">
        <v>278</v>
      </c>
    </row>
    <row r="49" spans="1:6" ht="14.25">
      <c r="A49" s="26" t="s">
        <v>27</v>
      </c>
      <c r="B49" s="29">
        <v>4</v>
      </c>
      <c r="C49" t="s">
        <v>279</v>
      </c>
    </row>
    <row r="50" spans="1:6" ht="14.25">
      <c r="A50" s="26" t="s">
        <v>28</v>
      </c>
      <c r="B50" s="29">
        <v>2</v>
      </c>
      <c r="C50" t="s">
        <v>280</v>
      </c>
    </row>
    <row r="51" spans="1:6" ht="14.25">
      <c r="A51" s="26" t="s">
        <v>29</v>
      </c>
      <c r="B51" s="29">
        <v>2</v>
      </c>
      <c r="C51" s="61" t="s">
        <v>409</v>
      </c>
      <c r="D51" s="54">
        <v>205</v>
      </c>
      <c r="E51" s="55" t="s">
        <v>283</v>
      </c>
    </row>
    <row r="52" spans="1:6" ht="14.25">
      <c r="A52" s="26" t="s">
        <v>30</v>
      </c>
      <c r="B52" s="29">
        <v>2</v>
      </c>
      <c r="C52" s="53" t="s">
        <v>281</v>
      </c>
      <c r="D52" s="54">
        <v>90</v>
      </c>
      <c r="E52" s="55" t="s">
        <v>284</v>
      </c>
    </row>
    <row r="53" spans="1:6" ht="14.25">
      <c r="A53" s="26" t="s">
        <v>31</v>
      </c>
      <c r="B53" s="29">
        <v>2</v>
      </c>
      <c r="C53" t="s">
        <v>306</v>
      </c>
    </row>
    <row r="54" spans="1:6" ht="14.25">
      <c r="A54" s="26" t="s">
        <v>32</v>
      </c>
      <c r="B54" s="29">
        <v>2</v>
      </c>
      <c r="C54" s="61" t="s">
        <v>407</v>
      </c>
      <c r="D54" s="54">
        <v>50</v>
      </c>
      <c r="E54" s="55" t="s">
        <v>283</v>
      </c>
    </row>
    <row r="55" spans="1:6" ht="14.25">
      <c r="A55" s="26" t="s">
        <v>33</v>
      </c>
      <c r="B55" s="29">
        <v>2</v>
      </c>
      <c r="C55" s="61" t="s">
        <v>408</v>
      </c>
      <c r="D55" s="54">
        <v>100</v>
      </c>
      <c r="E55" s="55" t="s">
        <v>283</v>
      </c>
    </row>
    <row r="56" spans="1:6" ht="14.25">
      <c r="A56" s="26" t="s">
        <v>34</v>
      </c>
      <c r="B56" s="29">
        <v>2</v>
      </c>
      <c r="C56" t="s">
        <v>299</v>
      </c>
    </row>
    <row r="57" spans="1:6" ht="15">
      <c r="A57" s="26" t="s">
        <v>35</v>
      </c>
      <c r="B57" s="29">
        <v>2</v>
      </c>
      <c r="C57" s="84" t="s">
        <v>401</v>
      </c>
      <c r="D57" s="54">
        <v>85</v>
      </c>
      <c r="E57" s="55" t="s">
        <v>282</v>
      </c>
      <c r="F57" s="86" t="s">
        <v>415</v>
      </c>
    </row>
    <row r="58" spans="1:6" ht="14.25">
      <c r="A58" s="26" t="s">
        <v>36</v>
      </c>
      <c r="B58" s="29">
        <v>6</v>
      </c>
      <c r="C58" s="61" t="s">
        <v>402</v>
      </c>
      <c r="D58" s="54">
        <v>110</v>
      </c>
      <c r="E58" s="55" t="s">
        <v>283</v>
      </c>
    </row>
    <row r="59" spans="1:6" ht="14.25">
      <c r="A59" s="26" t="s">
        <v>37</v>
      </c>
      <c r="B59" s="29">
        <v>2</v>
      </c>
      <c r="C59" s="61" t="s">
        <v>403</v>
      </c>
      <c r="D59" s="54">
        <v>140</v>
      </c>
      <c r="E59" s="55" t="s">
        <v>283</v>
      </c>
    </row>
    <row r="60" spans="1:6" ht="14.25">
      <c r="A60" s="26" t="s">
        <v>38</v>
      </c>
      <c r="B60" s="29">
        <v>2</v>
      </c>
      <c r="C60" s="61" t="s">
        <v>404</v>
      </c>
      <c r="D60" s="54">
        <v>60</v>
      </c>
      <c r="E60" s="55" t="s">
        <v>283</v>
      </c>
    </row>
    <row r="61" spans="1:6" ht="14.25">
      <c r="A61" s="30" t="s">
        <v>39</v>
      </c>
      <c r="B61" s="29">
        <v>2</v>
      </c>
      <c r="C61" s="61" t="s">
        <v>405</v>
      </c>
      <c r="D61" s="54">
        <v>60</v>
      </c>
      <c r="E61" s="55" t="s">
        <v>283</v>
      </c>
    </row>
    <row r="62" spans="1:6" ht="14.25">
      <c r="A62" s="26" t="s">
        <v>40</v>
      </c>
      <c r="B62" s="29">
        <v>2</v>
      </c>
      <c r="C62" s="61" t="s">
        <v>406</v>
      </c>
      <c r="D62" s="54">
        <v>60</v>
      </c>
      <c r="E62" s="55" t="s">
        <v>283</v>
      </c>
    </row>
    <row r="63" spans="1:6" ht="14.25">
      <c r="A63" s="26" t="s">
        <v>41</v>
      </c>
      <c r="B63" s="29">
        <v>2</v>
      </c>
      <c r="C63" t="s">
        <v>285</v>
      </c>
    </row>
    <row r="64" spans="1:6" ht="14.25">
      <c r="A64" s="26" t="s">
        <v>42</v>
      </c>
      <c r="B64" s="29">
        <v>2</v>
      </c>
      <c r="C64" s="61" t="s">
        <v>394</v>
      </c>
      <c r="D64" s="54">
        <v>170</v>
      </c>
      <c r="E64" s="55" t="s">
        <v>283</v>
      </c>
    </row>
    <row r="65" spans="1:5" ht="14.25">
      <c r="A65" s="26" t="s">
        <v>43</v>
      </c>
      <c r="B65" s="29">
        <v>2</v>
      </c>
      <c r="C65" s="61" t="s">
        <v>395</v>
      </c>
      <c r="D65" s="54">
        <v>170</v>
      </c>
      <c r="E65" s="55" t="s">
        <v>283</v>
      </c>
    </row>
    <row r="66" spans="1:5" ht="14.25">
      <c r="A66" s="26" t="s">
        <v>44</v>
      </c>
      <c r="B66" s="29">
        <v>2</v>
      </c>
      <c r="C66" s="61" t="s">
        <v>396</v>
      </c>
      <c r="D66" s="54">
        <v>170</v>
      </c>
      <c r="E66" s="55" t="s">
        <v>283</v>
      </c>
    </row>
    <row r="67" spans="1:5" ht="14.25">
      <c r="A67" s="30" t="s">
        <v>45</v>
      </c>
      <c r="B67" s="29">
        <v>2</v>
      </c>
      <c r="C67" s="61" t="s">
        <v>397</v>
      </c>
      <c r="D67" s="54">
        <v>170</v>
      </c>
      <c r="E67" s="55" t="s">
        <v>283</v>
      </c>
    </row>
    <row r="68" spans="1:5" ht="14.25">
      <c r="A68" s="26" t="s">
        <v>46</v>
      </c>
      <c r="B68" s="29">
        <v>2</v>
      </c>
      <c r="C68" s="61" t="s">
        <v>398</v>
      </c>
      <c r="D68" s="54">
        <v>170</v>
      </c>
      <c r="E68" s="55" t="s">
        <v>283</v>
      </c>
    </row>
    <row r="69" spans="1:5" ht="14.25">
      <c r="A69" s="37" t="s">
        <v>399</v>
      </c>
      <c r="B69" s="29">
        <v>2</v>
      </c>
      <c r="C69" s="61" t="s">
        <v>400</v>
      </c>
      <c r="D69" s="54">
        <v>170</v>
      </c>
      <c r="E69" s="55" t="s">
        <v>283</v>
      </c>
    </row>
    <row r="70" spans="1:5" ht="14.25">
      <c r="A70" s="65" t="s">
        <v>362</v>
      </c>
      <c r="B70" s="66">
        <v>2</v>
      </c>
    </row>
    <row r="71" spans="1:5" ht="14.25">
      <c r="A71" s="26" t="s">
        <v>47</v>
      </c>
      <c r="B71" s="29">
        <v>6</v>
      </c>
      <c r="C71" t="s">
        <v>267</v>
      </c>
    </row>
    <row r="72" spans="1:5" ht="14.25">
      <c r="A72" s="26" t="s">
        <v>48</v>
      </c>
      <c r="B72" s="29">
        <v>6</v>
      </c>
      <c r="C72" s="55" t="s">
        <v>265</v>
      </c>
    </row>
    <row r="73" spans="1:5" ht="14.25">
      <c r="A73" s="26" t="s">
        <v>49</v>
      </c>
      <c r="B73" s="29">
        <v>4</v>
      </c>
      <c r="C73" t="s">
        <v>286</v>
      </c>
    </row>
    <row r="74" spans="1:5" ht="14.25">
      <c r="A74" s="26" t="s">
        <v>50</v>
      </c>
      <c r="B74" s="29">
        <v>2</v>
      </c>
      <c r="C74" t="s">
        <v>287</v>
      </c>
    </row>
    <row r="75" spans="1:5" ht="14.25">
      <c r="A75" s="26" t="s">
        <v>51</v>
      </c>
      <c r="B75" s="29">
        <v>2</v>
      </c>
      <c r="C75" t="s">
        <v>288</v>
      </c>
    </row>
    <row r="76" spans="1:5" ht="14.25">
      <c r="A76" s="26" t="s">
        <v>52</v>
      </c>
      <c r="B76" s="29">
        <v>4</v>
      </c>
      <c r="C76" t="s">
        <v>290</v>
      </c>
    </row>
    <row r="77" spans="1:5" ht="14.25">
      <c r="A77" s="26" t="s">
        <v>53</v>
      </c>
      <c r="B77" s="29">
        <v>4</v>
      </c>
      <c r="C77" t="s">
        <v>289</v>
      </c>
    </row>
    <row r="78" spans="1:5" ht="14.25">
      <c r="A78" s="26" t="s">
        <v>54</v>
      </c>
      <c r="B78" s="29">
        <v>2</v>
      </c>
      <c r="C78" t="s">
        <v>291</v>
      </c>
    </row>
    <row r="79" spans="1:5" ht="14.25">
      <c r="A79" s="26" t="s">
        <v>55</v>
      </c>
      <c r="B79" s="29">
        <v>2</v>
      </c>
      <c r="C79" s="55" t="s">
        <v>292</v>
      </c>
    </row>
    <row r="80" spans="1:5" ht="14.25">
      <c r="A80" s="26" t="s">
        <v>56</v>
      </c>
      <c r="B80" s="29">
        <v>2</v>
      </c>
      <c r="C80" s="55" t="s">
        <v>270</v>
      </c>
    </row>
    <row r="81" spans="1:6" ht="14.25">
      <c r="A81" s="26" t="s">
        <v>57</v>
      </c>
      <c r="B81" s="29">
        <v>2</v>
      </c>
      <c r="C81" t="s">
        <v>266</v>
      </c>
    </row>
    <row r="82" spans="1:6" ht="14.25">
      <c r="A82" s="26" t="s">
        <v>58</v>
      </c>
      <c r="B82" s="29">
        <v>2</v>
      </c>
      <c r="C82" s="55" t="s">
        <v>293</v>
      </c>
    </row>
    <row r="83" spans="1:6" ht="14.25">
      <c r="A83" s="26" t="s">
        <v>59</v>
      </c>
      <c r="B83" s="29">
        <v>2</v>
      </c>
      <c r="C83" s="55" t="s">
        <v>294</v>
      </c>
    </row>
    <row r="84" spans="1:6" ht="14.25">
      <c r="A84" s="26" t="s">
        <v>60</v>
      </c>
      <c r="B84" s="29">
        <v>2</v>
      </c>
      <c r="C84" s="55" t="s">
        <v>295</v>
      </c>
    </row>
    <row r="85" spans="1:6" ht="14.25">
      <c r="A85" s="26" t="s">
        <v>61</v>
      </c>
      <c r="B85" s="29">
        <v>2</v>
      </c>
      <c r="C85" t="s">
        <v>296</v>
      </c>
    </row>
    <row r="86" spans="1:6" ht="14.25">
      <c r="A86" s="26" t="s">
        <v>62</v>
      </c>
      <c r="B86" s="29">
        <v>2</v>
      </c>
      <c r="C86" t="s">
        <v>297</v>
      </c>
    </row>
    <row r="87" spans="1:6" ht="14.25">
      <c r="A87" s="26" t="s">
        <v>63</v>
      </c>
      <c r="B87" s="29">
        <v>2</v>
      </c>
      <c r="C87" t="s">
        <v>298</v>
      </c>
    </row>
    <row r="88" spans="1:6" ht="14.25">
      <c r="A88" s="26" t="s">
        <v>64</v>
      </c>
      <c r="B88" s="29">
        <v>2</v>
      </c>
      <c r="C88" s="61" t="s">
        <v>393</v>
      </c>
      <c r="D88" s="54">
        <v>970</v>
      </c>
      <c r="E88" s="55" t="s">
        <v>283</v>
      </c>
    </row>
    <row r="89" spans="1:6" ht="14.25">
      <c r="A89" s="26" t="s">
        <v>65</v>
      </c>
      <c r="B89" s="29">
        <v>4</v>
      </c>
      <c r="C89" s="61" t="s">
        <v>392</v>
      </c>
      <c r="D89" s="54">
        <v>450</v>
      </c>
      <c r="E89" s="55" t="s">
        <v>283</v>
      </c>
    </row>
    <row r="90" spans="1:6" ht="14.25">
      <c r="A90" s="26" t="s">
        <v>66</v>
      </c>
      <c r="B90" s="29">
        <v>2</v>
      </c>
      <c r="C90" t="s">
        <v>300</v>
      </c>
    </row>
    <row r="91" spans="1:6" ht="14.25">
      <c r="A91" s="26" t="s">
        <v>67</v>
      </c>
      <c r="B91" s="29">
        <v>2</v>
      </c>
      <c r="C91" t="s">
        <v>301</v>
      </c>
    </row>
    <row r="92" spans="1:6" ht="14.25">
      <c r="A92" s="26" t="s">
        <v>68</v>
      </c>
      <c r="B92" s="29">
        <v>2</v>
      </c>
      <c r="C92" t="s">
        <v>302</v>
      </c>
    </row>
    <row r="93" spans="1:6" ht="14.25">
      <c r="A93" s="26" t="s">
        <v>69</v>
      </c>
      <c r="B93" s="29">
        <v>2</v>
      </c>
      <c r="C93" t="s">
        <v>268</v>
      </c>
    </row>
    <row r="94" spans="1:6" ht="14.25">
      <c r="A94" s="26" t="s">
        <v>70</v>
      </c>
      <c r="B94" s="29">
        <v>1</v>
      </c>
      <c r="C94" s="64">
        <v>212086</v>
      </c>
      <c r="D94" s="54">
        <v>1150</v>
      </c>
      <c r="E94" s="55" t="s">
        <v>361</v>
      </c>
      <c r="F94" t="s">
        <v>363</v>
      </c>
    </row>
    <row r="95" spans="1:6" ht="14.25">
      <c r="A95" s="72" t="s">
        <v>71</v>
      </c>
      <c r="B95" s="73">
        <v>1</v>
      </c>
      <c r="C95" s="74"/>
      <c r="D95" s="54">
        <v>15</v>
      </c>
    </row>
    <row r="96" spans="1:6" ht="14.25">
      <c r="A96" s="26" t="s">
        <v>72</v>
      </c>
      <c r="B96" s="29">
        <v>1</v>
      </c>
      <c r="C96" t="s">
        <v>303</v>
      </c>
    </row>
    <row r="97" spans="1:6" ht="14.25">
      <c r="A97" s="26" t="s">
        <v>73</v>
      </c>
      <c r="B97" s="29">
        <v>2</v>
      </c>
      <c r="C97" t="s">
        <v>304</v>
      </c>
    </row>
    <row r="98" spans="1:6" ht="14.25">
      <c r="A98" s="26" t="s">
        <v>74</v>
      </c>
      <c r="B98" s="29">
        <v>1</v>
      </c>
      <c r="C98" s="61" t="s">
        <v>391</v>
      </c>
      <c r="D98" s="54">
        <v>190</v>
      </c>
      <c r="E98" s="55" t="s">
        <v>283</v>
      </c>
    </row>
    <row r="99" spans="1:6" ht="14.25">
      <c r="A99" s="56" t="s">
        <v>75</v>
      </c>
      <c r="B99" s="57">
        <v>1</v>
      </c>
      <c r="C99" s="67" t="s">
        <v>366</v>
      </c>
      <c r="D99" s="54">
        <v>5</v>
      </c>
    </row>
    <row r="100" spans="1:6" ht="14.25">
      <c r="A100" s="56" t="s">
        <v>76</v>
      </c>
      <c r="B100" s="57">
        <v>1</v>
      </c>
      <c r="C100" s="67" t="s">
        <v>366</v>
      </c>
      <c r="D100" s="54">
        <v>5</v>
      </c>
    </row>
    <row r="101" spans="1:6" ht="14.25">
      <c r="A101" s="26" t="s">
        <v>77</v>
      </c>
      <c r="B101" s="29">
        <v>2</v>
      </c>
      <c r="C101" t="s">
        <v>305</v>
      </c>
    </row>
    <row r="102" spans="1:6" ht="14.25">
      <c r="A102" s="24"/>
      <c r="B102" s="31"/>
    </row>
    <row r="103" spans="1:6" ht="15">
      <c r="A103" s="23" t="s">
        <v>413</v>
      </c>
      <c r="B103" s="11"/>
    </row>
    <row r="104" spans="1:6" ht="14.25">
      <c r="A104" s="6" t="s">
        <v>15</v>
      </c>
      <c r="B104" s="6" t="s">
        <v>7</v>
      </c>
    </row>
    <row r="105" spans="1:6" ht="16.5">
      <c r="A105" s="26" t="s">
        <v>78</v>
      </c>
      <c r="B105" s="32">
        <v>1</v>
      </c>
      <c r="C105" s="64">
        <v>212086</v>
      </c>
      <c r="D105" s="54">
        <v>1150</v>
      </c>
      <c r="E105" s="55" t="s">
        <v>361</v>
      </c>
      <c r="F105" s="55" t="s">
        <v>363</v>
      </c>
    </row>
    <row r="106" spans="1:6" ht="16.5">
      <c r="A106" s="26" t="s">
        <v>79</v>
      </c>
      <c r="B106" s="32">
        <v>1</v>
      </c>
      <c r="C106" s="64">
        <v>231014</v>
      </c>
      <c r="D106" s="54">
        <v>15</v>
      </c>
      <c r="E106" s="55" t="s">
        <v>361</v>
      </c>
      <c r="F106" s="55" t="s">
        <v>364</v>
      </c>
    </row>
    <row r="107" spans="1:6" ht="14.25">
      <c r="A107" s="26" t="s">
        <v>80</v>
      </c>
      <c r="B107" s="33">
        <v>6</v>
      </c>
      <c r="C107" t="s">
        <v>307</v>
      </c>
    </row>
    <row r="108" spans="1:6" ht="14.25">
      <c r="A108" s="26" t="s">
        <v>81</v>
      </c>
      <c r="B108" s="33">
        <v>4</v>
      </c>
      <c r="C108" s="55" t="s">
        <v>308</v>
      </c>
    </row>
    <row r="109" spans="1:6" ht="14.25">
      <c r="A109" s="26" t="s">
        <v>82</v>
      </c>
      <c r="B109" s="33">
        <v>4</v>
      </c>
      <c r="C109" s="55" t="s">
        <v>309</v>
      </c>
    </row>
    <row r="110" spans="1:6" ht="14.25">
      <c r="A110" s="26" t="s">
        <v>83</v>
      </c>
      <c r="B110" s="33">
        <v>1</v>
      </c>
      <c r="C110" t="s">
        <v>263</v>
      </c>
    </row>
    <row r="111" spans="1:6" ht="14.25">
      <c r="A111" s="26" t="s">
        <v>84</v>
      </c>
      <c r="B111" s="33">
        <v>1</v>
      </c>
      <c r="C111" t="s">
        <v>262</v>
      </c>
    </row>
    <row r="112" spans="1:6" ht="14.25">
      <c r="A112" s="26" t="s">
        <v>55</v>
      </c>
      <c r="B112" s="33">
        <v>2</v>
      </c>
      <c r="C112" t="s">
        <v>269</v>
      </c>
    </row>
    <row r="113" spans="1:3" ht="14.25">
      <c r="A113" s="26" t="s">
        <v>56</v>
      </c>
      <c r="B113" s="33">
        <v>2</v>
      </c>
      <c r="C113" t="s">
        <v>264</v>
      </c>
    </row>
    <row r="114" spans="1:3" ht="14.25">
      <c r="A114" s="26" t="s">
        <v>85</v>
      </c>
      <c r="B114" s="33">
        <v>1</v>
      </c>
      <c r="C114" t="s">
        <v>322</v>
      </c>
    </row>
    <row r="115" spans="1:3" ht="14.25">
      <c r="A115" s="26" t="s">
        <v>86</v>
      </c>
      <c r="B115" s="33">
        <v>1</v>
      </c>
      <c r="C115" t="s">
        <v>323</v>
      </c>
    </row>
    <row r="116" spans="1:3" ht="14.25">
      <c r="A116" s="26" t="s">
        <v>87</v>
      </c>
      <c r="B116" s="33">
        <v>1</v>
      </c>
      <c r="C116" t="s">
        <v>324</v>
      </c>
    </row>
    <row r="117" spans="1:3" ht="14.25">
      <c r="A117" s="26" t="s">
        <v>88</v>
      </c>
      <c r="B117" s="33">
        <v>1</v>
      </c>
      <c r="C117" t="s">
        <v>325</v>
      </c>
    </row>
    <row r="118" spans="1:3" ht="14.25">
      <c r="A118" s="26" t="s">
        <v>89</v>
      </c>
      <c r="B118" s="33">
        <v>1</v>
      </c>
      <c r="C118" t="s">
        <v>310</v>
      </c>
    </row>
    <row r="119" spans="1:3" ht="14.25">
      <c r="A119" s="26" t="s">
        <v>90</v>
      </c>
      <c r="B119" s="33">
        <v>1</v>
      </c>
      <c r="C119" t="s">
        <v>311</v>
      </c>
    </row>
    <row r="120" spans="1:3" ht="14.25">
      <c r="A120" s="26" t="s">
        <v>91</v>
      </c>
      <c r="B120" s="33">
        <v>1</v>
      </c>
      <c r="C120" s="55" t="s">
        <v>312</v>
      </c>
    </row>
    <row r="121" spans="1:3" ht="14.25">
      <c r="A121" s="26" t="s">
        <v>92</v>
      </c>
      <c r="B121" s="33">
        <v>1</v>
      </c>
      <c r="C121" s="55" t="s">
        <v>313</v>
      </c>
    </row>
    <row r="122" spans="1:3" ht="14.25">
      <c r="A122" s="26" t="s">
        <v>93</v>
      </c>
      <c r="B122" s="33">
        <v>1</v>
      </c>
      <c r="C122" s="55" t="s">
        <v>314</v>
      </c>
    </row>
    <row r="123" spans="1:3" ht="14.25">
      <c r="A123" s="26" t="s">
        <v>94</v>
      </c>
      <c r="B123" s="33">
        <v>1</v>
      </c>
      <c r="C123" s="55" t="s">
        <v>315</v>
      </c>
    </row>
    <row r="124" spans="1:3" ht="14.25">
      <c r="A124" s="26" t="s">
        <v>95</v>
      </c>
      <c r="B124" s="33">
        <v>1</v>
      </c>
      <c r="C124" s="55" t="s">
        <v>316</v>
      </c>
    </row>
    <row r="125" spans="1:3" ht="14.25">
      <c r="A125" s="26" t="s">
        <v>96</v>
      </c>
      <c r="B125" s="33">
        <v>1</v>
      </c>
      <c r="C125" t="s">
        <v>317</v>
      </c>
    </row>
    <row r="126" spans="1:3" ht="14.25">
      <c r="A126" s="26" t="s">
        <v>97</v>
      </c>
      <c r="B126" s="33">
        <v>1</v>
      </c>
      <c r="C126" t="s">
        <v>318</v>
      </c>
    </row>
    <row r="127" spans="1:3" ht="14.25">
      <c r="A127" s="26" t="s">
        <v>98</v>
      </c>
      <c r="B127" s="33">
        <v>1</v>
      </c>
      <c r="C127" s="55" t="s">
        <v>319</v>
      </c>
    </row>
    <row r="128" spans="1:3" ht="14.25">
      <c r="A128" s="26" t="s">
        <v>99</v>
      </c>
      <c r="B128" s="33">
        <v>1</v>
      </c>
      <c r="C128" t="s">
        <v>320</v>
      </c>
    </row>
    <row r="129" spans="1:8" ht="14.25">
      <c r="A129" s="65" t="s">
        <v>367</v>
      </c>
      <c r="B129" s="68">
        <v>1</v>
      </c>
    </row>
    <row r="130" spans="1:8" ht="14.25">
      <c r="A130" s="65" t="s">
        <v>368</v>
      </c>
      <c r="B130" s="68">
        <v>1</v>
      </c>
    </row>
    <row r="131" spans="1:8" ht="14.25">
      <c r="A131" s="26" t="s">
        <v>100</v>
      </c>
      <c r="B131" s="33">
        <v>1</v>
      </c>
      <c r="C131" t="s">
        <v>321</v>
      </c>
    </row>
    <row r="132" spans="1:8" ht="14.25">
      <c r="A132" s="58" t="s">
        <v>78</v>
      </c>
      <c r="B132" s="59">
        <v>1</v>
      </c>
      <c r="C132" s="64">
        <v>212086</v>
      </c>
      <c r="D132" s="54">
        <v>1150</v>
      </c>
      <c r="E132" s="55" t="s">
        <v>361</v>
      </c>
      <c r="F132" t="s">
        <v>363</v>
      </c>
      <c r="H132" s="55" t="s">
        <v>378</v>
      </c>
    </row>
    <row r="133" spans="1:8" ht="14.25">
      <c r="A133" s="58" t="s">
        <v>79</v>
      </c>
      <c r="B133" s="59">
        <v>1</v>
      </c>
      <c r="C133" s="64">
        <v>231014</v>
      </c>
      <c r="D133" s="54">
        <v>15</v>
      </c>
      <c r="E133" s="55" t="s">
        <v>361</v>
      </c>
      <c r="F133" s="55" t="s">
        <v>364</v>
      </c>
    </row>
    <row r="134" spans="1:8" ht="14.25">
      <c r="A134" s="58" t="s">
        <v>80</v>
      </c>
      <c r="B134" s="59">
        <v>6</v>
      </c>
      <c r="C134" t="s">
        <v>307</v>
      </c>
    </row>
    <row r="135" spans="1:8" ht="14.25">
      <c r="A135" s="58" t="s">
        <v>81</v>
      </c>
      <c r="B135" s="59">
        <v>4</v>
      </c>
      <c r="C135" s="55" t="s">
        <v>308</v>
      </c>
    </row>
    <row r="136" spans="1:8" ht="14.25">
      <c r="A136" s="58" t="s">
        <v>82</v>
      </c>
      <c r="B136" s="59">
        <v>4</v>
      </c>
      <c r="C136" s="55" t="s">
        <v>309</v>
      </c>
    </row>
    <row r="137" spans="1:8" ht="14.25">
      <c r="A137" s="58" t="s">
        <v>83</v>
      </c>
      <c r="B137" s="59">
        <v>1</v>
      </c>
      <c r="C137" t="s">
        <v>263</v>
      </c>
    </row>
    <row r="138" spans="1:8" ht="14.25">
      <c r="A138" s="58" t="s">
        <v>84</v>
      </c>
      <c r="B138" s="59">
        <v>1</v>
      </c>
      <c r="C138" t="s">
        <v>262</v>
      </c>
    </row>
    <row r="139" spans="1:8" ht="14.25">
      <c r="A139" s="58" t="s">
        <v>55</v>
      </c>
      <c r="B139" s="59">
        <v>2</v>
      </c>
      <c r="C139" t="s">
        <v>269</v>
      </c>
    </row>
    <row r="140" spans="1:8" ht="14.25">
      <c r="A140" s="58" t="s">
        <v>56</v>
      </c>
      <c r="B140" s="59">
        <v>2</v>
      </c>
      <c r="C140" t="s">
        <v>264</v>
      </c>
    </row>
    <row r="141" spans="1:8" ht="14.25">
      <c r="A141" s="58" t="s">
        <v>85</v>
      </c>
      <c r="B141" s="59">
        <v>1</v>
      </c>
      <c r="C141" t="s">
        <v>322</v>
      </c>
    </row>
    <row r="142" spans="1:8" ht="14.25">
      <c r="A142" s="58" t="s">
        <v>86</v>
      </c>
      <c r="B142" s="59">
        <v>1</v>
      </c>
      <c r="C142" t="s">
        <v>323</v>
      </c>
    </row>
    <row r="143" spans="1:8" ht="14.25">
      <c r="A143" s="58" t="s">
        <v>87</v>
      </c>
      <c r="B143" s="59">
        <v>1</v>
      </c>
      <c r="C143" t="s">
        <v>324</v>
      </c>
    </row>
    <row r="144" spans="1:8" ht="14.25">
      <c r="A144" s="58" t="s">
        <v>88</v>
      </c>
      <c r="B144" s="59">
        <v>1</v>
      </c>
      <c r="C144" t="s">
        <v>325</v>
      </c>
    </row>
    <row r="145" spans="1:3" ht="14.25">
      <c r="A145" s="58" t="s">
        <v>89</v>
      </c>
      <c r="B145" s="59">
        <v>1</v>
      </c>
      <c r="C145" t="s">
        <v>310</v>
      </c>
    </row>
    <row r="146" spans="1:3" ht="14.25">
      <c r="A146" s="58" t="s">
        <v>90</v>
      </c>
      <c r="B146" s="59">
        <v>1</v>
      </c>
      <c r="C146" t="s">
        <v>311</v>
      </c>
    </row>
    <row r="147" spans="1:3" ht="14.25">
      <c r="A147" s="58" t="s">
        <v>91</v>
      </c>
      <c r="B147" s="59">
        <v>1</v>
      </c>
      <c r="C147" s="55" t="s">
        <v>312</v>
      </c>
    </row>
    <row r="148" spans="1:3" ht="14.25">
      <c r="A148" s="58" t="s">
        <v>92</v>
      </c>
      <c r="B148" s="59">
        <v>1</v>
      </c>
      <c r="C148" s="55" t="s">
        <v>313</v>
      </c>
    </row>
    <row r="149" spans="1:3" ht="14.25">
      <c r="A149" s="58" t="s">
        <v>93</v>
      </c>
      <c r="B149" s="59">
        <v>1</v>
      </c>
      <c r="C149" s="55" t="s">
        <v>314</v>
      </c>
    </row>
    <row r="150" spans="1:3" ht="14.25">
      <c r="A150" s="58" t="s">
        <v>94</v>
      </c>
      <c r="B150" s="59">
        <v>1</v>
      </c>
      <c r="C150" s="55" t="s">
        <v>315</v>
      </c>
    </row>
    <row r="151" spans="1:3" ht="14.25">
      <c r="A151" s="58" t="s">
        <v>95</v>
      </c>
      <c r="B151" s="59">
        <v>1</v>
      </c>
      <c r="C151" s="55" t="s">
        <v>316</v>
      </c>
    </row>
    <row r="152" spans="1:3" ht="14.25">
      <c r="A152" s="58" t="s">
        <v>96</v>
      </c>
      <c r="B152" s="59">
        <v>1</v>
      </c>
      <c r="C152" t="s">
        <v>317</v>
      </c>
    </row>
    <row r="153" spans="1:3" ht="14.25">
      <c r="A153" s="58" t="s">
        <v>97</v>
      </c>
      <c r="B153" s="59">
        <v>1</v>
      </c>
      <c r="C153" t="s">
        <v>318</v>
      </c>
    </row>
    <row r="154" spans="1:3" ht="14.25">
      <c r="A154" s="58" t="s">
        <v>98</v>
      </c>
      <c r="B154" s="59">
        <v>1</v>
      </c>
      <c r="C154" s="55" t="s">
        <v>319</v>
      </c>
    </row>
    <row r="155" spans="1:3" ht="14.25">
      <c r="A155" s="58" t="s">
        <v>99</v>
      </c>
      <c r="B155" s="59">
        <v>1</v>
      </c>
      <c r="C155" t="s">
        <v>320</v>
      </c>
    </row>
    <row r="156" spans="1:3" ht="14.25">
      <c r="A156" s="75" t="s">
        <v>367</v>
      </c>
      <c r="B156" s="76">
        <v>1</v>
      </c>
    </row>
    <row r="157" spans="1:3" ht="14.25">
      <c r="A157" s="75" t="s">
        <v>368</v>
      </c>
      <c r="B157" s="76">
        <v>1</v>
      </c>
    </row>
    <row r="158" spans="1:3" ht="14.25">
      <c r="A158" s="58" t="s">
        <v>100</v>
      </c>
      <c r="B158" s="59">
        <v>1</v>
      </c>
      <c r="C158" t="s">
        <v>321</v>
      </c>
    </row>
    <row r="159" spans="1:3" ht="14.25">
      <c r="A159" s="8"/>
      <c r="B159" s="4"/>
    </row>
    <row r="160" spans="1:3" ht="15">
      <c r="A160" s="18" t="s">
        <v>414</v>
      </c>
      <c r="B160" s="11"/>
    </row>
    <row r="161" spans="1:6" ht="14.25">
      <c r="A161" s="34" t="s">
        <v>199</v>
      </c>
      <c r="B161" s="6" t="s">
        <v>200</v>
      </c>
    </row>
    <row r="162" spans="1:6" ht="14.25">
      <c r="A162" s="65" t="s">
        <v>201</v>
      </c>
      <c r="B162" s="69">
        <v>1</v>
      </c>
    </row>
    <row r="163" spans="1:6" ht="14.25">
      <c r="A163" s="35"/>
      <c r="B163" s="36"/>
    </row>
    <row r="164" spans="1:6" ht="15">
      <c r="A164" s="9" t="s">
        <v>101</v>
      </c>
      <c r="B164" s="11"/>
    </row>
    <row r="165" spans="1:6" ht="14.25">
      <c r="A165" s="3" t="s">
        <v>6</v>
      </c>
      <c r="B165" s="1" t="s">
        <v>7</v>
      </c>
    </row>
    <row r="166" spans="1:6" ht="14.25">
      <c r="A166" s="26" t="s">
        <v>102</v>
      </c>
      <c r="B166" s="29">
        <v>1</v>
      </c>
      <c r="C166" s="64">
        <v>212082</v>
      </c>
      <c r="D166" s="54">
        <v>815</v>
      </c>
      <c r="E166" s="55" t="s">
        <v>361</v>
      </c>
      <c r="F166" s="55" t="s">
        <v>379</v>
      </c>
    </row>
    <row r="167" spans="1:6" ht="14.25">
      <c r="A167" s="26" t="s">
        <v>103</v>
      </c>
      <c r="B167" s="29">
        <v>8</v>
      </c>
      <c r="C167" t="s">
        <v>307</v>
      </c>
    </row>
    <row r="168" spans="1:6" ht="14.25">
      <c r="A168" s="26" t="s">
        <v>104</v>
      </c>
      <c r="B168" s="29">
        <v>1</v>
      </c>
      <c r="C168" t="s">
        <v>275</v>
      </c>
    </row>
    <row r="169" spans="1:6" ht="14.25">
      <c r="A169" s="26" t="s">
        <v>105</v>
      </c>
      <c r="B169" s="29">
        <v>1</v>
      </c>
      <c r="C169" t="s">
        <v>326</v>
      </c>
    </row>
    <row r="170" spans="1:6" ht="14.25">
      <c r="A170" s="26" t="s">
        <v>106</v>
      </c>
      <c r="B170" s="29">
        <v>1</v>
      </c>
      <c r="C170" t="s">
        <v>327</v>
      </c>
    </row>
    <row r="171" spans="1:6" ht="14.25">
      <c r="A171" s="26" t="s">
        <v>107</v>
      </c>
      <c r="B171" s="29">
        <v>2</v>
      </c>
      <c r="C171" t="s">
        <v>276</v>
      </c>
    </row>
    <row r="172" spans="1:6" ht="14.25">
      <c r="A172" s="65" t="s">
        <v>380</v>
      </c>
      <c r="B172" s="66">
        <v>6</v>
      </c>
    </row>
    <row r="173" spans="1:6" ht="14.25">
      <c r="A173" s="65" t="s">
        <v>381</v>
      </c>
      <c r="B173" s="66">
        <v>8</v>
      </c>
    </row>
    <row r="174" spans="1:6" ht="14.25">
      <c r="A174" s="65" t="s">
        <v>382</v>
      </c>
      <c r="B174" s="66">
        <v>8</v>
      </c>
    </row>
    <row r="175" spans="1:6" ht="14.25">
      <c r="A175" s="65" t="s">
        <v>383</v>
      </c>
      <c r="B175" s="66">
        <v>8</v>
      </c>
    </row>
    <row r="176" spans="1:6" ht="14.25">
      <c r="A176" s="26" t="s">
        <v>108</v>
      </c>
      <c r="B176" s="29">
        <v>1</v>
      </c>
      <c r="C176" t="s">
        <v>328</v>
      </c>
    </row>
    <row r="177" spans="1:6" ht="14.25">
      <c r="A177" s="26" t="s">
        <v>109</v>
      </c>
      <c r="B177" s="29">
        <v>1</v>
      </c>
      <c r="C177" t="s">
        <v>279</v>
      </c>
    </row>
    <row r="178" spans="1:6" ht="14.25">
      <c r="A178" s="26" t="s">
        <v>110</v>
      </c>
      <c r="B178" s="29">
        <v>1</v>
      </c>
      <c r="C178" t="s">
        <v>262</v>
      </c>
    </row>
    <row r="179" spans="1:6" ht="14.25">
      <c r="A179" s="26" t="s">
        <v>79</v>
      </c>
      <c r="B179" s="29">
        <v>2</v>
      </c>
      <c r="C179" s="64">
        <v>231014</v>
      </c>
      <c r="D179" s="54">
        <v>15</v>
      </c>
      <c r="E179" s="55" t="s">
        <v>361</v>
      </c>
      <c r="F179" s="55" t="s">
        <v>364</v>
      </c>
    </row>
    <row r="180" spans="1:6" ht="14.25">
      <c r="A180" s="26" t="s">
        <v>111</v>
      </c>
      <c r="B180" s="29">
        <v>1</v>
      </c>
      <c r="C180" t="s">
        <v>263</v>
      </c>
    </row>
    <row r="181" spans="1:6" ht="14.25">
      <c r="A181" s="26" t="s">
        <v>112</v>
      </c>
      <c r="B181" s="29">
        <v>2</v>
      </c>
      <c r="C181" t="s">
        <v>264</v>
      </c>
    </row>
    <row r="182" spans="1:6" ht="14.25">
      <c r="A182" s="26" t="s">
        <v>113</v>
      </c>
      <c r="B182" s="29">
        <v>2</v>
      </c>
      <c r="C182" t="s">
        <v>269</v>
      </c>
    </row>
    <row r="183" spans="1:6" ht="14.25">
      <c r="A183" s="26" t="s">
        <v>114</v>
      </c>
      <c r="B183" s="29">
        <v>6</v>
      </c>
      <c r="C183" t="s">
        <v>290</v>
      </c>
    </row>
    <row r="184" spans="1:6" ht="14.25">
      <c r="A184" s="26" t="s">
        <v>2</v>
      </c>
      <c r="B184" s="29">
        <v>6</v>
      </c>
      <c r="C184" s="55" t="s">
        <v>309</v>
      </c>
    </row>
    <row r="185" spans="1:6" ht="14.25">
      <c r="A185" s="26" t="s">
        <v>115</v>
      </c>
      <c r="B185" s="29">
        <v>1</v>
      </c>
      <c r="C185" t="s">
        <v>329</v>
      </c>
    </row>
    <row r="186" spans="1:6" ht="14.25">
      <c r="A186" s="26" t="s">
        <v>115</v>
      </c>
      <c r="B186" s="29">
        <v>1</v>
      </c>
      <c r="C186" t="s">
        <v>330</v>
      </c>
    </row>
    <row r="187" spans="1:6" ht="14.25">
      <c r="A187" s="26" t="s">
        <v>116</v>
      </c>
      <c r="B187" s="29">
        <v>1</v>
      </c>
      <c r="C187" t="s">
        <v>266</v>
      </c>
    </row>
    <row r="188" spans="1:6" ht="14.25">
      <c r="A188" s="26" t="s">
        <v>116</v>
      </c>
      <c r="B188" s="29">
        <v>1</v>
      </c>
      <c r="C188" s="55" t="s">
        <v>295</v>
      </c>
    </row>
    <row r="189" spans="1:6" ht="14.25">
      <c r="A189" s="26" t="s">
        <v>117</v>
      </c>
      <c r="B189" s="29">
        <v>2</v>
      </c>
      <c r="C189" t="s">
        <v>296</v>
      </c>
    </row>
    <row r="190" spans="1:6" ht="14.25">
      <c r="A190" s="26" t="s">
        <v>118</v>
      </c>
      <c r="B190" s="29">
        <v>1</v>
      </c>
      <c r="C190" t="s">
        <v>331</v>
      </c>
    </row>
    <row r="191" spans="1:6" ht="14.25">
      <c r="A191" s="26" t="s">
        <v>119</v>
      </c>
      <c r="B191" s="29">
        <v>1</v>
      </c>
      <c r="C191" t="s">
        <v>332</v>
      </c>
    </row>
    <row r="192" spans="1:6" ht="14.25">
      <c r="A192" s="26" t="s">
        <v>120</v>
      </c>
      <c r="B192" s="29">
        <v>1</v>
      </c>
      <c r="C192" t="s">
        <v>333</v>
      </c>
    </row>
    <row r="193" spans="1:6" ht="14.25">
      <c r="A193" s="26" t="s">
        <v>121</v>
      </c>
      <c r="B193" s="29">
        <v>2</v>
      </c>
      <c r="C193" t="s">
        <v>302</v>
      </c>
    </row>
    <row r="194" spans="1:6" ht="14.25">
      <c r="A194" s="26" t="s">
        <v>122</v>
      </c>
      <c r="B194" s="29">
        <v>1</v>
      </c>
      <c r="C194" s="55" t="s">
        <v>308</v>
      </c>
    </row>
    <row r="195" spans="1:6" ht="14.25">
      <c r="A195" s="26" t="s">
        <v>123</v>
      </c>
      <c r="B195" s="33">
        <v>2</v>
      </c>
      <c r="C195" t="s">
        <v>334</v>
      </c>
    </row>
    <row r="196" spans="1:6" ht="14.25">
      <c r="A196" s="26" t="s">
        <v>124</v>
      </c>
      <c r="B196" s="33">
        <v>2</v>
      </c>
      <c r="C196" t="s">
        <v>335</v>
      </c>
    </row>
    <row r="197" spans="1:6" ht="14.25">
      <c r="A197" s="26" t="s">
        <v>125</v>
      </c>
      <c r="B197" s="33">
        <v>4</v>
      </c>
      <c r="C197" t="s">
        <v>336</v>
      </c>
    </row>
    <row r="198" spans="1:6" ht="14.25">
      <c r="A198" s="26" t="s">
        <v>126</v>
      </c>
      <c r="B198" s="33">
        <v>4</v>
      </c>
      <c r="C198" t="s">
        <v>337</v>
      </c>
    </row>
    <row r="199" spans="1:6" ht="14.25">
      <c r="A199" s="65" t="s">
        <v>340</v>
      </c>
      <c r="B199" s="33">
        <v>2</v>
      </c>
      <c r="C199" s="61" t="s">
        <v>341</v>
      </c>
      <c r="D199" s="54">
        <v>32000</v>
      </c>
      <c r="E199" s="55" t="s">
        <v>283</v>
      </c>
    </row>
    <row r="200" spans="1:6" ht="14.25">
      <c r="A200" s="26" t="s">
        <v>127</v>
      </c>
      <c r="B200" s="33">
        <v>2</v>
      </c>
      <c r="C200" t="s">
        <v>338</v>
      </c>
    </row>
    <row r="201" spans="1:6" ht="14.25">
      <c r="A201" s="65" t="s">
        <v>369</v>
      </c>
      <c r="B201" s="68">
        <v>1</v>
      </c>
    </row>
    <row r="202" spans="1:6" ht="14.25">
      <c r="A202" s="26" t="s">
        <v>128</v>
      </c>
      <c r="B202" s="33">
        <v>6</v>
      </c>
      <c r="C202" t="s">
        <v>339</v>
      </c>
    </row>
    <row r="203" spans="1:6" ht="14.25">
      <c r="A203" s="65" t="s">
        <v>202</v>
      </c>
      <c r="B203" s="69">
        <v>1</v>
      </c>
      <c r="C203" s="52" t="s">
        <v>370</v>
      </c>
    </row>
    <row r="204" spans="1:6" ht="14.25">
      <c r="A204" s="37" t="s">
        <v>203</v>
      </c>
      <c r="B204" s="6">
        <v>2</v>
      </c>
      <c r="C204" t="s">
        <v>269</v>
      </c>
    </row>
    <row r="205" spans="1:6" ht="14.25">
      <c r="A205" s="8"/>
      <c r="B205" s="2"/>
    </row>
    <row r="206" spans="1:6" ht="15">
      <c r="A206" s="9" t="s">
        <v>129</v>
      </c>
      <c r="B206" s="11"/>
    </row>
    <row r="207" spans="1:6" ht="14.25">
      <c r="A207" s="6" t="s">
        <v>15</v>
      </c>
      <c r="B207" s="6" t="s">
        <v>7</v>
      </c>
    </row>
    <row r="208" spans="1:6" ht="14.25">
      <c r="A208" s="38" t="s">
        <v>78</v>
      </c>
      <c r="B208" s="33">
        <v>1</v>
      </c>
      <c r="C208" s="64">
        <v>212082</v>
      </c>
      <c r="D208" s="54">
        <v>815</v>
      </c>
      <c r="E208" s="55" t="s">
        <v>361</v>
      </c>
      <c r="F208" s="55" t="s">
        <v>379</v>
      </c>
    </row>
    <row r="209" spans="1:6" ht="14.25">
      <c r="A209" s="38" t="s">
        <v>130</v>
      </c>
      <c r="B209" s="33">
        <v>2</v>
      </c>
      <c r="C209" t="s">
        <v>326</v>
      </c>
    </row>
    <row r="210" spans="1:6" ht="14.25">
      <c r="A210" s="38" t="s">
        <v>131</v>
      </c>
      <c r="B210" s="33">
        <v>2</v>
      </c>
      <c r="C210" t="s">
        <v>275</v>
      </c>
    </row>
    <row r="211" spans="1:6" ht="14.25">
      <c r="A211" s="38" t="s">
        <v>132</v>
      </c>
      <c r="B211" s="33">
        <v>1</v>
      </c>
      <c r="C211" t="s">
        <v>262</v>
      </c>
    </row>
    <row r="212" spans="1:6" ht="14.25">
      <c r="A212" s="38" t="s">
        <v>133</v>
      </c>
      <c r="B212" s="33">
        <v>1</v>
      </c>
      <c r="C212" s="64">
        <v>231014</v>
      </c>
      <c r="D212" s="54">
        <v>15</v>
      </c>
      <c r="E212" s="55" t="s">
        <v>361</v>
      </c>
      <c r="F212" s="55" t="s">
        <v>364</v>
      </c>
    </row>
    <row r="213" spans="1:6" ht="14.25">
      <c r="A213" s="38" t="s">
        <v>134</v>
      </c>
      <c r="B213" s="33">
        <v>4</v>
      </c>
      <c r="C213" t="s">
        <v>291</v>
      </c>
    </row>
    <row r="214" spans="1:6" ht="14.25">
      <c r="A214" s="38" t="s">
        <v>135</v>
      </c>
      <c r="B214" s="33">
        <v>1</v>
      </c>
      <c r="C214" s="55" t="s">
        <v>342</v>
      </c>
    </row>
    <row r="215" spans="1:6" ht="14.25">
      <c r="A215" s="38" t="s">
        <v>4</v>
      </c>
      <c r="B215" s="33">
        <v>2</v>
      </c>
      <c r="C215" t="s">
        <v>269</v>
      </c>
    </row>
    <row r="216" spans="1:6" ht="14.25">
      <c r="A216" s="38" t="s">
        <v>136</v>
      </c>
      <c r="B216" s="33">
        <v>1</v>
      </c>
      <c r="C216" t="s">
        <v>263</v>
      </c>
    </row>
    <row r="217" spans="1:6" ht="14.25">
      <c r="A217" s="38" t="s">
        <v>137</v>
      </c>
      <c r="B217" s="33">
        <v>2</v>
      </c>
      <c r="C217" t="s">
        <v>343</v>
      </c>
    </row>
    <row r="218" spans="1:6" ht="14.25">
      <c r="A218" s="38" t="s">
        <v>2</v>
      </c>
      <c r="B218" s="33">
        <v>5</v>
      </c>
      <c r="C218" s="55" t="s">
        <v>309</v>
      </c>
    </row>
    <row r="219" spans="1:6" ht="14.25">
      <c r="A219" s="38" t="s">
        <v>0</v>
      </c>
      <c r="B219" s="33">
        <v>5</v>
      </c>
      <c r="C219" s="55" t="s">
        <v>308</v>
      </c>
    </row>
    <row r="220" spans="1:6" ht="14.25">
      <c r="A220" s="38" t="s">
        <v>138</v>
      </c>
      <c r="B220" s="33">
        <v>8</v>
      </c>
      <c r="C220" t="s">
        <v>307</v>
      </c>
    </row>
    <row r="221" spans="1:6" ht="14.25">
      <c r="A221" s="38" t="s">
        <v>139</v>
      </c>
      <c r="B221" s="33">
        <v>2</v>
      </c>
      <c r="C221" s="55" t="s">
        <v>344</v>
      </c>
    </row>
    <row r="222" spans="1:6" ht="14.25">
      <c r="A222" s="38" t="s">
        <v>140</v>
      </c>
      <c r="B222" s="33">
        <v>2</v>
      </c>
      <c r="C222" s="55" t="s">
        <v>345</v>
      </c>
    </row>
    <row r="223" spans="1:6" ht="14.25">
      <c r="A223" s="38" t="s">
        <v>96</v>
      </c>
      <c r="B223" s="33">
        <v>1</v>
      </c>
      <c r="C223" t="s">
        <v>317</v>
      </c>
    </row>
    <row r="224" spans="1:6" ht="14.25">
      <c r="A224" s="77" t="s">
        <v>371</v>
      </c>
      <c r="B224" s="78">
        <v>1</v>
      </c>
      <c r="C224" t="s">
        <v>384</v>
      </c>
    </row>
    <row r="225" spans="1:13" ht="14.25">
      <c r="A225" s="38" t="s">
        <v>141</v>
      </c>
      <c r="B225" s="33">
        <v>1</v>
      </c>
      <c r="C225" t="s">
        <v>318</v>
      </c>
    </row>
    <row r="226" spans="1:13" ht="14.25">
      <c r="A226" s="62" t="s">
        <v>347</v>
      </c>
      <c r="B226" s="33">
        <v>2</v>
      </c>
      <c r="C226" t="s">
        <v>334</v>
      </c>
    </row>
    <row r="227" spans="1:13" ht="18">
      <c r="A227" s="38" t="s">
        <v>142</v>
      </c>
      <c r="B227" s="39">
        <v>4</v>
      </c>
      <c r="C227" t="s">
        <v>348</v>
      </c>
    </row>
    <row r="228" spans="1:13" ht="18">
      <c r="A228" s="38" t="s">
        <v>115</v>
      </c>
      <c r="B228" s="39">
        <v>2</v>
      </c>
      <c r="C228" t="s">
        <v>329</v>
      </c>
    </row>
    <row r="229" spans="1:13" ht="18">
      <c r="A229" s="38" t="s">
        <v>1</v>
      </c>
      <c r="B229" s="39">
        <v>2</v>
      </c>
      <c r="C229" t="s">
        <v>266</v>
      </c>
    </row>
    <row r="230" spans="1:13" ht="18">
      <c r="A230" s="38" t="s">
        <v>143</v>
      </c>
      <c r="B230" s="39">
        <v>1</v>
      </c>
      <c r="C230" t="s">
        <v>349</v>
      </c>
    </row>
    <row r="231" spans="1:13" ht="18">
      <c r="A231" s="38" t="s">
        <v>9</v>
      </c>
      <c r="B231" s="39">
        <v>2</v>
      </c>
      <c r="C231" t="s">
        <v>264</v>
      </c>
    </row>
    <row r="232" spans="1:13" ht="18">
      <c r="A232" s="38" t="s">
        <v>3</v>
      </c>
      <c r="B232" s="39">
        <v>2</v>
      </c>
      <c r="C232" s="55" t="s">
        <v>268</v>
      </c>
    </row>
    <row r="233" spans="1:13" ht="18">
      <c r="A233" s="38" t="s">
        <v>144</v>
      </c>
      <c r="B233" s="39">
        <v>2</v>
      </c>
      <c r="C233" s="55" t="s">
        <v>333</v>
      </c>
    </row>
    <row r="234" spans="1:13" ht="18">
      <c r="A234" s="70" t="s">
        <v>385</v>
      </c>
      <c r="B234" s="71">
        <v>2</v>
      </c>
    </row>
    <row r="235" spans="1:13" ht="18">
      <c r="A235" s="38" t="s">
        <v>145</v>
      </c>
      <c r="B235" s="40">
        <v>1</v>
      </c>
      <c r="C235" t="s">
        <v>346</v>
      </c>
    </row>
    <row r="236" spans="1:13" ht="18">
      <c r="A236" s="38" t="s">
        <v>146</v>
      </c>
      <c r="B236" s="39">
        <v>2</v>
      </c>
      <c r="C236" t="s">
        <v>350</v>
      </c>
    </row>
    <row r="237" spans="1:13" ht="18">
      <c r="A237" s="38" t="s">
        <v>147</v>
      </c>
      <c r="B237" s="39">
        <v>2</v>
      </c>
      <c r="C237" t="s">
        <v>351</v>
      </c>
    </row>
    <row r="238" spans="1:13" ht="18">
      <c r="A238" s="70" t="s">
        <v>372</v>
      </c>
      <c r="B238" s="71">
        <v>1</v>
      </c>
      <c r="C238" s="52" t="s">
        <v>370</v>
      </c>
    </row>
    <row r="239" spans="1:13" ht="18">
      <c r="A239" s="41"/>
      <c r="B239" s="42"/>
    </row>
    <row r="240" spans="1:13" ht="15">
      <c r="A240" s="9" t="s">
        <v>148</v>
      </c>
      <c r="B240" s="11"/>
      <c r="J240" s="64"/>
      <c r="K240" s="54"/>
      <c r="L240" s="55"/>
      <c r="M240" s="55"/>
    </row>
    <row r="241" spans="1:13" ht="14.25">
      <c r="A241" s="5" t="s">
        <v>6</v>
      </c>
      <c r="B241" s="6" t="s">
        <v>7</v>
      </c>
      <c r="J241" s="64"/>
      <c r="K241" s="54"/>
      <c r="L241" s="55"/>
      <c r="M241" s="55"/>
    </row>
    <row r="242" spans="1:13" ht="18">
      <c r="A242" s="26" t="s">
        <v>149</v>
      </c>
      <c r="B242" s="39">
        <v>1</v>
      </c>
      <c r="C242" s="64">
        <v>231054</v>
      </c>
      <c r="D242" s="54">
        <v>75</v>
      </c>
      <c r="E242" s="55" t="s">
        <v>361</v>
      </c>
      <c r="F242" s="55" t="s">
        <v>365</v>
      </c>
    </row>
    <row r="243" spans="1:13" ht="18">
      <c r="A243" s="77" t="s">
        <v>373</v>
      </c>
      <c r="B243" s="79">
        <v>1</v>
      </c>
      <c r="C243" s="64" t="s">
        <v>263</v>
      </c>
      <c r="E243" s="55"/>
      <c r="F243" s="55"/>
    </row>
    <row r="244" spans="1:13" ht="18">
      <c r="A244" s="26" t="s">
        <v>150</v>
      </c>
      <c r="B244" s="39">
        <v>1</v>
      </c>
      <c r="C244" s="64">
        <v>231014</v>
      </c>
      <c r="D244" s="54">
        <v>15</v>
      </c>
      <c r="E244" s="55" t="s">
        <v>361</v>
      </c>
      <c r="F244" s="55" t="s">
        <v>364</v>
      </c>
    </row>
    <row r="245" spans="1:13" ht="18">
      <c r="A245" s="24"/>
      <c r="B245" s="20"/>
    </row>
    <row r="246" spans="1:13" ht="15">
      <c r="A246" s="9" t="s">
        <v>151</v>
      </c>
      <c r="B246" s="11"/>
    </row>
    <row r="247" spans="1:13" ht="14.25">
      <c r="A247" s="34" t="s">
        <v>199</v>
      </c>
      <c r="B247" s="6" t="s">
        <v>200</v>
      </c>
    </row>
    <row r="248" spans="1:13" ht="14.25">
      <c r="A248" s="26" t="s">
        <v>152</v>
      </c>
      <c r="B248" s="51">
        <v>1</v>
      </c>
      <c r="C248" s="64">
        <v>231014</v>
      </c>
      <c r="D248" s="54">
        <v>15</v>
      </c>
      <c r="E248" s="55" t="s">
        <v>361</v>
      </c>
      <c r="F248" s="55" t="s">
        <v>364</v>
      </c>
    </row>
    <row r="249" spans="1:13" ht="14.25">
      <c r="A249" s="26" t="s">
        <v>153</v>
      </c>
      <c r="B249" s="51">
        <v>1</v>
      </c>
      <c r="C249" t="s">
        <v>326</v>
      </c>
    </row>
    <row r="250" spans="1:13" ht="14.25">
      <c r="A250" s="26" t="s">
        <v>154</v>
      </c>
      <c r="B250" s="51">
        <v>1</v>
      </c>
      <c r="C250" t="s">
        <v>279</v>
      </c>
    </row>
    <row r="251" spans="1:13" ht="14.25">
      <c r="A251" s="26" t="s">
        <v>155</v>
      </c>
      <c r="B251" s="51">
        <v>1</v>
      </c>
      <c r="C251" t="s">
        <v>262</v>
      </c>
    </row>
    <row r="252" spans="1:13" ht="14.25">
      <c r="A252" s="26" t="s">
        <v>156</v>
      </c>
      <c r="B252" s="51">
        <v>1</v>
      </c>
      <c r="C252" t="s">
        <v>263</v>
      </c>
    </row>
    <row r="253" spans="1:13" ht="14.25">
      <c r="A253" s="65" t="s">
        <v>374</v>
      </c>
      <c r="B253" s="81">
        <v>1</v>
      </c>
    </row>
    <row r="254" spans="1:13" ht="14.25">
      <c r="A254" s="65" t="s">
        <v>375</v>
      </c>
      <c r="B254" s="81">
        <v>1</v>
      </c>
    </row>
    <row r="255" spans="1:13" ht="14.25">
      <c r="A255" s="65" t="s">
        <v>376</v>
      </c>
      <c r="B255" s="81">
        <v>1</v>
      </c>
    </row>
    <row r="256" spans="1:13" ht="14.25">
      <c r="A256" s="82" t="s">
        <v>377</v>
      </c>
      <c r="B256" s="83">
        <v>1</v>
      </c>
      <c r="C256" s="60" t="s">
        <v>386</v>
      </c>
      <c r="D256" s="54">
        <v>520</v>
      </c>
      <c r="E256" s="55" t="s">
        <v>283</v>
      </c>
    </row>
    <row r="257" spans="1:3" ht="14.25">
      <c r="A257" s="26" t="s">
        <v>157</v>
      </c>
      <c r="B257" s="51">
        <v>4</v>
      </c>
      <c r="C257" t="s">
        <v>291</v>
      </c>
    </row>
    <row r="258" spans="1:3" ht="14.25">
      <c r="A258" s="26" t="s">
        <v>158</v>
      </c>
      <c r="B258" s="51">
        <v>2</v>
      </c>
      <c r="C258" t="s">
        <v>269</v>
      </c>
    </row>
    <row r="259" spans="1:3" ht="14.25">
      <c r="A259" s="26" t="s">
        <v>159</v>
      </c>
      <c r="B259" s="51">
        <v>2</v>
      </c>
      <c r="C259" t="s">
        <v>264</v>
      </c>
    </row>
    <row r="260" spans="1:3" ht="14.25">
      <c r="A260" s="26" t="s">
        <v>160</v>
      </c>
      <c r="B260" s="51">
        <v>2</v>
      </c>
      <c r="C260" s="55" t="s">
        <v>353</v>
      </c>
    </row>
    <row r="261" spans="1:3" ht="14.25">
      <c r="A261" s="26" t="s">
        <v>161</v>
      </c>
      <c r="B261" s="51">
        <v>8</v>
      </c>
      <c r="C261" t="s">
        <v>307</v>
      </c>
    </row>
    <row r="262" spans="1:3" ht="14.25">
      <c r="A262" s="26" t="s">
        <v>162</v>
      </c>
      <c r="B262" s="51">
        <v>6</v>
      </c>
      <c r="C262" s="55" t="s">
        <v>309</v>
      </c>
    </row>
    <row r="263" spans="1:3" ht="14.25">
      <c r="A263" s="26" t="s">
        <v>163</v>
      </c>
      <c r="B263" s="51">
        <v>6</v>
      </c>
      <c r="C263" s="55" t="s">
        <v>308</v>
      </c>
    </row>
    <row r="264" spans="1:3" ht="14.25">
      <c r="A264" s="26" t="s">
        <v>164</v>
      </c>
      <c r="B264" s="51">
        <v>6</v>
      </c>
      <c r="C264" t="s">
        <v>290</v>
      </c>
    </row>
    <row r="265" spans="1:3" ht="14.25">
      <c r="A265" s="26" t="s">
        <v>165</v>
      </c>
      <c r="B265" s="51">
        <v>4</v>
      </c>
      <c r="C265" t="s">
        <v>352</v>
      </c>
    </row>
    <row r="266" spans="1:3" ht="14.25">
      <c r="A266" s="26" t="s">
        <v>166</v>
      </c>
      <c r="B266" s="51">
        <v>1</v>
      </c>
      <c r="C266" t="s">
        <v>328</v>
      </c>
    </row>
    <row r="267" spans="1:3" ht="14.25">
      <c r="A267" s="26" t="s">
        <v>167</v>
      </c>
      <c r="B267" s="51">
        <v>2</v>
      </c>
      <c r="C267" t="s">
        <v>354</v>
      </c>
    </row>
    <row r="268" spans="1:3" ht="14.25">
      <c r="A268" s="26" t="s">
        <v>168</v>
      </c>
      <c r="B268" s="51">
        <v>2</v>
      </c>
      <c r="C268" t="s">
        <v>266</v>
      </c>
    </row>
    <row r="269" spans="1:3" ht="14.25">
      <c r="A269" s="26" t="s">
        <v>169</v>
      </c>
      <c r="B269" s="51">
        <v>1</v>
      </c>
      <c r="C269" s="55" t="s">
        <v>268</v>
      </c>
    </row>
    <row r="270" spans="1:3" ht="14.25">
      <c r="A270" s="26" t="s">
        <v>170</v>
      </c>
      <c r="B270" s="51">
        <v>1</v>
      </c>
      <c r="C270" s="55" t="s">
        <v>333</v>
      </c>
    </row>
    <row r="271" spans="1:3" ht="14.25">
      <c r="A271" s="44" t="s">
        <v>204</v>
      </c>
      <c r="B271" s="43">
        <v>1</v>
      </c>
      <c r="C271" t="s">
        <v>355</v>
      </c>
    </row>
    <row r="272" spans="1:3" ht="14.25">
      <c r="A272" s="44" t="s">
        <v>205</v>
      </c>
      <c r="B272" s="43">
        <v>1</v>
      </c>
      <c r="C272" s="55" t="s">
        <v>356</v>
      </c>
    </row>
    <row r="273" spans="1:6" ht="14.25">
      <c r="A273" s="65" t="s">
        <v>206</v>
      </c>
      <c r="B273" s="80">
        <v>1</v>
      </c>
    </row>
    <row r="274" spans="1:6" ht="14.25">
      <c r="A274" s="65" t="s">
        <v>207</v>
      </c>
      <c r="B274" s="80">
        <v>1</v>
      </c>
    </row>
    <row r="275" spans="1:6" ht="14.25">
      <c r="A275" s="65" t="s">
        <v>208</v>
      </c>
      <c r="B275" s="80">
        <v>1</v>
      </c>
    </row>
    <row r="276" spans="1:6" ht="14.25">
      <c r="A276" s="65" t="s">
        <v>209</v>
      </c>
      <c r="B276" s="80">
        <v>1</v>
      </c>
    </row>
    <row r="277" spans="1:6" ht="14.25">
      <c r="A277" s="44" t="s">
        <v>210</v>
      </c>
      <c r="B277" s="6">
        <v>2</v>
      </c>
      <c r="C277" t="s">
        <v>357</v>
      </c>
    </row>
    <row r="278" spans="1:6" ht="14.25">
      <c r="A278" s="44" t="s">
        <v>211</v>
      </c>
      <c r="B278" s="43">
        <v>1</v>
      </c>
      <c r="C278" s="55" t="s">
        <v>358</v>
      </c>
      <c r="D278" s="63" t="s">
        <v>387</v>
      </c>
    </row>
    <row r="279" spans="1:6" ht="14.25">
      <c r="A279" s="65" t="s">
        <v>212</v>
      </c>
      <c r="B279" s="80">
        <v>1</v>
      </c>
    </row>
    <row r="280" spans="1:6" ht="14.25">
      <c r="A280" s="65" t="s">
        <v>213</v>
      </c>
      <c r="B280" s="80">
        <v>1</v>
      </c>
    </row>
    <row r="281" spans="1:6" ht="14.25">
      <c r="A281" s="45"/>
      <c r="B281" s="46"/>
    </row>
    <row r="282" spans="1:6" ht="15">
      <c r="A282" s="9" t="s">
        <v>171</v>
      </c>
      <c r="B282" s="11"/>
    </row>
    <row r="283" spans="1:6" ht="14.25">
      <c r="A283" s="47" t="s">
        <v>214</v>
      </c>
      <c r="B283" s="6" t="s">
        <v>200</v>
      </c>
    </row>
    <row r="284" spans="1:6" ht="14.25">
      <c r="A284" s="44" t="s">
        <v>215</v>
      </c>
      <c r="B284" s="43">
        <v>1</v>
      </c>
      <c r="C284" s="64">
        <v>212082</v>
      </c>
      <c r="D284" s="54">
        <v>760</v>
      </c>
      <c r="E284" s="55" t="s">
        <v>361</v>
      </c>
      <c r="F284" s="55" t="s">
        <v>388</v>
      </c>
    </row>
    <row r="285" spans="1:6" ht="14.25">
      <c r="A285" s="44" t="s">
        <v>216</v>
      </c>
      <c r="B285" s="43">
        <v>8</v>
      </c>
      <c r="C285" t="s">
        <v>307</v>
      </c>
    </row>
    <row r="286" spans="1:6" ht="14.25">
      <c r="A286" s="26" t="s">
        <v>172</v>
      </c>
      <c r="B286" s="6">
        <v>1</v>
      </c>
      <c r="C286" s="55" t="s">
        <v>275</v>
      </c>
    </row>
    <row r="287" spans="1:6" ht="14.25">
      <c r="A287" s="26" t="s">
        <v>173</v>
      </c>
      <c r="B287" s="6">
        <v>1</v>
      </c>
      <c r="C287" t="s">
        <v>326</v>
      </c>
    </row>
    <row r="288" spans="1:6" ht="14.25">
      <c r="A288" s="26" t="s">
        <v>174</v>
      </c>
      <c r="B288" s="6">
        <v>1</v>
      </c>
      <c r="C288" t="s">
        <v>327</v>
      </c>
    </row>
    <row r="289" spans="1:6" ht="14.25">
      <c r="A289" s="44" t="s">
        <v>232</v>
      </c>
      <c r="B289" s="43">
        <v>2</v>
      </c>
      <c r="C289" t="s">
        <v>276</v>
      </c>
    </row>
    <row r="290" spans="1:6" ht="14.25">
      <c r="A290" s="65" t="s">
        <v>233</v>
      </c>
      <c r="B290" s="80">
        <v>6</v>
      </c>
    </row>
    <row r="291" spans="1:6" ht="14.25">
      <c r="A291" s="65" t="s">
        <v>234</v>
      </c>
      <c r="B291" s="80">
        <v>8</v>
      </c>
    </row>
    <row r="292" spans="1:6" ht="14.25">
      <c r="A292" s="65" t="s">
        <v>235</v>
      </c>
      <c r="B292" s="80">
        <v>8</v>
      </c>
    </row>
    <row r="293" spans="1:6" ht="14.25">
      <c r="A293" s="65" t="s">
        <v>236</v>
      </c>
      <c r="B293" s="80">
        <v>8</v>
      </c>
    </row>
    <row r="294" spans="1:6" ht="14.25">
      <c r="A294" s="26" t="s">
        <v>175</v>
      </c>
      <c r="B294" s="6">
        <v>1</v>
      </c>
      <c r="C294" t="s">
        <v>328</v>
      </c>
    </row>
    <row r="295" spans="1:6" ht="14.25">
      <c r="A295" s="26" t="s">
        <v>176</v>
      </c>
      <c r="B295" s="6">
        <v>1</v>
      </c>
      <c r="C295" t="s">
        <v>279</v>
      </c>
    </row>
    <row r="296" spans="1:6" ht="14.25">
      <c r="A296" s="26" t="s">
        <v>177</v>
      </c>
      <c r="B296" s="6">
        <v>1</v>
      </c>
      <c r="C296" t="s">
        <v>262</v>
      </c>
    </row>
    <row r="297" spans="1:6" ht="14.25">
      <c r="A297" s="44" t="s">
        <v>237</v>
      </c>
      <c r="B297" s="43">
        <v>2</v>
      </c>
      <c r="C297" s="64">
        <v>231014</v>
      </c>
      <c r="D297" s="54">
        <v>15</v>
      </c>
      <c r="E297" s="55" t="s">
        <v>361</v>
      </c>
      <c r="F297" s="55" t="s">
        <v>364</v>
      </c>
    </row>
    <row r="298" spans="1:6" ht="14.25">
      <c r="A298" s="26" t="s">
        <v>156</v>
      </c>
      <c r="B298" s="6">
        <v>1</v>
      </c>
      <c r="C298" t="s">
        <v>263</v>
      </c>
    </row>
    <row r="299" spans="1:6" ht="14.25">
      <c r="A299" s="44" t="s">
        <v>238</v>
      </c>
      <c r="B299" s="43">
        <v>2</v>
      </c>
      <c r="C299" t="s">
        <v>264</v>
      </c>
    </row>
    <row r="300" spans="1:6" ht="14.25">
      <c r="A300" s="44" t="s">
        <v>239</v>
      </c>
      <c r="B300" s="43">
        <v>2</v>
      </c>
      <c r="C300" t="s">
        <v>269</v>
      </c>
    </row>
    <row r="301" spans="1:6" ht="14.25">
      <c r="A301" s="44" t="s">
        <v>240</v>
      </c>
      <c r="B301" s="43">
        <v>6</v>
      </c>
      <c r="C301" t="s">
        <v>290</v>
      </c>
    </row>
    <row r="302" spans="1:6" ht="14.25">
      <c r="A302" s="44" t="s">
        <v>241</v>
      </c>
      <c r="B302" s="43">
        <v>6</v>
      </c>
      <c r="C302" s="55" t="s">
        <v>309</v>
      </c>
    </row>
    <row r="303" spans="1:6" ht="14.25">
      <c r="A303" s="26" t="s">
        <v>178</v>
      </c>
      <c r="B303" s="6">
        <v>1</v>
      </c>
      <c r="C303" t="s">
        <v>329</v>
      </c>
    </row>
    <row r="304" spans="1:6" ht="14.25">
      <c r="A304" s="26" t="s">
        <v>178</v>
      </c>
      <c r="B304" s="6">
        <v>1</v>
      </c>
      <c r="C304" t="s">
        <v>330</v>
      </c>
    </row>
    <row r="305" spans="1:6" ht="14.25">
      <c r="A305" s="26" t="s">
        <v>179</v>
      </c>
      <c r="B305" s="6">
        <v>1</v>
      </c>
      <c r="C305" t="s">
        <v>266</v>
      </c>
    </row>
    <row r="306" spans="1:6" ht="14.25">
      <c r="A306" s="26" t="s">
        <v>179</v>
      </c>
      <c r="B306" s="6">
        <v>1</v>
      </c>
      <c r="C306" s="55" t="s">
        <v>295</v>
      </c>
    </row>
    <row r="307" spans="1:6" ht="14.25">
      <c r="A307" s="44" t="s">
        <v>242</v>
      </c>
      <c r="B307" s="43">
        <v>2</v>
      </c>
      <c r="C307" t="s">
        <v>296</v>
      </c>
    </row>
    <row r="308" spans="1:6" ht="14.25">
      <c r="A308" s="26" t="s">
        <v>180</v>
      </c>
      <c r="B308" s="6">
        <v>1</v>
      </c>
      <c r="C308" t="s">
        <v>331</v>
      </c>
    </row>
    <row r="309" spans="1:6" ht="14.25">
      <c r="A309" s="26" t="s">
        <v>181</v>
      </c>
      <c r="B309" s="6">
        <v>1</v>
      </c>
      <c r="C309" t="s">
        <v>332</v>
      </c>
    </row>
    <row r="310" spans="1:6" ht="14.25">
      <c r="A310" s="26" t="s">
        <v>182</v>
      </c>
      <c r="B310" s="6">
        <v>1</v>
      </c>
      <c r="C310" t="s">
        <v>333</v>
      </c>
    </row>
    <row r="311" spans="1:6" ht="14.25">
      <c r="A311" s="44" t="s">
        <v>243</v>
      </c>
      <c r="B311" s="43">
        <v>2</v>
      </c>
      <c r="C311" t="s">
        <v>302</v>
      </c>
    </row>
    <row r="312" spans="1:6" ht="14.25">
      <c r="A312" s="26" t="s">
        <v>183</v>
      </c>
      <c r="B312" s="6">
        <v>1</v>
      </c>
      <c r="C312" s="55" t="s">
        <v>308</v>
      </c>
    </row>
    <row r="313" spans="1:6" ht="14.25">
      <c r="A313" s="24"/>
      <c r="B313" s="36"/>
    </row>
    <row r="314" spans="1:6" ht="15">
      <c r="A314" s="7" t="s">
        <v>184</v>
      </c>
      <c r="B314" s="13"/>
    </row>
    <row r="315" spans="1:6" ht="14.25">
      <c r="A315" s="47" t="s">
        <v>199</v>
      </c>
      <c r="B315" s="6" t="s">
        <v>200</v>
      </c>
    </row>
    <row r="316" spans="1:6" ht="14.25">
      <c r="A316" s="44" t="s">
        <v>244</v>
      </c>
      <c r="B316" s="43">
        <v>1</v>
      </c>
      <c r="C316" s="64">
        <v>212082</v>
      </c>
      <c r="D316" s="54">
        <v>760</v>
      </c>
      <c r="E316" s="55" t="s">
        <v>361</v>
      </c>
      <c r="F316" s="55" t="s">
        <v>388</v>
      </c>
    </row>
    <row r="317" spans="1:6" ht="14.25">
      <c r="A317" s="44" t="s">
        <v>245</v>
      </c>
      <c r="B317" s="6">
        <v>8</v>
      </c>
      <c r="C317" t="s">
        <v>307</v>
      </c>
    </row>
    <row r="318" spans="1:6" ht="14.25">
      <c r="A318" s="44" t="s">
        <v>246</v>
      </c>
      <c r="B318" s="43">
        <v>1</v>
      </c>
      <c r="C318" s="55" t="s">
        <v>275</v>
      </c>
    </row>
    <row r="319" spans="1:6" ht="14.25">
      <c r="A319" s="44" t="s">
        <v>247</v>
      </c>
      <c r="B319" s="43">
        <v>1</v>
      </c>
      <c r="C319" t="s">
        <v>326</v>
      </c>
    </row>
    <row r="320" spans="1:6" ht="14.25">
      <c r="A320" s="44" t="s">
        <v>248</v>
      </c>
      <c r="B320" s="43">
        <v>1</v>
      </c>
      <c r="C320" t="s">
        <v>327</v>
      </c>
    </row>
    <row r="321" spans="1:6" ht="14.25">
      <c r="A321" s="44" t="s">
        <v>232</v>
      </c>
      <c r="B321" s="6">
        <v>2</v>
      </c>
      <c r="C321" t="s">
        <v>276</v>
      </c>
    </row>
    <row r="322" spans="1:6" ht="14.25">
      <c r="A322" s="65" t="s">
        <v>233</v>
      </c>
      <c r="B322" s="69">
        <v>4</v>
      </c>
    </row>
    <row r="323" spans="1:6" ht="14.25">
      <c r="A323" s="65" t="s">
        <v>249</v>
      </c>
      <c r="B323" s="69">
        <v>8</v>
      </c>
    </row>
    <row r="324" spans="1:6" ht="14.25">
      <c r="A324" s="65" t="s">
        <v>236</v>
      </c>
      <c r="B324" s="69">
        <v>8</v>
      </c>
    </row>
    <row r="325" spans="1:6" ht="14.25">
      <c r="A325" s="65" t="s">
        <v>234</v>
      </c>
      <c r="B325" s="69">
        <v>8</v>
      </c>
    </row>
    <row r="326" spans="1:6" ht="14.25">
      <c r="A326" s="37" t="s">
        <v>250</v>
      </c>
      <c r="B326" s="43">
        <v>1</v>
      </c>
      <c r="C326" t="s">
        <v>328</v>
      </c>
    </row>
    <row r="327" spans="1:6" ht="14.25">
      <c r="A327" s="37" t="s">
        <v>251</v>
      </c>
      <c r="B327" s="43">
        <v>1</v>
      </c>
      <c r="C327" t="s">
        <v>279</v>
      </c>
    </row>
    <row r="328" spans="1:6" ht="14.25">
      <c r="A328" s="37" t="s">
        <v>251</v>
      </c>
      <c r="B328" s="43">
        <v>1</v>
      </c>
      <c r="C328" t="s">
        <v>262</v>
      </c>
    </row>
    <row r="329" spans="1:6" ht="14.25">
      <c r="A329" s="37" t="s">
        <v>237</v>
      </c>
      <c r="B329" s="43">
        <v>1</v>
      </c>
      <c r="C329" s="64">
        <v>231014</v>
      </c>
      <c r="D329" s="54">
        <v>15</v>
      </c>
      <c r="E329" s="55" t="s">
        <v>361</v>
      </c>
      <c r="F329" s="55" t="s">
        <v>364</v>
      </c>
    </row>
    <row r="330" spans="1:6" ht="14.25">
      <c r="A330" s="37" t="s">
        <v>252</v>
      </c>
      <c r="B330" s="43">
        <v>1</v>
      </c>
      <c r="C330" t="s">
        <v>263</v>
      </c>
    </row>
    <row r="331" spans="1:6" ht="14.25">
      <c r="A331" s="37" t="s">
        <v>238</v>
      </c>
      <c r="B331" s="6">
        <v>2</v>
      </c>
      <c r="C331" t="s">
        <v>264</v>
      </c>
    </row>
    <row r="332" spans="1:6" ht="14.25">
      <c r="A332" s="37" t="s">
        <v>239</v>
      </c>
      <c r="B332" s="6">
        <v>2</v>
      </c>
      <c r="C332" t="s">
        <v>269</v>
      </c>
    </row>
    <row r="333" spans="1:6" ht="14.25">
      <c r="A333" s="37" t="s">
        <v>240</v>
      </c>
      <c r="B333" s="6">
        <v>6</v>
      </c>
      <c r="C333" t="s">
        <v>290</v>
      </c>
    </row>
    <row r="334" spans="1:6" ht="14.25">
      <c r="A334" s="37" t="s">
        <v>241</v>
      </c>
      <c r="B334" s="6">
        <v>6</v>
      </c>
      <c r="C334" s="55" t="s">
        <v>309</v>
      </c>
    </row>
    <row r="335" spans="1:6" ht="14.25">
      <c r="A335" s="37" t="s">
        <v>253</v>
      </c>
      <c r="B335" s="6">
        <v>1</v>
      </c>
      <c r="C335" t="s">
        <v>329</v>
      </c>
    </row>
    <row r="336" spans="1:6" ht="14.25">
      <c r="A336" s="37" t="s">
        <v>254</v>
      </c>
      <c r="B336" s="6">
        <v>1</v>
      </c>
      <c r="C336" t="s">
        <v>266</v>
      </c>
    </row>
    <row r="337" spans="1:5" ht="14.25">
      <c r="A337" s="37" t="s">
        <v>254</v>
      </c>
      <c r="B337" s="6">
        <v>1</v>
      </c>
      <c r="C337" s="55" t="s">
        <v>295</v>
      </c>
    </row>
    <row r="338" spans="1:5" ht="14.25">
      <c r="A338" s="37" t="s">
        <v>242</v>
      </c>
      <c r="B338" s="6">
        <v>2</v>
      </c>
      <c r="C338" t="s">
        <v>296</v>
      </c>
    </row>
    <row r="339" spans="1:5" ht="14.25">
      <c r="A339" s="37" t="s">
        <v>255</v>
      </c>
      <c r="B339" s="6">
        <v>1</v>
      </c>
      <c r="C339" t="s">
        <v>331</v>
      </c>
    </row>
    <row r="340" spans="1:5" ht="14.25">
      <c r="A340" s="37" t="s">
        <v>256</v>
      </c>
      <c r="B340" s="43">
        <v>1</v>
      </c>
      <c r="C340" t="s">
        <v>332</v>
      </c>
    </row>
    <row r="341" spans="1:5" ht="14.25">
      <c r="A341" s="37" t="s">
        <v>257</v>
      </c>
      <c r="B341" s="43">
        <v>1</v>
      </c>
      <c r="C341" s="55" t="s">
        <v>333</v>
      </c>
    </row>
    <row r="342" spans="1:5" ht="14.25">
      <c r="A342" s="37" t="s">
        <v>243</v>
      </c>
      <c r="B342" s="6">
        <v>2</v>
      </c>
      <c r="C342" t="s">
        <v>302</v>
      </c>
    </row>
    <row r="343" spans="1:5" ht="14.25">
      <c r="A343" s="37" t="s">
        <v>258</v>
      </c>
      <c r="B343" s="6">
        <v>2</v>
      </c>
      <c r="C343" s="61" t="s">
        <v>390</v>
      </c>
      <c r="D343" s="54">
        <v>265</v>
      </c>
      <c r="E343" s="55" t="s">
        <v>283</v>
      </c>
    </row>
    <row r="344" spans="1:5" ht="14.25">
      <c r="A344" s="37" t="s">
        <v>259</v>
      </c>
      <c r="B344" s="6">
        <v>2</v>
      </c>
      <c r="C344" s="55" t="s">
        <v>359</v>
      </c>
    </row>
    <row r="345" spans="1:5" ht="14.25">
      <c r="A345" s="37" t="s">
        <v>260</v>
      </c>
      <c r="B345" s="6">
        <v>2</v>
      </c>
      <c r="C345" s="61" t="s">
        <v>389</v>
      </c>
      <c r="D345" s="54">
        <v>590</v>
      </c>
      <c r="E345" s="55" t="s">
        <v>283</v>
      </c>
    </row>
    <row r="346" spans="1:5" ht="14.25">
      <c r="A346" s="37" t="s">
        <v>261</v>
      </c>
      <c r="B346" s="6">
        <v>2</v>
      </c>
      <c r="C346" t="s">
        <v>360</v>
      </c>
    </row>
  </sheetData>
  <autoFilter ref="A1:F346" xr:uid="{00000000-0001-0000-0000-000000000000}"/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RFP-019-2025-LOCACAO-INSTRUMENTAIS-CIRURGICOS-HETRIN.pdf</dc:title>
  <dc:creator>Marcelo Mergulhao</dc:creator>
  <cp:lastModifiedBy>Danielle  Portella</cp:lastModifiedBy>
  <dcterms:created xsi:type="dcterms:W3CDTF">2025-08-15T15:04:49Z</dcterms:created>
  <dcterms:modified xsi:type="dcterms:W3CDTF">2025-08-21T22:46:33Z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2025-08-15T00:00:00Z</vt:filetime>
  </property>
  <property fmtid="{D5CDD505-2E9C-101B-9397-08002B2CF9AE}" pid="3" name="LastSaved">
    <vt:filetime>2025-08-15T00:00:00Z</vt:filetime>
  </property>
  <property fmtid="{D5CDD505-2E9C-101B-9397-08002B2CF9AE}" pid="4" name="Producer">
    <vt:lpwstr>Microsoft: Print To PDF</vt:lpwstr>
  </property>
</Properties>
</file>