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:\Meu Drive\COTAÇÕES\COTAÇÕES - VENDAS\2025\CTC043.25 - SÃO LUCAS (CASCAVEL)\"/>
    </mc:Choice>
  </mc:AlternateContent>
  <xr:revisionPtr revIDLastSave="0" documentId="8_{F7FA5C30-A0B3-4DB6-929E-2B52D0577F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 de estoque" sheetId="1" r:id="rId1"/>
  </sheets>
  <definedNames>
    <definedName name="RealceValor">IFERROR(IF('Lista de estoque'!$H$1="sim", TRUE, FALSE),FALSE)</definedName>
    <definedName name="TítuloColuna1">ListaEstoque[[#Headers],[Itens para nova encomenda sinalizados]]</definedName>
    <definedName name="_xlnm.Print_Titles" localSheetId="0">'Lista de estoque'!$1:$3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0" i="1"/>
  <c r="B5" i="1"/>
  <c r="F35" i="1"/>
  <c r="B34" i="1"/>
  <c r="B33" i="1"/>
  <c r="B32" i="1"/>
  <c r="B4" i="1" l="1"/>
  <c r="B6" i="1"/>
  <c r="B7" i="1"/>
  <c r="B8" i="1"/>
  <c r="B9" i="1"/>
  <c r="B11" i="1"/>
  <c r="B12" i="1"/>
  <c r="B13" i="1"/>
  <c r="B14" i="1"/>
  <c r="B15" i="1"/>
  <c r="B16" i="1"/>
  <c r="B17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<sst xmlns="http://schemas.openxmlformats.org/spreadsheetml/2006/main" count="213" uniqueCount="64">
  <si>
    <t>Itens para nova encomenda sinalizados</t>
  </si>
  <si>
    <t>Quantidade em estoque</t>
  </si>
  <si>
    <t>Especialidade</t>
  </si>
  <si>
    <t>Nome da caixa</t>
  </si>
  <si>
    <t>Quantidade de peças</t>
  </si>
  <si>
    <t>Neuro</t>
  </si>
  <si>
    <t>Neurocirurgia</t>
  </si>
  <si>
    <t>Crânio pequena</t>
  </si>
  <si>
    <t>Laminectomia</t>
  </si>
  <si>
    <t>Crânio pediátrica</t>
  </si>
  <si>
    <t>Coluna</t>
  </si>
  <si>
    <t>Geral da neuro</t>
  </si>
  <si>
    <t>Cesárea</t>
  </si>
  <si>
    <t>Curetagem</t>
  </si>
  <si>
    <t>Ginecologia</t>
  </si>
  <si>
    <t>Histerectomia total vaginal</t>
  </si>
  <si>
    <t>Histerectomia total vaginal + Prolapso</t>
  </si>
  <si>
    <t>Ninfoplastia</t>
  </si>
  <si>
    <t>Lista de Estoque - CME</t>
  </si>
  <si>
    <t>Cardio</t>
  </si>
  <si>
    <t>Cardíaca</t>
  </si>
  <si>
    <t>Revascularização</t>
  </si>
  <si>
    <t>Geral</t>
  </si>
  <si>
    <t>Básica</t>
  </si>
  <si>
    <t>Delicada</t>
  </si>
  <si>
    <t>Pequena cirurgia</t>
  </si>
  <si>
    <t>Drenagem de torax</t>
  </si>
  <si>
    <t>Laparo infantil</t>
  </si>
  <si>
    <t>Laparotomia</t>
  </si>
  <si>
    <t>Gastrectomia</t>
  </si>
  <si>
    <t>Pediátrica</t>
  </si>
  <si>
    <t>Gastro</t>
  </si>
  <si>
    <t>Cirurgia robótica</t>
  </si>
  <si>
    <t>Vídeo Ortopedia</t>
  </si>
  <si>
    <t>Caixa de ombro</t>
  </si>
  <si>
    <t>Vascular</t>
  </si>
  <si>
    <t>Varizes</t>
  </si>
  <si>
    <t>Fístula</t>
  </si>
  <si>
    <t>Amigdala</t>
  </si>
  <si>
    <t>Otorrino</t>
  </si>
  <si>
    <t>Rinosepto</t>
  </si>
  <si>
    <t>Total</t>
  </si>
  <si>
    <t>Link Drive:</t>
  </si>
  <si>
    <t>Tipo de Container</t>
  </si>
  <si>
    <t>Y205.20W / Y200.01B / (2) Y280.07 / Y280.05</t>
  </si>
  <si>
    <t>Y305.13W / Y300.01B / Y380.07</t>
  </si>
  <si>
    <t>Y205.13W / Y200.01B / Y280.07</t>
  </si>
  <si>
    <t>Box</t>
  </si>
  <si>
    <t>Tampa</t>
  </si>
  <si>
    <t>Cesto</t>
  </si>
  <si>
    <t>Plaqueta</t>
  </si>
  <si>
    <t>Y205.20W</t>
  </si>
  <si>
    <t>Y305.13W</t>
  </si>
  <si>
    <t>Y200.01B</t>
  </si>
  <si>
    <t>Y300.01B</t>
  </si>
  <si>
    <t>Y280.07</t>
  </si>
  <si>
    <t>Y820.15</t>
  </si>
  <si>
    <t>Y380.07</t>
  </si>
  <si>
    <t>Y280.05</t>
  </si>
  <si>
    <t>Y820.16</t>
  </si>
  <si>
    <t>Y820.12</t>
  </si>
  <si>
    <t>Y820.13</t>
  </si>
  <si>
    <t>Y820.14</t>
  </si>
  <si>
    <t>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</si>
</sst>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Reorder&quot;;&quot;&quot;;&quot;&quot;"/>
    <numFmt numFmtId="166" formatCode="&quot;Nova encomenda&quot;;&quot;&quot;;&quot;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orbel"/>
      <family val="2"/>
      <scheme val="major"/>
    </font>
    <font>
      <b/>
      <sz val="34"/>
      <color theme="6" tint="-0.24994659260841701"/>
      <name val="Corbel"/>
      <family val="2"/>
      <scheme val="major"/>
    </font>
    <font>
      <b/>
      <sz val="48"/>
      <color theme="1" tint="4.9989318521683403E-2"/>
      <name val="Corbel"/>
      <family val="2"/>
      <scheme val="major"/>
    </font>
    <font>
      <sz val="10"/>
      <color theme="1" tint="4.9989318521683403E-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D600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theme="6" tint="-0.24994659260841701"/>
      <name val="Corbel"/>
      <family val="2"/>
      <scheme val="major"/>
    </font>
    <font>
      <sz val="11"/>
      <color theme="1"/>
      <name val="Calibri"/>
      <scheme val="minor"/>
    </font>
    <font>
      <b/>
      <sz val="12"/>
      <color theme="0"/>
      <name val="Corbel"/>
      <scheme val="maj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89996032593768116"/>
        <bgColor theme="6" tint="0.79961546678060247"/>
      </patternFill>
    </fill>
    <fill>
      <patternFill patternType="solid">
        <fgColor rgb="FFFFFF00"/>
        <bgColor theme="6" tint="0.79961546678060247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10">
    <xf numFmtId="0" fontId="0" fillId="0" borderId="0">
      <alignment vertical="center"/>
    </xf>
    <xf numFmtId="0" fontId="3" fillId="3" borderId="0" applyNumberFormat="0" applyProtection="0">
      <alignment horizontal="left" vertical="center" indent="1"/>
    </xf>
    <xf numFmtId="0" fontId="2" fillId="4" borderId="0" applyProtection="0">
      <alignment horizontal="left" vertical="center" wrapText="1" indent="1"/>
    </xf>
    <xf numFmtId="0" fontId="6" fillId="3" borderId="0" applyNumberFormat="0" applyProtection="0">
      <alignment horizontal="right" vertical="center"/>
    </xf>
    <xf numFmtId="164" fontId="7" fillId="0" borderId="0" applyProtection="0">
      <alignment horizontal="right" vertical="center" indent="1"/>
    </xf>
    <xf numFmtId="0" fontId="7" fillId="0" borderId="0" applyProtection="0">
      <alignment horizontal="right" vertical="center" indent="1"/>
    </xf>
    <xf numFmtId="0" fontId="1" fillId="0" borderId="0" applyProtection="0">
      <alignment horizontal="center" vertical="center"/>
    </xf>
    <xf numFmtId="0" fontId="1" fillId="0" borderId="0" applyProtection="0">
      <alignment horizontal="left" vertical="center" wrapText="1" indent="1"/>
    </xf>
    <xf numFmtId="165" fontId="1" fillId="2" borderId="0">
      <alignment horizontal="left" vertical="center" indent="1"/>
    </xf>
    <xf numFmtId="0" fontId="6" fillId="3" borderId="0" applyNumberFormat="0" applyProtection="0">
      <alignment horizontal="left" vertical="center" indent="1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vertical="top"/>
    </xf>
    <xf numFmtId="0" fontId="5" fillId="0" borderId="0" xfId="0" applyFont="1">
      <alignment vertical="center"/>
    </xf>
    <xf numFmtId="166" fontId="1" fillId="2" borderId="0" xfId="8" applyNumberFormat="1">
      <alignment horizontal="left" vertical="center" indent="1"/>
    </xf>
    <xf numFmtId="0" fontId="0" fillId="0" borderId="0" xfId="0" applyAlignment="1">
      <alignment horizontal="center" vertical="center"/>
    </xf>
    <xf numFmtId="0" fontId="9" fillId="0" borderId="0" xfId="7" applyFont="1">
      <alignment horizontal="left" vertical="center" wrapText="1" indent="1"/>
    </xf>
    <xf numFmtId="0" fontId="10" fillId="0" borderId="0" xfId="7" applyFont="1">
      <alignment horizontal="left" vertical="center" wrapText="1" indent="1"/>
    </xf>
    <xf numFmtId="0" fontId="8" fillId="0" borderId="0" xfId="7" applyFont="1">
      <alignment horizontal="left" vertical="center" wrapText="1" indent="1"/>
    </xf>
    <xf numFmtId="0" fontId="12" fillId="0" borderId="0" xfId="7" applyFont="1">
      <alignment horizontal="left" vertical="center" wrapText="1" indent="1"/>
    </xf>
    <xf numFmtId="0" fontId="9" fillId="0" borderId="0" xfId="7" applyFont="1" applyAlignment="1">
      <alignment horizontal="center" vertical="center" wrapText="1"/>
    </xf>
    <xf numFmtId="0" fontId="9" fillId="0" borderId="0" xfId="5" applyFont="1" applyAlignment="1">
      <alignment horizontal="center" vertical="center"/>
    </xf>
    <xf numFmtId="0" fontId="10" fillId="0" borderId="0" xfId="7" applyFont="1" applyAlignment="1">
      <alignment horizontal="center" vertical="center" wrapText="1"/>
    </xf>
    <xf numFmtId="0" fontId="10" fillId="0" borderId="0" xfId="5" applyFont="1" applyAlignment="1">
      <alignment horizontal="center" vertical="center"/>
    </xf>
    <xf numFmtId="0" fontId="8" fillId="0" borderId="0" xfId="7" applyFont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12" fillId="0" borderId="0" xfId="7" applyFont="1" applyAlignment="1">
      <alignment horizontal="center" vertical="center" wrapText="1"/>
    </xf>
    <xf numFmtId="0" fontId="12" fillId="0" borderId="0" xfId="5" applyFont="1" applyAlignment="1">
      <alignment horizontal="center" vertical="center"/>
    </xf>
    <xf numFmtId="0" fontId="13" fillId="0" borderId="0" xfId="7" applyFont="1">
      <alignment horizontal="left" vertical="center" wrapText="1" indent="1"/>
    </xf>
    <xf numFmtId="0" fontId="13" fillId="0" borderId="0" xfId="7" applyFont="1" applyAlignment="1">
      <alignment horizontal="center" vertical="center" wrapText="1"/>
    </xf>
    <xf numFmtId="0" fontId="13" fillId="0" borderId="0" xfId="5" applyFont="1" applyAlignment="1">
      <alignment horizontal="center" vertical="center"/>
    </xf>
    <xf numFmtId="0" fontId="14" fillId="0" borderId="0" xfId="7" applyFont="1">
      <alignment horizontal="left" vertical="center" wrapText="1" indent="1"/>
    </xf>
    <xf numFmtId="0" fontId="14" fillId="0" borderId="0" xfId="7" applyFont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166" fontId="11" fillId="2" borderId="0" xfId="8" applyNumberFormat="1" applyFont="1">
      <alignment horizontal="left" vertical="center" indent="1"/>
    </xf>
    <xf numFmtId="166" fontId="0" fillId="2" borderId="0" xfId="8" applyNumberFormat="1" applyFont="1">
      <alignment horizontal="left" vertical="center" indent="1"/>
    </xf>
    <xf numFmtId="0" fontId="0" fillId="0" borderId="0" xfId="7" applyFont="1">
      <alignment horizontal="left" vertical="center" wrapText="1" indent="1"/>
    </xf>
    <xf numFmtId="0" fontId="0" fillId="0" borderId="0" xfId="7" applyFont="1" applyAlignment="1">
      <alignment horizontal="center" vertical="center" wrapText="1"/>
    </xf>
    <xf numFmtId="0" fontId="0" fillId="0" borderId="0" xfId="5" applyFont="1" applyAlignment="1">
      <alignment horizontal="center" vertical="center"/>
    </xf>
    <xf numFmtId="166" fontId="0" fillId="2" borderId="0" xfId="0" applyNumberFormat="1" applyFill="1" applyAlignment="1">
      <alignment horizontal="left" vertical="center" indent="1"/>
    </xf>
    <xf numFmtId="0" fontId="0" fillId="5" borderId="0" xfId="0" applyFill="1" applyAlignment="1">
      <alignment horizontal="left" vertical="center" wrapText="1" indent="1"/>
    </xf>
    <xf numFmtId="0" fontId="0" fillId="5" borderId="0" xfId="0" applyFill="1" applyAlignment="1">
      <alignment horizontal="center" vertical="center"/>
    </xf>
    <xf numFmtId="0" fontId="3" fillId="3" borderId="0" xfId="1" applyAlignment="1">
      <alignment horizontal="left" vertical="center"/>
    </xf>
    <xf numFmtId="0" fontId="9" fillId="0" borderId="0" xfId="5" applyFont="1" applyAlignment="1">
      <alignment horizontal="center" vertical="center" wrapText="1"/>
    </xf>
    <xf numFmtId="0" fontId="3" fillId="3" borderId="0" xfId="1" applyAlignment="1">
      <alignment horizontal="left" vertical="center"/>
    </xf>
    <xf numFmtId="0" fontId="2" fillId="4" borderId="0" xfId="2" applyAlignment="1">
      <alignment horizontal="center" vertical="center" wrapText="1"/>
    </xf>
    <xf numFmtId="0" fontId="17" fillId="4" borderId="1" xfId="2" applyNumberFormat="1" applyFont="1" applyFill="1" applyBorder="1" applyAlignment="1">
      <alignment horizontal="center" vertical="center" wrapText="1"/>
    </xf>
    <xf numFmtId="0" fontId="15" fillId="3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5" applyFont="1" applyFill="1" applyAlignment="1">
      <alignment horizontal="center" vertical="center"/>
    </xf>
    <xf numFmtId="0" fontId="16" fillId="6" borderId="0" xfId="5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166" fontId="16" fillId="2" borderId="0" xfId="8" applyNumberFormat="1" applyFont="1" applyFill="1" applyAlignment="1">
      <alignment horizontal="left" vertical="center" indent="1"/>
    </xf>
    <xf numFmtId="0" fontId="1" fillId="0" borderId="0" xfId="7" applyFill="1">
      <alignment horizontal="left" vertical="center" wrapText="1" indent="1"/>
    </xf>
    <xf numFmtId="0" fontId="14" fillId="0" borderId="0" xfId="5" applyFont="1" applyFill="1" applyAlignment="1">
      <alignment horizontal="center" vertical="center" wrapText="1"/>
    </xf>
    <xf numFmtId="0" fontId="0" fillId="7" borderId="0" xfId="5" applyFont="1" applyFill="1" applyAlignment="1">
      <alignment horizontal="center" vertical="center"/>
    </xf>
    <xf numFmtId="0" fontId="7" fillId="0" borderId="0" xfId="5" applyFill="1" applyAlignment="1">
      <alignment horizontal="center" vertical="center"/>
    </xf>
  </cellXfs>
  <cellStyles count="10">
    <cellStyle name="Coluna de sinalização" xfId="8" xr:uid="{00000000-0005-0000-0000-000000000000}"/>
    <cellStyle name="Descontinuado" xfId="6" xr:uid="{00000000-0005-0000-0000-000001000000}"/>
    <cellStyle name="Detalhes da tabela à direita" xfId="5" xr:uid="{00000000-0005-0000-0000-000002000000}"/>
    <cellStyle name="Detalhes da tabela à esquerda" xfId="7" xr:uid="{00000000-0005-0000-0000-000003000000}"/>
    <cellStyle name="Moeda da tabela" xfId="4" xr:uid="{00000000-0005-0000-0000-000005000000}"/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9" builtinId="18" customBuiltin="1"/>
  </cellStyles>
  <dxfs count="31">
    <dxf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left" vertical="center" textRotation="0" wrapText="1" indent="1" justifyLastLine="0" shrinkToFit="0" readingOrder="0"/>
    </dxf>
    <dxf>
      <numFmt numFmtId="166" formatCode="&quot;Nova encomenda&quot;;&quot;&quot;;&quot;&quot;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61546678060247"/>
          <bgColor theme="4" tint="0.899960325937681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Nova encomenda&quot;;&quot;&quot;;&quot;&quot;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61546678060247"/>
          <bgColor theme="4" tint="0.89996032593768116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orbel"/>
        <scheme val="major"/>
      </font>
      <numFmt numFmtId="0" formatCode="General"/>
      <fill>
        <patternFill patternType="solid">
          <fgColor indexed="64"/>
          <bgColor theme="6" tint="-0.24994659260841701"/>
        </patternFill>
      </fill>
      <alignment horizontal="left" vertical="center" textRotation="0" wrapText="1" indent="1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color theme="0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0"/>
        </bottom>
        <vertical style="thin">
          <color theme="0"/>
        </vertical>
        <horizontal/>
      </border>
    </dxf>
    <dxf>
      <font>
        <b/>
        <i val="0"/>
        <color theme="0"/>
      </font>
      <fill>
        <patternFill>
          <bgColor theme="6" tint="-0.24994659260841701"/>
        </patternFill>
      </fill>
      <border>
        <top/>
        <bottom style="thick">
          <color theme="0"/>
        </bottom>
        <vertical style="thick">
          <color theme="0"/>
        </vertical>
      </border>
    </dxf>
    <dxf>
      <font>
        <color theme="1"/>
      </font>
      <fill>
        <patternFill patternType="solid">
          <fgColor theme="6" tint="0.79961546678060247"/>
          <bgColor theme="4" tint="0.89996032593768116"/>
        </patternFill>
      </fill>
      <border>
        <vertical/>
        <horizontal style="thick">
          <color theme="0"/>
        </horizontal>
      </border>
    </dxf>
  </dxfs>
  <tableStyles count="1" defaultTableStyle="TableStyleMedium2" defaultPivotStyle="PivotStyleLight16">
    <tableStyle name="Lista de estoque" pivot="0" count="3" xr9:uid="{00000000-0011-0000-FFFF-FFFF00000000}">
      <tableStyleElement type="wholeTable" dxfId="30"/>
      <tableStyleElement type="headerRow" dxfId="29"/>
      <tableStyleElement type="firstColumn" dxfId="28"/>
    </tableStyle>
  </tableStyles>
  <colors>
    <mruColors>
      <color rgb="FFD60093"/>
      <color rgb="FF008000"/>
      <color rgb="FF0066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198708</xdr:colOff>
      <xdr:row>1</xdr:row>
      <xdr:rowOff>1865</xdr:rowOff>
    </xdr:from>
    <xdr:to>
      <xdr:col>8</xdr:col>
      <xdr:colOff>9525</xdr:colOff>
      <xdr:row>1</xdr:row>
      <xdr:rowOff>95250</xdr:rowOff>
    </xdr:to>
    <xdr:grpSp>
      <xdr:nvGrpSpPr>
        <xdr:cNvPr id="2" name="Borda do título" descr="Borda do tít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13008" y="630515"/>
          <a:ext cx="7783242" cy="93385"/>
          <a:chOff x="313008" y="630515"/>
          <a:chExt cx="11155680" cy="93385"/>
        </a:xfrm>
      </xdr:grpSpPr>
      <xdr:sp macro="" textlink="">
        <xdr:nvSpPr>
          <xdr:cNvPr id="16" name="Forma de borda do títul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313008" y="630517"/>
            <a:ext cx="11155680" cy="89169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sp macro="" textlink="">
        <xdr:nvSpPr>
          <xdr:cNvPr id="17" name="Forma de borda do título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13008" y="630515"/>
            <a:ext cx="121469" cy="93385"/>
          </a:xfrm>
          <a:prstGeom prst="rt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Estoque" displayName="ListaEstoque" ref="B3:L35" totalsRowCount="1" headerRowDxfId="27" dataDxfId="26" headerRowCellStyle="Título 1" dataCellStyle="Detalhes da tabela à direita">
  <autoFilter ref="B3:L34" xr:uid="{00000000-0009-0000-0100-000001000000}"/>
  <tableColumns count="11">
    <tableColumn id="1" xr3:uid="{00000000-0010-0000-0000-000001000000}" name="Itens para nova encomenda sinalizados" dataDxfId="25" totalsRowDxfId="10" dataCellStyle="Coluna de sinalização">
      <calculatedColumnFormula>IFERROR((ListaEstoque[[#This Row],[Quantidade em estoque]]&lt;=#REF!)*(#REF!="")*RealceValor,0)</calculatedColumnFormula>
    </tableColumn>
    <tableColumn id="2" xr3:uid="{00000000-0010-0000-0000-000002000000}" name="Especialidade" totalsRowLabel="Total" totalsRowDxfId="9" dataCellStyle="Detalhes da tabela à esquerda"/>
    <tableColumn id="3" xr3:uid="{00000000-0010-0000-0000-000003000000}" name="Nome da caixa" totalsRowDxfId="8" dataCellStyle="Detalhes da tabela à esquerda"/>
    <tableColumn id="4" xr3:uid="{00000000-0010-0000-0000-000004000000}" name="Quantidade de peças" totalsRowDxfId="7" dataCellStyle="Detalhes da tabela à esquerda"/>
    <tableColumn id="6" xr3:uid="{00000000-0010-0000-0000-000006000000}" name="Quantidade em estoque" totalsRowFunction="custom" totalsRowDxfId="6" dataCellStyle="Detalhes da tabela à direita">
      <totalsRowFormula>SUM(F4:F34)</totalsRowFormula>
    </tableColumn>
    <tableColumn id="5" xr3:uid="{0D84711D-5E5E-4E0E-9A65-3F6DE2C3996A}" name="Tipo de Container" dataDxfId="24" totalsRowDxfId="5" dataCellStyle="Detalhes da tabela à direita"/>
    <tableColumn id="7" xr3:uid="{0C8054C8-96D4-456A-8D32-A399C0BBFE73}" name="Box" dataDxfId="23" totalsRowDxfId="4" dataCellStyle="Detalhes da tabela à direita"/>
    <tableColumn id="8" xr3:uid="{3EFBD13C-62A6-4F39-A5DD-3DDE5CA5F051}" name="Tampa" dataDxfId="22" totalsRowDxfId="3" dataCellStyle="Detalhes da tabela à direita"/>
    <tableColumn id="9" xr3:uid="{4260AFC6-1789-48D6-8323-A446FB3283C0}" name="Cesto" dataDxfId="21" totalsRowDxfId="2" dataCellStyle="Detalhes da tabela à direita"/>
    <tableColumn id="12" xr3:uid="{B8EE16CD-009A-4046-975D-DF6E6ADEDF5C}" name="QT" dataDxfId="11" totalsRowDxfId="1" dataCellStyle="Detalhes da tabela à direita"/>
    <tableColumn id="10" xr3:uid="{6C6E7DD2-7C41-4C00-AF80-BF91CAB20645}" name="Plaqueta" dataDxfId="20" totalsRowDxfId="0" dataCellStyle="Detalhes da tabela à direita"/>
  </tableColumns>
  <tableStyleInfo name="Lista de estoqu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ventory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91C1F"/>
      </a:accent1>
      <a:accent2>
        <a:srgbClr val="456185"/>
      </a:accent2>
      <a:accent3>
        <a:srgbClr val="5B9EA4"/>
      </a:accent3>
      <a:accent4>
        <a:srgbClr val="F79646"/>
      </a:accent4>
      <a:accent5>
        <a:srgbClr val="CC3300"/>
      </a:accent5>
      <a:accent6>
        <a:srgbClr val="FFCC00"/>
      </a:accent6>
      <a:hlink>
        <a:srgbClr val="859EBF"/>
      </a:hlink>
      <a:folHlink>
        <a:srgbClr val="5B9EA4"/>
      </a:folHlink>
    </a:clrScheme>
    <a:fontScheme name="44 Inventory Lis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59999389629810485"/>
    <pageSetUpPr fitToPage="1"/>
  </sheetPr>
  <dimension ref="B1:O35"/>
  <sheetViews>
    <sheetView showGridLines="0" tabSelected="1" zoomScaleNormal="100" workbookViewId="0">
      <selection activeCell="K6" sqref="K6:K34"/>
    </sheetView>
  </sheetViews>
  <sheetFormatPr defaultRowHeight="30" customHeight="1" x14ac:dyDescent="0.25"/>
  <cols>
    <col min="1" max="1" width="1.7109375" customWidth="1"/>
    <col min="2" max="2" width="3" style="3" customWidth="1"/>
    <col min="3" max="3" width="19.140625" customWidth="1"/>
    <col min="4" max="4" width="21.42578125" customWidth="1"/>
    <col min="5" max="5" width="17.5703125" style="1" customWidth="1"/>
    <col min="6" max="7" width="20.28515625" style="1" customWidth="1"/>
    <col min="8" max="8" width="17.85546875" style="38" customWidth="1"/>
    <col min="9" max="9" width="12.5703125" style="5" customWidth="1"/>
    <col min="10" max="11" width="13.85546875" style="5" customWidth="1"/>
    <col min="12" max="12" width="14.85546875" style="5" customWidth="1"/>
  </cols>
  <sheetData>
    <row r="1" spans="2:15" ht="49.5" customHeight="1" x14ac:dyDescent="0.25">
      <c r="B1" s="2"/>
      <c r="C1" s="34" t="s">
        <v>18</v>
      </c>
      <c r="D1" s="34"/>
      <c r="E1" s="34"/>
      <c r="F1" s="34"/>
      <c r="G1" s="32"/>
      <c r="H1" s="37" t="s">
        <v>42</v>
      </c>
      <c r="O1" s="5"/>
    </row>
    <row r="2" spans="2:15" ht="12" customHeight="1" x14ac:dyDescent="0.25"/>
    <row r="3" spans="2:15" ht="42.75" customHeight="1" x14ac:dyDescent="0.25">
      <c r="B3" s="4" t="s">
        <v>0</v>
      </c>
      <c r="C3" s="35" t="s">
        <v>2</v>
      </c>
      <c r="D3" s="35" t="s">
        <v>3</v>
      </c>
      <c r="E3" s="35" t="s">
        <v>4</v>
      </c>
      <c r="F3" s="35" t="s">
        <v>1</v>
      </c>
      <c r="G3" s="35" t="s">
        <v>43</v>
      </c>
      <c r="H3" s="36" t="s">
        <v>47</v>
      </c>
      <c r="I3" s="36" t="s">
        <v>48</v>
      </c>
      <c r="J3" s="36" t="s">
        <v>49</v>
      </c>
      <c r="K3" s="36" t="s">
        <v>63</v>
      </c>
      <c r="L3" s="36" t="s">
        <v>50</v>
      </c>
    </row>
    <row r="4" spans="2:15" x14ac:dyDescent="0.25">
      <c r="B4" s="4">
        <f>IFERROR((ListaEstoque[[#This Row],[Quantidade em estoque]]&lt;=#REF!)*(#REF!="")*RealceValor,0)</f>
        <v>0</v>
      </c>
      <c r="C4" s="6" t="s">
        <v>5</v>
      </c>
      <c r="D4" s="6" t="s">
        <v>6</v>
      </c>
      <c r="E4" s="10">
        <v>155</v>
      </c>
      <c r="F4" s="11">
        <v>5</v>
      </c>
      <c r="G4" s="33" t="s">
        <v>44</v>
      </c>
      <c r="H4" s="39" t="s">
        <v>51</v>
      </c>
      <c r="I4" s="39" t="s">
        <v>53</v>
      </c>
      <c r="J4" s="45" t="s">
        <v>55</v>
      </c>
      <c r="K4" s="45">
        <v>10</v>
      </c>
      <c r="L4" s="39" t="s">
        <v>56</v>
      </c>
    </row>
    <row r="5" spans="2:15" ht="26.25" customHeight="1" x14ac:dyDescent="0.25">
      <c r="B5" s="42">
        <f>IFERROR((ListaEstoque[[#This Row],[Quantidade em estoque]]&lt;=#REF!)*(#REF!="")*RealceValor,0)</f>
        <v>0</v>
      </c>
      <c r="C5" s="43"/>
      <c r="D5" s="43"/>
      <c r="E5" s="43"/>
      <c r="F5" s="46"/>
      <c r="G5" s="44"/>
      <c r="H5" s="40"/>
      <c r="I5" s="40"/>
      <c r="J5" s="39" t="s">
        <v>58</v>
      </c>
      <c r="K5" s="39">
        <v>5</v>
      </c>
      <c r="L5" s="40"/>
    </row>
    <row r="6" spans="2:15" ht="30" customHeight="1" x14ac:dyDescent="0.25">
      <c r="B6" s="4">
        <f>IFERROR((ListaEstoque[[#This Row],[Quantidade em estoque]]&lt;=#REF!)*(#REF!="")*RealceValor,0)</f>
        <v>0</v>
      </c>
      <c r="C6" s="6" t="s">
        <v>5</v>
      </c>
      <c r="D6" s="6" t="s">
        <v>7</v>
      </c>
      <c r="E6" s="10">
        <v>52</v>
      </c>
      <c r="F6" s="11">
        <v>2</v>
      </c>
      <c r="G6" s="33" t="s">
        <v>45</v>
      </c>
      <c r="H6" s="39" t="s">
        <v>52</v>
      </c>
      <c r="I6" s="39" t="s">
        <v>54</v>
      </c>
      <c r="J6" s="39" t="s">
        <v>57</v>
      </c>
      <c r="K6" s="39">
        <v>2</v>
      </c>
      <c r="L6" s="39" t="s">
        <v>56</v>
      </c>
    </row>
    <row r="7" spans="2:15" ht="30" customHeight="1" x14ac:dyDescent="0.25">
      <c r="B7" s="4">
        <f>IFERROR((ListaEstoque[[#This Row],[Quantidade em estoque]]&lt;=#REF!)*(#REF!="")*RealceValor,0)</f>
        <v>0</v>
      </c>
      <c r="C7" s="6" t="s">
        <v>5</v>
      </c>
      <c r="D7" s="6" t="s">
        <v>9</v>
      </c>
      <c r="E7" s="10">
        <v>68</v>
      </c>
      <c r="F7" s="11">
        <v>1</v>
      </c>
      <c r="G7" s="33" t="s">
        <v>45</v>
      </c>
      <c r="H7" s="39" t="s">
        <v>52</v>
      </c>
      <c r="I7" s="39" t="s">
        <v>54</v>
      </c>
      <c r="J7" s="39" t="s">
        <v>57</v>
      </c>
      <c r="K7" s="39">
        <v>1</v>
      </c>
      <c r="L7" s="39" t="s">
        <v>56</v>
      </c>
    </row>
    <row r="8" spans="2:15" x14ac:dyDescent="0.25">
      <c r="B8" s="4">
        <f>IFERROR((ListaEstoque[[#This Row],[Quantidade em estoque]]&lt;=#REF!)*(#REF!="")*RealceValor,0)</f>
        <v>0</v>
      </c>
      <c r="C8" s="6" t="s">
        <v>5</v>
      </c>
      <c r="D8" s="6" t="s">
        <v>10</v>
      </c>
      <c r="E8" s="10">
        <v>88</v>
      </c>
      <c r="F8" s="11">
        <v>1</v>
      </c>
      <c r="G8" s="33" t="s">
        <v>44</v>
      </c>
      <c r="H8" s="39" t="s">
        <v>51</v>
      </c>
      <c r="I8" s="39" t="s">
        <v>53</v>
      </c>
      <c r="J8" s="39" t="s">
        <v>55</v>
      </c>
      <c r="K8" s="39">
        <v>1</v>
      </c>
      <c r="L8" s="39" t="s">
        <v>56</v>
      </c>
    </row>
    <row r="9" spans="2:15" ht="30" customHeight="1" x14ac:dyDescent="0.25">
      <c r="B9" s="4">
        <f>IFERROR((ListaEstoque[[#This Row],[Quantidade em estoque]]&lt;=#REF!)*(#REF!="")*RealceValor,0)</f>
        <v>0</v>
      </c>
      <c r="C9" s="6" t="s">
        <v>5</v>
      </c>
      <c r="D9" s="6" t="s">
        <v>8</v>
      </c>
      <c r="E9" s="10">
        <v>50</v>
      </c>
      <c r="F9" s="11">
        <v>1</v>
      </c>
      <c r="G9" s="33" t="s">
        <v>44</v>
      </c>
      <c r="H9" s="39" t="s">
        <v>51</v>
      </c>
      <c r="I9" s="39" t="s">
        <v>53</v>
      </c>
      <c r="J9" s="45" t="s">
        <v>55</v>
      </c>
      <c r="K9" s="45">
        <v>2</v>
      </c>
      <c r="L9" s="39" t="s">
        <v>56</v>
      </c>
    </row>
    <row r="10" spans="2:15" ht="30" customHeight="1" x14ac:dyDescent="0.25">
      <c r="B10" s="42">
        <f>IFERROR((ListaEstoque[[#This Row],[Quantidade em estoque]]&lt;=#REF!)*(#REF!="")*RealceValor,0)</f>
        <v>0</v>
      </c>
      <c r="C10" s="43"/>
      <c r="D10" s="43"/>
      <c r="E10" s="43"/>
      <c r="F10" s="46"/>
      <c r="G10" s="44"/>
      <c r="H10" s="40"/>
      <c r="I10" s="40"/>
      <c r="J10" s="39" t="s">
        <v>58</v>
      </c>
      <c r="K10" s="39">
        <v>1</v>
      </c>
      <c r="L10" s="40"/>
    </row>
    <row r="11" spans="2:15" ht="30" customHeight="1" x14ac:dyDescent="0.25">
      <c r="B11" s="4">
        <f>IFERROR((ListaEstoque[[#This Row],[Quantidade em estoque]]&lt;=#REF!)*(#REF!="")*RealceValor,0)</f>
        <v>0</v>
      </c>
      <c r="C11" s="6" t="s">
        <v>5</v>
      </c>
      <c r="D11" s="6" t="s">
        <v>11</v>
      </c>
      <c r="E11" s="10">
        <v>27</v>
      </c>
      <c r="F11" s="11">
        <v>1</v>
      </c>
      <c r="G11" s="33" t="s">
        <v>45</v>
      </c>
      <c r="H11" s="39" t="s">
        <v>52</v>
      </c>
      <c r="I11" s="39" t="s">
        <v>54</v>
      </c>
      <c r="J11" s="39" t="s">
        <v>57</v>
      </c>
      <c r="K11" s="39">
        <v>1</v>
      </c>
      <c r="L11" s="39" t="s">
        <v>56</v>
      </c>
    </row>
    <row r="12" spans="2:15" ht="30" customHeight="1" x14ac:dyDescent="0.25">
      <c r="B12" s="4">
        <f>IFERROR((ListaEstoque[[#This Row],[Quantidade em estoque]]&lt;=#REF!)*(#REF!="")*RealceValor,0)</f>
        <v>0</v>
      </c>
      <c r="C12" s="7" t="s">
        <v>14</v>
      </c>
      <c r="D12" s="7" t="s">
        <v>12</v>
      </c>
      <c r="E12" s="12">
        <v>31</v>
      </c>
      <c r="F12" s="13">
        <v>10</v>
      </c>
      <c r="G12" s="33" t="s">
        <v>45</v>
      </c>
      <c r="H12" s="39" t="s">
        <v>52</v>
      </c>
      <c r="I12" s="39" t="s">
        <v>54</v>
      </c>
      <c r="J12" s="39" t="s">
        <v>57</v>
      </c>
      <c r="K12" s="39">
        <v>10</v>
      </c>
      <c r="L12" s="39" t="s">
        <v>60</v>
      </c>
    </row>
    <row r="13" spans="2:15" ht="30" customHeight="1" x14ac:dyDescent="0.25">
      <c r="B13" s="4">
        <f>IFERROR((ListaEstoque[[#This Row],[Quantidade em estoque]]&lt;=#REF!)*(#REF!="")*RealceValor,0)</f>
        <v>0</v>
      </c>
      <c r="C13" s="7" t="s">
        <v>14</v>
      </c>
      <c r="D13" s="7" t="s">
        <v>13</v>
      </c>
      <c r="E13" s="12">
        <v>24</v>
      </c>
      <c r="F13" s="13">
        <v>6</v>
      </c>
      <c r="G13" s="33" t="s">
        <v>45</v>
      </c>
      <c r="H13" s="39" t="s">
        <v>52</v>
      </c>
      <c r="I13" s="39" t="s">
        <v>54</v>
      </c>
      <c r="J13" s="39" t="s">
        <v>57</v>
      </c>
      <c r="K13" s="39">
        <v>6</v>
      </c>
      <c r="L13" s="39" t="s">
        <v>60</v>
      </c>
    </row>
    <row r="14" spans="2:15" ht="30" customHeight="1" x14ac:dyDescent="0.25">
      <c r="B14" s="4">
        <f>IFERROR((ListaEstoque[[#This Row],[Quantidade em estoque]]&lt;=#REF!)*(#REF!="")*RealceValor,0)</f>
        <v>0</v>
      </c>
      <c r="C14" s="7" t="s">
        <v>14</v>
      </c>
      <c r="D14" s="7" t="s">
        <v>15</v>
      </c>
      <c r="E14" s="12">
        <v>41</v>
      </c>
      <c r="F14" s="13">
        <v>6</v>
      </c>
      <c r="G14" s="33" t="s">
        <v>46</v>
      </c>
      <c r="H14" s="39" t="s">
        <v>52</v>
      </c>
      <c r="I14" s="39" t="s">
        <v>54</v>
      </c>
      <c r="J14" s="39" t="s">
        <v>57</v>
      </c>
      <c r="K14" s="39">
        <v>6</v>
      </c>
      <c r="L14" s="39" t="s">
        <v>60</v>
      </c>
    </row>
    <row r="15" spans="2:15" ht="30" customHeight="1" x14ac:dyDescent="0.25">
      <c r="B15" s="4">
        <f>IFERROR((ListaEstoque[[#This Row],[Quantidade em estoque]]&lt;=#REF!)*(#REF!="")*RealceValor,0)</f>
        <v>0</v>
      </c>
      <c r="C15" s="7" t="s">
        <v>14</v>
      </c>
      <c r="D15" s="7" t="s">
        <v>16</v>
      </c>
      <c r="E15" s="12">
        <v>38</v>
      </c>
      <c r="F15" s="13">
        <v>1</v>
      </c>
      <c r="G15" s="33" t="s">
        <v>46</v>
      </c>
      <c r="H15" s="39" t="s">
        <v>52</v>
      </c>
      <c r="I15" s="39" t="s">
        <v>54</v>
      </c>
      <c r="J15" s="39" t="s">
        <v>57</v>
      </c>
      <c r="K15" s="39">
        <v>1</v>
      </c>
      <c r="L15" s="39" t="s">
        <v>60</v>
      </c>
    </row>
    <row r="16" spans="2:15" ht="30" customHeight="1" x14ac:dyDescent="0.25">
      <c r="B16" s="4">
        <f>IFERROR((ListaEstoque[[#This Row],[Quantidade em estoque]]&lt;=#REF!)*(#REF!="")*RealceValor,0)</f>
        <v>0</v>
      </c>
      <c r="C16" s="7" t="s">
        <v>14</v>
      </c>
      <c r="D16" s="7" t="s">
        <v>17</v>
      </c>
      <c r="E16" s="12">
        <v>17</v>
      </c>
      <c r="F16" s="13">
        <v>1</v>
      </c>
      <c r="G16" s="33" t="s">
        <v>45</v>
      </c>
      <c r="H16" s="39" t="s">
        <v>52</v>
      </c>
      <c r="I16" s="39" t="s">
        <v>54</v>
      </c>
      <c r="J16" s="39" t="s">
        <v>57</v>
      </c>
      <c r="K16" s="39">
        <v>1</v>
      </c>
      <c r="L16" s="39" t="s">
        <v>60</v>
      </c>
    </row>
    <row r="17" spans="2:12" x14ac:dyDescent="0.25">
      <c r="B17" s="4">
        <f>IFERROR((ListaEstoque[[#This Row],[Quantidade em estoque]]&lt;=#REF!)*(#REF!="")*RealceValor,0)</f>
        <v>0</v>
      </c>
      <c r="C17" s="8" t="s">
        <v>19</v>
      </c>
      <c r="D17" s="8" t="s">
        <v>20</v>
      </c>
      <c r="E17" s="14">
        <v>139</v>
      </c>
      <c r="F17" s="15">
        <v>4</v>
      </c>
      <c r="G17" s="33" t="s">
        <v>44</v>
      </c>
      <c r="H17" s="39" t="s">
        <v>51</v>
      </c>
      <c r="I17" s="39" t="s">
        <v>53</v>
      </c>
      <c r="J17" s="45" t="s">
        <v>55</v>
      </c>
      <c r="K17" s="45">
        <v>8</v>
      </c>
      <c r="L17" s="39" t="s">
        <v>61</v>
      </c>
    </row>
    <row r="18" spans="2:12" ht="24" customHeight="1" x14ac:dyDescent="0.25">
      <c r="B18" s="42">
        <f>IFERROR((ListaEstoque[[#This Row],[Quantidade em estoque]]&lt;=#REF!)*(#REF!="")*RealceValor,0)</f>
        <v>0</v>
      </c>
      <c r="C18" s="43"/>
      <c r="D18" s="43"/>
      <c r="E18" s="43"/>
      <c r="F18" s="46"/>
      <c r="G18" s="44"/>
      <c r="H18" s="40"/>
      <c r="I18" s="40"/>
      <c r="J18" s="39" t="s">
        <v>58</v>
      </c>
      <c r="K18" s="39">
        <v>4</v>
      </c>
      <c r="L18" s="40"/>
    </row>
    <row r="19" spans="2:12" ht="30" customHeight="1" x14ac:dyDescent="0.25">
      <c r="B19" s="4">
        <f>IFERROR((ListaEstoque[[#This Row],[Quantidade em estoque]]&lt;=#REF!)*(#REF!="")*RealceValor,0)</f>
        <v>0</v>
      </c>
      <c r="C19" s="8" t="s">
        <v>19</v>
      </c>
      <c r="D19" s="8" t="s">
        <v>21</v>
      </c>
      <c r="E19" s="14">
        <v>24</v>
      </c>
      <c r="F19" s="15">
        <v>2</v>
      </c>
      <c r="G19" s="33" t="s">
        <v>45</v>
      </c>
      <c r="H19" s="39" t="s">
        <v>52</v>
      </c>
      <c r="I19" s="39" t="s">
        <v>54</v>
      </c>
      <c r="J19" s="39" t="s">
        <v>57</v>
      </c>
      <c r="K19" s="39">
        <v>2</v>
      </c>
      <c r="L19" s="39" t="s">
        <v>61</v>
      </c>
    </row>
    <row r="20" spans="2:12" ht="30" customHeight="1" x14ac:dyDescent="0.25">
      <c r="B20" s="4">
        <f>IFERROR((ListaEstoque[[#This Row],[Quantidade em estoque]]&lt;=#REF!)*(#REF!="")*RealceValor,0)</f>
        <v>0</v>
      </c>
      <c r="C20" s="9" t="s">
        <v>22</v>
      </c>
      <c r="D20" s="9" t="s">
        <v>23</v>
      </c>
      <c r="E20" s="16">
        <v>28</v>
      </c>
      <c r="F20" s="17">
        <v>20</v>
      </c>
      <c r="G20" s="33" t="s">
        <v>45</v>
      </c>
      <c r="H20" s="39" t="s">
        <v>52</v>
      </c>
      <c r="I20" s="39" t="s">
        <v>54</v>
      </c>
      <c r="J20" s="39" t="s">
        <v>57</v>
      </c>
      <c r="K20" s="39">
        <v>20</v>
      </c>
      <c r="L20" s="39" t="s">
        <v>62</v>
      </c>
    </row>
    <row r="21" spans="2:12" ht="30" customHeight="1" x14ac:dyDescent="0.25">
      <c r="B21" s="4">
        <f>IFERROR((ListaEstoque[[#This Row],[Quantidade em estoque]]&lt;=#REF!)*(#REF!="")*RealceValor,0)</f>
        <v>0</v>
      </c>
      <c r="C21" s="9" t="s">
        <v>22</v>
      </c>
      <c r="D21" s="9" t="s">
        <v>24</v>
      </c>
      <c r="E21" s="16">
        <v>27</v>
      </c>
      <c r="F21" s="17">
        <v>20</v>
      </c>
      <c r="G21" s="33" t="s">
        <v>45</v>
      </c>
      <c r="H21" s="39" t="s">
        <v>52</v>
      </c>
      <c r="I21" s="39" t="s">
        <v>54</v>
      </c>
      <c r="J21" s="39" t="s">
        <v>57</v>
      </c>
      <c r="K21" s="39">
        <v>20</v>
      </c>
      <c r="L21" s="39" t="s">
        <v>62</v>
      </c>
    </row>
    <row r="22" spans="2:12" ht="30" customHeight="1" x14ac:dyDescent="0.25">
      <c r="B22" s="4">
        <f>IFERROR((ListaEstoque[[#This Row],[Quantidade em estoque]]&lt;=#REF!)*(#REF!="")*RealceValor,0)</f>
        <v>0</v>
      </c>
      <c r="C22" s="9" t="s">
        <v>22</v>
      </c>
      <c r="D22" s="9" t="s">
        <v>25</v>
      </c>
      <c r="E22" s="16">
        <v>35</v>
      </c>
      <c r="F22" s="17">
        <v>21</v>
      </c>
      <c r="G22" s="33" t="s">
        <v>45</v>
      </c>
      <c r="H22" s="39" t="s">
        <v>52</v>
      </c>
      <c r="I22" s="39" t="s">
        <v>54</v>
      </c>
      <c r="J22" s="39" t="s">
        <v>57</v>
      </c>
      <c r="K22" s="39">
        <v>21</v>
      </c>
      <c r="L22" s="39" t="s">
        <v>62</v>
      </c>
    </row>
    <row r="23" spans="2:12" ht="30" customHeight="1" x14ac:dyDescent="0.25">
      <c r="B23" s="4">
        <f>IFERROR((ListaEstoque[[#This Row],[Quantidade em estoque]]&lt;=#REF!)*(#REF!="")*RealceValor,0)</f>
        <v>0</v>
      </c>
      <c r="C23" s="9" t="s">
        <v>22</v>
      </c>
      <c r="D23" s="9" t="s">
        <v>26</v>
      </c>
      <c r="E23" s="16">
        <v>8</v>
      </c>
      <c r="F23" s="17">
        <v>5</v>
      </c>
      <c r="G23" s="33" t="s">
        <v>45</v>
      </c>
      <c r="H23" s="39" t="s">
        <v>52</v>
      </c>
      <c r="I23" s="39" t="s">
        <v>54</v>
      </c>
      <c r="J23" s="39" t="s">
        <v>57</v>
      </c>
      <c r="K23" s="39">
        <v>5</v>
      </c>
      <c r="L23" s="39" t="s">
        <v>62</v>
      </c>
    </row>
    <row r="24" spans="2:12" ht="30" customHeight="1" x14ac:dyDescent="0.25">
      <c r="B24" s="4">
        <f>IFERROR((ListaEstoque[[#This Row],[Quantidade em estoque]]&lt;=#REF!)*(#REF!="")*RealceValor,0)</f>
        <v>0</v>
      </c>
      <c r="C24" s="9" t="s">
        <v>22</v>
      </c>
      <c r="D24" s="9" t="s">
        <v>27</v>
      </c>
      <c r="E24" s="16">
        <v>44</v>
      </c>
      <c r="F24" s="17">
        <v>4</v>
      </c>
      <c r="G24" s="33" t="s">
        <v>45</v>
      </c>
      <c r="H24" s="39" t="s">
        <v>52</v>
      </c>
      <c r="I24" s="39" t="s">
        <v>54</v>
      </c>
      <c r="J24" s="39" t="s">
        <v>57</v>
      </c>
      <c r="K24" s="39">
        <v>4</v>
      </c>
      <c r="L24" s="39" t="s">
        <v>62</v>
      </c>
    </row>
    <row r="25" spans="2:12" ht="30" customHeight="1" x14ac:dyDescent="0.25">
      <c r="B25" s="4">
        <f>IFERROR((ListaEstoque[[#This Row],[Quantidade em estoque]]&lt;=#REF!)*(#REF!="")*RealceValor,0)</f>
        <v>0</v>
      </c>
      <c r="C25" s="9" t="s">
        <v>22</v>
      </c>
      <c r="D25" s="9" t="s">
        <v>28</v>
      </c>
      <c r="E25" s="16">
        <v>52</v>
      </c>
      <c r="F25" s="17">
        <v>8</v>
      </c>
      <c r="G25" s="33" t="s">
        <v>46</v>
      </c>
      <c r="H25" s="39" t="s">
        <v>52</v>
      </c>
      <c r="I25" s="39" t="s">
        <v>54</v>
      </c>
      <c r="J25" s="39" t="s">
        <v>57</v>
      </c>
      <c r="K25" s="39">
        <v>8</v>
      </c>
      <c r="L25" s="39" t="s">
        <v>62</v>
      </c>
    </row>
    <row r="26" spans="2:12" ht="30" customHeight="1" x14ac:dyDescent="0.25">
      <c r="B26" s="4">
        <f>IFERROR((ListaEstoque[[#This Row],[Quantidade em estoque]]&lt;=#REF!)*(#REF!="")*RealceValor,0)</f>
        <v>0</v>
      </c>
      <c r="C26" s="9" t="s">
        <v>22</v>
      </c>
      <c r="D26" s="9" t="s">
        <v>30</v>
      </c>
      <c r="E26" s="16">
        <v>23</v>
      </c>
      <c r="F26" s="17">
        <v>10</v>
      </c>
      <c r="G26" s="33" t="s">
        <v>45</v>
      </c>
      <c r="H26" s="39" t="s">
        <v>52</v>
      </c>
      <c r="I26" s="39" t="s">
        <v>54</v>
      </c>
      <c r="J26" s="39" t="s">
        <v>57</v>
      </c>
      <c r="K26" s="39">
        <v>10</v>
      </c>
      <c r="L26" s="39" t="s">
        <v>62</v>
      </c>
    </row>
    <row r="27" spans="2:12" ht="30" customHeight="1" x14ac:dyDescent="0.25">
      <c r="B27" s="4">
        <f>IFERROR((ListaEstoque[[#This Row],[Quantidade em estoque]]&lt;=#REF!)*(#REF!="")*RealceValor,0)</f>
        <v>0</v>
      </c>
      <c r="C27" s="9" t="s">
        <v>31</v>
      </c>
      <c r="D27" s="9" t="s">
        <v>29</v>
      </c>
      <c r="E27" s="16">
        <v>65</v>
      </c>
      <c r="F27" s="17">
        <v>8</v>
      </c>
      <c r="G27" s="33" t="s">
        <v>46</v>
      </c>
      <c r="H27" s="39" t="s">
        <v>52</v>
      </c>
      <c r="I27" s="39" t="s">
        <v>54</v>
      </c>
      <c r="J27" s="39" t="s">
        <v>57</v>
      </c>
      <c r="K27" s="39">
        <v>8</v>
      </c>
      <c r="L27" s="39" t="s">
        <v>62</v>
      </c>
    </row>
    <row r="28" spans="2:12" ht="30" customHeight="1" x14ac:dyDescent="0.25">
      <c r="B28" s="4">
        <f>IFERROR((ListaEstoque[[#This Row],[Quantidade em estoque]]&lt;=#REF!)*(#REF!="")*RealceValor,0)</f>
        <v>0</v>
      </c>
      <c r="C28" s="9" t="s">
        <v>31</v>
      </c>
      <c r="D28" s="9" t="s">
        <v>32</v>
      </c>
      <c r="E28" s="16">
        <v>34</v>
      </c>
      <c r="F28" s="17">
        <v>1</v>
      </c>
      <c r="G28" s="33" t="s">
        <v>45</v>
      </c>
      <c r="H28" s="39" t="s">
        <v>52</v>
      </c>
      <c r="I28" s="39" t="s">
        <v>54</v>
      </c>
      <c r="J28" s="39" t="s">
        <v>57</v>
      </c>
      <c r="K28" s="39">
        <v>1</v>
      </c>
      <c r="L28" s="39" t="s">
        <v>62</v>
      </c>
    </row>
    <row r="29" spans="2:12" ht="30" customHeight="1" x14ac:dyDescent="0.25">
      <c r="B29" s="4">
        <f>IFERROR((ListaEstoque[[#This Row],[Quantidade em estoque]]&lt;=#REF!)*(#REF!="")*RealceValor,0)</f>
        <v>0</v>
      </c>
      <c r="C29" s="18" t="s">
        <v>33</v>
      </c>
      <c r="D29" s="18" t="s">
        <v>34</v>
      </c>
      <c r="E29" s="19">
        <v>29</v>
      </c>
      <c r="F29" s="20">
        <v>3</v>
      </c>
      <c r="G29" s="33" t="s">
        <v>46</v>
      </c>
      <c r="H29" s="39" t="s">
        <v>52</v>
      </c>
      <c r="I29" s="39" t="s">
        <v>54</v>
      </c>
      <c r="J29" s="39" t="s">
        <v>57</v>
      </c>
      <c r="K29" s="39">
        <v>3</v>
      </c>
      <c r="L29" s="39" t="s">
        <v>60</v>
      </c>
    </row>
    <row r="30" spans="2:12" ht="30" customHeight="1" x14ac:dyDescent="0.25">
      <c r="B30" s="4">
        <f>IFERROR((ListaEstoque[[#This Row],[Quantidade em estoque]]&lt;=#REF!)*(#REF!="")*RealceValor,0)</f>
        <v>0</v>
      </c>
      <c r="C30" s="21" t="s">
        <v>35</v>
      </c>
      <c r="D30" s="21" t="s">
        <v>35</v>
      </c>
      <c r="E30" s="22">
        <v>52</v>
      </c>
      <c r="F30" s="23">
        <v>7</v>
      </c>
      <c r="G30" s="33" t="s">
        <v>46</v>
      </c>
      <c r="H30" s="39" t="s">
        <v>51</v>
      </c>
      <c r="I30" s="39" t="s">
        <v>53</v>
      </c>
      <c r="J30" s="39" t="s">
        <v>55</v>
      </c>
      <c r="K30" s="39">
        <v>7</v>
      </c>
      <c r="L30" s="39" t="s">
        <v>61</v>
      </c>
    </row>
    <row r="31" spans="2:12" ht="30" customHeight="1" x14ac:dyDescent="0.25">
      <c r="B31" s="4">
        <f>IFERROR((ListaEstoque[[#This Row],[Quantidade em estoque]]&lt;=#REF!)*(#REF!="")*RealceValor,0)</f>
        <v>0</v>
      </c>
      <c r="C31" s="21" t="s">
        <v>35</v>
      </c>
      <c r="D31" s="21" t="s">
        <v>36</v>
      </c>
      <c r="E31" s="22">
        <v>52</v>
      </c>
      <c r="F31" s="23">
        <v>8</v>
      </c>
      <c r="G31" s="33" t="s">
        <v>45</v>
      </c>
      <c r="H31" s="39" t="s">
        <v>52</v>
      </c>
      <c r="I31" s="39" t="s">
        <v>54</v>
      </c>
      <c r="J31" s="39" t="s">
        <v>57</v>
      </c>
      <c r="K31" s="39">
        <v>8</v>
      </c>
      <c r="L31" s="39" t="s">
        <v>61</v>
      </c>
    </row>
    <row r="32" spans="2:12" ht="30" customHeight="1" x14ac:dyDescent="0.25">
      <c r="B32" s="24">
        <f>IFERROR((ListaEstoque[[#This Row],[Quantidade em estoque]]&lt;=#REF!)*(#REF!="")*RealceValor,0)</f>
        <v>0</v>
      </c>
      <c r="C32" s="21" t="s">
        <v>35</v>
      </c>
      <c r="D32" s="21" t="s">
        <v>37</v>
      </c>
      <c r="E32" s="22">
        <v>41</v>
      </c>
      <c r="F32" s="23">
        <v>4</v>
      </c>
      <c r="G32" s="33" t="s">
        <v>45</v>
      </c>
      <c r="H32" s="39" t="s">
        <v>52</v>
      </c>
      <c r="I32" s="39" t="s">
        <v>54</v>
      </c>
      <c r="J32" s="39" t="s">
        <v>57</v>
      </c>
      <c r="K32" s="39">
        <v>4</v>
      </c>
      <c r="L32" s="39" t="s">
        <v>61</v>
      </c>
    </row>
    <row r="33" spans="2:12" ht="30" customHeight="1" x14ac:dyDescent="0.25">
      <c r="B33" s="25">
        <f>IFERROR((ListaEstoque[[#This Row],[Quantidade em estoque]]&lt;=#REF!)*(#REF!="")*RealceValor,0)</f>
        <v>0</v>
      </c>
      <c r="C33" s="26" t="s">
        <v>39</v>
      </c>
      <c r="D33" s="26" t="s">
        <v>38</v>
      </c>
      <c r="E33" s="27">
        <v>23</v>
      </c>
      <c r="F33" s="28">
        <v>4</v>
      </c>
      <c r="G33" s="33" t="s">
        <v>45</v>
      </c>
      <c r="H33" s="39" t="s">
        <v>52</v>
      </c>
      <c r="I33" s="39" t="s">
        <v>54</v>
      </c>
      <c r="J33" s="39" t="s">
        <v>57</v>
      </c>
      <c r="K33" s="39">
        <v>4</v>
      </c>
      <c r="L33" s="39" t="s">
        <v>59</v>
      </c>
    </row>
    <row r="34" spans="2:12" ht="30" customHeight="1" x14ac:dyDescent="0.25">
      <c r="B34" s="25">
        <f>IFERROR((ListaEstoque[[#This Row],[Quantidade em estoque]]&lt;=#REF!)*(#REF!="")*RealceValor,0)</f>
        <v>0</v>
      </c>
      <c r="C34" s="26" t="s">
        <v>39</v>
      </c>
      <c r="D34" s="26" t="s">
        <v>40</v>
      </c>
      <c r="E34" s="27">
        <v>30</v>
      </c>
      <c r="F34" s="28">
        <v>3</v>
      </c>
      <c r="G34" s="33" t="s">
        <v>45</v>
      </c>
      <c r="H34" s="39" t="s">
        <v>52</v>
      </c>
      <c r="I34" s="39" t="s">
        <v>54</v>
      </c>
      <c r="J34" s="39" t="s">
        <v>57</v>
      </c>
      <c r="K34" s="39">
        <v>3</v>
      </c>
      <c r="L34" s="39" t="s">
        <v>59</v>
      </c>
    </row>
    <row r="35" spans="2:12" ht="30" customHeight="1" x14ac:dyDescent="0.25">
      <c r="B35" s="29"/>
      <c r="C35" s="30" t="s">
        <v>41</v>
      </c>
      <c r="D35" s="30"/>
      <c r="E35" s="30"/>
      <c r="F35" s="31">
        <f>SUM(F4:F34)</f>
        <v>167</v>
      </c>
      <c r="G35" s="31"/>
      <c r="H35" s="41"/>
      <c r="I35" s="41"/>
      <c r="J35" s="41"/>
      <c r="K35" s="41"/>
      <c r="L35" s="41"/>
    </row>
  </sheetData>
  <mergeCells count="1">
    <mergeCell ref="C1:F1"/>
  </mergeCells>
  <phoneticPr fontId="18" type="noConversion"/>
  <conditionalFormatting sqref="C20:C26 C14:F15 C19:F19">
    <cfRule type="expression" dxfId="19" priority="106">
      <formula>$B16=1</formula>
    </cfRule>
    <cfRule type="expression" dxfId="18" priority="107">
      <formula>#REF!="sim"</formula>
    </cfRule>
  </conditionalFormatting>
  <conditionalFormatting sqref="C4:G13 D22:F26 C27:F31 C32">
    <cfRule type="expression" dxfId="17" priority="102">
      <formula>$B4=1</formula>
    </cfRule>
    <cfRule type="expression" dxfId="16" priority="103">
      <formula>#REF!="sim"</formula>
    </cfRule>
  </conditionalFormatting>
  <conditionalFormatting sqref="G14:G34">
    <cfRule type="expression" dxfId="15" priority="1">
      <formula>$B14=1</formula>
    </cfRule>
    <cfRule type="expression" dxfId="14" priority="2">
      <formula>#REF!="sim"</formula>
    </cfRule>
  </conditionalFormatting>
  <conditionalFormatting sqref="C16:F18">
    <cfRule type="expression" dxfId="13" priority="113">
      <formula>$B19=1</formula>
    </cfRule>
    <cfRule type="expression" dxfId="12" priority="114">
      <formula>#REF!="sim"</formula>
    </cfRule>
  </conditionalFormatting>
  <dataValidations count="6">
    <dataValidation allowBlank="1" showInputMessage="1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" sqref="A1" xr:uid="{00000000-0002-0000-0000-000000000000}"/>
    <dataValidation allowBlank="1" showInputMessage="1" showErrorMessage="1" prompt="Um ícone de sinalização nesta coluna indica itens na lista de estoque que estão prontos para ser encomendados novamente. Ícones de sinalização aparecem apenas ao selecionar Sim em H1 e quando o item atende aos critérios de nova encomenda" sqref="B3" xr:uid="{00000000-0002-0000-0000-000001000000}"/>
    <dataValidation allowBlank="1" showInputMessage="1" showErrorMessage="1" prompt="Insira a ID de estoque do item nesta coluna" sqref="C3" xr:uid="{00000000-0002-0000-0000-000002000000}"/>
    <dataValidation allowBlank="1" showInputMessage="1" showErrorMessage="1" prompt="Insira o nome do item nesta coluna" sqref="D3" xr:uid="{00000000-0002-0000-0000-000003000000}"/>
    <dataValidation allowBlank="1" showInputMessage="1" showErrorMessage="1" prompt="Insira uma descrição do item nesta coluna" sqref="E3" xr:uid="{00000000-0002-0000-0000-000004000000}"/>
    <dataValidation allowBlank="1" showInputMessage="1" showErrorMessage="1" prompt="Insira a quantidade em estoque de cada item nesta coluna" sqref="F3:G3" xr:uid="{00000000-0002-0000-0000-000005000000}"/>
  </dataValidations>
  <printOptions horizontalCentered="1"/>
  <pageMargins left="0.25" right="0.25" top="0.75" bottom="0.75" header="0.05" footer="0.3"/>
  <pageSetup paperSize="9" scale="52" fitToHeight="0" orientation="portrait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8" id="{A805BCDA-60BA-4229-B65E-26A7421A74F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Lista de estoque</vt:lpstr>
      <vt:lpstr>TítuloColuna1</vt:lpstr>
      <vt:lpstr>'Lista de estoque'!Titulos_de_impressao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CME - Rastro</dc:creator>
  <cp:lastModifiedBy>Camila Cadamuro</cp:lastModifiedBy>
  <dcterms:created xsi:type="dcterms:W3CDTF">2016-08-01T23:26:40Z</dcterms:created>
  <dcterms:modified xsi:type="dcterms:W3CDTF">2025-12-17T20:09:59Z</dcterms:modified>
</cp:coreProperties>
</file>