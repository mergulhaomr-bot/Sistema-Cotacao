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\COTAÇÕES - VENDAS\2025\CTC043.25 - SÃO LUCAS (CASCAVEL)\"/>
    </mc:Choice>
  </mc:AlternateContent>
  <xr:revisionPtr revIDLastSave="0" documentId="13_ncr:1_{55FF5528-87B1-427E-962A-4AC5599BE4CF}" xr6:coauthVersionLast="47" xr6:coauthVersionMax="47" xr10:uidLastSave="{00000000-0000-0000-0000-000000000000}"/>
  <bookViews>
    <workbookView xWindow="-120" yWindow="-120" windowWidth="20730" windowHeight="11160" xr2:uid="{79B2B6E5-F56E-4F73-B7DD-2D3660F249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9" i="1"/>
  <c r="H10" i="1"/>
  <c r="H11" i="1"/>
  <c r="H12" i="1"/>
  <c r="H13" i="1"/>
  <c r="H14" i="1"/>
  <c r="H15" i="1"/>
  <c r="H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<sst xmlns="http://schemas.openxmlformats.org/spreadsheetml/2006/main" count="46" uniqueCount="37">
  <si>
    <t>Ao Hospital São Lucas</t>
  </si>
  <si>
    <t xml:space="preserve">A/C Sr. Ildemar </t>
  </si>
  <si>
    <t>ITEM</t>
  </si>
  <si>
    <t>QUANT</t>
  </si>
  <si>
    <t xml:space="preserve">DESCRITIVO </t>
  </si>
  <si>
    <t>CÓDIGO FENTEX</t>
  </si>
  <si>
    <t xml:space="preserve"> ANVISA</t>
  </si>
  <si>
    <t xml:space="preserve">
 UNITÁRIO</t>
  </si>
  <si>
    <t xml:space="preserve"> TOTAL</t>
  </si>
  <si>
    <t>Box de container tamanho 3/4, em alumínio anodizado, dimensões internas 430x260x115 mm</t>
  </si>
  <si>
    <t>FX.60.831</t>
  </si>
  <si>
    <t>Isento</t>
  </si>
  <si>
    <t>Tampa para container tamanho 3/4, com sistema de barreira permanente, silicone em toda extensão para perfeita vedação, cor preta</t>
  </si>
  <si>
    <t>FX.60.804</t>
  </si>
  <si>
    <t>Cesto aramado compatível com box tamanho 3/4, com pés, dimensões 405x252x80 mm</t>
  </si>
  <si>
    <t>FX.61.216</t>
  </si>
  <si>
    <t>Plaqueta identificação para container, cor preta</t>
  </si>
  <si>
    <t>FX.62.233</t>
  </si>
  <si>
    <t>Box de container tamanho 1/2, em alumínio anodizado, dimensões internas 260x260x85 mm</t>
  </si>
  <si>
    <t>FX.61.318</t>
  </si>
  <si>
    <t>Tampa para container tamanho 1/2, com sistema de barreira permanente, silicone em toda extensão para perfeita vedação, cor prata</t>
  </si>
  <si>
    <t>FX.61.267</t>
  </si>
  <si>
    <t>Cesto aramado compatível com box tamanho 1/2, com pés, dimensões  242x252x60 mm</t>
  </si>
  <si>
    <t>FX.61.849</t>
  </si>
  <si>
    <t>São Paulo, 17 de dezembro de 2025</t>
  </si>
  <si>
    <t>TOTAL</t>
  </si>
  <si>
    <t>CONDIÇÕES COMERCIAIS:</t>
  </si>
  <si>
    <t>Marca</t>
  </si>
  <si>
    <t>Fentex</t>
  </si>
  <si>
    <t>Valores em Euros</t>
  </si>
  <si>
    <t>Garantia de 10 anos contra defeito de fabricação</t>
  </si>
  <si>
    <t>Procedência: Estados Unidos</t>
  </si>
  <si>
    <t>Prazo de Entrega: 60 dias</t>
  </si>
  <si>
    <t>Prazo de Pagamento: Antecipado</t>
  </si>
  <si>
    <t>Validade da Proposta: 60 dias</t>
  </si>
  <si>
    <t>Porto de Coleta: Istanbul, Turquia</t>
  </si>
  <si>
    <t>Termo: 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</si>
</sst>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2" xfId="0" applyNumberFormat="1" applyFont="1" applyFill="1" applyBorder="1" applyAlignment="1" applyProtection="1">
      <alignment horizontal="center" vertical="center"/>
      <protection locked="0" hidden="1"/>
    </xf>
    <xf numFmtId="49" fontId="2" fillId="2" borderId="1" xfId="0" applyNumberFormat="1" applyFont="1" applyFill="1" applyBorder="1" applyAlignment="1" applyProtection="1">
      <alignment horizontal="center" vertical="center"/>
      <protection locked="0" hidden="1"/>
    </xf>
    <xf numFmtId="0" fontId="0" fillId="0" borderId="3" xfId="0" applyBorder="1" applyAlignment="1" applyProtection="1">
      <alignment horizontal="left" vertical="center" wrapText="1"/>
      <protection hidden="1"/>
    </xf>
    <xf numFmtId="0" fontId="4" fillId="0" borderId="3" xfId="0" applyFont="1" applyBorder="1" applyAlignment="1">
      <alignment horizontal="center" vertical="center" wrapText="1"/>
    </xf>
    <xf numFmtId="0" fontId="0" fillId="0" borderId="3" xfId="1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0" fillId="3" borderId="0" xfId="0" applyFill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3" xfId="0" applyNumberFormat="1" applyBorder="1"/>
    <xf numFmtId="4" fontId="3" fillId="3" borderId="0" xfId="0" applyNumberFormat="1" applyFont="1" applyFill="1" applyAlignment="1">
      <alignment horizontal="center"/>
    </xf>
    <xf numFmtId="4" fontId="3" fillId="3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42FFCCC4-AED8-41EE-BB93-5890C945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03B6D61-03D5-475F-9372-B2C5A8ACA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603E897A-DE8B-4C4C-9F80-52B809D84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7D999153-9878-40B5-B14E-1ADBF51C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A897A3D0-3BCC-4BFD-8699-E1B3EC0A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68548F42-6841-4171-A59B-BF92E8BF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511854B8-0EC3-4217-9B21-697CB78B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9AD9BE96-7B9A-4160-9FB8-BA3D78E23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570D9CB0-C5B7-495E-8797-57D0890F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84F699B2-11D1-4BB1-9CFB-E481E93FF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516D8991-3953-4692-9DF6-F2E252EA1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91BD6E36-6C71-4636-AF3A-C36677FC1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4FCB9D0B-05DF-43FF-A034-C0C7C1BA1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80A64C24-7C80-4B1B-AC98-55723ECC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3B3FED23-2559-47FD-ACB3-886D2EA0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7C671528-F529-4852-A712-889C6551E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0</xdr:rowOff>
    </xdr:from>
    <xdr:ext cx="0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28C65CD0-D572-4E97-AD14-8DFBE7311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6957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7E4FDB12-E986-4C1D-BD1B-82D4BD2B8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7205D648-A8D5-4C14-8D79-811C1B3E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A43232D9-BE7C-4CE4-8BBC-CAE2ACA6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5F1605DB-51EE-43D1-BFBC-72E003AEB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36944F5F-1A96-4C07-AA7F-D73F8F58F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47FFB0A3-424D-4CAC-A810-EAEEC3AA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BF7479A8-3079-4E12-B461-F901BC497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493E67DA-48F2-4731-A4AC-F6A96CB7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0829DF7B-F104-4FA2-8A0F-8D295A98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152213CD-3E13-4EF8-8D77-D62EBED51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A14BF8FE-5057-44C0-8EDD-92326C22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DCC96A0A-C019-40B9-A5A2-6DAD8F915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EFC21F07-1E74-4B44-9DE8-9BCD785FF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FA7070A8-716E-43AB-BC64-C23A771A5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C60C3AA9-A039-4F2A-A420-C1AE57BB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435A71FE-5A95-4D24-A236-0B7A9D8E8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3C5CAAAF-926B-4F3F-BAA6-9774A5E9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86BFB51A-6D07-4FA1-8923-7A32DCB4A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E1B0B0B6-032E-4EB8-8C67-3A23CF08F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D2D40945-DC5B-42A4-AEC8-BD2F3E989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B3C9DCB0-9266-4327-80AB-25546D47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B31C104F-52FA-4442-96F0-D9672D01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1CCC743D-75E5-40A5-97C7-788F0546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7669EC45-FB63-47F3-A6C2-CAB82BA5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75B35489-3450-4C84-AB2D-5EDD4B8C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E54F0AB5-5660-4080-B308-F95A4279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EEB1B538-4A96-48ED-9C23-490ADAA4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CB084E6D-418F-43A9-923D-B32BD0D0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4969B26C-738D-4999-A7E7-DD5CCD490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D8D67D76-190A-4215-A1B7-9448682B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0B3EE5CD-9E71-41F1-82D5-D3EFD1636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B4A782E9-A9E7-468F-9177-824E49882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2E48772F-0CBB-4FDC-81A0-D0FFE8188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E530F02B-AEDD-4E65-9FD8-F445CDCD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289F5597-C8D8-470A-B9D9-35E3644C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7C3E16AF-91F9-45B8-A2C9-049DBED3E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65A6113B-9867-41AE-AD53-B3B961B4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23936FE9-AEDF-4048-B89B-53542713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7B9CF23D-9FE4-4715-B461-88245A36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3F788BC2-E39C-45B5-AE8C-16F6F2303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70B3C0E8-ABA2-441A-9604-3D85F228A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9FF0D911-4818-4425-B57B-C19A8846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331A7244-92D4-4FB8-9C73-E147D7DA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27BE1A67-549C-4FAB-8BE6-E8A98A3C0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2F198BAD-7976-4391-A59E-44CB982FD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9DED455E-D8CE-4E2A-8033-4960F062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E9D4826B-E83F-4762-9778-C8B10299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61B803C8-CC86-43AF-9732-FFFF60AC4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1C0185AD-43B0-40FA-8860-71277B9B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450BC7AD-8EF5-46F4-ABAB-4C081CA6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DC6506F4-8F38-4825-9D0A-60F94D8B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60A75F04-94ED-4C6A-A2BB-04EA22F6D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89D44E3C-691E-418F-8853-B2A154AAA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490F791E-0279-4944-8F93-06692D424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C1AE1613-7E47-40E6-8569-97C749F7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3BDF0F24-5038-4DF6-968E-8B0D12C6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B5451E21-4F77-4361-9F84-F184845F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99007441-E1DD-4EBE-881D-B2E3D51DF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C297E0AF-B46A-48C2-8ECF-F9E0B3A2A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BBE2B3E-E422-489F-8AF6-05816E12D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70E41284-1BC0-4BFA-A2D3-1647F3F2A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47574B0E-7538-4651-9781-EE75593F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4408D275-3ABD-47BC-B3E1-104903E3B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466DFDE2-7200-4EA8-B74B-8ED6CA00F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7C10B243-26EC-4961-884A-6AA6A43E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0FA902D0-CF9E-4D44-953D-E70845F9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49F0705A-77D6-4CF9-96FD-E003BEE12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C37A7489-B65C-4849-B2F7-12AEEB9C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9755F2C2-C48B-4DA0-9F23-5F620317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8A240F37-AFC3-467C-B165-7A2BA4FE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C6220CC0-8564-44D0-B9DA-5D9F39BAC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69EB4BC1-E7BC-4D49-A657-8D519495D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8A05FBC2-2D13-42BC-A270-7233B116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C6DC45FB-45AD-4CAA-930A-F48B1BF1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7DF1B0F1-7956-4FCF-ACE5-F18651CD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466B24F2-A8F5-4F9F-AFDB-EBC7BFD7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56D7D683-2E9A-4B19-B2B5-C0258BAF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78E9571-EEA2-4CAA-838F-0D374083A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ABEAD6FE-1BCA-4B26-B88B-A92B0B61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F71C5A44-6127-45EB-A81B-B4DC833B9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6B5C780E-1BCB-43A6-A4AF-59A8FD1E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B71DA2AE-8E18-4ED0-B6AB-67B71A4A0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88741E63-F2D0-4AE0-9EDA-7198FBE2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BCC0A0A0-422F-4743-88C0-FE966790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3B95474-50EB-43B5-AD25-96629A37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1BCEED1D-16DF-4E3A-BDF6-3D2488ED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1FBD507F-4263-40A3-BCD8-1A08E18BA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AC714029-D74D-4FD6-AA1E-5095C0A4E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C0AEC860-CF6B-4EED-8C81-AEC5BDA5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3A8768FF-CFC5-4FA6-B7BF-33DA0738F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05681CDB-A4E3-4B5A-8B43-D321FE10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CE4683A3-69C8-4ED8-BBCD-E475D57DD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F5B49A26-1D4E-4B77-A08C-345065FDD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03371FE2-BF73-4898-8794-A264CFED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D83D563F-EE26-404A-A53F-2231CB21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BE55F058-06A7-4618-A4C2-EFFF89DC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9184D629-CC0F-4CC8-8C3C-6EE91718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0EA52012-86CD-4910-A8E4-A70E40D4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7ECADA1D-02A7-433F-A977-7EE66DB2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62FF2A70-1C7F-4CDC-800E-C0298FDFD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78FEF6CA-F097-4245-9C9F-058B7E05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D41DE64E-7270-427D-AD51-C582BE26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FA9EAB84-1C8F-4F60-9038-D3C449BB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27FEEA22-DE23-40A7-A6DD-342CF0B67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71E9E73B-FBFD-4441-85F0-8FAFF9CD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52F091AA-6386-4911-8D89-2B0B9A1C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BD999213-A5B1-4896-9291-49B6AA89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010AE2EF-CE59-4A03-A510-3A08B336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25400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12028F0C-BC37-4D22-8071-F68E0FA3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D035D3C3-0B5E-478B-9149-5B330B1F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BD56037F-0F67-40E5-8542-0619C6181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7BE537FC-DB5A-4837-B6C5-67D1F64B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A431D76F-9C28-4694-8BF3-2324FF4A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693EC2E0-EF80-4A36-8AB5-DF2641BB2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0AB7-D65C-4B1D-B21C-BD0CB38FD5D8}">
  <dimension ref="B1:AW27"/>
  <sheetViews>
    <sheetView tabSelected="1" showWhiteSpace="0" topLeftCell="A13" zoomScaleNormal="100" workbookViewId="0">
      <selection activeCell="G16" sqref="G16:H16"/>
    </sheetView>
  </sheetViews>
  <sheetFormatPr defaultRowHeight="15" x14ac:dyDescent="0.25"/>
  <cols>
    <col min="2" max="2" width="8.140625" customWidth="1"/>
    <col min="3" max="3" width="8" style="7" customWidth="1"/>
    <col min="4" max="4" width="38" customWidth="1"/>
    <col min="5" max="5" width="15.42578125" customWidth="1"/>
    <col min="6" max="6" width="13.5703125" customWidth="1"/>
    <col min="7" max="7" width="13.5703125" style="7" customWidth="1"/>
    <col min="8" max="8" width="12.140625" customWidth="1"/>
    <col min="9" max="49" width="9.140625" style="10"/>
  </cols>
  <sheetData>
    <row r="1" spans="2:8" s="10" customFormat="1" ht="46.5" customHeight="1" x14ac:dyDescent="0.25">
      <c r="B1" s="9" t="e" vm="1">
        <v>#VALUE!</v>
      </c>
      <c r="C1" s="9"/>
      <c r="G1" s="11"/>
    </row>
    <row r="2" spans="2:8" s="10" customFormat="1" x14ac:dyDescent="0.25">
      <c r="C2" s="11"/>
      <c r="G2" s="11"/>
    </row>
    <row r="3" spans="2:8" s="10" customFormat="1" x14ac:dyDescent="0.25">
      <c r="B3" s="10" t="s">
        <v>24</v>
      </c>
      <c r="C3" s="11"/>
      <c r="G3" s="11"/>
    </row>
    <row r="4" spans="2:8" s="10" customFormat="1" x14ac:dyDescent="0.25">
      <c r="B4" s="10" t="s">
        <v>0</v>
      </c>
      <c r="C4" s="11"/>
      <c r="G4" s="11"/>
    </row>
    <row r="5" spans="2:8" s="10" customFormat="1" x14ac:dyDescent="0.25">
      <c r="B5" s="10" t="s">
        <v>1</v>
      </c>
      <c r="C5" s="11"/>
      <c r="G5" s="11"/>
    </row>
    <row r="6" spans="2:8" s="10" customFormat="1" x14ac:dyDescent="0.25">
      <c r="C6" s="11"/>
      <c r="G6" s="11"/>
    </row>
    <row r="7" spans="2:8" x14ac:dyDescent="0.25">
      <c r="B7" s="1" t="s">
        <v>2</v>
      </c>
      <c r="C7" s="1" t="s">
        <v>3</v>
      </c>
      <c r="D7" s="2" t="s">
        <v>4</v>
      </c>
      <c r="E7" s="1" t="s">
        <v>5</v>
      </c>
      <c r="F7" s="3" t="s">
        <v>6</v>
      </c>
      <c r="G7" s="3" t="s">
        <v>7</v>
      </c>
      <c r="H7" s="3" t="s">
        <v>8</v>
      </c>
    </row>
    <row r="8" spans="2:8" ht="45" x14ac:dyDescent="0.25">
      <c r="B8" s="8">
        <v>1</v>
      </c>
      <c r="C8" s="8">
        <v>17</v>
      </c>
      <c r="D8" s="4" t="s">
        <v>9</v>
      </c>
      <c r="E8" s="5" t="s">
        <v>10</v>
      </c>
      <c r="F8" s="6" t="s">
        <v>11</v>
      </c>
      <c r="G8" s="12">
        <v>242.25</v>
      </c>
      <c r="H8" s="13">
        <f>G8*C8</f>
        <v>4118.25</v>
      </c>
    </row>
    <row r="9" spans="2:8" ht="60" x14ac:dyDescent="0.25">
      <c r="B9" s="8">
        <v>2</v>
      </c>
      <c r="C9" s="8">
        <v>17</v>
      </c>
      <c r="D9" s="4" t="s">
        <v>12</v>
      </c>
      <c r="E9" s="5" t="s">
        <v>13</v>
      </c>
      <c r="F9" s="6" t="s">
        <v>11</v>
      </c>
      <c r="G9" s="12">
        <v>263.25</v>
      </c>
      <c r="H9" s="13">
        <f t="shared" ref="H9:H15" si="0">G9*C9</f>
        <v>4475.25</v>
      </c>
    </row>
    <row r="10" spans="2:8" ht="45" x14ac:dyDescent="0.25">
      <c r="B10" s="8">
        <v>3</v>
      </c>
      <c r="C10" s="8">
        <v>17</v>
      </c>
      <c r="D10" s="4" t="s">
        <v>14</v>
      </c>
      <c r="E10" s="5" t="s">
        <v>15</v>
      </c>
      <c r="F10" s="6" t="s">
        <v>11</v>
      </c>
      <c r="G10" s="12">
        <v>171.25</v>
      </c>
      <c r="H10" s="13">
        <f t="shared" si="0"/>
        <v>2911.25</v>
      </c>
    </row>
    <row r="11" spans="2:8" ht="30" x14ac:dyDescent="0.25">
      <c r="B11" s="8">
        <v>4</v>
      </c>
      <c r="C11" s="8">
        <v>34</v>
      </c>
      <c r="D11" s="4" t="s">
        <v>16</v>
      </c>
      <c r="E11" s="5" t="s">
        <v>17</v>
      </c>
      <c r="F11" s="6" t="s">
        <v>11</v>
      </c>
      <c r="G11" s="12">
        <v>4.25</v>
      </c>
      <c r="H11" s="13">
        <f t="shared" si="0"/>
        <v>144.5</v>
      </c>
    </row>
    <row r="12" spans="2:8" ht="45" x14ac:dyDescent="0.25">
      <c r="B12" s="8">
        <v>5</v>
      </c>
      <c r="C12" s="8">
        <v>108</v>
      </c>
      <c r="D12" s="4" t="s">
        <v>18</v>
      </c>
      <c r="E12" s="5" t="s">
        <v>19</v>
      </c>
      <c r="F12" s="6" t="s">
        <v>11</v>
      </c>
      <c r="G12" s="12">
        <v>177.43</v>
      </c>
      <c r="H12" s="13">
        <f t="shared" si="0"/>
        <v>19162.440000000002</v>
      </c>
    </row>
    <row r="13" spans="2:8" ht="60" x14ac:dyDescent="0.25">
      <c r="B13" s="8">
        <v>6</v>
      </c>
      <c r="C13" s="8">
        <v>108</v>
      </c>
      <c r="D13" s="4" t="s">
        <v>20</v>
      </c>
      <c r="E13" s="5" t="s">
        <v>21</v>
      </c>
      <c r="F13" s="6" t="s">
        <v>11</v>
      </c>
      <c r="G13" s="12">
        <v>194.9</v>
      </c>
      <c r="H13" s="13">
        <f t="shared" si="0"/>
        <v>21049.200000000001</v>
      </c>
    </row>
    <row r="14" spans="2:8" ht="45" x14ac:dyDescent="0.25">
      <c r="B14" s="8">
        <v>7</v>
      </c>
      <c r="C14" s="8">
        <v>180</v>
      </c>
      <c r="D14" s="4" t="s">
        <v>22</v>
      </c>
      <c r="E14" s="5" t="s">
        <v>23</v>
      </c>
      <c r="F14" s="6" t="s">
        <v>11</v>
      </c>
      <c r="G14" s="12">
        <v>129.6</v>
      </c>
      <c r="H14" s="13">
        <f t="shared" si="0"/>
        <v>23328</v>
      </c>
    </row>
    <row r="15" spans="2:8" ht="30" x14ac:dyDescent="0.25">
      <c r="B15" s="8">
        <v>8</v>
      </c>
      <c r="C15" s="8">
        <v>216</v>
      </c>
      <c r="D15" s="4" t="s">
        <v>16</v>
      </c>
      <c r="E15" s="5" t="s">
        <v>17</v>
      </c>
      <c r="F15" s="6" t="s">
        <v>11</v>
      </c>
      <c r="G15" s="12">
        <v>4.25</v>
      </c>
      <c r="H15" s="13">
        <f t="shared" si="0"/>
        <v>918</v>
      </c>
    </row>
    <row r="16" spans="2:8" s="10" customFormat="1" ht="25.5" customHeight="1" x14ac:dyDescent="0.25">
      <c r="C16" s="11"/>
      <c r="G16" s="14" t="s">
        <v>25</v>
      </c>
      <c r="H16" s="15">
        <f>SUM(H8:H15)</f>
        <v>76106.89</v>
      </c>
    </row>
    <row r="17" spans="2:7" s="10" customFormat="1" x14ac:dyDescent="0.25">
      <c r="C17" s="11"/>
      <c r="G17" s="11"/>
    </row>
    <row r="18" spans="2:7" s="10" customFormat="1" x14ac:dyDescent="0.25">
      <c r="B18" s="10" t="s">
        <v>26</v>
      </c>
      <c r="C18" s="11"/>
      <c r="G18" s="11"/>
    </row>
    <row r="19" spans="2:7" s="10" customFormat="1" x14ac:dyDescent="0.25">
      <c r="B19" s="10" t="s">
        <v>27</v>
      </c>
      <c r="C19" s="11" t="s">
        <v>28</v>
      </c>
      <c r="G19" s="11"/>
    </row>
    <row r="20" spans="2:7" s="10" customFormat="1" x14ac:dyDescent="0.25">
      <c r="B20" s="10" t="s">
        <v>31</v>
      </c>
      <c r="C20" s="11"/>
      <c r="G20" s="11"/>
    </row>
    <row r="21" spans="2:7" s="10" customFormat="1" x14ac:dyDescent="0.25">
      <c r="B21" s="10" t="s">
        <v>32</v>
      </c>
      <c r="C21" s="11"/>
      <c r="G21" s="11"/>
    </row>
    <row r="22" spans="2:7" s="10" customFormat="1" x14ac:dyDescent="0.25">
      <c r="B22" s="10" t="s">
        <v>33</v>
      </c>
      <c r="C22" s="11"/>
      <c r="G22" s="11"/>
    </row>
    <row r="23" spans="2:7" s="10" customFormat="1" x14ac:dyDescent="0.25">
      <c r="B23" s="10" t="s">
        <v>34</v>
      </c>
      <c r="C23" s="11"/>
      <c r="G23" s="11"/>
    </row>
    <row r="24" spans="2:7" s="10" customFormat="1" x14ac:dyDescent="0.25">
      <c r="B24" s="10" t="s">
        <v>29</v>
      </c>
      <c r="C24" s="11"/>
      <c r="G24" s="11"/>
    </row>
    <row r="25" spans="2:7" s="10" customFormat="1" x14ac:dyDescent="0.25">
      <c r="B25" s="10" t="s">
        <v>35</v>
      </c>
      <c r="C25" s="11"/>
      <c r="G25" s="11"/>
    </row>
    <row r="26" spans="2:7" s="10" customFormat="1" x14ac:dyDescent="0.25">
      <c r="B26" s="10" t="s">
        <v>36</v>
      </c>
      <c r="C26" s="11"/>
      <c r="G26" s="11"/>
    </row>
    <row r="27" spans="2:7" s="10" customFormat="1" x14ac:dyDescent="0.25">
      <c r="B27" s="10" t="s">
        <v>30</v>
      </c>
      <c r="C27" s="11"/>
      <c r="G27" s="11"/>
    </row>
  </sheetData>
  <mergeCells count="1">
    <mergeCell ref="B1:C1"/>
  </mergeCells>
  <pageMargins left="0.511811024" right="0.511811024" top="0.78740157499999996" bottom="0.78740157499999996" header="0.31496062000000002" footer="0.31496062000000002"/>
  <pageSetup paperSize="9" scale="77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cp:lastPrinted>2025-12-17T12:12:36Z</cp:lastPrinted>
  <dcterms:created xsi:type="dcterms:W3CDTF">2025-12-17T11:39:52Z</dcterms:created>
  <dcterms:modified xsi:type="dcterms:W3CDTF">2025-12-17T12:42:56Z</dcterms:modified>
</cp:coreProperties>
</file>