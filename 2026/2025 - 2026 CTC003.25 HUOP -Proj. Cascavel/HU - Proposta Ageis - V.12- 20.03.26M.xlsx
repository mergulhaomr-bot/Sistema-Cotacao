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8_{AEDD7C20-542E-4D6D-83D5-BD52ED4CBDA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POSTAS RESUMO" sheetId="1" r:id="rId1"/>
    <sheet name="PROPOSTAS LISTA  " sheetId="2" r:id="rId2"/>
    <sheet name="TABELA DE PRECOS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JnWCmfVDDoRBnSTMjcmhZYq2W+dEEHCCzx6niE7NCHQ="/>
    </ext>
  </extLst>
</workbook>
</file>

<file path=xl/calcChain.xml><?xml version="1.0" encoding="utf-8"?>
<calcChain xmlns="http://schemas.openxmlformats.org/spreadsheetml/2006/main">
  <c r="G1329" i="2" l="1"/>
  <c r="G1382" i="2"/>
  <c r="M38" i="2"/>
  <c r="G38" i="2" s="1"/>
  <c r="M348" i="2"/>
  <c r="G348" i="2" s="1"/>
  <c r="H348" i="2" l="1"/>
  <c r="I348" i="2"/>
  <c r="J348" i="2" s="1"/>
  <c r="C1544" i="2" l="1"/>
  <c r="M1543" i="2"/>
  <c r="G1543" i="2" s="1"/>
  <c r="I1543" i="2" s="1"/>
  <c r="J1543" i="2" s="1"/>
  <c r="M1542" i="2"/>
  <c r="G1542" i="2" s="1"/>
  <c r="I1542" i="2" s="1"/>
  <c r="J1542" i="2" s="1"/>
  <c r="M1541" i="2"/>
  <c r="G1541" i="2" s="1"/>
  <c r="M1540" i="2"/>
  <c r="G1540" i="2" s="1"/>
  <c r="M1539" i="2"/>
  <c r="G1539" i="2" s="1"/>
  <c r="M1538" i="2"/>
  <c r="G1538" i="2" s="1"/>
  <c r="M1537" i="2"/>
  <c r="G1537" i="2" s="1"/>
  <c r="I1537" i="2" s="1"/>
  <c r="J1537" i="2" s="1"/>
  <c r="M1536" i="2"/>
  <c r="M1535" i="2"/>
  <c r="M1534" i="2"/>
  <c r="M1533" i="2"/>
  <c r="C1533" i="2"/>
  <c r="M1532" i="2"/>
  <c r="G1532" i="2" s="1"/>
  <c r="M1531" i="2"/>
  <c r="G1531" i="2" s="1"/>
  <c r="M1530" i="2"/>
  <c r="G1530" i="2" s="1"/>
  <c r="M1529" i="2"/>
  <c r="M1528" i="2"/>
  <c r="M1527" i="2"/>
  <c r="M1526" i="2"/>
  <c r="C1526" i="2"/>
  <c r="M1525" i="2"/>
  <c r="G1525" i="2" s="1"/>
  <c r="I1525" i="2" s="1"/>
  <c r="J1525" i="2" s="1"/>
  <c r="M1524" i="2"/>
  <c r="G1524" i="2" s="1"/>
  <c r="I1524" i="2" s="1"/>
  <c r="J1524" i="2" s="1"/>
  <c r="M1523" i="2"/>
  <c r="M1522" i="2"/>
  <c r="M1521" i="2"/>
  <c r="M1520" i="2"/>
  <c r="C1520" i="2"/>
  <c r="M1519" i="2"/>
  <c r="G1519" i="2" s="1"/>
  <c r="M1518" i="2"/>
  <c r="G1518" i="2" s="1"/>
  <c r="I1518" i="2" s="1"/>
  <c r="J1518" i="2" s="1"/>
  <c r="M1517" i="2"/>
  <c r="G1517" i="2" s="1"/>
  <c r="M1516" i="2"/>
  <c r="G1516" i="2" s="1"/>
  <c r="I1516" i="2" s="1"/>
  <c r="J1516" i="2" s="1"/>
  <c r="M1515" i="2"/>
  <c r="G1515" i="2" s="1"/>
  <c r="I1515" i="2" s="1"/>
  <c r="J1515" i="2" s="1"/>
  <c r="M1514" i="2"/>
  <c r="G1514" i="2" s="1"/>
  <c r="M1513" i="2"/>
  <c r="G1513" i="2" s="1"/>
  <c r="M1512" i="2"/>
  <c r="G1512" i="2" s="1"/>
  <c r="M1511" i="2"/>
  <c r="G1511" i="2" s="1"/>
  <c r="M1510" i="2"/>
  <c r="G1510" i="2" s="1"/>
  <c r="I1510" i="2" s="1"/>
  <c r="J1510" i="2" s="1"/>
  <c r="M1509" i="2"/>
  <c r="G1509" i="2" s="1"/>
  <c r="M1508" i="2"/>
  <c r="G1508" i="2" s="1"/>
  <c r="I1508" i="2" s="1"/>
  <c r="J1508" i="2" s="1"/>
  <c r="M1507" i="2"/>
  <c r="G1507" i="2" s="1"/>
  <c r="I1507" i="2" s="1"/>
  <c r="J1507" i="2" s="1"/>
  <c r="M1506" i="2"/>
  <c r="G1506" i="2" s="1"/>
  <c r="M1505" i="2"/>
  <c r="M1504" i="2"/>
  <c r="M1503" i="2"/>
  <c r="M1502" i="2"/>
  <c r="C1502" i="2"/>
  <c r="G1501" i="2"/>
  <c r="I1501" i="2" s="1"/>
  <c r="J1501" i="2" s="1"/>
  <c r="M1500" i="2"/>
  <c r="G1500" i="2" s="1"/>
  <c r="M1499" i="2"/>
  <c r="G1499" i="2" s="1"/>
  <c r="I1499" i="2" s="1"/>
  <c r="J1499" i="2" s="1"/>
  <c r="M1498" i="2"/>
  <c r="G1498" i="2" s="1"/>
  <c r="M1497" i="2"/>
  <c r="G1497" i="2" s="1"/>
  <c r="M1496" i="2"/>
  <c r="G1496" i="2" s="1"/>
  <c r="I1496" i="2" s="1"/>
  <c r="J1496" i="2" s="1"/>
  <c r="M1495" i="2"/>
  <c r="G1495" i="2" s="1"/>
  <c r="M1494" i="2"/>
  <c r="G1494" i="2" s="1"/>
  <c r="I1494" i="2" s="1"/>
  <c r="J1494" i="2" s="1"/>
  <c r="M1493" i="2"/>
  <c r="G1493" i="2" s="1"/>
  <c r="I1493" i="2" s="1"/>
  <c r="J1493" i="2" s="1"/>
  <c r="M1492" i="2"/>
  <c r="G1492" i="2" s="1"/>
  <c r="M1491" i="2"/>
  <c r="G1491" i="2" s="1"/>
  <c r="M1490" i="2"/>
  <c r="G1490" i="2" s="1"/>
  <c r="M1489" i="2"/>
  <c r="G1489" i="2" s="1"/>
  <c r="M1488" i="2"/>
  <c r="G1488" i="2" s="1"/>
  <c r="M1487" i="2"/>
  <c r="G1487" i="2" s="1"/>
  <c r="M1486" i="2"/>
  <c r="G1486" i="2" s="1"/>
  <c r="I1486" i="2" s="1"/>
  <c r="J1486" i="2" s="1"/>
  <c r="M1485" i="2"/>
  <c r="G1485" i="2" s="1"/>
  <c r="I1485" i="2" s="1"/>
  <c r="J1485" i="2" s="1"/>
  <c r="M1484" i="2"/>
  <c r="G1484" i="2" s="1"/>
  <c r="M1483" i="2"/>
  <c r="G1483" i="2" s="1"/>
  <c r="I1483" i="2" s="1"/>
  <c r="J1483" i="2" s="1"/>
  <c r="M1482" i="2"/>
  <c r="G1482" i="2" s="1"/>
  <c r="M1481" i="2"/>
  <c r="G1481" i="2" s="1"/>
  <c r="M1480" i="2"/>
  <c r="G1480" i="2" s="1"/>
  <c r="M1479" i="2"/>
  <c r="G1479" i="2" s="1"/>
  <c r="M1478" i="2"/>
  <c r="G1478" i="2" s="1"/>
  <c r="I1478" i="2" s="1"/>
  <c r="J1478" i="2" s="1"/>
  <c r="M1477" i="2"/>
  <c r="G1477" i="2" s="1"/>
  <c r="I1477" i="2" s="1"/>
  <c r="J1477" i="2" s="1"/>
  <c r="M1476" i="2"/>
  <c r="G1476" i="2" s="1"/>
  <c r="M1475" i="2"/>
  <c r="G1475" i="2" s="1"/>
  <c r="M1474" i="2"/>
  <c r="G1474" i="2" s="1"/>
  <c r="M1473" i="2"/>
  <c r="G1473" i="2" s="1"/>
  <c r="M1472" i="2"/>
  <c r="G1472" i="2" s="1"/>
  <c r="M1471" i="2"/>
  <c r="G1471" i="2" s="1"/>
  <c r="M1470" i="2"/>
  <c r="G1470" i="2" s="1"/>
  <c r="I1470" i="2" s="1"/>
  <c r="J1470" i="2" s="1"/>
  <c r="M1469" i="2"/>
  <c r="G1469" i="2" s="1"/>
  <c r="I1469" i="2" s="1"/>
  <c r="J1469" i="2" s="1"/>
  <c r="M1468" i="2"/>
  <c r="G1468" i="2" s="1"/>
  <c r="M1467" i="2"/>
  <c r="M1466" i="2"/>
  <c r="M1465" i="2"/>
  <c r="M1464" i="2"/>
  <c r="C1464" i="2"/>
  <c r="G1463" i="2"/>
  <c r="I1463" i="2" s="1"/>
  <c r="J1463" i="2" s="1"/>
  <c r="M1462" i="2"/>
  <c r="G1462" i="2" s="1"/>
  <c r="M1461" i="2"/>
  <c r="G1461" i="2" s="1"/>
  <c r="I1461" i="2" s="1"/>
  <c r="J1461" i="2" s="1"/>
  <c r="M1460" i="2"/>
  <c r="G1460" i="2" s="1"/>
  <c r="M1459" i="2"/>
  <c r="G1459" i="2" s="1"/>
  <c r="M1458" i="2"/>
  <c r="G1458" i="2" s="1"/>
  <c r="M1457" i="2"/>
  <c r="G1457" i="2" s="1"/>
  <c r="M1456" i="2"/>
  <c r="G1456" i="2" s="1"/>
  <c r="I1456" i="2" s="1"/>
  <c r="J1456" i="2" s="1"/>
  <c r="M1455" i="2"/>
  <c r="G1455" i="2" s="1"/>
  <c r="I1455" i="2" s="1"/>
  <c r="J1455" i="2" s="1"/>
  <c r="M1454" i="2"/>
  <c r="G1454" i="2" s="1"/>
  <c r="M1453" i="2"/>
  <c r="G1453" i="2" s="1"/>
  <c r="M1452" i="2"/>
  <c r="G1452" i="2" s="1"/>
  <c r="M1451" i="2"/>
  <c r="G1451" i="2" s="1"/>
  <c r="M1450" i="2"/>
  <c r="G1450" i="2" s="1"/>
  <c r="M1449" i="2"/>
  <c r="G1449" i="2" s="1"/>
  <c r="M1448" i="2"/>
  <c r="G1448" i="2" s="1"/>
  <c r="I1448" i="2" s="1"/>
  <c r="J1448" i="2" s="1"/>
  <c r="M1447" i="2"/>
  <c r="G1447" i="2" s="1"/>
  <c r="I1447" i="2" s="1"/>
  <c r="J1447" i="2" s="1"/>
  <c r="M1446" i="2"/>
  <c r="G1446" i="2" s="1"/>
  <c r="M1445" i="2"/>
  <c r="G1445" i="2" s="1"/>
  <c r="I1445" i="2" s="1"/>
  <c r="J1445" i="2" s="1"/>
  <c r="M1444" i="2"/>
  <c r="G1444" i="2" s="1"/>
  <c r="M1443" i="2"/>
  <c r="G1443" i="2" s="1"/>
  <c r="M1442" i="2"/>
  <c r="G1442" i="2" s="1"/>
  <c r="I1442" i="2" s="1"/>
  <c r="J1442" i="2" s="1"/>
  <c r="M1441" i="2"/>
  <c r="G1441" i="2" s="1"/>
  <c r="M1440" i="2"/>
  <c r="G1440" i="2" s="1"/>
  <c r="I1440" i="2" s="1"/>
  <c r="J1440" i="2" s="1"/>
  <c r="M1439" i="2"/>
  <c r="G1439" i="2" s="1"/>
  <c r="I1439" i="2" s="1"/>
  <c r="J1439" i="2" s="1"/>
  <c r="M1438" i="2"/>
  <c r="G1438" i="2" s="1"/>
  <c r="M1437" i="2"/>
  <c r="G1437" i="2" s="1"/>
  <c r="M1436" i="2"/>
  <c r="G1436" i="2" s="1"/>
  <c r="M1435" i="2"/>
  <c r="M1434" i="2"/>
  <c r="M1433" i="2"/>
  <c r="M1432" i="2"/>
  <c r="C1432" i="2"/>
  <c r="M1431" i="2"/>
  <c r="G1431" i="2" s="1"/>
  <c r="I1431" i="2" s="1"/>
  <c r="J1431" i="2" s="1"/>
  <c r="M1430" i="2"/>
  <c r="G1430" i="2" s="1"/>
  <c r="I1430" i="2" s="1"/>
  <c r="J1430" i="2" s="1"/>
  <c r="M1429" i="2"/>
  <c r="G1429" i="2" s="1"/>
  <c r="M1428" i="2"/>
  <c r="G1428" i="2" s="1"/>
  <c r="M1427" i="2"/>
  <c r="G1427" i="2" s="1"/>
  <c r="M1426" i="2"/>
  <c r="G1426" i="2" s="1"/>
  <c r="M1425" i="2"/>
  <c r="G1425" i="2" s="1"/>
  <c r="M1424" i="2"/>
  <c r="G1424" i="2" s="1"/>
  <c r="M1423" i="2"/>
  <c r="G1423" i="2" s="1"/>
  <c r="I1423" i="2" s="1"/>
  <c r="J1423" i="2" s="1"/>
  <c r="M1422" i="2"/>
  <c r="G1422" i="2" s="1"/>
  <c r="I1422" i="2" s="1"/>
  <c r="J1422" i="2" s="1"/>
  <c r="M1421" i="2"/>
  <c r="G1421" i="2" s="1"/>
  <c r="M1420" i="2"/>
  <c r="G1420" i="2" s="1"/>
  <c r="I1420" i="2" s="1"/>
  <c r="J1420" i="2" s="1"/>
  <c r="M1419" i="2"/>
  <c r="M1418" i="2"/>
  <c r="M1417" i="2"/>
  <c r="M1416" i="2"/>
  <c r="C1416" i="2"/>
  <c r="M1415" i="2"/>
  <c r="G1415" i="2" s="1"/>
  <c r="M1414" i="2"/>
  <c r="G1414" i="2" s="1"/>
  <c r="I1414" i="2" s="1"/>
  <c r="J1414" i="2" s="1"/>
  <c r="M1413" i="2"/>
  <c r="G1413" i="2" s="1"/>
  <c r="I1413" i="2" s="1"/>
  <c r="J1413" i="2" s="1"/>
  <c r="M1412" i="2"/>
  <c r="G1412" i="2" s="1"/>
  <c r="M1411" i="2"/>
  <c r="G1411" i="2" s="1"/>
  <c r="I1411" i="2" s="1"/>
  <c r="J1411" i="2" s="1"/>
  <c r="M1410" i="2"/>
  <c r="G1410" i="2" s="1"/>
  <c r="M1409" i="2"/>
  <c r="G1409" i="2" s="1"/>
  <c r="M1408" i="2"/>
  <c r="G1408" i="2" s="1"/>
  <c r="I1408" i="2" s="1"/>
  <c r="J1408" i="2" s="1"/>
  <c r="M1407" i="2"/>
  <c r="G1407" i="2" s="1"/>
  <c r="M1406" i="2"/>
  <c r="G1406" i="2" s="1"/>
  <c r="I1406" i="2" s="1"/>
  <c r="J1406" i="2" s="1"/>
  <c r="M1405" i="2"/>
  <c r="G1405" i="2" s="1"/>
  <c r="I1405" i="2" s="1"/>
  <c r="J1405" i="2" s="1"/>
  <c r="M1404" i="2"/>
  <c r="G1404" i="2" s="1"/>
  <c r="M1403" i="2"/>
  <c r="G1403" i="2" s="1"/>
  <c r="M1402" i="2"/>
  <c r="G1402" i="2" s="1"/>
  <c r="M1401" i="2"/>
  <c r="G1401" i="2" s="1"/>
  <c r="M1400" i="2"/>
  <c r="G1400" i="2" s="1"/>
  <c r="M1399" i="2"/>
  <c r="G1399" i="2" s="1"/>
  <c r="M1398" i="2"/>
  <c r="G1398" i="2" s="1"/>
  <c r="I1398" i="2" s="1"/>
  <c r="J1398" i="2" s="1"/>
  <c r="M1397" i="2"/>
  <c r="G1397" i="2" s="1"/>
  <c r="I1397" i="2" s="1"/>
  <c r="J1397" i="2" s="1"/>
  <c r="M1396" i="2"/>
  <c r="G1396" i="2" s="1"/>
  <c r="M1395" i="2"/>
  <c r="G1395" i="2" s="1"/>
  <c r="I1395" i="2" s="1"/>
  <c r="J1395" i="2" s="1"/>
  <c r="M1394" i="2"/>
  <c r="G1394" i="2" s="1"/>
  <c r="M1393" i="2"/>
  <c r="G1393" i="2" s="1"/>
  <c r="M1392" i="2"/>
  <c r="G1392" i="2" s="1"/>
  <c r="I1392" i="2" s="1"/>
  <c r="J1392" i="2" s="1"/>
  <c r="M1391" i="2"/>
  <c r="G1391" i="2" s="1"/>
  <c r="M1390" i="2"/>
  <c r="G1390" i="2" s="1"/>
  <c r="I1390" i="2" s="1"/>
  <c r="J1390" i="2" s="1"/>
  <c r="M1389" i="2"/>
  <c r="G1389" i="2" s="1"/>
  <c r="I1389" i="2" s="1"/>
  <c r="J1389" i="2" s="1"/>
  <c r="M1388" i="2"/>
  <c r="G1388" i="2" s="1"/>
  <c r="M1387" i="2"/>
  <c r="G1387" i="2" s="1"/>
  <c r="M1386" i="2"/>
  <c r="G1386" i="2" s="1"/>
  <c r="M1385" i="2"/>
  <c r="G1385" i="2" s="1"/>
  <c r="M1384" i="2"/>
  <c r="G1384" i="2" s="1"/>
  <c r="I1384" i="2" s="1"/>
  <c r="J1384" i="2" s="1"/>
  <c r="M1383" i="2"/>
  <c r="G1383" i="2" s="1"/>
  <c r="M1382" i="2"/>
  <c r="I1382" i="2" s="1"/>
  <c r="J1382" i="2" s="1"/>
  <c r="M1381" i="2"/>
  <c r="G1381" i="2" s="1"/>
  <c r="I1381" i="2" s="1"/>
  <c r="J1381" i="2" s="1"/>
  <c r="M1380" i="2"/>
  <c r="G1380" i="2" s="1"/>
  <c r="M1379" i="2"/>
  <c r="G1379" i="2" s="1"/>
  <c r="I1379" i="2" s="1"/>
  <c r="J1379" i="2" s="1"/>
  <c r="M1378" i="2"/>
  <c r="G1378" i="2" s="1"/>
  <c r="M1377" i="2"/>
  <c r="G1377" i="2" s="1"/>
  <c r="M1376" i="2"/>
  <c r="G1376" i="2" s="1"/>
  <c r="I1376" i="2" s="1"/>
  <c r="J1376" i="2" s="1"/>
  <c r="M1375" i="2"/>
  <c r="G1375" i="2" s="1"/>
  <c r="M1374" i="2"/>
  <c r="G1374" i="2" s="1"/>
  <c r="I1374" i="2" s="1"/>
  <c r="J1374" i="2" s="1"/>
  <c r="M1373" i="2"/>
  <c r="G1373" i="2" s="1"/>
  <c r="I1373" i="2" s="1"/>
  <c r="J1373" i="2" s="1"/>
  <c r="M1372" i="2"/>
  <c r="G1372" i="2" s="1"/>
  <c r="M1371" i="2"/>
  <c r="G1371" i="2" s="1"/>
  <c r="M1370" i="2"/>
  <c r="G1370" i="2" s="1"/>
  <c r="M1369" i="2"/>
  <c r="G1369" i="2" s="1"/>
  <c r="M1368" i="2"/>
  <c r="M1367" i="2"/>
  <c r="M1366" i="2"/>
  <c r="M1365" i="2"/>
  <c r="C1365" i="2"/>
  <c r="M1364" i="2"/>
  <c r="G1364" i="2" s="1"/>
  <c r="I1364" i="2" s="1"/>
  <c r="J1364" i="2" s="1"/>
  <c r="M1363" i="2"/>
  <c r="G1363" i="2" s="1"/>
  <c r="M1362" i="2"/>
  <c r="G1362" i="2" s="1"/>
  <c r="M1361" i="2"/>
  <c r="G1361" i="2" s="1"/>
  <c r="M1360" i="2"/>
  <c r="G1360" i="2" s="1"/>
  <c r="M1359" i="2"/>
  <c r="G1359" i="2" s="1"/>
  <c r="M1358" i="2"/>
  <c r="G1358" i="2" s="1"/>
  <c r="M1357" i="2"/>
  <c r="G1357" i="2" s="1"/>
  <c r="M1356" i="2"/>
  <c r="G1356" i="2" s="1"/>
  <c r="I1356" i="2" s="1"/>
  <c r="J1356" i="2" s="1"/>
  <c r="M1355" i="2"/>
  <c r="G1355" i="2" s="1"/>
  <c r="M1354" i="2"/>
  <c r="G1354" i="2" s="1"/>
  <c r="M1353" i="2"/>
  <c r="G1353" i="2" s="1"/>
  <c r="M1352" i="2"/>
  <c r="G1352" i="2" s="1"/>
  <c r="M1351" i="2"/>
  <c r="G1351" i="2" s="1"/>
  <c r="M1350" i="2"/>
  <c r="G1350" i="2" s="1"/>
  <c r="M1349" i="2"/>
  <c r="G1349" i="2" s="1"/>
  <c r="I1349" i="2" s="1"/>
  <c r="J1349" i="2" s="1"/>
  <c r="M1348" i="2"/>
  <c r="G1348" i="2" s="1"/>
  <c r="I1348" i="2" s="1"/>
  <c r="J1348" i="2" s="1"/>
  <c r="M1347" i="2"/>
  <c r="G1347" i="2" s="1"/>
  <c r="M1346" i="2"/>
  <c r="G1346" i="2" s="1"/>
  <c r="M1345" i="2"/>
  <c r="G1345" i="2" s="1"/>
  <c r="M1344" i="2"/>
  <c r="G1344" i="2" s="1"/>
  <c r="M1343" i="2"/>
  <c r="G1343" i="2" s="1"/>
  <c r="M1342" i="2"/>
  <c r="G1342" i="2" s="1"/>
  <c r="M1341" i="2"/>
  <c r="G1341" i="2" s="1"/>
  <c r="M1340" i="2"/>
  <c r="G1340" i="2" s="1"/>
  <c r="I1340" i="2" s="1"/>
  <c r="J1340" i="2" s="1"/>
  <c r="M1339" i="2"/>
  <c r="G1339" i="2" s="1"/>
  <c r="M1338" i="2"/>
  <c r="G1338" i="2" s="1"/>
  <c r="M1337" i="2"/>
  <c r="G1337" i="2" s="1"/>
  <c r="M1336" i="2"/>
  <c r="G1336" i="2" s="1"/>
  <c r="M1335" i="2"/>
  <c r="G1335" i="2" s="1"/>
  <c r="M1334" i="2"/>
  <c r="G1334" i="2" s="1"/>
  <c r="M1333" i="2"/>
  <c r="G1333" i="2" s="1"/>
  <c r="I1333" i="2" s="1"/>
  <c r="J1333" i="2" s="1"/>
  <c r="M1332" i="2"/>
  <c r="G1332" i="2" s="1"/>
  <c r="I1332" i="2" s="1"/>
  <c r="J1332" i="2" s="1"/>
  <c r="M1331" i="2"/>
  <c r="G1331" i="2" s="1"/>
  <c r="M1330" i="2"/>
  <c r="G1330" i="2" s="1"/>
  <c r="M1329" i="2"/>
  <c r="M1328" i="2"/>
  <c r="G1328" i="2" s="1"/>
  <c r="M1327" i="2"/>
  <c r="G1327" i="2" s="1"/>
  <c r="M1326" i="2"/>
  <c r="G1326" i="2" s="1"/>
  <c r="M1325" i="2"/>
  <c r="G1325" i="2" s="1"/>
  <c r="M1324" i="2"/>
  <c r="G1324" i="2" s="1"/>
  <c r="M1323" i="2"/>
  <c r="G1323" i="2" s="1"/>
  <c r="M1322" i="2"/>
  <c r="G1322" i="2" s="1"/>
  <c r="M1321" i="2"/>
  <c r="G1321" i="2" s="1"/>
  <c r="I1321" i="2" s="1"/>
  <c r="J1321" i="2" s="1"/>
  <c r="M1320" i="2"/>
  <c r="G1320" i="2" s="1"/>
  <c r="M1319" i="2"/>
  <c r="G1319" i="2" s="1"/>
  <c r="M1318" i="2"/>
  <c r="G1318" i="2" s="1"/>
  <c r="M1317" i="2"/>
  <c r="G1317" i="2" s="1"/>
  <c r="I1317" i="2" s="1"/>
  <c r="J1317" i="2" s="1"/>
  <c r="M1316" i="2"/>
  <c r="G1316" i="2" s="1"/>
  <c r="M1315" i="2"/>
  <c r="G1315" i="2" s="1"/>
  <c r="M1314" i="2"/>
  <c r="G1314" i="2" s="1"/>
  <c r="M1313" i="2"/>
  <c r="G1313" i="2" s="1"/>
  <c r="M1312" i="2"/>
  <c r="M1311" i="2"/>
  <c r="M1310" i="2"/>
  <c r="M1309" i="2"/>
  <c r="C1309" i="2"/>
  <c r="M1308" i="2"/>
  <c r="G1308" i="2" s="1"/>
  <c r="M1307" i="2"/>
  <c r="G1307" i="2" s="1"/>
  <c r="M1306" i="2"/>
  <c r="G1306" i="2" s="1"/>
  <c r="M1305" i="2"/>
  <c r="G1305" i="2" s="1"/>
  <c r="M1304" i="2"/>
  <c r="G1304" i="2" s="1"/>
  <c r="M1303" i="2"/>
  <c r="G1303" i="2" s="1"/>
  <c r="M1302" i="2"/>
  <c r="G1302" i="2" s="1"/>
  <c r="M1301" i="2"/>
  <c r="G1301" i="2" s="1"/>
  <c r="M1300" i="2"/>
  <c r="M1299" i="2"/>
  <c r="M1298" i="2"/>
  <c r="M1297" i="2"/>
  <c r="C1297" i="2"/>
  <c r="M1296" i="2"/>
  <c r="G1296" i="2" s="1"/>
  <c r="M1295" i="2"/>
  <c r="G1295" i="2" s="1"/>
  <c r="M1294" i="2"/>
  <c r="G1294" i="2" s="1"/>
  <c r="M1293" i="2"/>
  <c r="G1293" i="2" s="1"/>
  <c r="M1292" i="2"/>
  <c r="G1292" i="2" s="1"/>
  <c r="H1292" i="2" s="1"/>
  <c r="M1291" i="2"/>
  <c r="G1291" i="2" s="1"/>
  <c r="I1291" i="2" s="1"/>
  <c r="J1291" i="2" s="1"/>
  <c r="M1290" i="2"/>
  <c r="G1290" i="2" s="1"/>
  <c r="I1290" i="2" s="1"/>
  <c r="J1290" i="2" s="1"/>
  <c r="M1289" i="2"/>
  <c r="G1289" i="2" s="1"/>
  <c r="M1288" i="2"/>
  <c r="G1288" i="2" s="1"/>
  <c r="M1287" i="2"/>
  <c r="G1287" i="2" s="1"/>
  <c r="I1287" i="2" s="1"/>
  <c r="J1287" i="2" s="1"/>
  <c r="M1286" i="2"/>
  <c r="G1286" i="2" s="1"/>
  <c r="I1286" i="2" s="1"/>
  <c r="J1286" i="2" s="1"/>
  <c r="M1285" i="2"/>
  <c r="G1285" i="2" s="1"/>
  <c r="M1284" i="2"/>
  <c r="G1284" i="2" s="1"/>
  <c r="M1283" i="2"/>
  <c r="G1283" i="2" s="1"/>
  <c r="M1282" i="2"/>
  <c r="G1282" i="2" s="1"/>
  <c r="M1281" i="2"/>
  <c r="G1281" i="2" s="1"/>
  <c r="H1281" i="2" s="1"/>
  <c r="M1280" i="2"/>
  <c r="G1280" i="2" s="1"/>
  <c r="M1279" i="2"/>
  <c r="G1279" i="2" s="1"/>
  <c r="M1278" i="2"/>
  <c r="G1278" i="2" s="1"/>
  <c r="H1278" i="2" s="1"/>
  <c r="M1277" i="2"/>
  <c r="G1277" i="2" s="1"/>
  <c r="H1277" i="2" s="1"/>
  <c r="M1276" i="2"/>
  <c r="G1276" i="2" s="1"/>
  <c r="M1275" i="2"/>
  <c r="G1275" i="2" s="1"/>
  <c r="M1274" i="2"/>
  <c r="G1274" i="2"/>
  <c r="I1274" i="2" s="1"/>
  <c r="J1274" i="2" s="1"/>
  <c r="M1273" i="2"/>
  <c r="G1273" i="2" s="1"/>
  <c r="M1272" i="2"/>
  <c r="G1272" i="2" s="1"/>
  <c r="I1272" i="2" s="1"/>
  <c r="J1272" i="2" s="1"/>
  <c r="M1271" i="2"/>
  <c r="G1271" i="2" s="1"/>
  <c r="M1270" i="2"/>
  <c r="G1270" i="2" s="1"/>
  <c r="M1269" i="2"/>
  <c r="G1269" i="2" s="1"/>
  <c r="I1269" i="2" s="1"/>
  <c r="J1269" i="2" s="1"/>
  <c r="M1268" i="2"/>
  <c r="G1268" i="2" s="1"/>
  <c r="M1267" i="2"/>
  <c r="G1267" i="2" s="1"/>
  <c r="M1266" i="2"/>
  <c r="G1266" i="2" s="1"/>
  <c r="M1265" i="2"/>
  <c r="G1265" i="2" s="1"/>
  <c r="H1265" i="2" s="1"/>
  <c r="M1264" i="2"/>
  <c r="G1264" i="2" s="1"/>
  <c r="M1263" i="2"/>
  <c r="G1263" i="2" s="1"/>
  <c r="M1262" i="2"/>
  <c r="G1262" i="2" s="1"/>
  <c r="M1261" i="2"/>
  <c r="G1261" i="2" s="1"/>
  <c r="H1261" i="2" s="1"/>
  <c r="M1260" i="2"/>
  <c r="G1260" i="2" s="1"/>
  <c r="H1260" i="2" s="1"/>
  <c r="I1260" i="2"/>
  <c r="J1260" i="2" s="1"/>
  <c r="M1259" i="2"/>
  <c r="G1259" i="2" s="1"/>
  <c r="M1258" i="2"/>
  <c r="G1258" i="2" s="1"/>
  <c r="M1257" i="2"/>
  <c r="G1257" i="2" s="1"/>
  <c r="I1257" i="2" s="1"/>
  <c r="J1257" i="2" s="1"/>
  <c r="M1256" i="2"/>
  <c r="G1256" i="2" s="1"/>
  <c r="I1256" i="2" s="1"/>
  <c r="J1256" i="2" s="1"/>
  <c r="H1256" i="2"/>
  <c r="M1255" i="2"/>
  <c r="G1255" i="2" s="1"/>
  <c r="M1254" i="2"/>
  <c r="G1254" i="2" s="1"/>
  <c r="M1253" i="2"/>
  <c r="G1253" i="2" s="1"/>
  <c r="M1252" i="2"/>
  <c r="G1252" i="2" s="1"/>
  <c r="M1251" i="2"/>
  <c r="G1251" i="2" s="1"/>
  <c r="I1251" i="2" s="1"/>
  <c r="J1251" i="2" s="1"/>
  <c r="M1250" i="2"/>
  <c r="G1250" i="2" s="1"/>
  <c r="M1249" i="2"/>
  <c r="G1249" i="2" s="1"/>
  <c r="M1248" i="2"/>
  <c r="G1248" i="2" s="1"/>
  <c r="M1247" i="2"/>
  <c r="G1247" i="2" s="1"/>
  <c r="M1246" i="2"/>
  <c r="G1246" i="2" s="1"/>
  <c r="M1245" i="2"/>
  <c r="G1245" i="2" s="1"/>
  <c r="M1244" i="2"/>
  <c r="G1244" i="2" s="1"/>
  <c r="H1244" i="2" s="1"/>
  <c r="M1243" i="2"/>
  <c r="G1243" i="2" s="1"/>
  <c r="M1242" i="2"/>
  <c r="G1242" i="2" s="1"/>
  <c r="I1242" i="2" s="1"/>
  <c r="J1242" i="2" s="1"/>
  <c r="M1241" i="2"/>
  <c r="G1241" i="2" s="1"/>
  <c r="I1241" i="2" s="1"/>
  <c r="J1241" i="2" s="1"/>
  <c r="M1240" i="2"/>
  <c r="G1240" i="2" s="1"/>
  <c r="M1239" i="2"/>
  <c r="G1239" i="2" s="1"/>
  <c r="I1239" i="2" s="1"/>
  <c r="J1239" i="2" s="1"/>
  <c r="M1238" i="2"/>
  <c r="G1238" i="2" s="1"/>
  <c r="M1237" i="2"/>
  <c r="G1237" i="2" s="1"/>
  <c r="M1236" i="2"/>
  <c r="G1236" i="2" s="1"/>
  <c r="M1235" i="2"/>
  <c r="G1235" i="2" s="1"/>
  <c r="I1235" i="2" s="1"/>
  <c r="J1235" i="2" s="1"/>
  <c r="M1234" i="2"/>
  <c r="G1234" i="2" s="1"/>
  <c r="M1233" i="2"/>
  <c r="G1233" i="2" s="1"/>
  <c r="H1233" i="2" s="1"/>
  <c r="M1232" i="2"/>
  <c r="G1232" i="2" s="1"/>
  <c r="M1231" i="2"/>
  <c r="G1231" i="2" s="1"/>
  <c r="M1230" i="2"/>
  <c r="G1230" i="2" s="1"/>
  <c r="M1229" i="2"/>
  <c r="G1229" i="2" s="1"/>
  <c r="M1228" i="2"/>
  <c r="G1228" i="2" s="1"/>
  <c r="H1228" i="2" s="1"/>
  <c r="I1228" i="2"/>
  <c r="J1228" i="2" s="1"/>
  <c r="M1227" i="2"/>
  <c r="G1227" i="2" s="1"/>
  <c r="H1227" i="2" s="1"/>
  <c r="M1226" i="2"/>
  <c r="G1226" i="2" s="1"/>
  <c r="M1225" i="2"/>
  <c r="G1225" i="2" s="1"/>
  <c r="M1224" i="2"/>
  <c r="G1224" i="2" s="1"/>
  <c r="M1223" i="2"/>
  <c r="G1223" i="2" s="1"/>
  <c r="M1222" i="2"/>
  <c r="G1222" i="2" s="1"/>
  <c r="M1221" i="2"/>
  <c r="G1221" i="2" s="1"/>
  <c r="M1220" i="2"/>
  <c r="G1220" i="2" s="1"/>
  <c r="M1219" i="2"/>
  <c r="G1219" i="2" s="1"/>
  <c r="M1218" i="2"/>
  <c r="G1218" i="2" s="1"/>
  <c r="I1218" i="2" s="1"/>
  <c r="J1218" i="2" s="1"/>
  <c r="M1217" i="2"/>
  <c r="G1217" i="2" s="1"/>
  <c r="H1217" i="2" s="1"/>
  <c r="M1216" i="2"/>
  <c r="G1216" i="2" s="1"/>
  <c r="H1216" i="2" s="1"/>
  <c r="M1215" i="2"/>
  <c r="G1215" i="2" s="1"/>
  <c r="M1214" i="2"/>
  <c r="G1214" i="2" s="1"/>
  <c r="M1213" i="2"/>
  <c r="G1213" i="2" s="1"/>
  <c r="M1212" i="2"/>
  <c r="G1212" i="2" s="1"/>
  <c r="M1211" i="2"/>
  <c r="G1211" i="2" s="1"/>
  <c r="H1211" i="2" s="1"/>
  <c r="M1210" i="2"/>
  <c r="M1209" i="2"/>
  <c r="M1208" i="2"/>
  <c r="M1207" i="2"/>
  <c r="C1207" i="2"/>
  <c r="M1206" i="2"/>
  <c r="G1206" i="2" s="1"/>
  <c r="M1205" i="2"/>
  <c r="G1205" i="2" s="1"/>
  <c r="H1205" i="2" s="1"/>
  <c r="M1204" i="2"/>
  <c r="G1204" i="2" s="1"/>
  <c r="M1203" i="2"/>
  <c r="G1203" i="2" s="1"/>
  <c r="M1202" i="2"/>
  <c r="G1202" i="2" s="1"/>
  <c r="M1201" i="2"/>
  <c r="G1201" i="2" s="1"/>
  <c r="I1201" i="2" s="1"/>
  <c r="J1201" i="2" s="1"/>
  <c r="M1200" i="2"/>
  <c r="G1200" i="2" s="1"/>
  <c r="H1200" i="2" s="1"/>
  <c r="M1199" i="2"/>
  <c r="G1199" i="2" s="1"/>
  <c r="M1198" i="2"/>
  <c r="G1198" i="2" s="1"/>
  <c r="M1197" i="2"/>
  <c r="G1197" i="2" s="1"/>
  <c r="M1196" i="2"/>
  <c r="G1196" i="2" s="1"/>
  <c r="M1195" i="2"/>
  <c r="G1195" i="2" s="1"/>
  <c r="M1194" i="2"/>
  <c r="G1194" i="2" s="1"/>
  <c r="M1193" i="2"/>
  <c r="G1193" i="2" s="1"/>
  <c r="M1192" i="2"/>
  <c r="G1192" i="2" s="1"/>
  <c r="M1191" i="2"/>
  <c r="G1191" i="2" s="1"/>
  <c r="I1191" i="2" s="1"/>
  <c r="J1191" i="2" s="1"/>
  <c r="M1190" i="2"/>
  <c r="G1190" i="2" s="1"/>
  <c r="H1190" i="2" s="1"/>
  <c r="M1189" i="2"/>
  <c r="G1189" i="2" s="1"/>
  <c r="M1188" i="2"/>
  <c r="G1188" i="2" s="1"/>
  <c r="M1187" i="2"/>
  <c r="G1187" i="2" s="1"/>
  <c r="M1186" i="2"/>
  <c r="G1186" i="2" s="1"/>
  <c r="M1185" i="2"/>
  <c r="G1185" i="2" s="1"/>
  <c r="M1184" i="2"/>
  <c r="G1184" i="2" s="1"/>
  <c r="H1184" i="2" s="1"/>
  <c r="M1183" i="2"/>
  <c r="G1183" i="2"/>
  <c r="I1183" i="2" s="1"/>
  <c r="J1183" i="2" s="1"/>
  <c r="M1182" i="2"/>
  <c r="G1182" i="2" s="1"/>
  <c r="M1181" i="2"/>
  <c r="G1181" i="2" s="1"/>
  <c r="M1180" i="2"/>
  <c r="G1180" i="2" s="1"/>
  <c r="M1179" i="2"/>
  <c r="G1179" i="2" s="1"/>
  <c r="I1179" i="2" s="1"/>
  <c r="J1179" i="2" s="1"/>
  <c r="M1178" i="2"/>
  <c r="M1177" i="2"/>
  <c r="M1176" i="2"/>
  <c r="M1175" i="2"/>
  <c r="C1175" i="2"/>
  <c r="M1174" i="2"/>
  <c r="G1174" i="2" s="1"/>
  <c r="H1174" i="2" s="1"/>
  <c r="M1173" i="2"/>
  <c r="G1173" i="2" s="1"/>
  <c r="M1172" i="2"/>
  <c r="G1172" i="2" s="1"/>
  <c r="M1171" i="2"/>
  <c r="G1171" i="2" s="1"/>
  <c r="M1170" i="2"/>
  <c r="G1170" i="2" s="1"/>
  <c r="M1169" i="2"/>
  <c r="G1169" i="2" s="1"/>
  <c r="M1168" i="2"/>
  <c r="G1168" i="2" s="1"/>
  <c r="M1167" i="2"/>
  <c r="G1167" i="2" s="1"/>
  <c r="M1166" i="2"/>
  <c r="G1166" i="2" s="1"/>
  <c r="I1166" i="2" s="1"/>
  <c r="J1166" i="2" s="1"/>
  <c r="M1165" i="2"/>
  <c r="G1165" i="2" s="1"/>
  <c r="M1164" i="2"/>
  <c r="G1164" i="2" s="1"/>
  <c r="M1163" i="2"/>
  <c r="G1163" i="2" s="1"/>
  <c r="M1162" i="2"/>
  <c r="G1162" i="2" s="1"/>
  <c r="H1162" i="2" s="1"/>
  <c r="M1161" i="2"/>
  <c r="G1161" i="2" s="1"/>
  <c r="M1160" i="2"/>
  <c r="G1160" i="2" s="1"/>
  <c r="M1159" i="2"/>
  <c r="G1159" i="2" s="1"/>
  <c r="I1159" i="2" s="1"/>
  <c r="J1159" i="2" s="1"/>
  <c r="M1158" i="2"/>
  <c r="G1158" i="2" s="1"/>
  <c r="M1157" i="2"/>
  <c r="G1157" i="2" s="1"/>
  <c r="M1156" i="2"/>
  <c r="G1156" i="2" s="1"/>
  <c r="M1155" i="2"/>
  <c r="G1155" i="2"/>
  <c r="M1154" i="2"/>
  <c r="G1154" i="2" s="1"/>
  <c r="I1154" i="2" s="1"/>
  <c r="J1154" i="2" s="1"/>
  <c r="M1153" i="2"/>
  <c r="G1153" i="2" s="1"/>
  <c r="M1152" i="2"/>
  <c r="G1152" i="2" s="1"/>
  <c r="M1151" i="2"/>
  <c r="G1151" i="2" s="1"/>
  <c r="M1150" i="2"/>
  <c r="G1150" i="2" s="1"/>
  <c r="I1150" i="2" s="1"/>
  <c r="J1150" i="2" s="1"/>
  <c r="H1150" i="2"/>
  <c r="M1149" i="2"/>
  <c r="G1149" i="2" s="1"/>
  <c r="M1148" i="2"/>
  <c r="G1148" i="2" s="1"/>
  <c r="M1147" i="2"/>
  <c r="G1147" i="2" s="1"/>
  <c r="I1147" i="2" s="1"/>
  <c r="J1147" i="2" s="1"/>
  <c r="M1146" i="2"/>
  <c r="G1146" i="2" s="1"/>
  <c r="H1146" i="2" s="1"/>
  <c r="M1145" i="2"/>
  <c r="G1145" i="2" s="1"/>
  <c r="M1144" i="2"/>
  <c r="G1144" i="2" s="1"/>
  <c r="M1143" i="2"/>
  <c r="G1143" i="2" s="1"/>
  <c r="M1142" i="2"/>
  <c r="G1142" i="2" s="1"/>
  <c r="M1141" i="2"/>
  <c r="G1141" i="2" s="1"/>
  <c r="M1140" i="2"/>
  <c r="G1140" i="2" s="1"/>
  <c r="M1139" i="2"/>
  <c r="G1139" i="2" s="1"/>
  <c r="M1138" i="2"/>
  <c r="G1138" i="2" s="1"/>
  <c r="M1137" i="2"/>
  <c r="G1137" i="2" s="1"/>
  <c r="H1137" i="2" s="1"/>
  <c r="M1136" i="2"/>
  <c r="G1136" i="2" s="1"/>
  <c r="M1135" i="2"/>
  <c r="G1135" i="2" s="1"/>
  <c r="M1134" i="2"/>
  <c r="G1134" i="2" s="1"/>
  <c r="M1133" i="2"/>
  <c r="G1133" i="2" s="1"/>
  <c r="M1132" i="2"/>
  <c r="G1132" i="2" s="1"/>
  <c r="M1131" i="2"/>
  <c r="G1131" i="2" s="1"/>
  <c r="M1130" i="2"/>
  <c r="G1130" i="2" s="1"/>
  <c r="H1130" i="2" s="1"/>
  <c r="M1129" i="2"/>
  <c r="G1129" i="2" s="1"/>
  <c r="M1128" i="2"/>
  <c r="G1128" i="2" s="1"/>
  <c r="M1127" i="2"/>
  <c r="G1127" i="2" s="1"/>
  <c r="I1127" i="2" s="1"/>
  <c r="J1127" i="2" s="1"/>
  <c r="M1126" i="2"/>
  <c r="G1126" i="2" s="1"/>
  <c r="H1126" i="2" s="1"/>
  <c r="M1125" i="2"/>
  <c r="G1125" i="2"/>
  <c r="H1125" i="2" s="1"/>
  <c r="M1124" i="2"/>
  <c r="G1124" i="2" s="1"/>
  <c r="M1123" i="2"/>
  <c r="G1123" i="2" s="1"/>
  <c r="M1122" i="2"/>
  <c r="G1122" i="2" s="1"/>
  <c r="M1121" i="2"/>
  <c r="G1121" i="2"/>
  <c r="H1121" i="2" s="1"/>
  <c r="M1120" i="2"/>
  <c r="G1120" i="2" s="1"/>
  <c r="M1119" i="2"/>
  <c r="G1119" i="2" s="1"/>
  <c r="M1118" i="2"/>
  <c r="G1118" i="2" s="1"/>
  <c r="I1118" i="2" s="1"/>
  <c r="J1118" i="2" s="1"/>
  <c r="M1117" i="2"/>
  <c r="G1117" i="2" s="1"/>
  <c r="M1116" i="2"/>
  <c r="G1116" i="2" s="1"/>
  <c r="M1115" i="2"/>
  <c r="G1115" i="2" s="1"/>
  <c r="M1114" i="2"/>
  <c r="G1114" i="2" s="1"/>
  <c r="M1113" i="2"/>
  <c r="G1113" i="2" s="1"/>
  <c r="M1112" i="2"/>
  <c r="G1112" i="2" s="1"/>
  <c r="M1111" i="2"/>
  <c r="G1111" i="2" s="1"/>
  <c r="I1111" i="2" s="1"/>
  <c r="J1111" i="2" s="1"/>
  <c r="H1111" i="2"/>
  <c r="M1110" i="2"/>
  <c r="G1110" i="2" s="1"/>
  <c r="M1109" i="2"/>
  <c r="G1109" i="2" s="1"/>
  <c r="M1108" i="2"/>
  <c r="M1107" i="2"/>
  <c r="M1106" i="2"/>
  <c r="M1105" i="2"/>
  <c r="C1105" i="2"/>
  <c r="M1104" i="2"/>
  <c r="G1104" i="2" s="1"/>
  <c r="M1103" i="2"/>
  <c r="G1103" i="2" s="1"/>
  <c r="M1102" i="2"/>
  <c r="G1102" i="2" s="1"/>
  <c r="I1102" i="2" s="1"/>
  <c r="J1102" i="2" s="1"/>
  <c r="M1101" i="2"/>
  <c r="G1101" i="2" s="1"/>
  <c r="H1101" i="2" s="1"/>
  <c r="M1100" i="2"/>
  <c r="G1100" i="2" s="1"/>
  <c r="M1099" i="2"/>
  <c r="G1099" i="2" s="1"/>
  <c r="M1098" i="2"/>
  <c r="G1098" i="2" s="1"/>
  <c r="M1097" i="2"/>
  <c r="G1097" i="2" s="1"/>
  <c r="M1096" i="2"/>
  <c r="G1096" i="2" s="1"/>
  <c r="M1095" i="2"/>
  <c r="I1095" i="2"/>
  <c r="J1095" i="2" s="1"/>
  <c r="H1095" i="2"/>
  <c r="M1094" i="2"/>
  <c r="G1094" i="2" s="1"/>
  <c r="M1093" i="2"/>
  <c r="G1093" i="2" s="1"/>
  <c r="I1093" i="2" s="1"/>
  <c r="J1093" i="2" s="1"/>
  <c r="M1092" i="2"/>
  <c r="G1092" i="2" s="1"/>
  <c r="M1091" i="2"/>
  <c r="G1091" i="2" s="1"/>
  <c r="M1090" i="2"/>
  <c r="G1090" i="2" s="1"/>
  <c r="M1089" i="2"/>
  <c r="G1089" i="2" s="1"/>
  <c r="I1089" i="2" s="1"/>
  <c r="J1089" i="2" s="1"/>
  <c r="M1088" i="2"/>
  <c r="G1088" i="2" s="1"/>
  <c r="M1087" i="2"/>
  <c r="G1087" i="2" s="1"/>
  <c r="M1086" i="2"/>
  <c r="G1086" i="2" s="1"/>
  <c r="M1085" i="2"/>
  <c r="G1085" i="2" s="1"/>
  <c r="M1084" i="2"/>
  <c r="G1084" i="2" s="1"/>
  <c r="M1083" i="2"/>
  <c r="G1083" i="2" s="1"/>
  <c r="H1083" i="2" s="1"/>
  <c r="M1082" i="2"/>
  <c r="G1082" i="2" s="1"/>
  <c r="M1081" i="2"/>
  <c r="G1081" i="2" s="1"/>
  <c r="M1080" i="2"/>
  <c r="G1080" i="2" s="1"/>
  <c r="M1079" i="2"/>
  <c r="G1079" i="2" s="1"/>
  <c r="M1078" i="2"/>
  <c r="G1078" i="2" s="1"/>
  <c r="M1077" i="2"/>
  <c r="G1077" i="2" s="1"/>
  <c r="I1077" i="2" s="1"/>
  <c r="J1077" i="2" s="1"/>
  <c r="M1076" i="2"/>
  <c r="G1076" i="2" s="1"/>
  <c r="M1075" i="2"/>
  <c r="G1075" i="2" s="1"/>
  <c r="M1074" i="2"/>
  <c r="G1074" i="2" s="1"/>
  <c r="M1073" i="2"/>
  <c r="G1073" i="2" s="1"/>
  <c r="I1073" i="2" s="1"/>
  <c r="J1073" i="2" s="1"/>
  <c r="M1072" i="2"/>
  <c r="G1072" i="2" s="1"/>
  <c r="M1071" i="2"/>
  <c r="G1071" i="2" s="1"/>
  <c r="M1070" i="2"/>
  <c r="G1070" i="2" s="1"/>
  <c r="I1070" i="2" s="1"/>
  <c r="J1070" i="2" s="1"/>
  <c r="M1069" i="2"/>
  <c r="G1069" i="2" s="1"/>
  <c r="G1068" i="2"/>
  <c r="I1068" i="2" s="1"/>
  <c r="J1068" i="2" s="1"/>
  <c r="M1067" i="2"/>
  <c r="G1067" i="2" s="1"/>
  <c r="M1066" i="2"/>
  <c r="M1065" i="2"/>
  <c r="M1064" i="2"/>
  <c r="M1063" i="2"/>
  <c r="C1063" i="2"/>
  <c r="M1062" i="2"/>
  <c r="G1062" i="2" s="1"/>
  <c r="M1061" i="2"/>
  <c r="G1061" i="2" s="1"/>
  <c r="H1061" i="2" s="1"/>
  <c r="M1060" i="2"/>
  <c r="G1060" i="2" s="1"/>
  <c r="M1059" i="2"/>
  <c r="G1059" i="2" s="1"/>
  <c r="I1059" i="2" s="1"/>
  <c r="J1059" i="2" s="1"/>
  <c r="M1058" i="2"/>
  <c r="G1058" i="2" s="1"/>
  <c r="M1057" i="2"/>
  <c r="G1057" i="2" s="1"/>
  <c r="M1056" i="2"/>
  <c r="G1056" i="2" s="1"/>
  <c r="M1055" i="2"/>
  <c r="G1055" i="2" s="1"/>
  <c r="I1055" i="2" s="1"/>
  <c r="J1055" i="2" s="1"/>
  <c r="M1054" i="2"/>
  <c r="G1054" i="2" s="1"/>
  <c r="M1053" i="2"/>
  <c r="G1053" i="2" s="1"/>
  <c r="M1052" i="2"/>
  <c r="G1052" i="2" s="1"/>
  <c r="M1051" i="2"/>
  <c r="G1051" i="2" s="1"/>
  <c r="M1050" i="2"/>
  <c r="G1050" i="2" s="1"/>
  <c r="M1049" i="2"/>
  <c r="G1049" i="2" s="1"/>
  <c r="I1049" i="2" s="1"/>
  <c r="J1049" i="2" s="1"/>
  <c r="M1048" i="2"/>
  <c r="G1048" i="2" s="1"/>
  <c r="I1048" i="2" s="1"/>
  <c r="J1048" i="2" s="1"/>
  <c r="M1047" i="2"/>
  <c r="G1047" i="2" s="1"/>
  <c r="M1046" i="2"/>
  <c r="G1046" i="2" s="1"/>
  <c r="I1046" i="2" s="1"/>
  <c r="J1046" i="2" s="1"/>
  <c r="M1045" i="2"/>
  <c r="G1045" i="2" s="1"/>
  <c r="M1044" i="2"/>
  <c r="G1044" i="2" s="1"/>
  <c r="M1043" i="2"/>
  <c r="G1043" i="2" s="1"/>
  <c r="M1042" i="2"/>
  <c r="G1042" i="2" s="1"/>
  <c r="I1042" i="2" s="1"/>
  <c r="J1042" i="2" s="1"/>
  <c r="M1041" i="2"/>
  <c r="G1041" i="2" s="1"/>
  <c r="M1040" i="2"/>
  <c r="G1040" i="2" s="1"/>
  <c r="M1039" i="2"/>
  <c r="G1039" i="2" s="1"/>
  <c r="M1038" i="2"/>
  <c r="G1038" i="2" s="1"/>
  <c r="M1037" i="2"/>
  <c r="G1037" i="2" s="1"/>
  <c r="M1036" i="2"/>
  <c r="G1036" i="2" s="1"/>
  <c r="M1035" i="2"/>
  <c r="G1035" i="2" s="1"/>
  <c r="M1034" i="2"/>
  <c r="G1034" i="2" s="1"/>
  <c r="M1033" i="2"/>
  <c r="G1033" i="2" s="1"/>
  <c r="M1032" i="2"/>
  <c r="G1032" i="2" s="1"/>
  <c r="M1031" i="2"/>
  <c r="G1031" i="2" s="1"/>
  <c r="M1030" i="2"/>
  <c r="G1030" i="2" s="1"/>
  <c r="M1029" i="2"/>
  <c r="M1028" i="2"/>
  <c r="M1027" i="2"/>
  <c r="M1026" i="2"/>
  <c r="C1026" i="2"/>
  <c r="M1025" i="2"/>
  <c r="G1025" i="2" s="1"/>
  <c r="M1024" i="2"/>
  <c r="G1024" i="2" s="1"/>
  <c r="M1023" i="2"/>
  <c r="G1023" i="2" s="1"/>
  <c r="M1022" i="2"/>
  <c r="G1022" i="2"/>
  <c r="M1021" i="2"/>
  <c r="G1021" i="2" s="1"/>
  <c r="H1021" i="2" s="1"/>
  <c r="M1020" i="2"/>
  <c r="G1020" i="2" s="1"/>
  <c r="M1019" i="2"/>
  <c r="G1019" i="2" s="1"/>
  <c r="M1018" i="2"/>
  <c r="G1018" i="2"/>
  <c r="M1017" i="2"/>
  <c r="G1017" i="2" s="1"/>
  <c r="M1016" i="2"/>
  <c r="G1016" i="2" s="1"/>
  <c r="M1015" i="2"/>
  <c r="G1015" i="2" s="1"/>
  <c r="M1014" i="2"/>
  <c r="G1014" i="2" s="1"/>
  <c r="M1013" i="2"/>
  <c r="G1013" i="2" s="1"/>
  <c r="M1012" i="2"/>
  <c r="G1012" i="2" s="1"/>
  <c r="M1011" i="2"/>
  <c r="G1011" i="2" s="1"/>
  <c r="M1010" i="2"/>
  <c r="G1010" i="2" s="1"/>
  <c r="I1010" i="2" s="1"/>
  <c r="J1010" i="2" s="1"/>
  <c r="M1009" i="2"/>
  <c r="G1009" i="2" s="1"/>
  <c r="M1008" i="2"/>
  <c r="G1008" i="2" s="1"/>
  <c r="M1007" i="2"/>
  <c r="G1007" i="2" s="1"/>
  <c r="M1006" i="2"/>
  <c r="G1006" i="2" s="1"/>
  <c r="M1005" i="2"/>
  <c r="G1005" i="2" s="1"/>
  <c r="H1005" i="2" s="1"/>
  <c r="M1004" i="2"/>
  <c r="M1003" i="2"/>
  <c r="M1002" i="2"/>
  <c r="M1001" i="2"/>
  <c r="C1001" i="2"/>
  <c r="M1000" i="2"/>
  <c r="G1000" i="2" s="1"/>
  <c r="M999" i="2"/>
  <c r="G999" i="2" s="1"/>
  <c r="M998" i="2"/>
  <c r="G998" i="2" s="1"/>
  <c r="M997" i="2"/>
  <c r="G997" i="2" s="1"/>
  <c r="I997" i="2" s="1"/>
  <c r="J997" i="2" s="1"/>
  <c r="M996" i="2"/>
  <c r="G996" i="2" s="1"/>
  <c r="H996" i="2" s="1"/>
  <c r="M995" i="2"/>
  <c r="G995" i="2" s="1"/>
  <c r="H995" i="2" s="1"/>
  <c r="M994" i="2"/>
  <c r="G994" i="2" s="1"/>
  <c r="M993" i="2"/>
  <c r="G993" i="2" s="1"/>
  <c r="I993" i="2" s="1"/>
  <c r="J993" i="2" s="1"/>
  <c r="M992" i="2"/>
  <c r="G992" i="2" s="1"/>
  <c r="M991" i="2"/>
  <c r="G991" i="2" s="1"/>
  <c r="M990" i="2"/>
  <c r="G990" i="2" s="1"/>
  <c r="M989" i="2"/>
  <c r="G989" i="2" s="1"/>
  <c r="M988" i="2"/>
  <c r="G988" i="2" s="1"/>
  <c r="H988" i="2" s="1"/>
  <c r="M987" i="2"/>
  <c r="G987" i="2" s="1"/>
  <c r="M986" i="2"/>
  <c r="G986" i="2" s="1"/>
  <c r="M985" i="2"/>
  <c r="G985" i="2" s="1"/>
  <c r="I985" i="2" s="1"/>
  <c r="J985" i="2" s="1"/>
  <c r="M984" i="2"/>
  <c r="G984" i="2" s="1"/>
  <c r="M983" i="2"/>
  <c r="G983" i="2" s="1"/>
  <c r="M982" i="2"/>
  <c r="G982" i="2" s="1"/>
  <c r="M981" i="2"/>
  <c r="G981" i="2" s="1"/>
  <c r="I981" i="2" s="1"/>
  <c r="J981" i="2" s="1"/>
  <c r="M980" i="2"/>
  <c r="G980" i="2" s="1"/>
  <c r="I980" i="2" s="1"/>
  <c r="J980" i="2" s="1"/>
  <c r="M979" i="2"/>
  <c r="G979" i="2" s="1"/>
  <c r="M978" i="2"/>
  <c r="G978" i="2" s="1"/>
  <c r="M977" i="2"/>
  <c r="G977" i="2" s="1"/>
  <c r="I977" i="2" s="1"/>
  <c r="J977" i="2" s="1"/>
  <c r="M976" i="2"/>
  <c r="G976" i="2" s="1"/>
  <c r="M975" i="2"/>
  <c r="G975" i="2" s="1"/>
  <c r="M974" i="2"/>
  <c r="G974" i="2" s="1"/>
  <c r="H974" i="2" s="1"/>
  <c r="M973" i="2"/>
  <c r="G973" i="2" s="1"/>
  <c r="I973" i="2" s="1"/>
  <c r="J973" i="2" s="1"/>
  <c r="M972" i="2"/>
  <c r="G972" i="2" s="1"/>
  <c r="H972" i="2" s="1"/>
  <c r="M971" i="2"/>
  <c r="G971" i="2" s="1"/>
  <c r="M970" i="2"/>
  <c r="G970" i="2" s="1"/>
  <c r="M969" i="2"/>
  <c r="I969" i="2"/>
  <c r="J969" i="2" s="1"/>
  <c r="H969" i="2"/>
  <c r="M968" i="2"/>
  <c r="G968" i="2" s="1"/>
  <c r="M967" i="2"/>
  <c r="G967" i="2" s="1"/>
  <c r="H967" i="2" s="1"/>
  <c r="M966" i="2"/>
  <c r="G966" i="2" s="1"/>
  <c r="I966" i="2" s="1"/>
  <c r="J966" i="2" s="1"/>
  <c r="M965" i="2"/>
  <c r="G965" i="2" s="1"/>
  <c r="M964" i="2"/>
  <c r="G964" i="2" s="1"/>
  <c r="M963" i="2"/>
  <c r="G963" i="2" s="1"/>
  <c r="M962" i="2"/>
  <c r="G962" i="2" s="1"/>
  <c r="M961" i="2"/>
  <c r="G961" i="2" s="1"/>
  <c r="H961" i="2" s="1"/>
  <c r="M960" i="2"/>
  <c r="G960" i="2" s="1"/>
  <c r="M959" i="2"/>
  <c r="G959" i="2" s="1"/>
  <c r="M958" i="2"/>
  <c r="M957" i="2"/>
  <c r="M956" i="2"/>
  <c r="M955" i="2"/>
  <c r="C955" i="2"/>
  <c r="M954" i="2"/>
  <c r="G954" i="2" s="1"/>
  <c r="M953" i="2"/>
  <c r="G953" i="2" s="1"/>
  <c r="M952" i="2"/>
  <c r="G952" i="2" s="1"/>
  <c r="M951" i="2"/>
  <c r="G951" i="2" s="1"/>
  <c r="M950" i="2"/>
  <c r="G950" i="2" s="1"/>
  <c r="H950" i="2" s="1"/>
  <c r="M949" i="2"/>
  <c r="G949" i="2" s="1"/>
  <c r="M948" i="2"/>
  <c r="G948" i="2" s="1"/>
  <c r="M947" i="2"/>
  <c r="G947" i="2" s="1"/>
  <c r="I947" i="2" s="1"/>
  <c r="J947" i="2" s="1"/>
  <c r="M946" i="2"/>
  <c r="G946" i="2" s="1"/>
  <c r="M945" i="2"/>
  <c r="G945" i="2" s="1"/>
  <c r="H945" i="2" s="1"/>
  <c r="M944" i="2"/>
  <c r="G944" i="2" s="1"/>
  <c r="M943" i="2"/>
  <c r="G943" i="2" s="1"/>
  <c r="M942" i="2"/>
  <c r="G942" i="2" s="1"/>
  <c r="M941" i="2"/>
  <c r="G941" i="2" s="1"/>
  <c r="M940" i="2"/>
  <c r="G940" i="2" s="1"/>
  <c r="M939" i="2"/>
  <c r="G939" i="2" s="1"/>
  <c r="I939" i="2" s="1"/>
  <c r="J939" i="2" s="1"/>
  <c r="M938" i="2"/>
  <c r="G938" i="2" s="1"/>
  <c r="H938" i="2" s="1"/>
  <c r="M937" i="2"/>
  <c r="G937" i="2" s="1"/>
  <c r="M936" i="2"/>
  <c r="G936" i="2" s="1"/>
  <c r="M935" i="2"/>
  <c r="G935" i="2" s="1"/>
  <c r="M934" i="2"/>
  <c r="G934" i="2" s="1"/>
  <c r="M933" i="2"/>
  <c r="G933" i="2" s="1"/>
  <c r="H933" i="2" s="1"/>
  <c r="M932" i="2"/>
  <c r="G932" i="2" s="1"/>
  <c r="M931" i="2"/>
  <c r="G931" i="2" s="1"/>
  <c r="H931" i="2" s="1"/>
  <c r="M930" i="2"/>
  <c r="G930" i="2" s="1"/>
  <c r="I930" i="2" s="1"/>
  <c r="J930" i="2" s="1"/>
  <c r="M929" i="2"/>
  <c r="G929" i="2" s="1"/>
  <c r="M928" i="2"/>
  <c r="G928" i="2" s="1"/>
  <c r="H928" i="2" s="1"/>
  <c r="M927" i="2"/>
  <c r="G927" i="2" s="1"/>
  <c r="H927" i="2" s="1"/>
  <c r="M926" i="2"/>
  <c r="G926" i="2" s="1"/>
  <c r="H926" i="2" s="1"/>
  <c r="M925" i="2"/>
  <c r="G925" i="2" s="1"/>
  <c r="M924" i="2"/>
  <c r="G924" i="2" s="1"/>
  <c r="I924" i="2" s="1"/>
  <c r="J924" i="2" s="1"/>
  <c r="M923" i="2"/>
  <c r="G923" i="2" s="1"/>
  <c r="I923" i="2" s="1"/>
  <c r="J923" i="2" s="1"/>
  <c r="M922" i="2"/>
  <c r="G922" i="2" s="1"/>
  <c r="M921" i="2"/>
  <c r="G921" i="2" s="1"/>
  <c r="M920" i="2"/>
  <c r="G920" i="2" s="1"/>
  <c r="M919" i="2"/>
  <c r="G919" i="2" s="1"/>
  <c r="M918" i="2"/>
  <c r="G918" i="2" s="1"/>
  <c r="M917" i="2"/>
  <c r="G917" i="2" s="1"/>
  <c r="M916" i="2"/>
  <c r="G916" i="2" s="1"/>
  <c r="M915" i="2"/>
  <c r="G915" i="2" s="1"/>
  <c r="I915" i="2" s="1"/>
  <c r="J915" i="2" s="1"/>
  <c r="M914" i="2"/>
  <c r="G914" i="2" s="1"/>
  <c r="M913" i="2"/>
  <c r="G913" i="2" s="1"/>
  <c r="M912" i="2"/>
  <c r="G912" i="2" s="1"/>
  <c r="M911" i="2"/>
  <c r="G911" i="2" s="1"/>
  <c r="M910" i="2"/>
  <c r="G910" i="2" s="1"/>
  <c r="M909" i="2"/>
  <c r="G909" i="2" s="1"/>
  <c r="M908" i="2"/>
  <c r="G908" i="2" s="1"/>
  <c r="M907" i="2"/>
  <c r="G907" i="2" s="1"/>
  <c r="I907" i="2" s="1"/>
  <c r="J907" i="2" s="1"/>
  <c r="M906" i="2"/>
  <c r="G906" i="2" s="1"/>
  <c r="H906" i="2" s="1"/>
  <c r="M905" i="2"/>
  <c r="G905" i="2" s="1"/>
  <c r="I905" i="2" s="1"/>
  <c r="J905" i="2" s="1"/>
  <c r="M904" i="2"/>
  <c r="G904" i="2" s="1"/>
  <c r="M903" i="2"/>
  <c r="G903" i="2" s="1"/>
  <c r="I903" i="2" s="1"/>
  <c r="J903" i="2" s="1"/>
  <c r="M902" i="2"/>
  <c r="G902" i="2" s="1"/>
  <c r="H902" i="2" s="1"/>
  <c r="M901" i="2"/>
  <c r="G901" i="2" s="1"/>
  <c r="M900" i="2"/>
  <c r="G900" i="2" s="1"/>
  <c r="I900" i="2" s="1"/>
  <c r="J900" i="2" s="1"/>
  <c r="M899" i="2"/>
  <c r="G899" i="2" s="1"/>
  <c r="M898" i="2"/>
  <c r="G898" i="2" s="1"/>
  <c r="M897" i="2"/>
  <c r="G897" i="2" s="1"/>
  <c r="M896" i="2"/>
  <c r="G896" i="2" s="1"/>
  <c r="I896" i="2" s="1"/>
  <c r="J896" i="2" s="1"/>
  <c r="M895" i="2"/>
  <c r="G895" i="2" s="1"/>
  <c r="M894" i="2"/>
  <c r="G894" i="2" s="1"/>
  <c r="M893" i="2"/>
  <c r="G893" i="2"/>
  <c r="M892" i="2"/>
  <c r="G892" i="2" s="1"/>
  <c r="I892" i="2" s="1"/>
  <c r="J892" i="2" s="1"/>
  <c r="M891" i="2"/>
  <c r="G891" i="2" s="1"/>
  <c r="I891" i="2" s="1"/>
  <c r="J891" i="2" s="1"/>
  <c r="M890" i="2"/>
  <c r="G890" i="2" s="1"/>
  <c r="M889" i="2"/>
  <c r="G889" i="2" s="1"/>
  <c r="M888" i="2"/>
  <c r="G888" i="2" s="1"/>
  <c r="M887" i="2"/>
  <c r="G887" i="2" s="1"/>
  <c r="M886" i="2"/>
  <c r="G886" i="2" s="1"/>
  <c r="M885" i="2"/>
  <c r="G885" i="2" s="1"/>
  <c r="M884" i="2"/>
  <c r="G884" i="2" s="1"/>
  <c r="M883" i="2"/>
  <c r="G883" i="2" s="1"/>
  <c r="I883" i="2" s="1"/>
  <c r="J883" i="2" s="1"/>
  <c r="M882" i="2"/>
  <c r="G882" i="2" s="1"/>
  <c r="M881" i="2"/>
  <c r="G881" i="2" s="1"/>
  <c r="M880" i="2"/>
  <c r="G880" i="2" s="1"/>
  <c r="M879" i="2"/>
  <c r="G879" i="2" s="1"/>
  <c r="M878" i="2"/>
  <c r="G878" i="2" s="1"/>
  <c r="M877" i="2"/>
  <c r="G877" i="2" s="1"/>
  <c r="M876" i="2"/>
  <c r="G876" i="2" s="1"/>
  <c r="I876" i="2" s="1"/>
  <c r="J876" i="2" s="1"/>
  <c r="M875" i="2"/>
  <c r="M874" i="2"/>
  <c r="M873" i="2"/>
  <c r="M872" i="2"/>
  <c r="C872" i="2"/>
  <c r="M871" i="2"/>
  <c r="G871" i="2" s="1"/>
  <c r="M870" i="2"/>
  <c r="G870" i="2" s="1"/>
  <c r="H870" i="2" s="1"/>
  <c r="M869" i="2"/>
  <c r="G869" i="2" s="1"/>
  <c r="M868" i="2"/>
  <c r="G868" i="2" s="1"/>
  <c r="M867" i="2"/>
  <c r="G867" i="2" s="1"/>
  <c r="I867" i="2" s="1"/>
  <c r="J867" i="2" s="1"/>
  <c r="M866" i="2"/>
  <c r="G866" i="2" s="1"/>
  <c r="I866" i="2" s="1"/>
  <c r="J866" i="2" s="1"/>
  <c r="M865" i="2"/>
  <c r="G865" i="2" s="1"/>
  <c r="M864" i="2"/>
  <c r="G864" i="2" s="1"/>
  <c r="H864" i="2" s="1"/>
  <c r="M863" i="2"/>
  <c r="G863" i="2" s="1"/>
  <c r="M862" i="2"/>
  <c r="G862" i="2" s="1"/>
  <c r="M861" i="2"/>
  <c r="G861" i="2" s="1"/>
  <c r="M860" i="2"/>
  <c r="G860" i="2" s="1"/>
  <c r="M859" i="2"/>
  <c r="G859" i="2" s="1"/>
  <c r="M858" i="2"/>
  <c r="G858" i="2" s="1"/>
  <c r="I858" i="2" s="1"/>
  <c r="J858" i="2" s="1"/>
  <c r="M857" i="2"/>
  <c r="G857" i="2" s="1"/>
  <c r="M856" i="2"/>
  <c r="G856" i="2" s="1"/>
  <c r="M855" i="2"/>
  <c r="G855" i="2"/>
  <c r="M854" i="2"/>
  <c r="G854" i="2" s="1"/>
  <c r="M853" i="2"/>
  <c r="G853" i="2" s="1"/>
  <c r="M852" i="2"/>
  <c r="G852" i="2" s="1"/>
  <c r="M851" i="2"/>
  <c r="G851" i="2" s="1"/>
  <c r="H851" i="2" s="1"/>
  <c r="M850" i="2"/>
  <c r="G850" i="2" s="1"/>
  <c r="I850" i="2" s="1"/>
  <c r="J850" i="2" s="1"/>
  <c r="M849" i="2"/>
  <c r="G849" i="2" s="1"/>
  <c r="M848" i="2"/>
  <c r="G848" i="2" s="1"/>
  <c r="M847" i="2"/>
  <c r="G847" i="2" s="1"/>
  <c r="M846" i="2"/>
  <c r="M845" i="2"/>
  <c r="M844" i="2"/>
  <c r="M843" i="2"/>
  <c r="C843" i="2"/>
  <c r="M842" i="2"/>
  <c r="G842" i="2" s="1"/>
  <c r="M841" i="2"/>
  <c r="G841" i="2" s="1"/>
  <c r="M840" i="2"/>
  <c r="G840" i="2" s="1"/>
  <c r="H840" i="2" s="1"/>
  <c r="M839" i="2"/>
  <c r="G839" i="2" s="1"/>
  <c r="M838" i="2"/>
  <c r="G838" i="2" s="1"/>
  <c r="M837" i="2"/>
  <c r="G837" i="2" s="1"/>
  <c r="M836" i="2"/>
  <c r="G836" i="2" s="1"/>
  <c r="M835" i="2"/>
  <c r="G835" i="2" s="1"/>
  <c r="M834" i="2"/>
  <c r="G834" i="2" s="1"/>
  <c r="I834" i="2" s="1"/>
  <c r="J834" i="2" s="1"/>
  <c r="M833" i="2"/>
  <c r="G833" i="2" s="1"/>
  <c r="I833" i="2" s="1"/>
  <c r="J833" i="2" s="1"/>
  <c r="M832" i="2"/>
  <c r="G832" i="2" s="1"/>
  <c r="H832" i="2" s="1"/>
  <c r="M831" i="2"/>
  <c r="G831" i="2" s="1"/>
  <c r="M830" i="2"/>
  <c r="G830" i="2" s="1"/>
  <c r="M829" i="2"/>
  <c r="G829" i="2" s="1"/>
  <c r="M828" i="2"/>
  <c r="G828" i="2" s="1"/>
  <c r="I828" i="2" s="1"/>
  <c r="J828" i="2" s="1"/>
  <c r="M827" i="2"/>
  <c r="G827" i="2" s="1"/>
  <c r="M826" i="2"/>
  <c r="G826" i="2" s="1"/>
  <c r="M825" i="2"/>
  <c r="G825" i="2" s="1"/>
  <c r="M824" i="2"/>
  <c r="G824" i="2" s="1"/>
  <c r="H824" i="2" s="1"/>
  <c r="I824" i="2"/>
  <c r="J824" i="2" s="1"/>
  <c r="M823" i="2"/>
  <c r="G823" i="2" s="1"/>
  <c r="M822" i="2"/>
  <c r="G822" i="2" s="1"/>
  <c r="M821" i="2"/>
  <c r="G821" i="2" s="1"/>
  <c r="M820" i="2"/>
  <c r="G820" i="2" s="1"/>
  <c r="H820" i="2" s="1"/>
  <c r="M819" i="2"/>
  <c r="G819" i="2" s="1"/>
  <c r="M818" i="2"/>
  <c r="G818" i="2" s="1"/>
  <c r="I818" i="2" s="1"/>
  <c r="J818" i="2" s="1"/>
  <c r="M817" i="2"/>
  <c r="G817" i="2" s="1"/>
  <c r="H817" i="2" s="1"/>
  <c r="M816" i="2"/>
  <c r="G816" i="2" s="1"/>
  <c r="H816" i="2" s="1"/>
  <c r="M815" i="2"/>
  <c r="G815" i="2" s="1"/>
  <c r="H815" i="2" s="1"/>
  <c r="M814" i="2"/>
  <c r="G814" i="2" s="1"/>
  <c r="I814" i="2" s="1"/>
  <c r="J814" i="2" s="1"/>
  <c r="M813" i="2"/>
  <c r="G813" i="2" s="1"/>
  <c r="M812" i="2"/>
  <c r="G812" i="2" s="1"/>
  <c r="I812" i="2" s="1"/>
  <c r="J812" i="2" s="1"/>
  <c r="M811" i="2"/>
  <c r="G811" i="2" s="1"/>
  <c r="M810" i="2"/>
  <c r="G810" i="2" s="1"/>
  <c r="M809" i="2"/>
  <c r="M808" i="2"/>
  <c r="M807" i="2"/>
  <c r="M806" i="2"/>
  <c r="C806" i="2"/>
  <c r="M805" i="2"/>
  <c r="G805" i="2" s="1"/>
  <c r="I805" i="2" s="1"/>
  <c r="J805" i="2" s="1"/>
  <c r="M804" i="2"/>
  <c r="G804" i="2" s="1"/>
  <c r="H804" i="2" s="1"/>
  <c r="M803" i="2"/>
  <c r="G803" i="2" s="1"/>
  <c r="M802" i="2"/>
  <c r="G802" i="2" s="1"/>
  <c r="M801" i="2"/>
  <c r="G801" i="2" s="1"/>
  <c r="I801" i="2" s="1"/>
  <c r="J801" i="2" s="1"/>
  <c r="M800" i="2"/>
  <c r="G800" i="2" s="1"/>
  <c r="M799" i="2"/>
  <c r="G799" i="2" s="1"/>
  <c r="H799" i="2" s="1"/>
  <c r="M798" i="2"/>
  <c r="G798" i="2" s="1"/>
  <c r="H798" i="2" s="1"/>
  <c r="M797" i="2"/>
  <c r="G797" i="2" s="1"/>
  <c r="M796" i="2"/>
  <c r="G796" i="2" s="1"/>
  <c r="M795" i="2"/>
  <c r="G795" i="2"/>
  <c r="M794" i="2"/>
  <c r="G794" i="2" s="1"/>
  <c r="M793" i="2"/>
  <c r="G793" i="2" s="1"/>
  <c r="M792" i="2"/>
  <c r="G792" i="2" s="1"/>
  <c r="M791" i="2"/>
  <c r="G791" i="2" s="1"/>
  <c r="M790" i="2"/>
  <c r="G790" i="2" s="1"/>
  <c r="M789" i="2"/>
  <c r="G789" i="2" s="1"/>
  <c r="I789" i="2" s="1"/>
  <c r="J789" i="2" s="1"/>
  <c r="M788" i="2"/>
  <c r="G788" i="2" s="1"/>
  <c r="I788" i="2" s="1"/>
  <c r="J788" i="2" s="1"/>
  <c r="M787" i="2"/>
  <c r="G787" i="2" s="1"/>
  <c r="M786" i="2"/>
  <c r="G786" i="2" s="1"/>
  <c r="M785" i="2"/>
  <c r="G785" i="2" s="1"/>
  <c r="I785" i="2" s="1"/>
  <c r="J785" i="2" s="1"/>
  <c r="M784" i="2"/>
  <c r="G784" i="2" s="1"/>
  <c r="M783" i="2"/>
  <c r="G783" i="2" s="1"/>
  <c r="H783" i="2" s="1"/>
  <c r="M782" i="2"/>
  <c r="G782" i="2" s="1"/>
  <c r="M781" i="2"/>
  <c r="G781" i="2" s="1"/>
  <c r="M780" i="2"/>
  <c r="G780" i="2" s="1"/>
  <c r="M779" i="2"/>
  <c r="G779" i="2" s="1"/>
  <c r="H779" i="2" s="1"/>
  <c r="M778" i="2"/>
  <c r="G778" i="2" s="1"/>
  <c r="M777" i="2"/>
  <c r="G777" i="2" s="1"/>
  <c r="M776" i="2"/>
  <c r="G776" i="2" s="1"/>
  <c r="H776" i="2" s="1"/>
  <c r="M775" i="2"/>
  <c r="G775" i="2" s="1"/>
  <c r="H775" i="2" s="1"/>
  <c r="M774" i="2"/>
  <c r="G774" i="2" s="1"/>
  <c r="H774" i="2" s="1"/>
  <c r="M773" i="2"/>
  <c r="M772" i="2"/>
  <c r="M771" i="2"/>
  <c r="M770" i="2"/>
  <c r="C770" i="2"/>
  <c r="M769" i="2"/>
  <c r="G769" i="2" s="1"/>
  <c r="M768" i="2"/>
  <c r="G768" i="2" s="1"/>
  <c r="M767" i="2"/>
  <c r="G767" i="2" s="1"/>
  <c r="I767" i="2" s="1"/>
  <c r="J767" i="2" s="1"/>
  <c r="M766" i="2"/>
  <c r="G766" i="2" s="1"/>
  <c r="M765" i="2"/>
  <c r="G765" i="2" s="1"/>
  <c r="H765" i="2" s="1"/>
  <c r="M764" i="2"/>
  <c r="G764" i="2" s="1"/>
  <c r="I764" i="2" s="1"/>
  <c r="J764" i="2" s="1"/>
  <c r="M763" i="2"/>
  <c r="G763" i="2" s="1"/>
  <c r="M762" i="2"/>
  <c r="G762" i="2" s="1"/>
  <c r="I762" i="2" s="1"/>
  <c r="J762" i="2" s="1"/>
  <c r="M761" i="2"/>
  <c r="G761" i="2" s="1"/>
  <c r="M760" i="2"/>
  <c r="G760" i="2" s="1"/>
  <c r="I760" i="2" s="1"/>
  <c r="J760" i="2" s="1"/>
  <c r="M759" i="2"/>
  <c r="G759" i="2" s="1"/>
  <c r="M758" i="2"/>
  <c r="G758" i="2" s="1"/>
  <c r="M757" i="2"/>
  <c r="G757" i="2" s="1"/>
  <c r="M756" i="2"/>
  <c r="G756" i="2" s="1"/>
  <c r="M755" i="2"/>
  <c r="G755" i="2" s="1"/>
  <c r="M754" i="2"/>
  <c r="G754" i="2" s="1"/>
  <c r="M753" i="2"/>
  <c r="G753" i="2" s="1"/>
  <c r="M752" i="2"/>
  <c r="G752" i="2" s="1"/>
  <c r="M751" i="2"/>
  <c r="G751" i="2" s="1"/>
  <c r="M750" i="2"/>
  <c r="G750" i="2" s="1"/>
  <c r="M749" i="2"/>
  <c r="G749" i="2" s="1"/>
  <c r="M748" i="2"/>
  <c r="G748" i="2" s="1"/>
  <c r="I748" i="2" s="1"/>
  <c r="J748" i="2" s="1"/>
  <c r="M747" i="2"/>
  <c r="G747" i="2" s="1"/>
  <c r="M746" i="2"/>
  <c r="G746" i="2" s="1"/>
  <c r="M745" i="2"/>
  <c r="G745" i="2" s="1"/>
  <c r="M744" i="2"/>
  <c r="G744" i="2" s="1"/>
  <c r="I744" i="2" s="1"/>
  <c r="J744" i="2" s="1"/>
  <c r="M743" i="2"/>
  <c r="G743" i="2"/>
  <c r="M742" i="2"/>
  <c r="G742" i="2" s="1"/>
  <c r="M741" i="2"/>
  <c r="G741" i="2" s="1"/>
  <c r="M740" i="2"/>
  <c r="G740" i="2" s="1"/>
  <c r="M739" i="2"/>
  <c r="G739" i="2" s="1"/>
  <c r="M738" i="2"/>
  <c r="G738" i="2" s="1"/>
  <c r="I738" i="2" s="1"/>
  <c r="J738" i="2" s="1"/>
  <c r="M737" i="2"/>
  <c r="G737" i="2" s="1"/>
  <c r="H737" i="2" s="1"/>
  <c r="M736" i="2"/>
  <c r="G736" i="2" s="1"/>
  <c r="M735" i="2"/>
  <c r="G735" i="2" s="1"/>
  <c r="M734" i="2"/>
  <c r="G734" i="2" s="1"/>
  <c r="I734" i="2" s="1"/>
  <c r="J734" i="2" s="1"/>
  <c r="M733" i="2"/>
  <c r="G733" i="2" s="1"/>
  <c r="H733" i="2" s="1"/>
  <c r="M732" i="2"/>
  <c r="G732" i="2" s="1"/>
  <c r="M731" i="2"/>
  <c r="G731" i="2" s="1"/>
  <c r="I731" i="2" s="1"/>
  <c r="J731" i="2" s="1"/>
  <c r="M730" i="2"/>
  <c r="G730" i="2" s="1"/>
  <c r="M729" i="2"/>
  <c r="G729" i="2" s="1"/>
  <c r="M728" i="2"/>
  <c r="G728" i="2" s="1"/>
  <c r="I728" i="2" s="1"/>
  <c r="J728" i="2" s="1"/>
  <c r="M727" i="2"/>
  <c r="G727" i="2" s="1"/>
  <c r="M726" i="2"/>
  <c r="G726" i="2" s="1"/>
  <c r="M725" i="2"/>
  <c r="M724" i="2"/>
  <c r="M723" i="2"/>
  <c r="M722" i="2"/>
  <c r="C722" i="2"/>
  <c r="M721" i="2"/>
  <c r="G721" i="2" s="1"/>
  <c r="M720" i="2"/>
  <c r="G720" i="2" s="1"/>
  <c r="M719" i="2"/>
  <c r="G719" i="2" s="1"/>
  <c r="H719" i="2" s="1"/>
  <c r="I719" i="2"/>
  <c r="J719" i="2" s="1"/>
  <c r="M718" i="2"/>
  <c r="G718" i="2" s="1"/>
  <c r="M717" i="2"/>
  <c r="G717" i="2" s="1"/>
  <c r="M716" i="2"/>
  <c r="G716" i="2" s="1"/>
  <c r="M715" i="2"/>
  <c r="G715" i="2" s="1"/>
  <c r="M714" i="2"/>
  <c r="G714" i="2" s="1"/>
  <c r="M713" i="2"/>
  <c r="G713" i="2" s="1"/>
  <c r="M712" i="2"/>
  <c r="G712" i="2" s="1"/>
  <c r="H712" i="2" s="1"/>
  <c r="M711" i="2"/>
  <c r="G711" i="2" s="1"/>
  <c r="M710" i="2"/>
  <c r="G710" i="2" s="1"/>
  <c r="H710" i="2" s="1"/>
  <c r="M709" i="2"/>
  <c r="G709" i="2" s="1"/>
  <c r="I709" i="2" s="1"/>
  <c r="J709" i="2" s="1"/>
  <c r="M708" i="2"/>
  <c r="G708" i="2" s="1"/>
  <c r="M707" i="2"/>
  <c r="G707" i="2" s="1"/>
  <c r="M706" i="2"/>
  <c r="G706" i="2" s="1"/>
  <c r="I706" i="2" s="1"/>
  <c r="J706" i="2" s="1"/>
  <c r="M705" i="2"/>
  <c r="G705" i="2" s="1"/>
  <c r="M704" i="2"/>
  <c r="G704" i="2" s="1"/>
  <c r="M703" i="2"/>
  <c r="G703" i="2" s="1"/>
  <c r="M702" i="2"/>
  <c r="G702" i="2" s="1"/>
  <c r="M701" i="2"/>
  <c r="G701" i="2" s="1"/>
  <c r="H701" i="2" s="1"/>
  <c r="M700" i="2"/>
  <c r="G700" i="2" s="1"/>
  <c r="M699" i="2"/>
  <c r="G699" i="2" s="1"/>
  <c r="M698" i="2"/>
  <c r="G698" i="2" s="1"/>
  <c r="H698" i="2" s="1"/>
  <c r="I698" i="2"/>
  <c r="J698" i="2" s="1"/>
  <c r="M697" i="2"/>
  <c r="G697" i="2" s="1"/>
  <c r="I697" i="2" s="1"/>
  <c r="J697" i="2" s="1"/>
  <c r="M696" i="2"/>
  <c r="G696" i="2" s="1"/>
  <c r="H696" i="2" s="1"/>
  <c r="M695" i="2"/>
  <c r="G695" i="2" s="1"/>
  <c r="M694" i="2"/>
  <c r="G694" i="2" s="1"/>
  <c r="G693" i="2"/>
  <c r="M692" i="2"/>
  <c r="G692" i="2" s="1"/>
  <c r="M691" i="2"/>
  <c r="G691" i="2" s="1"/>
  <c r="M690" i="2"/>
  <c r="G690" i="2" s="1"/>
  <c r="H690" i="2" s="1"/>
  <c r="M689" i="2"/>
  <c r="G689" i="2" s="1"/>
  <c r="M688" i="2"/>
  <c r="G688" i="2" s="1"/>
  <c r="M687" i="2"/>
  <c r="G687" i="2" s="1"/>
  <c r="M686" i="2"/>
  <c r="G686" i="2" s="1"/>
  <c r="M685" i="2"/>
  <c r="G685" i="2" s="1"/>
  <c r="M684" i="2"/>
  <c r="G684" i="2" s="1"/>
  <c r="I684" i="2" s="1"/>
  <c r="J684" i="2" s="1"/>
  <c r="M683" i="2"/>
  <c r="G683" i="2" s="1"/>
  <c r="M682" i="2"/>
  <c r="G682" i="2" s="1"/>
  <c r="H682" i="2" s="1"/>
  <c r="M681" i="2"/>
  <c r="G681" i="2" s="1"/>
  <c r="H681" i="2" s="1"/>
  <c r="M680" i="2"/>
  <c r="G680" i="2" s="1"/>
  <c r="M679" i="2"/>
  <c r="M678" i="2"/>
  <c r="M677" i="2"/>
  <c r="M676" i="2"/>
  <c r="C676" i="2"/>
  <c r="M675" i="2"/>
  <c r="G675" i="2" s="1"/>
  <c r="I675" i="2" s="1"/>
  <c r="J675" i="2" s="1"/>
  <c r="M674" i="2"/>
  <c r="G674" i="2" s="1"/>
  <c r="H674" i="2" s="1"/>
  <c r="M673" i="2"/>
  <c r="G673" i="2" s="1"/>
  <c r="M672" i="2"/>
  <c r="G672" i="2" s="1"/>
  <c r="H672" i="2" s="1"/>
  <c r="M671" i="2"/>
  <c r="G671" i="2" s="1"/>
  <c r="M670" i="2"/>
  <c r="G670" i="2" s="1"/>
  <c r="I670" i="2" s="1"/>
  <c r="J670" i="2" s="1"/>
  <c r="M669" i="2"/>
  <c r="G669" i="2" s="1"/>
  <c r="M668" i="2"/>
  <c r="G668" i="2" s="1"/>
  <c r="H668" i="2" s="1"/>
  <c r="M667" i="2"/>
  <c r="G667" i="2" s="1"/>
  <c r="M666" i="2"/>
  <c r="G666" i="2" s="1"/>
  <c r="H666" i="2" s="1"/>
  <c r="M665" i="2"/>
  <c r="G665" i="2" s="1"/>
  <c r="M664" i="2"/>
  <c r="G664" i="2" s="1"/>
  <c r="H664" i="2" s="1"/>
  <c r="M663" i="2"/>
  <c r="G663" i="2" s="1"/>
  <c r="I663" i="2" s="1"/>
  <c r="J663" i="2" s="1"/>
  <c r="M662" i="2"/>
  <c r="G662" i="2" s="1"/>
  <c r="H662" i="2" s="1"/>
  <c r="M661" i="2"/>
  <c r="G661" i="2" s="1"/>
  <c r="M660" i="2"/>
  <c r="G660" i="2" s="1"/>
  <c r="M659" i="2"/>
  <c r="G659" i="2" s="1"/>
  <c r="M658" i="2"/>
  <c r="G658" i="2" s="1"/>
  <c r="M657" i="2"/>
  <c r="G657" i="2" s="1"/>
  <c r="I657" i="2" s="1"/>
  <c r="J657" i="2" s="1"/>
  <c r="M656" i="2"/>
  <c r="G656" i="2" s="1"/>
  <c r="I656" i="2" s="1"/>
  <c r="J656" i="2" s="1"/>
  <c r="M655" i="2"/>
  <c r="G655" i="2" s="1"/>
  <c r="M654" i="2"/>
  <c r="G654" i="2" s="1"/>
  <c r="M653" i="2"/>
  <c r="G653" i="2" s="1"/>
  <c r="M652" i="2"/>
  <c r="G652" i="2" s="1"/>
  <c r="M651" i="2"/>
  <c r="G651" i="2" s="1"/>
  <c r="M650" i="2"/>
  <c r="G650" i="2" s="1"/>
  <c r="M649" i="2"/>
  <c r="G649" i="2" s="1"/>
  <c r="M648" i="2"/>
  <c r="G648" i="2" s="1"/>
  <c r="M647" i="2"/>
  <c r="G647" i="2" s="1"/>
  <c r="M646" i="2"/>
  <c r="M645" i="2"/>
  <c r="M644" i="2"/>
  <c r="M643" i="2"/>
  <c r="C643" i="2"/>
  <c r="M642" i="2"/>
  <c r="G642" i="2" s="1"/>
  <c r="M641" i="2"/>
  <c r="G641" i="2" s="1"/>
  <c r="H641" i="2" s="1"/>
  <c r="M640" i="2"/>
  <c r="G640" i="2" s="1"/>
  <c r="I640" i="2" s="1"/>
  <c r="J640" i="2" s="1"/>
  <c r="M639" i="2"/>
  <c r="G639" i="2" s="1"/>
  <c r="I639" i="2" s="1"/>
  <c r="J639" i="2" s="1"/>
  <c r="H639" i="2"/>
  <c r="M638" i="2"/>
  <c r="G638" i="2" s="1"/>
  <c r="M637" i="2"/>
  <c r="G637" i="2"/>
  <c r="H637" i="2" s="1"/>
  <c r="M636" i="2"/>
  <c r="G636" i="2" s="1"/>
  <c r="M635" i="2"/>
  <c r="G635" i="2" s="1"/>
  <c r="M634" i="2"/>
  <c r="G634" i="2" s="1"/>
  <c r="M633" i="2"/>
  <c r="G633" i="2" s="1"/>
  <c r="M632" i="2"/>
  <c r="G632" i="2" s="1"/>
  <c r="H632" i="2" s="1"/>
  <c r="M631" i="2"/>
  <c r="G631" i="2" s="1"/>
  <c r="M630" i="2"/>
  <c r="G630" i="2" s="1"/>
  <c r="M629" i="2"/>
  <c r="G629" i="2" s="1"/>
  <c r="M628" i="2"/>
  <c r="G628" i="2" s="1"/>
  <c r="M627" i="2"/>
  <c r="G627" i="2" s="1"/>
  <c r="H627" i="2" s="1"/>
  <c r="M626" i="2"/>
  <c r="G626" i="2" s="1"/>
  <c r="I626" i="2" s="1"/>
  <c r="J626" i="2" s="1"/>
  <c r="M625" i="2"/>
  <c r="G625" i="2" s="1"/>
  <c r="H625" i="2" s="1"/>
  <c r="M624" i="2"/>
  <c r="G624" i="2" s="1"/>
  <c r="M623" i="2"/>
  <c r="G623" i="2" s="1"/>
  <c r="H623" i="2" s="1"/>
  <c r="M622" i="2"/>
  <c r="G622" i="2" s="1"/>
  <c r="M621" i="2"/>
  <c r="G621" i="2" s="1"/>
  <c r="H621" i="2" s="1"/>
  <c r="M620" i="2"/>
  <c r="G620" i="2" s="1"/>
  <c r="I620" i="2" s="1"/>
  <c r="J620" i="2" s="1"/>
  <c r="M619" i="2"/>
  <c r="G619" i="2" s="1"/>
  <c r="M618" i="2"/>
  <c r="G618" i="2" s="1"/>
  <c r="M617" i="2"/>
  <c r="G617" i="2" s="1"/>
  <c r="M616" i="2"/>
  <c r="G616" i="2" s="1"/>
  <c r="H616" i="2" s="1"/>
  <c r="M615" i="2"/>
  <c r="G615" i="2" s="1"/>
  <c r="I615" i="2" s="1"/>
  <c r="J615" i="2" s="1"/>
  <c r="M614" i="2"/>
  <c r="G614" i="2" s="1"/>
  <c r="M613" i="2"/>
  <c r="G613" i="2" s="1"/>
  <c r="M612" i="2"/>
  <c r="G612" i="2" s="1"/>
  <c r="M611" i="2"/>
  <c r="G611" i="2" s="1"/>
  <c r="M610" i="2"/>
  <c r="G610" i="2" s="1"/>
  <c r="H610" i="2" s="1"/>
  <c r="M609" i="2"/>
  <c r="G609" i="2" s="1"/>
  <c r="M608" i="2"/>
  <c r="G608" i="2" s="1"/>
  <c r="I608" i="2" s="1"/>
  <c r="J608" i="2" s="1"/>
  <c r="M607" i="2"/>
  <c r="G607" i="2" s="1"/>
  <c r="M606" i="2"/>
  <c r="G606" i="2" s="1"/>
  <c r="I606" i="2" s="1"/>
  <c r="J606" i="2" s="1"/>
  <c r="M605" i="2"/>
  <c r="G605" i="2" s="1"/>
  <c r="H605" i="2" s="1"/>
  <c r="M604" i="2"/>
  <c r="G604" i="2" s="1"/>
  <c r="M603" i="2"/>
  <c r="G603" i="2" s="1"/>
  <c r="H603" i="2" s="1"/>
  <c r="M602" i="2"/>
  <c r="G602" i="2" s="1"/>
  <c r="H602" i="2" s="1"/>
  <c r="M601" i="2"/>
  <c r="G601" i="2" s="1"/>
  <c r="M600" i="2"/>
  <c r="G600" i="2" s="1"/>
  <c r="I600" i="2" s="1"/>
  <c r="J600" i="2" s="1"/>
  <c r="M599" i="2"/>
  <c r="G599" i="2" s="1"/>
  <c r="M598" i="2"/>
  <c r="G598" i="2" s="1"/>
  <c r="M597" i="2"/>
  <c r="G597" i="2" s="1"/>
  <c r="I597" i="2" s="1"/>
  <c r="J597" i="2" s="1"/>
  <c r="M596" i="2"/>
  <c r="G596" i="2" s="1"/>
  <c r="M595" i="2"/>
  <c r="G595" i="2" s="1"/>
  <c r="H595" i="2" s="1"/>
  <c r="M594" i="2"/>
  <c r="G594" i="2" s="1"/>
  <c r="M593" i="2"/>
  <c r="M592" i="2"/>
  <c r="M591" i="2"/>
  <c r="M590" i="2"/>
  <c r="C590" i="2"/>
  <c r="M589" i="2"/>
  <c r="G589" i="2" s="1"/>
  <c r="M588" i="2"/>
  <c r="G588" i="2" s="1"/>
  <c r="M587" i="2"/>
  <c r="G587" i="2" s="1"/>
  <c r="M586" i="2"/>
  <c r="G586" i="2" s="1"/>
  <c r="M585" i="2"/>
  <c r="G585" i="2" s="1"/>
  <c r="M584" i="2"/>
  <c r="G584" i="2" s="1"/>
  <c r="H584" i="2" s="1"/>
  <c r="M583" i="2"/>
  <c r="G583" i="2" s="1"/>
  <c r="I583" i="2" s="1"/>
  <c r="J583" i="2" s="1"/>
  <c r="M582" i="2"/>
  <c r="G582" i="2" s="1"/>
  <c r="I582" i="2" s="1"/>
  <c r="J582" i="2" s="1"/>
  <c r="M581" i="2"/>
  <c r="G581" i="2" s="1"/>
  <c r="M580" i="2"/>
  <c r="G580" i="2" s="1"/>
  <c r="H580" i="2" s="1"/>
  <c r="M579" i="2"/>
  <c r="G579" i="2" s="1"/>
  <c r="M578" i="2"/>
  <c r="G578" i="2" s="1"/>
  <c r="H578" i="2" s="1"/>
  <c r="M577" i="2"/>
  <c r="G577" i="2" s="1"/>
  <c r="H577" i="2" s="1"/>
  <c r="M576" i="2"/>
  <c r="G576" i="2" s="1"/>
  <c r="M575" i="2"/>
  <c r="G575" i="2" s="1"/>
  <c r="I575" i="2" s="1"/>
  <c r="J575" i="2"/>
  <c r="M574" i="2"/>
  <c r="M573" i="2"/>
  <c r="M572" i="2"/>
  <c r="G572" i="2" s="1"/>
  <c r="I572" i="2" s="1"/>
  <c r="J572" i="2" s="1"/>
  <c r="M571" i="2"/>
  <c r="G571" i="2" s="1"/>
  <c r="M570" i="2"/>
  <c r="G570" i="2" s="1"/>
  <c r="H570" i="2" s="1"/>
  <c r="M569" i="2"/>
  <c r="G569" i="2" s="1"/>
  <c r="M568" i="2"/>
  <c r="G568" i="2" s="1"/>
  <c r="M567" i="2"/>
  <c r="G567" i="2" s="1"/>
  <c r="I567" i="2" s="1"/>
  <c r="J567" i="2" s="1"/>
  <c r="M566" i="2"/>
  <c r="G566" i="2" s="1"/>
  <c r="H566" i="2" s="1"/>
  <c r="M565" i="2"/>
  <c r="G565" i="2" s="1"/>
  <c r="I565" i="2" s="1"/>
  <c r="J565" i="2" s="1"/>
  <c r="M564" i="2"/>
  <c r="G564" i="2" s="1"/>
  <c r="M563" i="2"/>
  <c r="G563" i="2" s="1"/>
  <c r="M562" i="2"/>
  <c r="G562" i="2" s="1"/>
  <c r="M561" i="2"/>
  <c r="G561" i="2" s="1"/>
  <c r="M560" i="2"/>
  <c r="G560" i="2" s="1"/>
  <c r="M559" i="2"/>
  <c r="G559" i="2" s="1"/>
  <c r="H559" i="2" s="1"/>
  <c r="I559" i="2"/>
  <c r="J559" i="2" s="1"/>
  <c r="M558" i="2"/>
  <c r="G558" i="2" s="1"/>
  <c r="M557" i="2"/>
  <c r="G557" i="2" s="1"/>
  <c r="M556" i="2"/>
  <c r="G556" i="2" s="1"/>
  <c r="M555" i="2"/>
  <c r="G555" i="2" s="1"/>
  <c r="M554" i="2"/>
  <c r="G554" i="2" s="1"/>
  <c r="H554" i="2" s="1"/>
  <c r="M553" i="2"/>
  <c r="G553" i="2" s="1"/>
  <c r="M552" i="2"/>
  <c r="G552" i="2" s="1"/>
  <c r="H552" i="2" s="1"/>
  <c r="M551" i="2"/>
  <c r="G551" i="2" s="1"/>
  <c r="I551" i="2" s="1"/>
  <c r="J551" i="2" s="1"/>
  <c r="M550" i="2"/>
  <c r="G550" i="2" s="1"/>
  <c r="M549" i="2"/>
  <c r="G549" i="2" s="1"/>
  <c r="I549" i="2" s="1"/>
  <c r="J549" i="2" s="1"/>
  <c r="M548" i="2"/>
  <c r="G548" i="2" s="1"/>
  <c r="M547" i="2"/>
  <c r="G547" i="2" s="1"/>
  <c r="I547" i="2" s="1"/>
  <c r="J547" i="2" s="1"/>
  <c r="M546" i="2"/>
  <c r="G546" i="2" s="1"/>
  <c r="M545" i="2"/>
  <c r="G545" i="2" s="1"/>
  <c r="H545" i="2" s="1"/>
  <c r="M544" i="2"/>
  <c r="G544" i="2" s="1"/>
  <c r="M543" i="2"/>
  <c r="G543" i="2" s="1"/>
  <c r="I543" i="2" s="1"/>
  <c r="J543" i="2" s="1"/>
  <c r="M542" i="2"/>
  <c r="G542" i="2" s="1"/>
  <c r="M541" i="2"/>
  <c r="G541" i="2" s="1"/>
  <c r="M540" i="2"/>
  <c r="G540" i="2" s="1"/>
  <c r="M539" i="2"/>
  <c r="G539" i="2" s="1"/>
  <c r="M538" i="2"/>
  <c r="G538" i="2" s="1"/>
  <c r="H538" i="2" s="1"/>
  <c r="M537" i="2"/>
  <c r="G537" i="2" s="1"/>
  <c r="M536" i="2"/>
  <c r="M535" i="2"/>
  <c r="M534" i="2"/>
  <c r="M533" i="2"/>
  <c r="C533" i="2"/>
  <c r="M532" i="2"/>
  <c r="G532" i="2" s="1"/>
  <c r="M531" i="2"/>
  <c r="G531" i="2" s="1"/>
  <c r="M530" i="2"/>
  <c r="G530" i="2" s="1"/>
  <c r="M529" i="2"/>
  <c r="G529" i="2" s="1"/>
  <c r="H529" i="2" s="1"/>
  <c r="M528" i="2"/>
  <c r="G528" i="2" s="1"/>
  <c r="M527" i="2"/>
  <c r="G527" i="2" s="1"/>
  <c r="H527" i="2" s="1"/>
  <c r="M526" i="2"/>
  <c r="G526" i="2" s="1"/>
  <c r="H526" i="2" s="1"/>
  <c r="M525" i="2"/>
  <c r="G525" i="2" s="1"/>
  <c r="I525" i="2" s="1"/>
  <c r="J525" i="2" s="1"/>
  <c r="M524" i="2"/>
  <c r="G524" i="2" s="1"/>
  <c r="M523" i="2"/>
  <c r="G523" i="2" s="1"/>
  <c r="H523" i="2" s="1"/>
  <c r="M522" i="2"/>
  <c r="G522" i="2" s="1"/>
  <c r="M521" i="2"/>
  <c r="G521" i="2" s="1"/>
  <c r="M520" i="2"/>
  <c r="G520" i="2" s="1"/>
  <c r="H520" i="2" s="1"/>
  <c r="M519" i="2"/>
  <c r="G519" i="2" s="1"/>
  <c r="M518" i="2"/>
  <c r="G518" i="2" s="1"/>
  <c r="M517" i="2"/>
  <c r="G517" i="2" s="1"/>
  <c r="I517" i="2" s="1"/>
  <c r="J517" i="2" s="1"/>
  <c r="M516" i="2"/>
  <c r="G516" i="2" s="1"/>
  <c r="M515" i="2"/>
  <c r="G515" i="2" s="1"/>
  <c r="M514" i="2"/>
  <c r="G514" i="2" s="1"/>
  <c r="I514" i="2" s="1"/>
  <c r="J514" i="2" s="1"/>
  <c r="M513" i="2"/>
  <c r="G513" i="2" s="1"/>
  <c r="M512" i="2"/>
  <c r="G512" i="2" s="1"/>
  <c r="H512" i="2" s="1"/>
  <c r="M511" i="2"/>
  <c r="G511" i="2" s="1"/>
  <c r="M510" i="2"/>
  <c r="G510" i="2" s="1"/>
  <c r="I510" i="2" s="1"/>
  <c r="J510" i="2" s="1"/>
  <c r="M509" i="2"/>
  <c r="G509" i="2" s="1"/>
  <c r="I509" i="2" s="1"/>
  <c r="J509" i="2" s="1"/>
  <c r="M508" i="2"/>
  <c r="G508" i="2" s="1"/>
  <c r="M507" i="2"/>
  <c r="G507" i="2" s="1"/>
  <c r="M506" i="2"/>
  <c r="G506" i="2" s="1"/>
  <c r="M505" i="2"/>
  <c r="G505" i="2" s="1"/>
  <c r="M504" i="2"/>
  <c r="G504" i="2" s="1"/>
  <c r="I504" i="2" s="1"/>
  <c r="J504" i="2" s="1"/>
  <c r="M503" i="2"/>
  <c r="G503" i="2" s="1"/>
  <c r="M502" i="2"/>
  <c r="G502" i="2" s="1"/>
  <c r="H502" i="2" s="1"/>
  <c r="M501" i="2"/>
  <c r="G501" i="2" s="1"/>
  <c r="I501" i="2" s="1"/>
  <c r="J501" i="2" s="1"/>
  <c r="M500" i="2"/>
  <c r="G500" i="2" s="1"/>
  <c r="M499" i="2"/>
  <c r="G499" i="2" s="1"/>
  <c r="M498" i="2"/>
  <c r="G498" i="2" s="1"/>
  <c r="I498" i="2" s="1"/>
  <c r="J498" i="2" s="1"/>
  <c r="M497" i="2"/>
  <c r="G497" i="2" s="1"/>
  <c r="H497" i="2" s="1"/>
  <c r="M496" i="2"/>
  <c r="G496" i="2" s="1"/>
  <c r="H496" i="2" s="1"/>
  <c r="M495" i="2"/>
  <c r="G495" i="2" s="1"/>
  <c r="M494" i="2"/>
  <c r="G494" i="2" s="1"/>
  <c r="I494" i="2" s="1"/>
  <c r="J494" i="2" s="1"/>
  <c r="M493" i="2"/>
  <c r="G493" i="2" s="1"/>
  <c r="I493" i="2" s="1"/>
  <c r="J493" i="2" s="1"/>
  <c r="M492" i="2"/>
  <c r="G492" i="2" s="1"/>
  <c r="M491" i="2"/>
  <c r="G491" i="2" s="1"/>
  <c r="M490" i="2"/>
  <c r="G490" i="2" s="1"/>
  <c r="I490" i="2" s="1"/>
  <c r="J490" i="2" s="1"/>
  <c r="M489" i="2"/>
  <c r="G489" i="2" s="1"/>
  <c r="M488" i="2"/>
  <c r="G488" i="2" s="1"/>
  <c r="M487" i="2"/>
  <c r="G487" i="2" s="1"/>
  <c r="M486" i="2"/>
  <c r="G486" i="2" s="1"/>
  <c r="I486" i="2" s="1"/>
  <c r="J486" i="2" s="1"/>
  <c r="H486" i="2"/>
  <c r="M485" i="2"/>
  <c r="G485" i="2" s="1"/>
  <c r="M484" i="2"/>
  <c r="G484" i="2" s="1"/>
  <c r="M483" i="2"/>
  <c r="G483" i="2" s="1"/>
  <c r="M482" i="2"/>
  <c r="G482" i="2" s="1"/>
  <c r="I482" i="2" s="1"/>
  <c r="J482" i="2" s="1"/>
  <c r="M481" i="2"/>
  <c r="G481" i="2" s="1"/>
  <c r="M480" i="2"/>
  <c r="G480" i="2" s="1"/>
  <c r="I480" i="2" s="1"/>
  <c r="J480" i="2" s="1"/>
  <c r="M479" i="2"/>
  <c r="G479" i="2" s="1"/>
  <c r="M478" i="2"/>
  <c r="G478" i="2" s="1"/>
  <c r="I478" i="2" s="1"/>
  <c r="J478" i="2" s="1"/>
  <c r="M477" i="2"/>
  <c r="G477" i="2" s="1"/>
  <c r="I477" i="2" s="1"/>
  <c r="J477" i="2" s="1"/>
  <c r="G476" i="2"/>
  <c r="I476" i="2" s="1"/>
  <c r="J476" i="2" s="1"/>
  <c r="M475" i="2"/>
  <c r="G475" i="2" s="1"/>
  <c r="I475" i="2" s="1"/>
  <c r="J475" i="2" s="1"/>
  <c r="M474" i="2"/>
  <c r="G474" i="2" s="1"/>
  <c r="M473" i="2"/>
  <c r="G473" i="2" s="1"/>
  <c r="M472" i="2"/>
  <c r="G472" i="2" s="1"/>
  <c r="I472" i="2" s="1"/>
  <c r="J472" i="2" s="1"/>
  <c r="M471" i="2"/>
  <c r="G471" i="2" s="1"/>
  <c r="M470" i="2"/>
  <c r="G470" i="2" s="1"/>
  <c r="H470" i="2" s="1"/>
  <c r="M469" i="2"/>
  <c r="G469" i="2" s="1"/>
  <c r="M468" i="2"/>
  <c r="G468" i="2" s="1"/>
  <c r="M467" i="2"/>
  <c r="G467" i="2" s="1"/>
  <c r="I467" i="2" s="1"/>
  <c r="J467" i="2" s="1"/>
  <c r="M466" i="2"/>
  <c r="G466" i="2" s="1"/>
  <c r="H466" i="2" s="1"/>
  <c r="M465" i="2"/>
  <c r="G465" i="2" s="1"/>
  <c r="M464" i="2"/>
  <c r="G464" i="2" s="1"/>
  <c r="H464" i="2" s="1"/>
  <c r="M463" i="2"/>
  <c r="G463" i="2" s="1"/>
  <c r="H463" i="2" s="1"/>
  <c r="M462" i="2"/>
  <c r="G462" i="2" s="1"/>
  <c r="M461" i="2"/>
  <c r="G461" i="2" s="1"/>
  <c r="I461" i="2" s="1"/>
  <c r="J461" i="2" s="1"/>
  <c r="M460" i="2"/>
  <c r="G460" i="2" s="1"/>
  <c r="M459" i="2"/>
  <c r="G459" i="2" s="1"/>
  <c r="I459" i="2" s="1"/>
  <c r="J459" i="2" s="1"/>
  <c r="M458" i="2"/>
  <c r="G458" i="2" s="1"/>
  <c r="M457" i="2"/>
  <c r="G457" i="2" s="1"/>
  <c r="M456" i="2"/>
  <c r="G456" i="2" s="1"/>
  <c r="I456" i="2" s="1"/>
  <c r="J456" i="2" s="1"/>
  <c r="M455" i="2"/>
  <c r="G455" i="2" s="1"/>
  <c r="M454" i="2"/>
  <c r="G454" i="2" s="1"/>
  <c r="M453" i="2"/>
  <c r="G453" i="2" s="1"/>
  <c r="I453" i="2" s="1"/>
  <c r="J453" i="2" s="1"/>
  <c r="M452" i="2"/>
  <c r="G452" i="2" s="1"/>
  <c r="H452" i="2" s="1"/>
  <c r="M451" i="2"/>
  <c r="G451" i="2" s="1"/>
  <c r="M450" i="2"/>
  <c r="G450" i="2" s="1"/>
  <c r="M449" i="2"/>
  <c r="G449" i="2" s="1"/>
  <c r="M448" i="2"/>
  <c r="G448" i="2" s="1"/>
  <c r="I448" i="2" s="1"/>
  <c r="J448" i="2" s="1"/>
  <c r="M447" i="2"/>
  <c r="G447" i="2" s="1"/>
  <c r="M446" i="2"/>
  <c r="G446" i="2" s="1"/>
  <c r="M445" i="2"/>
  <c r="G445" i="2" s="1"/>
  <c r="I445" i="2" s="1"/>
  <c r="J445" i="2" s="1"/>
  <c r="M444" i="2"/>
  <c r="G444" i="2" s="1"/>
  <c r="M443" i="2"/>
  <c r="G443" i="2" s="1"/>
  <c r="I443" i="2" s="1"/>
  <c r="J443" i="2" s="1"/>
  <c r="M442" i="2"/>
  <c r="M441" i="2"/>
  <c r="M440" i="2"/>
  <c r="M439" i="2"/>
  <c r="C439" i="2"/>
  <c r="M438" i="2"/>
  <c r="G438" i="2" s="1"/>
  <c r="H438" i="2" s="1"/>
  <c r="M437" i="2"/>
  <c r="G437" i="2" s="1"/>
  <c r="M436" i="2"/>
  <c r="G436" i="2" s="1"/>
  <c r="H436" i="2" s="1"/>
  <c r="M435" i="2"/>
  <c r="G435" i="2" s="1"/>
  <c r="M434" i="2"/>
  <c r="G434" i="2" s="1"/>
  <c r="I434" i="2" s="1"/>
  <c r="J434" i="2" s="1"/>
  <c r="M433" i="2"/>
  <c r="G433" i="2" s="1"/>
  <c r="I433" i="2" s="1"/>
  <c r="J433" i="2" s="1"/>
  <c r="M432" i="2"/>
  <c r="G432" i="2" s="1"/>
  <c r="M431" i="2"/>
  <c r="G431" i="2" s="1"/>
  <c r="H431" i="2" s="1"/>
  <c r="M430" i="2"/>
  <c r="G430" i="2" s="1"/>
  <c r="M429" i="2"/>
  <c r="G429" i="2" s="1"/>
  <c r="I429" i="2" s="1"/>
  <c r="J429" i="2" s="1"/>
  <c r="M428" i="2"/>
  <c r="G428" i="2" s="1"/>
  <c r="M427" i="2"/>
  <c r="G427" i="2" s="1"/>
  <c r="M426" i="2"/>
  <c r="G426" i="2" s="1"/>
  <c r="M425" i="2"/>
  <c r="G425" i="2" s="1"/>
  <c r="M424" i="2"/>
  <c r="G424" i="2" s="1"/>
  <c r="I424" i="2" s="1"/>
  <c r="J424" i="2" s="1"/>
  <c r="M423" i="2"/>
  <c r="G423" i="2" s="1"/>
  <c r="I423" i="2" s="1"/>
  <c r="J423" i="2" s="1"/>
  <c r="M422" i="2"/>
  <c r="G422" i="2" s="1"/>
  <c r="M421" i="2"/>
  <c r="G421" i="2" s="1"/>
  <c r="I421" i="2" s="1"/>
  <c r="J421" i="2" s="1"/>
  <c r="M420" i="2"/>
  <c r="G420" i="2" s="1"/>
  <c r="M419" i="2"/>
  <c r="G419" i="2" s="1"/>
  <c r="I419" i="2" s="1"/>
  <c r="J419" i="2" s="1"/>
  <c r="M418" i="2"/>
  <c r="G418" i="2" s="1"/>
  <c r="M417" i="2"/>
  <c r="G417" i="2" s="1"/>
  <c r="M416" i="2"/>
  <c r="G416" i="2" s="1"/>
  <c r="M415" i="2"/>
  <c r="G415" i="2" s="1"/>
  <c r="H415" i="2" s="1"/>
  <c r="M414" i="2"/>
  <c r="G414" i="2" s="1"/>
  <c r="M413" i="2"/>
  <c r="G413" i="2" s="1"/>
  <c r="M412" i="2"/>
  <c r="G412" i="2" s="1"/>
  <c r="M411" i="2"/>
  <c r="G411" i="2" s="1"/>
  <c r="M410" i="2"/>
  <c r="G410" i="2" s="1"/>
  <c r="I410" i="2" s="1"/>
  <c r="J410" i="2" s="1"/>
  <c r="M409" i="2"/>
  <c r="G409" i="2" s="1"/>
  <c r="M408" i="2"/>
  <c r="G408" i="2" s="1"/>
  <c r="H408" i="2" s="1"/>
  <c r="M407" i="2"/>
  <c r="G407" i="2" s="1"/>
  <c r="H407" i="2" s="1"/>
  <c r="M406" i="2"/>
  <c r="G406" i="2" s="1"/>
  <c r="M405" i="2"/>
  <c r="G405" i="2" s="1"/>
  <c r="H405" i="2" s="1"/>
  <c r="M404" i="2"/>
  <c r="G404" i="2" s="1"/>
  <c r="H404" i="2" s="1"/>
  <c r="M403" i="2"/>
  <c r="G403" i="2" s="1"/>
  <c r="M402" i="2"/>
  <c r="G402" i="2" s="1"/>
  <c r="M401" i="2"/>
  <c r="G401" i="2" s="1"/>
  <c r="M400" i="2"/>
  <c r="G400" i="2" s="1"/>
  <c r="M399" i="2"/>
  <c r="G399" i="2" s="1"/>
  <c r="M398" i="2"/>
  <c r="G398" i="2" s="1"/>
  <c r="M397" i="2"/>
  <c r="G397" i="2" s="1"/>
  <c r="H397" i="2" s="1"/>
  <c r="M396" i="2"/>
  <c r="G396" i="2" s="1"/>
  <c r="I396" i="2" s="1"/>
  <c r="J396" i="2" s="1"/>
  <c r="M395" i="2"/>
  <c r="G395" i="2" s="1"/>
  <c r="M394" i="2"/>
  <c r="G394" i="2" s="1"/>
  <c r="M393" i="2"/>
  <c r="G393" i="2" s="1"/>
  <c r="M392" i="2"/>
  <c r="G392" i="2" s="1"/>
  <c r="I392" i="2" s="1"/>
  <c r="J392" i="2" s="1"/>
  <c r="M391" i="2"/>
  <c r="G391" i="2" s="1"/>
  <c r="I391" i="2" s="1"/>
  <c r="J391" i="2" s="1"/>
  <c r="M390" i="2"/>
  <c r="G390" i="2" s="1"/>
  <c r="M389" i="2"/>
  <c r="G389" i="2" s="1"/>
  <c r="I389" i="2" s="1"/>
  <c r="J389" i="2" s="1"/>
  <c r="M388" i="2"/>
  <c r="G388" i="2" s="1"/>
  <c r="M387" i="2"/>
  <c r="G387" i="2" s="1"/>
  <c r="I387" i="2" s="1"/>
  <c r="J387" i="2" s="1"/>
  <c r="M386" i="2"/>
  <c r="G386" i="2" s="1"/>
  <c r="M385" i="2"/>
  <c r="G385" i="2" s="1"/>
  <c r="M384" i="2"/>
  <c r="G384" i="2" s="1"/>
  <c r="H384" i="2" s="1"/>
  <c r="M383" i="2"/>
  <c r="G383" i="2" s="1"/>
  <c r="H382" i="2"/>
  <c r="G382" i="2"/>
  <c r="I382" i="2" s="1"/>
  <c r="J382" i="2" s="1"/>
  <c r="M381" i="2"/>
  <c r="G381" i="2" s="1"/>
  <c r="H381" i="2" s="1"/>
  <c r="M380" i="2"/>
  <c r="G380" i="2" s="1"/>
  <c r="M379" i="2"/>
  <c r="G379" i="2" s="1"/>
  <c r="M378" i="2"/>
  <c r="G378" i="2" s="1"/>
  <c r="I378" i="2" s="1"/>
  <c r="J378" i="2" s="1"/>
  <c r="M377" i="2"/>
  <c r="G377" i="2" s="1"/>
  <c r="H377" i="2" s="1"/>
  <c r="M376" i="2"/>
  <c r="G376" i="2" s="1"/>
  <c r="M375" i="2"/>
  <c r="G375" i="2" s="1"/>
  <c r="M374" i="2"/>
  <c r="G374" i="2" s="1"/>
  <c r="I374" i="2" s="1"/>
  <c r="J374" i="2" s="1"/>
  <c r="M373" i="2"/>
  <c r="G373" i="2" s="1"/>
  <c r="M372" i="2"/>
  <c r="G372" i="2" s="1"/>
  <c r="H372" i="2" s="1"/>
  <c r="M371" i="2"/>
  <c r="M370" i="2"/>
  <c r="M369" i="2"/>
  <c r="M368" i="2"/>
  <c r="C368" i="2"/>
  <c r="M367" i="2"/>
  <c r="G367" i="2" s="1"/>
  <c r="I367" i="2" s="1"/>
  <c r="J367" i="2" s="1"/>
  <c r="M366" i="2"/>
  <c r="G366" i="2" s="1"/>
  <c r="M365" i="2"/>
  <c r="G365" i="2" s="1"/>
  <c r="M364" i="2"/>
  <c r="G364" i="2" s="1"/>
  <c r="M363" i="2"/>
  <c r="G363" i="2" s="1"/>
  <c r="M362" i="2"/>
  <c r="G362" i="2" s="1"/>
  <c r="M361" i="2"/>
  <c r="G361" i="2" s="1"/>
  <c r="H361" i="2" s="1"/>
  <c r="M360" i="2"/>
  <c r="G360" i="2" s="1"/>
  <c r="I360" i="2" s="1"/>
  <c r="J360" i="2" s="1"/>
  <c r="M359" i="2"/>
  <c r="G359" i="2" s="1"/>
  <c r="I359" i="2" s="1"/>
  <c r="J359" i="2" s="1"/>
  <c r="M358" i="2"/>
  <c r="G358" i="2" s="1"/>
  <c r="I358" i="2" s="1"/>
  <c r="J358" i="2" s="1"/>
  <c r="M357" i="2"/>
  <c r="G357" i="2" s="1"/>
  <c r="I357" i="2" s="1"/>
  <c r="J357" i="2" s="1"/>
  <c r="M356" i="2"/>
  <c r="G356" i="2" s="1"/>
  <c r="H356" i="2" s="1"/>
  <c r="M355" i="2"/>
  <c r="G355" i="2" s="1"/>
  <c r="M354" i="2"/>
  <c r="G354" i="2" s="1"/>
  <c r="M353" i="2"/>
  <c r="G353" i="2" s="1"/>
  <c r="I353" i="2" s="1"/>
  <c r="J353" i="2" s="1"/>
  <c r="M352" i="2"/>
  <c r="G352" i="2" s="1"/>
  <c r="I352" i="2" s="1"/>
  <c r="J352" i="2" s="1"/>
  <c r="M351" i="2"/>
  <c r="G351" i="2" s="1"/>
  <c r="I351" i="2" s="1"/>
  <c r="J351" i="2" s="1"/>
  <c r="M350" i="2"/>
  <c r="G350" i="2" s="1"/>
  <c r="G349" i="2"/>
  <c r="H349" i="2" s="1"/>
  <c r="M347" i="2"/>
  <c r="G347" i="2" s="1"/>
  <c r="I347" i="2" s="1"/>
  <c r="J347" i="2" s="1"/>
  <c r="M346" i="2"/>
  <c r="G346" i="2" s="1"/>
  <c r="M345" i="2"/>
  <c r="G345" i="2" s="1"/>
  <c r="I345" i="2" s="1"/>
  <c r="J345" i="2" s="1"/>
  <c r="H345" i="2"/>
  <c r="M344" i="2"/>
  <c r="G344" i="2" s="1"/>
  <c r="M343" i="2"/>
  <c r="M342" i="2"/>
  <c r="M341" i="2"/>
  <c r="M340" i="2"/>
  <c r="C340" i="2"/>
  <c r="M339" i="2"/>
  <c r="G339" i="2" s="1"/>
  <c r="H339" i="2" s="1"/>
  <c r="M338" i="2"/>
  <c r="G338" i="2" s="1"/>
  <c r="I338" i="2" s="1"/>
  <c r="J338" i="2" s="1"/>
  <c r="M337" i="2"/>
  <c r="G337" i="2" s="1"/>
  <c r="M336" i="2"/>
  <c r="G336" i="2" s="1"/>
  <c r="I336" i="2" s="1"/>
  <c r="J336" i="2" s="1"/>
  <c r="M335" i="2"/>
  <c r="G335" i="2" s="1"/>
  <c r="M334" i="2"/>
  <c r="G334" i="2" s="1"/>
  <c r="M333" i="2"/>
  <c r="G333" i="2" s="1"/>
  <c r="H333" i="2" s="1"/>
  <c r="M332" i="2"/>
  <c r="G332" i="2" s="1"/>
  <c r="M331" i="2"/>
  <c r="G331" i="2" s="1"/>
  <c r="M330" i="2"/>
  <c r="G330" i="2" s="1"/>
  <c r="H330" i="2" s="1"/>
  <c r="M329" i="2"/>
  <c r="G329" i="2" s="1"/>
  <c r="I329" i="2" s="1"/>
  <c r="J329" i="2" s="1"/>
  <c r="M328" i="2"/>
  <c r="G328" i="2" s="1"/>
  <c r="M327" i="2"/>
  <c r="G327" i="2" s="1"/>
  <c r="M326" i="2"/>
  <c r="G326" i="2" s="1"/>
  <c r="M325" i="2"/>
  <c r="G325" i="2" s="1"/>
  <c r="M324" i="2"/>
  <c r="G324" i="2" s="1"/>
  <c r="H324" i="2" s="1"/>
  <c r="M323" i="2"/>
  <c r="G323" i="2" s="1"/>
  <c r="H323" i="2" s="1"/>
  <c r="M322" i="2"/>
  <c r="G322" i="2" s="1"/>
  <c r="I322" i="2" s="1"/>
  <c r="J322" i="2" s="1"/>
  <c r="M321" i="2"/>
  <c r="G321" i="2" s="1"/>
  <c r="I321" i="2" s="1"/>
  <c r="J321" i="2" s="1"/>
  <c r="M320" i="2"/>
  <c r="G320" i="2" s="1"/>
  <c r="I320" i="2" s="1"/>
  <c r="J320" i="2" s="1"/>
  <c r="M319" i="2"/>
  <c r="G319" i="2" s="1"/>
  <c r="M318" i="2"/>
  <c r="M317" i="2"/>
  <c r="M316" i="2"/>
  <c r="M315" i="2"/>
  <c r="C315" i="2"/>
  <c r="M314" i="2"/>
  <c r="G314" i="2" s="1"/>
  <c r="H314" i="2" s="1"/>
  <c r="M313" i="2"/>
  <c r="G313" i="2" s="1"/>
  <c r="I313" i="2" s="1"/>
  <c r="J313" i="2" s="1"/>
  <c r="M312" i="2"/>
  <c r="G312" i="2" s="1"/>
  <c r="M311" i="2"/>
  <c r="G311" i="2" s="1"/>
  <c r="I311" i="2" s="1"/>
  <c r="J311" i="2" s="1"/>
  <c r="M310" i="2"/>
  <c r="G310" i="2" s="1"/>
  <c r="M309" i="2"/>
  <c r="G309" i="2"/>
  <c r="M308" i="2"/>
  <c r="G308" i="2" s="1"/>
  <c r="H308" i="2" s="1"/>
  <c r="M307" i="2"/>
  <c r="G307" i="2" s="1"/>
  <c r="H307" i="2" s="1"/>
  <c r="M306" i="2"/>
  <c r="G306" i="2" s="1"/>
  <c r="M305" i="2"/>
  <c r="G305" i="2" s="1"/>
  <c r="H305" i="2" s="1"/>
  <c r="M304" i="2"/>
  <c r="G304" i="2" s="1"/>
  <c r="I304" i="2" s="1"/>
  <c r="J304" i="2" s="1"/>
  <c r="M303" i="2"/>
  <c r="G303" i="2" s="1"/>
  <c r="M302" i="2"/>
  <c r="G302" i="2" s="1"/>
  <c r="M301" i="2"/>
  <c r="G301" i="2" s="1"/>
  <c r="M300" i="2"/>
  <c r="G300" i="2" s="1"/>
  <c r="M299" i="2"/>
  <c r="G299" i="2" s="1"/>
  <c r="M298" i="2"/>
  <c r="G298" i="2" s="1"/>
  <c r="M297" i="2"/>
  <c r="G297" i="2" s="1"/>
  <c r="I297" i="2" s="1"/>
  <c r="J297" i="2" s="1"/>
  <c r="M296" i="2"/>
  <c r="G296" i="2" s="1"/>
  <c r="I296" i="2" s="1"/>
  <c r="J296" i="2" s="1"/>
  <c r="M295" i="2"/>
  <c r="G295" i="2" s="1"/>
  <c r="I295" i="2" s="1"/>
  <c r="J295" i="2" s="1"/>
  <c r="M294" i="2"/>
  <c r="G294" i="2" s="1"/>
  <c r="I294" i="2" s="1"/>
  <c r="J294" i="2" s="1"/>
  <c r="M293" i="2"/>
  <c r="G293" i="2" s="1"/>
  <c r="I293" i="2" s="1"/>
  <c r="J293" i="2" s="1"/>
  <c r="M292" i="2"/>
  <c r="G292" i="2" s="1"/>
  <c r="M291" i="2"/>
  <c r="G291" i="2" s="1"/>
  <c r="M290" i="2"/>
  <c r="G290" i="2" s="1"/>
  <c r="M289" i="2"/>
  <c r="G289" i="2" s="1"/>
  <c r="M288" i="2"/>
  <c r="G288" i="2" s="1"/>
  <c r="I288" i="2" s="1"/>
  <c r="J288" i="2" s="1"/>
  <c r="M287" i="2"/>
  <c r="G287" i="2" s="1"/>
  <c r="M286" i="2"/>
  <c r="G286" i="2" s="1"/>
  <c r="M285" i="2"/>
  <c r="G285" i="2" s="1"/>
  <c r="M284" i="2"/>
  <c r="M283" i="2"/>
  <c r="M282" i="2"/>
  <c r="M281" i="2"/>
  <c r="C281" i="2"/>
  <c r="M280" i="2"/>
  <c r="G280" i="2" s="1"/>
  <c r="H280" i="2" s="1"/>
  <c r="M279" i="2"/>
  <c r="G279" i="2" s="1"/>
  <c r="I279" i="2" s="1"/>
  <c r="J279" i="2" s="1"/>
  <c r="M278" i="2"/>
  <c r="G278" i="2" s="1"/>
  <c r="M277" i="2"/>
  <c r="G277" i="2" s="1"/>
  <c r="M276" i="2"/>
  <c r="G276" i="2" s="1"/>
  <c r="M275" i="2"/>
  <c r="G275" i="2" s="1"/>
  <c r="M274" i="2"/>
  <c r="G274" i="2" s="1"/>
  <c r="H274" i="2" s="1"/>
  <c r="M273" i="2"/>
  <c r="G273" i="2" s="1"/>
  <c r="H273" i="2" s="1"/>
  <c r="M272" i="2"/>
  <c r="G272" i="2" s="1"/>
  <c r="I272" i="2" s="1"/>
  <c r="J272" i="2" s="1"/>
  <c r="M271" i="2"/>
  <c r="G271" i="2" s="1"/>
  <c r="I271" i="2" s="1"/>
  <c r="J271" i="2" s="1"/>
  <c r="M270" i="2"/>
  <c r="G270" i="2" s="1"/>
  <c r="I270" i="2" s="1"/>
  <c r="J270" i="2" s="1"/>
  <c r="M269" i="2"/>
  <c r="G269" i="2" s="1"/>
  <c r="I269" i="2" s="1"/>
  <c r="J269" i="2" s="1"/>
  <c r="M268" i="2"/>
  <c r="G268" i="2" s="1"/>
  <c r="I268" i="2" s="1"/>
  <c r="J268" i="2" s="1"/>
  <c r="M267" i="2"/>
  <c r="G267" i="2" s="1"/>
  <c r="M266" i="2"/>
  <c r="G266" i="2" s="1"/>
  <c r="H266" i="2" s="1"/>
  <c r="M265" i="2"/>
  <c r="G265" i="2" s="1"/>
  <c r="I265" i="2" s="1"/>
  <c r="J265" i="2" s="1"/>
  <c r="M264" i="2"/>
  <c r="G264" i="2" s="1"/>
  <c r="H264" i="2" s="1"/>
  <c r="M263" i="2"/>
  <c r="G263" i="2" s="1"/>
  <c r="I263" i="2" s="1"/>
  <c r="J263" i="2" s="1"/>
  <c r="M262" i="2"/>
  <c r="G262" i="2" s="1"/>
  <c r="M261" i="2"/>
  <c r="G261" i="2" s="1"/>
  <c r="M260" i="2"/>
  <c r="G260" i="2" s="1"/>
  <c r="M259" i="2"/>
  <c r="G259" i="2" s="1"/>
  <c r="M258" i="2"/>
  <c r="G258" i="2" s="1"/>
  <c r="M257" i="2"/>
  <c r="G257" i="2" s="1"/>
  <c r="H257" i="2" s="1"/>
  <c r="M256" i="2"/>
  <c r="G256" i="2" s="1"/>
  <c r="I256" i="2" s="1"/>
  <c r="J256" i="2" s="1"/>
  <c r="M255" i="2"/>
  <c r="G255" i="2" s="1"/>
  <c r="M254" i="2"/>
  <c r="G254" i="2" s="1"/>
  <c r="I254" i="2" s="1"/>
  <c r="J254" i="2" s="1"/>
  <c r="M253" i="2"/>
  <c r="G253" i="2" s="1"/>
  <c r="M252" i="2"/>
  <c r="G252" i="2" s="1"/>
  <c r="M251" i="2"/>
  <c r="G251" i="2" s="1"/>
  <c r="H251" i="2" s="1"/>
  <c r="M250" i="2"/>
  <c r="G250" i="2" s="1"/>
  <c r="M249" i="2"/>
  <c r="G249" i="2" s="1"/>
  <c r="M248" i="2"/>
  <c r="G248" i="2" s="1"/>
  <c r="H248" i="2" s="1"/>
  <c r="M247" i="2"/>
  <c r="G247" i="2" s="1"/>
  <c r="I247" i="2" s="1"/>
  <c r="J247" i="2" s="1"/>
  <c r="M246" i="2"/>
  <c r="G246" i="2" s="1"/>
  <c r="M245" i="2"/>
  <c r="G245" i="2" s="1"/>
  <c r="M244" i="2"/>
  <c r="G244" i="2" s="1"/>
  <c r="M243" i="2"/>
  <c r="M242" i="2"/>
  <c r="M241" i="2"/>
  <c r="M240" i="2"/>
  <c r="C240" i="2"/>
  <c r="M239" i="2"/>
  <c r="G239" i="2" s="1"/>
  <c r="I239" i="2" s="1"/>
  <c r="J239" i="2" s="1"/>
  <c r="M238" i="2"/>
  <c r="G238" i="2" s="1"/>
  <c r="H238" i="2" s="1"/>
  <c r="M237" i="2"/>
  <c r="G237" i="2" s="1"/>
  <c r="M236" i="2"/>
  <c r="G236" i="2" s="1"/>
  <c r="I236" i="2" s="1"/>
  <c r="J236" i="2" s="1"/>
  <c r="M235" i="2"/>
  <c r="G235" i="2" s="1"/>
  <c r="M234" i="2"/>
  <c r="G234" i="2" s="1"/>
  <c r="H234" i="2" s="1"/>
  <c r="M233" i="2"/>
  <c r="G233" i="2" s="1"/>
  <c r="M232" i="2"/>
  <c r="G232" i="2" s="1"/>
  <c r="H232" i="2" s="1"/>
  <c r="M231" i="2"/>
  <c r="G231" i="2" s="1"/>
  <c r="I231" i="2" s="1"/>
  <c r="J231" i="2" s="1"/>
  <c r="M230" i="2"/>
  <c r="G230" i="2" s="1"/>
  <c r="M229" i="2"/>
  <c r="G229" i="2" s="1"/>
  <c r="H229" i="2" s="1"/>
  <c r="M228" i="2"/>
  <c r="G228" i="2" s="1"/>
  <c r="M227" i="2"/>
  <c r="G227" i="2" s="1"/>
  <c r="M226" i="2"/>
  <c r="G226" i="2" s="1"/>
  <c r="M225" i="2"/>
  <c r="G225" i="2" s="1"/>
  <c r="M224" i="2"/>
  <c r="G224" i="2" s="1"/>
  <c r="M223" i="2"/>
  <c r="G223" i="2" s="1"/>
  <c r="M222" i="2"/>
  <c r="G222" i="2" s="1"/>
  <c r="M221" i="2"/>
  <c r="G221" i="2" s="1"/>
  <c r="M220" i="2"/>
  <c r="G220" i="2" s="1"/>
  <c r="M219" i="2"/>
  <c r="G219" i="2" s="1"/>
  <c r="M218" i="2"/>
  <c r="G218" i="2" s="1"/>
  <c r="H218" i="2" s="1"/>
  <c r="M217" i="2"/>
  <c r="G217" i="2" s="1"/>
  <c r="M216" i="2"/>
  <c r="G216" i="2" s="1"/>
  <c r="H216" i="2" s="1"/>
  <c r="M215" i="2"/>
  <c r="G215" i="2" s="1"/>
  <c r="H215" i="2" s="1"/>
  <c r="M214" i="2"/>
  <c r="G214" i="2" s="1"/>
  <c r="M213" i="2"/>
  <c r="G213" i="2" s="1"/>
  <c r="H213" i="2" s="1"/>
  <c r="M212" i="2"/>
  <c r="G212" i="2" s="1"/>
  <c r="H212" i="2" s="1"/>
  <c r="M211" i="2"/>
  <c r="G211" i="2" s="1"/>
  <c r="M210" i="2"/>
  <c r="G210" i="2" s="1"/>
  <c r="I210" i="2" s="1"/>
  <c r="J210" i="2" s="1"/>
  <c r="M209" i="2"/>
  <c r="G209" i="2" s="1"/>
  <c r="I209" i="2" s="1"/>
  <c r="J209" i="2" s="1"/>
  <c r="M208" i="2"/>
  <c r="G208" i="2" s="1"/>
  <c r="M207" i="2"/>
  <c r="G207" i="2" s="1"/>
  <c r="H207" i="2" s="1"/>
  <c r="M206" i="2"/>
  <c r="G206" i="2" s="1"/>
  <c r="M205" i="2"/>
  <c r="G205" i="2" s="1"/>
  <c r="M204" i="2"/>
  <c r="G204" i="2" s="1"/>
  <c r="M203" i="2"/>
  <c r="G203" i="2" s="1"/>
  <c r="M202" i="2"/>
  <c r="G202" i="2" s="1"/>
  <c r="I202" i="2" s="1"/>
  <c r="J202" i="2" s="1"/>
  <c r="M201" i="2"/>
  <c r="G201" i="2" s="1"/>
  <c r="M200" i="2"/>
  <c r="G200" i="2" s="1"/>
  <c r="M199" i="2"/>
  <c r="G199" i="2" s="1"/>
  <c r="M198" i="2"/>
  <c r="G198" i="2" s="1"/>
  <c r="M197" i="2"/>
  <c r="G197" i="2" s="1"/>
  <c r="H197" i="2" s="1"/>
  <c r="M196" i="2"/>
  <c r="G196" i="2" s="1"/>
  <c r="M195" i="2"/>
  <c r="G195" i="2" s="1"/>
  <c r="H195" i="2" s="1"/>
  <c r="M194" i="2"/>
  <c r="G194" i="2" s="1"/>
  <c r="H194" i="2" s="1"/>
  <c r="M193" i="2"/>
  <c r="G193" i="2" s="1"/>
  <c r="I193" i="2" s="1"/>
  <c r="J193" i="2" s="1"/>
  <c r="M192" i="2"/>
  <c r="G192" i="2" s="1"/>
  <c r="I192" i="2" s="1"/>
  <c r="J192" i="2" s="1"/>
  <c r="M191" i="2"/>
  <c r="G191" i="2" s="1"/>
  <c r="I191" i="2" s="1"/>
  <c r="J191" i="2" s="1"/>
  <c r="J190" i="2"/>
  <c r="H190" i="2"/>
  <c r="G190" i="2"/>
  <c r="I190" i="2" s="1"/>
  <c r="M189" i="2"/>
  <c r="M188" i="2"/>
  <c r="M187" i="2"/>
  <c r="M186" i="2"/>
  <c r="C186" i="2"/>
  <c r="M185" i="2"/>
  <c r="G185" i="2" s="1"/>
  <c r="M184" i="2"/>
  <c r="G184" i="2" s="1"/>
  <c r="I184" i="2" s="1"/>
  <c r="J184" i="2" s="1"/>
  <c r="M183" i="2"/>
  <c r="G183" i="2" s="1"/>
  <c r="H183" i="2" s="1"/>
  <c r="M182" i="2"/>
  <c r="G182" i="2" s="1"/>
  <c r="M181" i="2"/>
  <c r="G181" i="2" s="1"/>
  <c r="M180" i="2"/>
  <c r="G180" i="2" s="1"/>
  <c r="M179" i="2"/>
  <c r="G179" i="2" s="1"/>
  <c r="I179" i="2" s="1"/>
  <c r="J179" i="2" s="1"/>
  <c r="M178" i="2"/>
  <c r="G178" i="2" s="1"/>
  <c r="M177" i="2"/>
  <c r="G177" i="2" s="1"/>
  <c r="H177" i="2" s="1"/>
  <c r="M176" i="2"/>
  <c r="G176" i="2" s="1"/>
  <c r="M175" i="2"/>
  <c r="G175" i="2" s="1"/>
  <c r="M174" i="2"/>
  <c r="G174" i="2" s="1"/>
  <c r="I174" i="2" s="1"/>
  <c r="J174" i="2" s="1"/>
  <c r="M173" i="2"/>
  <c r="G173" i="2" s="1"/>
  <c r="M172" i="2"/>
  <c r="G172" i="2" s="1"/>
  <c r="H172" i="2" s="1"/>
  <c r="M171" i="2"/>
  <c r="G171" i="2" s="1"/>
  <c r="H171" i="2" s="1"/>
  <c r="M170" i="2"/>
  <c r="G170" i="2" s="1"/>
  <c r="M169" i="2"/>
  <c r="G169" i="2" s="1"/>
  <c r="M168" i="2"/>
  <c r="G168" i="2" s="1"/>
  <c r="I168" i="2" s="1"/>
  <c r="J168" i="2" s="1"/>
  <c r="M167" i="2"/>
  <c r="G167" i="2" s="1"/>
  <c r="M166" i="2"/>
  <c r="G166" i="2" s="1"/>
  <c r="H166" i="2" s="1"/>
  <c r="M165" i="2"/>
  <c r="G165" i="2" s="1"/>
  <c r="M164" i="2"/>
  <c r="G164" i="2" s="1"/>
  <c r="H164" i="2" s="1"/>
  <c r="M163" i="2"/>
  <c r="G163" i="2" s="1"/>
  <c r="M162" i="2"/>
  <c r="G162" i="2" s="1"/>
  <c r="M161" i="2"/>
  <c r="G161" i="2" s="1"/>
  <c r="I161" i="2" s="1"/>
  <c r="J161" i="2" s="1"/>
  <c r="M160" i="2"/>
  <c r="G160" i="2" s="1"/>
  <c r="I160" i="2" s="1"/>
  <c r="J160" i="2" s="1"/>
  <c r="M159" i="2"/>
  <c r="G159" i="2" s="1"/>
  <c r="M158" i="2"/>
  <c r="G158" i="2" s="1"/>
  <c r="I158" i="2" s="1"/>
  <c r="J158" i="2" s="1"/>
  <c r="M157" i="2"/>
  <c r="G157" i="2" s="1"/>
  <c r="I157" i="2" s="1"/>
  <c r="J157" i="2" s="1"/>
  <c r="M156" i="2"/>
  <c r="G156" i="2" s="1"/>
  <c r="H156" i="2" s="1"/>
  <c r="M155" i="2"/>
  <c r="G155" i="2" s="1"/>
  <c r="M154" i="2"/>
  <c r="G154" i="2"/>
  <c r="M153" i="2"/>
  <c r="G153" i="2" s="1"/>
  <c r="M152" i="2"/>
  <c r="G152" i="2" s="1"/>
  <c r="I152" i="2" s="1"/>
  <c r="J152" i="2" s="1"/>
  <c r="M151" i="2"/>
  <c r="G151" i="2" s="1"/>
  <c r="M150" i="2"/>
  <c r="G150" i="2" s="1"/>
  <c r="M149" i="2"/>
  <c r="G149" i="2" s="1"/>
  <c r="M148" i="2"/>
  <c r="G148" i="2" s="1"/>
  <c r="H148" i="2" s="1"/>
  <c r="M147" i="2"/>
  <c r="G147" i="2" s="1"/>
  <c r="M146" i="2"/>
  <c r="G146" i="2" s="1"/>
  <c r="M145" i="2"/>
  <c r="G145" i="2" s="1"/>
  <c r="H145" i="2" s="1"/>
  <c r="M144" i="2"/>
  <c r="G144" i="2" s="1"/>
  <c r="I144" i="2" s="1"/>
  <c r="J144" i="2" s="1"/>
  <c r="M143" i="2"/>
  <c r="G143" i="2" s="1"/>
  <c r="M142" i="2"/>
  <c r="G142" i="2" s="1"/>
  <c r="I142" i="2" s="1"/>
  <c r="J142" i="2" s="1"/>
  <c r="M141" i="2"/>
  <c r="G141" i="2" s="1"/>
  <c r="M140" i="2"/>
  <c r="G140" i="2" s="1"/>
  <c r="H140" i="2" s="1"/>
  <c r="M139" i="2"/>
  <c r="G139" i="2" s="1"/>
  <c r="M138" i="2"/>
  <c r="G138" i="2" s="1"/>
  <c r="M137" i="2"/>
  <c r="G137" i="2" s="1"/>
  <c r="H137" i="2" s="1"/>
  <c r="M136" i="2"/>
  <c r="G136" i="2" s="1"/>
  <c r="M135" i="2"/>
  <c r="G135" i="2" s="1"/>
  <c r="M134" i="2"/>
  <c r="G134" i="2" s="1"/>
  <c r="M133" i="2"/>
  <c r="G133" i="2" s="1"/>
  <c r="M132" i="2"/>
  <c r="M131" i="2"/>
  <c r="M130" i="2"/>
  <c r="M129" i="2"/>
  <c r="C129" i="2"/>
  <c r="M128" i="2"/>
  <c r="G128" i="2" s="1"/>
  <c r="I128" i="2" s="1"/>
  <c r="J128" i="2" s="1"/>
  <c r="M127" i="2"/>
  <c r="G127" i="2" s="1"/>
  <c r="I127" i="2" s="1"/>
  <c r="J127" i="2" s="1"/>
  <c r="M126" i="2"/>
  <c r="G126" i="2" s="1"/>
  <c r="M125" i="2"/>
  <c r="G125" i="2" s="1"/>
  <c r="M124" i="2"/>
  <c r="G124" i="2" s="1"/>
  <c r="M123" i="2"/>
  <c r="G123" i="2" s="1"/>
  <c r="H123" i="2" s="1"/>
  <c r="M122" i="2"/>
  <c r="G122" i="2" s="1"/>
  <c r="M121" i="2"/>
  <c r="G121" i="2" s="1"/>
  <c r="M120" i="2"/>
  <c r="G120" i="2" s="1"/>
  <c r="I120" i="2" s="1"/>
  <c r="J120" i="2" s="1"/>
  <c r="M119" i="2"/>
  <c r="G119" i="2" s="1"/>
  <c r="M118" i="2"/>
  <c r="G118" i="2" s="1"/>
  <c r="M117" i="2"/>
  <c r="G117" i="2" s="1"/>
  <c r="I117" i="2" s="1"/>
  <c r="J117" i="2" s="1"/>
  <c r="M116" i="2"/>
  <c r="G116" i="2" s="1"/>
  <c r="I116" i="2" s="1"/>
  <c r="J116" i="2" s="1"/>
  <c r="M115" i="2"/>
  <c r="G115" i="2" s="1"/>
  <c r="H115" i="2" s="1"/>
  <c r="M114" i="2"/>
  <c r="G114" i="2" s="1"/>
  <c r="H114" i="2" s="1"/>
  <c r="M113" i="2"/>
  <c r="M112" i="2"/>
  <c r="M111" i="2"/>
  <c r="M110" i="2"/>
  <c r="C110" i="2"/>
  <c r="M109" i="2"/>
  <c r="G109" i="2" s="1"/>
  <c r="M108" i="2"/>
  <c r="G108" i="2" s="1"/>
  <c r="M107" i="2"/>
  <c r="G107" i="2" s="1"/>
  <c r="M106" i="2"/>
  <c r="G106" i="2" s="1"/>
  <c r="M105" i="2"/>
  <c r="G105" i="2" s="1"/>
  <c r="M104" i="2"/>
  <c r="G104" i="2" s="1"/>
  <c r="I104" i="2" s="1"/>
  <c r="J104" i="2" s="1"/>
  <c r="M103" i="2"/>
  <c r="G103" i="2" s="1"/>
  <c r="I103" i="2" s="1"/>
  <c r="J103" i="2" s="1"/>
  <c r="M102" i="2"/>
  <c r="G102" i="2" s="1"/>
  <c r="I102" i="2" s="1"/>
  <c r="J102" i="2" s="1"/>
  <c r="M101" i="2"/>
  <c r="G101" i="2" s="1"/>
  <c r="M100" i="2"/>
  <c r="G100" i="2" s="1"/>
  <c r="I100" i="2" s="1"/>
  <c r="J100" i="2" s="1"/>
  <c r="M99" i="2"/>
  <c r="G99" i="2" s="1"/>
  <c r="M98" i="2"/>
  <c r="G98" i="2" s="1"/>
  <c r="H98" i="2" s="1"/>
  <c r="M97" i="2"/>
  <c r="G97" i="2" s="1"/>
  <c r="I97" i="2" s="1"/>
  <c r="J97" i="2" s="1"/>
  <c r="M96" i="2"/>
  <c r="G96" i="2" s="1"/>
  <c r="M95" i="2"/>
  <c r="H95" i="2" s="1"/>
  <c r="M94" i="2"/>
  <c r="G94" i="2" s="1"/>
  <c r="H94" i="2" s="1"/>
  <c r="M93" i="2"/>
  <c r="G93" i="2" s="1"/>
  <c r="M92" i="2"/>
  <c r="G92" i="2" s="1"/>
  <c r="M91" i="2"/>
  <c r="G91" i="2" s="1"/>
  <c r="I91" i="2" s="1"/>
  <c r="J91" i="2" s="1"/>
  <c r="M90" i="2"/>
  <c r="G90" i="2" s="1"/>
  <c r="H90" i="2" s="1"/>
  <c r="M89" i="2"/>
  <c r="G89" i="2" s="1"/>
  <c r="H89" i="2" s="1"/>
  <c r="M88" i="2"/>
  <c r="G88" i="2" s="1"/>
  <c r="I88" i="2" s="1"/>
  <c r="J88" i="2" s="1"/>
  <c r="M87" i="2"/>
  <c r="G87" i="2" s="1"/>
  <c r="I87" i="2" s="1"/>
  <c r="J87" i="2" s="1"/>
  <c r="M86" i="2"/>
  <c r="G86" i="2" s="1"/>
  <c r="M85" i="2"/>
  <c r="G85" i="2" s="1"/>
  <c r="M84" i="2"/>
  <c r="G84" i="2" s="1"/>
  <c r="M83" i="2"/>
  <c r="G83" i="2" s="1"/>
  <c r="M82" i="2"/>
  <c r="G82" i="2" s="1"/>
  <c r="H82" i="2" s="1"/>
  <c r="M81" i="2"/>
  <c r="G81" i="2" s="1"/>
  <c r="I81" i="2" s="1"/>
  <c r="J81" i="2" s="1"/>
  <c r="M80" i="2"/>
  <c r="G80" i="2" s="1"/>
  <c r="M79" i="2"/>
  <c r="G79" i="2" s="1"/>
  <c r="I79" i="2" s="1"/>
  <c r="J79" i="2" s="1"/>
  <c r="M78" i="2"/>
  <c r="G78" i="2" s="1"/>
  <c r="I78" i="2" s="1"/>
  <c r="J78" i="2" s="1"/>
  <c r="M77" i="2"/>
  <c r="G77" i="2" s="1"/>
  <c r="M76" i="2"/>
  <c r="G76" i="2" s="1"/>
  <c r="I76" i="2" s="1"/>
  <c r="J76" i="2" s="1"/>
  <c r="M75" i="2"/>
  <c r="M74" i="2"/>
  <c r="G74" i="2" s="1"/>
  <c r="H74" i="2" s="1"/>
  <c r="M73" i="2"/>
  <c r="G73" i="2" s="1"/>
  <c r="M72" i="2"/>
  <c r="G72" i="2" s="1"/>
  <c r="I72" i="2" s="1"/>
  <c r="J72" i="2" s="1"/>
  <c r="M71" i="2"/>
  <c r="G71" i="2" s="1"/>
  <c r="I71" i="2" s="1"/>
  <c r="J71" i="2" s="1"/>
  <c r="M70" i="2"/>
  <c r="G70" i="2" s="1"/>
  <c r="M69" i="2"/>
  <c r="G69" i="2" s="1"/>
  <c r="M68" i="2"/>
  <c r="G68" i="2" s="1"/>
  <c r="I68" i="2" s="1"/>
  <c r="J68" i="2" s="1"/>
  <c r="M67" i="2"/>
  <c r="G67" i="2" s="1"/>
  <c r="M66" i="2"/>
  <c r="G66" i="2" s="1"/>
  <c r="H66" i="2" s="1"/>
  <c r="M65" i="2"/>
  <c r="G65" i="2" s="1"/>
  <c r="I65" i="2" s="1"/>
  <c r="J65" i="2" s="1"/>
  <c r="M64" i="2"/>
  <c r="G64" i="2" s="1"/>
  <c r="I64" i="2" s="1"/>
  <c r="J64" i="2" s="1"/>
  <c r="M63" i="2"/>
  <c r="G63" i="2" s="1"/>
  <c r="H63" i="2" s="1"/>
  <c r="M62" i="2"/>
  <c r="G62" i="2" s="1"/>
  <c r="I62" i="2" s="1"/>
  <c r="J62" i="2" s="1"/>
  <c r="M61" i="2"/>
  <c r="G61" i="2" s="1"/>
  <c r="M60" i="2"/>
  <c r="G60" i="2" s="1"/>
  <c r="I60" i="2" s="1"/>
  <c r="J60" i="2" s="1"/>
  <c r="M59" i="2"/>
  <c r="G59" i="2" s="1"/>
  <c r="I59" i="2" s="1"/>
  <c r="J59" i="2" s="1"/>
  <c r="M58" i="2"/>
  <c r="G58" i="2" s="1"/>
  <c r="H58" i="2" s="1"/>
  <c r="M57" i="2"/>
  <c r="G57" i="2" s="1"/>
  <c r="M56" i="2"/>
  <c r="M55" i="2"/>
  <c r="M54" i="2"/>
  <c r="M53" i="2"/>
  <c r="C53" i="2"/>
  <c r="M52" i="2"/>
  <c r="G52" i="2" s="1"/>
  <c r="M51" i="2"/>
  <c r="G51" i="2" s="1"/>
  <c r="H51" i="2" s="1"/>
  <c r="M50" i="2"/>
  <c r="G50" i="2" s="1"/>
  <c r="I50" i="2" s="1"/>
  <c r="J50" i="2" s="1"/>
  <c r="M49" i="2"/>
  <c r="G49" i="2" s="1"/>
  <c r="H49" i="2" s="1"/>
  <c r="M48" i="2"/>
  <c r="G48" i="2" s="1"/>
  <c r="M47" i="2"/>
  <c r="G47" i="2" s="1"/>
  <c r="M46" i="2"/>
  <c r="G46" i="2" s="1"/>
  <c r="M45" i="2"/>
  <c r="G45" i="2" s="1"/>
  <c r="M44" i="2"/>
  <c r="G44" i="2" s="1"/>
  <c r="H44" i="2" s="1"/>
  <c r="M43" i="2"/>
  <c r="G43" i="2" s="1"/>
  <c r="M42" i="2"/>
  <c r="G42" i="2" s="1"/>
  <c r="I42" i="2" s="1"/>
  <c r="J42" i="2" s="1"/>
  <c r="M41" i="2"/>
  <c r="G41" i="2" s="1"/>
  <c r="I41" i="2" s="1"/>
  <c r="J41" i="2" s="1"/>
  <c r="M40" i="2"/>
  <c r="G40" i="2" s="1"/>
  <c r="M39" i="2"/>
  <c r="G39" i="2" s="1"/>
  <c r="M37" i="2"/>
  <c r="G37" i="2" s="1"/>
  <c r="M36" i="2"/>
  <c r="G36" i="2" s="1"/>
  <c r="H36" i="2" s="1"/>
  <c r="M35" i="2"/>
  <c r="G35" i="2" s="1"/>
  <c r="M34" i="2"/>
  <c r="G34" i="2" s="1"/>
  <c r="I34" i="2" s="1"/>
  <c r="J34" i="2" s="1"/>
  <c r="M33" i="2"/>
  <c r="G33" i="2" s="1"/>
  <c r="I33" i="2" s="1"/>
  <c r="J33" i="2" s="1"/>
  <c r="M32" i="2"/>
  <c r="G32" i="2" s="1"/>
  <c r="M31" i="2"/>
  <c r="G31" i="2" s="1"/>
  <c r="M30" i="2"/>
  <c r="G30" i="2" s="1"/>
  <c r="I30" i="2" s="1"/>
  <c r="J30" i="2" s="1"/>
  <c r="M28" i="2"/>
  <c r="G28" i="2" s="1"/>
  <c r="M27" i="2"/>
  <c r="G27" i="2" s="1"/>
  <c r="H27" i="2" s="1"/>
  <c r="M26" i="2"/>
  <c r="G26" i="2" s="1"/>
  <c r="I26" i="2" s="1"/>
  <c r="J26" i="2" s="1"/>
  <c r="M25" i="2"/>
  <c r="G25" i="2" s="1"/>
  <c r="I25" i="2" s="1"/>
  <c r="J25" i="2" s="1"/>
  <c r="M24" i="2"/>
  <c r="G24" i="2" s="1"/>
  <c r="H24" i="2" s="1"/>
  <c r="M23" i="2"/>
  <c r="G23" i="2" s="1"/>
  <c r="I23" i="2" s="1"/>
  <c r="J23" i="2" s="1"/>
  <c r="M22" i="2"/>
  <c r="G22" i="2" s="1"/>
  <c r="M21" i="2"/>
  <c r="G21" i="2" s="1"/>
  <c r="I21" i="2" s="1"/>
  <c r="J21" i="2" s="1"/>
  <c r="M20" i="2"/>
  <c r="G20" i="2" s="1"/>
  <c r="I20" i="2" s="1"/>
  <c r="J20" i="2" s="1"/>
  <c r="M19" i="2"/>
  <c r="G19" i="2" s="1"/>
  <c r="H19" i="2" s="1"/>
  <c r="M18" i="2"/>
  <c r="G18" i="2" s="1"/>
  <c r="H18" i="2" s="1"/>
  <c r="M17" i="2"/>
  <c r="G17" i="2" s="1"/>
  <c r="M16" i="2"/>
  <c r="G16" i="2" s="1"/>
  <c r="M15" i="2"/>
  <c r="G15" i="2" s="1"/>
  <c r="M14" i="2"/>
  <c r="G14" i="2" s="1"/>
  <c r="M13" i="2"/>
  <c r="G13" i="2" s="1"/>
  <c r="M12" i="2"/>
  <c r="G12" i="2" s="1"/>
  <c r="H12" i="2" s="1"/>
  <c r="M11" i="2"/>
  <c r="G11" i="2" s="1"/>
  <c r="H11" i="2" s="1"/>
  <c r="M10" i="2"/>
  <c r="G10" i="2" s="1"/>
  <c r="I10" i="2" s="1"/>
  <c r="J10" i="2" s="1"/>
  <c r="M9" i="2"/>
  <c r="G9" i="2" s="1"/>
  <c r="I9" i="2" s="1"/>
  <c r="J9" i="2" s="1"/>
  <c r="M8" i="2"/>
  <c r="G8" i="2" s="1"/>
  <c r="I8" i="2" s="1"/>
  <c r="J8" i="2" s="1"/>
  <c r="M7" i="2"/>
  <c r="G7" i="2" s="1"/>
  <c r="I7" i="2" s="1"/>
  <c r="J7" i="2" s="1"/>
  <c r="M6" i="2"/>
  <c r="G6" i="2" s="1"/>
  <c r="M5" i="2"/>
  <c r="G5" i="2" s="1"/>
  <c r="I5" i="2" s="1"/>
  <c r="J5" i="2" s="1"/>
  <c r="H4" i="2"/>
  <c r="G4" i="2"/>
  <c r="I4" i="2" s="1"/>
  <c r="J4" i="2" s="1"/>
  <c r="O103" i="1"/>
  <c r="D103" i="1"/>
  <c r="H52" i="1"/>
  <c r="I213" i="2" l="1"/>
  <c r="J213" i="2" s="1"/>
  <c r="H33" i="2"/>
  <c r="I98" i="2"/>
  <c r="J98" i="2" s="1"/>
  <c r="I463" i="2"/>
  <c r="J463" i="2" s="1"/>
  <c r="H374" i="2"/>
  <c r="I783" i="2"/>
  <c r="J783" i="2" s="1"/>
  <c r="I950" i="2"/>
  <c r="J950" i="2" s="1"/>
  <c r="H60" i="2"/>
  <c r="H304" i="2"/>
  <c r="I627" i="2"/>
  <c r="J627" i="2" s="1"/>
  <c r="I27" i="2"/>
  <c r="J27" i="2" s="1"/>
  <c r="H71" i="2"/>
  <c r="H161" i="2"/>
  <c r="I19" i="2"/>
  <c r="J19" i="2" s="1"/>
  <c r="H494" i="2"/>
  <c r="I273" i="2"/>
  <c r="J273" i="2" s="1"/>
  <c r="H572" i="2"/>
  <c r="I779" i="2"/>
  <c r="J779" i="2" s="1"/>
  <c r="H1042" i="2"/>
  <c r="H34" i="2"/>
  <c r="H329" i="2"/>
  <c r="I625" i="2"/>
  <c r="J625" i="2" s="1"/>
  <c r="H231" i="2"/>
  <c r="I529" i="2"/>
  <c r="J529" i="2" s="1"/>
  <c r="H192" i="2"/>
  <c r="H565" i="2"/>
  <c r="I733" i="2"/>
  <c r="J733" i="2" s="1"/>
  <c r="I832" i="2"/>
  <c r="J832" i="2" s="1"/>
  <c r="I933" i="2"/>
  <c r="J933" i="2" s="1"/>
  <c r="H947" i="2"/>
  <c r="I280" i="2"/>
  <c r="J280" i="2" s="1"/>
  <c r="H392" i="2"/>
  <c r="I1277" i="2"/>
  <c r="J1277" i="2" s="1"/>
  <c r="H504" i="2"/>
  <c r="I377" i="2"/>
  <c r="J377" i="2" s="1"/>
  <c r="H670" i="2"/>
  <c r="I1211" i="2"/>
  <c r="J1211" i="2" s="1"/>
  <c r="I466" i="2"/>
  <c r="J466" i="2" s="1"/>
  <c r="H997" i="2"/>
  <c r="H270" i="2"/>
  <c r="H764" i="2"/>
  <c r="H833" i="2"/>
  <c r="H1159" i="2"/>
  <c r="I1216" i="2"/>
  <c r="J1216" i="2" s="1"/>
  <c r="H472" i="2"/>
  <c r="I497" i="2"/>
  <c r="J497" i="2" s="1"/>
  <c r="I523" i="2"/>
  <c r="J523" i="2" s="1"/>
  <c r="I577" i="2"/>
  <c r="J577" i="2" s="1"/>
  <c r="I616" i="2"/>
  <c r="J616" i="2" s="1"/>
  <c r="H788" i="2"/>
  <c r="I927" i="2"/>
  <c r="J927" i="2" s="1"/>
  <c r="I967" i="2"/>
  <c r="J967" i="2" s="1"/>
  <c r="I1205" i="2"/>
  <c r="J1205" i="2" s="1"/>
  <c r="H608" i="2"/>
  <c r="H876" i="2"/>
  <c r="H297" i="2"/>
  <c r="I502" i="2"/>
  <c r="J502" i="2" s="1"/>
  <c r="I672" i="2"/>
  <c r="J672" i="2" s="1"/>
  <c r="H1291" i="2"/>
  <c r="H311" i="2"/>
  <c r="I526" i="2"/>
  <c r="J526" i="2" s="1"/>
  <c r="H606" i="2"/>
  <c r="H657" i="2"/>
  <c r="I1278" i="2"/>
  <c r="J1278" i="2" s="1"/>
  <c r="H971" i="2"/>
  <c r="I971" i="2"/>
  <c r="J971" i="2" s="1"/>
  <c r="I1322" i="2"/>
  <c r="J1322" i="2" s="1"/>
  <c r="H1322" i="2"/>
  <c r="H271" i="2"/>
  <c r="I566" i="2"/>
  <c r="J566" i="2" s="1"/>
  <c r="I664" i="2"/>
  <c r="J664" i="2" s="1"/>
  <c r="I701" i="2"/>
  <c r="J701" i="2" s="1"/>
  <c r="H762" i="2"/>
  <c r="H1201" i="2"/>
  <c r="H728" i="2"/>
  <c r="H42" i="2"/>
  <c r="H818" i="2"/>
  <c r="I938" i="2"/>
  <c r="J938" i="2" s="1"/>
  <c r="I1281" i="2"/>
  <c r="J1281" i="2" s="1"/>
  <c r="I74" i="2"/>
  <c r="J74" i="2" s="1"/>
  <c r="H87" i="2"/>
  <c r="I710" i="2"/>
  <c r="J710" i="2" s="1"/>
  <c r="I798" i="2"/>
  <c r="J798" i="2" s="1"/>
  <c r="I1005" i="2"/>
  <c r="J1005" i="2" s="1"/>
  <c r="H1127" i="2"/>
  <c r="I1261" i="2"/>
  <c r="J1261" i="2" s="1"/>
  <c r="I394" i="2"/>
  <c r="J394" i="2" s="1"/>
  <c r="H394" i="2"/>
  <c r="I48" i="2"/>
  <c r="J48" i="2" s="1"/>
  <c r="H48" i="2"/>
  <c r="I108" i="2"/>
  <c r="J108" i="2" s="1"/>
  <c r="H108" i="2"/>
  <c r="H437" i="2"/>
  <c r="I437" i="2"/>
  <c r="J437" i="2" s="1"/>
  <c r="I138" i="2"/>
  <c r="J138" i="2" s="1"/>
  <c r="H138" i="2"/>
  <c r="I57" i="2"/>
  <c r="J57" i="2" s="1"/>
  <c r="H57" i="2"/>
  <c r="I107" i="2"/>
  <c r="J107" i="2" s="1"/>
  <c r="H107" i="2"/>
  <c r="H125" i="2"/>
  <c r="I125" i="2"/>
  <c r="J125" i="2" s="1"/>
  <c r="H105" i="2"/>
  <c r="I105" i="2"/>
  <c r="J105" i="2" s="1"/>
  <c r="I13" i="2"/>
  <c r="J13" i="2" s="1"/>
  <c r="H13" i="2"/>
  <c r="H214" i="2"/>
  <c r="I214" i="2"/>
  <c r="J214" i="2" s="1"/>
  <c r="I346" i="2"/>
  <c r="J346" i="2" s="1"/>
  <c r="H346" i="2"/>
  <c r="I473" i="2"/>
  <c r="J473" i="2" s="1"/>
  <c r="H473" i="2"/>
  <c r="I755" i="2"/>
  <c r="J755" i="2" s="1"/>
  <c r="H755" i="2"/>
  <c r="H20" i="2"/>
  <c r="H76" i="2"/>
  <c r="H78" i="2"/>
  <c r="H144" i="2"/>
  <c r="H158" i="2"/>
  <c r="H168" i="2"/>
  <c r="H209" i="2"/>
  <c r="I232" i="2"/>
  <c r="J232" i="2" s="1"/>
  <c r="I381" i="2"/>
  <c r="J381" i="2" s="1"/>
  <c r="I405" i="2"/>
  <c r="J405" i="2" s="1"/>
  <c r="H448" i="2"/>
  <c r="I649" i="2"/>
  <c r="J649" i="2" s="1"/>
  <c r="H649" i="2"/>
  <c r="I692" i="2"/>
  <c r="J692" i="2" s="1"/>
  <c r="H692" i="2"/>
  <c r="H747" i="2"/>
  <c r="I747" i="2"/>
  <c r="J747" i="2" s="1"/>
  <c r="I859" i="2"/>
  <c r="J859" i="2" s="1"/>
  <c r="H859" i="2"/>
  <c r="I945" i="2"/>
  <c r="J945" i="2" s="1"/>
  <c r="H987" i="2"/>
  <c r="I987" i="2"/>
  <c r="J987" i="2" s="1"/>
  <c r="I1017" i="2"/>
  <c r="J1017" i="2" s="1"/>
  <c r="H1017" i="2"/>
  <c r="H1049" i="2"/>
  <c r="I1084" i="2"/>
  <c r="J1084" i="2" s="1"/>
  <c r="H1084" i="2"/>
  <c r="H1087" i="2"/>
  <c r="I1087" i="2"/>
  <c r="J1087" i="2" s="1"/>
  <c r="I1101" i="2"/>
  <c r="J1101" i="2" s="1"/>
  <c r="I1224" i="2"/>
  <c r="J1224" i="2" s="1"/>
  <c r="H1224" i="2"/>
  <c r="I703" i="2"/>
  <c r="J703" i="2" s="1"/>
  <c r="H703" i="2"/>
  <c r="I1171" i="2"/>
  <c r="J1171" i="2" s="1"/>
  <c r="H1171" i="2"/>
  <c r="H1294" i="2"/>
  <c r="I1294" i="2"/>
  <c r="J1294" i="2" s="1"/>
  <c r="H120" i="2"/>
  <c r="I123" i="2"/>
  <c r="J123" i="2" s="1"/>
  <c r="H157" i="2"/>
  <c r="H160" i="2"/>
  <c r="I229" i="2"/>
  <c r="J229" i="2" s="1"/>
  <c r="H239" i="2"/>
  <c r="I248" i="2"/>
  <c r="J248" i="2" s="1"/>
  <c r="H293" i="2"/>
  <c r="I307" i="2"/>
  <c r="J307" i="2" s="1"/>
  <c r="I324" i="2"/>
  <c r="J324" i="2" s="1"/>
  <c r="I372" i="2"/>
  <c r="J372" i="2" s="1"/>
  <c r="I408" i="2"/>
  <c r="J408" i="2" s="1"/>
  <c r="I438" i="2"/>
  <c r="J438" i="2" s="1"/>
  <c r="H443" i="2"/>
  <c r="I508" i="2"/>
  <c r="J508" i="2" s="1"/>
  <c r="H508" i="2"/>
  <c r="H551" i="2"/>
  <c r="I685" i="2"/>
  <c r="J685" i="2" s="1"/>
  <c r="H685" i="2"/>
  <c r="I693" i="2"/>
  <c r="J693" i="2" s="1"/>
  <c r="H693" i="2"/>
  <c r="H905" i="2"/>
  <c r="H966" i="2"/>
  <c r="H993" i="2"/>
  <c r="I995" i="2"/>
  <c r="J995" i="2" s="1"/>
  <c r="I1018" i="2"/>
  <c r="J1018" i="2" s="1"/>
  <c r="H1018" i="2"/>
  <c r="H1033" i="2"/>
  <c r="I1033" i="2"/>
  <c r="J1033" i="2" s="1"/>
  <c r="I1085" i="2"/>
  <c r="J1085" i="2" s="1"/>
  <c r="H1085" i="2"/>
  <c r="I1097" i="2"/>
  <c r="J1097" i="2" s="1"/>
  <c r="H1097" i="2"/>
  <c r="H1100" i="2"/>
  <c r="I1100" i="2"/>
  <c r="J1100" i="2" s="1"/>
  <c r="I1122" i="2"/>
  <c r="J1122" i="2" s="1"/>
  <c r="H1122" i="2"/>
  <c r="I1125" i="2"/>
  <c r="J1125" i="2" s="1"/>
  <c r="I1139" i="2"/>
  <c r="J1139" i="2" s="1"/>
  <c r="H1139" i="2"/>
  <c r="H1166" i="2"/>
  <c r="H1173" i="2"/>
  <c r="I1173" i="2"/>
  <c r="J1173" i="2" s="1"/>
  <c r="H1183" i="2"/>
  <c r="I1262" i="2"/>
  <c r="J1262" i="2" s="1"/>
  <c r="H1262" i="2"/>
  <c r="H1274" i="2"/>
  <c r="H652" i="2"/>
  <c r="I652" i="2"/>
  <c r="J652" i="2" s="1"/>
  <c r="H836" i="2"/>
  <c r="I836" i="2"/>
  <c r="J836" i="2" s="1"/>
  <c r="I919" i="2"/>
  <c r="J919" i="2" s="1"/>
  <c r="H919" i="2"/>
  <c r="H929" i="2"/>
  <c r="I929" i="2"/>
  <c r="J929" i="2" s="1"/>
  <c r="H1141" i="2"/>
  <c r="I1141" i="2"/>
  <c r="J1141" i="2" s="1"/>
  <c r="H1258" i="2"/>
  <c r="I1258" i="2"/>
  <c r="J1258" i="2" s="1"/>
  <c r="H9" i="2"/>
  <c r="I66" i="2"/>
  <c r="J66" i="2" s="1"/>
  <c r="H79" i="2"/>
  <c r="H184" i="2"/>
  <c r="H313" i="2"/>
  <c r="H338" i="2"/>
  <c r="H367" i="2"/>
  <c r="H396" i="2"/>
  <c r="I431" i="2"/>
  <c r="J431" i="2" s="1"/>
  <c r="H498" i="2"/>
  <c r="I554" i="2"/>
  <c r="J554" i="2" s="1"/>
  <c r="H611" i="2"/>
  <c r="I611" i="2"/>
  <c r="J611" i="2" s="1"/>
  <c r="I638" i="2"/>
  <c r="J638" i="2" s="1"/>
  <c r="H638" i="2"/>
  <c r="I763" i="2"/>
  <c r="J763" i="2" s="1"/>
  <c r="H763" i="2"/>
  <c r="H812" i="2"/>
  <c r="I851" i="2"/>
  <c r="J851" i="2" s="1"/>
  <c r="H903" i="2"/>
  <c r="H922" i="2"/>
  <c r="I922" i="2"/>
  <c r="J922" i="2" s="1"/>
  <c r="I926" i="2"/>
  <c r="J926" i="2" s="1"/>
  <c r="I992" i="2"/>
  <c r="J992" i="2" s="1"/>
  <c r="H992" i="2"/>
  <c r="H1034" i="2"/>
  <c r="I1034" i="2"/>
  <c r="J1034" i="2" s="1"/>
  <c r="I1098" i="2"/>
  <c r="J1098" i="2" s="1"/>
  <c r="H1098" i="2"/>
  <c r="H1158" i="2"/>
  <c r="I1158" i="2"/>
  <c r="J1158" i="2" s="1"/>
  <c r="H1218" i="2"/>
  <c r="H1324" i="2"/>
  <c r="I1324" i="2"/>
  <c r="J1324" i="2" s="1"/>
  <c r="H1384" i="2"/>
  <c r="H1077" i="2"/>
  <c r="H67" i="2"/>
  <c r="I67" i="2"/>
  <c r="J67" i="2" s="1"/>
  <c r="I15" i="2"/>
  <c r="J15" i="2" s="1"/>
  <c r="H15" i="2"/>
  <c r="H28" i="2"/>
  <c r="I28" i="2"/>
  <c r="J28" i="2" s="1"/>
  <c r="H139" i="2"/>
  <c r="I139" i="2"/>
  <c r="J139" i="2" s="1"/>
  <c r="H337" i="2"/>
  <c r="I337" i="2"/>
  <c r="J337" i="2" s="1"/>
  <c r="I32" i="2"/>
  <c r="J32" i="2" s="1"/>
  <c r="H32" i="2"/>
  <c r="I147" i="2"/>
  <c r="J147" i="2" s="1"/>
  <c r="H147" i="2"/>
  <c r="H211" i="2"/>
  <c r="I211" i="2"/>
  <c r="J211" i="2" s="1"/>
  <c r="I46" i="2"/>
  <c r="J46" i="2" s="1"/>
  <c r="H46" i="2"/>
  <c r="I86" i="2"/>
  <c r="J86" i="2" s="1"/>
  <c r="H86" i="2"/>
  <c r="H155" i="2"/>
  <c r="I155" i="2"/>
  <c r="J155" i="2" s="1"/>
  <c r="I196" i="2"/>
  <c r="J196" i="2" s="1"/>
  <c r="H196" i="2"/>
  <c r="I204" i="2"/>
  <c r="J204" i="2" s="1"/>
  <c r="H204" i="2"/>
  <c r="H226" i="2"/>
  <c r="I226" i="2"/>
  <c r="J226" i="2" s="1"/>
  <c r="I233" i="2"/>
  <c r="J233" i="2" s="1"/>
  <c r="H233" i="2"/>
  <c r="I319" i="2"/>
  <c r="J319" i="2" s="1"/>
  <c r="H319" i="2"/>
  <c r="I344" i="2"/>
  <c r="J344" i="2" s="1"/>
  <c r="H344" i="2"/>
  <c r="H119" i="2"/>
  <c r="I119" i="2"/>
  <c r="J119" i="2" s="1"/>
  <c r="I136" i="2"/>
  <c r="J136" i="2" s="1"/>
  <c r="H136" i="2"/>
  <c r="H228" i="2"/>
  <c r="I228" i="2"/>
  <c r="J228" i="2" s="1"/>
  <c r="H250" i="2"/>
  <c r="I250" i="2"/>
  <c r="J250" i="2" s="1"/>
  <c r="H332" i="2"/>
  <c r="I332" i="2"/>
  <c r="J332" i="2" s="1"/>
  <c r="H403" i="2"/>
  <c r="I403" i="2"/>
  <c r="J403" i="2" s="1"/>
  <c r="H420" i="2"/>
  <c r="I420" i="2"/>
  <c r="J420" i="2" s="1"/>
  <c r="H40" i="2"/>
  <c r="I40" i="2"/>
  <c r="J40" i="2" s="1"/>
  <c r="I37" i="2"/>
  <c r="J37" i="2" s="1"/>
  <c r="H37" i="2"/>
  <c r="I70" i="2"/>
  <c r="J70" i="2" s="1"/>
  <c r="H70" i="2"/>
  <c r="H73" i="2"/>
  <c r="I73" i="2"/>
  <c r="J73" i="2" s="1"/>
  <c r="I173" i="2"/>
  <c r="J173" i="2" s="1"/>
  <c r="H173" i="2"/>
  <c r="I201" i="2"/>
  <c r="J201" i="2" s="1"/>
  <c r="H201" i="2"/>
  <c r="I224" i="2"/>
  <c r="J224" i="2" s="1"/>
  <c r="H224" i="2"/>
  <c r="I227" i="2"/>
  <c r="J227" i="2" s="1"/>
  <c r="H227" i="2"/>
  <c r="I258" i="2"/>
  <c r="J258" i="2" s="1"/>
  <c r="H258" i="2"/>
  <c r="H300" i="2"/>
  <c r="I300" i="2"/>
  <c r="J300" i="2" s="1"/>
  <c r="I444" i="2"/>
  <c r="J444" i="2" s="1"/>
  <c r="H444" i="2"/>
  <c r="I454" i="2"/>
  <c r="J454" i="2" s="1"/>
  <c r="H454" i="2"/>
  <c r="I553" i="2"/>
  <c r="J553" i="2" s="1"/>
  <c r="H553" i="2"/>
  <c r="I647" i="2"/>
  <c r="J647" i="2" s="1"/>
  <c r="H647" i="2"/>
  <c r="H667" i="2"/>
  <c r="I667" i="2"/>
  <c r="J667" i="2" s="1"/>
  <c r="H687" i="2"/>
  <c r="I687" i="2"/>
  <c r="J687" i="2" s="1"/>
  <c r="H766" i="2"/>
  <c r="I766" i="2"/>
  <c r="J766" i="2" s="1"/>
  <c r="I1022" i="2"/>
  <c r="J1022" i="2" s="1"/>
  <c r="H1022" i="2"/>
  <c r="H1045" i="2"/>
  <c r="I1045" i="2"/>
  <c r="J1045" i="2" s="1"/>
  <c r="I1058" i="2"/>
  <c r="J1058" i="2" s="1"/>
  <c r="H1058" i="2"/>
  <c r="H1071" i="2"/>
  <c r="I1071" i="2"/>
  <c r="J1071" i="2" s="1"/>
  <c r="H1088" i="2"/>
  <c r="I1088" i="2"/>
  <c r="J1088" i="2" s="1"/>
  <c r="H1110" i="2"/>
  <c r="I1110" i="2"/>
  <c r="J1110" i="2" s="1"/>
  <c r="H1157" i="2"/>
  <c r="I1157" i="2"/>
  <c r="J1157" i="2" s="1"/>
  <c r="H1212" i="2"/>
  <c r="I1212" i="2"/>
  <c r="J1212" i="2" s="1"/>
  <c r="H1223" i="2"/>
  <c r="I1223" i="2"/>
  <c r="J1223" i="2" s="1"/>
  <c r="H1254" i="2"/>
  <c r="I1254" i="2"/>
  <c r="J1254" i="2" s="1"/>
  <c r="I1359" i="2"/>
  <c r="J1359" i="2" s="1"/>
  <c r="H1359" i="2"/>
  <c r="H1513" i="2"/>
  <c r="I1513" i="2"/>
  <c r="J1513" i="2" s="1"/>
  <c r="H5" i="2"/>
  <c r="I11" i="2"/>
  <c r="J11" i="2" s="1"/>
  <c r="H23" i="2"/>
  <c r="H30" i="2"/>
  <c r="H41" i="2"/>
  <c r="H50" i="2"/>
  <c r="H62" i="2"/>
  <c r="H68" i="2"/>
  <c r="I82" i="2"/>
  <c r="J82" i="2" s="1"/>
  <c r="H100" i="2"/>
  <c r="H102" i="2"/>
  <c r="H127" i="2"/>
  <c r="I137" i="2"/>
  <c r="J137" i="2" s="1"/>
  <c r="I148" i="2"/>
  <c r="J148" i="2" s="1"/>
  <c r="H152" i="2"/>
  <c r="I156" i="2"/>
  <c r="J156" i="2" s="1"/>
  <c r="H191" i="2"/>
  <c r="I194" i="2"/>
  <c r="J194" i="2" s="1"/>
  <c r="I197" i="2"/>
  <c r="J197" i="2" s="1"/>
  <c r="H202" i="2"/>
  <c r="I212" i="2"/>
  <c r="J212" i="2" s="1"/>
  <c r="I216" i="2"/>
  <c r="J216" i="2" s="1"/>
  <c r="I218" i="2"/>
  <c r="J218" i="2" s="1"/>
  <c r="I238" i="2"/>
  <c r="J238" i="2" s="1"/>
  <c r="H279" i="2"/>
  <c r="H295" i="2"/>
  <c r="H296" i="2"/>
  <c r="H320" i="2"/>
  <c r="H321" i="2"/>
  <c r="I323" i="2"/>
  <c r="J323" i="2" s="1"/>
  <c r="H352" i="2"/>
  <c r="H358" i="2"/>
  <c r="H359" i="2"/>
  <c r="I384" i="2"/>
  <c r="J384" i="2" s="1"/>
  <c r="I404" i="2"/>
  <c r="J404" i="2" s="1"/>
  <c r="I407" i="2"/>
  <c r="J407" i="2" s="1"/>
  <c r="H419" i="2"/>
  <c r="I436" i="2"/>
  <c r="J436" i="2" s="1"/>
  <c r="H459" i="2"/>
  <c r="I464" i="2"/>
  <c r="J464" i="2" s="1"/>
  <c r="I469" i="2"/>
  <c r="J469" i="2" s="1"/>
  <c r="H469" i="2"/>
  <c r="H476" i="2"/>
  <c r="H513" i="2"/>
  <c r="I513" i="2"/>
  <c r="J513" i="2" s="1"/>
  <c r="I518" i="2"/>
  <c r="J518" i="2" s="1"/>
  <c r="H518" i="2"/>
  <c r="I528" i="2"/>
  <c r="J528" i="2" s="1"/>
  <c r="H528" i="2"/>
  <c r="I537" i="2"/>
  <c r="J537" i="2" s="1"/>
  <c r="H537" i="2"/>
  <c r="I556" i="2"/>
  <c r="J556" i="2" s="1"/>
  <c r="H556" i="2"/>
  <c r="I579" i="2"/>
  <c r="J579" i="2" s="1"/>
  <c r="H579" i="2"/>
  <c r="I604" i="2"/>
  <c r="J604" i="2" s="1"/>
  <c r="H604" i="2"/>
  <c r="I648" i="2"/>
  <c r="J648" i="2" s="1"/>
  <c r="H648" i="2"/>
  <c r="I651" i="2"/>
  <c r="J651" i="2" s="1"/>
  <c r="H651" i="2"/>
  <c r="I683" i="2"/>
  <c r="J683" i="2" s="1"/>
  <c r="H683" i="2"/>
  <c r="I713" i="2"/>
  <c r="J713" i="2" s="1"/>
  <c r="H713" i="2"/>
  <c r="I751" i="2"/>
  <c r="J751" i="2" s="1"/>
  <c r="H751" i="2"/>
  <c r="I777" i="2"/>
  <c r="J777" i="2" s="1"/>
  <c r="H777" i="2"/>
  <c r="I803" i="2"/>
  <c r="J803" i="2" s="1"/>
  <c r="H803" i="2"/>
  <c r="I829" i="2"/>
  <c r="J829" i="2" s="1"/>
  <c r="H829" i="2"/>
  <c r="I887" i="2"/>
  <c r="J887" i="2" s="1"/>
  <c r="H887" i="2"/>
  <c r="I908" i="2"/>
  <c r="J908" i="2" s="1"/>
  <c r="H908" i="2"/>
  <c r="I918" i="2"/>
  <c r="J918" i="2" s="1"/>
  <c r="H918" i="2"/>
  <c r="I954" i="2"/>
  <c r="J954" i="2" s="1"/>
  <c r="H954" i="2"/>
  <c r="I976" i="2"/>
  <c r="J976" i="2" s="1"/>
  <c r="H976" i="2"/>
  <c r="H984" i="2"/>
  <c r="I984" i="2"/>
  <c r="J984" i="2" s="1"/>
  <c r="H1000" i="2"/>
  <c r="I1000" i="2"/>
  <c r="J1000" i="2" s="1"/>
  <c r="H481" i="2"/>
  <c r="I481" i="2"/>
  <c r="J481" i="2" s="1"/>
  <c r="H540" i="2"/>
  <c r="I540" i="2"/>
  <c r="J540" i="2" s="1"/>
  <c r="I548" i="2"/>
  <c r="J548" i="2" s="1"/>
  <c r="H548" i="2"/>
  <c r="I561" i="2"/>
  <c r="J561" i="2" s="1"/>
  <c r="H561" i="2"/>
  <c r="H650" i="2"/>
  <c r="I650" i="2"/>
  <c r="J650" i="2" s="1"/>
  <c r="I659" i="2"/>
  <c r="J659" i="2" s="1"/>
  <c r="H659" i="2"/>
  <c r="H742" i="2"/>
  <c r="I742" i="2"/>
  <c r="J742" i="2" s="1"/>
  <c r="H750" i="2"/>
  <c r="I750" i="2"/>
  <c r="J750" i="2" s="1"/>
  <c r="H1008" i="2"/>
  <c r="I1008" i="2"/>
  <c r="J1008" i="2" s="1"/>
  <c r="I1039" i="2"/>
  <c r="J1039" i="2" s="1"/>
  <c r="H1039" i="2"/>
  <c r="H1054" i="2"/>
  <c r="I1054" i="2"/>
  <c r="J1054" i="2" s="1"/>
  <c r="I1067" i="2"/>
  <c r="J1067" i="2" s="1"/>
  <c r="H1067" i="2"/>
  <c r="H1092" i="2"/>
  <c r="I1092" i="2"/>
  <c r="J1092" i="2" s="1"/>
  <c r="I1134" i="2"/>
  <c r="J1134" i="2" s="1"/>
  <c r="H1134" i="2"/>
  <c r="I1199" i="2"/>
  <c r="J1199" i="2" s="1"/>
  <c r="H1199" i="2"/>
  <c r="H1237" i="2"/>
  <c r="I1237" i="2"/>
  <c r="J1237" i="2" s="1"/>
  <c r="I1240" i="2"/>
  <c r="J1240" i="2" s="1"/>
  <c r="H1240" i="2"/>
  <c r="H1325" i="2"/>
  <c r="I1325" i="2"/>
  <c r="J1325" i="2" s="1"/>
  <c r="I1343" i="2"/>
  <c r="J1343" i="2" s="1"/>
  <c r="H1343" i="2"/>
  <c r="H26" i="2"/>
  <c r="I49" i="2"/>
  <c r="J49" i="2" s="1"/>
  <c r="I58" i="2"/>
  <c r="J58" i="2" s="1"/>
  <c r="H65" i="2"/>
  <c r="I90" i="2"/>
  <c r="J90" i="2" s="1"/>
  <c r="I172" i="2"/>
  <c r="J172" i="2" s="1"/>
  <c r="I177" i="2"/>
  <c r="J177" i="2" s="1"/>
  <c r="I215" i="2"/>
  <c r="J215" i="2" s="1"/>
  <c r="I234" i="2"/>
  <c r="J234" i="2" s="1"/>
  <c r="H254" i="2"/>
  <c r="H256" i="2"/>
  <c r="H272" i="2"/>
  <c r="I330" i="2"/>
  <c r="J330" i="2" s="1"/>
  <c r="I397" i="2"/>
  <c r="J397" i="2" s="1"/>
  <c r="I415" i="2"/>
  <c r="J415" i="2" s="1"/>
  <c r="H421" i="2"/>
  <c r="H445" i="2"/>
  <c r="H461" i="2"/>
  <c r="H477" i="2"/>
  <c r="I485" i="2"/>
  <c r="J485" i="2" s="1"/>
  <c r="H485" i="2"/>
  <c r="I488" i="2"/>
  <c r="J488" i="2" s="1"/>
  <c r="H488" i="2"/>
  <c r="I522" i="2"/>
  <c r="J522" i="2" s="1"/>
  <c r="H522" i="2"/>
  <c r="I524" i="2"/>
  <c r="J524" i="2" s="1"/>
  <c r="H524" i="2"/>
  <c r="I585" i="2"/>
  <c r="J585" i="2" s="1"/>
  <c r="H585" i="2"/>
  <c r="I602" i="2"/>
  <c r="J602" i="2" s="1"/>
  <c r="I607" i="2"/>
  <c r="J607" i="2" s="1"/>
  <c r="H607" i="2"/>
  <c r="I618" i="2"/>
  <c r="J618" i="2" s="1"/>
  <c r="H618" i="2"/>
  <c r="I694" i="2"/>
  <c r="J694" i="2" s="1"/>
  <c r="H694" i="2"/>
  <c r="I757" i="2"/>
  <c r="J757" i="2" s="1"/>
  <c r="H757" i="2"/>
  <c r="I768" i="2"/>
  <c r="J768" i="2" s="1"/>
  <c r="H768" i="2"/>
  <c r="H792" i="2"/>
  <c r="I792" i="2"/>
  <c r="J792" i="2" s="1"/>
  <c r="H8" i="2"/>
  <c r="I24" i="2"/>
  <c r="J24" i="2" s="1"/>
  <c r="I36" i="2"/>
  <c r="J36" i="2" s="1"/>
  <c r="I63" i="2"/>
  <c r="J63" i="2" s="1"/>
  <c r="H103" i="2"/>
  <c r="H128" i="2"/>
  <c r="I145" i="2"/>
  <c r="J145" i="2" s="1"/>
  <c r="H179" i="2"/>
  <c r="I195" i="2"/>
  <c r="J195" i="2" s="1"/>
  <c r="I207" i="2"/>
  <c r="J207" i="2" s="1"/>
  <c r="H247" i="2"/>
  <c r="H263" i="2"/>
  <c r="I305" i="2"/>
  <c r="J305" i="2" s="1"/>
  <c r="I314" i="2"/>
  <c r="J314" i="2" s="1"/>
  <c r="H322" i="2"/>
  <c r="H336" i="2"/>
  <c r="H347" i="2"/>
  <c r="H351" i="2"/>
  <c r="H360" i="2"/>
  <c r="H389" i="2"/>
  <c r="H424" i="2"/>
  <c r="H429" i="2"/>
  <c r="I465" i="2"/>
  <c r="J465" i="2" s="1"/>
  <c r="H465" i="2"/>
  <c r="I492" i="2"/>
  <c r="J492" i="2" s="1"/>
  <c r="H492" i="2"/>
  <c r="H517" i="2"/>
  <c r="I520" i="2"/>
  <c r="J520" i="2" s="1"/>
  <c r="I578" i="2"/>
  <c r="J578" i="2" s="1"/>
  <c r="I594" i="2"/>
  <c r="J594" i="2" s="1"/>
  <c r="H594" i="2"/>
  <c r="H609" i="2"/>
  <c r="I609" i="2"/>
  <c r="J609" i="2" s="1"/>
  <c r="I634" i="2"/>
  <c r="J634" i="2" s="1"/>
  <c r="H634" i="2"/>
  <c r="I636" i="2"/>
  <c r="J636" i="2" s="1"/>
  <c r="H636" i="2"/>
  <c r="H656" i="2"/>
  <c r="I682" i="2"/>
  <c r="J682" i="2" s="1"/>
  <c r="H686" i="2"/>
  <c r="I686" i="2"/>
  <c r="J686" i="2" s="1"/>
  <c r="I711" i="2"/>
  <c r="J711" i="2" s="1"/>
  <c r="H711" i="2"/>
  <c r="I886" i="2"/>
  <c r="J886" i="2" s="1"/>
  <c r="H886" i="2"/>
  <c r="I916" i="2"/>
  <c r="J916" i="2" s="1"/>
  <c r="H916" i="2"/>
  <c r="H921" i="2"/>
  <c r="I921" i="2"/>
  <c r="J921" i="2" s="1"/>
  <c r="H934" i="2"/>
  <c r="I934" i="2"/>
  <c r="J934" i="2" s="1"/>
  <c r="I951" i="2"/>
  <c r="J951" i="2" s="1"/>
  <c r="H951" i="2"/>
  <c r="I968" i="2"/>
  <c r="J968" i="2" s="1"/>
  <c r="H968" i="2"/>
  <c r="I1006" i="2"/>
  <c r="J1006" i="2" s="1"/>
  <c r="H1006" i="2"/>
  <c r="H1009" i="2"/>
  <c r="I1009" i="2"/>
  <c r="J1009" i="2" s="1"/>
  <c r="H1025" i="2"/>
  <c r="I1025" i="2"/>
  <c r="J1025" i="2" s="1"/>
  <c r="I1031" i="2"/>
  <c r="J1031" i="2" s="1"/>
  <c r="H1031" i="2"/>
  <c r="H1072" i="2"/>
  <c r="I1072" i="2"/>
  <c r="J1072" i="2" s="1"/>
  <c r="H1076" i="2"/>
  <c r="I1076" i="2"/>
  <c r="J1076" i="2" s="1"/>
  <c r="I1123" i="2"/>
  <c r="J1123" i="2" s="1"/>
  <c r="H1123" i="2"/>
  <c r="H1142" i="2"/>
  <c r="I1142" i="2"/>
  <c r="J1142" i="2" s="1"/>
  <c r="I1155" i="2"/>
  <c r="J1155" i="2" s="1"/>
  <c r="H1155" i="2"/>
  <c r="I1163" i="2"/>
  <c r="J1163" i="2" s="1"/>
  <c r="H1163" i="2"/>
  <c r="I1189" i="2"/>
  <c r="J1189" i="2" s="1"/>
  <c r="H1189" i="2"/>
  <c r="I1293" i="2"/>
  <c r="J1293" i="2" s="1"/>
  <c r="H1293" i="2"/>
  <c r="I1302" i="2"/>
  <c r="J1302" i="2" s="1"/>
  <c r="H1302" i="2"/>
  <c r="I1354" i="2"/>
  <c r="J1354" i="2" s="1"/>
  <c r="H1354" i="2"/>
  <c r="I1472" i="2"/>
  <c r="J1472" i="2" s="1"/>
  <c r="H1472" i="2"/>
  <c r="I470" i="2"/>
  <c r="J470" i="2" s="1"/>
  <c r="H478" i="2"/>
  <c r="H493" i="2"/>
  <c r="H510" i="2"/>
  <c r="H514" i="2"/>
  <c r="H525" i="2"/>
  <c r="I545" i="2"/>
  <c r="J545" i="2" s="1"/>
  <c r="H547" i="2"/>
  <c r="H567" i="2"/>
  <c r="H575" i="2"/>
  <c r="I580" i="2"/>
  <c r="J580" i="2" s="1"/>
  <c r="I584" i="2"/>
  <c r="J584" i="2" s="1"/>
  <c r="I595" i="2"/>
  <c r="J595" i="2" s="1"/>
  <c r="I603" i="2"/>
  <c r="J603" i="2" s="1"/>
  <c r="I610" i="2"/>
  <c r="J610" i="2" s="1"/>
  <c r="I637" i="2"/>
  <c r="J637" i="2" s="1"/>
  <c r="H675" i="2"/>
  <c r="H706" i="2"/>
  <c r="I712" i="2"/>
  <c r="J712" i="2" s="1"/>
  <c r="H731" i="2"/>
  <c r="H734" i="2"/>
  <c r="H748" i="2"/>
  <c r="I776" i="2"/>
  <c r="J776" i="2" s="1"/>
  <c r="H791" i="2"/>
  <c r="I791" i="2"/>
  <c r="J791" i="2" s="1"/>
  <c r="I796" i="2"/>
  <c r="J796" i="2" s="1"/>
  <c r="H796" i="2"/>
  <c r="H814" i="2"/>
  <c r="I820" i="2"/>
  <c r="J820" i="2" s="1"/>
  <c r="H828" i="2"/>
  <c r="H831" i="2"/>
  <c r="I831" i="2"/>
  <c r="J831" i="2" s="1"/>
  <c r="H849" i="2"/>
  <c r="I849" i="2"/>
  <c r="J849" i="2" s="1"/>
  <c r="I884" i="2"/>
  <c r="J884" i="2" s="1"/>
  <c r="H884" i="2"/>
  <c r="H895" i="2"/>
  <c r="I895" i="2"/>
  <c r="J895" i="2" s="1"/>
  <c r="H949" i="2"/>
  <c r="I949" i="2"/>
  <c r="J949" i="2" s="1"/>
  <c r="H952" i="2"/>
  <c r="I952" i="2"/>
  <c r="J952" i="2" s="1"/>
  <c r="H959" i="2"/>
  <c r="I959" i="2"/>
  <c r="J959" i="2" s="1"/>
  <c r="H999" i="2"/>
  <c r="I999" i="2"/>
  <c r="J999" i="2" s="1"/>
  <c r="I1047" i="2"/>
  <c r="J1047" i="2" s="1"/>
  <c r="H1047" i="2"/>
  <c r="I1069" i="2"/>
  <c r="J1069" i="2" s="1"/>
  <c r="H1069" i="2"/>
  <c r="I1080" i="2"/>
  <c r="J1080" i="2" s="1"/>
  <c r="H1080" i="2"/>
  <c r="H1096" i="2"/>
  <c r="I1096" i="2"/>
  <c r="J1096" i="2" s="1"/>
  <c r="I1124" i="2"/>
  <c r="J1124" i="2" s="1"/>
  <c r="H1124" i="2"/>
  <c r="I1197" i="2"/>
  <c r="J1197" i="2" s="1"/>
  <c r="H1197" i="2"/>
  <c r="H1232" i="2"/>
  <c r="I1232" i="2"/>
  <c r="J1232" i="2" s="1"/>
  <c r="H1245" i="2"/>
  <c r="I1245" i="2"/>
  <c r="J1245" i="2" s="1"/>
  <c r="H1253" i="2"/>
  <c r="I1253" i="2"/>
  <c r="J1253" i="2" s="1"/>
  <c r="I1285" i="2"/>
  <c r="J1285" i="2" s="1"/>
  <c r="H1285" i="2"/>
  <c r="H1288" i="2"/>
  <c r="I1288" i="2"/>
  <c r="J1288" i="2" s="1"/>
  <c r="I1327" i="2"/>
  <c r="J1327" i="2" s="1"/>
  <c r="H1327" i="2"/>
  <c r="I1338" i="2"/>
  <c r="J1338" i="2" s="1"/>
  <c r="H1338" i="2"/>
  <c r="H1341" i="2"/>
  <c r="I1341" i="2"/>
  <c r="J1341" i="2" s="1"/>
  <c r="H1357" i="2"/>
  <c r="I1357" i="2"/>
  <c r="J1357" i="2" s="1"/>
  <c r="H583" i="2"/>
  <c r="H640" i="2"/>
  <c r="H663" i="2"/>
  <c r="H709" i="2"/>
  <c r="I826" i="2"/>
  <c r="J826" i="2" s="1"/>
  <c r="H826" i="2"/>
  <c r="H911" i="2"/>
  <c r="I911" i="2"/>
  <c r="J911" i="2" s="1"/>
  <c r="H936" i="2"/>
  <c r="I936" i="2"/>
  <c r="J936" i="2" s="1"/>
  <c r="H979" i="2"/>
  <c r="I979" i="2"/>
  <c r="J979" i="2" s="1"/>
  <c r="H983" i="2"/>
  <c r="I983" i="2"/>
  <c r="J983" i="2" s="1"/>
  <c r="H1024" i="2"/>
  <c r="I1024" i="2"/>
  <c r="J1024" i="2" s="1"/>
  <c r="H1050" i="2"/>
  <c r="I1050" i="2"/>
  <c r="J1050" i="2" s="1"/>
  <c r="I1081" i="2"/>
  <c r="J1081" i="2" s="1"/>
  <c r="H1081" i="2"/>
  <c r="H1109" i="2"/>
  <c r="I1109" i="2"/>
  <c r="J1109" i="2" s="1"/>
  <c r="H1275" i="2"/>
  <c r="I1275" i="2"/>
  <c r="J1275" i="2" s="1"/>
  <c r="I1400" i="2"/>
  <c r="J1400" i="2" s="1"/>
  <c r="H1400" i="2"/>
  <c r="I1425" i="2"/>
  <c r="J1425" i="2" s="1"/>
  <c r="H1425" i="2"/>
  <c r="I1450" i="2"/>
  <c r="J1450" i="2" s="1"/>
  <c r="H1450" i="2"/>
  <c r="I804" i="2"/>
  <c r="J804" i="2" s="1"/>
  <c r="H981" i="2"/>
  <c r="H1010" i="2"/>
  <c r="H1102" i="2"/>
  <c r="H1118" i="2"/>
  <c r="I1130" i="2"/>
  <c r="J1130" i="2" s="1"/>
  <c r="H1143" i="2"/>
  <c r="I1143" i="2"/>
  <c r="J1143" i="2" s="1"/>
  <c r="I1146" i="2"/>
  <c r="J1146" i="2" s="1"/>
  <c r="I1162" i="2"/>
  <c r="J1162" i="2" s="1"/>
  <c r="I1190" i="2"/>
  <c r="J1190" i="2" s="1"/>
  <c r="I1200" i="2"/>
  <c r="J1200" i="2" s="1"/>
  <c r="I1213" i="2"/>
  <c r="J1213" i="2" s="1"/>
  <c r="H1213" i="2"/>
  <c r="H1238" i="2"/>
  <c r="I1238" i="2"/>
  <c r="J1238" i="2" s="1"/>
  <c r="H1255" i="2"/>
  <c r="I1255" i="2"/>
  <c r="J1255" i="2" s="1"/>
  <c r="H1290" i="2"/>
  <c r="I1488" i="2"/>
  <c r="J1488" i="2" s="1"/>
  <c r="H1488" i="2"/>
  <c r="I961" i="2"/>
  <c r="J961" i="2" s="1"/>
  <c r="I972" i="2"/>
  <c r="J972" i="2" s="1"/>
  <c r="I988" i="2"/>
  <c r="J988" i="2" s="1"/>
  <c r="I1021" i="2"/>
  <c r="J1021" i="2" s="1"/>
  <c r="I1083" i="2"/>
  <c r="J1083" i="2" s="1"/>
  <c r="I1126" i="2"/>
  <c r="J1126" i="2" s="1"/>
  <c r="I1138" i="2"/>
  <c r="J1138" i="2" s="1"/>
  <c r="H1138" i="2"/>
  <c r="H1154" i="2"/>
  <c r="I1174" i="2"/>
  <c r="J1174" i="2" s="1"/>
  <c r="I1217" i="2"/>
  <c r="J1217" i="2" s="1"/>
  <c r="I1233" i="2"/>
  <c r="J1233" i="2" s="1"/>
  <c r="H1241" i="2"/>
  <c r="H1257" i="2"/>
  <c r="I1273" i="2"/>
  <c r="J1273" i="2" s="1"/>
  <c r="H1273" i="2"/>
  <c r="H1379" i="2"/>
  <c r="H1395" i="2"/>
  <c r="I1480" i="2"/>
  <c r="J1480" i="2" s="1"/>
  <c r="H1480" i="2"/>
  <c r="H1540" i="2"/>
  <c r="I1540" i="2"/>
  <c r="J1540" i="2" s="1"/>
  <c r="I1170" i="2"/>
  <c r="J1170" i="2" s="1"/>
  <c r="H1170" i="2"/>
  <c r="I1458" i="2"/>
  <c r="J1458" i="2" s="1"/>
  <c r="H1458" i="2"/>
  <c r="I1531" i="2"/>
  <c r="J1531" i="2" s="1"/>
  <c r="H1531" i="2"/>
  <c r="H1518" i="2"/>
  <c r="J1526" i="2"/>
  <c r="G99" i="1" s="1"/>
  <c r="H99" i="1" s="1"/>
  <c r="H1496" i="2"/>
  <c r="H1510" i="2"/>
  <c r="H1537" i="2"/>
  <c r="H450" i="2"/>
  <c r="I450" i="2"/>
  <c r="J450" i="2" s="1"/>
  <c r="I95" i="2"/>
  <c r="J95" i="2" s="1"/>
  <c r="I75" i="2"/>
  <c r="J75" i="2" s="1"/>
  <c r="H75" i="2"/>
  <c r="I38" i="2"/>
  <c r="J38" i="2" s="1"/>
  <c r="H38" i="2"/>
  <c r="H411" i="2"/>
  <c r="I411" i="2"/>
  <c r="J411" i="2" s="1"/>
  <c r="I629" i="2"/>
  <c r="J629" i="2" s="1"/>
  <c r="H629" i="2"/>
  <c r="H35" i="2"/>
  <c r="I35" i="2"/>
  <c r="J35" i="2" s="1"/>
  <c r="I246" i="2"/>
  <c r="J246" i="2" s="1"/>
  <c r="H246" i="2"/>
  <c r="H412" i="2"/>
  <c r="I412" i="2"/>
  <c r="J412" i="2" s="1"/>
  <c r="I134" i="2"/>
  <c r="J134" i="2" s="1"/>
  <c r="H134" i="2"/>
  <c r="I165" i="2"/>
  <c r="J165" i="2" s="1"/>
  <c r="H165" i="2"/>
  <c r="I180" i="2"/>
  <c r="J180" i="2" s="1"/>
  <c r="H180" i="2"/>
  <c r="I237" i="2"/>
  <c r="J237" i="2" s="1"/>
  <c r="H237" i="2"/>
  <c r="I286" i="2"/>
  <c r="J286" i="2" s="1"/>
  <c r="H286" i="2"/>
  <c r="I356" i="2"/>
  <c r="J356" i="2" s="1"/>
  <c r="H468" i="2"/>
  <c r="I468" i="2"/>
  <c r="J468" i="2" s="1"/>
  <c r="H613" i="2"/>
  <c r="I613" i="2"/>
  <c r="J613" i="2" s="1"/>
  <c r="I203" i="2"/>
  <c r="J203" i="2" s="1"/>
  <c r="H203" i="2"/>
  <c r="H97" i="2"/>
  <c r="H84" i="2"/>
  <c r="I84" i="2"/>
  <c r="J84" i="2" s="1"/>
  <c r="I310" i="2"/>
  <c r="J310" i="2" s="1"/>
  <c r="H310" i="2"/>
  <c r="I135" i="2"/>
  <c r="J135" i="2" s="1"/>
  <c r="H135" i="2"/>
  <c r="I225" i="2"/>
  <c r="J225" i="2" s="1"/>
  <c r="H225" i="2"/>
  <c r="I77" i="2"/>
  <c r="J77" i="2" s="1"/>
  <c r="H77" i="2"/>
  <c r="H59" i="2"/>
  <c r="H255" i="2"/>
  <c r="I255" i="2"/>
  <c r="J255" i="2" s="1"/>
  <c r="I277" i="2"/>
  <c r="J277" i="2" s="1"/>
  <c r="H277" i="2"/>
  <c r="I287" i="2"/>
  <c r="J287" i="2" s="1"/>
  <c r="H287" i="2"/>
  <c r="H365" i="2"/>
  <c r="I365" i="2"/>
  <c r="J365" i="2" s="1"/>
  <c r="I390" i="2"/>
  <c r="J390" i="2" s="1"/>
  <c r="H390" i="2"/>
  <c r="H379" i="2"/>
  <c r="I379" i="2"/>
  <c r="J379" i="2" s="1"/>
  <c r="H362" i="2"/>
  <c r="I362" i="2"/>
  <c r="J362" i="2" s="1"/>
  <c r="I150" i="2"/>
  <c r="J150" i="2" s="1"/>
  <c r="H150" i="2"/>
  <c r="I16" i="2"/>
  <c r="J16" i="2" s="1"/>
  <c r="H16" i="2"/>
  <c r="I43" i="2"/>
  <c r="J43" i="2" s="1"/>
  <c r="H43" i="2"/>
  <c r="H72" i="2"/>
  <c r="I217" i="2"/>
  <c r="J217" i="2" s="1"/>
  <c r="H217" i="2"/>
  <c r="I278" i="2"/>
  <c r="J278" i="2" s="1"/>
  <c r="H278" i="2"/>
  <c r="I303" i="2"/>
  <c r="J303" i="2" s="1"/>
  <c r="H303" i="2"/>
  <c r="I349" i="2"/>
  <c r="J349" i="2" s="1"/>
  <c r="I1014" i="2"/>
  <c r="J1014" i="2" s="1"/>
  <c r="H1014" i="2"/>
  <c r="I261" i="2"/>
  <c r="J261" i="2" s="1"/>
  <c r="H261" i="2"/>
  <c r="I149" i="2"/>
  <c r="J149" i="2" s="1"/>
  <c r="H149" i="2"/>
  <c r="I235" i="2"/>
  <c r="J235" i="2" s="1"/>
  <c r="H235" i="2"/>
  <c r="I253" i="2"/>
  <c r="J253" i="2" s="1"/>
  <c r="H253" i="2"/>
  <c r="H495" i="2"/>
  <c r="I495" i="2"/>
  <c r="J495" i="2" s="1"/>
  <c r="I163" i="2"/>
  <c r="J163" i="2" s="1"/>
  <c r="H163" i="2"/>
  <c r="H355" i="2"/>
  <c r="I355" i="2"/>
  <c r="J355" i="2" s="1"/>
  <c r="I17" i="2"/>
  <c r="J17" i="2" s="1"/>
  <c r="H17" i="2"/>
  <c r="I31" i="2"/>
  <c r="J31" i="2" s="1"/>
  <c r="H31" i="2"/>
  <c r="I92" i="2"/>
  <c r="J92" i="2" s="1"/>
  <c r="H92" i="2"/>
  <c r="I122" i="2"/>
  <c r="J122" i="2" s="1"/>
  <c r="H122" i="2"/>
  <c r="I406" i="2"/>
  <c r="J406" i="2" s="1"/>
  <c r="H406" i="2"/>
  <c r="H45" i="2"/>
  <c r="I45" i="2"/>
  <c r="J45" i="2" s="1"/>
  <c r="H106" i="2"/>
  <c r="I106" i="2"/>
  <c r="J106" i="2" s="1"/>
  <c r="I153" i="2"/>
  <c r="J153" i="2" s="1"/>
  <c r="H153" i="2"/>
  <c r="H206" i="2"/>
  <c r="I206" i="2"/>
  <c r="J206" i="2" s="1"/>
  <c r="I400" i="2"/>
  <c r="J400" i="2" s="1"/>
  <c r="H400" i="2"/>
  <c r="I870" i="2"/>
  <c r="J870" i="2" s="1"/>
  <c r="H52" i="2"/>
  <c r="I52" i="2"/>
  <c r="J52" i="2" s="1"/>
  <c r="I154" i="2"/>
  <c r="J154" i="2" s="1"/>
  <c r="H154" i="2"/>
  <c r="H265" i="2"/>
  <c r="H312" i="2"/>
  <c r="I312" i="2"/>
  <c r="J312" i="2" s="1"/>
  <c r="I544" i="2"/>
  <c r="J544" i="2" s="1"/>
  <c r="H544" i="2"/>
  <c r="I39" i="2"/>
  <c r="J39" i="2" s="1"/>
  <c r="H39" i="2"/>
  <c r="I199" i="2"/>
  <c r="J199" i="2" s="1"/>
  <c r="H199" i="2"/>
  <c r="H220" i="2"/>
  <c r="I220" i="2"/>
  <c r="J220" i="2" s="1"/>
  <c r="I176" i="2"/>
  <c r="J176" i="2" s="1"/>
  <c r="H176" i="2"/>
  <c r="I101" i="2"/>
  <c r="J101" i="2" s="1"/>
  <c r="H101" i="2"/>
  <c r="I169" i="2"/>
  <c r="J169" i="2" s="1"/>
  <c r="H169" i="2"/>
  <c r="H292" i="2"/>
  <c r="I292" i="2"/>
  <c r="J292" i="2" s="1"/>
  <c r="H758" i="2"/>
  <c r="I758" i="2"/>
  <c r="J758" i="2" s="1"/>
  <c r="I170" i="2"/>
  <c r="J170" i="2" s="1"/>
  <c r="H170" i="2"/>
  <c r="I222" i="2"/>
  <c r="J222" i="2" s="1"/>
  <c r="H222" i="2"/>
  <c r="H298" i="2"/>
  <c r="I298" i="2"/>
  <c r="J298" i="2" s="1"/>
  <c r="H7" i="2"/>
  <c r="I69" i="2"/>
  <c r="J69" i="2" s="1"/>
  <c r="H69" i="2"/>
  <c r="H88" i="2"/>
  <c r="H141" i="2"/>
  <c r="I141" i="2"/>
  <c r="J141" i="2" s="1"/>
  <c r="I223" i="2"/>
  <c r="J223" i="2" s="1"/>
  <c r="H223" i="2"/>
  <c r="I299" i="2"/>
  <c r="J299" i="2" s="1"/>
  <c r="H299" i="2"/>
  <c r="I428" i="2"/>
  <c r="J428" i="2" s="1"/>
  <c r="H428" i="2"/>
  <c r="I680" i="2"/>
  <c r="J680" i="2" s="1"/>
  <c r="H680" i="2"/>
  <c r="I198" i="2"/>
  <c r="J198" i="2" s="1"/>
  <c r="H198" i="2"/>
  <c r="H380" i="2"/>
  <c r="I380" i="2"/>
  <c r="J380" i="2" s="1"/>
  <c r="I417" i="2"/>
  <c r="J417" i="2" s="1"/>
  <c r="H417" i="2"/>
  <c r="I499" i="2"/>
  <c r="J499" i="2" s="1"/>
  <c r="H499" i="2"/>
  <c r="H795" i="2"/>
  <c r="I795" i="2"/>
  <c r="J795" i="2" s="1"/>
  <c r="I822" i="2"/>
  <c r="J822" i="2" s="1"/>
  <c r="H822" i="2"/>
  <c r="I1044" i="2"/>
  <c r="J1044" i="2" s="1"/>
  <c r="H1044" i="2"/>
  <c r="I18" i="2"/>
  <c r="J18" i="2" s="1"/>
  <c r="I80" i="2"/>
  <c r="J80" i="2" s="1"/>
  <c r="H80" i="2"/>
  <c r="I85" i="2"/>
  <c r="J85" i="2" s="1"/>
  <c r="H85" i="2"/>
  <c r="H104" i="2"/>
  <c r="H116" i="2"/>
  <c r="H142" i="2"/>
  <c r="I171" i="2"/>
  <c r="J171" i="2" s="1"/>
  <c r="H236" i="2"/>
  <c r="H269" i="2"/>
  <c r="I333" i="2"/>
  <c r="J333" i="2" s="1"/>
  <c r="I339" i="2"/>
  <c r="J339" i="2" s="1"/>
  <c r="H353" i="2"/>
  <c r="I460" i="2"/>
  <c r="J460" i="2" s="1"/>
  <c r="H460" i="2"/>
  <c r="I506" i="2"/>
  <c r="J506" i="2" s="1"/>
  <c r="H506" i="2"/>
  <c r="I581" i="2"/>
  <c r="J581" i="2" s="1"/>
  <c r="H581" i="2"/>
  <c r="I707" i="2"/>
  <c r="J707" i="2" s="1"/>
  <c r="H707" i="2"/>
  <c r="I739" i="2"/>
  <c r="J739" i="2" s="1"/>
  <c r="H739" i="2"/>
  <c r="I982" i="2"/>
  <c r="J982" i="2" s="1"/>
  <c r="H982" i="2"/>
  <c r="I1225" i="2"/>
  <c r="J1225" i="2" s="1"/>
  <c r="H1225" i="2"/>
  <c r="I14" i="2"/>
  <c r="J14" i="2" s="1"/>
  <c r="H14" i="2"/>
  <c r="I133" i="2"/>
  <c r="J133" i="2" s="1"/>
  <c r="H133" i="2"/>
  <c r="H291" i="2"/>
  <c r="I291" i="2"/>
  <c r="J291" i="2" s="1"/>
  <c r="I375" i="2"/>
  <c r="J375" i="2" s="1"/>
  <c r="H375" i="2"/>
  <c r="I425" i="2"/>
  <c r="J425" i="2" s="1"/>
  <c r="H425" i="2"/>
  <c r="I446" i="2"/>
  <c r="J446" i="2" s="1"/>
  <c r="H446" i="2"/>
  <c r="I532" i="2"/>
  <c r="J532" i="2" s="1"/>
  <c r="H532" i="2"/>
  <c r="H708" i="2"/>
  <c r="I708" i="2"/>
  <c r="J708" i="2" s="1"/>
  <c r="H325" i="2"/>
  <c r="I325" i="2"/>
  <c r="J325" i="2" s="1"/>
  <c r="I588" i="2"/>
  <c r="J588" i="2" s="1"/>
  <c r="H588" i="2"/>
  <c r="H10" i="2"/>
  <c r="I51" i="2"/>
  <c r="J51" i="2" s="1"/>
  <c r="H81" i="2"/>
  <c r="I162" i="2"/>
  <c r="J162" i="2" s="1"/>
  <c r="H162" i="2"/>
  <c r="I167" i="2"/>
  <c r="J167" i="2" s="1"/>
  <c r="H167" i="2"/>
  <c r="I182" i="2"/>
  <c r="J182" i="2" s="1"/>
  <c r="H182" i="2"/>
  <c r="H210" i="2"/>
  <c r="I221" i="2"/>
  <c r="J221" i="2" s="1"/>
  <c r="H221" i="2"/>
  <c r="I251" i="2"/>
  <c r="J251" i="2" s="1"/>
  <c r="I257" i="2"/>
  <c r="J257" i="2" s="1"/>
  <c r="H275" i="2"/>
  <c r="I275" i="2"/>
  <c r="J275" i="2" s="1"/>
  <c r="I308" i="2"/>
  <c r="J308" i="2" s="1"/>
  <c r="I327" i="2"/>
  <c r="J327" i="2" s="1"/>
  <c r="H327" i="2"/>
  <c r="I334" i="2"/>
  <c r="J334" i="2" s="1"/>
  <c r="H334" i="2"/>
  <c r="H354" i="2"/>
  <c r="I354" i="2"/>
  <c r="J354" i="2" s="1"/>
  <c r="H395" i="2"/>
  <c r="I395" i="2"/>
  <c r="J395" i="2" s="1"/>
  <c r="I409" i="2"/>
  <c r="J409" i="2" s="1"/>
  <c r="H409" i="2"/>
  <c r="H426" i="2"/>
  <c r="I426" i="2"/>
  <c r="J426" i="2" s="1"/>
  <c r="H434" i="2"/>
  <c r="I507" i="2"/>
  <c r="J507" i="2" s="1"/>
  <c r="H507" i="2"/>
  <c r="H521" i="2"/>
  <c r="I521" i="2"/>
  <c r="J521" i="2" s="1"/>
  <c r="I732" i="2"/>
  <c r="J732" i="2" s="1"/>
  <c r="H732" i="2"/>
  <c r="I963" i="2"/>
  <c r="J963" i="2" s="1"/>
  <c r="H963" i="2"/>
  <c r="I146" i="2"/>
  <c r="J146" i="2" s="1"/>
  <c r="H146" i="2"/>
  <c r="I151" i="2"/>
  <c r="J151" i="2" s="1"/>
  <c r="H151" i="2"/>
  <c r="I94" i="2"/>
  <c r="J94" i="2" s="1"/>
  <c r="I166" i="2"/>
  <c r="J166" i="2" s="1"/>
  <c r="I560" i="2"/>
  <c r="J560" i="2" s="1"/>
  <c r="H560" i="2"/>
  <c r="H200" i="2"/>
  <c r="I200" i="2"/>
  <c r="J200" i="2" s="1"/>
  <c r="I205" i="2"/>
  <c r="J205" i="2" s="1"/>
  <c r="H205" i="2"/>
  <c r="I264" i="2"/>
  <c r="J264" i="2" s="1"/>
  <c r="I328" i="2"/>
  <c r="J328" i="2" s="1"/>
  <c r="H328" i="2"/>
  <c r="H480" i="2"/>
  <c r="I515" i="2"/>
  <c r="J515" i="2" s="1"/>
  <c r="H515" i="2"/>
  <c r="I569" i="2"/>
  <c r="J569" i="2" s="1"/>
  <c r="H569" i="2"/>
  <c r="I599" i="2"/>
  <c r="J599" i="2" s="1"/>
  <c r="H599" i="2"/>
  <c r="I700" i="2"/>
  <c r="J700" i="2" s="1"/>
  <c r="H700" i="2"/>
  <c r="H780" i="2"/>
  <c r="I780" i="2"/>
  <c r="J780" i="2" s="1"/>
  <c r="H790" i="2"/>
  <c r="I790" i="2"/>
  <c r="J790" i="2" s="1"/>
  <c r="I22" i="2"/>
  <c r="J22" i="2" s="1"/>
  <c r="H22" i="2"/>
  <c r="I175" i="2"/>
  <c r="J175" i="2" s="1"/>
  <c r="H175" i="2"/>
  <c r="I109" i="2"/>
  <c r="J109" i="2" s="1"/>
  <c r="H109" i="2"/>
  <c r="I126" i="2"/>
  <c r="J126" i="2" s="1"/>
  <c r="H126" i="2"/>
  <c r="I6" i="2"/>
  <c r="J6" i="2" s="1"/>
  <c r="H6" i="2"/>
  <c r="I47" i="2"/>
  <c r="J47" i="2" s="1"/>
  <c r="H47" i="2"/>
  <c r="H91" i="2"/>
  <c r="H117" i="2"/>
  <c r="I143" i="2"/>
  <c r="J143" i="2" s="1"/>
  <c r="H143" i="2"/>
  <c r="I183" i="2"/>
  <c r="J183" i="2" s="1"/>
  <c r="I245" i="2"/>
  <c r="J245" i="2" s="1"/>
  <c r="H245" i="2"/>
  <c r="I252" i="2"/>
  <c r="J252" i="2" s="1"/>
  <c r="H252" i="2"/>
  <c r="I285" i="2"/>
  <c r="J285" i="2" s="1"/>
  <c r="H285" i="2"/>
  <c r="I302" i="2"/>
  <c r="J302" i="2" s="1"/>
  <c r="H302" i="2"/>
  <c r="I309" i="2"/>
  <c r="J309" i="2" s="1"/>
  <c r="H309" i="2"/>
  <c r="I335" i="2"/>
  <c r="J335" i="2" s="1"/>
  <c r="H335" i="2"/>
  <c r="I376" i="2"/>
  <c r="J376" i="2" s="1"/>
  <c r="H376" i="2"/>
  <c r="I435" i="2"/>
  <c r="J435" i="2" s="1"/>
  <c r="H435" i="2"/>
  <c r="I455" i="2"/>
  <c r="J455" i="2" s="1"/>
  <c r="H455" i="2"/>
  <c r="I462" i="2"/>
  <c r="J462" i="2" s="1"/>
  <c r="H462" i="2"/>
  <c r="H549" i="2"/>
  <c r="H619" i="2"/>
  <c r="I619" i="2"/>
  <c r="J619" i="2" s="1"/>
  <c r="I642" i="2"/>
  <c r="J642" i="2" s="1"/>
  <c r="H642" i="2"/>
  <c r="I880" i="2"/>
  <c r="J880" i="2" s="1"/>
  <c r="H880" i="2"/>
  <c r="I61" i="2"/>
  <c r="J61" i="2" s="1"/>
  <c r="H61" i="2"/>
  <c r="I219" i="2"/>
  <c r="J219" i="2" s="1"/>
  <c r="H219" i="2"/>
  <c r="I290" i="2"/>
  <c r="J290" i="2" s="1"/>
  <c r="H290" i="2"/>
  <c r="I432" i="2"/>
  <c r="J432" i="2" s="1"/>
  <c r="H432" i="2"/>
  <c r="I121" i="2"/>
  <c r="J121" i="2" s="1"/>
  <c r="H121" i="2"/>
  <c r="I96" i="2"/>
  <c r="J96" i="2" s="1"/>
  <c r="H96" i="2"/>
  <c r="H178" i="2"/>
  <c r="I178" i="2"/>
  <c r="J178" i="2" s="1"/>
  <c r="I474" i="2"/>
  <c r="J474" i="2" s="1"/>
  <c r="H474" i="2"/>
  <c r="H889" i="2"/>
  <c r="I889" i="2"/>
  <c r="J889" i="2" s="1"/>
  <c r="H899" i="2"/>
  <c r="I899" i="2"/>
  <c r="J899" i="2" s="1"/>
  <c r="I1086" i="2"/>
  <c r="J1086" i="2" s="1"/>
  <c r="H1086" i="2"/>
  <c r="H25" i="2"/>
  <c r="I44" i="2"/>
  <c r="J44" i="2" s="1"/>
  <c r="H64" i="2"/>
  <c r="I118" i="2"/>
  <c r="J118" i="2" s="1"/>
  <c r="H118" i="2"/>
  <c r="I140" i="2"/>
  <c r="J140" i="2" s="1"/>
  <c r="I164" i="2"/>
  <c r="J164" i="2" s="1"/>
  <c r="H259" i="2"/>
  <c r="I259" i="2"/>
  <c r="J259" i="2" s="1"/>
  <c r="H363" i="2"/>
  <c r="I363" i="2"/>
  <c r="J363" i="2" s="1"/>
  <c r="I398" i="2"/>
  <c r="J398" i="2" s="1"/>
  <c r="H398" i="2"/>
  <c r="H449" i="2"/>
  <c r="I449" i="2"/>
  <c r="J449" i="2" s="1"/>
  <c r="I496" i="2"/>
  <c r="J496" i="2" s="1"/>
  <c r="H564" i="2"/>
  <c r="I564" i="2"/>
  <c r="J564" i="2" s="1"/>
  <c r="I665" i="2"/>
  <c r="J665" i="2" s="1"/>
  <c r="H665" i="2"/>
  <c r="H717" i="2"/>
  <c r="I717" i="2"/>
  <c r="J717" i="2" s="1"/>
  <c r="I861" i="2"/>
  <c r="J861" i="2" s="1"/>
  <c r="H861" i="2"/>
  <c r="I978" i="2"/>
  <c r="J978" i="2" s="1"/>
  <c r="H978" i="2"/>
  <c r="I83" i="2"/>
  <c r="J83" i="2" s="1"/>
  <c r="H83" i="2"/>
  <c r="I810" i="2"/>
  <c r="J810" i="2" s="1"/>
  <c r="H810" i="2"/>
  <c r="I716" i="2"/>
  <c r="J716" i="2" s="1"/>
  <c r="H716" i="2"/>
  <c r="I159" i="2"/>
  <c r="J159" i="2" s="1"/>
  <c r="H159" i="2"/>
  <c r="I260" i="2"/>
  <c r="J260" i="2" s="1"/>
  <c r="H260" i="2"/>
  <c r="I350" i="2"/>
  <c r="J350" i="2" s="1"/>
  <c r="H350" i="2"/>
  <c r="I457" i="2"/>
  <c r="J457" i="2" s="1"/>
  <c r="H457" i="2"/>
  <c r="H489" i="2"/>
  <c r="I489" i="2"/>
  <c r="J489" i="2" s="1"/>
  <c r="I557" i="2"/>
  <c r="J557" i="2" s="1"/>
  <c r="H557" i="2"/>
  <c r="I673" i="2"/>
  <c r="J673" i="2" s="1"/>
  <c r="H673" i="2"/>
  <c r="H941" i="2"/>
  <c r="I941" i="2"/>
  <c r="J941" i="2" s="1"/>
  <c r="I12" i="2"/>
  <c r="J12" i="2" s="1"/>
  <c r="H21" i="2"/>
  <c r="I114" i="2"/>
  <c r="J114" i="2" s="1"/>
  <c r="I124" i="2"/>
  <c r="J124" i="2" s="1"/>
  <c r="H124" i="2"/>
  <c r="H174" i="2"/>
  <c r="I185" i="2"/>
  <c r="J185" i="2" s="1"/>
  <c r="H185" i="2"/>
  <c r="I208" i="2"/>
  <c r="J208" i="2" s="1"/>
  <c r="H208" i="2"/>
  <c r="H267" i="2"/>
  <c r="I267" i="2"/>
  <c r="J267" i="2" s="1"/>
  <c r="H294" i="2"/>
  <c r="I331" i="2"/>
  <c r="J331" i="2" s="1"/>
  <c r="H331" i="2"/>
  <c r="H385" i="2"/>
  <c r="I385" i="2"/>
  <c r="J385" i="2" s="1"/>
  <c r="I399" i="2"/>
  <c r="J399" i="2" s="1"/>
  <c r="H399" i="2"/>
  <c r="I413" i="2"/>
  <c r="J413" i="2" s="1"/>
  <c r="H413" i="2"/>
  <c r="I422" i="2"/>
  <c r="J422" i="2" s="1"/>
  <c r="H422" i="2"/>
  <c r="I430" i="2"/>
  <c r="J430" i="2" s="1"/>
  <c r="H430" i="2"/>
  <c r="I458" i="2"/>
  <c r="J458" i="2" s="1"/>
  <c r="H458" i="2"/>
  <c r="I483" i="2"/>
  <c r="J483" i="2" s="1"/>
  <c r="H483" i="2"/>
  <c r="H511" i="2"/>
  <c r="I511" i="2"/>
  <c r="J511" i="2" s="1"/>
  <c r="I558" i="2"/>
  <c r="J558" i="2" s="1"/>
  <c r="H558" i="2"/>
  <c r="H615" i="2"/>
  <c r="I622" i="2"/>
  <c r="J622" i="2" s="1"/>
  <c r="H622" i="2"/>
  <c r="H660" i="2"/>
  <c r="I660" i="2"/>
  <c r="J660" i="2" s="1"/>
  <c r="I414" i="2"/>
  <c r="J414" i="2" s="1"/>
  <c r="H414" i="2"/>
  <c r="H546" i="2"/>
  <c r="I546" i="2"/>
  <c r="J546" i="2" s="1"/>
  <c r="H586" i="2"/>
  <c r="I586" i="2"/>
  <c r="J586" i="2" s="1"/>
  <c r="I704" i="2"/>
  <c r="J704" i="2" s="1"/>
  <c r="H704" i="2"/>
  <c r="I93" i="2"/>
  <c r="J93" i="2" s="1"/>
  <c r="H93" i="2"/>
  <c r="I115" i="2"/>
  <c r="J115" i="2" s="1"/>
  <c r="I230" i="2"/>
  <c r="J230" i="2" s="1"/>
  <c r="H230" i="2"/>
  <c r="I249" i="2"/>
  <c r="J249" i="2" s="1"/>
  <c r="H249" i="2"/>
  <c r="I306" i="2"/>
  <c r="J306" i="2" s="1"/>
  <c r="H306" i="2"/>
  <c r="I401" i="2"/>
  <c r="J401" i="2" s="1"/>
  <c r="H401" i="2"/>
  <c r="H423" i="2"/>
  <c r="I451" i="2"/>
  <c r="J451" i="2" s="1"/>
  <c r="H451" i="2"/>
  <c r="I512" i="2"/>
  <c r="J512" i="2" s="1"/>
  <c r="I519" i="2"/>
  <c r="J519" i="2" s="1"/>
  <c r="H519" i="2"/>
  <c r="I587" i="2"/>
  <c r="J587" i="2" s="1"/>
  <c r="H587" i="2"/>
  <c r="I633" i="2"/>
  <c r="J633" i="2" s="1"/>
  <c r="H633" i="2"/>
  <c r="I786" i="2"/>
  <c r="J786" i="2" s="1"/>
  <c r="H786" i="2"/>
  <c r="I793" i="2"/>
  <c r="J793" i="2" s="1"/>
  <c r="H793" i="2"/>
  <c r="H801" i="2"/>
  <c r="I574" i="2"/>
  <c r="J574" i="2" s="1"/>
  <c r="H574" i="2"/>
  <c r="I596" i="2"/>
  <c r="J596" i="2" s="1"/>
  <c r="H596" i="2"/>
  <c r="I89" i="2"/>
  <c r="J89" i="2" s="1"/>
  <c r="I99" i="2"/>
  <c r="J99" i="2" s="1"/>
  <c r="H99" i="2"/>
  <c r="I181" i="2"/>
  <c r="J181" i="2" s="1"/>
  <c r="H181" i="2"/>
  <c r="H193" i="2"/>
  <c r="I274" i="2"/>
  <c r="J274" i="2" s="1"/>
  <c r="I289" i="2"/>
  <c r="J289" i="2" s="1"/>
  <c r="H289" i="2"/>
  <c r="I366" i="2"/>
  <c r="J366" i="2" s="1"/>
  <c r="H366" i="2"/>
  <c r="H387" i="2"/>
  <c r="I402" i="2"/>
  <c r="J402" i="2" s="1"/>
  <c r="H402" i="2"/>
  <c r="I416" i="2"/>
  <c r="J416" i="2" s="1"/>
  <c r="H416" i="2"/>
  <c r="H453" i="2"/>
  <c r="H505" i="2"/>
  <c r="I505" i="2"/>
  <c r="J505" i="2" s="1"/>
  <c r="I654" i="2"/>
  <c r="J654" i="2" s="1"/>
  <c r="H654" i="2"/>
  <c r="I668" i="2"/>
  <c r="J668" i="2" s="1"/>
  <c r="I802" i="2"/>
  <c r="J802" i="2" s="1"/>
  <c r="H802" i="2"/>
  <c r="H865" i="2"/>
  <c r="I865" i="2"/>
  <c r="J865" i="2" s="1"/>
  <c r="I1091" i="2"/>
  <c r="J1091" i="2" s="1"/>
  <c r="H1091" i="2"/>
  <c r="I244" i="2"/>
  <c r="J244" i="2" s="1"/>
  <c r="H244" i="2"/>
  <c r="I262" i="2"/>
  <c r="J262" i="2" s="1"/>
  <c r="H262" i="2"/>
  <c r="I276" i="2"/>
  <c r="J276" i="2" s="1"/>
  <c r="H276" i="2"/>
  <c r="I301" i="2"/>
  <c r="J301" i="2" s="1"/>
  <c r="H301" i="2"/>
  <c r="I326" i="2"/>
  <c r="J326" i="2" s="1"/>
  <c r="H326" i="2"/>
  <c r="I471" i="2"/>
  <c r="J471" i="2" s="1"/>
  <c r="H471" i="2"/>
  <c r="I484" i="2"/>
  <c r="J484" i="2" s="1"/>
  <c r="H484" i="2"/>
  <c r="I531" i="2"/>
  <c r="J531" i="2" s="1"/>
  <c r="H531" i="2"/>
  <c r="I598" i="2"/>
  <c r="J598" i="2" s="1"/>
  <c r="H598" i="2"/>
  <c r="I669" i="2"/>
  <c r="J669" i="2" s="1"/>
  <c r="H669" i="2"/>
  <c r="H735" i="2"/>
  <c r="I735" i="2"/>
  <c r="J735" i="2" s="1"/>
  <c r="I782" i="2"/>
  <c r="J782" i="2" s="1"/>
  <c r="H782" i="2"/>
  <c r="I830" i="2"/>
  <c r="J830" i="2" s="1"/>
  <c r="H830" i="2"/>
  <c r="I847" i="2"/>
  <c r="J847" i="2" s="1"/>
  <c r="H847" i="2"/>
  <c r="I912" i="2"/>
  <c r="J912" i="2" s="1"/>
  <c r="H912" i="2"/>
  <c r="I1133" i="2"/>
  <c r="J1133" i="2" s="1"/>
  <c r="H1133" i="2"/>
  <c r="H1235" i="2"/>
  <c r="I1243" i="2"/>
  <c r="J1243" i="2" s="1"/>
  <c r="H1243" i="2"/>
  <c r="I745" i="2"/>
  <c r="J745" i="2" s="1"/>
  <c r="H745" i="2"/>
  <c r="I848" i="2"/>
  <c r="J848" i="2" s="1"/>
  <c r="H848" i="2"/>
  <c r="I857" i="2"/>
  <c r="J857" i="2" s="1"/>
  <c r="H857" i="2"/>
  <c r="I904" i="2"/>
  <c r="J904" i="2" s="1"/>
  <c r="H904" i="2"/>
  <c r="I1198" i="2"/>
  <c r="J1198" i="2" s="1"/>
  <c r="H1198" i="2"/>
  <c r="H288" i="2"/>
  <c r="I361" i="2"/>
  <c r="J361" i="2" s="1"/>
  <c r="I503" i="2"/>
  <c r="J503" i="2" s="1"/>
  <c r="H503" i="2"/>
  <c r="I516" i="2"/>
  <c r="J516" i="2" s="1"/>
  <c r="H516" i="2"/>
  <c r="I631" i="2"/>
  <c r="J631" i="2" s="1"/>
  <c r="H631" i="2"/>
  <c r="I752" i="2"/>
  <c r="J752" i="2" s="1"/>
  <c r="H752" i="2"/>
  <c r="I935" i="2"/>
  <c r="J935" i="2" s="1"/>
  <c r="H935" i="2"/>
  <c r="I1032" i="2"/>
  <c r="J1032" i="2" s="1"/>
  <c r="H1032" i="2"/>
  <c r="I1056" i="2"/>
  <c r="J1056" i="2" s="1"/>
  <c r="H1056" i="2"/>
  <c r="I373" i="2"/>
  <c r="J373" i="2" s="1"/>
  <c r="H373" i="2"/>
  <c r="I383" i="2"/>
  <c r="J383" i="2" s="1"/>
  <c r="H383" i="2"/>
  <c r="I388" i="2"/>
  <c r="J388" i="2" s="1"/>
  <c r="H388" i="2"/>
  <c r="I393" i="2"/>
  <c r="J393" i="2" s="1"/>
  <c r="H393" i="2"/>
  <c r="H433" i="2"/>
  <c r="H490" i="2"/>
  <c r="H509" i="2"/>
  <c r="H600" i="2"/>
  <c r="I617" i="2"/>
  <c r="J617" i="2" s="1"/>
  <c r="H617" i="2"/>
  <c r="I623" i="2"/>
  <c r="J623" i="2" s="1"/>
  <c r="I632" i="2"/>
  <c r="J632" i="2" s="1"/>
  <c r="I671" i="2"/>
  <c r="J671" i="2" s="1"/>
  <c r="H671" i="2"/>
  <c r="I746" i="2"/>
  <c r="J746" i="2" s="1"/>
  <c r="H746" i="2"/>
  <c r="H760" i="2"/>
  <c r="I799" i="2"/>
  <c r="J799" i="2" s="1"/>
  <c r="I817" i="2"/>
  <c r="J817" i="2" s="1"/>
  <c r="H896" i="2"/>
  <c r="I928" i="2"/>
  <c r="J928" i="2" s="1"/>
  <c r="H268" i="2"/>
  <c r="H357" i="2"/>
  <c r="H378" i="2"/>
  <c r="H410" i="2"/>
  <c r="H427" i="2"/>
  <c r="I427" i="2"/>
  <c r="J427" i="2" s="1"/>
  <c r="I541" i="2"/>
  <c r="J541" i="2" s="1"/>
  <c r="H541" i="2"/>
  <c r="I691" i="2"/>
  <c r="J691" i="2" s="1"/>
  <c r="H691" i="2"/>
  <c r="I839" i="2"/>
  <c r="J839" i="2" s="1"/>
  <c r="H839" i="2"/>
  <c r="I1214" i="2"/>
  <c r="J1214" i="2" s="1"/>
  <c r="H1214" i="2"/>
  <c r="H479" i="2"/>
  <c r="I479" i="2"/>
  <c r="J479" i="2" s="1"/>
  <c r="I491" i="2"/>
  <c r="J491" i="2" s="1"/>
  <c r="H491" i="2"/>
  <c r="I542" i="2"/>
  <c r="J542" i="2" s="1"/>
  <c r="H542" i="2"/>
  <c r="I573" i="2"/>
  <c r="J573" i="2" s="1"/>
  <c r="H573" i="2"/>
  <c r="I601" i="2"/>
  <c r="J601" i="2" s="1"/>
  <c r="H601" i="2"/>
  <c r="I624" i="2"/>
  <c r="J624" i="2" s="1"/>
  <c r="H624" i="2"/>
  <c r="I658" i="2"/>
  <c r="J658" i="2" s="1"/>
  <c r="H658" i="2"/>
  <c r="H754" i="2"/>
  <c r="I754" i="2"/>
  <c r="J754" i="2" s="1"/>
  <c r="I761" i="2"/>
  <c r="J761" i="2" s="1"/>
  <c r="H761" i="2"/>
  <c r="H879" i="2"/>
  <c r="I879" i="2"/>
  <c r="J879" i="2" s="1"/>
  <c r="I897" i="2"/>
  <c r="J897" i="2" s="1"/>
  <c r="H897" i="2"/>
  <c r="I1090" i="2"/>
  <c r="J1090" i="2" s="1"/>
  <c r="H1090" i="2"/>
  <c r="I418" i="2"/>
  <c r="J418" i="2" s="1"/>
  <c r="H418" i="2"/>
  <c r="I447" i="2"/>
  <c r="J447" i="2" s="1"/>
  <c r="H447" i="2"/>
  <c r="I487" i="2"/>
  <c r="J487" i="2" s="1"/>
  <c r="H487" i="2"/>
  <c r="I500" i="2"/>
  <c r="J500" i="2" s="1"/>
  <c r="H500" i="2"/>
  <c r="I550" i="2"/>
  <c r="J550" i="2" s="1"/>
  <c r="H550" i="2"/>
  <c r="H568" i="2"/>
  <c r="I568" i="2"/>
  <c r="J568" i="2" s="1"/>
  <c r="H749" i="2"/>
  <c r="I749" i="2"/>
  <c r="J749" i="2" s="1"/>
  <c r="I787" i="2"/>
  <c r="J787" i="2" s="1"/>
  <c r="H787" i="2"/>
  <c r="I871" i="2"/>
  <c r="J871" i="2" s="1"/>
  <c r="H871" i="2"/>
  <c r="I1036" i="2"/>
  <c r="J1036" i="2" s="1"/>
  <c r="H1036" i="2"/>
  <c r="I852" i="2"/>
  <c r="J852" i="2" s="1"/>
  <c r="H852" i="2"/>
  <c r="I964" i="2"/>
  <c r="J964" i="2" s="1"/>
  <c r="H964" i="2"/>
  <c r="I1249" i="2"/>
  <c r="J1249" i="2" s="1"/>
  <c r="H1249" i="2"/>
  <c r="H635" i="2"/>
  <c r="I635" i="2"/>
  <c r="J635" i="2" s="1"/>
  <c r="I714" i="2"/>
  <c r="J714" i="2" s="1"/>
  <c r="H714" i="2"/>
  <c r="I741" i="2"/>
  <c r="J741" i="2" s="1"/>
  <c r="H741" i="2"/>
  <c r="I853" i="2"/>
  <c r="J853" i="2" s="1"/>
  <c r="H853" i="2"/>
  <c r="I862" i="2"/>
  <c r="J862" i="2" s="1"/>
  <c r="H862" i="2"/>
  <c r="I970" i="2"/>
  <c r="J970" i="2" s="1"/>
  <c r="H970" i="2"/>
  <c r="I1263" i="2"/>
  <c r="J1263" i="2" s="1"/>
  <c r="H1263" i="2"/>
  <c r="I576" i="2"/>
  <c r="J576" i="2" s="1"/>
  <c r="H576" i="2"/>
  <c r="I364" i="2"/>
  <c r="J364" i="2" s="1"/>
  <c r="H364" i="2"/>
  <c r="I386" i="2"/>
  <c r="J386" i="2" s="1"/>
  <c r="H386" i="2"/>
  <c r="H562" i="2"/>
  <c r="I562" i="2"/>
  <c r="J562" i="2" s="1"/>
  <c r="H582" i="2"/>
  <c r="H620" i="2"/>
  <c r="I628" i="2"/>
  <c r="J628" i="2" s="1"/>
  <c r="H628" i="2"/>
  <c r="I661" i="2"/>
  <c r="J661" i="2" s="1"/>
  <c r="H661" i="2"/>
  <c r="I674" i="2"/>
  <c r="J674" i="2" s="1"/>
  <c r="I681" i="2"/>
  <c r="J681" i="2" s="1"/>
  <c r="I835" i="2"/>
  <c r="J835" i="2" s="1"/>
  <c r="H835" i="2"/>
  <c r="H854" i="2"/>
  <c r="I854" i="2"/>
  <c r="J854" i="2" s="1"/>
  <c r="I266" i="2"/>
  <c r="J266" i="2" s="1"/>
  <c r="H391" i="2"/>
  <c r="H482" i="2"/>
  <c r="H501" i="2"/>
  <c r="I563" i="2"/>
  <c r="J563" i="2" s="1"/>
  <c r="H563" i="2"/>
  <c r="H726" i="2"/>
  <c r="I726" i="2"/>
  <c r="J726" i="2" s="1"/>
  <c r="H821" i="2"/>
  <c r="I821" i="2"/>
  <c r="J821" i="2" s="1"/>
  <c r="I855" i="2"/>
  <c r="J855" i="2" s="1"/>
  <c r="H855" i="2"/>
  <c r="I1168" i="2"/>
  <c r="J1168" i="2" s="1"/>
  <c r="H1168" i="2"/>
  <c r="I1185" i="2"/>
  <c r="J1185" i="2" s="1"/>
  <c r="H1185" i="2"/>
  <c r="I570" i="2"/>
  <c r="J570" i="2" s="1"/>
  <c r="I589" i="2"/>
  <c r="J589" i="2" s="1"/>
  <c r="H589" i="2"/>
  <c r="I666" i="2"/>
  <c r="J666" i="2" s="1"/>
  <c r="I695" i="2"/>
  <c r="J695" i="2" s="1"/>
  <c r="H695" i="2"/>
  <c r="I986" i="2"/>
  <c r="J986" i="2" s="1"/>
  <c r="H986" i="2"/>
  <c r="I1015" i="2"/>
  <c r="J1015" i="2" s="1"/>
  <c r="H1015" i="2"/>
  <c r="H1051" i="2"/>
  <c r="I1051" i="2"/>
  <c r="J1051" i="2" s="1"/>
  <c r="I630" i="2"/>
  <c r="J630" i="2" s="1"/>
  <c r="H630" i="2"/>
  <c r="H688" i="2"/>
  <c r="I688" i="2"/>
  <c r="J688" i="2" s="1"/>
  <c r="I729" i="2"/>
  <c r="J729" i="2" s="1"/>
  <c r="H729" i="2"/>
  <c r="I756" i="2"/>
  <c r="J756" i="2" s="1"/>
  <c r="H756" i="2"/>
  <c r="I797" i="2"/>
  <c r="J797" i="2" s="1"/>
  <c r="H797" i="2"/>
  <c r="I813" i="2"/>
  <c r="J813" i="2" s="1"/>
  <c r="H813" i="2"/>
  <c r="I827" i="2"/>
  <c r="J827" i="2" s="1"/>
  <c r="H827" i="2"/>
  <c r="I893" i="2"/>
  <c r="J893" i="2" s="1"/>
  <c r="H893" i="2"/>
  <c r="I1052" i="2"/>
  <c r="J1052" i="2" s="1"/>
  <c r="H1052" i="2"/>
  <c r="I452" i="2"/>
  <c r="J452" i="2" s="1"/>
  <c r="H456" i="2"/>
  <c r="H467" i="2"/>
  <c r="H475" i="2"/>
  <c r="I538" i="2"/>
  <c r="J538" i="2" s="1"/>
  <c r="H543" i="2"/>
  <c r="I571" i="2"/>
  <c r="J571" i="2" s="1"/>
  <c r="H571" i="2"/>
  <c r="H597" i="2"/>
  <c r="I621" i="2"/>
  <c r="J621" i="2" s="1"/>
  <c r="H626" i="2"/>
  <c r="I702" i="2"/>
  <c r="J702" i="2" s="1"/>
  <c r="H702" i="2"/>
  <c r="I720" i="2"/>
  <c r="J720" i="2" s="1"/>
  <c r="H720" i="2"/>
  <c r="I730" i="2"/>
  <c r="J730" i="2" s="1"/>
  <c r="H730" i="2"/>
  <c r="I736" i="2"/>
  <c r="J736" i="2" s="1"/>
  <c r="H736" i="2"/>
  <c r="I841" i="2"/>
  <c r="J841" i="2" s="1"/>
  <c r="H841" i="2"/>
  <c r="I885" i="2"/>
  <c r="J885" i="2" s="1"/>
  <c r="H885" i="2"/>
  <c r="I902" i="2"/>
  <c r="J902" i="2" s="1"/>
  <c r="H924" i="2"/>
  <c r="I944" i="2"/>
  <c r="J944" i="2" s="1"/>
  <c r="H944" i="2"/>
  <c r="I1016" i="2"/>
  <c r="J1016" i="2" s="1"/>
  <c r="H1016" i="2"/>
  <c r="I1078" i="2"/>
  <c r="J1078" i="2" s="1"/>
  <c r="H1078" i="2"/>
  <c r="H1114" i="2"/>
  <c r="I1114" i="2"/>
  <c r="J1114" i="2" s="1"/>
  <c r="I527" i="2"/>
  <c r="J527" i="2" s="1"/>
  <c r="I552" i="2"/>
  <c r="J552" i="2" s="1"/>
  <c r="I612" i="2"/>
  <c r="J612" i="2" s="1"/>
  <c r="H612" i="2"/>
  <c r="I662" i="2"/>
  <c r="J662" i="2" s="1"/>
  <c r="I689" i="2"/>
  <c r="J689" i="2" s="1"/>
  <c r="H689" i="2"/>
  <c r="I696" i="2"/>
  <c r="J696" i="2" s="1"/>
  <c r="I721" i="2"/>
  <c r="J721" i="2" s="1"/>
  <c r="H721" i="2"/>
  <c r="H744" i="2"/>
  <c r="I769" i="2"/>
  <c r="J769" i="2" s="1"/>
  <c r="H769" i="2"/>
  <c r="H785" i="2"/>
  <c r="H805" i="2"/>
  <c r="H1070" i="2"/>
  <c r="I1115" i="2"/>
  <c r="J1115" i="2" s="1"/>
  <c r="H1115" i="2"/>
  <c r="I1152" i="2"/>
  <c r="J1152" i="2" s="1"/>
  <c r="H1152" i="2"/>
  <c r="I641" i="2"/>
  <c r="J641" i="2" s="1"/>
  <c r="I653" i="2"/>
  <c r="J653" i="2" s="1"/>
  <c r="H653" i="2"/>
  <c r="I690" i="2"/>
  <c r="J690" i="2" s="1"/>
  <c r="I737" i="2"/>
  <c r="J737" i="2" s="1"/>
  <c r="I842" i="2"/>
  <c r="J842" i="2" s="1"/>
  <c r="H842" i="2"/>
  <c r="I868" i="2"/>
  <c r="J868" i="2" s="1"/>
  <c r="H868" i="2"/>
  <c r="I877" i="2"/>
  <c r="J877" i="2" s="1"/>
  <c r="H877" i="2"/>
  <c r="I909" i="2"/>
  <c r="J909" i="2" s="1"/>
  <c r="H909" i="2"/>
  <c r="I1062" i="2"/>
  <c r="J1062" i="2" s="1"/>
  <c r="H1062" i="2"/>
  <c r="I1094" i="2"/>
  <c r="J1094" i="2" s="1"/>
  <c r="H1094" i="2"/>
  <c r="I1167" i="2"/>
  <c r="J1167" i="2" s="1"/>
  <c r="H1167" i="2"/>
  <c r="H1231" i="2"/>
  <c r="I1231" i="2"/>
  <c r="J1231" i="2" s="1"/>
  <c r="I539" i="2"/>
  <c r="J539" i="2" s="1"/>
  <c r="H539" i="2"/>
  <c r="I860" i="2"/>
  <c r="J860" i="2" s="1"/>
  <c r="H860" i="2"/>
  <c r="I878" i="2"/>
  <c r="J878" i="2" s="1"/>
  <c r="H878" i="2"/>
  <c r="I910" i="2"/>
  <c r="J910" i="2" s="1"/>
  <c r="H910" i="2"/>
  <c r="I925" i="2"/>
  <c r="J925" i="2" s="1"/>
  <c r="H925" i="2"/>
  <c r="I1131" i="2"/>
  <c r="J1131" i="2" s="1"/>
  <c r="H1131" i="2"/>
  <c r="I1195" i="2"/>
  <c r="J1195" i="2" s="1"/>
  <c r="H1195" i="2"/>
  <c r="I1361" i="2"/>
  <c r="J1361" i="2" s="1"/>
  <c r="H1361" i="2"/>
  <c r="I1415" i="2"/>
  <c r="J1415" i="2" s="1"/>
  <c r="H1415" i="2"/>
  <c r="H1438" i="2"/>
  <c r="I1438" i="2"/>
  <c r="J1438" i="2" s="1"/>
  <c r="I1491" i="2"/>
  <c r="J1491" i="2" s="1"/>
  <c r="H1491" i="2"/>
  <c r="H1541" i="2"/>
  <c r="I1541" i="2"/>
  <c r="J1541" i="2" s="1"/>
  <c r="I705" i="2"/>
  <c r="J705" i="2" s="1"/>
  <c r="H705" i="2"/>
  <c r="I823" i="2"/>
  <c r="J823" i="2" s="1"/>
  <c r="H823" i="2"/>
  <c r="I1057" i="2"/>
  <c r="J1057" i="2" s="1"/>
  <c r="H1057" i="2"/>
  <c r="I1140" i="2"/>
  <c r="J1140" i="2" s="1"/>
  <c r="H1140" i="2"/>
  <c r="I1353" i="2"/>
  <c r="J1353" i="2" s="1"/>
  <c r="H1353" i="2"/>
  <c r="I1362" i="2"/>
  <c r="J1362" i="2" s="1"/>
  <c r="H1362" i="2"/>
  <c r="I1375" i="2"/>
  <c r="J1375" i="2" s="1"/>
  <c r="H1375" i="2"/>
  <c r="I1427" i="2"/>
  <c r="J1427" i="2" s="1"/>
  <c r="H1427" i="2"/>
  <c r="I1460" i="2"/>
  <c r="J1460" i="2" s="1"/>
  <c r="H1460" i="2"/>
  <c r="I1482" i="2"/>
  <c r="J1482" i="2" s="1"/>
  <c r="H1482" i="2"/>
  <c r="I614" i="2"/>
  <c r="J614" i="2" s="1"/>
  <c r="H614" i="2"/>
  <c r="I699" i="2"/>
  <c r="J699" i="2" s="1"/>
  <c r="H699" i="2"/>
  <c r="I718" i="2"/>
  <c r="J718" i="2" s="1"/>
  <c r="H718" i="2"/>
  <c r="I740" i="2"/>
  <c r="J740" i="2" s="1"/>
  <c r="H740" i="2"/>
  <c r="I781" i="2"/>
  <c r="J781" i="2" s="1"/>
  <c r="H781" i="2"/>
  <c r="H789" i="2"/>
  <c r="I837" i="2"/>
  <c r="J837" i="2" s="1"/>
  <c r="H837" i="2"/>
  <c r="I864" i="2"/>
  <c r="J864" i="2" s="1"/>
  <c r="I882" i="2"/>
  <c r="J882" i="2" s="1"/>
  <c r="H882" i="2"/>
  <c r="H890" i="2"/>
  <c r="I890" i="2"/>
  <c r="J890" i="2" s="1"/>
  <c r="I906" i="2"/>
  <c r="J906" i="2" s="1"/>
  <c r="I965" i="2"/>
  <c r="J965" i="2" s="1"/>
  <c r="H965" i="2"/>
  <c r="H1020" i="2"/>
  <c r="I1020" i="2"/>
  <c r="J1020" i="2" s="1"/>
  <c r="I1035" i="2"/>
  <c r="J1035" i="2" s="1"/>
  <c r="H1035" i="2"/>
  <c r="I1074" i="2"/>
  <c r="J1074" i="2" s="1"/>
  <c r="H1074" i="2"/>
  <c r="I1120" i="2"/>
  <c r="J1120" i="2" s="1"/>
  <c r="H1120" i="2"/>
  <c r="I1156" i="2"/>
  <c r="J1156" i="2" s="1"/>
  <c r="H1156" i="2"/>
  <c r="I530" i="2"/>
  <c r="J530" i="2" s="1"/>
  <c r="H530" i="2"/>
  <c r="I555" i="2"/>
  <c r="J555" i="2" s="1"/>
  <c r="H555" i="2"/>
  <c r="I605" i="2"/>
  <c r="J605" i="2" s="1"/>
  <c r="I655" i="2"/>
  <c r="J655" i="2" s="1"/>
  <c r="H655" i="2"/>
  <c r="I811" i="2"/>
  <c r="J811" i="2" s="1"/>
  <c r="H811" i="2"/>
  <c r="I914" i="2"/>
  <c r="J914" i="2" s="1"/>
  <c r="H914" i="2"/>
  <c r="H1013" i="2"/>
  <c r="I1013" i="2"/>
  <c r="J1013" i="2" s="1"/>
  <c r="I1135" i="2"/>
  <c r="J1135" i="2" s="1"/>
  <c r="H1135" i="2"/>
  <c r="I1181" i="2"/>
  <c r="J1181" i="2" s="1"/>
  <c r="H1181" i="2"/>
  <c r="I1295" i="2"/>
  <c r="J1295" i="2" s="1"/>
  <c r="H1295" i="2"/>
  <c r="I1378" i="2"/>
  <c r="J1378" i="2" s="1"/>
  <c r="H1378" i="2"/>
  <c r="H1388" i="2"/>
  <c r="I1388" i="2"/>
  <c r="J1388" i="2" s="1"/>
  <c r="I1452" i="2"/>
  <c r="J1452" i="2" s="1"/>
  <c r="H1452" i="2"/>
  <c r="I1474" i="2"/>
  <c r="J1474" i="2" s="1"/>
  <c r="H1474" i="2"/>
  <c r="I1495" i="2"/>
  <c r="J1495" i="2" s="1"/>
  <c r="H1495" i="2"/>
  <c r="I838" i="2"/>
  <c r="J838" i="2" s="1"/>
  <c r="H838" i="2"/>
  <c r="I991" i="2"/>
  <c r="J991" i="2" s="1"/>
  <c r="H991" i="2"/>
  <c r="I1082" i="2"/>
  <c r="J1082" i="2" s="1"/>
  <c r="H1082" i="2"/>
  <c r="I1186" i="2"/>
  <c r="J1186" i="2" s="1"/>
  <c r="H1186" i="2"/>
  <c r="I1196" i="2"/>
  <c r="J1196" i="2" s="1"/>
  <c r="H1196" i="2"/>
  <c r="I1259" i="2"/>
  <c r="J1259" i="2" s="1"/>
  <c r="H1259" i="2"/>
  <c r="I1326" i="2"/>
  <c r="J1326" i="2" s="1"/>
  <c r="H1326" i="2"/>
  <c r="I932" i="2"/>
  <c r="J932" i="2" s="1"/>
  <c r="H932" i="2"/>
  <c r="I998" i="2"/>
  <c r="J998" i="2" s="1"/>
  <c r="H998" i="2"/>
  <c r="I1060" i="2"/>
  <c r="J1060" i="2" s="1"/>
  <c r="H1060" i="2"/>
  <c r="I1075" i="2"/>
  <c r="J1075" i="2" s="1"/>
  <c r="H1075" i="2"/>
  <c r="I1187" i="2"/>
  <c r="J1187" i="2" s="1"/>
  <c r="H1187" i="2"/>
  <c r="I1268" i="2"/>
  <c r="J1268" i="2" s="1"/>
  <c r="H1268" i="2"/>
  <c r="I1284" i="2"/>
  <c r="J1284" i="2" s="1"/>
  <c r="H1284" i="2"/>
  <c r="I1319" i="2"/>
  <c r="J1319" i="2" s="1"/>
  <c r="H1319" i="2"/>
  <c r="I778" i="2"/>
  <c r="J778" i="2" s="1"/>
  <c r="H778" i="2"/>
  <c r="I819" i="2"/>
  <c r="J819" i="2" s="1"/>
  <c r="H819" i="2"/>
  <c r="I863" i="2"/>
  <c r="J863" i="2" s="1"/>
  <c r="H863" i="2"/>
  <c r="I888" i="2"/>
  <c r="J888" i="2" s="1"/>
  <c r="H888" i="2"/>
  <c r="I960" i="2"/>
  <c r="J960" i="2" s="1"/>
  <c r="H960" i="2"/>
  <c r="I1040" i="2"/>
  <c r="J1040" i="2" s="1"/>
  <c r="H1040" i="2"/>
  <c r="I1180" i="2"/>
  <c r="J1180" i="2" s="1"/>
  <c r="H1180" i="2"/>
  <c r="H1188" i="2"/>
  <c r="I1188" i="2"/>
  <c r="J1188" i="2" s="1"/>
  <c r="I1204" i="2"/>
  <c r="J1204" i="2" s="1"/>
  <c r="H1204" i="2"/>
  <c r="H738" i="2"/>
  <c r="H767" i="2"/>
  <c r="H834" i="2"/>
  <c r="H858" i="2"/>
  <c r="H883" i="2"/>
  <c r="I917" i="2"/>
  <c r="J917" i="2" s="1"/>
  <c r="H917" i="2"/>
  <c r="H973" i="2"/>
  <c r="I1019" i="2"/>
  <c r="J1019" i="2" s="1"/>
  <c r="H1019" i="2"/>
  <c r="I1151" i="2"/>
  <c r="J1151" i="2" s="1"/>
  <c r="H1151" i="2"/>
  <c r="I1172" i="2"/>
  <c r="J1172" i="2" s="1"/>
  <c r="H1172" i="2"/>
  <c r="I1248" i="2"/>
  <c r="J1248" i="2" s="1"/>
  <c r="H1248" i="2"/>
  <c r="H1276" i="2"/>
  <c r="I1276" i="2"/>
  <c r="J1276" i="2" s="1"/>
  <c r="I743" i="2"/>
  <c r="J743" i="2" s="1"/>
  <c r="H743" i="2"/>
  <c r="I774" i="2"/>
  <c r="J774" i="2" s="1"/>
  <c r="I784" i="2"/>
  <c r="J784" i="2" s="1"/>
  <c r="H784" i="2"/>
  <c r="I815" i="2"/>
  <c r="J815" i="2" s="1"/>
  <c r="I825" i="2"/>
  <c r="J825" i="2" s="1"/>
  <c r="H825" i="2"/>
  <c r="I869" i="2"/>
  <c r="J869" i="2" s="1"/>
  <c r="H869" i="2"/>
  <c r="I894" i="2"/>
  <c r="J894" i="2" s="1"/>
  <c r="H894" i="2"/>
  <c r="H900" i="2"/>
  <c r="I946" i="2"/>
  <c r="J946" i="2" s="1"/>
  <c r="H946" i="2"/>
  <c r="H1048" i="2"/>
  <c r="I1117" i="2"/>
  <c r="J1117" i="2" s="1"/>
  <c r="H1117" i="2"/>
  <c r="I1144" i="2"/>
  <c r="J1144" i="2" s="1"/>
  <c r="H1144" i="2"/>
  <c r="I1270" i="2"/>
  <c r="J1270" i="2" s="1"/>
  <c r="H1270" i="2"/>
  <c r="I753" i="2"/>
  <c r="J753" i="2" s="1"/>
  <c r="H753" i="2"/>
  <c r="I775" i="2"/>
  <c r="J775" i="2" s="1"/>
  <c r="I794" i="2"/>
  <c r="J794" i="2" s="1"/>
  <c r="H794" i="2"/>
  <c r="I816" i="2"/>
  <c r="J816" i="2" s="1"/>
  <c r="I840" i="2"/>
  <c r="J840" i="2" s="1"/>
  <c r="I901" i="2"/>
  <c r="J901" i="2" s="1"/>
  <c r="H901" i="2"/>
  <c r="I940" i="2"/>
  <c r="J940" i="2" s="1"/>
  <c r="H940" i="2"/>
  <c r="I962" i="2"/>
  <c r="J962" i="2" s="1"/>
  <c r="H962" i="2"/>
  <c r="I1007" i="2"/>
  <c r="J1007" i="2" s="1"/>
  <c r="H1007" i="2"/>
  <c r="H1153" i="2"/>
  <c r="I1153" i="2"/>
  <c r="J1153" i="2" s="1"/>
  <c r="I1182" i="2"/>
  <c r="J1182" i="2" s="1"/>
  <c r="H1182" i="2"/>
  <c r="I1271" i="2"/>
  <c r="J1271" i="2" s="1"/>
  <c r="H1271" i="2"/>
  <c r="I759" i="2"/>
  <c r="J759" i="2" s="1"/>
  <c r="H759" i="2"/>
  <c r="I800" i="2"/>
  <c r="J800" i="2" s="1"/>
  <c r="H800" i="2"/>
  <c r="I913" i="2"/>
  <c r="J913" i="2" s="1"/>
  <c r="H913" i="2"/>
  <c r="I948" i="2"/>
  <c r="J948" i="2" s="1"/>
  <c r="H948" i="2"/>
  <c r="I994" i="2"/>
  <c r="J994" i="2" s="1"/>
  <c r="H994" i="2"/>
  <c r="I1043" i="2"/>
  <c r="J1043" i="2" s="1"/>
  <c r="H1043" i="2"/>
  <c r="I1132" i="2"/>
  <c r="J1132" i="2" s="1"/>
  <c r="H1132" i="2"/>
  <c r="I1219" i="2"/>
  <c r="J1219" i="2" s="1"/>
  <c r="H1219" i="2"/>
  <c r="I1234" i="2"/>
  <c r="J1234" i="2" s="1"/>
  <c r="H1234" i="2"/>
  <c r="I1383" i="2"/>
  <c r="J1383" i="2" s="1"/>
  <c r="H1383" i="2"/>
  <c r="I1394" i="2"/>
  <c r="J1394" i="2" s="1"/>
  <c r="H1394" i="2"/>
  <c r="H1404" i="2"/>
  <c r="I1404" i="2"/>
  <c r="J1404" i="2" s="1"/>
  <c r="I1437" i="2"/>
  <c r="J1437" i="2" s="1"/>
  <c r="H1437" i="2"/>
  <c r="I1490" i="2"/>
  <c r="J1490" i="2" s="1"/>
  <c r="H1490" i="2"/>
  <c r="I1512" i="2"/>
  <c r="J1512" i="2" s="1"/>
  <c r="H1512" i="2"/>
  <c r="I727" i="2"/>
  <c r="J727" i="2" s="1"/>
  <c r="H727" i="2"/>
  <c r="I920" i="2"/>
  <c r="J920" i="2" s="1"/>
  <c r="H920" i="2"/>
  <c r="I942" i="2"/>
  <c r="J942" i="2" s="1"/>
  <c r="H942" i="2"/>
  <c r="I1030" i="2"/>
  <c r="J1030" i="2" s="1"/>
  <c r="H1030" i="2"/>
  <c r="I1193" i="2"/>
  <c r="J1193" i="2" s="1"/>
  <c r="H1193" i="2"/>
  <c r="H1221" i="2"/>
  <c r="I1221" i="2"/>
  <c r="J1221" i="2" s="1"/>
  <c r="I1229" i="2"/>
  <c r="J1229" i="2" s="1"/>
  <c r="H1229" i="2"/>
  <c r="I1252" i="2"/>
  <c r="J1252" i="2" s="1"/>
  <c r="H1252" i="2"/>
  <c r="I1334" i="2"/>
  <c r="J1334" i="2" s="1"/>
  <c r="H1334" i="2"/>
  <c r="I1385" i="2"/>
  <c r="J1385" i="2" s="1"/>
  <c r="H1385" i="2"/>
  <c r="I1396" i="2"/>
  <c r="J1396" i="2" s="1"/>
  <c r="H1396" i="2"/>
  <c r="I1428" i="2"/>
  <c r="J1428" i="2" s="1"/>
  <c r="H1428" i="2"/>
  <c r="H684" i="2"/>
  <c r="H697" i="2"/>
  <c r="I715" i="2"/>
  <c r="J715" i="2" s="1"/>
  <c r="H715" i="2"/>
  <c r="I765" i="2"/>
  <c r="J765" i="2" s="1"/>
  <c r="H867" i="2"/>
  <c r="H892" i="2"/>
  <c r="H915" i="2"/>
  <c r="I943" i="2"/>
  <c r="J943" i="2" s="1"/>
  <c r="H943" i="2"/>
  <c r="H977" i="2"/>
  <c r="I989" i="2"/>
  <c r="J989" i="2" s="1"/>
  <c r="H989" i="2"/>
  <c r="I996" i="2"/>
  <c r="J996" i="2" s="1"/>
  <c r="H1093" i="2"/>
  <c r="I1099" i="2"/>
  <c r="J1099" i="2" s="1"/>
  <c r="H1099" i="2"/>
  <c r="I1121" i="2"/>
  <c r="J1121" i="2" s="1"/>
  <c r="I1161" i="2"/>
  <c r="J1161" i="2" s="1"/>
  <c r="H1161" i="2"/>
  <c r="H1169" i="2"/>
  <c r="I1169" i="2"/>
  <c r="J1169" i="2" s="1"/>
  <c r="H1222" i="2"/>
  <c r="I1222" i="2"/>
  <c r="J1222" i="2" s="1"/>
  <c r="H1289" i="2"/>
  <c r="I1289" i="2"/>
  <c r="J1289" i="2" s="1"/>
  <c r="I856" i="2"/>
  <c r="J856" i="2" s="1"/>
  <c r="H856" i="2"/>
  <c r="I881" i="2"/>
  <c r="J881" i="2" s="1"/>
  <c r="H881" i="2"/>
  <c r="I898" i="2"/>
  <c r="J898" i="2" s="1"/>
  <c r="H898" i="2"/>
  <c r="I931" i="2"/>
  <c r="J931" i="2" s="1"/>
  <c r="I990" i="2"/>
  <c r="J990" i="2" s="1"/>
  <c r="H990" i="2"/>
  <c r="I1023" i="2"/>
  <c r="J1023" i="2" s="1"/>
  <c r="H1023" i="2"/>
  <c r="H1038" i="2"/>
  <c r="I1038" i="2"/>
  <c r="J1038" i="2" s="1"/>
  <c r="I1194" i="2"/>
  <c r="J1194" i="2" s="1"/>
  <c r="H1194" i="2"/>
  <c r="I1230" i="2"/>
  <c r="J1230" i="2" s="1"/>
  <c r="H1230" i="2"/>
  <c r="I1164" i="2"/>
  <c r="J1164" i="2" s="1"/>
  <c r="H1164" i="2"/>
  <c r="I1320" i="2"/>
  <c r="J1320" i="2" s="1"/>
  <c r="H1320" i="2"/>
  <c r="H1347" i="2"/>
  <c r="I1347" i="2"/>
  <c r="J1347" i="2" s="1"/>
  <c r="I1011" i="2"/>
  <c r="J1011" i="2" s="1"/>
  <c r="H1011" i="2"/>
  <c r="I1104" i="2"/>
  <c r="J1104" i="2" s="1"/>
  <c r="H1104" i="2"/>
  <c r="I1112" i="2"/>
  <c r="J1112" i="2" s="1"/>
  <c r="H1112" i="2"/>
  <c r="I1129" i="2"/>
  <c r="J1129" i="2" s="1"/>
  <c r="H1129" i="2"/>
  <c r="I1136" i="2"/>
  <c r="J1136" i="2" s="1"/>
  <c r="H1136" i="2"/>
  <c r="I1220" i="2"/>
  <c r="J1220" i="2" s="1"/>
  <c r="H1220" i="2"/>
  <c r="H850" i="2"/>
  <c r="H866" i="2"/>
  <c r="H891" i="2"/>
  <c r="H907" i="2"/>
  <c r="H923" i="2"/>
  <c r="H930" i="2"/>
  <c r="H939" i="2"/>
  <c r="I974" i="2"/>
  <c r="J974" i="2" s="1"/>
  <c r="H1055" i="2"/>
  <c r="I1061" i="2"/>
  <c r="J1061" i="2" s="1"/>
  <c r="H1073" i="2"/>
  <c r="H1089" i="2"/>
  <c r="H1147" i="2"/>
  <c r="I1165" i="2"/>
  <c r="J1165" i="2" s="1"/>
  <c r="H1165" i="2"/>
  <c r="I1202" i="2"/>
  <c r="J1202" i="2" s="1"/>
  <c r="H1202" i="2"/>
  <c r="I1265" i="2"/>
  <c r="J1265" i="2" s="1"/>
  <c r="H1301" i="2"/>
  <c r="I1301" i="2"/>
  <c r="J1301" i="2" s="1"/>
  <c r="H1068" i="2"/>
  <c r="I1079" i="2"/>
  <c r="J1079" i="2" s="1"/>
  <c r="H1079" i="2"/>
  <c r="I1119" i="2"/>
  <c r="J1119" i="2" s="1"/>
  <c r="H1119" i="2"/>
  <c r="I1184" i="2"/>
  <c r="J1184" i="2" s="1"/>
  <c r="H1191" i="2"/>
  <c r="H1215" i="2"/>
  <c r="I1215" i="2"/>
  <c r="J1215" i="2" s="1"/>
  <c r="I1226" i="2"/>
  <c r="J1226" i="2" s="1"/>
  <c r="H1226" i="2"/>
  <c r="I1246" i="2"/>
  <c r="J1246" i="2" s="1"/>
  <c r="H1246" i="2"/>
  <c r="I1280" i="2"/>
  <c r="J1280" i="2" s="1"/>
  <c r="H1280" i="2"/>
  <c r="H980" i="2"/>
  <c r="H985" i="2"/>
  <c r="H1046" i="2"/>
  <c r="I1137" i="2"/>
  <c r="J1137" i="2" s="1"/>
  <c r="I1148" i="2"/>
  <c r="J1148" i="2" s="1"/>
  <c r="H1148" i="2"/>
  <c r="H1179" i="2"/>
  <c r="I1227" i="2"/>
  <c r="J1227" i="2" s="1"/>
  <c r="H1239" i="2"/>
  <c r="I1266" i="2"/>
  <c r="J1266" i="2" s="1"/>
  <c r="H1266" i="2"/>
  <c r="I953" i="2"/>
  <c r="J953" i="2" s="1"/>
  <c r="H953" i="2"/>
  <c r="I975" i="2"/>
  <c r="J975" i="2" s="1"/>
  <c r="H975" i="2"/>
  <c r="I1012" i="2"/>
  <c r="J1012" i="2" s="1"/>
  <c r="H1012" i="2"/>
  <c r="I1113" i="2"/>
  <c r="J1113" i="2" s="1"/>
  <c r="H1113" i="2"/>
  <c r="I1160" i="2"/>
  <c r="J1160" i="2" s="1"/>
  <c r="H1160" i="2"/>
  <c r="I1203" i="2"/>
  <c r="J1203" i="2" s="1"/>
  <c r="H1203" i="2"/>
  <c r="I1041" i="2"/>
  <c r="J1041" i="2" s="1"/>
  <c r="H1041" i="2"/>
  <c r="I1149" i="2"/>
  <c r="J1149" i="2" s="1"/>
  <c r="H1149" i="2"/>
  <c r="I1192" i="2"/>
  <c r="J1192" i="2" s="1"/>
  <c r="H1192" i="2"/>
  <c r="I1247" i="2"/>
  <c r="J1247" i="2" s="1"/>
  <c r="H1247" i="2"/>
  <c r="I1267" i="2"/>
  <c r="J1267" i="2" s="1"/>
  <c r="H1267" i="2"/>
  <c r="I1282" i="2"/>
  <c r="J1282" i="2" s="1"/>
  <c r="H1282" i="2"/>
  <c r="I937" i="2"/>
  <c r="J937" i="2" s="1"/>
  <c r="H937" i="2"/>
  <c r="I1037" i="2"/>
  <c r="J1037" i="2" s="1"/>
  <c r="H1037" i="2"/>
  <c r="I1116" i="2"/>
  <c r="J1116" i="2" s="1"/>
  <c r="H1116" i="2"/>
  <c r="H1206" i="2"/>
  <c r="I1206" i="2"/>
  <c r="J1206" i="2" s="1"/>
  <c r="I1236" i="2"/>
  <c r="J1236" i="2" s="1"/>
  <c r="H1236" i="2"/>
  <c r="H1242" i="2"/>
  <c r="I1307" i="2"/>
  <c r="J1307" i="2" s="1"/>
  <c r="H1307" i="2"/>
  <c r="I1053" i="2"/>
  <c r="J1053" i="2" s="1"/>
  <c r="H1053" i="2"/>
  <c r="H1059" i="2"/>
  <c r="I1103" i="2"/>
  <c r="J1103" i="2" s="1"/>
  <c r="H1103" i="2"/>
  <c r="I1128" i="2"/>
  <c r="J1128" i="2" s="1"/>
  <c r="H1128" i="2"/>
  <c r="I1145" i="2"/>
  <c r="J1145" i="2" s="1"/>
  <c r="H1145" i="2"/>
  <c r="I1250" i="2"/>
  <c r="J1250" i="2" s="1"/>
  <c r="H1250" i="2"/>
  <c r="I1308" i="2"/>
  <c r="J1308" i="2" s="1"/>
  <c r="H1308" i="2"/>
  <c r="I1336" i="2"/>
  <c r="J1336" i="2" s="1"/>
  <c r="H1336" i="2"/>
  <c r="I1344" i="2"/>
  <c r="J1344" i="2" s="1"/>
  <c r="H1344" i="2"/>
  <c r="I1355" i="2"/>
  <c r="J1355" i="2" s="1"/>
  <c r="H1355" i="2"/>
  <c r="I1303" i="2"/>
  <c r="J1303" i="2" s="1"/>
  <c r="H1303" i="2"/>
  <c r="I1313" i="2"/>
  <c r="J1313" i="2" s="1"/>
  <c r="H1313" i="2"/>
  <c r="I1409" i="2"/>
  <c r="J1409" i="2" s="1"/>
  <c r="H1409" i="2"/>
  <c r="I1453" i="2"/>
  <c r="J1453" i="2" s="1"/>
  <c r="H1453" i="2"/>
  <c r="I1475" i="2"/>
  <c r="J1475" i="2" s="1"/>
  <c r="H1475" i="2"/>
  <c r="H1251" i="2"/>
  <c r="H1272" i="2"/>
  <c r="H1287" i="2"/>
  <c r="I1296" i="2"/>
  <c r="J1296" i="2" s="1"/>
  <c r="H1296" i="2"/>
  <c r="I1314" i="2"/>
  <c r="J1314" i="2" s="1"/>
  <c r="H1314" i="2"/>
  <c r="I1328" i="2"/>
  <c r="J1328" i="2" s="1"/>
  <c r="H1328" i="2"/>
  <c r="I1339" i="2"/>
  <c r="J1339" i="2" s="1"/>
  <c r="H1339" i="2"/>
  <c r="I1399" i="2"/>
  <c r="J1399" i="2" s="1"/>
  <c r="H1399" i="2"/>
  <c r="I1410" i="2"/>
  <c r="J1410" i="2" s="1"/>
  <c r="H1410" i="2"/>
  <c r="I1421" i="2"/>
  <c r="J1421" i="2" s="1"/>
  <c r="H1421" i="2"/>
  <c r="I1443" i="2"/>
  <c r="J1443" i="2" s="1"/>
  <c r="H1443" i="2"/>
  <c r="H1454" i="2"/>
  <c r="I1454" i="2"/>
  <c r="J1454" i="2" s="1"/>
  <c r="H1476" i="2"/>
  <c r="I1476" i="2"/>
  <c r="J1476" i="2" s="1"/>
  <c r="I1304" i="2"/>
  <c r="J1304" i="2" s="1"/>
  <c r="H1304" i="2"/>
  <c r="H1315" i="2"/>
  <c r="I1315" i="2"/>
  <c r="J1315" i="2" s="1"/>
  <c r="I1329" i="2"/>
  <c r="J1329" i="2" s="1"/>
  <c r="H1329" i="2"/>
  <c r="I1358" i="2"/>
  <c r="J1358" i="2" s="1"/>
  <c r="H1358" i="2"/>
  <c r="I1444" i="2"/>
  <c r="J1444" i="2" s="1"/>
  <c r="H1444" i="2"/>
  <c r="I1517" i="2"/>
  <c r="J1517" i="2" s="1"/>
  <c r="H1517" i="2"/>
  <c r="I1292" i="2"/>
  <c r="J1292" i="2" s="1"/>
  <c r="I1316" i="2"/>
  <c r="J1316" i="2" s="1"/>
  <c r="H1316" i="2"/>
  <c r="I1323" i="2"/>
  <c r="J1323" i="2" s="1"/>
  <c r="H1323" i="2"/>
  <c r="I1330" i="2"/>
  <c r="J1330" i="2" s="1"/>
  <c r="H1330" i="2"/>
  <c r="I1369" i="2"/>
  <c r="J1369" i="2" s="1"/>
  <c r="H1369" i="2"/>
  <c r="I1380" i="2"/>
  <c r="J1380" i="2" s="1"/>
  <c r="H1380" i="2"/>
  <c r="I1487" i="2"/>
  <c r="J1487" i="2" s="1"/>
  <c r="H1487" i="2"/>
  <c r="I1497" i="2"/>
  <c r="J1497" i="2" s="1"/>
  <c r="H1497" i="2"/>
  <c r="I1509" i="2"/>
  <c r="J1509" i="2" s="1"/>
  <c r="H1509" i="2"/>
  <c r="I1538" i="2"/>
  <c r="J1538" i="2" s="1"/>
  <c r="H1538" i="2"/>
  <c r="I1305" i="2"/>
  <c r="J1305" i="2" s="1"/>
  <c r="H1305" i="2"/>
  <c r="H1331" i="2"/>
  <c r="I1331" i="2"/>
  <c r="J1331" i="2" s="1"/>
  <c r="I1350" i="2"/>
  <c r="J1350" i="2" s="1"/>
  <c r="H1350" i="2"/>
  <c r="I1370" i="2"/>
  <c r="J1370" i="2" s="1"/>
  <c r="H1370" i="2"/>
  <c r="I1391" i="2"/>
  <c r="J1391" i="2" s="1"/>
  <c r="H1391" i="2"/>
  <c r="I1412" i="2"/>
  <c r="J1412" i="2" s="1"/>
  <c r="H1412" i="2"/>
  <c r="I1498" i="2"/>
  <c r="J1498" i="2" s="1"/>
  <c r="H1498" i="2"/>
  <c r="I1539" i="2"/>
  <c r="J1539" i="2" s="1"/>
  <c r="H1539" i="2"/>
  <c r="I1244" i="2"/>
  <c r="J1244" i="2" s="1"/>
  <c r="I1283" i="2"/>
  <c r="J1283" i="2" s="1"/>
  <c r="H1283" i="2"/>
  <c r="H1306" i="2"/>
  <c r="I1306" i="2"/>
  <c r="J1306" i="2" s="1"/>
  <c r="I1351" i="2"/>
  <c r="J1351" i="2" s="1"/>
  <c r="H1351" i="2"/>
  <c r="I1371" i="2"/>
  <c r="J1371" i="2" s="1"/>
  <c r="H1371" i="2"/>
  <c r="I1401" i="2"/>
  <c r="J1401" i="2" s="1"/>
  <c r="H1401" i="2"/>
  <c r="I1446" i="2"/>
  <c r="J1446" i="2" s="1"/>
  <c r="H1446" i="2"/>
  <c r="I1468" i="2"/>
  <c r="J1468" i="2" s="1"/>
  <c r="H1468" i="2"/>
  <c r="I1530" i="2"/>
  <c r="J1530" i="2" s="1"/>
  <c r="H1530" i="2"/>
  <c r="H1269" i="2"/>
  <c r="H1372" i="2"/>
  <c r="I1372" i="2"/>
  <c r="J1372" i="2" s="1"/>
  <c r="I1402" i="2"/>
  <c r="J1402" i="2" s="1"/>
  <c r="H1402" i="2"/>
  <c r="I1424" i="2"/>
  <c r="J1424" i="2" s="1"/>
  <c r="H1424" i="2"/>
  <c r="I1457" i="2"/>
  <c r="J1457" i="2" s="1"/>
  <c r="H1457" i="2"/>
  <c r="I1479" i="2"/>
  <c r="J1479" i="2" s="1"/>
  <c r="H1479" i="2"/>
  <c r="I1519" i="2"/>
  <c r="J1519" i="2" s="1"/>
  <c r="H1519" i="2"/>
  <c r="I1264" i="2"/>
  <c r="J1264" i="2" s="1"/>
  <c r="H1264" i="2"/>
  <c r="I1318" i="2"/>
  <c r="J1318" i="2" s="1"/>
  <c r="H1318" i="2"/>
  <c r="I1342" i="2"/>
  <c r="J1342" i="2" s="1"/>
  <c r="H1342" i="2"/>
  <c r="I1352" i="2"/>
  <c r="J1352" i="2" s="1"/>
  <c r="H1352" i="2"/>
  <c r="I1360" i="2"/>
  <c r="J1360" i="2" s="1"/>
  <c r="H1360" i="2"/>
  <c r="I1393" i="2"/>
  <c r="J1393" i="2" s="1"/>
  <c r="H1393" i="2"/>
  <c r="I1403" i="2"/>
  <c r="J1403" i="2" s="1"/>
  <c r="H1403" i="2"/>
  <c r="I1436" i="2"/>
  <c r="J1436" i="2" s="1"/>
  <c r="H1436" i="2"/>
  <c r="I1489" i="2"/>
  <c r="J1489" i="2" s="1"/>
  <c r="H1489" i="2"/>
  <c r="I1500" i="2"/>
  <c r="J1500" i="2" s="1"/>
  <c r="H1500" i="2"/>
  <c r="I1511" i="2"/>
  <c r="J1511" i="2" s="1"/>
  <c r="H1511" i="2"/>
  <c r="I1335" i="2"/>
  <c r="J1335" i="2" s="1"/>
  <c r="H1335" i="2"/>
  <c r="H1363" i="2"/>
  <c r="I1363" i="2"/>
  <c r="J1363" i="2" s="1"/>
  <c r="I1426" i="2"/>
  <c r="J1426" i="2" s="1"/>
  <c r="H1426" i="2"/>
  <c r="I1449" i="2"/>
  <c r="J1449" i="2" s="1"/>
  <c r="H1449" i="2"/>
  <c r="I1459" i="2"/>
  <c r="J1459" i="2" s="1"/>
  <c r="H1459" i="2"/>
  <c r="I1471" i="2"/>
  <c r="J1471" i="2" s="1"/>
  <c r="H1471" i="2"/>
  <c r="I1481" i="2"/>
  <c r="J1481" i="2" s="1"/>
  <c r="H1481" i="2"/>
  <c r="H1492" i="2"/>
  <c r="I1492" i="2"/>
  <c r="J1492" i="2" s="1"/>
  <c r="H1532" i="2"/>
  <c r="I1532" i="2"/>
  <c r="J1532" i="2" s="1"/>
  <c r="I1279" i="2"/>
  <c r="J1279" i="2" s="1"/>
  <c r="H1279" i="2"/>
  <c r="H1321" i="2"/>
  <c r="I1337" i="2"/>
  <c r="J1337" i="2" s="1"/>
  <c r="H1337" i="2"/>
  <c r="I1345" i="2"/>
  <c r="J1345" i="2" s="1"/>
  <c r="H1345" i="2"/>
  <c r="I1386" i="2"/>
  <c r="J1386" i="2" s="1"/>
  <c r="H1386" i="2"/>
  <c r="I1407" i="2"/>
  <c r="J1407" i="2" s="1"/>
  <c r="H1407" i="2"/>
  <c r="H1429" i="2"/>
  <c r="I1429" i="2"/>
  <c r="J1429" i="2" s="1"/>
  <c r="H1514" i="2"/>
  <c r="I1514" i="2"/>
  <c r="J1514" i="2" s="1"/>
  <c r="H1286" i="2"/>
  <c r="I1346" i="2"/>
  <c r="J1346" i="2" s="1"/>
  <c r="H1346" i="2"/>
  <c r="I1377" i="2"/>
  <c r="J1377" i="2" s="1"/>
  <c r="H1377" i="2"/>
  <c r="I1387" i="2"/>
  <c r="J1387" i="2" s="1"/>
  <c r="H1387" i="2"/>
  <c r="I1441" i="2"/>
  <c r="J1441" i="2" s="1"/>
  <c r="H1441" i="2"/>
  <c r="I1451" i="2"/>
  <c r="J1451" i="2" s="1"/>
  <c r="H1451" i="2"/>
  <c r="I1462" i="2"/>
  <c r="J1462" i="2" s="1"/>
  <c r="H1462" i="2"/>
  <c r="I1473" i="2"/>
  <c r="J1473" i="2" s="1"/>
  <c r="H1473" i="2"/>
  <c r="I1484" i="2"/>
  <c r="J1484" i="2" s="1"/>
  <c r="H1484" i="2"/>
  <c r="I1506" i="2"/>
  <c r="J1506" i="2" s="1"/>
  <c r="H1506" i="2"/>
  <c r="H1382" i="2"/>
  <c r="H1398" i="2"/>
  <c r="H1414" i="2"/>
  <c r="H1423" i="2"/>
  <c r="H1448" i="2"/>
  <c r="H1470" i="2"/>
  <c r="H1486" i="2"/>
  <c r="H1508" i="2"/>
  <c r="H1411" i="2"/>
  <c r="H1420" i="2"/>
  <c r="H1445" i="2"/>
  <c r="H1461" i="2"/>
  <c r="H1483" i="2"/>
  <c r="H1499" i="2"/>
  <c r="H1376" i="2"/>
  <c r="H1392" i="2"/>
  <c r="H1408" i="2"/>
  <c r="H1442" i="2"/>
  <c r="H1332" i="2"/>
  <c r="H1348" i="2"/>
  <c r="H1364" i="2"/>
  <c r="H1373" i="2"/>
  <c r="H1389" i="2"/>
  <c r="H1405" i="2"/>
  <c r="H1430" i="2"/>
  <c r="H1439" i="2"/>
  <c r="H1455" i="2"/>
  <c r="H1477" i="2"/>
  <c r="H1493" i="2"/>
  <c r="H1515" i="2"/>
  <c r="H1524" i="2"/>
  <c r="H1542" i="2"/>
  <c r="H1317" i="2"/>
  <c r="H1333" i="2"/>
  <c r="H1349" i="2"/>
  <c r="H1374" i="2"/>
  <c r="H1390" i="2"/>
  <c r="H1406" i="2"/>
  <c r="H1431" i="2"/>
  <c r="H1440" i="2"/>
  <c r="H1456" i="2"/>
  <c r="H1478" i="2"/>
  <c r="H1494" i="2"/>
  <c r="H1516" i="2"/>
  <c r="H1525" i="2"/>
  <c r="H1543" i="2"/>
  <c r="H1340" i="2"/>
  <c r="H1356" i="2"/>
  <c r="H1381" i="2"/>
  <c r="H1397" i="2"/>
  <c r="H1413" i="2"/>
  <c r="H1422" i="2"/>
  <c r="H1447" i="2"/>
  <c r="H1463" i="2"/>
  <c r="H1469" i="2"/>
  <c r="H1485" i="2"/>
  <c r="H1501" i="2"/>
  <c r="H1507" i="2"/>
  <c r="H1063" i="2" l="1"/>
  <c r="E72" i="1" s="1"/>
  <c r="F72" i="1" s="1"/>
  <c r="H806" i="2"/>
  <c r="E57" i="1" s="1"/>
  <c r="F57" i="1" s="1"/>
  <c r="J368" i="2"/>
  <c r="G37" i="1" s="1"/>
  <c r="H37" i="1" s="1"/>
  <c r="J1544" i="2"/>
  <c r="G101" i="1" s="1"/>
  <c r="H101" i="1" s="1"/>
  <c r="H439" i="2"/>
  <c r="E41" i="1" s="1"/>
  <c r="F41" i="1" s="1"/>
  <c r="J643" i="2"/>
  <c r="G47" i="1" s="1"/>
  <c r="H47" i="1" s="1"/>
  <c r="H110" i="2"/>
  <c r="E21" i="1" s="1"/>
  <c r="F21" i="1" s="1"/>
  <c r="H1526" i="2"/>
  <c r="E99" i="1" s="1"/>
  <c r="F99" i="1" s="1"/>
  <c r="J1520" i="2"/>
  <c r="G98" i="1" s="1"/>
  <c r="H98" i="1" s="1"/>
  <c r="J1026" i="2"/>
  <c r="G68" i="1" s="1"/>
  <c r="H68" i="1" s="1"/>
  <c r="H66" i="1" s="1"/>
  <c r="L66" i="1" s="1"/>
  <c r="M66" i="1" s="1"/>
  <c r="J1207" i="2"/>
  <c r="G81" i="1" s="1"/>
  <c r="H81" i="1" s="1"/>
  <c r="J1105" i="2"/>
  <c r="G76" i="1" s="1"/>
  <c r="H76" i="1" s="1"/>
  <c r="H74" i="1" s="1"/>
  <c r="L74" i="1" s="1"/>
  <c r="M74" i="1" s="1"/>
  <c r="H676" i="2"/>
  <c r="E48" i="1" s="1"/>
  <c r="F48" i="1" s="1"/>
  <c r="J439" i="2"/>
  <c r="G41" i="1" s="1"/>
  <c r="H41" i="1" s="1"/>
  <c r="H368" i="2"/>
  <c r="E37" i="1" s="1"/>
  <c r="F37" i="1" s="1"/>
  <c r="H340" i="2"/>
  <c r="E36" i="1" s="1"/>
  <c r="F36" i="1" s="1"/>
  <c r="H129" i="2"/>
  <c r="E22" i="1" s="1"/>
  <c r="F22" i="1" s="1"/>
  <c r="J240" i="2"/>
  <c r="G27" i="1" s="1"/>
  <c r="H27" i="1" s="1"/>
  <c r="J1297" i="2"/>
  <c r="G85" i="1" s="1"/>
  <c r="H85" i="1" s="1"/>
  <c r="J110" i="2"/>
  <c r="G21" i="1" s="1"/>
  <c r="H21" i="1" s="1"/>
  <c r="H533" i="2"/>
  <c r="E42" i="1" s="1"/>
  <c r="F42" i="1" s="1"/>
  <c r="H1544" i="2"/>
  <c r="E101" i="1" s="1"/>
  <c r="F101" i="1" s="1"/>
  <c r="J1432" i="2"/>
  <c r="G92" i="1" s="1"/>
  <c r="H92" i="1" s="1"/>
  <c r="J1175" i="2"/>
  <c r="G80" i="1" s="1"/>
  <c r="H80" i="1" s="1"/>
  <c r="H1105" i="2"/>
  <c r="E76" i="1" s="1"/>
  <c r="F76" i="1" s="1"/>
  <c r="J340" i="2"/>
  <c r="G36" i="1" s="1"/>
  <c r="H36" i="1" s="1"/>
  <c r="H1533" i="2"/>
  <c r="E100" i="1" s="1"/>
  <c r="F100" i="1" s="1"/>
  <c r="H1297" i="2"/>
  <c r="E85" i="1" s="1"/>
  <c r="F85" i="1" s="1"/>
  <c r="J955" i="2"/>
  <c r="G63" i="1" s="1"/>
  <c r="H63" i="1" s="1"/>
  <c r="J676" i="2"/>
  <c r="G48" i="1" s="1"/>
  <c r="H48" i="1" s="1"/>
  <c r="H643" i="2"/>
  <c r="E47" i="1" s="1"/>
  <c r="F47" i="1" s="1"/>
  <c r="H315" i="2"/>
  <c r="E32" i="1" s="1"/>
  <c r="F32" i="1" s="1"/>
  <c r="H590" i="2"/>
  <c r="E43" i="1" s="1"/>
  <c r="F43" i="1" s="1"/>
  <c r="J590" i="2"/>
  <c r="G43" i="1" s="1"/>
  <c r="H43" i="1" s="1"/>
  <c r="J533" i="2"/>
  <c r="G42" i="1" s="1"/>
  <c r="H42" i="1" s="1"/>
  <c r="H53" i="2"/>
  <c r="E20" i="1" s="1"/>
  <c r="F20" i="1" s="1"/>
  <c r="J53" i="2"/>
  <c r="G20" i="1" s="1"/>
  <c r="H20" i="1" s="1"/>
  <c r="J1533" i="2"/>
  <c r="G100" i="1" s="1"/>
  <c r="H100" i="1" s="1"/>
  <c r="H722" i="2"/>
  <c r="E52" i="1" s="1"/>
  <c r="F52" i="1" s="1"/>
  <c r="H1502" i="2"/>
  <c r="E94" i="1" s="1"/>
  <c r="F94" i="1" s="1"/>
  <c r="H1207" i="2"/>
  <c r="E81" i="1" s="1"/>
  <c r="F81" i="1" s="1"/>
  <c r="H1175" i="2"/>
  <c r="E80" i="1" s="1"/>
  <c r="F80" i="1" s="1"/>
  <c r="J722" i="2"/>
  <c r="G52" i="1" s="1"/>
  <c r="H186" i="2"/>
  <c r="E26" i="1" s="1"/>
  <c r="F26" i="1" s="1"/>
  <c r="H1416" i="2"/>
  <c r="E88" i="1" s="1"/>
  <c r="F88" i="1" s="1"/>
  <c r="J843" i="2"/>
  <c r="G58" i="1" s="1"/>
  <c r="H58" i="1" s="1"/>
  <c r="J1464" i="2"/>
  <c r="G93" i="1" s="1"/>
  <c r="H93" i="1" s="1"/>
  <c r="H955" i="2"/>
  <c r="E63" i="1" s="1"/>
  <c r="F63" i="1" s="1"/>
  <c r="H872" i="2"/>
  <c r="E59" i="1" s="1"/>
  <c r="F59" i="1" s="1"/>
  <c r="J186" i="2"/>
  <c r="G26" i="1" s="1"/>
  <c r="H26" i="1" s="1"/>
  <c r="J1502" i="2"/>
  <c r="G94" i="1" s="1"/>
  <c r="H94" i="1" s="1"/>
  <c r="J872" i="2"/>
  <c r="G59" i="1" s="1"/>
  <c r="H59" i="1" s="1"/>
  <c r="J1365" i="2"/>
  <c r="G87" i="1" s="1"/>
  <c r="H87" i="1" s="1"/>
  <c r="H1464" i="2"/>
  <c r="E93" i="1" s="1"/>
  <c r="F93" i="1" s="1"/>
  <c r="H240" i="2"/>
  <c r="E27" i="1" s="1"/>
  <c r="F27" i="1" s="1"/>
  <c r="J129" i="2"/>
  <c r="G22" i="1" s="1"/>
  <c r="H22" i="1" s="1"/>
  <c r="H1026" i="2"/>
  <c r="E68" i="1" s="1"/>
  <c r="F68" i="1" s="1"/>
  <c r="H1001" i="2"/>
  <c r="E64" i="1" s="1"/>
  <c r="F64" i="1" s="1"/>
  <c r="J1309" i="2"/>
  <c r="G86" i="1" s="1"/>
  <c r="H86" i="1" s="1"/>
  <c r="J1001" i="2"/>
  <c r="G64" i="1" s="1"/>
  <c r="H64" i="1" s="1"/>
  <c r="H1520" i="2"/>
  <c r="E98" i="1" s="1"/>
  <c r="F98" i="1" s="1"/>
  <c r="H1309" i="2"/>
  <c r="E86" i="1" s="1"/>
  <c r="F86" i="1" s="1"/>
  <c r="J806" i="2"/>
  <c r="G57" i="1" s="1"/>
  <c r="H57" i="1" s="1"/>
  <c r="J315" i="2"/>
  <c r="G32" i="1" s="1"/>
  <c r="H32" i="1" s="1"/>
  <c r="H770" i="2"/>
  <c r="E53" i="1" s="1"/>
  <c r="F53" i="1" s="1"/>
  <c r="J1416" i="2"/>
  <c r="G88" i="1" s="1"/>
  <c r="H88" i="1" s="1"/>
  <c r="J1063" i="2"/>
  <c r="G72" i="1" s="1"/>
  <c r="H72" i="1" s="1"/>
  <c r="H70" i="1" s="1"/>
  <c r="L70" i="1" s="1"/>
  <c r="M70" i="1" s="1"/>
  <c r="J770" i="2"/>
  <c r="G53" i="1" s="1"/>
  <c r="H53" i="1" s="1"/>
  <c r="H50" i="1" s="1"/>
  <c r="L50" i="1" s="1"/>
  <c r="M50" i="1" s="1"/>
  <c r="H281" i="2"/>
  <c r="E31" i="1" s="1"/>
  <c r="F31" i="1" s="1"/>
  <c r="H1432" i="2"/>
  <c r="E92" i="1" s="1"/>
  <c r="F92" i="1" s="1"/>
  <c r="H1365" i="2"/>
  <c r="E87" i="1" s="1"/>
  <c r="F87" i="1" s="1"/>
  <c r="J281" i="2"/>
  <c r="G31" i="1" s="1"/>
  <c r="H31" i="1" s="1"/>
  <c r="H843" i="2"/>
  <c r="E58" i="1" s="1"/>
  <c r="F58" i="1" s="1"/>
  <c r="H34" i="1" l="1"/>
  <c r="L34" i="1" s="1"/>
  <c r="M34" i="1" s="1"/>
  <c r="H29" i="1"/>
  <c r="L29" i="1" s="1"/>
  <c r="M29" i="1" s="1"/>
  <c r="H45" i="1"/>
  <c r="L45" i="1" s="1"/>
  <c r="M45" i="1" s="1"/>
  <c r="H78" i="1"/>
  <c r="L78" i="1" s="1"/>
  <c r="M78" i="1" s="1"/>
  <c r="H96" i="1"/>
  <c r="H61" i="1"/>
  <c r="L61" i="1" s="1"/>
  <c r="M61" i="1" s="1"/>
  <c r="H24" i="1"/>
  <c r="L24" i="1" s="1"/>
  <c r="M24" i="1" s="1"/>
  <c r="H90" i="1"/>
  <c r="L90" i="1" s="1"/>
  <c r="M90" i="1" s="1"/>
  <c r="H39" i="1"/>
  <c r="L39" i="1" s="1"/>
  <c r="M39" i="1" s="1"/>
  <c r="H83" i="1"/>
  <c r="L83" i="1" s="1"/>
  <c r="M83" i="1" s="1"/>
  <c r="H18" i="1"/>
  <c r="L18" i="1" s="1"/>
  <c r="M18" i="1" s="1"/>
  <c r="K96" i="1"/>
  <c r="H55" i="1"/>
  <c r="L55" i="1" s="1"/>
  <c r="M55" i="1" s="1"/>
  <c r="L96" i="1" l="1"/>
  <c r="M96" i="1" s="1"/>
  <c r="K103" i="1"/>
  <c r="H103" i="1"/>
</calcChain>
</file>

<file path=xl/sharedStrings.xml><?xml version="1.0" encoding="utf-8"?>
<sst xmlns="http://schemas.openxmlformats.org/spreadsheetml/2006/main" count="6474" uniqueCount="1643">
  <si>
    <r>
      <rPr>
        <b/>
        <sz val="12"/>
        <color theme="1"/>
        <rFont val="Arial"/>
        <family val="2"/>
      </rPr>
      <t xml:space="preserve">Anexo III - </t>
    </r>
    <r>
      <rPr>
        <b/>
        <sz val="10"/>
        <color theme="1"/>
        <rFont val="Arial"/>
        <family val="2"/>
      </rPr>
      <t>PROPOSTA DE PREÇOS (MODELO DE DESCRITIVO)</t>
    </r>
  </si>
  <si>
    <t>DADOS DO FORNECEDOR</t>
  </si>
  <si>
    <t>Fornecedor:</t>
  </si>
  <si>
    <t>CNPJ/CPF:</t>
  </si>
  <si>
    <t>Inscrição Estadual:</t>
  </si>
  <si>
    <t>Endereço:</t>
  </si>
  <si>
    <t>Bairro:</t>
  </si>
  <si>
    <t>CEP:</t>
  </si>
  <si>
    <t>Cidade:</t>
  </si>
  <si>
    <t>Estado:</t>
  </si>
  <si>
    <t>Telefone:</t>
  </si>
  <si>
    <t>e-mail:</t>
  </si>
  <si>
    <t>Banco:</t>
  </si>
  <si>
    <t xml:space="preserve">      Agência:                                                 Conta corrente:</t>
  </si>
  <si>
    <r>
      <rPr>
        <sz val="10"/>
        <color theme="1"/>
        <rFont val="Arial"/>
        <family val="2"/>
      </rPr>
      <t xml:space="preserve">Constitui objeto desta licitação: </t>
    </r>
    <r>
      <rPr>
        <b/>
        <sz val="10"/>
        <color theme="1"/>
        <rFont val="Arial"/>
        <family val="2"/>
      </rPr>
      <t>Contratação de Serviço de Locação de Caixas de Instrumental Cirúrgico</t>
    </r>
    <r>
      <rPr>
        <sz val="10"/>
        <color theme="1"/>
        <rFont val="Arial"/>
        <family val="2"/>
      </rPr>
      <t>, para atender o Hospital Universitário do Oeste do Paraná</t>
    </r>
  </si>
  <si>
    <t/>
  </si>
  <si>
    <t>PESQUISA AGEIS</t>
  </si>
  <si>
    <t>Valor Edital</t>
  </si>
  <si>
    <t>Serviço de Locação de Instrumentais para Cirurgia Cardíaca</t>
  </si>
  <si>
    <t>SUBITEM</t>
  </si>
  <si>
    <t xml:space="preserve">Caixa de Instrumental </t>
  </si>
  <si>
    <t>QTD</t>
  </si>
  <si>
    <t>Valor Unit Bruto</t>
  </si>
  <si>
    <t>Valor Total Bruto</t>
  </si>
  <si>
    <t>Valor Unit sem ICMS</t>
  </si>
  <si>
    <t>Valor Total sem ICMS</t>
  </si>
  <si>
    <t xml:space="preserve"> Aliquota % ICMS</t>
  </si>
  <si>
    <t>1.1</t>
  </si>
  <si>
    <t>CAIXA CIRURGIA CORONÁRIA</t>
  </si>
  <si>
    <t>1.2</t>
  </si>
  <si>
    <t>CAIXA CIRURGIA DE VÁLVULA CARDÍACA</t>
  </si>
  <si>
    <t>1.3</t>
  </si>
  <si>
    <t>CAIXA CIRURGIA CARDIOVASCULAR DELICADA</t>
  </si>
  <si>
    <t>Serviço de Locação de Instrumentais para Cirurgia de Laparotomia</t>
  </si>
  <si>
    <t>2.1</t>
  </si>
  <si>
    <t>CAIXA LAPAROTOMIA ADULTO</t>
  </si>
  <si>
    <t>2.2</t>
  </si>
  <si>
    <t>CAIXA LAPAROTOMIA INFANTIL</t>
  </si>
  <si>
    <t>Serviço de Locação de Instrumentais para Cirurgia Geral</t>
  </si>
  <si>
    <t>3.1</t>
  </si>
  <si>
    <t>CAIXA CIRURGIA GERAL MEDIO PORTE</t>
  </si>
  <si>
    <t>3.2</t>
  </si>
  <si>
    <t>CAIXA CIRURGIA GERAL PEQUENO PORTE</t>
  </si>
  <si>
    <t>Serviço de Locação de Instrumentais para Cirurgia de Otorrinolaringologia</t>
  </si>
  <si>
    <t>4.1</t>
  </si>
  <si>
    <t>CAIXA RINOPLASTIA</t>
  </si>
  <si>
    <t>4.2</t>
  </si>
  <si>
    <t>CAIXA OTORRINO PARA PS</t>
  </si>
  <si>
    <t>Serviço de Locação de Instrumetais para Cirurgia Neurológicas</t>
  </si>
  <si>
    <t>5.1</t>
  </si>
  <si>
    <t>CAIXA DE LAMINECTOMIA</t>
  </si>
  <si>
    <t>5.2</t>
  </si>
  <si>
    <t>CAIXA CIRURGIA CRANIOTOMIA</t>
  </si>
  <si>
    <t>5.3</t>
  </si>
  <si>
    <t>CAIXA BASICA NEUROCIRURGIA</t>
  </si>
  <si>
    <t>Serviço de Locação de Instrumentais para Cirurgias Gastroenterológica</t>
  </si>
  <si>
    <t>6.1</t>
  </si>
  <si>
    <t>CAIXA DE COLECISTECTOMIA</t>
  </si>
  <si>
    <t>6.2</t>
  </si>
  <si>
    <t>CAIXA APENDICECTOMIA E CISTOSTOMIA</t>
  </si>
  <si>
    <t>Serviço de Locação de Instrumentais para Cirurgias Torácica</t>
  </si>
  <si>
    <t>7.1</t>
  </si>
  <si>
    <t>CAIXA CIRURGIA TORACOTOMIA</t>
  </si>
  <si>
    <t>7.2</t>
  </si>
  <si>
    <t>CAIXA TORACOTOMIA INFANTIL</t>
  </si>
  <si>
    <t>Serviço de Locação de Instrumentais para Cirurgia Ginecológica e Obstetrícia</t>
  </si>
  <si>
    <t>8.1</t>
  </si>
  <si>
    <t>CAIXA CURETAGEM UTERINA</t>
  </si>
  <si>
    <t>8.2</t>
  </si>
  <si>
    <t>CAIXA HISTERECTOMIA ABDOMINAL</t>
  </si>
  <si>
    <t>8.3</t>
  </si>
  <si>
    <t>CAIXA PARTO CESÁREA</t>
  </si>
  <si>
    <t>Serviço de Locação de Instrumetais para Cirurgia Odontológicas</t>
  </si>
  <si>
    <t>9.1</t>
  </si>
  <si>
    <t>CAIXA CIRURGIA BUCOMAXILOFACIAL</t>
  </si>
  <si>
    <t>9.2</t>
  </si>
  <si>
    <t>CAIXA CIRURGICA EXTRAÇÃO BUCO</t>
  </si>
  <si>
    <t>Serviço de Locação de Instrumetais para Cirurgias Coloproctologia</t>
  </si>
  <si>
    <t>10.1</t>
  </si>
  <si>
    <t>CAIXA DE HEMORROIDECTOMIA</t>
  </si>
  <si>
    <t>Serviço de Locação de Instrumetais para Cirurgia Bariátrica</t>
  </si>
  <si>
    <t>11.1</t>
  </si>
  <si>
    <t>CAIXA CIRURGIA BARIATRICA</t>
  </si>
  <si>
    <t>Serviço de Locação de Instrumetais para Cirurgia de Cabeça e pescoço</t>
  </si>
  <si>
    <t>12.1</t>
  </si>
  <si>
    <t>CAIXA CIRURGIA CABEÇA E PESCOÇO</t>
  </si>
  <si>
    <t>Serviço de Locação de Instrumentais para Cirurgia Vascular</t>
  </si>
  <si>
    <t>13.1</t>
  </si>
  <si>
    <t>CAIXA CIRURGIA VASCULAR</t>
  </si>
  <si>
    <t>13.2</t>
  </si>
  <si>
    <t>CAIXA CIRURGIA FISTULA ARTERIOVENOSA</t>
  </si>
  <si>
    <t>Serviço de Locação de Instrumetais para Cirurgia Ortopédicas</t>
  </si>
  <si>
    <t>14.1</t>
  </si>
  <si>
    <t>CAIXA CIRURGIA MÃO</t>
  </si>
  <si>
    <t>14.2</t>
  </si>
  <si>
    <t>CAIXA MICROCIRURGIA MÃO</t>
  </si>
  <si>
    <t>14.3</t>
  </si>
  <si>
    <t>CAIXA CIRURGIA PÉ</t>
  </si>
  <si>
    <t>14.4</t>
  </si>
  <si>
    <t>CAIXA CIRURGIA OMBRO</t>
  </si>
  <si>
    <t>Serviço de Locação de Instrumetais para Cirurgia Plástica</t>
  </si>
  <si>
    <t>15.1</t>
  </si>
  <si>
    <t>CAIXA LIPOASPIRAÇÃO</t>
  </si>
  <si>
    <t xml:space="preserve"> Não cotamos </t>
  </si>
  <si>
    <t>15.2</t>
  </si>
  <si>
    <t>CAIXA MAMOPLASTIA/ABDOMINOPLASTIA</t>
  </si>
  <si>
    <t>15.3</t>
  </si>
  <si>
    <t>CAIXA CIRURGIA PLASTICA</t>
  </si>
  <si>
    <t>Serviço Locação Instrumentais Avulsos</t>
  </si>
  <si>
    <t>16.1</t>
  </si>
  <si>
    <t>AVULSOS: CIRURGIA NEUROLÓGICA</t>
  </si>
  <si>
    <t>16.2</t>
  </si>
  <si>
    <t>AVULSOS: CIRURGIA ORTOPÉDICAS</t>
  </si>
  <si>
    <t>16.3</t>
  </si>
  <si>
    <t>AVULSOS: CIRURGIA GINECOLÓGICA E OBSTETRÍCIA</t>
  </si>
  <si>
    <t>16.4</t>
  </si>
  <si>
    <t>AVULSOS: CIRURGIA CARDÍACA</t>
  </si>
  <si>
    <t>TOTAL GERAL</t>
  </si>
  <si>
    <t xml:space="preserve">SUBITEM 1.1 - Caixa para Cirurgia Coronária </t>
  </si>
  <si>
    <t>ITEM</t>
  </si>
  <si>
    <t>DESCRITIVO</t>
  </si>
  <si>
    <t>CODIGO</t>
  </si>
  <si>
    <t>MARCA</t>
  </si>
  <si>
    <t>ANVISA</t>
  </si>
  <si>
    <t>Acessório afastador mamária acoplado</t>
  </si>
  <si>
    <t>QZ.015.00</t>
  </si>
  <si>
    <t>Quinelato</t>
  </si>
  <si>
    <t>Afastador Dinkhuysen mamária, tamanho adulto</t>
  </si>
  <si>
    <t>QZ.013.01</t>
  </si>
  <si>
    <t>Finochietto Afastador de Costelas, 74x64mm, 245mm - inclui acessórios</t>
  </si>
  <si>
    <t>FX.14.456</t>
  </si>
  <si>
    <t>Fentex</t>
  </si>
  <si>
    <t>FX.11.218</t>
  </si>
  <si>
    <t xml:space="preserve">Afastador Farabeuf, par com 2 válvulas duplas de lâmina plana, 15cm </t>
  </si>
  <si>
    <t>FX.10.729</t>
  </si>
  <si>
    <t xml:space="preserve">Cabo de Bisturi, #3L, 20cm </t>
  </si>
  <si>
    <t>FX.18.092</t>
  </si>
  <si>
    <t xml:space="preserve">Cabo de bisturi nº 4, standard, 12cm </t>
  </si>
  <si>
    <t>FX.09.156</t>
  </si>
  <si>
    <t>Cabo de Bisturi, #7, 16cm</t>
  </si>
  <si>
    <t>FX.18.097</t>
  </si>
  <si>
    <t xml:space="preserve">Cortador de fios de aço, lâminas anguladas com wídea TC e corte diagonal, 20cm </t>
  </si>
  <si>
    <t>FX.12.420</t>
  </si>
  <si>
    <t xml:space="preserve">Diethrich Bulldog Clamp, serrilhado, angulada, mandibula de 12mm, 50mm </t>
  </si>
  <si>
    <t>FX.10.247</t>
  </si>
  <si>
    <t xml:space="preserve">Simon Colher Uterina, afiada, 8.5mm, 20cm </t>
  </si>
  <si>
    <t>FX.41.867</t>
  </si>
  <si>
    <t xml:space="preserve">Estilete para passar fios, ponta em gancho, calibre de 1.5mm, 26cm </t>
  </si>
  <si>
    <t>FX.14.236</t>
  </si>
  <si>
    <t xml:space="preserve">Pinça Moynihan, pontas curvas e serrilhadas, 22cm </t>
  </si>
  <si>
    <t>FX.41.925</t>
  </si>
  <si>
    <t xml:space="preserve">Mixter Gall Bladder Pinça, curva, 23cm </t>
  </si>
  <si>
    <t>FX.10.462</t>
  </si>
  <si>
    <t xml:space="preserve">Pinça Mixter, pontas com curvatura acentuada e serrilhadas, 14cm </t>
  </si>
  <si>
    <t>FX.18.389</t>
  </si>
  <si>
    <t xml:space="preserve">Semb Pinça Ligadura, curva, 24cm </t>
  </si>
  <si>
    <t>FX.14.556</t>
  </si>
  <si>
    <t xml:space="preserve">Clamp Derra, tangencial, parte funcional com abertura de 16mm e serrilha atraumática, hastes ligeiramente curvas, 16cm </t>
  </si>
  <si>
    <t>FX.13.990</t>
  </si>
  <si>
    <t xml:space="preserve">Clamp Derra, tangencial, parte funcional com abertura de 25mm e serrilha atraumática, hastes ligeiramente curvas, 18cm </t>
  </si>
  <si>
    <t>FX.13.992</t>
  </si>
  <si>
    <t xml:space="preserve">Clamp Derra, tangencial, parte funcional com abertura de 20mm e serrilha atraumática, hastes ligeiramente curvas, 17cm </t>
  </si>
  <si>
    <t>FX.13.991</t>
  </si>
  <si>
    <t xml:space="preserve">Clamp Lambert-Kay, parte funcional com curvatura acentuada p/ trás,  concha com abertura de 50mm e serrilha atraumática, hastes em S, 21cm </t>
  </si>
  <si>
    <t>FX.14.011</t>
  </si>
  <si>
    <t>DeBakey Aorta-Aneurysm-Clamp,curvo, 110mm, 30cm,dentes "DeBakey"</t>
  </si>
  <si>
    <t>FX.14.111</t>
  </si>
  <si>
    <t>Pinça Debakey para Coarctção, angulada no cabo, 23cm</t>
  </si>
  <si>
    <t>FX.14.114</t>
  </si>
  <si>
    <t>Clamp De Bakey, parte funcional angulada em 15º com serrilha atraumática de 45mm, 17cm</t>
  </si>
  <si>
    <t>FX.13.994</t>
  </si>
  <si>
    <t>Pinça Debakey para Aorta, ponta angulada 60° , 32cm</t>
  </si>
  <si>
    <t>QZ.321.32</t>
  </si>
  <si>
    <t xml:space="preserve">DeBakey Pean Pinça Atraumatica Arterial, reta, 18cm </t>
  </si>
  <si>
    <t>FX.14.000</t>
  </si>
  <si>
    <t>Pinça Clamp Vascular, 23cm</t>
  </si>
  <si>
    <t>FX.14.037</t>
  </si>
  <si>
    <t>Pinça Debakey Rumel, curvo, 26cm</t>
  </si>
  <si>
    <t>QZ.420.01</t>
  </si>
  <si>
    <t xml:space="preserve">Clamp universal Cooley, parte funcional angulada em 15º com serrilha atraumática de 50mm, 17cm </t>
  </si>
  <si>
    <t>FX.14.126</t>
  </si>
  <si>
    <t xml:space="preserve">Pinça Allis, pontas retas com 5 x 6 dentes, 25cm </t>
  </si>
  <si>
    <t>FX.16.292</t>
  </si>
  <si>
    <t>Pinça Cheron, pontas retas e serrilhadas, formato baioneta, 25cm</t>
  </si>
  <si>
    <t>FX.10.688</t>
  </si>
  <si>
    <t xml:space="preserve">Backhaus Clamp Toalha, 13cm </t>
  </si>
  <si>
    <t>FX.18.425</t>
  </si>
  <si>
    <t>Pinça Halsted-Mosquito, pontas curva, finas e serrilhadas, 12.5cm</t>
  </si>
  <si>
    <t>FX.10.259</t>
  </si>
  <si>
    <t xml:space="preserve">Pinça Kelly, pontas retas, finas e serrilhadas, 14cm </t>
  </si>
  <si>
    <t>FX.10.281</t>
  </si>
  <si>
    <t xml:space="preserve">Pinça Reynald para tubos, pontas retas e lisas, 20cm </t>
  </si>
  <si>
    <t>FX.10.608</t>
  </si>
  <si>
    <t xml:space="preserve">Pinça Mixter, curva, meio serrilhado, 19cm </t>
  </si>
  <si>
    <t>FX.10.504</t>
  </si>
  <si>
    <t xml:space="preserve">Pinça Anatômica Standard, pontas retas, largas e serrilhadas, 18cm </t>
  </si>
  <si>
    <t>FX.09.951</t>
  </si>
  <si>
    <t xml:space="preserve">Castroviejo Porta Agulha, reto, com trava, 17cm </t>
  </si>
  <si>
    <t>FX.18.506</t>
  </si>
  <si>
    <t xml:space="preserve">Porta Agulha para Fio Mayo Hauberisser, 16cm, com videa - TC </t>
  </si>
  <si>
    <t>FX.12.399</t>
  </si>
  <si>
    <t xml:space="preserve">Yankauer Canula de Sucção, 10mm, 29.5cm </t>
  </si>
  <si>
    <t>FX.09.028</t>
  </si>
  <si>
    <t>Mayo Hegar Porta Agulha, 14cm, com videa - TC</t>
  </si>
  <si>
    <t>FX.18.436</t>
  </si>
  <si>
    <t xml:space="preserve">Porta Agulha Mayo-Hegar, pontas retas, largas com serrilha cruzada e encaixe p/ agulha de sutura, 14cm </t>
  </si>
  <si>
    <t>FX.12.156</t>
  </si>
  <si>
    <t xml:space="preserve">Porta Agulha Mayo-Hegar, pontas retas, largas com serrilha cruzada e encaixe p/ agulha de sutura, 18cm </t>
  </si>
  <si>
    <t>FX.12.158</t>
  </si>
  <si>
    <t>Porta Agulha Mayo-Hegar, pontas com wídea TC, retas, 24cm</t>
  </si>
  <si>
    <t>FX.11.903</t>
  </si>
  <si>
    <t xml:space="preserve">Tesoura Metzenbaum, lâminas curvas, finas com pontas rombas, 14.5cm </t>
  </si>
  <si>
    <t>FX.09.450</t>
  </si>
  <si>
    <t xml:space="preserve">Tesoura Metzenbaum-Nelson, lâminas curvas, finas com pontas rombas, 20cm </t>
  </si>
  <si>
    <t>FX.09.481</t>
  </si>
  <si>
    <t xml:space="preserve">Tesoura Metzenbaum-Nelson, lâminas curvas, finas com pontas rombas, 23cm </t>
  </si>
  <si>
    <t>FX.09.482</t>
  </si>
  <si>
    <t>Tesoura de Tubo, reta forte, 20cm</t>
  </si>
  <si>
    <t>FX.12.341</t>
  </si>
  <si>
    <t xml:space="preserve">Tesoura Mayo, lâminas retas, largas com pontas rombas, 14.5cm </t>
  </si>
  <si>
    <t>FX.09.375</t>
  </si>
  <si>
    <t>Caixa Inox, perfurada com trava, 500x200x120 mm</t>
  </si>
  <si>
    <t>FX.41.521</t>
  </si>
  <si>
    <t>Isento</t>
  </si>
  <si>
    <t>Total</t>
  </si>
  <si>
    <t>Subitem 1.2 - Caixa para Cirurgia de Válvula Cardíaca</t>
  </si>
  <si>
    <t xml:space="preserve">Afastador Mollison, garras com 4 x 4 dentes, hastes comcurva acentuada, movimento por cremalheira, 15cm </t>
  </si>
  <si>
    <t>Afastador Ventrículo, tamanho pequeno, 20cm</t>
  </si>
  <si>
    <t>QZ.044.01</t>
  </si>
  <si>
    <t>Afastador Ventrículo, tamanho médio, 20cm</t>
  </si>
  <si>
    <t>QZ.044.02</t>
  </si>
  <si>
    <t>Afastador Cooley, válvula aramada lisa, fenestrada, curva p/esquerda, com dimensões de 45mm x 48mm, 21.5cm</t>
  </si>
  <si>
    <t>FX.11.109</t>
  </si>
  <si>
    <t>Afastador Cooley, válvula aramada lisa, fenestrada, curva p/ direita, com dimensões de 45mm x 48mm, 21.5cm</t>
  </si>
  <si>
    <t>FX.11.107</t>
  </si>
  <si>
    <t>Afastador de externo, simples, 30cm</t>
  </si>
  <si>
    <t>QZ.010.04</t>
  </si>
  <si>
    <t>Cânula para Cardioplegia, tipo Dinkhuysen ponta 90°, 20cm</t>
  </si>
  <si>
    <t>FX.41.913</t>
  </si>
  <si>
    <t>Cânula para Cardioplegia, tipo Dinkhuysen ponta 30°, 20cm</t>
  </si>
  <si>
    <t>FX.41.914</t>
  </si>
  <si>
    <t>Gancho Mitral para Simpatectomia, adulto</t>
  </si>
  <si>
    <t>QZ.490.33</t>
  </si>
  <si>
    <t>Winter  Pinça Placenta e Ovario, reta, 28cm, 9.5mm</t>
  </si>
  <si>
    <t>FX.17.664</t>
  </si>
  <si>
    <t>Pinça para Válvula Mitral, 34cm</t>
  </si>
  <si>
    <t>QZ.217.34</t>
  </si>
  <si>
    <t>Pinça Debakey Rumel, curvo, 25cm</t>
  </si>
  <si>
    <t>Pinça Saca Cálcia, reta, 20cm</t>
  </si>
  <si>
    <t>QZ.900.01</t>
  </si>
  <si>
    <t>Pinça Saca Cálcia, para direita, 20cm</t>
  </si>
  <si>
    <t>QZ.900.03</t>
  </si>
  <si>
    <t>Pinça Saca Cálcia, para esquerda, 20cm</t>
  </si>
  <si>
    <t>QZ.900.04</t>
  </si>
  <si>
    <t xml:space="preserve">Pinça Kelly, pontas curvas, finas e serrilhadas, 14cm </t>
  </si>
  <si>
    <t>FX.10.282</t>
  </si>
  <si>
    <t>Porta agulha Castroviejo, reto, serrilhado, cabo redondo, com trava, 18cm</t>
  </si>
  <si>
    <t>HB2423-18</t>
  </si>
  <si>
    <t>Porta Agulha Mayo-Hegar, pontas com wídea TC, retas, 20cm</t>
  </si>
  <si>
    <t>FX.11.902</t>
  </si>
  <si>
    <t>Subitem 1.3 - Caixa para Cirurgia Cardiovascular Delicada</t>
  </si>
  <si>
    <t xml:space="preserve">DeBakey/ Garret Dilator Vascular, 1.0mm, 19cm </t>
  </si>
  <si>
    <t>FX.14.258</t>
  </si>
  <si>
    <t>Dilatador de coronária, 1.25 mm</t>
  </si>
  <si>
    <t>QZ.210.01</t>
  </si>
  <si>
    <t xml:space="preserve">DeBakey/ Garret Dilator Vascular, 1.5mm, 19cm </t>
  </si>
  <si>
    <t>FX.14.259</t>
  </si>
  <si>
    <t>QZ.210.03</t>
  </si>
  <si>
    <t xml:space="preserve">DeBakey/ Garret Dilator Vascular, 2.0mm, 19cm </t>
  </si>
  <si>
    <t>FX.14.260</t>
  </si>
  <si>
    <t xml:space="preserve">DeBakey-Diethrich Pinça, Atraumatica, 1.5mm, 15cm </t>
  </si>
  <si>
    <t>FX.13.901</t>
  </si>
  <si>
    <t xml:space="preserve">Tesoura Dietrich, lâminas anguladas  45º, muito finas com pontas agudas, 18cm </t>
  </si>
  <si>
    <t>FX.09.510</t>
  </si>
  <si>
    <t xml:space="preserve">Tesoura Dietrich, lâminas anguladas  60º, muito finas com pontas agudas, 18cm </t>
  </si>
  <si>
    <t>FX.09.511</t>
  </si>
  <si>
    <t xml:space="preserve">Tesoura Dietrich, lâminas anguladas  125º, muito finas com pontas agudas, 18cm </t>
  </si>
  <si>
    <t>05-391-00</t>
  </si>
  <si>
    <t>Pinça Dinkhuysen, para dissecção de mamaria, 23cm</t>
  </si>
  <si>
    <t xml:space="preserve">QZ.115.24 </t>
  </si>
  <si>
    <t>Porta Agulha para Coronaria, delicado, 18cm</t>
  </si>
  <si>
    <t>FX.11.936</t>
  </si>
  <si>
    <t xml:space="preserve">Tesoura Metzenbaum- Fine, lâminas curvas, finas com pontas rombas, 14.5cm </t>
  </si>
  <si>
    <t>FX.09.456</t>
  </si>
  <si>
    <t>Caixa Inox, perfurada com trava, 360x160x100 mm</t>
  </si>
  <si>
    <t>FX.41.515</t>
  </si>
  <si>
    <t>Subitem 2.1 - Caixa para Laparotomia Adulto</t>
  </si>
  <si>
    <t xml:space="preserve">Canula de aspiração Poole, tubular,angulada em 90º, tubo externo multi perfurado, calibre de 23 French (8mm), 22cm </t>
  </si>
  <si>
    <t>FX.09.010</t>
  </si>
  <si>
    <t>81897710034</t>
  </si>
  <si>
    <t xml:space="preserve">Afastador Farabeuf, par com 2 válvulas duplas de lâmina plana, 12cm </t>
  </si>
  <si>
    <t>FX.10.726</t>
  </si>
  <si>
    <t xml:space="preserve">Doyen Especulo Vaginal, 45x115mm </t>
  </si>
  <si>
    <t>FX.17.009</t>
  </si>
  <si>
    <t xml:space="preserve">Doyen Especulo Vaginal, 75x45mm </t>
  </si>
  <si>
    <t>FX.17.022</t>
  </si>
  <si>
    <t>Doyen Especulo Vaginal, 45x85mm, 25cm</t>
  </si>
  <si>
    <t>FX.17.008</t>
  </si>
  <si>
    <t xml:space="preserve">Mayo Clip de segurança, 14cm </t>
  </si>
  <si>
    <t>FX.17.766</t>
  </si>
  <si>
    <t xml:space="preserve">Cabo de bisturi nº 3, graduado em centímetros,  12cm </t>
  </si>
  <si>
    <t>FX.09.154</t>
  </si>
  <si>
    <t xml:space="preserve">Satinsky Clamp para Oclusão Tangencial, 20.5cm </t>
  </si>
  <si>
    <t>FX.14.058</t>
  </si>
  <si>
    <t>Cuba redonda, 5 cm de altura</t>
  </si>
  <si>
    <t>FX.41.318</t>
  </si>
  <si>
    <t>Badeja Rim, 162*77*31mm</t>
  </si>
  <si>
    <t>FX.41.303</t>
  </si>
  <si>
    <t xml:space="preserve">Espátula Maleáve, 50x330mm </t>
  </si>
  <si>
    <t>FX.11.138</t>
  </si>
  <si>
    <t xml:space="preserve">Pinça Anatômica Standard, pontas retas, largas e serrilhadas, 20cm </t>
  </si>
  <si>
    <t>FX.09.952</t>
  </si>
  <si>
    <t>Pinça Anatômica Adson, pontas retas com 1x2 dentes, finas e serrilhadas, 18cm</t>
  </si>
  <si>
    <t>FX.10.080</t>
  </si>
  <si>
    <t xml:space="preserve">Pinça Duval, pontas retas com triangulos pequenos, fenestrados e serrilhados, 18cm </t>
  </si>
  <si>
    <t>FX.16.329</t>
  </si>
  <si>
    <t xml:space="preserve">Babcock Pinça para Tecido, serrilhada, 20cm </t>
  </si>
  <si>
    <t>FX.16.321</t>
  </si>
  <si>
    <t xml:space="preserve">Babcock Pinça para Tecido, serrilhada, 24cm </t>
  </si>
  <si>
    <t>FX.16.322</t>
  </si>
  <si>
    <t xml:space="preserve">Collin Pinça segura lingua, 16cm </t>
  </si>
  <si>
    <t>FX.18.541</t>
  </si>
  <si>
    <t xml:space="preserve">Pinça Crafoord, pontas curvas e serrilhadas, 18cm </t>
  </si>
  <si>
    <t>FX.10.494</t>
  </si>
  <si>
    <t xml:space="preserve">Pinça Allis, pontas retas com 5 x 6 dentes, 15cm </t>
  </si>
  <si>
    <t>FX.16.289</t>
  </si>
  <si>
    <t xml:space="preserve">Pinça Allis, pontas retas com 5 x 6 dentes, 19cm </t>
  </si>
  <si>
    <t>FX.16.290</t>
  </si>
  <si>
    <t xml:space="preserve">Pinça Anatômica Standard, pontas retas, largas com 1x2 dentes, 18cm </t>
  </si>
  <si>
    <t>FX.10.028</t>
  </si>
  <si>
    <t xml:space="preserve">Pinça Anatômica Standard, pontas retas, largas com 1x2 dentes, 20cm </t>
  </si>
  <si>
    <t>FX.10.029</t>
  </si>
  <si>
    <t xml:space="preserve">Pinça Anatômica Standard, pontas retas, largas com 1x2 dentes, 25cm </t>
  </si>
  <si>
    <t>FX.10.030</t>
  </si>
  <si>
    <t xml:space="preserve">Pinça Anatômica Standard, pontas retas, largas e serrilhadas, 30cm </t>
  </si>
  <si>
    <t>FX.09.954</t>
  </si>
  <si>
    <t xml:space="preserve">Pinça Faure, pontas curvas, curtas, serrilhadas com 1x2 dentes, 20cm </t>
  </si>
  <si>
    <t>FX.10.538</t>
  </si>
  <si>
    <t xml:space="preserve">Pinça Foerster, pontas retas com anéis fenestrados sem serrilha, 25cm </t>
  </si>
  <si>
    <t>FX.10.711</t>
  </si>
  <si>
    <t>Pinça Halsted-Mosquito, pontas retas, finas e serrilhadas, 14cm</t>
  </si>
  <si>
    <t>FX.10.258</t>
  </si>
  <si>
    <t xml:space="preserve">Pinça Kelly-Rankin, pontas curvas, finas e serrilhadas, 16cm </t>
  </si>
  <si>
    <t>FX.10.288</t>
  </si>
  <si>
    <t xml:space="preserve">Pinça Kelly-Rankin, pontas retas, finas e serrilhadas, 16cm </t>
  </si>
  <si>
    <t>FX.10.287</t>
  </si>
  <si>
    <t>Pinça Kocher, pontas curvas, 25cm</t>
  </si>
  <si>
    <t>FX.16.362</t>
  </si>
  <si>
    <t>Pinça Kocher, pontas reta, 25cm</t>
  </si>
  <si>
    <t>FX.16.359</t>
  </si>
  <si>
    <t>Pinça Kocher-Ochsnner, pontas curvas, serrilhadas com 1x2 dentes, 16cm</t>
  </si>
  <si>
    <t>FX.10.385</t>
  </si>
  <si>
    <t>Pinça Kocher-Ochsnner, pontas retas, serrilhadas com 1x2 dentes, 16cm</t>
  </si>
  <si>
    <t>FX.10.377</t>
  </si>
  <si>
    <t>Pinça Kocher-Ochsnner, pontas curvas, serrilhadas com 1x2 dentes, 18cm</t>
  </si>
  <si>
    <t>FX.10.386</t>
  </si>
  <si>
    <t xml:space="preserve">Pinça Kocher, pontas retas com 1x2 dentes, finas e serrilhadas, 18cm </t>
  </si>
  <si>
    <t>FX.10.378</t>
  </si>
  <si>
    <t xml:space="preserve">Heaney Porta Agulha, curvo e serrilhado, 21cm </t>
  </si>
  <si>
    <t>FX.12.173</t>
  </si>
  <si>
    <t xml:space="preserve">Porta Agulha Mayo-Hegar, pontas retas, largas com serrilha cruzada e encaixe p/ agulha de sutura, 16cm </t>
  </si>
  <si>
    <t>FX.12.157</t>
  </si>
  <si>
    <t xml:space="preserve">Porta Agulha Mayo-Hegar, pontas retas, largas com serrilha cruzada e encaixe p/ agulha de sutura, 20cm </t>
  </si>
  <si>
    <t>FX.12.159</t>
  </si>
  <si>
    <t xml:space="preserve">Porta Agulha Mayo-Hegar, pontas retas, largas com serrilha cruzada e encaixe p/ agulha de sutura, 26cm </t>
  </si>
  <si>
    <t>FX.12.161</t>
  </si>
  <si>
    <t xml:space="preserve">Tesoura Mayo, lâminas curvas, largas com pontas rombas, 17cm </t>
  </si>
  <si>
    <t>FX.09.381</t>
  </si>
  <si>
    <t xml:space="preserve">Tesoura Mayo, lâminas retas, largas com pontas rombas, 17cm </t>
  </si>
  <si>
    <t>FX.09.377</t>
  </si>
  <si>
    <t xml:space="preserve">Tesoura Metzenbaum-Nelson, lâminas curvas, finas com pontas rombas, 18cm </t>
  </si>
  <si>
    <t>FX.09.480</t>
  </si>
  <si>
    <t>Cesto aramado compatível com box tamanho 3/4, com pés, dimensões 405x252x80 mm</t>
  </si>
  <si>
    <t>FX.61.216</t>
  </si>
  <si>
    <t>Box de container tamanho 3/4, em alumínio anodizado, dimensões internas 430x260x115 mm</t>
  </si>
  <si>
    <t>FX.60.831</t>
  </si>
  <si>
    <t>Tampa para container tamanho 3/4, com sistema de barreira permanente, silicone em toda extensão para perfeita vedação, 6 cores diferentes a escolher</t>
  </si>
  <si>
    <t>FX.60.788</t>
  </si>
  <si>
    <t xml:space="preserve">Placa de Identificação propria para a base de container, em aluminio </t>
  </si>
  <si>
    <t>FX.62.225</t>
  </si>
  <si>
    <t>Subitem 2.2. - Caixa para Laparotomia Infantil</t>
  </si>
  <si>
    <t xml:space="preserve">Afastador Langenbeck, válvula com lâmina de dimensões de 40mm x 11mm, 22cm </t>
  </si>
  <si>
    <t>FX.10.958</t>
  </si>
  <si>
    <t>Afastador de Costelas Finochietto Baby, 18x21x105mm</t>
  </si>
  <si>
    <t>FX.41.645</t>
  </si>
  <si>
    <t>Afastador Gosset, garras laterais aramadas com 63mm  x 35mm, hastes curvas, abertura de 140mm</t>
  </si>
  <si>
    <t>FX.11.481</t>
  </si>
  <si>
    <t xml:space="preserve">Espatula Maleavel, Ribbon Afastador, 25x330mm </t>
  </si>
  <si>
    <t>FX.11.135</t>
  </si>
  <si>
    <t xml:space="preserve">Babcock Pinça para Tecido, serrilhada, 16cm </t>
  </si>
  <si>
    <t>FX.16.319</t>
  </si>
  <si>
    <t>Pinça Baby-Babcok, 16 cm</t>
  </si>
  <si>
    <t>FX.41.644</t>
  </si>
  <si>
    <t>Pinça Kocher, pontas curvas, 22cm</t>
  </si>
  <si>
    <t>FX.16.361</t>
  </si>
  <si>
    <t>Pinça Kocher, pontas retas, 22cm</t>
  </si>
  <si>
    <t>FX.16.358</t>
  </si>
  <si>
    <t>Pinça Anatômica Adson, pontas retas, finas com 1x2 dentes, 12cm</t>
  </si>
  <si>
    <t>FX.10.115</t>
  </si>
  <si>
    <t xml:space="preserve">Pinça Anatômica Adson, pontas retas, finas e serrilhadas, 12cm </t>
  </si>
  <si>
    <t>FX.09.990</t>
  </si>
  <si>
    <t xml:space="preserve">Pinça Anatômica Standard, pontas retas, largas com 1x2 dentes, 13cm </t>
  </si>
  <si>
    <t>FX.10.025</t>
  </si>
  <si>
    <t xml:space="preserve">Pinça Anatômica Standard, pontas retas, largas com 1x2 dentes, 14.5cm </t>
  </si>
  <si>
    <t>FX.10.026</t>
  </si>
  <si>
    <t xml:space="preserve">Pinça Anatômica Standard, pontas retas, largas e serrilhadas, 13cm </t>
  </si>
  <si>
    <t>FX.09.948</t>
  </si>
  <si>
    <t xml:space="preserve">Pinça Anatômica Standard, pontas retas, largas e serrilhadas, 14.5cm </t>
  </si>
  <si>
    <t>FX.09.949</t>
  </si>
  <si>
    <t xml:space="preserve">Pinça Backhaus, pontas curvas e agudas, 8cm </t>
  </si>
  <si>
    <t>FX.10.629</t>
  </si>
  <si>
    <t xml:space="preserve">DeBakey Pean Pinça Atraumatica Arterial, curva, 18cm </t>
  </si>
  <si>
    <t>FX.14.006</t>
  </si>
  <si>
    <t xml:space="preserve">DeBakey Pean Pinça Atraumatica Arterial, curva, 20cm </t>
  </si>
  <si>
    <t>FX.14.007</t>
  </si>
  <si>
    <t xml:space="preserve">Pinça Baby-Mixter, pontas finas e curvas, 14cm </t>
  </si>
  <si>
    <t>FX.10.431</t>
  </si>
  <si>
    <t xml:space="preserve">Pinça Mixter, pontas curvas com serrilhas paralelas longitudinais, 28cm </t>
  </si>
  <si>
    <t>FX.10.510</t>
  </si>
  <si>
    <t>Pinça Halsted-Mosquito, pontas retas, finas e serrilhadas, 12.5cm</t>
  </si>
  <si>
    <t>FX.10.257</t>
  </si>
  <si>
    <t xml:space="preserve">Tesoura Íris, lâminas retas , finas, chanfradas com pontas agudas, 11.5cm </t>
  </si>
  <si>
    <t>FX.09.413</t>
  </si>
  <si>
    <t xml:space="preserve">Tesoura Metzenbaum- Baby, lâminas curvas, finas com pontas rombas, 11.5cm </t>
  </si>
  <si>
    <t>FX.09.446</t>
  </si>
  <si>
    <t xml:space="preserve">Tesoura Metzenbaum- Fine, lâminas retas, finas com pontas rombas, 14.5cm </t>
  </si>
  <si>
    <t>FX.09.455</t>
  </si>
  <si>
    <t xml:space="preserve">Tesoura Metzenbaum- Baby, lâminas retas, finas com pontas rombas, 11.5cm </t>
  </si>
  <si>
    <t>FX.09.445</t>
  </si>
  <si>
    <t>Cesto aramado compatível com box tamanho 1/1, com pés, dimensões  539x252x80 mm</t>
  </si>
  <si>
    <t>FX.60.662</t>
  </si>
  <si>
    <t>Box de container tamanho 1/1, em alumínio anodizado, dimensões internas 550x260x135 mm</t>
  </si>
  <si>
    <t>FX.60.075</t>
  </si>
  <si>
    <t>Tampa para container tamanho 1/1, com sistema de barreira permanente, silicone em toda extensão para perfeita vedação, 6 cores diferentes a escolher</t>
  </si>
  <si>
    <t>FX.60.005</t>
  </si>
  <si>
    <t>Subitem 3.1 - Caixa para Cirurgia Geral Médio Porte</t>
  </si>
  <si>
    <t xml:space="preserve">Afastador Langenbeck, válvula com lâmina de dimensões de 30mm x 16mm, 22cm </t>
  </si>
  <si>
    <t>FX.10.962</t>
  </si>
  <si>
    <t>Afastador Richardson 25cm – 50x22mm</t>
  </si>
  <si>
    <t>Prime</t>
  </si>
  <si>
    <t xml:space="preserve">Adson Pinça Curativos, serrilhada, 19cm </t>
  </si>
  <si>
    <t>FX.18.333</t>
  </si>
  <si>
    <t xml:space="preserve">Kelly Pinça Hemostatica, semi curva, 19cm </t>
  </si>
  <si>
    <t>FX.10.463</t>
  </si>
  <si>
    <t xml:space="preserve">Pinça Kelly, reta, 18cm </t>
  </si>
  <si>
    <t>07-373-18</t>
  </si>
  <si>
    <t>Pinça hemostática, Mixter, curva, 30cm</t>
  </si>
  <si>
    <t>FX.41.868</t>
  </si>
  <si>
    <t xml:space="preserve">Tesoura Metzenbaum-Nelson, lâminas retas, finas com pontas rombas, 18cm </t>
  </si>
  <si>
    <t>FX.09.474</t>
  </si>
  <si>
    <t>Subitem 3.2 - Caixa para Cirurgia Geral Pequeno Porte</t>
  </si>
  <si>
    <t>Cabo de Bisturi nº4,  para Cirurgia Geral, graduado, 13,7 cm</t>
  </si>
  <si>
    <t>13-01360-04</t>
  </si>
  <si>
    <t xml:space="preserve">Pinça Anatômica Standard, pontas retas, largas com 1x2 dentes, 10.5cm </t>
  </si>
  <si>
    <t>FX.10.023</t>
  </si>
  <si>
    <t xml:space="preserve">Pinça Anatômica Standard, pontas retas, largas com 1x2 dentes, 16cm </t>
  </si>
  <si>
    <t>FX.10.027</t>
  </si>
  <si>
    <t>Pinça Kocher-Ochsnner, pontas retas, serrilhadas com 1x2 dentes, 14cm</t>
  </si>
  <si>
    <t>FX.10.376</t>
  </si>
  <si>
    <t xml:space="preserve">Tesoura Íris, lâminas curvas , finas, chanfradas com pontas agudas, 11.5cm </t>
  </si>
  <si>
    <t>FX.09.414</t>
  </si>
  <si>
    <t>Subitem 4.1 - Caixa para Rinoplastia</t>
  </si>
  <si>
    <t>Afastador de Fibra Óptica Maliniac Com Guia de Luz 10 cm Laminas 9x45mm</t>
  </si>
  <si>
    <t>50-230-10</t>
  </si>
  <si>
    <t>Cinzel Masing, 17.5cm</t>
  </si>
  <si>
    <t>23-650-17</t>
  </si>
  <si>
    <t>Cinzel Masing, reto, 17.5cm</t>
  </si>
  <si>
    <t>23-652-01</t>
  </si>
  <si>
    <t xml:space="preserve">Joseph Masing Alavanca de Septo, formato baioneta, 22cm </t>
  </si>
  <si>
    <t>FX.15.354</t>
  </si>
  <si>
    <t xml:space="preserve">Elevador Joseph Alavanca Periosteal, 16cm </t>
  </si>
  <si>
    <t>FX.15.352</t>
  </si>
  <si>
    <t xml:space="preserve">Cottle Ret. dromba, romba/afiada, 15cm </t>
  </si>
  <si>
    <t>FX.15.437</t>
  </si>
  <si>
    <t xml:space="preserve">Afastador Fomon, com pontas rombas dupla, 16cm </t>
  </si>
  <si>
    <t>FX.15.439</t>
  </si>
  <si>
    <t xml:space="preserve">Gillies Gancho para Pele, agudo, n1, 2.5mm, 18cm </t>
  </si>
  <si>
    <t>FX.14.663</t>
  </si>
  <si>
    <t>Paquímetro Castroviejo, de 15mm</t>
  </si>
  <si>
    <t>27-300-06</t>
  </si>
  <si>
    <t>Paquímetro Castroviejo, de  20mm</t>
  </si>
  <si>
    <t>27-304-06</t>
  </si>
  <si>
    <t xml:space="preserve">Pinça Anatômica Adson-Brown, pontas retas, finas com 7 x 7 dentes, 12cm </t>
  </si>
  <si>
    <t>FX.10.119</t>
  </si>
  <si>
    <t xml:space="preserve">Tesoura Cottle, lâminas retas, largas com pontas rombas, hastes anguladas p/ frente, 15cm </t>
  </si>
  <si>
    <t>FX.09.487</t>
  </si>
  <si>
    <t xml:space="preserve">Tesoura Heymann-Knight, lâminas anguladas, chanfradas com pontas rombas, 18cm </t>
  </si>
  <si>
    <t>FX.09.488</t>
  </si>
  <si>
    <t xml:space="preserve">Tesoura Íris, lâminas curvas, finas, chanfradas com pontas agudas, 10.5cm </t>
  </si>
  <si>
    <t>FX.09.412</t>
  </si>
  <si>
    <t xml:space="preserve">Tesoura Íris, lâminas retas, finas, chanfradas com pontas agudas, 10.5cm </t>
  </si>
  <si>
    <t>FX.09.410</t>
  </si>
  <si>
    <t>Cesto aramado compatível com box tamanho 1/2, com pés, dimensões  242x252x60 mm</t>
  </si>
  <si>
    <t>FX.61.849</t>
  </si>
  <si>
    <t>Box de container tamanho 1/2, em alumínio anodizado, dimensões internas 260x260x85 mm</t>
  </si>
  <si>
    <t>FX.61.318</t>
  </si>
  <si>
    <t>Tampa para container tamanho 1/2, com sistema de barreira permanente, silicone em toda extensão para perfeita vedação, 6 cores diferentes a escolher</t>
  </si>
  <si>
    <t>FX.61.283</t>
  </si>
  <si>
    <t>FX.62.231</t>
  </si>
  <si>
    <t>Subitem 4.2 - Caixa para Otorrino para uso em Pronto Socorro</t>
  </si>
  <si>
    <t>Aspirador Cautério</t>
  </si>
  <si>
    <t>FX.41.912</t>
  </si>
  <si>
    <t>Canula de Sucção House 2mm</t>
  </si>
  <si>
    <t>22-308-20</t>
  </si>
  <si>
    <t>Canula de Sucção House 2.5mm</t>
  </si>
  <si>
    <t>22-308-25</t>
  </si>
  <si>
    <t>Canula de Sucção House 3.0mm</t>
  </si>
  <si>
    <t>22-308-30</t>
  </si>
  <si>
    <t xml:space="preserve">Canula de Sucção Frazier, 12.FG, 4.0mm, 45°, 19cm </t>
  </si>
  <si>
    <t>FX.08.955</t>
  </si>
  <si>
    <t xml:space="preserve">Buck Cureta Auricular, baioneta, 2.5mm, 17cm </t>
  </si>
  <si>
    <t>FX.41.928</t>
  </si>
  <si>
    <t>Hartmann Halle Especulo Nasal, 30mm 15cm</t>
  </si>
  <si>
    <t>FX.15.155</t>
  </si>
  <si>
    <t>Killian Especulo Nasal, junta parafusada, 35mm 15cm, n1</t>
  </si>
  <si>
    <t>FX.15.171</t>
  </si>
  <si>
    <t>Killian Especulo Nasal, junta parafusada, 50mm 15cm, n2</t>
  </si>
  <si>
    <t>FX.15.172</t>
  </si>
  <si>
    <t xml:space="preserve">Pinça Anatômica Jansen, baioneta, pontas retas e serrilhadas, 16cm </t>
  </si>
  <si>
    <t>FX.14.915</t>
  </si>
  <si>
    <t>Pinça Schnidt-Sawtell, pontas curvas, 21cm</t>
  </si>
  <si>
    <t>FX.41.870</t>
  </si>
  <si>
    <t>Pinça biópsia de boca</t>
  </si>
  <si>
    <t>FX.41.921</t>
  </si>
  <si>
    <t xml:space="preserve">Hartmann Jacaré Pinça, 8.5cm </t>
  </si>
  <si>
    <t>FX.14.878</t>
  </si>
  <si>
    <t>Hartmann Pinça Ouricular, para cima, 80mm</t>
  </si>
  <si>
    <t>FX.14.888</t>
  </si>
  <si>
    <t xml:space="preserve">Farrel Aplicador de algodão rosqueado, 16cm </t>
  </si>
  <si>
    <t>FX.11.836</t>
  </si>
  <si>
    <t>Sounda Itard, 14cm, 3.5mm</t>
  </si>
  <si>
    <t>FX.14.835</t>
  </si>
  <si>
    <t xml:space="preserve">Tesoura Metzenbaum, lâminas curvas, finas com pontas rombas, 15cm </t>
  </si>
  <si>
    <t>FX.09.448</t>
  </si>
  <si>
    <t>Box de container tamanho 1/2, em alumínio anodizado, dimensões internas 260x260x115 mm</t>
  </si>
  <si>
    <t>FX.61.327</t>
  </si>
  <si>
    <t>Cesto aramado compatível com box tamanho 1/2, com pés, dimensões  242x252x80 mm</t>
  </si>
  <si>
    <t>FX.61.853</t>
  </si>
  <si>
    <t>Placa de Identificação propria para a base de container, em aluminio</t>
  </si>
  <si>
    <t>Subitem 5.1 - Caixa para Laminectomia</t>
  </si>
  <si>
    <t>Afastador Markham-Meyerding, lâmina lado direito, 18cm</t>
  </si>
  <si>
    <t>HB3343-01</t>
  </si>
  <si>
    <t>Afastador Markham-Meyerding, lâmina lado esquerdo, 18cm</t>
  </si>
  <si>
    <t>HB3343-02</t>
  </si>
  <si>
    <t xml:space="preserve">Afastador Beckmann-Eaton, garras com dupla articulação e 7 x 7 dentes agudos, movimento por cremalheira, 32cm </t>
  </si>
  <si>
    <t>FX.11.252</t>
  </si>
  <si>
    <t xml:space="preserve">Taylor Retrator para Coluna, 75x30mm, 16.5cm </t>
  </si>
  <si>
    <t>FX.13.231</t>
  </si>
  <si>
    <t xml:space="preserve">Gelpi Perineal Afastador, 18cm </t>
  </si>
  <si>
    <t>FX.11.233</t>
  </si>
  <si>
    <t xml:space="preserve">Afastador Gelpi, garras  laterais com 1 x 1, hastes curvas, movimento por cremalheira, 14cm </t>
  </si>
  <si>
    <t>FX.11.231</t>
  </si>
  <si>
    <t xml:space="preserve">Afastador Jansen, garras com3 x 3 dentes pequenos e rombos, barra central com pino de ajuste, 10cm </t>
  </si>
  <si>
    <t>FX.11.179</t>
  </si>
  <si>
    <t xml:space="preserve">Afastador Langenbeck, válvula com lâmina de dimensões de 30mm x 14mm, 22cm </t>
  </si>
  <si>
    <t>FX.10.956</t>
  </si>
  <si>
    <t xml:space="preserve">Love Afastador de raiz nervosa, 19cm, 45° angle </t>
  </si>
  <si>
    <t>FX.13.541</t>
  </si>
  <si>
    <t xml:space="preserve">Liston Pinça Corta Osso, reta, 17cm </t>
  </si>
  <si>
    <t>FX.13.451</t>
  </si>
  <si>
    <t xml:space="preserve">Jansen Rugina Óssea, junta parafusada, reta, 18cm </t>
  </si>
  <si>
    <t>FX.13.374</t>
  </si>
  <si>
    <t xml:space="preserve">Leksell Rugina Óssea, 5mm bite 23cm </t>
  </si>
  <si>
    <t>FX.13.425</t>
  </si>
  <si>
    <t xml:space="preserve">Cabo de bisturi nº 3L, angulado, longo, 21cm </t>
  </si>
  <si>
    <t>13-01408-01</t>
  </si>
  <si>
    <t xml:space="preserve">Cabo de Bisturi  #7K 12.5cm </t>
  </si>
  <si>
    <t>FX.09.159</t>
  </si>
  <si>
    <t>Simon Cureta Óssea, 24cm, 3x1mm</t>
  </si>
  <si>
    <t>FX.12.986</t>
  </si>
  <si>
    <t>Simon Cureta Óssea, 24cm, 4x2mm</t>
  </si>
  <si>
    <t>FX.12.987</t>
  </si>
  <si>
    <t>Simon Cureta Óssea, 24cm, 5x3mm</t>
  </si>
  <si>
    <t>FX.12.988</t>
  </si>
  <si>
    <t>Simon Cureta Óssea, 24cm, 6x4mm</t>
  </si>
  <si>
    <t>FX.12.989</t>
  </si>
  <si>
    <t>Penfield Cureta e Elevador Dura, duplo, 17.5cm</t>
  </si>
  <si>
    <t>FX.13.583</t>
  </si>
  <si>
    <t xml:space="preserve">Elevador Freer Alavanca de Septo, afiada/romba 4.5mm, 18cm </t>
  </si>
  <si>
    <t>FX.15.333</t>
  </si>
  <si>
    <t xml:space="preserve">Pinça Ferris Smith Kerrison Punch para cima, 2mm, 18cm </t>
  </si>
  <si>
    <t>FX.13.679</t>
  </si>
  <si>
    <t xml:space="preserve">Ferris Smith Kerrison Punch para cima, 3mm, 18cm </t>
  </si>
  <si>
    <t>HB1480-03</t>
  </si>
  <si>
    <t xml:space="preserve">Pinça Ferris Smith Kerrison Punch para cima, 4mm, 18cm </t>
  </si>
  <si>
    <t>FX.13.681</t>
  </si>
  <si>
    <t xml:space="preserve">Pinça Love-Gruenwald Rugina para Laminectomia, 45° para baixo, 3x10mm, 18cm </t>
  </si>
  <si>
    <t>FX.13.713</t>
  </si>
  <si>
    <t xml:space="preserve">Pinça Cushing Rugina para Laminectomia, reta, 2x10mm, 18cm </t>
  </si>
  <si>
    <t>FX.13.698</t>
  </si>
  <si>
    <t xml:space="preserve">Pinça Love-Gruenwald Rugina para Laminectomia, reta, 3x10mm, 18cm </t>
  </si>
  <si>
    <t>FX.13.707</t>
  </si>
  <si>
    <t xml:space="preserve">Pinça Spurling Rugina para Laminectomia, reta, 4x10mm, 18cm </t>
  </si>
  <si>
    <t>FX.13.716</t>
  </si>
  <si>
    <t>Porta Agulha Mayo-Hegar, pontas com wídea TC, retas, 16cm</t>
  </si>
  <si>
    <t>FX.11.900</t>
  </si>
  <si>
    <t xml:space="preserve">Pinça Ferris Smith Kerrison Punch, para cima, 2mm 18cm, 40° </t>
  </si>
  <si>
    <t>FX.13.691</t>
  </si>
  <si>
    <t xml:space="preserve">Pinça Ferris Smith Kerrison Punch, para cima, 3mm 18cm, 40° </t>
  </si>
  <si>
    <t>FX.13.692</t>
  </si>
  <si>
    <t xml:space="preserve">Pinça Ferris Smith Kerrison Punch, 40° para cima, 4mm 18cm </t>
  </si>
  <si>
    <t>FX.13.693</t>
  </si>
  <si>
    <t xml:space="preserve">Pinça Ferris Smith Kerrison Punch, para cima, 5mm, 18cm, 40° </t>
  </si>
  <si>
    <t>FX.13.694</t>
  </si>
  <si>
    <t>Pinça love, reta, 2mm, 20 cm de comprimento</t>
  </si>
  <si>
    <t>FX.41.726</t>
  </si>
  <si>
    <t>Pinça love, reta, 3mm, 20 cm de comprimento</t>
  </si>
  <si>
    <t>FX.41.729</t>
  </si>
  <si>
    <t>Pinça love, reta, 4mm, 20 cm de comprimento</t>
  </si>
  <si>
    <t>FX.41.732</t>
  </si>
  <si>
    <t>Pinça love, reta, 5mm, 20 cm de comprimento</t>
  </si>
  <si>
    <t>FX.41.924</t>
  </si>
  <si>
    <t xml:space="preserve">Ferris Smith Kerrison Punch para cima, 3mm, 20cm </t>
  </si>
  <si>
    <t>HB1481-03</t>
  </si>
  <si>
    <t xml:space="preserve">Ferris Smith Kerrison Punch para cima, 5mm, 20cm </t>
  </si>
  <si>
    <t>HB1481-05</t>
  </si>
  <si>
    <t xml:space="preserve">Raspador Cobb, 10mm, 25cm </t>
  </si>
  <si>
    <t>FX.13.159</t>
  </si>
  <si>
    <t xml:space="preserve">Rugina Lambotte Alavanca Periosteal, 20mm, 21cm </t>
  </si>
  <si>
    <t>FX.13.124</t>
  </si>
  <si>
    <t>Saca bocado Goiva, curva</t>
  </si>
  <si>
    <t>FX.13.431</t>
  </si>
  <si>
    <t>Rugina Óssea Stille Ruskin, reta, 23cm, 8mm</t>
  </si>
  <si>
    <t>FX.13.430</t>
  </si>
  <si>
    <t>Tesoura de Dissecção Mayo, Romba-romba, curva, 18cm</t>
  </si>
  <si>
    <t>FX.18.204</t>
  </si>
  <si>
    <t>Tesoura de Dissecção Mayo, Romba-romba, reta, 18cm</t>
  </si>
  <si>
    <t>FX.18.200</t>
  </si>
  <si>
    <t xml:space="preserve">Canula de Sucção frazier, 9.FG, 3.0mm, 45°, 19cm </t>
  </si>
  <si>
    <t>FX.08.952</t>
  </si>
  <si>
    <t>Box de container tamanho 3/4, em alumínio anodizado, dimensões internas 430x260x135 mm</t>
  </si>
  <si>
    <t>FX.60.840</t>
  </si>
  <si>
    <t>FX.60.796</t>
  </si>
  <si>
    <t>FX.62.229</t>
  </si>
  <si>
    <t>Subitem 5.2 - Caixa Cirúrgica Craniotomia</t>
  </si>
  <si>
    <t xml:space="preserve">Afastador Weitlaner, garras com 3 x 4 dentes rombos, movimento por cremalheira, 20cm </t>
  </si>
  <si>
    <t>FX.11.201</t>
  </si>
  <si>
    <t xml:space="preserve">Ribbon Afastador, maleavel, 9x200mm </t>
  </si>
  <si>
    <t>FX.11.143</t>
  </si>
  <si>
    <t xml:space="preserve">Ribbon Afastador, maleavel, 12x200mm </t>
  </si>
  <si>
    <t>FX.11.144</t>
  </si>
  <si>
    <t xml:space="preserve">Ribbon Afastador, maleavel, 17x200mm </t>
  </si>
  <si>
    <t>FX.11.145</t>
  </si>
  <si>
    <t xml:space="preserve">Ribbon Afastador, maleavel, 20x200mm </t>
  </si>
  <si>
    <t>FX.11.146</t>
  </si>
  <si>
    <t xml:space="preserve">Ribbon Afastador, maleavel, 25x200mm </t>
  </si>
  <si>
    <t>FX.11.147</t>
  </si>
  <si>
    <t xml:space="preserve">Afastador Weitlaner-Loktite, garras  com2 x 3 dentes rombos, movimento por cremalheira, 10.5cm </t>
  </si>
  <si>
    <t>FX.11.187</t>
  </si>
  <si>
    <t xml:space="preserve">Afastador Weitlaner, garras com 3 x 4 dentes rombos, movimento por cremalheira,16cm </t>
  </si>
  <si>
    <t>FX.11.193</t>
  </si>
  <si>
    <t>Alicate Leksell, de 8mm, 24cm</t>
  </si>
  <si>
    <t>FX.13.426</t>
  </si>
  <si>
    <t xml:space="preserve">Jansen Osteotomo Ósseo, 12mm, 13.5cm </t>
  </si>
  <si>
    <t>FX.12.755</t>
  </si>
  <si>
    <t>Cureta Óssea Bruns, 3mm, 17cm</t>
  </si>
  <si>
    <t>FX.13.041</t>
  </si>
  <si>
    <t>Cureta Óssea Bruns, 4mm, 17cm</t>
  </si>
  <si>
    <t>FX.13.040</t>
  </si>
  <si>
    <t>Cureta Óssea Bruns, 5mm, 17cm</t>
  </si>
  <si>
    <t>FX.13.039</t>
  </si>
  <si>
    <t xml:space="preserve">Cureta Volkamann, 8mm, 17cm </t>
  </si>
  <si>
    <t>FX.13.024</t>
  </si>
  <si>
    <t>Volkmann Cureta Óssea, 17cm, 5x4mm</t>
  </si>
  <si>
    <t>FX.13.029</t>
  </si>
  <si>
    <t>Penfield Dissector Dura, 19.5cm</t>
  </si>
  <si>
    <t>FX.13.584</t>
  </si>
  <si>
    <t>Penfield Cureta e Dissector Dura, 19.5cm</t>
  </si>
  <si>
    <t>FX.13.585</t>
  </si>
  <si>
    <t>Penfield Dissector Dura, dupla, 29cm</t>
  </si>
  <si>
    <t>FX.13.587</t>
  </si>
  <si>
    <t xml:space="preserve">Frazier Hoen Dissector Dura, 15cm </t>
  </si>
  <si>
    <t>FX.13.594</t>
  </si>
  <si>
    <t>Gancho Yasargil galea, 31cm, 7mm</t>
  </si>
  <si>
    <t>HB1395-01</t>
  </si>
  <si>
    <t>Pinça Anatômica Gruenwald- Jansen, baioneta, pontas retas e serrilhadas, 18cm</t>
  </si>
  <si>
    <t>HB5563</t>
  </si>
  <si>
    <t xml:space="preserve">Pinça Anatômica Waugh, pontas retas, finas e serrilhadas, pino guia, 20cm </t>
  </si>
  <si>
    <t>FX.10.005</t>
  </si>
  <si>
    <t xml:space="preserve">Pinça Anatômica Estreita, pontas retas, finas e serrilhadas, 16cm </t>
  </si>
  <si>
    <t>FX.09.958</t>
  </si>
  <si>
    <t xml:space="preserve">Micro Pinça Yasargill, baioneta, pontas retas com conchas fenestradas serrilhadas de 3mm, 22cm </t>
  </si>
  <si>
    <t>FX.10.135</t>
  </si>
  <si>
    <t>Pinça Jansen, 1x2 dentes, cabo Baioneta, com 18cm</t>
  </si>
  <si>
    <t>15-04183-18</t>
  </si>
  <si>
    <t>Pinça Jansen, 1x2 dentes, cabo Baioneta, com 20cm</t>
  </si>
  <si>
    <t>15-04183-20</t>
  </si>
  <si>
    <t xml:space="preserve">Pinça Dandy, pontas curvas laterais, finas e serrilhadas, 14cm </t>
  </si>
  <si>
    <t>FX.10.306</t>
  </si>
  <si>
    <t>HB1483-05</t>
  </si>
  <si>
    <t xml:space="preserve">Pinça Anatômica Adson, pontas retas, finas e serrilhadas, 15cm </t>
  </si>
  <si>
    <t>FX.09.991</t>
  </si>
  <si>
    <t>Pinça de Tecido Ewald Hudson, 1x2 dentes, 12cm</t>
  </si>
  <si>
    <t>06-146-12</t>
  </si>
  <si>
    <t xml:space="preserve">Pinça Allis, pontas retas, finas com 4 x 5 dentes, 15cm </t>
  </si>
  <si>
    <t>FX.16.285</t>
  </si>
  <si>
    <t xml:space="preserve">Pinça Kocher, pontas retas com 1x2 dentes, finas e serrilhadas, 14cm </t>
  </si>
  <si>
    <t>FX.10.398</t>
  </si>
  <si>
    <t xml:space="preserve">Pinça Stille Luer Rugina Óssea, curva, 22cm </t>
  </si>
  <si>
    <t>FX.13.434</t>
  </si>
  <si>
    <t xml:space="preserve">Rugina Lambotte Alavanca Periosteal, 15mm, 21cm </t>
  </si>
  <si>
    <t>FX.13.123</t>
  </si>
  <si>
    <t>Rugina de disco intervertebral Ferris-Smith-Kerrison, corte de 90° para cima, 3mm, 23cm</t>
  </si>
  <si>
    <t>HB1481-23</t>
  </si>
  <si>
    <t>Rugina de disco intervertebral Ferris-Smith-Kerrison, corte de 90° para cima, 4mm, 23cm</t>
  </si>
  <si>
    <t>HB1481-24</t>
  </si>
  <si>
    <t>Rugina de disco intervertebral Ferris-Smith-Kerrison, corte de 90° para cima, 5mm, 23cm</t>
  </si>
  <si>
    <t>HB1481-25</t>
  </si>
  <si>
    <t>Rugina Lambotte Alavanca Periosteal, 15mm, 15cm</t>
  </si>
  <si>
    <t>FX.41.725</t>
  </si>
  <si>
    <t>Tesoura Neurocirúrgica Fulton 17cm</t>
  </si>
  <si>
    <t>05-454-17</t>
  </si>
  <si>
    <t xml:space="preserve">Tesoura De Bakey, lâminas com wídea TC,  muito finas, anguladas em 60º e com pontas agudas, 19cm </t>
  </si>
  <si>
    <t>FX.09.814</t>
  </si>
  <si>
    <t xml:space="preserve">Canula de Sucção Frazier, 6.FG, 2.0mm, 45°, 19cm </t>
  </si>
  <si>
    <t>FX.08.949</t>
  </si>
  <si>
    <t xml:space="preserve">Canula de Sucção Frazier, 15.FG, 5.0mm, 45°, 20cm </t>
  </si>
  <si>
    <t>HB2670-75</t>
  </si>
  <si>
    <t>Subitem 5.3 - Caixa Básica para Neurocirurgia</t>
  </si>
  <si>
    <t xml:space="preserve">Afastador Weitlaner-Loktite, garras  com2 x 3 dentes agudos, movimento por cremalheira, 10.5cm </t>
  </si>
  <si>
    <t>FX.11.186</t>
  </si>
  <si>
    <t>Cureta Óssea Bruns, 6mm, 17cm</t>
  </si>
  <si>
    <t>FX.13.038</t>
  </si>
  <si>
    <t>Cureta Óssea Bruns, 8mm, 17cm - n1</t>
  </si>
  <si>
    <t>FX.13.032</t>
  </si>
  <si>
    <t xml:space="preserve">Dissector Dura, 22cm </t>
  </si>
  <si>
    <t>FX.13.582</t>
  </si>
  <si>
    <t xml:space="preserve">Toennis Dissector Dura, 25cm </t>
  </si>
  <si>
    <t>FX.13.581</t>
  </si>
  <si>
    <t xml:space="preserve">Ribbon Afastador, maleavel, 16x200mm </t>
  </si>
  <si>
    <t>09-950-16</t>
  </si>
  <si>
    <t>Frazier Hoen Dissector Dura, 15cm  90º</t>
  </si>
  <si>
    <t>FX.13.595</t>
  </si>
  <si>
    <t xml:space="preserve">Pinça Anatômica Taylor, baioneta, pontas retas, finas e serrilhadas, pino guia, 18.5cm </t>
  </si>
  <si>
    <t>FX.10.013</t>
  </si>
  <si>
    <t xml:space="preserve">Ruskin Rugina Óssea, reta, 18cm </t>
  </si>
  <si>
    <t>FX.13.416</t>
  </si>
  <si>
    <t xml:space="preserve">Ruskin Rugina Óssea, curva, 18cm </t>
  </si>
  <si>
    <t>FX.13.417</t>
  </si>
  <si>
    <t xml:space="preserve">Ruskin Rugina Óssea, reta, 23cm </t>
  </si>
  <si>
    <t>FX.13.418</t>
  </si>
  <si>
    <t xml:space="preserve">Alicate Ruskin Rugina Óssea, curva, 23cm </t>
  </si>
  <si>
    <t>FX.13.419</t>
  </si>
  <si>
    <t>Pinça Ruskin, Roettgen, 24cm</t>
  </si>
  <si>
    <t>13-921-24</t>
  </si>
  <si>
    <t>HB1483-02</t>
  </si>
  <si>
    <t>HB1483-04</t>
  </si>
  <si>
    <t>Pinça Anatômica Adson, pontas retas, finas com 1x2 dentes, 15cm</t>
  </si>
  <si>
    <t>FX.10.116</t>
  </si>
  <si>
    <t>DeBakey Porta Agulha, fino, 18cm, com videa - TC</t>
  </si>
  <si>
    <t>FX.12.022</t>
  </si>
  <si>
    <t xml:space="preserve">Porta Agulha Ryder-Vascular, pontas com wídea TC, retas, finas, curtas e com perfil rebaixado, 18cm </t>
  </si>
  <si>
    <t>FX.12.004</t>
  </si>
  <si>
    <t xml:space="preserve">Tesoura Metzenbaum- Fine, lâminas retas, finas com pontas rombas, 18cm </t>
  </si>
  <si>
    <t>FX.09.459</t>
  </si>
  <si>
    <t>Cesto aramado compatível com box tamanho 3/4, com pés, dimensões 405x252x110 mm</t>
  </si>
  <si>
    <t>FX.61.220</t>
  </si>
  <si>
    <t>Subitem 6.1 - Caixa para Colecistectomia</t>
  </si>
  <si>
    <t>Afastador Lahey, lâmina de dimensões de 28mm x 6mm, cabo vertical, 19cm</t>
  </si>
  <si>
    <t>FX.10.954</t>
  </si>
  <si>
    <t xml:space="preserve">Ribbon Afastador, 30x330mm </t>
  </si>
  <si>
    <t>FX.11.136</t>
  </si>
  <si>
    <t xml:space="preserve">Ribbon Afastador, 40x330mm </t>
  </si>
  <si>
    <t>FX.11.137</t>
  </si>
  <si>
    <t xml:space="preserve">Pinça Anatômica Standard, pontas retas, largas e serrilhadas, 25cm </t>
  </si>
  <si>
    <t>FX.09.953</t>
  </si>
  <si>
    <t xml:space="preserve">Pinça Allis- Atrauma, pontas retas com serrilha atraumática, 16cm </t>
  </si>
  <si>
    <t>FX.16.297</t>
  </si>
  <si>
    <t xml:space="preserve">Pinça Allis- Atrauma, pontas retas com serrilha atraumática, 20cm </t>
  </si>
  <si>
    <t>FX.16.298</t>
  </si>
  <si>
    <t xml:space="preserve">Crile Rankin Pinça Hemostatica, curva, 16cm </t>
  </si>
  <si>
    <t>FX.10.290</t>
  </si>
  <si>
    <t xml:space="preserve">Crile Rankin Pinça Hemostatica, reta, 16cm </t>
  </si>
  <si>
    <t>FX.18.374</t>
  </si>
  <si>
    <t xml:space="preserve">Pinça Anatômica Standard, pontas retas, 1x 2 dentes, 18cm </t>
  </si>
  <si>
    <t>FX.10.020</t>
  </si>
  <si>
    <t xml:space="preserve">Pinça Anatômica Standard, pontas retas, 1x2 dentes, 20cm </t>
  </si>
  <si>
    <t>FX.10.021</t>
  </si>
  <si>
    <t xml:space="preserve">Pinça Anatômica Standard, pontas retas, 1x2 dentes, 25cm </t>
  </si>
  <si>
    <t>FX.10.022</t>
  </si>
  <si>
    <t xml:space="preserve">Desjardins Clamp para Duto Biliar, curva, 21cm </t>
  </si>
  <si>
    <t>FX.10.523</t>
  </si>
  <si>
    <t xml:space="preserve">Pinça Foerster, pontas curvas com anéis fenestrados sem serrilha, 20cm </t>
  </si>
  <si>
    <t>FX.10.712</t>
  </si>
  <si>
    <t>Pinça Greys, com 23 cm de comprimento</t>
  </si>
  <si>
    <t>FX.10.520</t>
  </si>
  <si>
    <t xml:space="preserve">Pinça Moynihan, pontas curvas e serrilhadas, 23cm </t>
  </si>
  <si>
    <t>FX.10.557</t>
  </si>
  <si>
    <t xml:space="preserve">Randal Pinça para pedra no Rim, 23cm, 5mm </t>
  </si>
  <si>
    <t>FX.16.516</t>
  </si>
  <si>
    <t xml:space="preserve">Pinça Rochester-Pean, pontas curvas e serrilhadas, 22cm </t>
  </si>
  <si>
    <t>FX.10.372</t>
  </si>
  <si>
    <t xml:space="preserve">Pinça Rochester-Pean, pontas retas e serrilhadas, 22cm </t>
  </si>
  <si>
    <t>FX.10.364</t>
  </si>
  <si>
    <t>Porta Agulha Mayo-Hegar, pontas com wídea TC, retas, 26cm</t>
  </si>
  <si>
    <t>FX.11.904</t>
  </si>
  <si>
    <t>Porta Agulha Mayo-Hegar, pontas com wídea TC, retas, 18cm</t>
  </si>
  <si>
    <t>FX.11.901</t>
  </si>
  <si>
    <t>Cesto aramado compatível com box tamanho 1/1, com pés, dimensões  539x252x40 mm</t>
  </si>
  <si>
    <t>FX.60.654</t>
  </si>
  <si>
    <t>Subitem 6.2 - Caixa para Apendicectomia e Cistostomia</t>
  </si>
  <si>
    <t>Doyen Especulo Vaginal, 45x55mm 24cm</t>
  </si>
  <si>
    <t>FX.17.007</t>
  </si>
  <si>
    <t xml:space="preserve">Pinça Schnidt-Sawtell, pontas curvas, finas e serrilhadas, 19cm </t>
  </si>
  <si>
    <t>FX.16.153</t>
  </si>
  <si>
    <t xml:space="preserve">Porta Agulha Baby Crile-Wood, pontas com wídea TC, retas e muito finas, 15cm </t>
  </si>
  <si>
    <t>FX.11.910</t>
  </si>
  <si>
    <t xml:space="preserve">Tesoura Mayo-Stille, lâminas curvas, largas com pontas rombas, 15cm </t>
  </si>
  <si>
    <t>FX.09.389</t>
  </si>
  <si>
    <t>Cesto aramado compatível com box tamanho 3/4, com pés, dimensões 405x252x60 mm</t>
  </si>
  <si>
    <t>FX.61.212</t>
  </si>
  <si>
    <t>Box de container tamanho 3/4, em alumínio anodizado, dimensões internas 430x260x85 mm</t>
  </si>
  <si>
    <t>FX.60.822</t>
  </si>
  <si>
    <t>Subitem 7.1 - Caixa para Cirurgia Toracotomia</t>
  </si>
  <si>
    <t xml:space="preserve">Afastador Adson, garras com dupla articulação e 3 x 4 dentes rombos, movimento por cremalheira, 26cm </t>
  </si>
  <si>
    <t>FX.11.248</t>
  </si>
  <si>
    <t xml:space="preserve">FINOCHIETTO Afastador de Costelas, 70x65x250mm </t>
  </si>
  <si>
    <t>FX.14.466</t>
  </si>
  <si>
    <t xml:space="preserve">Stille-Liston Pinça Corta Osso, angulado, 23cm </t>
  </si>
  <si>
    <t>FX.13.468</t>
  </si>
  <si>
    <t>Semb Pinça Ligadura, curva acentuada, 24cm</t>
  </si>
  <si>
    <t>FX.14.557</t>
  </si>
  <si>
    <t>Costótomo de Collin, curva, 22cm</t>
  </si>
  <si>
    <t>FX.14.394</t>
  </si>
  <si>
    <t xml:space="preserve">Lambotte Osteotomo Ósseo, reto, 25mm 24cm </t>
  </si>
  <si>
    <t>FX.12.895</t>
  </si>
  <si>
    <t xml:space="preserve">Pinça Foerster, pontas curvas com anéis fenestrados e serrilhados, 20cm </t>
  </si>
  <si>
    <t>FX.10.718</t>
  </si>
  <si>
    <t xml:space="preserve">Pinça Foerster, pontas curvas com anéis fenestrados e serrilhados, 25cm </t>
  </si>
  <si>
    <t>FX.10.719</t>
  </si>
  <si>
    <t xml:space="preserve">Pinça Foerster, pontas retas com anéis fenestrados e serrilhados, 25cm </t>
  </si>
  <si>
    <t>FX.10.716</t>
  </si>
  <si>
    <t>Pinça hemostática, Mixter, curva, 35cm</t>
  </si>
  <si>
    <t>FX.41.869</t>
  </si>
  <si>
    <t xml:space="preserve">Pinça Duval, pontas retas com triangulos grandes, fenestrados e serrilhados, 25cm </t>
  </si>
  <si>
    <t>FX.41.929</t>
  </si>
  <si>
    <t xml:space="preserve">Pinça Anatômica Standard, pontas retas, largas com 1x2 dentes, 30cm </t>
  </si>
  <si>
    <t>FX.10.031</t>
  </si>
  <si>
    <t xml:space="preserve">Pinça Duval, pontas retas com triangulos pequenos, fenestrados e serrilhados, 20cm </t>
  </si>
  <si>
    <t>FX.16.330</t>
  </si>
  <si>
    <t xml:space="preserve">Pinça Anatômica Estreita, pontas retas, finas e serrilhadas, 30cm </t>
  </si>
  <si>
    <t>FX.09.962</t>
  </si>
  <si>
    <t xml:space="preserve">Farabeuf Alavanca Periosteal, reto, 15cm </t>
  </si>
  <si>
    <t>FX.13.139</t>
  </si>
  <si>
    <t xml:space="preserve">Doyen Costal Periosteal, esquerda, adulto, 17cm </t>
  </si>
  <si>
    <t>FX.13.117</t>
  </si>
  <si>
    <t xml:space="preserve">Lambotte Alavanca Periosteal, 10mm, 21cm </t>
  </si>
  <si>
    <t>FX.13.122</t>
  </si>
  <si>
    <t xml:space="preserve">Farabeuf Alavanca Periosteal, curvo, 15cm </t>
  </si>
  <si>
    <t>FX.13.140</t>
  </si>
  <si>
    <t xml:space="preserve">Mayo Tesoura, curva, 19cm </t>
  </si>
  <si>
    <t>FX.18.205</t>
  </si>
  <si>
    <t xml:space="preserve">Mayo Tesoura, reta, 19cm </t>
  </si>
  <si>
    <t>FX.18.201</t>
  </si>
  <si>
    <t xml:space="preserve">Tesoura Metzenbaum-Nelson, lâminas curvas, finas com pontas rombas, 30cm </t>
  </si>
  <si>
    <t>FX.09.485</t>
  </si>
  <si>
    <t>Subitem 7.2 - Caixa para Toracotomia Infantil</t>
  </si>
  <si>
    <t xml:space="preserve">Finochietto Afastador de Costelas, 38x44mm, 135mm </t>
  </si>
  <si>
    <t>FX.14.461</t>
  </si>
  <si>
    <t xml:space="preserve">Finochietto-Baby, Afastador de Costelas, 15x15x75mm </t>
  </si>
  <si>
    <t>FX.14.446</t>
  </si>
  <si>
    <t>Alicate para fio de aço, reto, 7x5 mm, com vídea, 12 cm</t>
  </si>
  <si>
    <t>13-224-01</t>
  </si>
  <si>
    <t xml:space="preserve">Reverdin Abdominal Spatula 60x45mm, 29cm </t>
  </si>
  <si>
    <t>FX.11.149</t>
  </si>
  <si>
    <t xml:space="preserve">Pinça Anatômica De Bakey, pontas retas, finas com 1.5mm e serrilha atraumática, 20cm </t>
  </si>
  <si>
    <t>FX.13.908</t>
  </si>
  <si>
    <t xml:space="preserve">Pinça Foerster, pontas curvas com anéis fenestrados e serrilhados, 18cm </t>
  </si>
  <si>
    <t>FX.10.717</t>
  </si>
  <si>
    <t>Pinça Kocher-Ochsnner, pontas curvas, serrilhadas com 1x2 dentes, 14cm</t>
  </si>
  <si>
    <t>FX.10.384</t>
  </si>
  <si>
    <t xml:space="preserve">Pinça Pean, reta, 14cm </t>
  </si>
  <si>
    <t>FX.10.343</t>
  </si>
  <si>
    <t xml:space="preserve">Pinça Mixter, pontas com curvatura acentuada e serrilhadas, 15.5cm </t>
  </si>
  <si>
    <t>FX.10.505</t>
  </si>
  <si>
    <t xml:space="preserve">Pinça Gemini, pontas curvas, finas e serrilhadas, 25cm </t>
  </si>
  <si>
    <t>FX.10.453</t>
  </si>
  <si>
    <t xml:space="preserve">Tesoura Metzenbaum, lâminas retas, finas com pontas rombas, 14.5cm </t>
  </si>
  <si>
    <t>FX.09.449</t>
  </si>
  <si>
    <t>POTTS SMITH Tesoura Vascular serrilhada, 25°, 19cm, SuperCut, com Videa - TC</t>
  </si>
  <si>
    <t>FX.18.175</t>
  </si>
  <si>
    <t xml:space="preserve">Tubo de Sucção Yankauer, tubular, canula curva com ponta rosqueável modelo chuveiro, manopla com apoio digital e oliva, 27cm </t>
  </si>
  <si>
    <t>FX.09.025</t>
  </si>
  <si>
    <t>Tubo de sucção Frazier, revestido em preto, 9CH, 18cm</t>
  </si>
  <si>
    <t>HB2670-89</t>
  </si>
  <si>
    <t>Subitem 8.1 - Caixa para Curetagem Uterina</t>
  </si>
  <si>
    <t xml:space="preserve">Breisky Especulo, 130x35mm </t>
  </si>
  <si>
    <t>FX.17.067</t>
  </si>
  <si>
    <t xml:space="preserve">Breisky Especulo, 130x30mm </t>
  </si>
  <si>
    <t>FX.17.066</t>
  </si>
  <si>
    <t xml:space="preserve">Wallich Colher para Aborto, rombo, 42cm </t>
  </si>
  <si>
    <t>FX.17.708</t>
  </si>
  <si>
    <t xml:space="preserve">Schroeder Colher Uterina, afiada, 6mm, 30cm </t>
  </si>
  <si>
    <t>FX.41.930</t>
  </si>
  <si>
    <t xml:space="preserve">Schroeder Colher Uterina, afiada, 8mm, 30cm </t>
  </si>
  <si>
    <t>FX.41.931</t>
  </si>
  <si>
    <t xml:space="preserve">Schroeder Colher Uterina, afiada, 10.0mm, 30cm </t>
  </si>
  <si>
    <t>FX.17.376</t>
  </si>
  <si>
    <t xml:space="preserve">Schroeder Colher Uterina, afiada, 12mm, 30cm </t>
  </si>
  <si>
    <t>FX.41.932</t>
  </si>
  <si>
    <t xml:space="preserve">Schroeder Colher Uterina, afiada, 14mm, 30cm </t>
  </si>
  <si>
    <t>FX.41.933</t>
  </si>
  <si>
    <t>Cureta Uterina Recamier, maleável, romba, 5mm, 26cm</t>
  </si>
  <si>
    <t>27-09227-05</t>
  </si>
  <si>
    <t>Cureta Uterina Recamier, maleável, romba, 8mm, 26cm</t>
  </si>
  <si>
    <t>27-09227-08</t>
  </si>
  <si>
    <t>Cureta Uterina Recamier, maleável, romba, 12mm, 26cm</t>
  </si>
  <si>
    <t>27-09227-12</t>
  </si>
  <si>
    <t>Cureta Uterina Recamier, maleável, romba, 16mm, 26cm</t>
  </si>
  <si>
    <t>27-09227-16</t>
  </si>
  <si>
    <t xml:space="preserve">Collin Landau Especulo Vaginal, 100x35mm </t>
  </si>
  <si>
    <t>FX.16.913</t>
  </si>
  <si>
    <t xml:space="preserve">Museux Pinça Vulselum, reta, junta parafusada, 8mm, 24cm </t>
  </si>
  <si>
    <t>FX.17.290</t>
  </si>
  <si>
    <t>Pozzi Pinça tenáculo, 25.5cm</t>
  </si>
  <si>
    <t>FX.17.263</t>
  </si>
  <si>
    <t xml:space="preserve">Winter  Pinça Placenta e Ovario, curva, 28cm, 11mm  </t>
  </si>
  <si>
    <t>FX.17.668</t>
  </si>
  <si>
    <t xml:space="preserve">Winter  Pinça Placenta e Ovario, reta, 28cm, 11mm </t>
  </si>
  <si>
    <t>FX.17.665</t>
  </si>
  <si>
    <t xml:space="preserve">Winter  Pinça Placenta e Ovario, curva, 28cm, 9.5mm </t>
  </si>
  <si>
    <t>FX.17.667</t>
  </si>
  <si>
    <t xml:space="preserve">Collin Sonda Uterina, 28cm </t>
  </si>
  <si>
    <t>FX.17.238</t>
  </si>
  <si>
    <t>Subitem 8.2 - Caixa Cirúrgica para Histerectomia Abdominal</t>
  </si>
  <si>
    <t>Afastador Balfour, garras laterais aramadas com 70mm  x 35mm,  hastes curvas, abertura de 180mm, Acompanha válvula central suprapúbica com 45mm x 80mm</t>
  </si>
  <si>
    <t>FX.11.469</t>
  </si>
  <si>
    <t>Doyen Especulo Vaginal, 60x85mm</t>
  </si>
  <si>
    <t>FX.17.011</t>
  </si>
  <si>
    <t xml:space="preserve">Pinça Faure, pontas curvas leves, curtas, serrilhadas com 1x2 dentes, 20cm </t>
  </si>
  <si>
    <t xml:space="preserve">Pinça Foerster, pontas curvas com anéis fenestrados sem serrilha, 25cm </t>
  </si>
  <si>
    <t>FX.10.713</t>
  </si>
  <si>
    <t>Pinça Kocher-Ochsnner, pontas retas, serrilhadas com 1x2 dentes, 20cm</t>
  </si>
  <si>
    <t>FX.10.379</t>
  </si>
  <si>
    <t xml:space="preserve">Porta Agulha Mayo-Hegar, pontas retas, largas com serrilha cruzada e encaixe p/ agulha de sutura, 30cm </t>
  </si>
  <si>
    <t>FX.12.162</t>
  </si>
  <si>
    <t>Saca Mioma Doyen, 17cm</t>
  </si>
  <si>
    <t>FX.17.244</t>
  </si>
  <si>
    <t>Afastador Doyen, válvula suprapúbica com dimensões de 55mm x 115mm,  28cm</t>
  </si>
  <si>
    <t>FX.11.490</t>
  </si>
  <si>
    <t xml:space="preserve">Tesoura Mayo-Stille, lâminas curva, largas com pontas rombas, 19cm </t>
  </si>
  <si>
    <t>FX.09.385</t>
  </si>
  <si>
    <t xml:space="preserve">Tesoura Mayo-Stille, lâminas retas, largas com pontas rombas, 19cm </t>
  </si>
  <si>
    <t>FX.09.384</t>
  </si>
  <si>
    <t xml:space="preserve">Tesoura Metzenbaum-Nelson, lâminas retas, finas com pontas rombas, 20cm </t>
  </si>
  <si>
    <t>FX.09.475</t>
  </si>
  <si>
    <t>Subitem 8.3 - Caixa para Parto Cesárea</t>
  </si>
  <si>
    <t>Subitem 9.1 - Caixa Cirurgia Bucomaxilofacial Principal</t>
  </si>
  <si>
    <t xml:space="preserve">Afastador de Lingua, 43mm, 16.5cm </t>
  </si>
  <si>
    <t>FX.15.630</t>
  </si>
  <si>
    <t xml:space="preserve">Abridor de boca Molt Doyen Jansen, 11cm </t>
  </si>
  <si>
    <t>FX.15.555</t>
  </si>
  <si>
    <t xml:space="preserve">Afastador Guthrie, gancho, com abertura pequena, ponta com 3mm e 2 dentes extra pequenos e agudos, 16cm </t>
  </si>
  <si>
    <t>FX.10.803</t>
  </si>
  <si>
    <t xml:space="preserve">Afastador Buenings, 19cm </t>
  </si>
  <si>
    <t>FX.15.636</t>
  </si>
  <si>
    <t>Afastador Farabeut Modificado 13mm/15cm (par)</t>
  </si>
  <si>
    <t>QG.660.15</t>
  </si>
  <si>
    <t>Afastador Gillies, 3mm, 16cm</t>
  </si>
  <si>
    <t>FX.41.542</t>
  </si>
  <si>
    <t>Afastador Minnesota, 14cm</t>
  </si>
  <si>
    <t>FX.15.609</t>
  </si>
  <si>
    <t xml:space="preserve">Obwegeser Afastador Tecido, para baixo, 10x35mm, 22cm </t>
  </si>
  <si>
    <t>FX.15.692</t>
  </si>
  <si>
    <t>Obwegeser Afastador Tecido, para baixo, 7x25mm, 22cm, laminas concavas</t>
  </si>
  <si>
    <t>FX.15.691</t>
  </si>
  <si>
    <t xml:space="preserve">Obwegeser Afastador Tecido, para cima, 11x55mm, 22cm </t>
  </si>
  <si>
    <t>FX.15.700</t>
  </si>
  <si>
    <t xml:space="preserve">Obwegeser Afastador Tecido, para cima, 11x40mm, 22cm </t>
  </si>
  <si>
    <t>FX.15.699</t>
  </si>
  <si>
    <t xml:space="preserve">Obwegeser Afastador de Ramos, 11-15x70mm, 22cm </t>
  </si>
  <si>
    <t>FX.15.744</t>
  </si>
  <si>
    <t xml:space="preserve">Afastador, gancho com abertura pequena e 03 dentes rombos, 16cm </t>
  </si>
  <si>
    <t>FX.10.775</t>
  </si>
  <si>
    <t xml:space="preserve">Afastador Senn-Miller, duplo, de um lado, lâmina de 20mm x 7mm, e do outro, gancho com 3 dentes rombos, 16cm </t>
  </si>
  <si>
    <t>FX.10.858</t>
  </si>
  <si>
    <t>Afastador de Base Mandibular Largo</t>
  </si>
  <si>
    <t>QD.718.02</t>
  </si>
  <si>
    <t xml:space="preserve">Hargis Afastador de Mandibula, 13mm, 18cm </t>
  </si>
  <si>
    <t>FX.15.715</t>
  </si>
  <si>
    <t xml:space="preserve">Compasso Castroviejo, reta, 0-40mm, 9cm </t>
  </si>
  <si>
    <t>FX.18.015</t>
  </si>
  <si>
    <t>Cinzel de Lucas, duplo bisel, 4mm</t>
  </si>
  <si>
    <t>QD.137.02</t>
  </si>
  <si>
    <t xml:space="preserve">Cinzel Periótomo, reto, 6mm, 18cm </t>
  </si>
  <si>
    <t>FX.15.933</t>
  </si>
  <si>
    <t>Cinzel Bizel, 3mm 19cm</t>
  </si>
  <si>
    <t>FX.15.926</t>
  </si>
  <si>
    <t>Cinzel de Lucas 16cm</t>
  </si>
  <si>
    <t>QD.137.04</t>
  </si>
  <si>
    <t xml:space="preserve">Cinzel de Wagner, angulado, com 6mm e 15cm </t>
  </si>
  <si>
    <t>QD.121.06</t>
  </si>
  <si>
    <t xml:space="preserve">Cinzel de Wagner, curvo, com 6mm e 14,5cm </t>
  </si>
  <si>
    <t>QD.121.04</t>
  </si>
  <si>
    <t xml:space="preserve">Cinzel de Wagner curvo, com 8mm e 15cm </t>
  </si>
  <si>
    <t>QD.121.05</t>
  </si>
  <si>
    <t xml:space="preserve">Cinzel de Wagner, reto, com 4 mm e 15cm </t>
  </si>
  <si>
    <t>QD.120.01</t>
  </si>
  <si>
    <t>Cinzel de Wagner, reto, com 6 mm e 15cm</t>
  </si>
  <si>
    <t>QD.120.02</t>
  </si>
  <si>
    <t>Cinzel de Wagner, reto, com 8mm e 15cm</t>
  </si>
  <si>
    <t>QD.120.03</t>
  </si>
  <si>
    <t xml:space="preserve">Cinzel da Corcova Nasal, 10mm, 18cm </t>
  </si>
  <si>
    <t>FX.15.999</t>
  </si>
  <si>
    <t>Cinzel Sverzut, em cruz, 17cm</t>
  </si>
  <si>
    <t>QD.197.00</t>
  </si>
  <si>
    <t>Bruns Cureta Óssea, 17cm, n5</t>
  </si>
  <si>
    <t>FX.13.036</t>
  </si>
  <si>
    <t>Cureta de Lucas, 16cm</t>
  </si>
  <si>
    <t>QD.008.84</t>
  </si>
  <si>
    <t>Cureta Lucas n.86, 17cm</t>
  </si>
  <si>
    <t>QD.008.86</t>
  </si>
  <si>
    <t xml:space="preserve">Cureta de Molt, com cabo soft, com 18,5cm </t>
  </si>
  <si>
    <t>QD.929.15</t>
  </si>
  <si>
    <t>Cureta Periodontal 13/14, 16,5cm</t>
  </si>
  <si>
    <t>QD.003.14</t>
  </si>
  <si>
    <t>Freer-Davis Alavanca e Separador, afiada/romba 20.5cm</t>
  </si>
  <si>
    <t>FX.15.336</t>
  </si>
  <si>
    <t>Descolador Elevador Dingman (Molt), 6.5mm18cm</t>
  </si>
  <si>
    <t>QD.935.09</t>
  </si>
  <si>
    <t>Descolador Elevador Dingman (Molt), n9, 18cm</t>
  </si>
  <si>
    <t>QD.935.18</t>
  </si>
  <si>
    <t>Descolador em J, 20cm</t>
  </si>
  <si>
    <t>QD.194.20</t>
  </si>
  <si>
    <t>Descolador Sverzut para ramo, 20cm</t>
  </si>
  <si>
    <t>QD.190.20</t>
  </si>
  <si>
    <t>Descolador/elevador de Henahan, de 18cm</t>
  </si>
  <si>
    <t>QD.191.18</t>
  </si>
  <si>
    <t>Esculpidor Hollemback, 16cm</t>
  </si>
  <si>
    <t>QD.224.06</t>
  </si>
  <si>
    <t>Espátula com ponta em V 1001, com 17cm</t>
  </si>
  <si>
    <t>QD.193.18</t>
  </si>
  <si>
    <t xml:space="preserve">Ribbon Afastador, maleavel, 6x200mm </t>
  </si>
  <si>
    <t>FX.11.142</t>
  </si>
  <si>
    <t>Gancho Barros, 16cm</t>
  </si>
  <si>
    <t>QD.248.15</t>
  </si>
  <si>
    <t xml:space="preserve">Raspa Lima óssea Lewis, espátula pequena, com serrilha fina, com wídea TC, cabo redondo, 18cm </t>
  </si>
  <si>
    <t>FX.15.119</t>
  </si>
  <si>
    <t>Localizador de nervo Alveolar Inferior, 16cm</t>
  </si>
  <si>
    <t>QD.802.01</t>
  </si>
  <si>
    <t>Shermann Martelo Nasal, 19mm cabeça em cobre, 16.5cm, 4.Oz</t>
  </si>
  <si>
    <t>FX.16.056</t>
  </si>
  <si>
    <t xml:space="preserve">Lexer Osteotomo Ósseo, com manopla, reto, 10mm 22cm </t>
  </si>
  <si>
    <t>FX.12.919</t>
  </si>
  <si>
    <t>Parafuso Byrd, 10cm</t>
  </si>
  <si>
    <t>QD.980.00</t>
  </si>
  <si>
    <t>Paquimetro, modelo agulha</t>
  </si>
  <si>
    <t>HB7377-01</t>
  </si>
  <si>
    <t>Pinça Dietrich, 22cm</t>
  </si>
  <si>
    <t>QZ.110.22</t>
  </si>
  <si>
    <t>Pinça Kocher, angulada, 90°, ponta ativa 14cm, com corrente buco, 58cm</t>
  </si>
  <si>
    <t>QD.675.00</t>
  </si>
  <si>
    <t xml:space="preserve">Alicate Beyer Rugina Óssea, curva, 18cm </t>
  </si>
  <si>
    <t>FX.13.406</t>
  </si>
  <si>
    <t>Mayo Hegar (Seeley) Porta Agulha, delicado, 18cm com videa - TC</t>
  </si>
  <si>
    <t>FX.11.907</t>
  </si>
  <si>
    <t xml:space="preserve">Porta Agulha Torce fio, 22cm, com videa - TC </t>
  </si>
  <si>
    <t>FX.12.403</t>
  </si>
  <si>
    <t xml:space="preserve">Tesoura Dean, lâminas anguladas p/ frente, finas, chanfradas, corte serrilhado, com pontas agudas, 17cm </t>
  </si>
  <si>
    <t>FX.09.490</t>
  </si>
  <si>
    <t>FX.60.804</t>
  </si>
  <si>
    <t>FX.62.233</t>
  </si>
  <si>
    <t>Subitem 9.2 - Caixa Cirúrgica Extração Buco</t>
  </si>
  <si>
    <t xml:space="preserve">Cawood Minnesota Afastador Facial, 15.5cm </t>
  </si>
  <si>
    <t>FX.15.608</t>
  </si>
  <si>
    <t>Luer Rugina Óssea, 15cm, fina</t>
  </si>
  <si>
    <t>FX.13.389</t>
  </si>
  <si>
    <t xml:space="preserve">Alexander Chisel Ósseo, 4mm, 17cm </t>
  </si>
  <si>
    <t>FX.12.798</t>
  </si>
  <si>
    <t>Cureta periodontal tipo Gracey 13/14</t>
  </si>
  <si>
    <t>QD.001.14</t>
  </si>
  <si>
    <t>Elevador Dingman (Molt), 6.5mm18cm</t>
  </si>
  <si>
    <t>HB5618-18</t>
  </si>
  <si>
    <t>Alavanca Apexo 303</t>
  </si>
  <si>
    <t>QD.415.23</t>
  </si>
  <si>
    <t>Extrator Apical 303, Direito</t>
  </si>
  <si>
    <t>FX.41.646</t>
  </si>
  <si>
    <t>Extrator Apical 304</t>
  </si>
  <si>
    <t>FX.41.648</t>
  </si>
  <si>
    <t>Extrator Apical 302 Esquerdo</t>
  </si>
  <si>
    <t>FX.41.647</t>
  </si>
  <si>
    <t>Extrator Seldin 2, reto</t>
  </si>
  <si>
    <t>FX.41.651</t>
  </si>
  <si>
    <t>Extrator Seldin 1L, angulado, esquerdo</t>
  </si>
  <si>
    <t>FX.41.649</t>
  </si>
  <si>
    <t>Extrator Seldin 1R, angulado, direito</t>
  </si>
  <si>
    <t>FX.41.650</t>
  </si>
  <si>
    <t>Forceps n.1</t>
  </si>
  <si>
    <t>FX.41.652</t>
  </si>
  <si>
    <t>Forceps n.16</t>
  </si>
  <si>
    <t>FX.41.763</t>
  </si>
  <si>
    <t>Forceps n.17</t>
  </si>
  <si>
    <t>FX.41.655</t>
  </si>
  <si>
    <t>Forceps n.18L</t>
  </si>
  <si>
    <t>FX.41.656</t>
  </si>
  <si>
    <t>Forceps n.18R</t>
  </si>
  <si>
    <t>FX.41.657</t>
  </si>
  <si>
    <t>Forceps n.150</t>
  </si>
  <si>
    <t>FX.41.653</t>
  </si>
  <si>
    <t>Forceps n.151</t>
  </si>
  <si>
    <t>FX.41.654</t>
  </si>
  <si>
    <t>Forceps n.65</t>
  </si>
  <si>
    <t>FX.41.658</t>
  </si>
  <si>
    <t>Hollemback n.3</t>
  </si>
  <si>
    <t>QD.198.10</t>
  </si>
  <si>
    <t>Lima Sendin nº 2 (11)</t>
  </si>
  <si>
    <t>QD.610.02</t>
  </si>
  <si>
    <t xml:space="preserve">DeBakey-Diethrich Pinça, Atraumatica, 1.0mm, 15cm </t>
  </si>
  <si>
    <t>FX.13.898</t>
  </si>
  <si>
    <t xml:space="preserve">Pinça Backhaus, pontas curvas e agudas, 11cm </t>
  </si>
  <si>
    <t>FX.10.630</t>
  </si>
  <si>
    <t xml:space="preserve">Tesoura Metzenbaum, lâminas retas, finas com pontas rombas, 15cm </t>
  </si>
  <si>
    <t>FX.09.447</t>
  </si>
  <si>
    <t>FX.61.287</t>
  </si>
  <si>
    <t>Subitem 10.1 - Caixa para Hemorroidectomia</t>
  </si>
  <si>
    <t xml:space="preserve">Pinça Gemini, pontas curvas, finas e serrilhadas, 13cm </t>
  </si>
  <si>
    <t>FX.10.448</t>
  </si>
  <si>
    <t xml:space="preserve">Tesoura Standard, lâminas retas, largas e com pontas romba /aguda, 15.5cm </t>
  </si>
  <si>
    <t>FX.09.338</t>
  </si>
  <si>
    <t xml:space="preserve">Tesoura Mayo-Stille, lâminas curvas, largas com pontas rombas, 17cm </t>
  </si>
  <si>
    <t>FX.09.390</t>
  </si>
  <si>
    <t xml:space="preserve">Tesoura Metzenbaum- Fine, lâminas curvas, finas com pontas rombas, 18cm </t>
  </si>
  <si>
    <t>FX.09.462</t>
  </si>
  <si>
    <t xml:space="preserve">Tentacanula ranhurado, 16cm </t>
  </si>
  <si>
    <t>FX.11.806</t>
  </si>
  <si>
    <t>Cesto aramado compatível com box tamanho 1/2, com pés, dimensões  242x252x110 mm</t>
  </si>
  <si>
    <t>FX.61.857</t>
  </si>
  <si>
    <t>FX.61.271</t>
  </si>
  <si>
    <t>Subitem 11.1 - Caixa para Cirurgia de Bariátrica</t>
  </si>
  <si>
    <t xml:space="preserve">Afastador Doyen, curvo, 160,0x45mm </t>
  </si>
  <si>
    <t>20-251-04</t>
  </si>
  <si>
    <t>Afastador Doyen, n8. 100x210mm e 25cm</t>
  </si>
  <si>
    <t>FX.41.660</t>
  </si>
  <si>
    <t>Pinça dissecção anatômica, c/ serrilha, 35cm</t>
  </si>
  <si>
    <t>FX.41.661</t>
  </si>
  <si>
    <t>Pinça hemostática Babcock, reta, 30cm</t>
  </si>
  <si>
    <t>FX.41.874</t>
  </si>
  <si>
    <t>Pinça hemostática Babcock, reta, 35cm</t>
  </si>
  <si>
    <t>FX.41.875</t>
  </si>
  <si>
    <t>Overholt-Geissendorfer Pinça, curva acentuada, serrilhada, 27cm</t>
  </si>
  <si>
    <t>FX.18.402</t>
  </si>
  <si>
    <t>Overholt-Geissendorfer Pinça, curva acentuada, serrilhada, 21cm</t>
  </si>
  <si>
    <t>FX.18.401</t>
  </si>
  <si>
    <t>Pinça Kocher-Ochsnner, pontas retas, serrilhadas com 1x2 dentes, 26cm</t>
  </si>
  <si>
    <t>FX.10.382</t>
  </si>
  <si>
    <t>Pinça Kocher-Ochsnner, pontas curvas, serrilhadas com 1x2 dentes, 26cm</t>
  </si>
  <si>
    <t>FX.10.390</t>
  </si>
  <si>
    <t>Porta Agulha Mayo-Hegar, pontas com wídea TC, retas, 30cm</t>
  </si>
  <si>
    <t>FX.11.905</t>
  </si>
  <si>
    <t>DeBakey Porta Agulha, fino, 30cm, com videa - TC</t>
  </si>
  <si>
    <t>FX.12.026</t>
  </si>
  <si>
    <t>Porta Agulha Mayo-Hegar, pontas com wídea TC, retas, 36cm</t>
  </si>
  <si>
    <t>FX.41.722</t>
  </si>
  <si>
    <t xml:space="preserve">Tesoura Metzenbaum-Fine, lâminas comwídea TC, finas, curvas, maciças e com pontas rombas, 28cm </t>
  </si>
  <si>
    <t>FX.09.726</t>
  </si>
  <si>
    <t>Tesoura de Dissecção, Metzenbaum, Delicada, Romba/romba, 30cm, curva, com Inserto de Carbureto de Tungstênio (Vídea)</t>
  </si>
  <si>
    <t>14-01867-30</t>
  </si>
  <si>
    <t xml:space="preserve">Tesoura Metzenbaum-Fine, lâminas com wídea TC, finas, curvas, maciças e com pontas rombas, 25cm </t>
  </si>
  <si>
    <t>FX.09.725</t>
  </si>
  <si>
    <t xml:space="preserve">Tesoura Mayo Supercut, lâminas chanfradas com wídea TC e corte serrilhado, largas com pontas curvas e rombas, 23cm </t>
  </si>
  <si>
    <t>FX.09.251</t>
  </si>
  <si>
    <t xml:space="preserve">Tesoura Metzenbaum-Nelson, lâminas retas, finas com pontas rombas, 30cm </t>
  </si>
  <si>
    <t>FX.09.479</t>
  </si>
  <si>
    <t>Metzenbaum Tesoura, curva, 30cm, com Videa - TC</t>
  </si>
  <si>
    <t>FX.41.926</t>
  </si>
  <si>
    <t>Metzenbaum Tesoura, curva, 35cm, com Videa - TC</t>
  </si>
  <si>
    <t>FX.41.662</t>
  </si>
  <si>
    <t>Subitem 12.1 - Caixa para Cirurgia de Cabeça e Pescoço</t>
  </si>
  <si>
    <t>Abridor de Boca McIvor, com 3 laminas, completo</t>
  </si>
  <si>
    <t>FX.15.582</t>
  </si>
  <si>
    <t>Retrator para Labios e Bochecha, tipo C</t>
  </si>
  <si>
    <t>FX.41.935</t>
  </si>
  <si>
    <t xml:space="preserve">Afastador Langenbeck, válvula com lâmina de dimensões de 50mm x 11mm, 22cm </t>
  </si>
  <si>
    <t>FX.10.964</t>
  </si>
  <si>
    <t>Pinças de Biópsia Medina, 3mm, 24cm</t>
  </si>
  <si>
    <t>QS.852.03</t>
  </si>
  <si>
    <t>Pinça anatômica Adson, 1x2 dentes, com vídea, com 15 cm</t>
  </si>
  <si>
    <t>FX.09.910</t>
  </si>
  <si>
    <t>Tesoura de Iris, romba/romba, 11.5cm/4½", reta, com Vídea</t>
  </si>
  <si>
    <t>14-02528-11</t>
  </si>
  <si>
    <t>Subitem 13.1 - Caixa para Cirurgia Vascular</t>
  </si>
  <si>
    <t>Afastador Farabeuf Conjunto Completo, 17x20cm</t>
  </si>
  <si>
    <t>09-576-00</t>
  </si>
  <si>
    <t xml:space="preserve">Afastador Weitlaner, garras com 3 x 4 dentes rombos, movimento por cremalheira,14cm </t>
  </si>
  <si>
    <t>FX.11.192</t>
  </si>
  <si>
    <t xml:space="preserve">Clamp DeBakey, parte funcional reta com serrilha atraumática de 50mm, 17cm </t>
  </si>
  <si>
    <t>FX.13.993</t>
  </si>
  <si>
    <t xml:space="preserve">Satinsky Clamp para Oclusão Tangencial, 25cm </t>
  </si>
  <si>
    <t>FX.14.060</t>
  </si>
  <si>
    <t xml:space="preserve">Satinsky Clamp para Oclusão Tangencial, 26.5cm </t>
  </si>
  <si>
    <t>FX.14.061</t>
  </si>
  <si>
    <t>Clamp Cardiovascular Satinsky, 11,5cm</t>
  </si>
  <si>
    <t>HB4001-02</t>
  </si>
  <si>
    <t>Clamp Glover Bulldog, Atrauma,curvo, 6.5cm</t>
  </si>
  <si>
    <t>FX.13.945</t>
  </si>
  <si>
    <t xml:space="preserve">Glover Bulldog Clamp, Atraumatica, reta, 7cm </t>
  </si>
  <si>
    <t>FX.13.941</t>
  </si>
  <si>
    <t xml:space="preserve">Glover  Bulldog Clamp, Atraumatica, curva, 10.5cm </t>
  </si>
  <si>
    <t>FX.13.948</t>
  </si>
  <si>
    <t>Pinça Anatômica De Bakey, pontas anguladas, finas com 2mm e serrilha atraumática, 20cm</t>
  </si>
  <si>
    <t>FX.13.921</t>
  </si>
  <si>
    <t xml:space="preserve">Pinça Anatômica De Bakey, pontas retas, finas com 2mm e serrilha atraumática, 24cm </t>
  </si>
  <si>
    <t>FX.13.912</t>
  </si>
  <si>
    <t xml:space="preserve">DeBakey-Diethrich Pinça, Atraumatica, 1.0mm, 19.5cm </t>
  </si>
  <si>
    <t>FX.13.899</t>
  </si>
  <si>
    <t xml:space="preserve">Babcock Pinça para Tecido, serrilhada, 18cm </t>
  </si>
  <si>
    <t>FX.16.320</t>
  </si>
  <si>
    <t xml:space="preserve">Pinça Mixter, pontas curvas com serrilhas paralelas longitudinais, 25cm </t>
  </si>
  <si>
    <t>FX.10.509</t>
  </si>
  <si>
    <t>Pinca de Micro Apreensão De Bakey Reto (a) 21cm 1,8mm</t>
  </si>
  <si>
    <t>34-366-21</t>
  </si>
  <si>
    <t xml:space="preserve">Pinça Anatômica De Bakey, pontas retas, finas com 1.5mm e serrilha atraumática, 16cm </t>
  </si>
  <si>
    <t>FX.13.907</t>
  </si>
  <si>
    <t xml:space="preserve">Castroviejo Porta Agulha, reto, sem garras, 17cm </t>
  </si>
  <si>
    <t>FX.18.504</t>
  </si>
  <si>
    <t xml:space="preserve">Raspa óssea, 24.5cm </t>
  </si>
  <si>
    <t>FX.13.091</t>
  </si>
  <si>
    <t xml:space="preserve">Tesoura Potts-Smith, lâminas anguladas 25º, finas com pontas agudas, 19cm </t>
  </si>
  <si>
    <t>FX.09.507</t>
  </si>
  <si>
    <t xml:space="preserve">Tesoura Potts-Smith, lâminas anguladas 45º, finas com pontas agudas, 19cm </t>
  </si>
  <si>
    <t>FX.18.865</t>
  </si>
  <si>
    <t xml:space="preserve">Tesoura Potts-Smith, lâminas anguladas 60º, finas com pontas agudas, 19cm </t>
  </si>
  <si>
    <t>FX.09.508</t>
  </si>
  <si>
    <t xml:space="preserve">Tesoura Potts-Smith, lâminas anguladas 40º, finas com pontas agudas, 19cm </t>
  </si>
  <si>
    <t>05-404-19</t>
  </si>
  <si>
    <t>FX.60.792</t>
  </si>
  <si>
    <t>FX.62.227</t>
  </si>
  <si>
    <t>Subitem 13.2 - Caixa para Cirurgia de Fístula Arteriovenosa</t>
  </si>
  <si>
    <t xml:space="preserve">Afastador Adson, garras com dupla articulação e 3 x 4 dentes rombos, movimento por cremalheira, 16cm </t>
  </si>
  <si>
    <t>FX.11.246</t>
  </si>
  <si>
    <t xml:space="preserve">Pinça Pean, reta, 16cm </t>
  </si>
  <si>
    <t>FX.10.344</t>
  </si>
  <si>
    <t xml:space="preserve">Pinça Anatômica Potts-Smith, pontas retas, finas com 1x2 dentes, pino guia, 18cm </t>
  </si>
  <si>
    <t>FX.10.102</t>
  </si>
  <si>
    <t>FX.61.275</t>
  </si>
  <si>
    <t>Subitem 14.1 - Caixa para Cirurgia de Mão</t>
  </si>
  <si>
    <t xml:space="preserve">Afastador Langenbeck, válvula com lâmina de dimensões de 30mm x 11mm, 22cm </t>
  </si>
  <si>
    <t>FX.10.960</t>
  </si>
  <si>
    <t xml:space="preserve">Afastador Volkmann, multi-uso, gancho com 2 dentes rombos,  22cm </t>
  </si>
  <si>
    <t>FX.10.901</t>
  </si>
  <si>
    <t xml:space="preserve">Afastador Volkmann, multi-uso, gancho com 2 dentes semi-agudo,  22cm </t>
  </si>
  <si>
    <t>FX.10.896</t>
  </si>
  <si>
    <t>Afastador Senn Miller, 3 garras rombas, 18cm</t>
  </si>
  <si>
    <t>FX.41.871</t>
  </si>
  <si>
    <t>Alicate de Ponta Chata, com ranhura transversal, 17 cm</t>
  </si>
  <si>
    <t>FX.12.408</t>
  </si>
  <si>
    <t xml:space="preserve">Alicate ponta plana, 14cm, com videa - TC </t>
  </si>
  <si>
    <t>FX.12.412</t>
  </si>
  <si>
    <t>Alicate para fio de aço, reto, 7x5 mm, com vídea, 13 cm</t>
  </si>
  <si>
    <t>Alicate de Corte de Fio, com vídea, 14cm</t>
  </si>
  <si>
    <t>13-224-02</t>
  </si>
  <si>
    <t xml:space="preserve">Ruskin-Liston Pinça Corta Osso, curva, 18.5cm </t>
  </si>
  <si>
    <t>FX.13.463</t>
  </si>
  <si>
    <t xml:space="preserve">Cortador de fios modelo Turqueza, dupla articulação, lâminas retas com wídea TC  e corte frontal, mola entre as hastes, 15cm </t>
  </si>
  <si>
    <t>FX.12.413</t>
  </si>
  <si>
    <t xml:space="preserve">Cortador de fios de aço, dupla articulação, lâminas anguladas com wídea TC e corte diagonal, mola entre as hastes, 16cm </t>
  </si>
  <si>
    <t>FX.12.416</t>
  </si>
  <si>
    <t>Broca Trefina, tipo copo, coletora de osso, 7mm</t>
  </si>
  <si>
    <t>FX.41.922</t>
  </si>
  <si>
    <t>Cinzel Stillle, reto, de 10mm, com 20cm</t>
  </si>
  <si>
    <t>FX.12.814</t>
  </si>
  <si>
    <t>Cinzel Stillle, reto, de 12mm, com 20cm</t>
  </si>
  <si>
    <t>HB3480-12</t>
  </si>
  <si>
    <t xml:space="preserve">Lambotte Mini Osteotomo Ósseo, reto, 10mm 12.5cm </t>
  </si>
  <si>
    <t>FX.12.882</t>
  </si>
  <si>
    <t>Volkmann Cureta Óssea, 17cm, 4x2mm</t>
  </si>
  <si>
    <t>FX.13.031</t>
  </si>
  <si>
    <t xml:space="preserve">Freer Alavanca de Septo, rombo,19cm </t>
  </si>
  <si>
    <t>FX.15.332</t>
  </si>
  <si>
    <t xml:space="preserve">Hurd Dissector e Afastador de amígdala, 22cm </t>
  </si>
  <si>
    <t>FX.16.133</t>
  </si>
  <si>
    <t xml:space="preserve">Frazier Gancho para Dura, ponta unica, afiada, 18cm </t>
  </si>
  <si>
    <t>FX.13.554</t>
  </si>
  <si>
    <t xml:space="preserve">Afastador Joseph, gancho com abertura pequena, 2mm de largura e 02 dentes agudos e finos, 16cm </t>
  </si>
  <si>
    <t>FX.10.850</t>
  </si>
  <si>
    <t>Martelo Willinger, 150g, 23cm</t>
  </si>
  <si>
    <t>FX.41.872</t>
  </si>
  <si>
    <t>Pinça de Micro sutura curvada, 12cm</t>
  </si>
  <si>
    <t>HB0490-33</t>
  </si>
  <si>
    <t>Pinça para Micro sutura reta, 12cm</t>
  </si>
  <si>
    <t>HB0490-32</t>
  </si>
  <si>
    <t xml:space="preserve">Mini Lambotte Osteotomo Ósseo, 6mm, 15cm </t>
  </si>
  <si>
    <t>FX.41.863</t>
  </si>
  <si>
    <t xml:space="preserve">Mini Lambotte Osteotomo Ósseo, 8mm, 15cm </t>
  </si>
  <si>
    <t>FX.41.864</t>
  </si>
  <si>
    <t xml:space="preserve">Mini Lambotte Osteotomo Ósseo, 12mm, 15cm </t>
  </si>
  <si>
    <t>FX.41.865</t>
  </si>
  <si>
    <t>Pinça Suiça finas, No.3, 12cm</t>
  </si>
  <si>
    <t>HB0103</t>
  </si>
  <si>
    <t xml:space="preserve">Pinça Anatômica Waugh, pontas retas, finas e serrilhadas, pino guia, 15cm </t>
  </si>
  <si>
    <t>FX.10.003</t>
  </si>
  <si>
    <t xml:space="preserve">Pinça Anatômica Standard, pontas retas, largas e serrilhadas, 10.5cm </t>
  </si>
  <si>
    <t>FX.09.946</t>
  </si>
  <si>
    <t xml:space="preserve">Friedman Rugina Óssea, delicada 14cm </t>
  </si>
  <si>
    <t>13-847-14</t>
  </si>
  <si>
    <t xml:space="preserve">Friedman Rugina Óssea, 14cm </t>
  </si>
  <si>
    <t>FX.13.369</t>
  </si>
  <si>
    <t xml:space="preserve">Pinça Anatômica Cushing, pontas retas, muito finas e serrilhadas, pino guia, 17.5cm </t>
  </si>
  <si>
    <t>FX.09.997</t>
  </si>
  <si>
    <t xml:space="preserve">Pinça Anatômica Cushing, pontas retas, finas com 1x2 dentes, pino guia, 17.5cm </t>
  </si>
  <si>
    <t>FX.10.108</t>
  </si>
  <si>
    <t xml:space="preserve">Porta Agulha Derf, pontas com, wídea TC, retas, finas e lisas, 12cm </t>
  </si>
  <si>
    <t>FX.11.893</t>
  </si>
  <si>
    <t xml:space="preserve">Porta Agulha Crile-Wood, pontas com wídea TC, retas e finas, 15cm </t>
  </si>
  <si>
    <t>FX.11.911</t>
  </si>
  <si>
    <t>Porta Agulha Converse, micro, reta, mandíbulas serrilhadas, pequeno, 12cm com videa</t>
  </si>
  <si>
    <t>11-590-12</t>
  </si>
  <si>
    <t xml:space="preserve">Porta Agulha Halsey, pontas comwídea TC, retas e finas, 13cm </t>
  </si>
  <si>
    <t>FX.11.897</t>
  </si>
  <si>
    <t xml:space="preserve">Raspador Cobb Alavanca Espinhal, 6mm, 24cm </t>
  </si>
  <si>
    <t>FX.41.866</t>
  </si>
  <si>
    <t xml:space="preserve">Tentacanula ranhurado, 14cm </t>
  </si>
  <si>
    <t>FX.11.805</t>
  </si>
  <si>
    <t xml:space="preserve">Tesoura Goldman-Fox, lâminas curvas, finas, corte serrilhado, pontas afiladas e agudas, 13cm </t>
  </si>
  <si>
    <t>FX.09.408</t>
  </si>
  <si>
    <t xml:space="preserve">Tesoura Goldman-Fox, lâminas reta, finas, corte serrilhado, pontas afiladas e agudas, 13cm </t>
  </si>
  <si>
    <t>FX.09.407</t>
  </si>
  <si>
    <t xml:space="preserve">Tesoura Stevens, lâminas retas, afiladas com pontas agudas, 11cm </t>
  </si>
  <si>
    <t>FX.09.420</t>
  </si>
  <si>
    <t>Tesoura para Microcirurgia, Fina-fina, cabo chato, curva, 16 cm</t>
  </si>
  <si>
    <t>HB7442-02</t>
  </si>
  <si>
    <t xml:space="preserve">Tesoura Mayo-Stille, lâminas reta, largas com pontas rombas, 15cm </t>
  </si>
  <si>
    <t>FX.09.386</t>
  </si>
  <si>
    <t>Tesoura Supercut Baby Metzembaum, serrilhada, fina-fina, curva, 11.5cm</t>
  </si>
  <si>
    <t>14-01597-11</t>
  </si>
  <si>
    <t xml:space="preserve">Tesoura Metzenbaum- Fine, lâminas retas, finas com pontas agudas, 14.5cm </t>
  </si>
  <si>
    <t>FX.09.457</t>
  </si>
  <si>
    <t xml:space="preserve">Tesoura Metzenbaum- Baby, lâminas curvas serrilhadas, finas com pontas rombas, 11.5cm </t>
  </si>
  <si>
    <t>Subitem 14.2 - Caixa para Microcirurgia de Mão</t>
  </si>
  <si>
    <t>Micro Clamp Vascular Duplo Diamantado 1,2mmx5mm</t>
  </si>
  <si>
    <t>HB3929-40</t>
  </si>
  <si>
    <t>Micro Clamp Vascular Duplo Diamantado 1,2mmx7mm</t>
  </si>
  <si>
    <t>HB3929-41</t>
  </si>
  <si>
    <t>Pinça para microcirurgia, com dente 1x2, com plataforma, 13 cm</t>
  </si>
  <si>
    <t>FX.41.934</t>
  </si>
  <si>
    <t>Pinça para Microcirurgia reta com plato, ponta de 0,5mm, kit SE cabo redondo, 12cm</t>
  </si>
  <si>
    <t>HB490-32</t>
  </si>
  <si>
    <t>Micro Porta Agulha Castroviejo, pontas curvas muito finas, cabos planos, com trava, 14cm</t>
  </si>
  <si>
    <t>FX.12.237</t>
  </si>
  <si>
    <t xml:space="preserve">Tesoura Stevens, lâminas curvas, afiladas com pontas agudas, 11cm </t>
  </si>
  <si>
    <t>FX.09.421</t>
  </si>
  <si>
    <t>Cesto para mini container, dimensões 270x123x65 mm</t>
  </si>
  <si>
    <t>FX.61.952</t>
  </si>
  <si>
    <t>Conjunto Mini Container, composto por box sólido com dimensões internas de 280x130x70mm, com tampa perfurada de barreira, 6 cores diferentes a escolher</t>
  </si>
  <si>
    <t>FX.61.946</t>
  </si>
  <si>
    <t>Subitem 14.3 - Caixa para cirurgia de Pé</t>
  </si>
  <si>
    <t>Afastador Kocher-Langenbeck, 25x8mm, 21.5cm</t>
  </si>
  <si>
    <t>FX.41.873</t>
  </si>
  <si>
    <t xml:space="preserve">Afastador Weitlaner, garras  com3 x 4 dentes agudos, movimento por cremalheira,16cm </t>
  </si>
  <si>
    <t>FX.11.190</t>
  </si>
  <si>
    <t xml:space="preserve">Afastador Kocher, multi-uso,  gancho com 1 dente agudo, 22cm </t>
  </si>
  <si>
    <t>FX.10.909</t>
  </si>
  <si>
    <t xml:space="preserve">Afastador Kocher, multi-uso,  gancho com 1 dente rombo, 22cm </t>
  </si>
  <si>
    <t>FX.10.921</t>
  </si>
  <si>
    <t xml:space="preserve">Lambert Lowmann Clamp Braçadeira Óssea, 2x2dentes, 18.5cm </t>
  </si>
  <si>
    <t>FX.13.321</t>
  </si>
  <si>
    <t xml:space="preserve">Lambotte Osteotomo Ósseo, reto, 10mm 24cm </t>
  </si>
  <si>
    <t>HB3471-10</t>
  </si>
  <si>
    <t xml:space="preserve">Lambotte Osteotomo Ósseo, reto, 20mm 24cm </t>
  </si>
  <si>
    <t>FX.12.894</t>
  </si>
  <si>
    <t xml:space="preserve">Lambotte Osteotomo Ósseo, reto, 13mm 24cm </t>
  </si>
  <si>
    <t>HB3471-13</t>
  </si>
  <si>
    <t xml:space="preserve">Lambotte Osteotomo Ósseo, reto, 15mm 24cm </t>
  </si>
  <si>
    <t>FX.12.892</t>
  </si>
  <si>
    <t>Volkmann Cureta Óssea, 17cm, 4.8x3.5mm</t>
  </si>
  <si>
    <t>FX.13.030</t>
  </si>
  <si>
    <t>Adson Alavanca Periosteal, 17cm, Fig.2</t>
  </si>
  <si>
    <t>FX.13.193</t>
  </si>
  <si>
    <t xml:space="preserve">Smith Peterson Osteotomo Ósseo, reto, 6mm, 20cm </t>
  </si>
  <si>
    <t>FX.12.822</t>
  </si>
  <si>
    <t xml:space="preserve">Hajek Martelo Ósseo, 22mm, 100g, 22cm </t>
  </si>
  <si>
    <t>13-440-22</t>
  </si>
  <si>
    <t>Pinça Óssea, 15cm</t>
  </si>
  <si>
    <t>FX.13.270</t>
  </si>
  <si>
    <t xml:space="preserve">Sacabocado Hajek  para cima, 4x4mm, haste 14cm </t>
  </si>
  <si>
    <t>FX.15.273</t>
  </si>
  <si>
    <t>Subitem 14.4 - Caixa para Cirurgia de Ombro</t>
  </si>
  <si>
    <t>Afastador Richardson 25cm – 33x29mm</t>
  </si>
  <si>
    <t>Afastador Richardson 25cm – 24x20mm</t>
  </si>
  <si>
    <t>Afastador Richardson 25cm 40×38</t>
  </si>
  <si>
    <t xml:space="preserve">Alicate Marquardt Rugina Óssea, curva, 20cm </t>
  </si>
  <si>
    <t>FX.13.409</t>
  </si>
  <si>
    <t xml:space="preserve">Alicate Ruskin Rugina Óssea, reta, 23cm </t>
  </si>
  <si>
    <t xml:space="preserve">Cinzel Lambotte Osteotomo Ósseo, curvo, 20mm 23cm </t>
  </si>
  <si>
    <t>FX.12.902</t>
  </si>
  <si>
    <t xml:space="preserve">Stille Cinzel Ósseo, 15mm, 20cm </t>
  </si>
  <si>
    <t>FX.12.811</t>
  </si>
  <si>
    <t xml:space="preserve">Elevador Blount Alavanca Óssea, 2 Gancho 26cm </t>
  </si>
  <si>
    <t>FX.13.228</t>
  </si>
  <si>
    <t xml:space="preserve">Elevador Blount Alavanca Óssea, 26cm </t>
  </si>
  <si>
    <t>FX.13.227</t>
  </si>
  <si>
    <t xml:space="preserve">Gancho, cabo redondo, de 8 mm, 19 cm </t>
  </si>
  <si>
    <t>HB1426-18</t>
  </si>
  <si>
    <t>Martelo Collin, 220gr de 30mm, 20cm</t>
  </si>
  <si>
    <t>FX.12.943</t>
  </si>
  <si>
    <t xml:space="preserve">Pinça Foerster, pontas retas com anéis fenestrados sem serrilha, 20cm </t>
  </si>
  <si>
    <t>FX.10.710</t>
  </si>
  <si>
    <t>Clamp Guyon, com curvatura em formato de colher e serrilhada, 24cm</t>
  </si>
  <si>
    <t>FX.10.513</t>
  </si>
  <si>
    <t>Subitem 15.1 - Caixa para Lipoaspiração</t>
  </si>
  <si>
    <t>Agulha de Klein, 4mm, para uso com seringa de 60cm, bico longo</t>
  </si>
  <si>
    <t>FX.41.916</t>
  </si>
  <si>
    <t xml:space="preserve">Cânula de lipoaspiração, alternado 5 furos, 5 mm, 30cm </t>
  </si>
  <si>
    <t>FX.09.076</t>
  </si>
  <si>
    <t>Cânula de lipoaspiração, alternado 5 furos, 4mm, 30cm</t>
  </si>
  <si>
    <t>FX.09.112</t>
  </si>
  <si>
    <t>Cânula de lipoaspiração, alternado 5 furos, 3.5mm, 30cm</t>
  </si>
  <si>
    <t>FX.09.146</t>
  </si>
  <si>
    <t>Cânula para seringa de 60ml, 5mm, 30 cm</t>
  </si>
  <si>
    <t>FX.41.917</t>
  </si>
  <si>
    <t>Cânula para seringa de 60ml, 4mm, 30cm</t>
  </si>
  <si>
    <t>FX.41.918</t>
  </si>
  <si>
    <t>Cânula para seringa de 60ml, 3.5mm, 30cm</t>
  </si>
  <si>
    <t>FX.41.919</t>
  </si>
  <si>
    <t>Cânula para seringa de 60ml, 4mmx30cm</t>
  </si>
  <si>
    <t>Subitem 15.2 - Caixa para Mamoplastia/Abdominoplastia</t>
  </si>
  <si>
    <t>Areolotomo, conjunto com 3 peças</t>
  </si>
  <si>
    <t>51-274-34</t>
  </si>
  <si>
    <t>Compasso de mama, 10 cm</t>
  </si>
  <si>
    <t>00098</t>
  </si>
  <si>
    <t>Gancho de Mama, 15m</t>
  </si>
  <si>
    <t>FX.41.923</t>
  </si>
  <si>
    <t xml:space="preserve">Afastador, gancho com 02 dentes, 8mm, rombos, 16cm </t>
  </si>
  <si>
    <t>FX.10.774</t>
  </si>
  <si>
    <t xml:space="preserve">Pinça Anatômica Adson, pontas retas, finas e serrilhadas, 18cm </t>
  </si>
  <si>
    <t>FX.10.015</t>
  </si>
  <si>
    <t>Porta Agulha Mayo-Hegar, pontas com wídea TC, retas, 12cm</t>
  </si>
  <si>
    <t>11-574-12</t>
  </si>
  <si>
    <t xml:space="preserve">Regua em aço cirurgico, com medidas em cm, 30cm </t>
  </si>
  <si>
    <t>HB0068</t>
  </si>
  <si>
    <t xml:space="preserve">Tesoura Mayo, lâminas retas, largas com pontas rombas, 15cm </t>
  </si>
  <si>
    <t>FX.09.376</t>
  </si>
  <si>
    <t>Tesoura Snolden, serrilhada, curva, com 15</t>
  </si>
  <si>
    <t>05-905-14</t>
  </si>
  <si>
    <t>Tesoura Snolden, serrilhada, curva, com 17</t>
  </si>
  <si>
    <t>05-905-18</t>
  </si>
  <si>
    <t xml:space="preserve">Doyen Especulo Vaginal, 60x115mm </t>
  </si>
  <si>
    <t>FX.17.012</t>
  </si>
  <si>
    <t xml:space="preserve"> Placa de Identificação propria para a base de container, em aluminio </t>
  </si>
  <si>
    <t>FX.62.223</t>
  </si>
  <si>
    <t>Subitem 15.3 - Caixa para Cirurgia Plástica</t>
  </si>
  <si>
    <t xml:space="preserve">Afastador Volkmann, multi-uso, gancho com 3 dentes rombos,  22cm </t>
  </si>
  <si>
    <t>FX.10.902</t>
  </si>
  <si>
    <t xml:space="preserve">Afastador Volkmann, multi-uso, gancho com 4 dentes rombos,  22cm </t>
  </si>
  <si>
    <t>FX.10.903</t>
  </si>
  <si>
    <t>FX.09.155</t>
  </si>
  <si>
    <t>FX.60.800</t>
  </si>
  <si>
    <t>Subitem 16.1 - Instrumentais Avulsos Cirurgia Neurológica</t>
  </si>
  <si>
    <t>Retrator Caspar Afastador, medindo 60mm x 105mmx 100 mm, com 6 lâminas de 35mm, 40mm, 45mm, 50mm, 55mm e 60 mm</t>
  </si>
  <si>
    <t>FX.11.296</t>
  </si>
  <si>
    <t xml:space="preserve">Caspar Afastador para Coluna Vertebral, 40mm, revestido em preto </t>
  </si>
  <si>
    <t>FX.11.287</t>
  </si>
  <si>
    <t xml:space="preserve">Caspar Afastador para Coluna Vertebral, 50mm, revestido em preto </t>
  </si>
  <si>
    <t>FX.11.289</t>
  </si>
  <si>
    <t xml:space="preserve">Caspar Afastador para Coluna Vertebral, 60mm, revestido em preto </t>
  </si>
  <si>
    <t>FX.11.291</t>
  </si>
  <si>
    <t>Chave para retirada de lâmina, medindo 8mm</t>
  </si>
  <si>
    <t>FX.11.295</t>
  </si>
  <si>
    <t xml:space="preserve">Laminas laterais para Caspar Afastador, 40mm, revestido em preto </t>
  </si>
  <si>
    <t>FX.11.298</t>
  </si>
  <si>
    <t xml:space="preserve">Laminas laterais para Caspar Afastador, 50mm, revestido em preto </t>
  </si>
  <si>
    <t>FX.11.300</t>
  </si>
  <si>
    <t>Laminas laterais para Caspar Afastador, 60mm revestido em preto</t>
  </si>
  <si>
    <t>FX.11.302</t>
  </si>
  <si>
    <t>Laminas laterais para Caspar Afastador, 75mm, revestido em preto</t>
  </si>
  <si>
    <t>FX.11.304</t>
  </si>
  <si>
    <t xml:space="preserve">Laminas laterais para Caspar Afastador, 85mm, revestido em preto </t>
  </si>
  <si>
    <t>FX.11.305</t>
  </si>
  <si>
    <t>Subitem 16.2 - Instrumentais Avulsos Cirurgia Ortopédicas</t>
  </si>
  <si>
    <t>ALICATE STEIMANN 30CM P/ FIO DE AÇO DUPLA ARTICULAÇÃO C/ VIDEA</t>
  </si>
  <si>
    <t>ALICATE STEIMANN 60CM P/ FIO DE AÇO DUPLA ARTICULAÇÃO C/ VIDEA</t>
  </si>
  <si>
    <t>Subitem 16.3 - Instrumentais Avulsos Cirurgia Ginecológica e Obstetrícia</t>
  </si>
  <si>
    <t>Afastador Balfour-Baby, garras laterais aramadas com 30mm  x 27mm, hastes retas, abertura de 90mm, Acompanha válvula central suprapúbica com 20mm x 24mm</t>
  </si>
  <si>
    <t>FX.11.465</t>
  </si>
  <si>
    <t>Afastador Balfour, garras laterais aramadas com 100mm  x 35mm,  hastes curvas, abertura de 200mm, Acompanha válvula central plana com 100mm x 60mm</t>
  </si>
  <si>
    <t>FX.11.467</t>
  </si>
  <si>
    <t>Subitem 16.4 - Instrumentais Avulsos Cirurgia Cardíaca</t>
  </si>
  <si>
    <t xml:space="preserve">Pinça Anatômica De Bakey, pontas retas, largas com 2.8mm e serrilha atraumática, 16cm </t>
  </si>
  <si>
    <t>FX.13.914</t>
  </si>
  <si>
    <t xml:space="preserve">Afastador Ankeney médio com quatro válvulas, lâminas de 38x38mm com abertura entre 134 </t>
  </si>
  <si>
    <t>QZ.010.03</t>
  </si>
  <si>
    <t xml:space="preserve">Pinça Anatômica De Bakey, pontas retas, finas com 2mm e serrilha atraumática, 20cm </t>
  </si>
  <si>
    <t>FX.13.911</t>
  </si>
  <si>
    <t xml:space="preserve">DeBakey Pinça Tecido, Atraumatica, 2.7mm, 24cm </t>
  </si>
  <si>
    <t>FX.18.519</t>
  </si>
  <si>
    <t>Punch Aórtico 4.0 mm, reutilizável. Produto confeccionado em aço inoxidável, apresentando perfurador e vazador, com formato de corte redondo e tamanho com 4.0 mm de diâmetro</t>
  </si>
  <si>
    <t>FX.41.723</t>
  </si>
  <si>
    <t>Punch Aórtico 4.5 mm, reutilizável. Produto confeccionado em aço inoxidável, apresentando perfurador e vazador, com formato de corte redondo e tamanho com 4.5 mm de diâmetro</t>
  </si>
  <si>
    <t>FX.41.724</t>
  </si>
  <si>
    <t xml:space="preserve">Ponta de aspirador para CEC, reprocessável, autoclavável. do tipo angulada com ponta multiperfurada para ADULTOS. Produto confeccionado em aço inoxidável, comprimento de 255 a 265 mm, diâmetro de 1/4" (0,6 mm), ponta multiperfurada que possibilite a desmontagem. </t>
  </si>
  <si>
    <t>FX.41.915</t>
  </si>
  <si>
    <t>Afastador Ankeney médio com quatro válvulas, lâminas de 3,5 mm à 4,0mm, com abertura entre 134 à 150 mm</t>
  </si>
  <si>
    <t>Afastador Cooley, válvula aramada serrilhada, fenestrada, curva p/direita, com dimensões de 45mm x 48mm, 21.5cm</t>
  </si>
  <si>
    <t>FX.11.108</t>
  </si>
  <si>
    <t>Afastador Doyen, válvula suprapúbica com dimensões de 55mm x 105mm,  28cm</t>
  </si>
  <si>
    <t>FX.11.489</t>
  </si>
  <si>
    <t xml:space="preserve">Afastador Gelpi, garras  laterais com 1 x 1 dente agudo, hastes curvas, movimento por cremalheira, 14cm </t>
  </si>
  <si>
    <t xml:space="preserve">Afastador Mollison, garras com 4 x 4 dentes agudos, hastes comcurva acentuada, movimento por cremalheira, 15cm </t>
  </si>
  <si>
    <t xml:space="preserve">Afastador Volkmann, multi-uso, gancho com 2 dentes semi-rombos,  22cm </t>
  </si>
  <si>
    <t xml:space="preserve">Afastador, gancho com abertura pequena e 02 dentes rombos, 16cm </t>
  </si>
  <si>
    <t>Agulha de Klein, com 4mm, para uso com seringa de 60cml bico longo</t>
  </si>
  <si>
    <t xml:space="preserve">Alicate Torce Fio Mayo Hauberisser, 16cm, com videa - TC </t>
  </si>
  <si>
    <t>Aplicador de Pinça para vaso Biemer, sem trava, 14.5cm</t>
  </si>
  <si>
    <t>HB3929-33</t>
  </si>
  <si>
    <t xml:space="preserve">Buck Cureta Auricular, reta, rombo, 2.5mm, 16.5cm </t>
  </si>
  <si>
    <t>FX.14.923</t>
  </si>
  <si>
    <t>Cânula de lipoaspiração, alternado 5 furos, de 3,5 mmx 30cm</t>
  </si>
  <si>
    <t>Cânula de lipoaspiração, alternado 5 furos, de 4 mmx 30cm</t>
  </si>
  <si>
    <t xml:space="preserve">Cânula de lipoaspiração, alternado 5 furos, de 5 mmx 30cm </t>
  </si>
  <si>
    <t>Cânula de seringa de 60 ml, 3,5 mmx30cm</t>
  </si>
  <si>
    <t>Cânula de seringa de 60ml, 4 MMX30 cm</t>
  </si>
  <si>
    <t>Cânula para seringa de 60ml, 5mmx30 cm</t>
  </si>
  <si>
    <t>Cesto aramado compatível com box tamanho 1/1, com pés, dimensões  539x252x110 mm</t>
  </si>
  <si>
    <t>FX.60.666</t>
  </si>
  <si>
    <t>Clamp Cardiovascular Satinsky, 12,5cm</t>
  </si>
  <si>
    <t>Conjunto Mini Container, composto por box sólido com dimensões internas de 280x130x70mm, com tampa perfurada de barreira na cor preta</t>
  </si>
  <si>
    <t xml:space="preserve">Crile Rankin Pinça Hemostatica, curva, em formato de S, 16cm </t>
  </si>
  <si>
    <t>FX.18.375</t>
  </si>
  <si>
    <t>FX.30.841</t>
  </si>
  <si>
    <t>Espatula maleável, 20mm, com 30cm</t>
  </si>
  <si>
    <t xml:space="preserve">Espatula maleável, 30mm, com 30cm </t>
  </si>
  <si>
    <t>Espatula maleável, 50mm, com 30cm</t>
  </si>
  <si>
    <t xml:space="preserve">Ferris Smith Kerrison Punch, para cima, 2mm 18cm, 45° </t>
  </si>
  <si>
    <t xml:space="preserve">Ferris Smith Kerrison Punch, para cima, 3mm 18cm, 45° </t>
  </si>
  <si>
    <t xml:space="preserve">Ferris Smith Kerrison Punch, para cima, 5mm, 18cm, 40° </t>
  </si>
  <si>
    <t xml:space="preserve">Fomon/Joseph Afastador, com pontas abauladas, 16cm </t>
  </si>
  <si>
    <t xml:space="preserve">Freer Alavanca e Separador, 20cm </t>
  </si>
  <si>
    <t>FX.15.337</t>
  </si>
  <si>
    <t xml:space="preserve">Gregory Bulldog Clamp, Atraumatica, maleavel, angulada, 11cm </t>
  </si>
  <si>
    <t>FX.13.961</t>
  </si>
  <si>
    <t>Heaney Porta Agulha, curvo e serrilhado, 21cm com videa - TC</t>
  </si>
  <si>
    <t>FX.11.917</t>
  </si>
  <si>
    <t>Pinça anatômica Adson, pontas com wídea TC, retas e finas, 15cm</t>
  </si>
  <si>
    <t>FX.09.881</t>
  </si>
  <si>
    <t xml:space="preserve">Pinça Duval, pontas retas com triangulos grandes, fenestrados e serrilhados, 23cm </t>
  </si>
  <si>
    <t>FX.16.334</t>
  </si>
  <si>
    <t xml:space="preserve">Pinça Ferris Smith Kerrison Punch para cima, 3mm, 18cm </t>
  </si>
  <si>
    <t>FX.13.680</t>
  </si>
  <si>
    <t>Placa de Identificação propria para a base de container, em aluminio na cor  azul</t>
  </si>
  <si>
    <t>Placa de Identificação propria para a base de container, em aluminio na cor  dourada</t>
  </si>
  <si>
    <t>Placa de Identificação propria para a base de container, em aluminio na cor  preta</t>
  </si>
  <si>
    <t>Placa de Identificação propria para a base de container, em aluminio na cor  verde</t>
  </si>
  <si>
    <t>Placa de Identificação propria para a base de container, em aluminio na cor vermelha</t>
  </si>
  <si>
    <t xml:space="preserve">Punch Aórtico 4.0 mm, reutilizável. Produto confeccionado em aço inoxidável, apresentando perfurador e vazador, com formato de corte redondo e tamanho com 4.0 mm de diâmetro. </t>
  </si>
  <si>
    <t xml:space="preserve">Punch Aórtico 4.5 mm, reutilizável. Produto confeccionado em aço inoxidável, apresentando perfurador e vazador, com formato de corte redondo e tamanho com 4.5 mm de diâmetro. </t>
  </si>
  <si>
    <t>Retrator para Labios e Bochecha, tipo C . Incluso no item 1</t>
  </si>
  <si>
    <t xml:space="preserve">Schroeder Colher Uterina, afiada, 11.5mm, 30cm </t>
  </si>
  <si>
    <t>FX.17.377</t>
  </si>
  <si>
    <t xml:space="preserve">Schroeder Colher Uterina, afiada, 13.0mm, 30cm </t>
  </si>
  <si>
    <t>FX.17.378</t>
  </si>
  <si>
    <t xml:space="preserve">Schroeder Colher Uterina, afiada, 6.8mm, 30cm </t>
  </si>
  <si>
    <t>FX.17.374</t>
  </si>
  <si>
    <t xml:space="preserve">Schroeder Colher Uterina, afiada, 8.5mm, 30cm </t>
  </si>
  <si>
    <t>FX.17.375</t>
  </si>
  <si>
    <t>Tampa para container tamanho 1/1, com sistema de barreira permanente, silicone em toda extensão para perfeita vedação, cor dourada</t>
  </si>
  <si>
    <t>Tampa para container tamanho 1/1, com sistema de barreira permanente, silicone em toda extensão para perfeita vedação, cor vermelha</t>
  </si>
  <si>
    <t>FX.60.009</t>
  </si>
  <si>
    <t>Tampa para container tamanho 1/2, com sistema de barreira permanente, silicone em toda extensão para perfeita vedação, cor dourada</t>
  </si>
  <si>
    <t>Tampa para container tamanho 1/2, com sistema de barreira permanente, silicone em toda extensão para perfeita vedação, cor preta</t>
  </si>
  <si>
    <t>Tampa para container tamanho 1/2, com sistema de barreira permanente, silicone em toda extensão para perfeita vedação, cor verde</t>
  </si>
  <si>
    <t>Tampa para container tamanho 1/2, com sistema de barreira permanente, silicone em toda extensão para perfeita vedação, cor vermelha</t>
  </si>
  <si>
    <t>Tampa para container tamanho 3/4, com sistema de barreira permanente, silicone em toda extensão para perfeita vedação, cor azul</t>
  </si>
  <si>
    <t>Tampa para container tamanho 3/4, com sistema de barreira permanente, silicone em toda extensão para perfeita vedação, cor dourada</t>
  </si>
  <si>
    <t>Tampa para container tamanho 3/4, com sistema de barreira permanente, silicone em toda extensão para perfeita vedação, cor preta</t>
  </si>
  <si>
    <t>Tampa para container tamanho 3/4, com sistema de barreira permanente, silicone em toda extensão para perfeita vedação, cor verde</t>
  </si>
  <si>
    <t>Tampa para container tamanho 3/4, com sistema de barreira permanente, silicone em toda extensão para perfeita vedação, cor vermelha</t>
  </si>
  <si>
    <t xml:space="preserve">Tesoura Íris, lâminas comwídea TC, muito finas, retas, chanfradas e com pontas agudas, 11.5cm </t>
  </si>
  <si>
    <t>FX.09.684</t>
  </si>
  <si>
    <t xml:space="preserve">Tesoura Mayo, lâminas curvas, largas com pontas rombas, 15cm </t>
  </si>
  <si>
    <t>FX.09.380</t>
  </si>
  <si>
    <t>Pinça Duval, pontas retas com triangulos grandes, fenestrados e serrilhados, 25cm</t>
  </si>
  <si>
    <t>Schroeder Colher Uterina, afiada, 14mm, 30cm</t>
  </si>
  <si>
    <t>DeBakey/ Garret Dilator Vascular, 1.25mm</t>
  </si>
  <si>
    <t xml:space="preserve">DeBakey/ Garret Dilator Vascular, 1,75mm </t>
  </si>
  <si>
    <t>Elevador Periasteal Seldin, n11, 20cm</t>
  </si>
  <si>
    <t>FX.10.432</t>
  </si>
  <si>
    <t>Pinça Baby-Mixter, pontas curvas, muito finas e serrilhadas, 18cm</t>
  </si>
  <si>
    <t xml:space="preserve">Simon Colher Uterina, afiada, rigida, 8.5mm, 20cm </t>
  </si>
  <si>
    <t>Afastador Ankeney grande c. 18 válvulas</t>
  </si>
  <si>
    <t>FX.10.466</t>
  </si>
  <si>
    <t xml:space="preserve">Kelly Pinça Hemostatica, curva, 19cm </t>
  </si>
  <si>
    <t xml:space="preserve">Gancho Cottle duplo,  romba/afiada, 15cm </t>
  </si>
  <si>
    <t>Tubos de sucção, estilo Rhoton-Merz, Charr. 10, ø 3,3mm, tubos de sucção angulares, ponta atraumática, comprimento de trabalho 100mm, comprimento total 155mm</t>
  </si>
  <si>
    <t>HB2667-30</t>
  </si>
  <si>
    <t xml:space="preserve">Pinça Judd-Allis, pontas retas, finas com 3 x 4 dentes, 15cm </t>
  </si>
  <si>
    <t>FX.16.295</t>
  </si>
  <si>
    <t>Pinça Micro-Mosquito, pontas retas, muito finas e serrilhadas, 12cm</t>
  </si>
  <si>
    <t>Pinça Micro-Mosquito, pontas curvas, muito finas e serrilhadas, 12cm</t>
  </si>
  <si>
    <t>FX.10.266</t>
  </si>
  <si>
    <t>FX.10.268</t>
  </si>
  <si>
    <t xml:space="preserve">Tesoura Metzenbaum- Baby, lâminas retas serrilhadas, finas com pontas rombas, 11.5cm </t>
  </si>
  <si>
    <t>Cinzel Lucas 4mm,16cm</t>
  </si>
  <si>
    <t xml:space="preserve">Cinzel Wagner, angulado, com 6mm e 15cm </t>
  </si>
  <si>
    <t xml:space="preserve">Cinzel Wagner, curvo, com 6mm e 15cm </t>
  </si>
  <si>
    <t xml:space="preserve">Cinzel Wagner curvo, com 8mm e 15cm </t>
  </si>
  <si>
    <t xml:space="preserve">Cinzel Wagner, reto, com 4 mm e 15cm </t>
  </si>
  <si>
    <t>Cinzel Wagner, reto, com 6 mm e 15cm</t>
  </si>
  <si>
    <t>Cinzel Wagner, reto, com 8mm e 15cm</t>
  </si>
  <si>
    <t>Cinzel para Disjunção Palatina Sverzut, em cruz, 17cm</t>
  </si>
  <si>
    <t>Cureta de Lucas n 84, 16cm</t>
  </si>
  <si>
    <t xml:space="preserve">Cureta de Molt Soft 18,5cm </t>
  </si>
  <si>
    <t>Cureta MC call 13-14, 16,5cm</t>
  </si>
  <si>
    <t>Descolador Molt, delicado n9, 18cm</t>
  </si>
  <si>
    <t>Descolador para ramo Sverzut , 20cm</t>
  </si>
  <si>
    <t>Afastador Henahan, 18cm</t>
  </si>
  <si>
    <t>Calcador Hollemback n06, 16cm</t>
  </si>
  <si>
    <t>Localizador de nervo Hayashi n1, Alveolar Inferior, 16cm</t>
  </si>
  <si>
    <t>Pinça Kocher, angulada 14cm, 90°, ponta ativa , com corrente buco, 58cm</t>
  </si>
  <si>
    <t>Cureta Gracey n13-14</t>
  </si>
  <si>
    <t>Espatula para resina TTSD3, Hollemback n.3</t>
  </si>
  <si>
    <t xml:space="preserve">Stille-Liston Pinça Corta Osso, curva, 23cm </t>
  </si>
  <si>
    <t>Descolador Molt, n9, 18cm</t>
  </si>
  <si>
    <t>Pinça de Extração Forceps n.1</t>
  </si>
  <si>
    <t>Pinça de Extração Forceps n.16</t>
  </si>
  <si>
    <t>Pinça de Extração Forceps n.17</t>
  </si>
  <si>
    <t>Pinça de Extração Forceps n.18L</t>
  </si>
  <si>
    <t>Pinça de Extração Forceps n.18R</t>
  </si>
  <si>
    <t>Pinça de Extração Forceps n.150</t>
  </si>
  <si>
    <t>Pinça de Extração Forceps n.151</t>
  </si>
  <si>
    <t>Pinça de Extração Forceps n.65</t>
  </si>
  <si>
    <t xml:space="preserve">Afastador Adson baby, garras com dupla articulação e 3 x 4 dentes rombos, movimento por cremalheira, 16cm </t>
  </si>
  <si>
    <t>Volkmann Cureta Óssea, 17cm, 2,8mm n 0000</t>
  </si>
  <si>
    <t>HB3500</t>
  </si>
  <si>
    <t>Volkmann Cureta Óssea, 17cm, 3,8mm, n00</t>
  </si>
  <si>
    <t>Volkmann Cureta Óssea, 17cm, 2mm n 00000</t>
  </si>
  <si>
    <t>HB3499</t>
  </si>
  <si>
    <t xml:space="preserve">Afastador Mollison, garras com 4 x 4 dentes , hastes comcurva acentuada, movimento por cremalheira, 15cm </t>
  </si>
  <si>
    <t>Caixa inox perfurada com trava 500x200x120 mm</t>
  </si>
  <si>
    <t>Dilatador de coronária, 1.75 mm</t>
  </si>
  <si>
    <t>Caixa Inox perfurada com trava 360x160x100 mm</t>
  </si>
  <si>
    <t>Pinça Kocher, pontas retas, 25cm</t>
  </si>
  <si>
    <t xml:space="preserve">Ferris Smith Kerrison Punch, para cima, 5mm, 20 cm, 40° </t>
  </si>
  <si>
    <t xml:space="preserve">Ferris Smith Kerrison Punch, para cima, 2mm, 20 cm, 45° </t>
  </si>
  <si>
    <t xml:space="preserve">Ferris Smith Kerrison Punch, para cima, 4 mm 20 cm, 45° </t>
  </si>
  <si>
    <t xml:space="preserve">Saca Mioma Doyen,17 cm </t>
  </si>
  <si>
    <t xml:space="preserve">Tesoura Mayo-Stille, lâminas curvas, largas com pontas rombas, 19cm </t>
  </si>
  <si>
    <t>Espatula flexivel abdominal 300X20mm</t>
  </si>
  <si>
    <t>Espatula flexivel abdominal 300X30mm</t>
  </si>
  <si>
    <t>Espatula flexivel abdominal 500X30mm</t>
  </si>
  <si>
    <t>Pinca de MicroApreensão De Bakey Reto (a) 21cm 1,8mm</t>
  </si>
  <si>
    <t>Raspa óssea, 24,5 cm</t>
  </si>
  <si>
    <t xml:space="preserve">Friedman Rugina Óssea, delicada, 14cm </t>
  </si>
  <si>
    <t>Tesoura Supercut, Baby-Metzenbaum, serrilhada, Fina-fina, curva, com 11,5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</si>
</sst>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_-* #,##0.00_-;\-* #,##0.00_-;_-* &quot;-&quot;??_-;_-@"/>
    <numFmt numFmtId="165" formatCode="_-[$R$-416]\ * #,##0.00_-;\-[$R$-416]\ * #,##0.00_-;_-[$R$-416]\ * &quot;-&quot;??_-;_-@"/>
    <numFmt numFmtId="166" formatCode="_-&quot;R$&quot;\ * #,##0.00_-;\-&quot;R$&quot;\ * #,##0.00_-;_-&quot;R$&quot;\ * &quot;-&quot;??_-;_-@"/>
    <numFmt numFmtId="167" formatCode="&quot;R$&quot;\ #,##0.00"/>
  </numFmts>
  <fonts count="19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0A3041"/>
      <name val="Calibri"/>
      <family val="2"/>
    </font>
    <font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0"/>
      <color theme="1"/>
      <name val="Calibri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9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165" fontId="1" fillId="0" borderId="0" xfId="0" quotePrefix="1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5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vertical="center"/>
    </xf>
    <xf numFmtId="165" fontId="1" fillId="3" borderId="6" xfId="0" applyNumberFormat="1" applyFont="1" applyFill="1" applyBorder="1"/>
    <xf numFmtId="9" fontId="9" fillId="0" borderId="0" xfId="0" applyNumberFormat="1" applyFont="1" applyAlignment="1">
      <alignment horizontal="center"/>
    </xf>
    <xf numFmtId="8" fontId="9" fillId="0" borderId="0" xfId="0" applyNumberFormat="1" applyFont="1"/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left" vertical="center"/>
    </xf>
    <xf numFmtId="165" fontId="10" fillId="4" borderId="9" xfId="0" applyNumberFormat="1" applyFont="1" applyFill="1" applyBorder="1" applyAlignment="1">
      <alignment horizontal="center" vertical="center" wrapText="1"/>
    </xf>
    <xf numFmtId="166" fontId="10" fillId="4" borderId="9" xfId="0" applyNumberFormat="1" applyFont="1" applyFill="1" applyBorder="1" applyAlignment="1">
      <alignment vertical="center" wrapText="1"/>
    </xf>
    <xf numFmtId="0" fontId="1" fillId="0" borderId="10" xfId="0" applyFont="1" applyBorder="1" applyAlignment="1">
      <alignment horizontal="center" wrapText="1"/>
    </xf>
    <xf numFmtId="0" fontId="10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left" vertical="center"/>
    </xf>
    <xf numFmtId="165" fontId="10" fillId="4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0" fillId="4" borderId="8" xfId="0" applyFont="1" applyFill="1" applyBorder="1" applyAlignment="1">
      <alignment vertical="center"/>
    </xf>
    <xf numFmtId="166" fontId="6" fillId="2" borderId="14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vertical="center"/>
    </xf>
    <xf numFmtId="0" fontId="7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166" fontId="6" fillId="2" borderId="5" xfId="0" applyNumberFormat="1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165" fontId="10" fillId="4" borderId="9" xfId="0" applyNumberFormat="1" applyFont="1" applyFill="1" applyBorder="1" applyAlignment="1">
      <alignment vertical="center" wrapText="1"/>
    </xf>
    <xf numFmtId="49" fontId="9" fillId="4" borderId="8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66" fontId="6" fillId="2" borderId="7" xfId="0" applyNumberFormat="1" applyFont="1" applyFill="1" applyBorder="1" applyAlignment="1">
      <alignment vertical="center" wrapText="1"/>
    </xf>
    <xf numFmtId="49" fontId="11" fillId="4" borderId="9" xfId="0" applyNumberFormat="1" applyFont="1" applyFill="1" applyBorder="1" applyAlignment="1">
      <alignment horizontal="left" vertical="center"/>
    </xf>
    <xf numFmtId="0" fontId="12" fillId="0" borderId="0" xfId="0" applyFont="1"/>
    <xf numFmtId="49" fontId="10" fillId="4" borderId="8" xfId="0" applyNumberFormat="1" applyFont="1" applyFill="1" applyBorder="1" applyAlignment="1">
      <alignment horizontal="left" vertical="center"/>
    </xf>
    <xf numFmtId="0" fontId="7" fillId="2" borderId="17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166" fontId="6" fillId="2" borderId="8" xfId="0" applyNumberFormat="1" applyFont="1" applyFill="1" applyBorder="1" applyAlignment="1">
      <alignment vertical="center" wrapText="1"/>
    </xf>
    <xf numFmtId="8" fontId="1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165" fontId="9" fillId="0" borderId="0" xfId="0" applyNumberFormat="1" applyFont="1"/>
    <xf numFmtId="9" fontId="9" fillId="0" borderId="0" xfId="0" applyNumberFormat="1" applyFont="1"/>
    <xf numFmtId="0" fontId="13" fillId="2" borderId="7" xfId="0" applyFont="1" applyFill="1" applyBorder="1" applyAlignment="1">
      <alignment horizontal="center" vertical="center" wrapText="1"/>
    </xf>
    <xf numFmtId="165" fontId="7" fillId="2" borderId="7" xfId="0" applyNumberFormat="1" applyFont="1" applyFill="1" applyBorder="1" applyAlignment="1">
      <alignment horizontal="center" vertical="center" wrapText="1"/>
    </xf>
    <xf numFmtId="9" fontId="7" fillId="2" borderId="15" xfId="0" applyNumberFormat="1" applyFont="1" applyFill="1" applyBorder="1" applyAlignment="1">
      <alignment horizontal="center" vertical="center" wrapText="1"/>
    </xf>
    <xf numFmtId="0" fontId="14" fillId="0" borderId="0" xfId="0" applyFont="1"/>
    <xf numFmtId="165" fontId="14" fillId="0" borderId="0" xfId="0" applyNumberFormat="1" applyFont="1"/>
    <xf numFmtId="0" fontId="9" fillId="0" borderId="8" xfId="0" applyFont="1" applyBorder="1" applyAlignment="1">
      <alignment horizontal="center"/>
    </xf>
    <xf numFmtId="0" fontId="9" fillId="4" borderId="8" xfId="0" applyFont="1" applyFill="1" applyBorder="1"/>
    <xf numFmtId="0" fontId="9" fillId="4" borderId="8" xfId="0" applyFont="1" applyFill="1" applyBorder="1" applyAlignment="1">
      <alignment horizontal="center"/>
    </xf>
    <xf numFmtId="0" fontId="9" fillId="4" borderId="19" xfId="0" applyFont="1" applyFill="1" applyBorder="1" applyAlignment="1">
      <alignment wrapText="1"/>
    </xf>
    <xf numFmtId="0" fontId="15" fillId="4" borderId="19" xfId="0" applyFont="1" applyFill="1" applyBorder="1" applyAlignment="1">
      <alignment horizontal="left"/>
    </xf>
    <xf numFmtId="0" fontId="9" fillId="4" borderId="19" xfId="0" applyFont="1" applyFill="1" applyBorder="1" applyAlignment="1">
      <alignment horizontal="left"/>
    </xf>
    <xf numFmtId="165" fontId="9" fillId="0" borderId="8" xfId="0" applyNumberFormat="1" applyFont="1" applyBorder="1"/>
    <xf numFmtId="9" fontId="9" fillId="0" borderId="8" xfId="0" applyNumberFormat="1" applyFont="1" applyBorder="1"/>
    <xf numFmtId="0" fontId="9" fillId="0" borderId="8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left"/>
    </xf>
    <xf numFmtId="0" fontId="12" fillId="4" borderId="0" xfId="0" applyFont="1" applyFill="1"/>
    <xf numFmtId="0" fontId="9" fillId="4" borderId="8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65" fontId="7" fillId="2" borderId="14" xfId="0" applyNumberFormat="1" applyFont="1" applyFill="1" applyBorder="1" applyAlignment="1">
      <alignment horizontal="center" vertical="center" wrapText="1"/>
    </xf>
    <xf numFmtId="9" fontId="7" fillId="2" borderId="14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left" vertical="center"/>
    </xf>
    <xf numFmtId="0" fontId="9" fillId="0" borderId="8" xfId="0" applyFont="1" applyBorder="1"/>
    <xf numFmtId="0" fontId="9" fillId="0" borderId="8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165" fontId="9" fillId="4" borderId="8" xfId="0" applyNumberFormat="1" applyFont="1" applyFill="1" applyBorder="1"/>
    <xf numFmtId="0" fontId="15" fillId="4" borderId="8" xfId="0" applyFont="1" applyFill="1" applyBorder="1" applyAlignment="1">
      <alignment horizontal="left"/>
    </xf>
    <xf numFmtId="0" fontId="9" fillId="4" borderId="20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5" fillId="0" borderId="8" xfId="0" applyFont="1" applyBorder="1" applyAlignment="1">
      <alignment horizontal="left"/>
    </xf>
    <xf numFmtId="0" fontId="9" fillId="0" borderId="8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/>
    </xf>
    <xf numFmtId="0" fontId="9" fillId="4" borderId="8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4" borderId="6" xfId="0" applyFont="1" applyFill="1" applyBorder="1"/>
    <xf numFmtId="9" fontId="9" fillId="4" borderId="8" xfId="0" applyNumberFormat="1" applyFont="1" applyFill="1" applyBorder="1"/>
    <xf numFmtId="165" fontId="9" fillId="4" borderId="6" xfId="0" applyNumberFormat="1" applyFont="1" applyFill="1" applyBorder="1"/>
    <xf numFmtId="0" fontId="9" fillId="0" borderId="8" xfId="0" applyFont="1" applyBorder="1" applyAlignment="1">
      <alignment wrapText="1"/>
    </xf>
    <xf numFmtId="0" fontId="15" fillId="4" borderId="8" xfId="0" applyFont="1" applyFill="1" applyBorder="1"/>
    <xf numFmtId="0" fontId="16" fillId="0" borderId="0" xfId="0" applyFont="1" applyAlignment="1">
      <alignment horizontal="center"/>
    </xf>
    <xf numFmtId="0" fontId="17" fillId="4" borderId="8" xfId="0" applyFont="1" applyFill="1" applyBorder="1" applyAlignment="1">
      <alignment horizontal="left" vertical="center" wrapText="1"/>
    </xf>
    <xf numFmtId="0" fontId="9" fillId="0" borderId="19" xfId="0" applyFont="1" applyBorder="1" applyAlignment="1">
      <alignment horizontal="left"/>
    </xf>
    <xf numFmtId="167" fontId="9" fillId="0" borderId="0" xfId="0" applyNumberFormat="1" applyFont="1" applyAlignment="1">
      <alignment horizontal="center"/>
    </xf>
    <xf numFmtId="49" fontId="9" fillId="4" borderId="8" xfId="0" applyNumberFormat="1" applyFont="1" applyFill="1" applyBorder="1" applyAlignment="1">
      <alignment horizontal="left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0" fontId="9" fillId="0" borderId="0" xfId="0" applyFont="1"/>
    <xf numFmtId="0" fontId="9" fillId="0" borderId="22" xfId="0" applyFont="1" applyBorder="1" applyAlignment="1">
      <alignment horizontal="center"/>
    </xf>
    <xf numFmtId="0" fontId="9" fillId="0" borderId="22" xfId="0" applyFont="1" applyBorder="1"/>
    <xf numFmtId="49" fontId="9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0" fontId="0" fillId="0" borderId="23" xfId="0" applyBorder="1"/>
    <xf numFmtId="0" fontId="0" fillId="0" borderId="23" xfId="0" applyBorder="1" applyAlignment="1">
      <alignment horizontal="left" vertical="center"/>
    </xf>
    <xf numFmtId="165" fontId="9" fillId="0" borderId="22" xfId="0" applyNumberFormat="1" applyFont="1" applyBorder="1"/>
    <xf numFmtId="0" fontId="12" fillId="0" borderId="23" xfId="0" applyFont="1" applyBorder="1"/>
    <xf numFmtId="165" fontId="9" fillId="0" borderId="23" xfId="0" applyNumberFormat="1" applyFont="1" applyBorder="1"/>
    <xf numFmtId="0" fontId="9" fillId="0" borderId="23" xfId="0" applyFont="1" applyBorder="1"/>
    <xf numFmtId="0" fontId="9" fillId="0" borderId="2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7" fillId="2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7" fillId="2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475</xdr:row>
      <xdr:rowOff>19050</xdr:rowOff>
    </xdr:from>
    <xdr:ext cx="9525" cy="0"/>
    <xdr:pic>
      <xdr:nvPicPr>
        <xdr:cNvPr id="2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475</xdr:row>
      <xdr:rowOff>19050</xdr:rowOff>
    </xdr:from>
    <xdr:ext cx="9525" cy="0"/>
    <xdr:pic>
      <xdr:nvPicPr>
        <xdr:cNvPr id="3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527</xdr:row>
      <xdr:rowOff>19050</xdr:rowOff>
    </xdr:from>
    <xdr:ext cx="9525" cy="0"/>
    <xdr:pic>
      <xdr:nvPicPr>
        <xdr:cNvPr id="4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527</xdr:row>
      <xdr:rowOff>19050</xdr:rowOff>
    </xdr:from>
    <xdr:ext cx="9525" cy="0"/>
    <xdr:pic>
      <xdr:nvPicPr>
        <xdr:cNvPr id="5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527</xdr:row>
      <xdr:rowOff>19050</xdr:rowOff>
    </xdr:from>
    <xdr:ext cx="9525" cy="0"/>
    <xdr:pic>
      <xdr:nvPicPr>
        <xdr:cNvPr id="6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275</xdr:row>
      <xdr:rowOff>19050</xdr:rowOff>
    </xdr:from>
    <xdr:ext cx="9525" cy="0"/>
    <xdr:pic>
      <xdr:nvPicPr>
        <xdr:cNvPr id="2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275</xdr:row>
      <xdr:rowOff>19050</xdr:rowOff>
    </xdr:from>
    <xdr:ext cx="9525" cy="0"/>
    <xdr:pic>
      <xdr:nvPicPr>
        <xdr:cNvPr id="3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19050</xdr:rowOff>
    </xdr:from>
    <xdr:ext cx="9525" cy="0"/>
    <xdr:pic>
      <xdr:nvPicPr>
        <xdr:cNvPr id="4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19050</xdr:rowOff>
    </xdr:from>
    <xdr:ext cx="9525" cy="0"/>
    <xdr:pic>
      <xdr:nvPicPr>
        <xdr:cNvPr id="5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19050</xdr:rowOff>
    </xdr:from>
    <xdr:ext cx="9525" cy="0"/>
    <xdr:pic>
      <xdr:nvPicPr>
        <xdr:cNvPr id="6" name="image1.gif" descr="http://sistemaswebhom.einstein.br/CME/Imagens/nada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1"/>
      <sheetName val="proposta pesquisa ageis"/>
      <sheetName val="PROPOSTA"/>
      <sheetName val="PROPOSTAS LISTA 2"/>
      <sheetName val="PROPOSTA LISTAS"/>
      <sheetName val="CORONÁRIA"/>
      <sheetName val="VÁLVULA CARDÍACA"/>
      <sheetName val="CARDIOVASCULAR DELICADA"/>
      <sheetName val="LAPARO ADULTO"/>
      <sheetName val="LAPARO INFANTIL"/>
      <sheetName val="GERAL MEDIA"/>
      <sheetName val="GERAL PEQUENA"/>
      <sheetName val="RINOPLASTIA"/>
      <sheetName val="OTORRINO PS"/>
      <sheetName val="LAMINECTOMIA"/>
      <sheetName val="CRANIOTOMIA"/>
      <sheetName val="NEUROCIRURGIA"/>
      <sheetName val="COLECISTECTOMIA"/>
      <sheetName val="APENDICE E CISTOSTOMIA"/>
      <sheetName val="TORACOTOMIA"/>
      <sheetName val="TORACOTOMIA INFANTIL"/>
      <sheetName val="CURETAGEM UTERINA"/>
      <sheetName val="HISTERECTOMIA ABDOMINAL"/>
      <sheetName val="CESÁREA"/>
      <sheetName val="BUCO"/>
      <sheetName val="EXTRAÇÃO BUCO"/>
      <sheetName val="HEMORROIDECTOMIA"/>
      <sheetName val="BARIATRICA"/>
      <sheetName val="CABEÇA PESCOÇO"/>
      <sheetName val="VASCULAR"/>
      <sheetName val="FISTULA ARTERIOVENOSA"/>
      <sheetName val="MÃO"/>
      <sheetName val="MICROCIRURGIA MÃO"/>
      <sheetName val="PÉ"/>
      <sheetName val="OMBRO"/>
      <sheetName val="LIPOASPIRAÇÃO"/>
      <sheetName val="MAMOPLASTIA ABDOM"/>
      <sheetName val="PLASTICA"/>
      <sheetName val=" UROLOGIA INFANTIL"/>
      <sheetName val="BASICA UROLOGIA"/>
      <sheetName val="PERINEOPLASTIA"/>
      <sheetName val="ADENOAMIGDALECTOMIA"/>
      <sheetName val="RINOSSEPTOPLASTIA"/>
      <sheetName val="TIMPANOPLASTIA E ESTAPEDOTOMIA"/>
      <sheetName val="BASE CRANIO"/>
      <sheetName val="AVULSO NEURO"/>
      <sheetName val="AVULSO ORTOP"/>
      <sheetName val="AVULSO GINECO"/>
      <sheetName val="AVULSO CARDIACA"/>
    </sheetNames>
    <sheetDataSet>
      <sheetData sheetId="0"/>
      <sheetData sheetId="1"/>
      <sheetData sheetId="2"/>
      <sheetData sheetId="3"/>
      <sheetData sheetId="4">
        <row r="779">
          <cell r="K779">
            <v>6475.591317942858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1000"/>
  <sheetViews>
    <sheetView showGridLines="0" topLeftCell="A90" workbookViewId="0">
      <selection activeCell="P70" sqref="P70"/>
    </sheetView>
  </sheetViews>
  <sheetFormatPr defaultColWidth="12.5703125" defaultRowHeight="15" customHeight="1" x14ac:dyDescent="0.25"/>
  <cols>
    <col min="1" max="1" width="5.85546875" customWidth="1"/>
    <col min="2" max="2" width="8.7109375" customWidth="1"/>
    <col min="3" max="3" width="37.85546875" customWidth="1"/>
    <col min="4" max="4" width="4.28515625" customWidth="1"/>
    <col min="5" max="5" width="12.7109375" customWidth="1"/>
    <col min="6" max="6" width="16.140625" customWidth="1"/>
    <col min="7" max="7" width="13.7109375" customWidth="1"/>
    <col min="8" max="8" width="12.85546875" customWidth="1"/>
    <col min="9" max="9" width="8.140625" customWidth="1"/>
    <col min="10" max="10" width="1.42578125" customWidth="1"/>
    <col min="11" max="11" width="14.42578125" customWidth="1"/>
    <col min="12" max="12" width="13.42578125" customWidth="1"/>
    <col min="13" max="13" width="15" customWidth="1"/>
    <col min="14" max="14" width="12" customWidth="1"/>
    <col min="15" max="15" width="14" customWidth="1"/>
    <col min="16" max="16" width="62.140625" customWidth="1"/>
    <col min="17" max="17" width="9.140625" customWidth="1"/>
    <col min="18" max="18" width="12" customWidth="1"/>
    <col min="19" max="19" width="12.140625" customWidth="1"/>
    <col min="20" max="26" width="9.140625" customWidth="1"/>
  </cols>
  <sheetData>
    <row r="1" spans="1:26" ht="30.75" customHeight="1" x14ac:dyDescent="0.25">
      <c r="A1" s="1"/>
      <c r="B1" s="133" t="s">
        <v>0</v>
      </c>
      <c r="C1" s="126"/>
      <c r="D1" s="126"/>
      <c r="E1" s="126"/>
      <c r="F1" s="126"/>
      <c r="G1" s="126"/>
      <c r="H1" s="126"/>
      <c r="I1" s="2"/>
      <c r="J1" s="1"/>
      <c r="K1" s="3"/>
      <c r="L1" s="3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5">
      <c r="A2" s="1"/>
      <c r="B2" s="1"/>
      <c r="C2" s="1"/>
      <c r="D2" s="1"/>
      <c r="E2" s="1"/>
      <c r="F2" s="1"/>
      <c r="G2" s="1"/>
      <c r="H2" s="1"/>
      <c r="I2" s="2"/>
      <c r="J2" s="1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25">
      <c r="A3" s="1"/>
      <c r="B3" s="134" t="s">
        <v>1</v>
      </c>
      <c r="C3" s="126"/>
      <c r="D3" s="126"/>
      <c r="E3" s="126"/>
      <c r="F3" s="126"/>
      <c r="G3" s="126"/>
      <c r="H3" s="1"/>
      <c r="I3" s="2"/>
      <c r="J3" s="1"/>
      <c r="K3" s="3"/>
      <c r="L3" s="3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2"/>
      <c r="J4" s="1"/>
      <c r="K4" s="3"/>
      <c r="L4" s="3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5" t="s">
        <v>2</v>
      </c>
      <c r="C5" s="5"/>
      <c r="D5" s="1"/>
      <c r="E5" s="1"/>
      <c r="F5" s="1"/>
      <c r="G5" s="1"/>
      <c r="H5" s="1"/>
      <c r="I5" s="2"/>
      <c r="J5" s="1"/>
      <c r="K5" s="3"/>
      <c r="L5" s="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5" t="s">
        <v>3</v>
      </c>
      <c r="C6" s="5"/>
      <c r="D6" s="1"/>
      <c r="E6" s="1"/>
      <c r="F6" s="5" t="s">
        <v>4</v>
      </c>
      <c r="G6" s="6"/>
      <c r="H6" s="6"/>
      <c r="I6" s="2"/>
      <c r="J6" s="1"/>
      <c r="K6" s="3"/>
      <c r="L6" s="3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5" t="s">
        <v>5</v>
      </c>
      <c r="C7" s="5"/>
      <c r="D7" s="1"/>
      <c r="E7" s="1"/>
      <c r="F7" s="1"/>
      <c r="G7" s="1"/>
      <c r="H7" s="1"/>
      <c r="I7" s="2"/>
      <c r="J7" s="1"/>
      <c r="K7" s="3"/>
      <c r="L7" s="3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5" t="s">
        <v>6</v>
      </c>
      <c r="C8" s="5"/>
      <c r="D8" s="1"/>
      <c r="E8" s="1"/>
      <c r="F8" s="1"/>
      <c r="G8" s="1"/>
      <c r="H8" s="1"/>
      <c r="I8" s="2"/>
      <c r="J8" s="1"/>
      <c r="K8" s="3"/>
      <c r="L8" s="3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5" t="s">
        <v>7</v>
      </c>
      <c r="C9" s="5"/>
      <c r="D9" s="1"/>
      <c r="E9" s="7" t="s">
        <v>8</v>
      </c>
      <c r="F9" s="5" t="s">
        <v>9</v>
      </c>
      <c r="G9" s="1"/>
      <c r="H9" s="1"/>
      <c r="I9" s="2"/>
      <c r="J9" s="1"/>
      <c r="K9" s="3"/>
      <c r="L9" s="3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5" t="s">
        <v>10</v>
      </c>
      <c r="C10" s="5"/>
      <c r="D10" s="1"/>
      <c r="E10" s="7" t="s">
        <v>11</v>
      </c>
      <c r="F10" s="1"/>
      <c r="G10" s="1"/>
      <c r="H10" s="1"/>
      <c r="I10" s="2"/>
      <c r="J10" s="1"/>
      <c r="K10" s="3"/>
      <c r="L10" s="3"/>
      <c r="M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5" t="s">
        <v>12</v>
      </c>
      <c r="C11" s="5"/>
      <c r="D11" s="1"/>
      <c r="E11" s="7" t="s">
        <v>13</v>
      </c>
      <c r="F11" s="135"/>
      <c r="G11" s="126"/>
      <c r="H11" s="126"/>
      <c r="I11" s="2"/>
      <c r="J11" s="1"/>
      <c r="K11" s="3"/>
      <c r="L11" s="3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2"/>
      <c r="J12" s="1"/>
      <c r="K12" s="3"/>
      <c r="L12" s="3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2"/>
      <c r="J13" s="1"/>
      <c r="K13" s="3"/>
      <c r="L13" s="3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25">
      <c r="A14" s="1"/>
      <c r="B14" s="136" t="s">
        <v>14</v>
      </c>
      <c r="C14" s="126"/>
      <c r="D14" s="126"/>
      <c r="E14" s="126"/>
      <c r="F14" s="126"/>
      <c r="G14" s="126"/>
      <c r="H14" s="1"/>
      <c r="I14" s="2"/>
      <c r="J14" s="1"/>
      <c r="K14" s="8" t="s">
        <v>15</v>
      </c>
      <c r="L14" s="3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9"/>
      <c r="E15" s="1"/>
      <c r="F15" s="1"/>
      <c r="G15" s="1"/>
      <c r="H15" s="1"/>
      <c r="I15" s="9"/>
      <c r="J15" s="10"/>
      <c r="K15" s="3"/>
      <c r="L15" s="3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9"/>
      <c r="E16" s="1"/>
      <c r="F16" s="1"/>
      <c r="G16" s="1"/>
      <c r="H16" s="1"/>
      <c r="I16" s="9"/>
      <c r="J16" s="10"/>
      <c r="K16" s="3"/>
      <c r="L16" s="3"/>
      <c r="M16" s="4"/>
      <c r="N16" s="125" t="s">
        <v>16</v>
      </c>
      <c r="O16" s="126"/>
      <c r="P16" s="1"/>
      <c r="Q16" s="9"/>
      <c r="R16" s="9"/>
      <c r="S16" s="9"/>
      <c r="T16" s="1"/>
      <c r="U16" s="1"/>
      <c r="V16" s="1"/>
      <c r="W16" s="1"/>
      <c r="X16" s="1"/>
      <c r="Y16" s="1"/>
      <c r="Z16" s="1"/>
    </row>
    <row r="17" spans="1:26" ht="27.75" customHeight="1" x14ac:dyDescent="0.25">
      <c r="A17" s="1"/>
      <c r="B17" s="1"/>
      <c r="C17" s="1"/>
      <c r="D17" s="9"/>
      <c r="E17" s="1"/>
      <c r="F17" s="1"/>
      <c r="G17" s="1"/>
      <c r="H17" s="1"/>
      <c r="I17" s="9"/>
      <c r="J17" s="11"/>
      <c r="K17" s="3" t="s">
        <v>17</v>
      </c>
      <c r="L17" s="3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2">
        <v>1</v>
      </c>
      <c r="C18" s="127" t="s">
        <v>18</v>
      </c>
      <c r="D18" s="128"/>
      <c r="E18" s="128"/>
      <c r="F18" s="128"/>
      <c r="G18" s="129"/>
      <c r="H18" s="13">
        <f>SUM(H20:H22)</f>
        <v>70378.139279999989</v>
      </c>
      <c r="I18" s="9"/>
      <c r="J18" s="10"/>
      <c r="K18" s="14">
        <v>80784.490000000005</v>
      </c>
      <c r="L18" s="14">
        <f>K18-H18</f>
        <v>10406.350720000017</v>
      </c>
      <c r="M18" s="15">
        <f>L18/K18</f>
        <v>0.12881619627728066</v>
      </c>
      <c r="O18" s="16">
        <v>82068.990000000005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0" x14ac:dyDescent="0.25">
      <c r="A19" s="1"/>
      <c r="B19" s="17" t="s">
        <v>19</v>
      </c>
      <c r="C19" s="17" t="s">
        <v>20</v>
      </c>
      <c r="D19" s="17" t="s">
        <v>21</v>
      </c>
      <c r="E19" s="18" t="s">
        <v>22</v>
      </c>
      <c r="F19" s="18" t="s">
        <v>23</v>
      </c>
      <c r="G19" s="18" t="s">
        <v>24</v>
      </c>
      <c r="H19" s="19" t="s">
        <v>25</v>
      </c>
      <c r="I19" s="19" t="s">
        <v>26</v>
      </c>
      <c r="J19" s="10"/>
      <c r="K19" s="3"/>
      <c r="L19" s="3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20" t="s">
        <v>27</v>
      </c>
      <c r="C20" s="21" t="s">
        <v>28</v>
      </c>
      <c r="D20" s="20">
        <v>3</v>
      </c>
      <c r="E20" s="22">
        <f>'PROPOSTAS LISTA  '!H53</f>
        <v>9194.8111999999983</v>
      </c>
      <c r="F20" s="22">
        <f t="shared" ref="F20:F22" si="0">E20*D20</f>
        <v>27584.433599999997</v>
      </c>
      <c r="G20" s="22">
        <f>'PROPOSTAS LISTA  '!J53</f>
        <v>9194.8111999999983</v>
      </c>
      <c r="H20" s="23">
        <f t="shared" ref="H20:H22" si="1">G20*D20</f>
        <v>27584.433599999997</v>
      </c>
      <c r="I20" s="24">
        <v>0</v>
      </c>
      <c r="J20" s="10"/>
      <c r="K20" s="3"/>
      <c r="L20" s="3"/>
      <c r="M20" s="15"/>
      <c r="N20" s="16">
        <v>11187.74</v>
      </c>
      <c r="O20" s="16">
        <v>33563.21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5" t="s">
        <v>29</v>
      </c>
      <c r="C21" s="26" t="s">
        <v>30</v>
      </c>
      <c r="D21" s="25">
        <v>3</v>
      </c>
      <c r="E21" s="27">
        <f>'PROPOSTAS LISTA  '!H110</f>
        <v>12816.321759999999</v>
      </c>
      <c r="F21" s="22">
        <f t="shared" si="0"/>
        <v>38448.965279999997</v>
      </c>
      <c r="G21" s="27">
        <f>'PROPOSTAS LISTA  '!J110</f>
        <v>12816.321759999999</v>
      </c>
      <c r="H21" s="23">
        <f t="shared" si="1"/>
        <v>38448.965279999997</v>
      </c>
      <c r="I21" s="28">
        <v>0</v>
      </c>
      <c r="J21" s="10"/>
      <c r="K21" s="3"/>
      <c r="L21" s="3"/>
      <c r="M21" s="15"/>
      <c r="N21" s="16">
        <v>14128.6</v>
      </c>
      <c r="O21" s="16">
        <v>42385.81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5" t="s">
        <v>31</v>
      </c>
      <c r="C22" s="29" t="s">
        <v>32</v>
      </c>
      <c r="D22" s="25">
        <v>3</v>
      </c>
      <c r="E22" s="27">
        <f>'PROPOSTAS LISTA  '!H129</f>
        <v>1448.2467999999999</v>
      </c>
      <c r="F22" s="22">
        <f t="shared" si="0"/>
        <v>4344.7403999999997</v>
      </c>
      <c r="G22" s="27">
        <f>'PROPOSTAS LISTA  '!J129</f>
        <v>1448.2467999999999</v>
      </c>
      <c r="H22" s="23">
        <f t="shared" si="1"/>
        <v>4344.7403999999997</v>
      </c>
      <c r="I22" s="28">
        <v>0</v>
      </c>
      <c r="J22" s="10"/>
      <c r="K22" s="3"/>
      <c r="L22" s="3"/>
      <c r="M22" s="15"/>
      <c r="N22" s="16">
        <v>2039.99</v>
      </c>
      <c r="O22" s="16">
        <v>6119.97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.75" customHeight="1" x14ac:dyDescent="0.25">
      <c r="A23" s="1"/>
      <c r="B23" s="1"/>
      <c r="C23" s="1"/>
      <c r="D23" s="9"/>
      <c r="E23" s="1"/>
      <c r="F23" s="1"/>
      <c r="G23" s="1"/>
      <c r="H23" s="1"/>
      <c r="I23" s="9"/>
      <c r="J23" s="10"/>
      <c r="K23" s="3"/>
      <c r="L23" s="3"/>
      <c r="M23" s="15"/>
      <c r="N23" s="16"/>
      <c r="O23" s="1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2">
        <v>2</v>
      </c>
      <c r="C24" s="130" t="s">
        <v>33</v>
      </c>
      <c r="D24" s="131"/>
      <c r="E24" s="131"/>
      <c r="F24" s="131"/>
      <c r="G24" s="132"/>
      <c r="H24" s="30">
        <f>SUM(H26:H27)</f>
        <v>37892.478431999989</v>
      </c>
      <c r="I24" s="31"/>
      <c r="J24" s="10"/>
      <c r="K24" s="14">
        <v>38653.83</v>
      </c>
      <c r="L24" s="14">
        <f>K24-H24</f>
        <v>761.35156800001278</v>
      </c>
      <c r="M24" s="15">
        <f>L24/K24</f>
        <v>1.9696665712039731E-2</v>
      </c>
      <c r="O24" s="16">
        <v>37619.339999999997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7" t="s">
        <v>19</v>
      </c>
      <c r="C25" s="17" t="s">
        <v>20</v>
      </c>
      <c r="D25" s="17" t="s">
        <v>21</v>
      </c>
      <c r="E25" s="18" t="s">
        <v>22</v>
      </c>
      <c r="F25" s="18" t="s">
        <v>23</v>
      </c>
      <c r="G25" s="18" t="s">
        <v>24</v>
      </c>
      <c r="H25" s="18" t="s">
        <v>25</v>
      </c>
      <c r="I25" s="32" t="s">
        <v>26</v>
      </c>
      <c r="J25" s="10"/>
      <c r="K25" s="3"/>
      <c r="L25" s="3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5" t="s">
        <v>34</v>
      </c>
      <c r="C26" s="29" t="s">
        <v>35</v>
      </c>
      <c r="D26" s="25">
        <v>4</v>
      </c>
      <c r="E26" s="27">
        <f>'PROPOSTAS LISTA  '!H186</f>
        <v>4644.0069999999969</v>
      </c>
      <c r="F26" s="22">
        <f t="shared" ref="F26:F27" si="2">E26*D26</f>
        <v>18576.027999999988</v>
      </c>
      <c r="G26" s="27">
        <f>'PROPOSTAS LISTA  '!J186</f>
        <v>4644.0069999999969</v>
      </c>
      <c r="H26" s="23">
        <f t="shared" ref="H26:H27" si="3">G26*D26</f>
        <v>18576.027999999988</v>
      </c>
      <c r="I26" s="28">
        <v>0</v>
      </c>
      <c r="J26" s="10"/>
      <c r="K26" s="3"/>
      <c r="L26" s="3"/>
      <c r="M26" s="15"/>
      <c r="N26" s="16">
        <v>5484.52</v>
      </c>
      <c r="O26" s="16">
        <v>21938.09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5" t="s">
        <v>36</v>
      </c>
      <c r="C27" s="26" t="s">
        <v>37</v>
      </c>
      <c r="D27" s="25">
        <v>4</v>
      </c>
      <c r="E27" s="27">
        <f>'PROPOSTAS LISTA  '!H240</f>
        <v>4829.1126079999995</v>
      </c>
      <c r="F27" s="27">
        <f t="shared" si="2"/>
        <v>19316.450431999998</v>
      </c>
      <c r="G27" s="27">
        <f>'PROPOSTAS LISTA  '!J240</f>
        <v>4829.1126079999995</v>
      </c>
      <c r="H27" s="23">
        <f t="shared" si="3"/>
        <v>19316.450431999998</v>
      </c>
      <c r="I27" s="28">
        <v>0</v>
      </c>
      <c r="J27" s="10"/>
      <c r="K27" s="3"/>
      <c r="L27" s="3"/>
      <c r="M27" s="15"/>
      <c r="N27" s="16">
        <v>3920.31</v>
      </c>
      <c r="O27" s="16">
        <v>15681.26</v>
      </c>
      <c r="P27" s="1"/>
      <c r="T27" s="16"/>
      <c r="U27" s="1"/>
      <c r="V27" s="1"/>
      <c r="W27" s="1"/>
      <c r="X27" s="1"/>
      <c r="Y27" s="1"/>
      <c r="Z27" s="1"/>
    </row>
    <row r="28" spans="1:26" ht="6.75" customHeight="1" x14ac:dyDescent="0.25">
      <c r="A28" s="1"/>
      <c r="B28" s="1"/>
      <c r="C28" s="1"/>
      <c r="D28" s="9"/>
      <c r="E28" s="1"/>
      <c r="F28" s="1"/>
      <c r="G28" s="1"/>
      <c r="H28" s="1"/>
      <c r="I28" s="9"/>
      <c r="J28" s="10"/>
      <c r="K28" s="3"/>
      <c r="L28" s="3"/>
      <c r="M28" s="1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2">
        <v>3</v>
      </c>
      <c r="C29" s="33" t="s">
        <v>38</v>
      </c>
      <c r="D29" s="34"/>
      <c r="E29" s="35"/>
      <c r="F29" s="35"/>
      <c r="G29" s="35"/>
      <c r="H29" s="30">
        <f>SUM(H31:H32)</f>
        <v>13500.072448000001</v>
      </c>
      <c r="I29" s="31"/>
      <c r="J29" s="10"/>
      <c r="K29" s="14">
        <v>11842.24</v>
      </c>
      <c r="L29" s="14">
        <f>K29-H29</f>
        <v>-1657.832448000001</v>
      </c>
      <c r="M29" s="15">
        <f>L29/K29</f>
        <v>-0.13999314724241368</v>
      </c>
      <c r="N29" s="1"/>
      <c r="O29" s="16">
        <v>11686.72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7" t="s">
        <v>19</v>
      </c>
      <c r="C30" s="17" t="s">
        <v>20</v>
      </c>
      <c r="D30" s="17" t="s">
        <v>21</v>
      </c>
      <c r="E30" s="18" t="s">
        <v>22</v>
      </c>
      <c r="F30" s="18" t="s">
        <v>23</v>
      </c>
      <c r="G30" s="18" t="s">
        <v>24</v>
      </c>
      <c r="H30" s="18" t="s">
        <v>25</v>
      </c>
      <c r="I30" s="32" t="s">
        <v>26</v>
      </c>
      <c r="J30" s="10"/>
      <c r="K30" s="3"/>
      <c r="L30" s="3"/>
      <c r="M30" s="15"/>
      <c r="N30" s="16">
        <v>2478.9899999999998</v>
      </c>
      <c r="O30" s="16">
        <v>7436.97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0" t="s">
        <v>39</v>
      </c>
      <c r="C31" s="21" t="s">
        <v>40</v>
      </c>
      <c r="D31" s="20">
        <v>3</v>
      </c>
      <c r="E31" s="22">
        <f>'PROPOSTAS LISTA  '!H281</f>
        <v>2857.9038400000004</v>
      </c>
      <c r="F31" s="22">
        <f t="shared" ref="F31:F32" si="4">E31*D31</f>
        <v>8573.7115200000007</v>
      </c>
      <c r="G31" s="22">
        <f>'PROPOSTAS LISTA  '!J281</f>
        <v>2857.9038400000004</v>
      </c>
      <c r="H31" s="23">
        <f t="shared" ref="H31:H32" si="5">G31*D31</f>
        <v>8573.7115200000007</v>
      </c>
      <c r="I31" s="28">
        <v>0</v>
      </c>
      <c r="J31" s="10"/>
      <c r="K31" s="3"/>
      <c r="L31" s="3"/>
      <c r="M31" s="15"/>
      <c r="N31" s="16">
        <v>2124.88</v>
      </c>
      <c r="O31" s="16">
        <v>4249.75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5" t="s">
        <v>41</v>
      </c>
      <c r="C32" s="26" t="s">
        <v>42</v>
      </c>
      <c r="D32" s="25">
        <v>2</v>
      </c>
      <c r="E32" s="27">
        <f>'PROPOSTAS LISTA  '!H315</f>
        <v>2463.180464</v>
      </c>
      <c r="F32" s="22">
        <f t="shared" si="4"/>
        <v>4926.3609280000001</v>
      </c>
      <c r="G32" s="27">
        <f>'PROPOSTAS LISTA  '!J315</f>
        <v>2463.180464</v>
      </c>
      <c r="H32" s="23">
        <f t="shared" si="5"/>
        <v>4926.3609280000001</v>
      </c>
      <c r="I32" s="28">
        <v>0</v>
      </c>
      <c r="J32" s="10"/>
      <c r="K32" s="3"/>
      <c r="L32" s="3"/>
      <c r="M32" s="1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.75" customHeight="1" x14ac:dyDescent="0.25">
      <c r="A33" s="1"/>
      <c r="B33" s="1"/>
      <c r="C33" s="1"/>
      <c r="D33" s="9"/>
      <c r="E33" s="1"/>
      <c r="F33" s="1"/>
      <c r="G33" s="1"/>
      <c r="H33" s="1"/>
      <c r="I33" s="9"/>
      <c r="J33" s="10"/>
      <c r="K33" s="3"/>
      <c r="L33" s="3"/>
      <c r="M33" s="15"/>
      <c r="O33" s="1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36">
        <v>4</v>
      </c>
      <c r="C34" s="37" t="s">
        <v>43</v>
      </c>
      <c r="D34" s="38"/>
      <c r="E34" s="39"/>
      <c r="F34" s="39"/>
      <c r="G34" s="39"/>
      <c r="H34" s="40">
        <f>SUM(H36:H37)</f>
        <v>12003.822320000003</v>
      </c>
      <c r="I34" s="31"/>
      <c r="J34" s="10"/>
      <c r="K34" s="14">
        <v>12066.44</v>
      </c>
      <c r="L34" s="14">
        <f>K34-H34</f>
        <v>62.617679999997563</v>
      </c>
      <c r="M34" s="15">
        <f>L34/K34</f>
        <v>5.1894079778292152E-3</v>
      </c>
      <c r="O34" s="16">
        <v>12066.44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41" t="s">
        <v>19</v>
      </c>
      <c r="C35" s="41" t="s">
        <v>20</v>
      </c>
      <c r="D35" s="41" t="s">
        <v>21</v>
      </c>
      <c r="E35" s="19" t="s">
        <v>22</v>
      </c>
      <c r="F35" s="19" t="s">
        <v>23</v>
      </c>
      <c r="G35" s="19" t="s">
        <v>24</v>
      </c>
      <c r="H35" s="19" t="s">
        <v>25</v>
      </c>
      <c r="I35" s="19" t="s">
        <v>26</v>
      </c>
      <c r="J35" s="10"/>
      <c r="K35" s="3"/>
      <c r="L35" s="3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0" t="s">
        <v>44</v>
      </c>
      <c r="C36" s="42" t="s">
        <v>45</v>
      </c>
      <c r="D36" s="20">
        <v>1</v>
      </c>
      <c r="E36" s="43">
        <f>'PROPOSTAS LISTA  '!H340</f>
        <v>7749.3143200000022</v>
      </c>
      <c r="F36" s="22">
        <f t="shared" ref="F36:F37" si="6">E36*D36</f>
        <v>7749.3143200000022</v>
      </c>
      <c r="G36" s="43">
        <f>'PROPOSTAS LISTA  '!J340</f>
        <v>7749.3143200000022</v>
      </c>
      <c r="H36" s="23">
        <f t="shared" ref="H36:H37" si="7">G36*D36</f>
        <v>7749.3143200000022</v>
      </c>
      <c r="I36" s="24">
        <v>0</v>
      </c>
      <c r="J36" s="10"/>
      <c r="K36" s="3"/>
      <c r="L36" s="3"/>
      <c r="M36" s="15"/>
      <c r="N36" s="16">
        <v>1734.89</v>
      </c>
      <c r="O36" s="16">
        <v>1734.89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5" t="s">
        <v>46</v>
      </c>
      <c r="C37" s="44" t="s">
        <v>47</v>
      </c>
      <c r="D37" s="25">
        <v>1</v>
      </c>
      <c r="E37" s="27">
        <f>'PROPOSTAS LISTA  '!H368</f>
        <v>4254.5079999999998</v>
      </c>
      <c r="F37" s="22">
        <f t="shared" si="6"/>
        <v>4254.5079999999998</v>
      </c>
      <c r="G37" s="27">
        <f>'PROPOSTAS LISTA  '!J368</f>
        <v>4254.5079999999998</v>
      </c>
      <c r="H37" s="23">
        <f t="shared" si="7"/>
        <v>4254.5079999999998</v>
      </c>
      <c r="I37" s="28">
        <v>0</v>
      </c>
      <c r="J37" s="10"/>
      <c r="K37" s="3"/>
      <c r="L37" s="3"/>
      <c r="M37" s="15"/>
      <c r="N37" s="16">
        <v>3850.78</v>
      </c>
      <c r="O37" s="16">
        <v>3850.78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.75" customHeight="1" x14ac:dyDescent="0.25">
      <c r="A38" s="1"/>
      <c r="B38" s="1"/>
      <c r="C38" s="1"/>
      <c r="D38" s="9"/>
      <c r="E38" s="1"/>
      <c r="F38" s="1"/>
      <c r="G38" s="1"/>
      <c r="H38" s="1"/>
      <c r="I38" s="9"/>
      <c r="J38" s="10"/>
      <c r="K38" s="3"/>
      <c r="L38" s="3"/>
      <c r="M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36">
        <v>5</v>
      </c>
      <c r="C39" s="37" t="s">
        <v>48</v>
      </c>
      <c r="D39" s="38"/>
      <c r="E39" s="39"/>
      <c r="F39" s="39"/>
      <c r="G39" s="39"/>
      <c r="H39" s="40">
        <f>SUM(H41:H43)</f>
        <v>67651.950400000002</v>
      </c>
      <c r="I39" s="31"/>
      <c r="J39" s="10"/>
      <c r="K39" s="14">
        <v>67698.94</v>
      </c>
      <c r="L39" s="14">
        <f>K39-H39</f>
        <v>46.989600000000792</v>
      </c>
      <c r="M39" s="15">
        <f>L39/K39</f>
        <v>6.9409653976858113E-4</v>
      </c>
      <c r="O39" s="16">
        <v>65418.83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41" t="s">
        <v>19</v>
      </c>
      <c r="C40" s="41" t="s">
        <v>20</v>
      </c>
      <c r="D40" s="41" t="s">
        <v>21</v>
      </c>
      <c r="E40" s="19" t="s">
        <v>22</v>
      </c>
      <c r="F40" s="19" t="s">
        <v>23</v>
      </c>
      <c r="G40" s="19" t="s">
        <v>24</v>
      </c>
      <c r="H40" s="19" t="s">
        <v>25</v>
      </c>
      <c r="I40" s="19" t="s">
        <v>26</v>
      </c>
      <c r="J40" s="10"/>
      <c r="K40" s="3"/>
      <c r="L40" s="3"/>
      <c r="M40" s="15"/>
      <c r="N40" s="16">
        <v>12596.89</v>
      </c>
      <c r="O40" s="16">
        <v>25193.77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0" t="s">
        <v>49</v>
      </c>
      <c r="C41" s="21" t="s">
        <v>50</v>
      </c>
      <c r="D41" s="20">
        <v>2</v>
      </c>
      <c r="E41" s="22">
        <f>'PROPOSTAS LISTA  '!H439</f>
        <v>13780.246464000005</v>
      </c>
      <c r="F41" s="22">
        <f t="shared" ref="F41:F43" si="8">E41*D41</f>
        <v>27560.492928000011</v>
      </c>
      <c r="G41" s="22">
        <f>'PROPOSTAS LISTA  '!J439</f>
        <v>13780.246464000005</v>
      </c>
      <c r="H41" s="23">
        <f t="shared" ref="H41:H43" si="9">G41*D41</f>
        <v>27560.492928000011</v>
      </c>
      <c r="I41" s="24">
        <v>0</v>
      </c>
      <c r="J41" s="10"/>
      <c r="K41" s="3"/>
      <c r="L41" s="3"/>
      <c r="M41" s="15"/>
      <c r="N41" s="16">
        <v>14194.66</v>
      </c>
      <c r="O41" s="16">
        <v>28389.32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5" t="s">
        <v>51</v>
      </c>
      <c r="C42" s="26" t="s">
        <v>52</v>
      </c>
      <c r="D42" s="25">
        <v>2</v>
      </c>
      <c r="E42" s="27">
        <f>'PROPOSTAS LISTA  '!H533</f>
        <v>16874.233695999996</v>
      </c>
      <c r="F42" s="22">
        <f t="shared" si="8"/>
        <v>33748.467391999991</v>
      </c>
      <c r="G42" s="27">
        <f>'PROPOSTAS LISTA  '!J533</f>
        <v>16874.233695999996</v>
      </c>
      <c r="H42" s="23">
        <f t="shared" si="9"/>
        <v>33748.467391999991</v>
      </c>
      <c r="I42" s="28">
        <v>0</v>
      </c>
      <c r="J42" s="10"/>
      <c r="K42" s="3"/>
      <c r="L42" s="3"/>
      <c r="M42" s="15"/>
      <c r="N42" s="16">
        <v>5917.87</v>
      </c>
      <c r="O42" s="16">
        <v>11835.74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5" t="s">
        <v>53</v>
      </c>
      <c r="C43" s="26" t="s">
        <v>54</v>
      </c>
      <c r="D43" s="25">
        <v>1</v>
      </c>
      <c r="E43" s="27">
        <f>'PROPOSTAS LISTA  '!H590</f>
        <v>6342.9900800000005</v>
      </c>
      <c r="F43" s="22">
        <f t="shared" si="8"/>
        <v>6342.9900800000005</v>
      </c>
      <c r="G43" s="27">
        <f>'PROPOSTAS LISTA  '!J590</f>
        <v>6342.9900800000005</v>
      </c>
      <c r="H43" s="23">
        <f t="shared" si="9"/>
        <v>6342.9900800000005</v>
      </c>
      <c r="I43" s="28">
        <v>0</v>
      </c>
      <c r="J43" s="10"/>
      <c r="K43" s="3"/>
      <c r="L43" s="3"/>
      <c r="M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.75" customHeight="1" x14ac:dyDescent="0.25">
      <c r="A44" s="1"/>
      <c r="B44" s="1"/>
      <c r="C44" s="1"/>
      <c r="D44" s="9"/>
      <c r="E44" s="1"/>
      <c r="F44" s="1"/>
      <c r="G44" s="1"/>
      <c r="H44" s="1"/>
      <c r="I44" s="9"/>
      <c r="J44" s="10"/>
      <c r="K44" s="3"/>
      <c r="L44" s="3"/>
      <c r="M44" s="15"/>
      <c r="O44" s="1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2">
        <v>6</v>
      </c>
      <c r="C45" s="33" t="s">
        <v>55</v>
      </c>
      <c r="D45" s="34"/>
      <c r="E45" s="35"/>
      <c r="F45" s="35"/>
      <c r="G45" s="35"/>
      <c r="H45" s="30">
        <f>SUM(H47:H48)</f>
        <v>21901.035023999997</v>
      </c>
      <c r="I45" s="31"/>
      <c r="J45" s="10"/>
      <c r="K45" s="14">
        <v>19959.990000000002</v>
      </c>
      <c r="L45" s="14">
        <f>K45-H45</f>
        <v>-1941.0450239999955</v>
      </c>
      <c r="M45" s="15">
        <f>L45/K45</f>
        <v>-9.72467934102169E-2</v>
      </c>
      <c r="O45" s="16">
        <v>19199.97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41" t="s">
        <v>19</v>
      </c>
      <c r="C46" s="41" t="s">
        <v>20</v>
      </c>
      <c r="D46" s="41" t="s">
        <v>21</v>
      </c>
      <c r="E46" s="19" t="s">
        <v>22</v>
      </c>
      <c r="F46" s="19" t="s">
        <v>23</v>
      </c>
      <c r="G46" s="19" t="s">
        <v>24</v>
      </c>
      <c r="H46" s="19" t="s">
        <v>25</v>
      </c>
      <c r="I46" s="32" t="s">
        <v>26</v>
      </c>
      <c r="J46" s="10"/>
      <c r="K46" s="3"/>
      <c r="L46" s="3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0" t="s">
        <v>56</v>
      </c>
      <c r="C47" s="21" t="s">
        <v>57</v>
      </c>
      <c r="D47" s="20">
        <v>3</v>
      </c>
      <c r="E47" s="22">
        <f>'PROPOSTAS LISTA  '!H643</f>
        <v>4693.2318879999984</v>
      </c>
      <c r="F47" s="22">
        <f t="shared" ref="F47:F48" si="10">E47*D47</f>
        <v>14079.695663999995</v>
      </c>
      <c r="G47" s="22">
        <f>'PROPOSTAS LISTA  '!J643</f>
        <v>4693.2318879999984</v>
      </c>
      <c r="H47" s="23">
        <f t="shared" ref="H47:H48" si="11">G47*D47</f>
        <v>14079.695663999995</v>
      </c>
      <c r="I47" s="28">
        <v>0</v>
      </c>
      <c r="J47" s="10"/>
      <c r="K47" s="3"/>
      <c r="L47" s="3"/>
      <c r="M47" s="15"/>
      <c r="N47" s="16">
        <v>4231.32</v>
      </c>
      <c r="O47" s="16">
        <v>12693.95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5" t="s">
        <v>58</v>
      </c>
      <c r="C48" s="26" t="s">
        <v>59</v>
      </c>
      <c r="D48" s="25">
        <v>3</v>
      </c>
      <c r="E48" s="27">
        <f>'PROPOSTAS LISTA  '!H676</f>
        <v>2607.1131200000004</v>
      </c>
      <c r="F48" s="22">
        <f t="shared" si="10"/>
        <v>7821.3393600000018</v>
      </c>
      <c r="G48" s="27">
        <f>'PROPOSTAS LISTA  '!J676</f>
        <v>2607.1131200000004</v>
      </c>
      <c r="H48" s="23">
        <f t="shared" si="11"/>
        <v>7821.3393600000018</v>
      </c>
      <c r="I48" s="28">
        <v>0</v>
      </c>
      <c r="J48" s="10"/>
      <c r="K48" s="3"/>
      <c r="L48" s="3"/>
      <c r="M48" s="15"/>
      <c r="N48" s="16">
        <v>2168.6799999999998</v>
      </c>
      <c r="O48" s="16">
        <v>6506.03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6.75" customHeight="1" x14ac:dyDescent="0.25">
      <c r="A49" s="1"/>
      <c r="B49" s="1"/>
      <c r="C49" s="1"/>
      <c r="D49" s="9"/>
      <c r="E49" s="1"/>
      <c r="F49" s="1"/>
      <c r="G49" s="1"/>
      <c r="H49" s="1"/>
      <c r="I49" s="9"/>
      <c r="J49" s="10"/>
      <c r="K49" s="3"/>
      <c r="L49" s="3"/>
      <c r="M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36">
        <v>7</v>
      </c>
      <c r="C50" s="37" t="s">
        <v>60</v>
      </c>
      <c r="D50" s="38"/>
      <c r="E50" s="39"/>
      <c r="F50" s="39"/>
      <c r="G50" s="39"/>
      <c r="H50" s="40">
        <f>SUM(H52:H53)</f>
        <v>11930.907877942856</v>
      </c>
      <c r="I50" s="31"/>
      <c r="J50" s="10"/>
      <c r="K50" s="14">
        <v>13301.7</v>
      </c>
      <c r="L50" s="14">
        <f>K50-H50</f>
        <v>1370.7921220571443</v>
      </c>
      <c r="M50" s="15">
        <f>L50/K50</f>
        <v>0.10305390454281364</v>
      </c>
      <c r="O50" s="16">
        <v>12916.11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41" t="s">
        <v>19</v>
      </c>
      <c r="C51" s="41" t="s">
        <v>20</v>
      </c>
      <c r="D51" s="41" t="s">
        <v>21</v>
      </c>
      <c r="E51" s="19" t="s">
        <v>22</v>
      </c>
      <c r="F51" s="19" t="s">
        <v>23</v>
      </c>
      <c r="G51" s="19" t="s">
        <v>24</v>
      </c>
      <c r="H51" s="19" t="s">
        <v>25</v>
      </c>
      <c r="I51" s="19" t="s">
        <v>26</v>
      </c>
      <c r="J51" s="10"/>
      <c r="K51" s="3"/>
      <c r="L51" s="3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0" t="s">
        <v>61</v>
      </c>
      <c r="C52" s="21" t="s">
        <v>62</v>
      </c>
      <c r="D52" s="20">
        <v>2</v>
      </c>
      <c r="E52" s="22">
        <f>'PROPOSTAS LISTA  '!H722</f>
        <v>7877.9522399999987</v>
      </c>
      <c r="F52" s="22">
        <f t="shared" ref="F52:F53" si="12">E52*D52</f>
        <v>15755.904479999997</v>
      </c>
      <c r="G52" s="22">
        <f>'PROPOSTAS LISTA  '!J722</f>
        <v>7877.9522399999987</v>
      </c>
      <c r="H52" s="23">
        <f>'[1]PROPOSTAS LISTA 2'!K779</f>
        <v>6475.591317942858</v>
      </c>
      <c r="I52" s="24">
        <v>0</v>
      </c>
      <c r="J52" s="10"/>
      <c r="K52" s="3"/>
      <c r="L52" s="3"/>
      <c r="M52" s="15"/>
      <c r="N52" s="16">
        <v>4480.9399999999996</v>
      </c>
      <c r="O52" s="16">
        <v>8961.8799999999992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5" t="s">
        <v>63</v>
      </c>
      <c r="C53" s="26" t="s">
        <v>64</v>
      </c>
      <c r="D53" s="25">
        <v>1</v>
      </c>
      <c r="E53" s="27">
        <f>'PROPOSTAS LISTA  '!H770</f>
        <v>5455.3165599999993</v>
      </c>
      <c r="F53" s="22">
        <f t="shared" si="12"/>
        <v>5455.3165599999993</v>
      </c>
      <c r="G53" s="27">
        <f>'PROPOSTAS LISTA  '!J770</f>
        <v>5455.3165599999993</v>
      </c>
      <c r="H53" s="23">
        <f>G53*D53</f>
        <v>5455.3165599999993</v>
      </c>
      <c r="I53" s="28">
        <v>0</v>
      </c>
      <c r="J53" s="10"/>
      <c r="K53" s="3"/>
      <c r="L53" s="3"/>
      <c r="M53" s="15"/>
      <c r="N53" s="16">
        <v>3954.23</v>
      </c>
      <c r="O53" s="16">
        <v>3954.23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9"/>
      <c r="E54" s="1"/>
      <c r="F54" s="1"/>
      <c r="G54" s="1"/>
      <c r="H54" s="1"/>
      <c r="I54" s="9"/>
      <c r="J54" s="10"/>
      <c r="K54" s="3"/>
      <c r="L54" s="3"/>
      <c r="M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45">
        <v>8</v>
      </c>
      <c r="C55" s="37" t="s">
        <v>65</v>
      </c>
      <c r="D55" s="38"/>
      <c r="E55" s="46"/>
      <c r="F55" s="46"/>
      <c r="G55" s="46"/>
      <c r="H55" s="47">
        <f>SUM(H57:H59)</f>
        <v>57945.28360000001</v>
      </c>
      <c r="I55" s="31"/>
      <c r="J55" s="10"/>
      <c r="K55" s="14">
        <v>51427.08</v>
      </c>
      <c r="L55" s="14">
        <f>K55-H55</f>
        <v>-6518.203600000008</v>
      </c>
      <c r="M55" s="15">
        <f>L55/K55</f>
        <v>-0.1267465234269573</v>
      </c>
      <c r="O55" s="16">
        <v>51241.25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41" t="s">
        <v>19</v>
      </c>
      <c r="C56" s="41" t="s">
        <v>20</v>
      </c>
      <c r="D56" s="41" t="s">
        <v>21</v>
      </c>
      <c r="E56" s="19" t="s">
        <v>22</v>
      </c>
      <c r="F56" s="19" t="s">
        <v>23</v>
      </c>
      <c r="G56" s="19" t="s">
        <v>24</v>
      </c>
      <c r="H56" s="19" t="s">
        <v>25</v>
      </c>
      <c r="I56" s="19" t="s">
        <v>26</v>
      </c>
      <c r="J56" s="10"/>
      <c r="K56" s="3"/>
      <c r="L56" s="3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0" t="s">
        <v>66</v>
      </c>
      <c r="C57" s="21" t="s">
        <v>67</v>
      </c>
      <c r="D57" s="20">
        <v>5</v>
      </c>
      <c r="E57" s="22">
        <f>'PROPOSTAS LISTA  '!H806</f>
        <v>2498.6263200000003</v>
      </c>
      <c r="F57" s="22">
        <f t="shared" ref="F57:F59" si="13">E57*D57</f>
        <v>12493.131600000001</v>
      </c>
      <c r="G57" s="22">
        <f>'PROPOSTAS LISTA  '!J806</f>
        <v>2498.6263200000003</v>
      </c>
      <c r="H57" s="23">
        <f t="shared" ref="H57:H59" si="14">G57*D57</f>
        <v>12493.131600000001</v>
      </c>
      <c r="I57" s="24">
        <v>0</v>
      </c>
      <c r="J57" s="10"/>
      <c r="K57" s="3"/>
      <c r="L57" s="3"/>
      <c r="M57" s="15"/>
      <c r="N57" s="16">
        <v>2281.98</v>
      </c>
      <c r="O57" s="16">
        <v>11409.91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5" t="s">
        <v>68</v>
      </c>
      <c r="C58" s="26" t="s">
        <v>69</v>
      </c>
      <c r="D58" s="25">
        <v>5</v>
      </c>
      <c r="E58" s="27">
        <f>'PROPOSTAS LISTA  '!H843</f>
        <v>3522.5793600000006</v>
      </c>
      <c r="F58" s="22">
        <f t="shared" si="13"/>
        <v>17612.896800000002</v>
      </c>
      <c r="G58" s="27">
        <f>'PROPOSTAS LISTA  '!J843</f>
        <v>3522.5793600000006</v>
      </c>
      <c r="H58" s="23">
        <f t="shared" si="14"/>
        <v>17612.896800000002</v>
      </c>
      <c r="I58" s="28">
        <v>0</v>
      </c>
      <c r="J58" s="10"/>
      <c r="K58" s="3"/>
      <c r="L58" s="3"/>
      <c r="M58" s="15"/>
      <c r="N58" s="16">
        <v>3102.21</v>
      </c>
      <c r="O58" s="16">
        <v>15511.06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5" t="s">
        <v>70</v>
      </c>
      <c r="C59" s="26" t="s">
        <v>71</v>
      </c>
      <c r="D59" s="25">
        <v>10</v>
      </c>
      <c r="E59" s="27">
        <f>'PROPOSTAS LISTA  '!H872</f>
        <v>2783.9255200000002</v>
      </c>
      <c r="F59" s="22">
        <f t="shared" si="13"/>
        <v>27839.255200000003</v>
      </c>
      <c r="G59" s="27">
        <f>'PROPOSTAS LISTA  '!J872</f>
        <v>2783.9255200000002</v>
      </c>
      <c r="H59" s="23">
        <f t="shared" si="14"/>
        <v>27839.255200000003</v>
      </c>
      <c r="I59" s="28">
        <v>0</v>
      </c>
      <c r="J59" s="10"/>
      <c r="K59" s="3"/>
      <c r="L59" s="3"/>
      <c r="M59" s="15"/>
      <c r="N59" s="16">
        <v>2432.0300000000002</v>
      </c>
      <c r="O59" s="16">
        <v>24320.28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6.75" customHeight="1" x14ac:dyDescent="0.25">
      <c r="A60" s="1"/>
      <c r="B60" s="1"/>
      <c r="C60" s="1"/>
      <c r="D60" s="9"/>
      <c r="E60" s="1"/>
      <c r="F60" s="1"/>
      <c r="G60" s="1"/>
      <c r="H60" s="1"/>
      <c r="I60" s="9"/>
      <c r="J60" s="10"/>
      <c r="K60" s="3"/>
      <c r="L60" s="3"/>
      <c r="M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36">
        <v>9</v>
      </c>
      <c r="C61" s="37" t="s">
        <v>72</v>
      </c>
      <c r="D61" s="38"/>
      <c r="E61" s="39"/>
      <c r="F61" s="39"/>
      <c r="G61" s="39"/>
      <c r="H61" s="40">
        <f>SUM(H63:H64)</f>
        <v>11211.949439999997</v>
      </c>
      <c r="I61" s="31"/>
      <c r="J61" s="10"/>
      <c r="K61" s="14">
        <v>10313.65</v>
      </c>
      <c r="L61" s="14">
        <f>K61-H61</f>
        <v>-898.29943999999705</v>
      </c>
      <c r="M61" s="15">
        <f>L61/K61</f>
        <v>-8.7098111725722419E-2</v>
      </c>
      <c r="O61" s="16">
        <v>10636.95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41" t="s">
        <v>19</v>
      </c>
      <c r="C62" s="41" t="s">
        <v>20</v>
      </c>
      <c r="D62" s="41" t="s">
        <v>21</v>
      </c>
      <c r="E62" s="19" t="s">
        <v>22</v>
      </c>
      <c r="F62" s="19" t="s">
        <v>23</v>
      </c>
      <c r="G62" s="19" t="s">
        <v>24</v>
      </c>
      <c r="H62" s="19" t="s">
        <v>25</v>
      </c>
      <c r="I62" s="19" t="s">
        <v>26</v>
      </c>
      <c r="J62" s="10"/>
      <c r="K62" s="3"/>
      <c r="L62" s="3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0" t="s">
        <v>73</v>
      </c>
      <c r="C63" s="21" t="s">
        <v>74</v>
      </c>
      <c r="D63" s="20">
        <v>1</v>
      </c>
      <c r="E63" s="22">
        <f>'PROPOSTAS LISTA  '!H955</f>
        <v>8519.0439999999981</v>
      </c>
      <c r="F63" s="22">
        <f>E63*D63</f>
        <v>8519.0439999999981</v>
      </c>
      <c r="G63" s="22">
        <f>'PROPOSTAS LISTA  '!J955</f>
        <v>8519.0439999999981</v>
      </c>
      <c r="H63" s="23">
        <f t="shared" ref="H63:H64" si="15">G63*D63</f>
        <v>8519.0439999999981</v>
      </c>
      <c r="I63" s="24">
        <v>0</v>
      </c>
      <c r="J63" s="10"/>
      <c r="K63" s="3"/>
      <c r="L63" s="3"/>
      <c r="M63" s="15"/>
      <c r="N63" s="16">
        <v>8100.82</v>
      </c>
      <c r="O63" s="16">
        <v>8100.82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5" t="s">
        <v>75</v>
      </c>
      <c r="C64" s="26" t="s">
        <v>76</v>
      </c>
      <c r="D64" s="25">
        <v>1</v>
      </c>
      <c r="E64" s="27">
        <f>'PROPOSTAS LISTA  '!H1001</f>
        <v>2692.9054399999995</v>
      </c>
      <c r="F64" s="22">
        <f>E64*D64</f>
        <v>2692.9054399999995</v>
      </c>
      <c r="G64" s="27">
        <f>'PROPOSTAS LISTA  '!J1001</f>
        <v>2692.9054399999995</v>
      </c>
      <c r="H64" s="23">
        <f t="shared" si="15"/>
        <v>2692.9054399999995</v>
      </c>
      <c r="I64" s="28">
        <v>0</v>
      </c>
      <c r="J64" s="10"/>
      <c r="K64" s="3"/>
      <c r="L64" s="3"/>
      <c r="M64" s="15"/>
      <c r="N64" s="16">
        <v>2536.13</v>
      </c>
      <c r="O64" s="16">
        <v>2536.13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.75" customHeight="1" x14ac:dyDescent="0.25">
      <c r="A65" s="1"/>
      <c r="B65" s="1"/>
      <c r="C65" s="1"/>
      <c r="D65" s="9"/>
      <c r="E65" s="1"/>
      <c r="F65" s="1"/>
      <c r="G65" s="1"/>
      <c r="H65" s="1"/>
      <c r="I65" s="9"/>
      <c r="J65" s="10"/>
      <c r="K65" s="3"/>
      <c r="L65" s="3"/>
      <c r="M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36">
        <v>10</v>
      </c>
      <c r="C66" s="37" t="s">
        <v>77</v>
      </c>
      <c r="D66" s="38"/>
      <c r="E66" s="39"/>
      <c r="F66" s="39"/>
      <c r="G66" s="39"/>
      <c r="H66" s="40">
        <f>H68</f>
        <v>1747.3092799999997</v>
      </c>
      <c r="I66" s="31"/>
      <c r="J66" s="10"/>
      <c r="K66" s="14">
        <v>2004.69</v>
      </c>
      <c r="L66" s="14">
        <f>K66-H66</f>
        <v>257.38072000000034</v>
      </c>
      <c r="M66" s="15">
        <f>L66/K66</f>
        <v>0.12838928712169978</v>
      </c>
      <c r="O66" s="16">
        <v>1739.09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41" t="s">
        <v>19</v>
      </c>
      <c r="C67" s="41" t="s">
        <v>20</v>
      </c>
      <c r="D67" s="41" t="s">
        <v>21</v>
      </c>
      <c r="E67" s="19" t="s">
        <v>22</v>
      </c>
      <c r="F67" s="19" t="s">
        <v>23</v>
      </c>
      <c r="G67" s="19" t="s">
        <v>24</v>
      </c>
      <c r="H67" s="19" t="s">
        <v>25</v>
      </c>
      <c r="I67" s="19" t="s">
        <v>26</v>
      </c>
      <c r="J67" s="10"/>
      <c r="K67" s="3"/>
      <c r="L67" s="3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0" t="s">
        <v>78</v>
      </c>
      <c r="C68" s="21" t="s">
        <v>79</v>
      </c>
      <c r="D68" s="20">
        <v>1</v>
      </c>
      <c r="E68" s="22">
        <f>'PROPOSTAS LISTA  '!H1026</f>
        <v>1747.3092799999997</v>
      </c>
      <c r="F68" s="22">
        <f>E68*D68</f>
        <v>1747.3092799999997</v>
      </c>
      <c r="G68" s="22">
        <f>'PROPOSTAS LISTA  '!J1026</f>
        <v>1747.3092799999997</v>
      </c>
      <c r="H68" s="23">
        <f>G68*D68</f>
        <v>1747.3092799999997</v>
      </c>
      <c r="I68" s="24">
        <v>0</v>
      </c>
      <c r="J68" s="10"/>
      <c r="K68" s="3"/>
      <c r="L68" s="3"/>
      <c r="M68" s="15"/>
      <c r="N68" s="16">
        <v>1739.09</v>
      </c>
      <c r="O68" s="16">
        <v>1739.09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.75" customHeight="1" x14ac:dyDescent="0.25">
      <c r="A69" s="1"/>
      <c r="B69" s="1"/>
      <c r="C69" s="1"/>
      <c r="D69" s="9"/>
      <c r="E69" s="1"/>
      <c r="F69" s="1"/>
      <c r="G69" s="1"/>
      <c r="H69" s="1"/>
      <c r="I69" s="9"/>
      <c r="J69" s="10"/>
      <c r="K69" s="3"/>
      <c r="L69" s="3"/>
      <c r="M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36">
        <v>11</v>
      </c>
      <c r="C70" s="37" t="s">
        <v>80</v>
      </c>
      <c r="D70" s="38"/>
      <c r="E70" s="39"/>
      <c r="F70" s="39"/>
      <c r="G70" s="39"/>
      <c r="H70" s="40">
        <f>H72</f>
        <v>9930.8193599999977</v>
      </c>
      <c r="I70" s="31"/>
      <c r="J70" s="10"/>
      <c r="K70" s="14">
        <v>7417.65</v>
      </c>
      <c r="L70" s="14">
        <f>K70-H70</f>
        <v>-2513.1693599999981</v>
      </c>
      <c r="M70" s="15">
        <f>L70/K70</f>
        <v>-0.33880937493680591</v>
      </c>
      <c r="O70" s="16">
        <v>7602.97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41" t="s">
        <v>19</v>
      </c>
      <c r="C71" s="41" t="s">
        <v>20</v>
      </c>
      <c r="D71" s="41" t="s">
        <v>21</v>
      </c>
      <c r="E71" s="19" t="s">
        <v>22</v>
      </c>
      <c r="F71" s="19" t="s">
        <v>23</v>
      </c>
      <c r="G71" s="19" t="s">
        <v>24</v>
      </c>
      <c r="H71" s="19" t="s">
        <v>25</v>
      </c>
      <c r="I71" s="19" t="s">
        <v>26</v>
      </c>
      <c r="J71" s="10"/>
      <c r="K71" s="3"/>
      <c r="L71" s="3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0" t="s">
        <v>81</v>
      </c>
      <c r="C72" s="21" t="s">
        <v>82</v>
      </c>
      <c r="D72" s="20">
        <v>2</v>
      </c>
      <c r="E72" s="22">
        <f>'PROPOSTAS LISTA  '!H1063</f>
        <v>4965.4096799999988</v>
      </c>
      <c r="F72" s="22">
        <f>E72*D72</f>
        <v>9930.8193599999977</v>
      </c>
      <c r="G72" s="22">
        <f>'PROPOSTAS LISTA  '!J1063</f>
        <v>4965.4096799999988</v>
      </c>
      <c r="H72" s="23">
        <f>G72*D72</f>
        <v>9930.8193599999977</v>
      </c>
      <c r="I72" s="24">
        <v>0</v>
      </c>
      <c r="J72" s="10"/>
      <c r="K72" s="3"/>
      <c r="L72" s="3"/>
      <c r="M72" s="15"/>
      <c r="N72" s="16">
        <v>3801.48</v>
      </c>
      <c r="O72" s="16">
        <v>7602.97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.75" customHeight="1" x14ac:dyDescent="0.25">
      <c r="A73" s="1"/>
      <c r="B73" s="1"/>
      <c r="C73" s="1"/>
      <c r="D73" s="9"/>
      <c r="E73" s="1"/>
      <c r="F73" s="1"/>
      <c r="G73" s="1"/>
      <c r="H73" s="1"/>
      <c r="I73" s="9"/>
      <c r="J73" s="10"/>
      <c r="K73" s="3"/>
      <c r="L73" s="3"/>
      <c r="M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36">
        <v>12</v>
      </c>
      <c r="C74" s="37" t="s">
        <v>83</v>
      </c>
      <c r="D74" s="38"/>
      <c r="E74" s="39"/>
      <c r="F74" s="39"/>
      <c r="G74" s="39"/>
      <c r="H74" s="40">
        <f>H76</f>
        <v>8685.8295359999975</v>
      </c>
      <c r="I74" s="31"/>
      <c r="J74" s="10"/>
      <c r="K74" s="14">
        <v>8551.3700000000008</v>
      </c>
      <c r="L74" s="14">
        <f>K74-H74</f>
        <v>-134.45953599999666</v>
      </c>
      <c r="M74" s="15">
        <f>L74/K74</f>
        <v>-1.5723742043672141E-2</v>
      </c>
      <c r="O74" s="16">
        <v>7842.11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41" t="s">
        <v>19</v>
      </c>
      <c r="C75" s="41" t="s">
        <v>20</v>
      </c>
      <c r="D75" s="41" t="s">
        <v>21</v>
      </c>
      <c r="E75" s="19" t="s">
        <v>22</v>
      </c>
      <c r="F75" s="19" t="s">
        <v>23</v>
      </c>
      <c r="G75" s="19" t="s">
        <v>24</v>
      </c>
      <c r="H75" s="19" t="s">
        <v>25</v>
      </c>
      <c r="I75" s="19" t="s">
        <v>26</v>
      </c>
      <c r="J75" s="10"/>
      <c r="K75" s="3"/>
      <c r="L75" s="3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0" t="s">
        <v>84</v>
      </c>
      <c r="C76" s="21" t="s">
        <v>85</v>
      </c>
      <c r="D76" s="20">
        <v>2</v>
      </c>
      <c r="E76" s="22">
        <f>'PROPOSTAS LISTA  '!H1105</f>
        <v>4342.9147679999987</v>
      </c>
      <c r="F76" s="22">
        <f>E76*D76</f>
        <v>8685.8295359999975</v>
      </c>
      <c r="G76" s="22">
        <f>'PROPOSTAS LISTA  '!J1105</f>
        <v>4342.9147679999987</v>
      </c>
      <c r="H76" s="23">
        <f>G76*D76</f>
        <v>8685.8295359999975</v>
      </c>
      <c r="I76" s="24">
        <v>0</v>
      </c>
      <c r="J76" s="10"/>
      <c r="K76" s="3"/>
      <c r="L76" s="3"/>
      <c r="M76" s="15"/>
      <c r="N76" s="16">
        <v>3921.06</v>
      </c>
      <c r="O76" s="16">
        <v>7842.11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6.75" customHeight="1" x14ac:dyDescent="0.25">
      <c r="A77" s="1"/>
      <c r="B77" s="1"/>
      <c r="C77" s="1"/>
      <c r="D77" s="9"/>
      <c r="E77" s="1"/>
      <c r="F77" s="1"/>
      <c r="G77" s="1"/>
      <c r="H77" s="1"/>
      <c r="I77" s="9"/>
      <c r="J77" s="10"/>
      <c r="K77" s="3"/>
      <c r="L77" s="3"/>
      <c r="M77" s="1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36">
        <v>13</v>
      </c>
      <c r="C78" s="37" t="s">
        <v>86</v>
      </c>
      <c r="D78" s="38"/>
      <c r="E78" s="39"/>
      <c r="F78" s="39"/>
      <c r="G78" s="39"/>
      <c r="H78" s="40">
        <f>SUM(H80:H81)</f>
        <v>19756.670079999996</v>
      </c>
      <c r="I78" s="31"/>
      <c r="J78" s="10"/>
      <c r="K78" s="14">
        <v>19900.2</v>
      </c>
      <c r="L78" s="14">
        <f>K78-H78</f>
        <v>143.52992000000449</v>
      </c>
      <c r="M78" s="15">
        <f>L78/K78</f>
        <v>7.2124863066705099E-3</v>
      </c>
      <c r="O78" s="16">
        <v>18964.62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41" t="s">
        <v>19</v>
      </c>
      <c r="C79" s="41" t="s">
        <v>20</v>
      </c>
      <c r="D79" s="41" t="s">
        <v>21</v>
      </c>
      <c r="E79" s="19" t="s">
        <v>22</v>
      </c>
      <c r="F79" s="19" t="s">
        <v>23</v>
      </c>
      <c r="G79" s="19" t="s">
        <v>24</v>
      </c>
      <c r="H79" s="19" t="s">
        <v>25</v>
      </c>
      <c r="I79" s="19" t="s">
        <v>26</v>
      </c>
      <c r="J79" s="10"/>
      <c r="K79" s="3"/>
      <c r="L79" s="3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0" t="s">
        <v>87</v>
      </c>
      <c r="C80" s="21" t="s">
        <v>88</v>
      </c>
      <c r="D80" s="20">
        <v>2</v>
      </c>
      <c r="E80" s="22">
        <f>'PROPOSTAS LISTA  '!H1175</f>
        <v>7357.474079999999</v>
      </c>
      <c r="F80" s="22">
        <f t="shared" ref="F80:F81" si="16">E80*D80</f>
        <v>14714.948159999998</v>
      </c>
      <c r="G80" s="22">
        <f>'PROPOSTAS LISTA  '!J1175</f>
        <v>7357.474079999999</v>
      </c>
      <c r="H80" s="23">
        <f t="shared" ref="H80:H81" si="17">G80*D80</f>
        <v>14714.948159999998</v>
      </c>
      <c r="I80" s="24">
        <v>0</v>
      </c>
      <c r="J80" s="10"/>
      <c r="K80" s="3"/>
      <c r="L80" s="3"/>
      <c r="M80" s="15"/>
      <c r="N80" s="16">
        <v>7405.02</v>
      </c>
      <c r="O80" s="16">
        <v>14810.05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5" t="s">
        <v>89</v>
      </c>
      <c r="C81" s="26" t="s">
        <v>90</v>
      </c>
      <c r="D81" s="25">
        <v>2</v>
      </c>
      <c r="E81" s="27">
        <f>'PROPOSTAS LISTA  '!H1207</f>
        <v>2520.86096</v>
      </c>
      <c r="F81" s="22">
        <f t="shared" si="16"/>
        <v>5041.72192</v>
      </c>
      <c r="G81" s="27">
        <f>'PROPOSTAS LISTA  '!J1207</f>
        <v>2520.86096</v>
      </c>
      <c r="H81" s="23">
        <f t="shared" si="17"/>
        <v>5041.72192</v>
      </c>
      <c r="I81" s="28">
        <v>0</v>
      </c>
      <c r="J81" s="10"/>
      <c r="K81" s="3"/>
      <c r="L81" s="3"/>
      <c r="M81" s="15"/>
      <c r="N81" s="16">
        <v>2077.29</v>
      </c>
      <c r="O81" s="16">
        <v>4154.58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6.75" customHeight="1" x14ac:dyDescent="0.25">
      <c r="A82" s="1"/>
      <c r="B82" s="1"/>
      <c r="C82" s="1"/>
      <c r="D82" s="9"/>
      <c r="E82" s="1"/>
      <c r="F82" s="1"/>
      <c r="G82" s="1"/>
      <c r="H82" s="1"/>
      <c r="I82" s="9"/>
      <c r="J82" s="10"/>
      <c r="K82" s="3"/>
      <c r="L82" s="3"/>
      <c r="M82" s="1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36">
        <v>14</v>
      </c>
      <c r="C83" s="37" t="s">
        <v>91</v>
      </c>
      <c r="D83" s="38"/>
      <c r="E83" s="39"/>
      <c r="F83" s="39"/>
      <c r="G83" s="39"/>
      <c r="H83" s="40">
        <f>SUM(H85:H88)</f>
        <v>35402.920063999998</v>
      </c>
      <c r="I83" s="31"/>
      <c r="J83" s="10"/>
      <c r="K83" s="14">
        <v>31237.82</v>
      </c>
      <c r="L83" s="14">
        <f>K83-H83</f>
        <v>-4165.1000639999984</v>
      </c>
      <c r="M83" s="15">
        <f>L83/K83</f>
        <v>-0.13333517076415699</v>
      </c>
      <c r="O83" s="16">
        <v>34031.46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41" t="s">
        <v>19</v>
      </c>
      <c r="C84" s="41" t="s">
        <v>20</v>
      </c>
      <c r="D84" s="41" t="s">
        <v>21</v>
      </c>
      <c r="E84" s="19" t="s">
        <v>22</v>
      </c>
      <c r="F84" s="19" t="s">
        <v>23</v>
      </c>
      <c r="G84" s="19" t="s">
        <v>24</v>
      </c>
      <c r="H84" s="19" t="s">
        <v>25</v>
      </c>
      <c r="I84" s="19" t="s">
        <v>26</v>
      </c>
      <c r="J84" s="10"/>
      <c r="K84" s="3"/>
      <c r="L84" s="3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0" t="s">
        <v>92</v>
      </c>
      <c r="C85" s="48" t="s">
        <v>93</v>
      </c>
      <c r="D85" s="20">
        <v>2</v>
      </c>
      <c r="E85" s="22">
        <f>'PROPOSTAS LISTA  '!H1297</f>
        <v>6795.0311999999985</v>
      </c>
      <c r="F85" s="22">
        <f t="shared" ref="F85:F88" si="18">E85*D85</f>
        <v>13590.062399999997</v>
      </c>
      <c r="G85" s="22">
        <f>'PROPOSTAS LISTA  '!J1297</f>
        <v>6795.0311999999985</v>
      </c>
      <c r="H85" s="23">
        <f t="shared" ref="H85:H88" si="19">G85*D85</f>
        <v>13590.062399999997</v>
      </c>
      <c r="I85" s="24">
        <v>0</v>
      </c>
      <c r="J85" s="10"/>
      <c r="K85" s="3"/>
      <c r="L85" s="3"/>
      <c r="M85" s="15"/>
      <c r="N85" s="16">
        <v>5863.8</v>
      </c>
      <c r="O85" s="16">
        <v>11727.6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5" t="s">
        <v>94</v>
      </c>
      <c r="C86" s="26" t="s">
        <v>95</v>
      </c>
      <c r="D86" s="25">
        <v>2</v>
      </c>
      <c r="E86" s="27">
        <f>'PROPOSTAS LISTA  '!H1309</f>
        <v>2610.7677599999997</v>
      </c>
      <c r="F86" s="22">
        <f t="shared" si="18"/>
        <v>5221.5355199999995</v>
      </c>
      <c r="G86" s="27">
        <f>'PROPOSTAS LISTA  '!J1309</f>
        <v>2610.7677599999997</v>
      </c>
      <c r="H86" s="23">
        <f t="shared" si="19"/>
        <v>5221.5355199999995</v>
      </c>
      <c r="I86" s="28">
        <v>0</v>
      </c>
      <c r="J86" s="10"/>
      <c r="K86" s="3"/>
      <c r="L86" s="3"/>
      <c r="M86" s="15"/>
      <c r="N86" s="16">
        <v>3207.16</v>
      </c>
      <c r="O86" s="16">
        <v>6414.32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5" t="s">
        <v>96</v>
      </c>
      <c r="C87" s="26" t="s">
        <v>97</v>
      </c>
      <c r="D87" s="25">
        <v>2</v>
      </c>
      <c r="E87" s="27">
        <f>'PROPOSTAS LISTA  '!H1365</f>
        <v>3930.8636799999999</v>
      </c>
      <c r="F87" s="22">
        <f t="shared" si="18"/>
        <v>7861.7273599999999</v>
      </c>
      <c r="G87" s="27">
        <f>'PROPOSTAS LISTA  '!J1365</f>
        <v>3930.8636799999999</v>
      </c>
      <c r="H87" s="23">
        <f t="shared" si="19"/>
        <v>7861.7273599999999</v>
      </c>
      <c r="I87" s="28">
        <v>0</v>
      </c>
      <c r="J87" s="10"/>
      <c r="K87" s="3"/>
      <c r="L87" s="3"/>
      <c r="M87" s="15"/>
      <c r="N87" s="16">
        <v>3944.21</v>
      </c>
      <c r="O87" s="16">
        <v>7888.42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5" t="s">
        <v>98</v>
      </c>
      <c r="C88" s="26" t="s">
        <v>99</v>
      </c>
      <c r="D88" s="25">
        <v>2</v>
      </c>
      <c r="E88" s="27">
        <f>'PROPOSTAS LISTA  '!H1416</f>
        <v>4364.7973919999995</v>
      </c>
      <c r="F88" s="22">
        <f t="shared" si="18"/>
        <v>8729.594783999999</v>
      </c>
      <c r="G88" s="27">
        <f>'PROPOSTAS LISTA  '!J1416</f>
        <v>4364.7973919999995</v>
      </c>
      <c r="H88" s="23">
        <f t="shared" si="19"/>
        <v>8729.594783999999</v>
      </c>
      <c r="I88" s="28">
        <v>0</v>
      </c>
      <c r="J88" s="10"/>
      <c r="K88" s="3"/>
      <c r="L88" s="3"/>
      <c r="M88" s="15"/>
      <c r="N88" s="16">
        <v>4000.56</v>
      </c>
      <c r="O88" s="16">
        <v>8001.12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6.75" customHeight="1" x14ac:dyDescent="0.25">
      <c r="A89" s="1"/>
      <c r="B89" s="1"/>
      <c r="C89" s="1"/>
      <c r="D89" s="9"/>
      <c r="E89" s="1"/>
      <c r="F89" s="1"/>
      <c r="G89" s="1"/>
      <c r="H89" s="1"/>
      <c r="I89" s="9"/>
      <c r="J89" s="10"/>
      <c r="K89" s="3"/>
      <c r="L89" s="3"/>
      <c r="M89" s="1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36">
        <v>15</v>
      </c>
      <c r="C90" s="37" t="s">
        <v>100</v>
      </c>
      <c r="D90" s="38"/>
      <c r="E90" s="39"/>
      <c r="F90" s="39"/>
      <c r="G90" s="39"/>
      <c r="H90" s="40">
        <f>SUM(H92:H94)</f>
        <v>13486.94656</v>
      </c>
      <c r="I90" s="31"/>
      <c r="J90" s="10"/>
      <c r="K90" s="14">
        <v>9448.4699999999993</v>
      </c>
      <c r="L90" s="14">
        <f>K90-H90</f>
        <v>-4038.476560000001</v>
      </c>
      <c r="M90" s="15">
        <f>L90/K90</f>
        <v>-0.42742121846182518</v>
      </c>
      <c r="O90" s="16">
        <v>8961.43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41" t="s">
        <v>19</v>
      </c>
      <c r="C91" s="41" t="s">
        <v>20</v>
      </c>
      <c r="D91" s="41" t="s">
        <v>21</v>
      </c>
      <c r="E91" s="19" t="s">
        <v>22</v>
      </c>
      <c r="F91" s="19" t="s">
        <v>23</v>
      </c>
      <c r="G91" s="19" t="s">
        <v>24</v>
      </c>
      <c r="H91" s="19" t="s">
        <v>25</v>
      </c>
      <c r="I91" s="19" t="s">
        <v>26</v>
      </c>
      <c r="J91" s="10"/>
      <c r="K91" s="3"/>
      <c r="L91" s="3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0" t="s">
        <v>101</v>
      </c>
      <c r="C92" s="21" t="s">
        <v>102</v>
      </c>
      <c r="D92" s="20">
        <v>2</v>
      </c>
      <c r="E92" s="22">
        <f>'PROPOSTAS LISTA  '!H1432</f>
        <v>2118.9380000000001</v>
      </c>
      <c r="F92" s="22">
        <f t="shared" ref="F92:F94" si="20">E92*D92</f>
        <v>4237.8760000000002</v>
      </c>
      <c r="G92" s="22">
        <f>'PROPOSTAS LISTA  '!J1432</f>
        <v>2118.9380000000001</v>
      </c>
      <c r="H92" s="23">
        <f t="shared" ref="H92:H94" si="21">G92*D92</f>
        <v>4237.8760000000002</v>
      </c>
      <c r="I92" s="24">
        <v>0</v>
      </c>
      <c r="J92" s="10"/>
      <c r="K92" s="3"/>
      <c r="L92" s="3"/>
      <c r="M92" s="15"/>
      <c r="N92" s="49" t="s">
        <v>103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5" t="s">
        <v>104</v>
      </c>
      <c r="C93" s="26" t="s">
        <v>105</v>
      </c>
      <c r="D93" s="25">
        <v>2</v>
      </c>
      <c r="E93" s="27">
        <f>'PROPOSTAS LISTA  '!H1464</f>
        <v>1951.3711199999998</v>
      </c>
      <c r="F93" s="22">
        <f t="shared" si="20"/>
        <v>3902.7422399999996</v>
      </c>
      <c r="G93" s="27">
        <f>'PROPOSTAS LISTA  '!J1464</f>
        <v>1951.3711199999998</v>
      </c>
      <c r="H93" s="23">
        <f t="shared" si="21"/>
        <v>3902.7422399999996</v>
      </c>
      <c r="I93" s="28">
        <v>0</v>
      </c>
      <c r="J93" s="10"/>
      <c r="K93" s="3"/>
      <c r="L93" s="3"/>
      <c r="M93" s="15"/>
      <c r="N93" s="16">
        <v>2073.48</v>
      </c>
      <c r="O93" s="16">
        <v>4146.96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25" t="s">
        <v>106</v>
      </c>
      <c r="C94" s="26" t="s">
        <v>107</v>
      </c>
      <c r="D94" s="25">
        <v>2</v>
      </c>
      <c r="E94" s="27">
        <f>'PROPOSTAS LISTA  '!H1502</f>
        <v>2673.1641600000003</v>
      </c>
      <c r="F94" s="22">
        <f t="shared" si="20"/>
        <v>5346.3283200000005</v>
      </c>
      <c r="G94" s="27">
        <f>'PROPOSTAS LISTA  '!J1502</f>
        <v>2673.1641600000003</v>
      </c>
      <c r="H94" s="23">
        <f t="shared" si="21"/>
        <v>5346.3283200000005</v>
      </c>
      <c r="I94" s="28">
        <v>0</v>
      </c>
      <c r="J94" s="10"/>
      <c r="K94" s="3"/>
      <c r="L94" s="3"/>
      <c r="M94" s="15"/>
      <c r="N94" s="16">
        <v>2407.23</v>
      </c>
      <c r="O94" s="16">
        <v>4814.47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6.75" customHeight="1" x14ac:dyDescent="0.25">
      <c r="A95" s="1"/>
      <c r="B95" s="1"/>
      <c r="C95" s="1"/>
      <c r="D95" s="9"/>
      <c r="E95" s="1"/>
      <c r="F95" s="1"/>
      <c r="G95" s="1"/>
      <c r="H95" s="1"/>
      <c r="I95" s="9"/>
      <c r="J95" s="10"/>
      <c r="K95" s="3"/>
      <c r="L95" s="3"/>
      <c r="M95" s="1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36">
        <v>16</v>
      </c>
      <c r="C96" s="37" t="s">
        <v>108</v>
      </c>
      <c r="D96" s="38"/>
      <c r="E96" s="39"/>
      <c r="F96" s="39"/>
      <c r="G96" s="39"/>
      <c r="H96" s="40">
        <f>SUM(H98:H101)</f>
        <v>14951.919600000001</v>
      </c>
      <c r="I96" s="31"/>
      <c r="J96" s="10"/>
      <c r="K96" s="3">
        <f>H96</f>
        <v>14951.919600000001</v>
      </c>
      <c r="L96" s="14">
        <f>K96-H96</f>
        <v>0</v>
      </c>
      <c r="M96" s="15">
        <f>L96/K96</f>
        <v>0</v>
      </c>
      <c r="O96" s="16">
        <v>17004.62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41" t="s">
        <v>19</v>
      </c>
      <c r="C97" s="41" t="s">
        <v>20</v>
      </c>
      <c r="D97" s="41" t="s">
        <v>21</v>
      </c>
      <c r="E97" s="19" t="s">
        <v>22</v>
      </c>
      <c r="F97" s="19" t="s">
        <v>23</v>
      </c>
      <c r="G97" s="19" t="s">
        <v>24</v>
      </c>
      <c r="H97" s="19" t="s">
        <v>25</v>
      </c>
      <c r="I97" s="19" t="s">
        <v>26</v>
      </c>
      <c r="J97" s="10"/>
      <c r="K97" s="3"/>
      <c r="L97" s="3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0" t="s">
        <v>109</v>
      </c>
      <c r="C98" s="21" t="s">
        <v>110</v>
      </c>
      <c r="D98" s="20">
        <v>1</v>
      </c>
      <c r="E98" s="22">
        <f>'PROPOSTAS LISTA  '!H1520</f>
        <v>2831.7399199999995</v>
      </c>
      <c r="F98" s="22">
        <f t="shared" ref="F98:F101" si="22">E98*D98</f>
        <v>2831.7399199999995</v>
      </c>
      <c r="G98" s="22">
        <f>'PROPOSTAS LISTA  '!J1520</f>
        <v>2831.7399199999995</v>
      </c>
      <c r="H98" s="23">
        <f t="shared" ref="H98:H101" si="23">G98*D98</f>
        <v>2831.7399199999995</v>
      </c>
      <c r="I98" s="24">
        <v>0</v>
      </c>
      <c r="J98" s="10"/>
      <c r="K98" s="3"/>
      <c r="L98" s="3"/>
      <c r="M98" s="15"/>
      <c r="N98" s="16">
        <v>2573.0500000000002</v>
      </c>
      <c r="O98" s="16">
        <v>2573.0500000000002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5" t="s">
        <v>111</v>
      </c>
      <c r="C99" s="26" t="s">
        <v>112</v>
      </c>
      <c r="D99" s="25">
        <v>1</v>
      </c>
      <c r="E99" s="27">
        <f>'PROPOSTAS LISTA  '!H1526</f>
        <v>7969.1512000000002</v>
      </c>
      <c r="F99" s="22">
        <f t="shared" si="22"/>
        <v>7969.1512000000002</v>
      </c>
      <c r="G99" s="27">
        <f>'PROPOSTAS LISTA  '!J1526</f>
        <v>7969.1512000000002</v>
      </c>
      <c r="H99" s="23">
        <f t="shared" si="23"/>
        <v>7969.1512000000002</v>
      </c>
      <c r="I99" s="28">
        <v>0</v>
      </c>
      <c r="J99" s="10"/>
      <c r="K99" s="3"/>
      <c r="L99" s="3"/>
      <c r="M99" s="15"/>
      <c r="N99" s="16">
        <v>9671.2999999999993</v>
      </c>
      <c r="O99" s="16">
        <v>9671.2999999999993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5" t="s">
        <v>113</v>
      </c>
      <c r="C100" s="50" t="s">
        <v>114</v>
      </c>
      <c r="D100" s="25">
        <v>1</v>
      </c>
      <c r="E100" s="27">
        <f>'PROPOSTAS LISTA  '!H1533</f>
        <v>599.07760000000007</v>
      </c>
      <c r="F100" s="22">
        <f t="shared" si="22"/>
        <v>599.07760000000007</v>
      </c>
      <c r="G100" s="27">
        <f>'PROPOSTAS LISTA  '!J1533</f>
        <v>599.07760000000007</v>
      </c>
      <c r="H100" s="23">
        <f t="shared" si="23"/>
        <v>599.07760000000007</v>
      </c>
      <c r="I100" s="28">
        <v>0</v>
      </c>
      <c r="J100" s="10"/>
      <c r="K100" s="3"/>
      <c r="L100" s="3"/>
      <c r="M100" s="15"/>
      <c r="N100" s="16">
        <v>504</v>
      </c>
      <c r="O100" s="16">
        <v>504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5" t="s">
        <v>115</v>
      </c>
      <c r="C101" s="50" t="s">
        <v>116</v>
      </c>
      <c r="D101" s="25">
        <v>1</v>
      </c>
      <c r="E101" s="27">
        <f>'PROPOSTAS LISTA  '!H1544</f>
        <v>3551.9508799999994</v>
      </c>
      <c r="F101" s="22">
        <f t="shared" si="22"/>
        <v>3551.9508799999994</v>
      </c>
      <c r="G101" s="27">
        <f>'PROPOSTAS LISTA  '!J1544</f>
        <v>3551.9508799999994</v>
      </c>
      <c r="H101" s="23">
        <f t="shared" si="23"/>
        <v>3551.9508799999994</v>
      </c>
      <c r="I101" s="28">
        <v>0</v>
      </c>
      <c r="J101" s="10"/>
      <c r="K101" s="3"/>
      <c r="L101" s="3"/>
      <c r="M101" s="15"/>
      <c r="N101" s="16">
        <v>4256.2700000000004</v>
      </c>
      <c r="O101" s="16">
        <v>4256.2700000000004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6.75" customHeight="1" x14ac:dyDescent="0.25">
      <c r="A102" s="1"/>
      <c r="B102" s="1"/>
      <c r="C102" s="1"/>
      <c r="D102" s="9"/>
      <c r="E102" s="1"/>
      <c r="F102" s="1"/>
      <c r="G102" s="1"/>
      <c r="H102" s="1"/>
      <c r="I102" s="9"/>
      <c r="J102" s="10"/>
      <c r="K102" s="3"/>
      <c r="L102" s="3"/>
      <c r="M102" s="4"/>
      <c r="N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1"/>
      <c r="C103" s="51" t="s">
        <v>117</v>
      </c>
      <c r="D103" s="52">
        <f>SUM(D20:D101)</f>
        <v>87</v>
      </c>
      <c r="E103" s="53"/>
      <c r="F103" s="53"/>
      <c r="G103" s="53"/>
      <c r="H103" s="54">
        <f>H96+H90+H83+H78+H74+H70+H66+H61+H55+H50+H45+H39+H34+H29+H24+H18</f>
        <v>408378.05330194283</v>
      </c>
      <c r="I103" s="31"/>
      <c r="J103" s="10"/>
      <c r="K103" s="3">
        <f>SUM(K18:K102)</f>
        <v>399560.47960000008</v>
      </c>
      <c r="L103" s="3"/>
      <c r="M103" s="4"/>
      <c r="N103" s="1"/>
      <c r="O103" s="55" t="e">
        <f>O18+O24+O29+O34+O39+O45+O50+O55+O61+O66+O70+O74+O78+O83+O90+#REF!+O96</f>
        <v>#REF!</v>
      </c>
      <c r="P103" s="1"/>
      <c r="S103" s="16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9"/>
      <c r="E104" s="1"/>
      <c r="F104" s="1"/>
      <c r="G104" s="1"/>
      <c r="H104" s="1"/>
      <c r="I104" s="9"/>
      <c r="J104" s="10"/>
      <c r="K104" s="3"/>
      <c r="L104" s="3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9"/>
      <c r="E105" s="1"/>
      <c r="F105" s="1"/>
      <c r="G105" s="1"/>
      <c r="H105" s="1"/>
      <c r="I105" s="9"/>
      <c r="J105" s="10"/>
      <c r="K105" s="3"/>
      <c r="L105" s="3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9"/>
      <c r="E106" s="1"/>
      <c r="F106" s="1"/>
      <c r="G106" s="1"/>
      <c r="H106" s="1"/>
      <c r="I106" s="9"/>
      <c r="J106" s="10"/>
      <c r="K106" s="3"/>
      <c r="L106" s="3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9"/>
      <c r="E107" s="1"/>
      <c r="F107" s="1"/>
      <c r="G107" s="1"/>
      <c r="H107" s="1"/>
      <c r="I107" s="9"/>
      <c r="J107" s="10"/>
      <c r="K107" s="3"/>
      <c r="L107" s="3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9"/>
      <c r="E108" s="1"/>
      <c r="F108" s="1"/>
      <c r="G108" s="1"/>
      <c r="H108" s="1"/>
      <c r="I108" s="9"/>
      <c r="J108" s="10"/>
      <c r="K108" s="3"/>
      <c r="L108" s="3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9"/>
      <c r="E109" s="1"/>
      <c r="F109" s="1"/>
      <c r="G109" s="1"/>
      <c r="H109" s="1"/>
      <c r="I109" s="9"/>
      <c r="J109" s="10"/>
      <c r="K109" s="3"/>
      <c r="L109" s="3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9"/>
      <c r="E110" s="1"/>
      <c r="F110" s="1"/>
      <c r="G110" s="1"/>
      <c r="H110" s="1"/>
      <c r="I110" s="9"/>
      <c r="J110" s="10"/>
      <c r="K110" s="3"/>
      <c r="L110" s="3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9"/>
      <c r="E111" s="1"/>
      <c r="F111" s="1"/>
      <c r="G111" s="1"/>
      <c r="H111" s="1"/>
      <c r="I111" s="9"/>
      <c r="J111" s="10"/>
      <c r="K111" s="3"/>
      <c r="L111" s="3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9"/>
      <c r="E112" s="1"/>
      <c r="F112" s="1"/>
      <c r="G112" s="1"/>
      <c r="H112" s="1"/>
      <c r="I112" s="9"/>
      <c r="J112" s="10"/>
      <c r="K112" s="3"/>
      <c r="L112" s="3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9"/>
      <c r="E113" s="1"/>
      <c r="F113" s="1"/>
      <c r="G113" s="1"/>
      <c r="H113" s="1"/>
      <c r="I113" s="9"/>
      <c r="J113" s="10"/>
      <c r="K113" s="3"/>
      <c r="L113" s="3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9"/>
      <c r="E114" s="1"/>
      <c r="F114" s="1"/>
      <c r="G114" s="1"/>
      <c r="H114" s="1"/>
      <c r="I114" s="9"/>
      <c r="J114" s="10"/>
      <c r="K114" s="3"/>
      <c r="L114" s="3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9"/>
      <c r="E115" s="1"/>
      <c r="F115" s="1"/>
      <c r="G115" s="1"/>
      <c r="H115" s="1"/>
      <c r="I115" s="9"/>
      <c r="J115" s="10"/>
      <c r="K115" s="3"/>
      <c r="L115" s="3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9"/>
      <c r="E116" s="1"/>
      <c r="F116" s="1"/>
      <c r="G116" s="1"/>
      <c r="H116" s="1"/>
      <c r="I116" s="9"/>
      <c r="J116" s="10"/>
      <c r="K116" s="3"/>
      <c r="L116" s="3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9"/>
      <c r="E117" s="1"/>
      <c r="F117" s="1"/>
      <c r="G117" s="1"/>
      <c r="H117" s="1"/>
      <c r="I117" s="9"/>
      <c r="J117" s="10"/>
      <c r="K117" s="3"/>
      <c r="L117" s="3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9"/>
      <c r="E118" s="1"/>
      <c r="F118" s="1"/>
      <c r="G118" s="1"/>
      <c r="H118" s="1"/>
      <c r="I118" s="9"/>
      <c r="J118" s="10"/>
      <c r="K118" s="3"/>
      <c r="L118" s="3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9"/>
      <c r="E119" s="1"/>
      <c r="F119" s="1"/>
      <c r="G119" s="1"/>
      <c r="H119" s="1"/>
      <c r="I119" s="9"/>
      <c r="J119" s="10"/>
      <c r="K119" s="3"/>
      <c r="L119" s="3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9"/>
      <c r="E120" s="1"/>
      <c r="F120" s="1"/>
      <c r="G120" s="1"/>
      <c r="H120" s="1"/>
      <c r="I120" s="9"/>
      <c r="J120" s="10"/>
      <c r="K120" s="3"/>
      <c r="L120" s="3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9"/>
      <c r="E121" s="1"/>
      <c r="F121" s="1"/>
      <c r="G121" s="1"/>
      <c r="H121" s="1"/>
      <c r="I121" s="9"/>
      <c r="J121" s="10"/>
      <c r="K121" s="3"/>
      <c r="L121" s="3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9"/>
      <c r="E122" s="1"/>
      <c r="F122" s="1"/>
      <c r="G122" s="1"/>
      <c r="H122" s="1"/>
      <c r="I122" s="9"/>
      <c r="J122" s="10"/>
      <c r="K122" s="3"/>
      <c r="L122" s="3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9"/>
      <c r="E123" s="1"/>
      <c r="F123" s="1"/>
      <c r="G123" s="1"/>
      <c r="H123" s="1"/>
      <c r="I123" s="9"/>
      <c r="J123" s="10"/>
      <c r="K123" s="3"/>
      <c r="L123" s="3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9"/>
      <c r="E124" s="1"/>
      <c r="F124" s="1"/>
      <c r="G124" s="1"/>
      <c r="H124" s="1"/>
      <c r="I124" s="9"/>
      <c r="J124" s="10"/>
      <c r="K124" s="3"/>
      <c r="L124" s="3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9"/>
      <c r="E125" s="1"/>
      <c r="F125" s="1"/>
      <c r="G125" s="1"/>
      <c r="H125" s="1"/>
      <c r="I125" s="9"/>
      <c r="J125" s="10"/>
      <c r="K125" s="3"/>
      <c r="L125" s="3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9"/>
      <c r="E126" s="1"/>
      <c r="F126" s="1"/>
      <c r="G126" s="1"/>
      <c r="H126" s="1"/>
      <c r="I126" s="9"/>
      <c r="J126" s="10"/>
      <c r="K126" s="3"/>
      <c r="L126" s="3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9"/>
      <c r="E127" s="1"/>
      <c r="F127" s="1"/>
      <c r="G127" s="1"/>
      <c r="H127" s="1"/>
      <c r="I127" s="9"/>
      <c r="J127" s="10"/>
      <c r="K127" s="3"/>
      <c r="L127" s="3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9"/>
      <c r="E128" s="1"/>
      <c r="F128" s="1"/>
      <c r="G128" s="1"/>
      <c r="H128" s="1"/>
      <c r="I128" s="9"/>
      <c r="J128" s="10"/>
      <c r="K128" s="3"/>
      <c r="L128" s="3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9"/>
      <c r="E129" s="1"/>
      <c r="F129" s="1"/>
      <c r="G129" s="1"/>
      <c r="H129" s="1"/>
      <c r="I129" s="9"/>
      <c r="J129" s="10"/>
      <c r="K129" s="3"/>
      <c r="L129" s="3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9"/>
      <c r="E130" s="1"/>
      <c r="F130" s="1"/>
      <c r="G130" s="1"/>
      <c r="H130" s="1"/>
      <c r="I130" s="9"/>
      <c r="J130" s="10"/>
      <c r="K130" s="3"/>
      <c r="L130" s="3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9"/>
      <c r="E131" s="1"/>
      <c r="F131" s="1"/>
      <c r="G131" s="1"/>
      <c r="H131" s="1"/>
      <c r="I131" s="9"/>
      <c r="J131" s="10"/>
      <c r="K131" s="3"/>
      <c r="L131" s="3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9"/>
      <c r="E132" s="1"/>
      <c r="F132" s="1"/>
      <c r="G132" s="1"/>
      <c r="H132" s="1"/>
      <c r="I132" s="9"/>
      <c r="J132" s="10"/>
      <c r="K132" s="3"/>
      <c r="L132" s="3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9"/>
      <c r="E133" s="1"/>
      <c r="F133" s="1"/>
      <c r="G133" s="1"/>
      <c r="H133" s="1"/>
      <c r="I133" s="9"/>
      <c r="J133" s="10"/>
      <c r="K133" s="3"/>
      <c r="L133" s="3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9"/>
      <c r="E134" s="1"/>
      <c r="F134" s="1"/>
      <c r="G134" s="1"/>
      <c r="H134" s="1"/>
      <c r="I134" s="9"/>
      <c r="J134" s="10"/>
      <c r="K134" s="3"/>
      <c r="L134" s="3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9"/>
      <c r="E135" s="1"/>
      <c r="F135" s="1"/>
      <c r="G135" s="1"/>
      <c r="H135" s="1"/>
      <c r="I135" s="9"/>
      <c r="J135" s="10"/>
      <c r="K135" s="3"/>
      <c r="L135" s="3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9"/>
      <c r="E136" s="1"/>
      <c r="F136" s="1"/>
      <c r="G136" s="1"/>
      <c r="H136" s="1"/>
      <c r="I136" s="9"/>
      <c r="J136" s="10"/>
      <c r="K136" s="3"/>
      <c r="L136" s="3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9"/>
      <c r="E137" s="1"/>
      <c r="F137" s="1"/>
      <c r="G137" s="1"/>
      <c r="H137" s="1"/>
      <c r="I137" s="9"/>
      <c r="J137" s="10"/>
      <c r="K137" s="3"/>
      <c r="L137" s="3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9"/>
      <c r="E138" s="1"/>
      <c r="F138" s="1"/>
      <c r="G138" s="1"/>
      <c r="H138" s="1"/>
      <c r="I138" s="9"/>
      <c r="J138" s="10"/>
      <c r="K138" s="3"/>
      <c r="L138" s="3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9"/>
      <c r="E139" s="1"/>
      <c r="F139" s="1"/>
      <c r="G139" s="1"/>
      <c r="H139" s="1"/>
      <c r="I139" s="9"/>
      <c r="J139" s="10"/>
      <c r="K139" s="3"/>
      <c r="L139" s="3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9"/>
      <c r="E140" s="1"/>
      <c r="F140" s="1"/>
      <c r="G140" s="1"/>
      <c r="H140" s="1"/>
      <c r="I140" s="9"/>
      <c r="J140" s="10"/>
      <c r="K140" s="3"/>
      <c r="L140" s="3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9"/>
      <c r="E141" s="1"/>
      <c r="F141" s="1"/>
      <c r="G141" s="1"/>
      <c r="H141" s="1"/>
      <c r="I141" s="9"/>
      <c r="J141" s="10"/>
      <c r="K141" s="3"/>
      <c r="L141" s="3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9"/>
      <c r="E142" s="1"/>
      <c r="F142" s="1"/>
      <c r="G142" s="1"/>
      <c r="H142" s="1"/>
      <c r="I142" s="9"/>
      <c r="J142" s="10"/>
      <c r="K142" s="3"/>
      <c r="L142" s="3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9"/>
      <c r="E143" s="1"/>
      <c r="F143" s="1"/>
      <c r="G143" s="1"/>
      <c r="H143" s="1"/>
      <c r="I143" s="9"/>
      <c r="J143" s="10"/>
      <c r="K143" s="3"/>
      <c r="L143" s="3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9"/>
      <c r="E144" s="1"/>
      <c r="F144" s="1"/>
      <c r="G144" s="1"/>
      <c r="H144" s="1"/>
      <c r="I144" s="9"/>
      <c r="J144" s="10"/>
      <c r="K144" s="3"/>
      <c r="L144" s="3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9"/>
      <c r="E145" s="1"/>
      <c r="F145" s="1"/>
      <c r="G145" s="1"/>
      <c r="H145" s="1"/>
      <c r="I145" s="9"/>
      <c r="J145" s="10"/>
      <c r="K145" s="3"/>
      <c r="L145" s="3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9"/>
      <c r="E146" s="1"/>
      <c r="F146" s="1"/>
      <c r="G146" s="1"/>
      <c r="H146" s="1"/>
      <c r="I146" s="9"/>
      <c r="J146" s="10"/>
      <c r="K146" s="3"/>
      <c r="L146" s="3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9"/>
      <c r="E147" s="1"/>
      <c r="F147" s="1"/>
      <c r="G147" s="1"/>
      <c r="H147" s="1"/>
      <c r="I147" s="9"/>
      <c r="J147" s="10"/>
      <c r="K147" s="3"/>
      <c r="L147" s="3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9"/>
      <c r="E148" s="1"/>
      <c r="F148" s="1"/>
      <c r="G148" s="1"/>
      <c r="H148" s="1"/>
      <c r="I148" s="9"/>
      <c r="J148" s="10"/>
      <c r="K148" s="3"/>
      <c r="L148" s="3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9"/>
      <c r="E149" s="1"/>
      <c r="F149" s="1"/>
      <c r="G149" s="1"/>
      <c r="H149" s="1"/>
      <c r="I149" s="9"/>
      <c r="J149" s="10"/>
      <c r="K149" s="3"/>
      <c r="L149" s="3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9"/>
      <c r="E150" s="1"/>
      <c r="F150" s="1"/>
      <c r="G150" s="1"/>
      <c r="H150" s="1"/>
      <c r="I150" s="9"/>
      <c r="J150" s="10"/>
      <c r="K150" s="3"/>
      <c r="L150" s="3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9"/>
      <c r="E151" s="1"/>
      <c r="F151" s="1"/>
      <c r="G151" s="1"/>
      <c r="H151" s="1"/>
      <c r="I151" s="9"/>
      <c r="J151" s="10"/>
      <c r="K151" s="3"/>
      <c r="L151" s="3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9"/>
      <c r="E152" s="1"/>
      <c r="F152" s="1"/>
      <c r="G152" s="1"/>
      <c r="H152" s="1"/>
      <c r="I152" s="9"/>
      <c r="J152" s="10"/>
      <c r="K152" s="3"/>
      <c r="L152" s="3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9"/>
      <c r="E153" s="1"/>
      <c r="F153" s="1"/>
      <c r="G153" s="1"/>
      <c r="H153" s="1"/>
      <c r="I153" s="9"/>
      <c r="J153" s="10"/>
      <c r="K153" s="3"/>
      <c r="L153" s="3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9"/>
      <c r="E154" s="1"/>
      <c r="F154" s="1"/>
      <c r="G154" s="1"/>
      <c r="H154" s="1"/>
      <c r="I154" s="9"/>
      <c r="J154" s="10"/>
      <c r="K154" s="3"/>
      <c r="L154" s="3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9"/>
      <c r="E155" s="1"/>
      <c r="F155" s="1"/>
      <c r="G155" s="1"/>
      <c r="H155" s="1"/>
      <c r="I155" s="9"/>
      <c r="J155" s="10"/>
      <c r="K155" s="3"/>
      <c r="L155" s="3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9"/>
      <c r="E156" s="1"/>
      <c r="F156" s="1"/>
      <c r="G156" s="1"/>
      <c r="H156" s="1"/>
      <c r="I156" s="9"/>
      <c r="J156" s="10"/>
      <c r="K156" s="3"/>
      <c r="L156" s="3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9"/>
      <c r="E157" s="1"/>
      <c r="F157" s="1"/>
      <c r="G157" s="1"/>
      <c r="H157" s="1"/>
      <c r="I157" s="9"/>
      <c r="J157" s="10"/>
      <c r="K157" s="3"/>
      <c r="L157" s="3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9"/>
      <c r="E158" s="1"/>
      <c r="F158" s="1"/>
      <c r="G158" s="1"/>
      <c r="H158" s="1"/>
      <c r="I158" s="9"/>
      <c r="J158" s="10"/>
      <c r="K158" s="3"/>
      <c r="L158" s="3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9"/>
      <c r="E159" s="1"/>
      <c r="F159" s="1"/>
      <c r="G159" s="1"/>
      <c r="H159" s="1"/>
      <c r="I159" s="9"/>
      <c r="J159" s="10"/>
      <c r="K159" s="3"/>
      <c r="L159" s="3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9"/>
      <c r="E160" s="1"/>
      <c r="F160" s="1"/>
      <c r="G160" s="1"/>
      <c r="H160" s="1"/>
      <c r="I160" s="9"/>
      <c r="J160" s="10"/>
      <c r="K160" s="3"/>
      <c r="L160" s="3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9"/>
      <c r="E161" s="1"/>
      <c r="F161" s="1"/>
      <c r="G161" s="1"/>
      <c r="H161" s="1"/>
      <c r="I161" s="9"/>
      <c r="J161" s="10"/>
      <c r="K161" s="3"/>
      <c r="L161" s="3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9"/>
      <c r="E162" s="1"/>
      <c r="F162" s="1"/>
      <c r="G162" s="1"/>
      <c r="H162" s="1"/>
      <c r="I162" s="9"/>
      <c r="J162" s="10"/>
      <c r="K162" s="3"/>
      <c r="L162" s="3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9"/>
      <c r="E163" s="1"/>
      <c r="F163" s="1"/>
      <c r="G163" s="1"/>
      <c r="H163" s="1"/>
      <c r="I163" s="9"/>
      <c r="J163" s="10"/>
      <c r="K163" s="3"/>
      <c r="L163" s="3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9"/>
      <c r="E164" s="1"/>
      <c r="F164" s="1"/>
      <c r="G164" s="1"/>
      <c r="H164" s="1"/>
      <c r="I164" s="9"/>
      <c r="J164" s="10"/>
      <c r="K164" s="3"/>
      <c r="L164" s="3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9"/>
      <c r="E165" s="1"/>
      <c r="F165" s="1"/>
      <c r="G165" s="1"/>
      <c r="H165" s="1"/>
      <c r="I165" s="9"/>
      <c r="J165" s="10"/>
      <c r="K165" s="3"/>
      <c r="L165" s="3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9"/>
      <c r="E166" s="1"/>
      <c r="F166" s="1"/>
      <c r="G166" s="1"/>
      <c r="H166" s="1"/>
      <c r="I166" s="9"/>
      <c r="J166" s="10"/>
      <c r="K166" s="3"/>
      <c r="L166" s="3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9"/>
      <c r="E167" s="1"/>
      <c r="F167" s="1"/>
      <c r="G167" s="1"/>
      <c r="H167" s="1"/>
      <c r="I167" s="9"/>
      <c r="J167" s="10"/>
      <c r="K167" s="3"/>
      <c r="L167" s="3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9"/>
      <c r="E168" s="1"/>
      <c r="F168" s="1"/>
      <c r="G168" s="1"/>
      <c r="H168" s="1"/>
      <c r="I168" s="9"/>
      <c r="J168" s="10"/>
      <c r="K168" s="3"/>
      <c r="L168" s="3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9"/>
      <c r="E169" s="1"/>
      <c r="F169" s="1"/>
      <c r="G169" s="1"/>
      <c r="H169" s="1"/>
      <c r="I169" s="9"/>
      <c r="J169" s="10"/>
      <c r="K169" s="3"/>
      <c r="L169" s="3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9"/>
      <c r="E170" s="1"/>
      <c r="F170" s="1"/>
      <c r="G170" s="1"/>
      <c r="H170" s="1"/>
      <c r="I170" s="9"/>
      <c r="J170" s="10"/>
      <c r="K170" s="3"/>
      <c r="L170" s="3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9"/>
      <c r="E171" s="1"/>
      <c r="F171" s="1"/>
      <c r="G171" s="1"/>
      <c r="H171" s="1"/>
      <c r="I171" s="9"/>
      <c r="J171" s="10"/>
      <c r="K171" s="3"/>
      <c r="L171" s="3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9"/>
      <c r="E172" s="1"/>
      <c r="F172" s="1"/>
      <c r="G172" s="1"/>
      <c r="H172" s="1"/>
      <c r="I172" s="9"/>
      <c r="J172" s="10"/>
      <c r="K172" s="3"/>
      <c r="L172" s="3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9"/>
      <c r="E173" s="1"/>
      <c r="F173" s="1"/>
      <c r="G173" s="1"/>
      <c r="H173" s="1"/>
      <c r="I173" s="9"/>
      <c r="J173" s="10"/>
      <c r="K173" s="3"/>
      <c r="L173" s="3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9"/>
      <c r="E174" s="1"/>
      <c r="F174" s="1"/>
      <c r="G174" s="1"/>
      <c r="H174" s="1"/>
      <c r="I174" s="9"/>
      <c r="J174" s="10"/>
      <c r="K174" s="3"/>
      <c r="L174" s="3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9"/>
      <c r="E175" s="1"/>
      <c r="F175" s="1"/>
      <c r="G175" s="1"/>
      <c r="H175" s="1"/>
      <c r="I175" s="9"/>
      <c r="J175" s="10"/>
      <c r="K175" s="3"/>
      <c r="L175" s="3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9"/>
      <c r="E176" s="1"/>
      <c r="F176" s="1"/>
      <c r="G176" s="1"/>
      <c r="H176" s="1"/>
      <c r="I176" s="9"/>
      <c r="J176" s="10"/>
      <c r="K176" s="3"/>
      <c r="L176" s="3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9"/>
      <c r="E177" s="1"/>
      <c r="F177" s="1"/>
      <c r="G177" s="1"/>
      <c r="H177" s="1"/>
      <c r="I177" s="9"/>
      <c r="J177" s="10"/>
      <c r="K177" s="3"/>
      <c r="L177" s="3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9"/>
      <c r="E178" s="1"/>
      <c r="F178" s="1"/>
      <c r="G178" s="1"/>
      <c r="H178" s="1"/>
      <c r="I178" s="9"/>
      <c r="J178" s="10"/>
      <c r="K178" s="3"/>
      <c r="L178" s="3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9"/>
      <c r="E179" s="1"/>
      <c r="F179" s="1"/>
      <c r="G179" s="1"/>
      <c r="H179" s="1"/>
      <c r="I179" s="9"/>
      <c r="J179" s="10"/>
      <c r="K179" s="3"/>
      <c r="L179" s="3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9"/>
      <c r="E180" s="1"/>
      <c r="F180" s="1"/>
      <c r="G180" s="1"/>
      <c r="H180" s="1"/>
      <c r="I180" s="9"/>
      <c r="J180" s="10"/>
      <c r="K180" s="3"/>
      <c r="L180" s="3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9"/>
      <c r="E181" s="1"/>
      <c r="F181" s="1"/>
      <c r="G181" s="1"/>
      <c r="H181" s="1"/>
      <c r="I181" s="9"/>
      <c r="J181" s="10"/>
      <c r="K181" s="3"/>
      <c r="L181" s="3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9"/>
      <c r="E182" s="1"/>
      <c r="F182" s="1"/>
      <c r="G182" s="1"/>
      <c r="H182" s="1"/>
      <c r="I182" s="9"/>
      <c r="J182" s="10"/>
      <c r="K182" s="3"/>
      <c r="L182" s="3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9"/>
      <c r="E183" s="1"/>
      <c r="F183" s="1"/>
      <c r="G183" s="1"/>
      <c r="H183" s="1"/>
      <c r="I183" s="9"/>
      <c r="J183" s="10"/>
      <c r="K183" s="3"/>
      <c r="L183" s="3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9"/>
      <c r="E184" s="1"/>
      <c r="F184" s="1"/>
      <c r="G184" s="1"/>
      <c r="H184" s="1"/>
      <c r="I184" s="9"/>
      <c r="J184" s="10"/>
      <c r="K184" s="3"/>
      <c r="L184" s="3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9"/>
      <c r="E185" s="1"/>
      <c r="F185" s="1"/>
      <c r="G185" s="1"/>
      <c r="H185" s="1"/>
      <c r="I185" s="9"/>
      <c r="J185" s="10"/>
      <c r="K185" s="3"/>
      <c r="L185" s="3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9"/>
      <c r="E186" s="1"/>
      <c r="F186" s="1"/>
      <c r="G186" s="1"/>
      <c r="H186" s="1"/>
      <c r="I186" s="9"/>
      <c r="J186" s="10"/>
      <c r="K186" s="3"/>
      <c r="L186" s="3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9"/>
      <c r="E187" s="1"/>
      <c r="F187" s="1"/>
      <c r="G187" s="1"/>
      <c r="H187" s="1"/>
      <c r="I187" s="9"/>
      <c r="J187" s="10"/>
      <c r="K187" s="3"/>
      <c r="L187" s="3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9"/>
      <c r="E188" s="1"/>
      <c r="F188" s="1"/>
      <c r="G188" s="1"/>
      <c r="H188" s="1"/>
      <c r="I188" s="9"/>
      <c r="J188" s="10"/>
      <c r="K188" s="3"/>
      <c r="L188" s="3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9"/>
      <c r="E189" s="1"/>
      <c r="F189" s="1"/>
      <c r="G189" s="1"/>
      <c r="H189" s="1"/>
      <c r="I189" s="9"/>
      <c r="J189" s="10"/>
      <c r="K189" s="3"/>
      <c r="L189" s="3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9"/>
      <c r="E190" s="1"/>
      <c r="F190" s="1"/>
      <c r="G190" s="1"/>
      <c r="H190" s="1"/>
      <c r="I190" s="9"/>
      <c r="J190" s="10"/>
      <c r="K190" s="3"/>
      <c r="L190" s="3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9"/>
      <c r="E191" s="1"/>
      <c r="F191" s="1"/>
      <c r="G191" s="1"/>
      <c r="H191" s="1"/>
      <c r="I191" s="9"/>
      <c r="J191" s="10"/>
      <c r="K191" s="3"/>
      <c r="L191" s="3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9"/>
      <c r="E192" s="1"/>
      <c r="F192" s="1"/>
      <c r="G192" s="1"/>
      <c r="H192" s="1"/>
      <c r="I192" s="9"/>
      <c r="J192" s="10"/>
      <c r="K192" s="3"/>
      <c r="L192" s="3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9"/>
      <c r="E193" s="1"/>
      <c r="F193" s="1"/>
      <c r="G193" s="1"/>
      <c r="H193" s="1"/>
      <c r="I193" s="9"/>
      <c r="J193" s="10"/>
      <c r="K193" s="3"/>
      <c r="L193" s="3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9"/>
      <c r="E194" s="1"/>
      <c r="F194" s="1"/>
      <c r="G194" s="1"/>
      <c r="H194" s="1"/>
      <c r="I194" s="9"/>
      <c r="J194" s="10"/>
      <c r="K194" s="3"/>
      <c r="L194" s="3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9"/>
      <c r="E195" s="1"/>
      <c r="F195" s="1"/>
      <c r="G195" s="1"/>
      <c r="H195" s="1"/>
      <c r="I195" s="9"/>
      <c r="J195" s="10"/>
      <c r="K195" s="3"/>
      <c r="L195" s="3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9"/>
      <c r="E196" s="1"/>
      <c r="F196" s="1"/>
      <c r="G196" s="1"/>
      <c r="H196" s="1"/>
      <c r="I196" s="9"/>
      <c r="J196" s="10"/>
      <c r="K196" s="3"/>
      <c r="L196" s="3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9"/>
      <c r="E197" s="1"/>
      <c r="F197" s="1"/>
      <c r="G197" s="1"/>
      <c r="H197" s="1"/>
      <c r="I197" s="9"/>
      <c r="J197" s="10"/>
      <c r="K197" s="3"/>
      <c r="L197" s="3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9"/>
      <c r="E198" s="1"/>
      <c r="F198" s="1"/>
      <c r="G198" s="1"/>
      <c r="H198" s="1"/>
      <c r="I198" s="9"/>
      <c r="J198" s="10"/>
      <c r="K198" s="3"/>
      <c r="L198" s="3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9"/>
      <c r="E199" s="1"/>
      <c r="F199" s="1"/>
      <c r="G199" s="1"/>
      <c r="H199" s="1"/>
      <c r="I199" s="9"/>
      <c r="J199" s="10"/>
      <c r="K199" s="3"/>
      <c r="L199" s="3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9"/>
      <c r="E200" s="1"/>
      <c r="F200" s="1"/>
      <c r="G200" s="1"/>
      <c r="H200" s="1"/>
      <c r="I200" s="9"/>
      <c r="J200" s="10"/>
      <c r="K200" s="3"/>
      <c r="L200" s="3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9"/>
      <c r="E201" s="1"/>
      <c r="F201" s="1"/>
      <c r="G201" s="1"/>
      <c r="H201" s="1"/>
      <c r="I201" s="9"/>
      <c r="J201" s="10"/>
      <c r="K201" s="3"/>
      <c r="L201" s="3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9"/>
      <c r="E202" s="1"/>
      <c r="F202" s="1"/>
      <c r="G202" s="1"/>
      <c r="H202" s="1"/>
      <c r="I202" s="9"/>
      <c r="J202" s="10"/>
      <c r="K202" s="3"/>
      <c r="L202" s="3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9"/>
      <c r="E203" s="1"/>
      <c r="F203" s="1"/>
      <c r="G203" s="1"/>
      <c r="H203" s="1"/>
      <c r="I203" s="9"/>
      <c r="J203" s="10"/>
      <c r="K203" s="3"/>
      <c r="L203" s="3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9"/>
      <c r="E204" s="1"/>
      <c r="F204" s="1"/>
      <c r="G204" s="1"/>
      <c r="H204" s="1"/>
      <c r="I204" s="9"/>
      <c r="J204" s="10"/>
      <c r="K204" s="3"/>
      <c r="L204" s="3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9"/>
      <c r="E205" s="1"/>
      <c r="F205" s="1"/>
      <c r="G205" s="1"/>
      <c r="H205" s="1"/>
      <c r="I205" s="9"/>
      <c r="J205" s="10"/>
      <c r="K205" s="3"/>
      <c r="L205" s="3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9"/>
      <c r="E206" s="1"/>
      <c r="F206" s="1"/>
      <c r="G206" s="1"/>
      <c r="H206" s="1"/>
      <c r="I206" s="9"/>
      <c r="J206" s="10"/>
      <c r="K206" s="3"/>
      <c r="L206" s="3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9"/>
      <c r="E207" s="1"/>
      <c r="F207" s="1"/>
      <c r="G207" s="1"/>
      <c r="H207" s="1"/>
      <c r="I207" s="9"/>
      <c r="J207" s="10"/>
      <c r="K207" s="3"/>
      <c r="L207" s="3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9"/>
      <c r="E208" s="1"/>
      <c r="F208" s="1"/>
      <c r="G208" s="1"/>
      <c r="H208" s="1"/>
      <c r="I208" s="9"/>
      <c r="J208" s="10"/>
      <c r="K208" s="3"/>
      <c r="L208" s="3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9"/>
      <c r="E209" s="1"/>
      <c r="F209" s="1"/>
      <c r="G209" s="1"/>
      <c r="H209" s="1"/>
      <c r="I209" s="9"/>
      <c r="J209" s="10"/>
      <c r="K209" s="3"/>
      <c r="L209" s="3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9"/>
      <c r="E210" s="1"/>
      <c r="F210" s="1"/>
      <c r="G210" s="1"/>
      <c r="H210" s="1"/>
      <c r="I210" s="9"/>
      <c r="J210" s="10"/>
      <c r="K210" s="3"/>
      <c r="L210" s="3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9"/>
      <c r="E211" s="1"/>
      <c r="F211" s="1"/>
      <c r="G211" s="1"/>
      <c r="H211" s="1"/>
      <c r="I211" s="9"/>
      <c r="J211" s="10"/>
      <c r="K211" s="3"/>
      <c r="L211" s="3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9"/>
      <c r="E212" s="1"/>
      <c r="F212" s="1"/>
      <c r="G212" s="1"/>
      <c r="H212" s="1"/>
      <c r="I212" s="9"/>
      <c r="J212" s="10"/>
      <c r="K212" s="3"/>
      <c r="L212" s="3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9"/>
      <c r="E213" s="1"/>
      <c r="F213" s="1"/>
      <c r="G213" s="1"/>
      <c r="H213" s="1"/>
      <c r="I213" s="9"/>
      <c r="J213" s="10"/>
      <c r="K213" s="3"/>
      <c r="L213" s="3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9"/>
      <c r="E214" s="1"/>
      <c r="F214" s="1"/>
      <c r="G214" s="1"/>
      <c r="H214" s="1"/>
      <c r="I214" s="9"/>
      <c r="J214" s="10"/>
      <c r="K214" s="3"/>
      <c r="L214" s="3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9"/>
      <c r="E215" s="1"/>
      <c r="F215" s="1"/>
      <c r="G215" s="1"/>
      <c r="H215" s="1"/>
      <c r="I215" s="9"/>
      <c r="J215" s="10"/>
      <c r="K215" s="3"/>
      <c r="L215" s="3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9"/>
      <c r="E216" s="1"/>
      <c r="F216" s="1"/>
      <c r="G216" s="1"/>
      <c r="H216" s="1"/>
      <c r="I216" s="9"/>
      <c r="J216" s="10"/>
      <c r="K216" s="3"/>
      <c r="L216" s="3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9"/>
      <c r="E217" s="1"/>
      <c r="F217" s="1"/>
      <c r="G217" s="1"/>
      <c r="H217" s="1"/>
      <c r="I217" s="9"/>
      <c r="J217" s="10"/>
      <c r="K217" s="3"/>
      <c r="L217" s="3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9"/>
      <c r="E218" s="1"/>
      <c r="F218" s="1"/>
      <c r="G218" s="1"/>
      <c r="H218" s="1"/>
      <c r="I218" s="9"/>
      <c r="J218" s="10"/>
      <c r="K218" s="3"/>
      <c r="L218" s="3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9"/>
      <c r="E219" s="1"/>
      <c r="F219" s="1"/>
      <c r="G219" s="1"/>
      <c r="H219" s="1"/>
      <c r="I219" s="9"/>
      <c r="J219" s="10"/>
      <c r="K219" s="3"/>
      <c r="L219" s="3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9"/>
      <c r="E220" s="1"/>
      <c r="F220" s="1"/>
      <c r="G220" s="1"/>
      <c r="H220" s="1"/>
      <c r="I220" s="9"/>
      <c r="J220" s="10"/>
      <c r="K220" s="3"/>
      <c r="L220" s="3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9"/>
      <c r="E221" s="1"/>
      <c r="F221" s="1"/>
      <c r="G221" s="1"/>
      <c r="H221" s="1"/>
      <c r="I221" s="9"/>
      <c r="J221" s="10"/>
      <c r="K221" s="3"/>
      <c r="L221" s="3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9"/>
      <c r="E222" s="1"/>
      <c r="F222" s="1"/>
      <c r="G222" s="1"/>
      <c r="H222" s="1"/>
      <c r="I222" s="9"/>
      <c r="J222" s="10"/>
      <c r="K222" s="3"/>
      <c r="L222" s="3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9"/>
      <c r="E223" s="1"/>
      <c r="F223" s="1"/>
      <c r="G223" s="1"/>
      <c r="H223" s="1"/>
      <c r="I223" s="9"/>
      <c r="J223" s="10"/>
      <c r="K223" s="3"/>
      <c r="L223" s="3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9"/>
      <c r="E224" s="1"/>
      <c r="F224" s="1"/>
      <c r="G224" s="1"/>
      <c r="H224" s="1"/>
      <c r="I224" s="9"/>
      <c r="J224" s="10"/>
      <c r="K224" s="3"/>
      <c r="L224" s="3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9"/>
      <c r="E225" s="1"/>
      <c r="F225" s="1"/>
      <c r="G225" s="1"/>
      <c r="H225" s="1"/>
      <c r="I225" s="9"/>
      <c r="J225" s="10"/>
      <c r="K225" s="3"/>
      <c r="L225" s="3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9"/>
      <c r="E226" s="1"/>
      <c r="F226" s="1"/>
      <c r="G226" s="1"/>
      <c r="H226" s="1"/>
      <c r="I226" s="9"/>
      <c r="J226" s="10"/>
      <c r="K226" s="3"/>
      <c r="L226" s="3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9"/>
      <c r="E227" s="1"/>
      <c r="F227" s="1"/>
      <c r="G227" s="1"/>
      <c r="H227" s="1"/>
      <c r="I227" s="9"/>
      <c r="J227" s="10"/>
      <c r="K227" s="3"/>
      <c r="L227" s="3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9"/>
      <c r="E228" s="1"/>
      <c r="F228" s="1"/>
      <c r="G228" s="1"/>
      <c r="H228" s="1"/>
      <c r="I228" s="9"/>
      <c r="J228" s="10"/>
      <c r="K228" s="3"/>
      <c r="L228" s="3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9"/>
      <c r="E229" s="1"/>
      <c r="F229" s="1"/>
      <c r="G229" s="1"/>
      <c r="H229" s="1"/>
      <c r="I229" s="9"/>
      <c r="J229" s="10"/>
      <c r="K229" s="3"/>
      <c r="L229" s="3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9"/>
      <c r="E230" s="1"/>
      <c r="F230" s="1"/>
      <c r="G230" s="1"/>
      <c r="H230" s="1"/>
      <c r="I230" s="9"/>
      <c r="J230" s="10"/>
      <c r="K230" s="3"/>
      <c r="L230" s="3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9"/>
      <c r="E231" s="1"/>
      <c r="F231" s="1"/>
      <c r="G231" s="1"/>
      <c r="H231" s="1"/>
      <c r="I231" s="9"/>
      <c r="J231" s="10"/>
      <c r="K231" s="3"/>
      <c r="L231" s="3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9"/>
      <c r="E232" s="1"/>
      <c r="F232" s="1"/>
      <c r="G232" s="1"/>
      <c r="H232" s="1"/>
      <c r="I232" s="9"/>
      <c r="J232" s="10"/>
      <c r="K232" s="3"/>
      <c r="L232" s="3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9"/>
      <c r="E233" s="1"/>
      <c r="F233" s="1"/>
      <c r="G233" s="1"/>
      <c r="H233" s="1"/>
      <c r="I233" s="9"/>
      <c r="J233" s="10"/>
      <c r="K233" s="3"/>
      <c r="L233" s="3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9"/>
      <c r="E234" s="1"/>
      <c r="F234" s="1"/>
      <c r="G234" s="1"/>
      <c r="H234" s="1"/>
      <c r="I234" s="9"/>
      <c r="J234" s="10"/>
      <c r="K234" s="3"/>
      <c r="L234" s="3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9"/>
      <c r="E235" s="1"/>
      <c r="F235" s="1"/>
      <c r="G235" s="1"/>
      <c r="H235" s="1"/>
      <c r="I235" s="9"/>
      <c r="J235" s="10"/>
      <c r="K235" s="3"/>
      <c r="L235" s="3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9"/>
      <c r="E236" s="1"/>
      <c r="F236" s="1"/>
      <c r="G236" s="1"/>
      <c r="H236" s="1"/>
      <c r="I236" s="9"/>
      <c r="J236" s="10"/>
      <c r="K236" s="3"/>
      <c r="L236" s="3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9"/>
      <c r="E237" s="1"/>
      <c r="F237" s="1"/>
      <c r="G237" s="1"/>
      <c r="H237" s="1"/>
      <c r="I237" s="9"/>
      <c r="J237" s="10"/>
      <c r="K237" s="3"/>
      <c r="L237" s="3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9"/>
      <c r="E238" s="1"/>
      <c r="F238" s="1"/>
      <c r="G238" s="1"/>
      <c r="H238" s="1"/>
      <c r="I238" s="9"/>
      <c r="J238" s="10"/>
      <c r="K238" s="3"/>
      <c r="L238" s="3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9"/>
      <c r="E239" s="1"/>
      <c r="F239" s="1"/>
      <c r="G239" s="1"/>
      <c r="H239" s="1"/>
      <c r="I239" s="9"/>
      <c r="J239" s="10"/>
      <c r="K239" s="3"/>
      <c r="L239" s="3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9"/>
      <c r="E240" s="1"/>
      <c r="F240" s="1"/>
      <c r="G240" s="1"/>
      <c r="H240" s="1"/>
      <c r="I240" s="9"/>
      <c r="J240" s="10"/>
      <c r="K240" s="3"/>
      <c r="L240" s="3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9"/>
      <c r="E241" s="1"/>
      <c r="F241" s="1"/>
      <c r="G241" s="1"/>
      <c r="H241" s="1"/>
      <c r="I241" s="9"/>
      <c r="J241" s="10"/>
      <c r="K241" s="3"/>
      <c r="L241" s="3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9"/>
      <c r="E242" s="1"/>
      <c r="F242" s="1"/>
      <c r="G242" s="1"/>
      <c r="H242" s="1"/>
      <c r="I242" s="9"/>
      <c r="J242" s="10"/>
      <c r="K242" s="3"/>
      <c r="L242" s="3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9"/>
      <c r="E243" s="1"/>
      <c r="F243" s="1"/>
      <c r="G243" s="1"/>
      <c r="H243" s="1"/>
      <c r="I243" s="9"/>
      <c r="J243" s="10"/>
      <c r="K243" s="3"/>
      <c r="L243" s="3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9"/>
      <c r="E244" s="1"/>
      <c r="F244" s="1"/>
      <c r="G244" s="1"/>
      <c r="H244" s="1"/>
      <c r="I244" s="9"/>
      <c r="J244" s="10"/>
      <c r="K244" s="3"/>
      <c r="L244" s="3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9"/>
      <c r="E245" s="1"/>
      <c r="F245" s="1"/>
      <c r="G245" s="1"/>
      <c r="H245" s="1"/>
      <c r="I245" s="9"/>
      <c r="J245" s="10"/>
      <c r="K245" s="3"/>
      <c r="L245" s="3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9"/>
      <c r="E246" s="1"/>
      <c r="F246" s="1"/>
      <c r="G246" s="1"/>
      <c r="H246" s="1"/>
      <c r="I246" s="9"/>
      <c r="J246" s="10"/>
      <c r="K246" s="3"/>
      <c r="L246" s="3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9"/>
      <c r="E247" s="1"/>
      <c r="F247" s="1"/>
      <c r="G247" s="1"/>
      <c r="H247" s="1"/>
      <c r="I247" s="9"/>
      <c r="J247" s="10"/>
      <c r="K247" s="3"/>
      <c r="L247" s="3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9"/>
      <c r="E248" s="1"/>
      <c r="F248" s="1"/>
      <c r="G248" s="1"/>
      <c r="H248" s="1"/>
      <c r="I248" s="9"/>
      <c r="J248" s="10"/>
      <c r="K248" s="3"/>
      <c r="L248" s="3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9"/>
      <c r="E249" s="1"/>
      <c r="F249" s="1"/>
      <c r="G249" s="1"/>
      <c r="H249" s="1"/>
      <c r="I249" s="9"/>
      <c r="J249" s="10"/>
      <c r="K249" s="3"/>
      <c r="L249" s="3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9"/>
      <c r="E250" s="1"/>
      <c r="F250" s="1"/>
      <c r="G250" s="1"/>
      <c r="H250" s="1"/>
      <c r="I250" s="9"/>
      <c r="J250" s="10"/>
      <c r="K250" s="3"/>
      <c r="L250" s="3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9"/>
      <c r="E251" s="1"/>
      <c r="F251" s="1"/>
      <c r="G251" s="1"/>
      <c r="H251" s="1"/>
      <c r="I251" s="9"/>
      <c r="J251" s="10"/>
      <c r="K251" s="3"/>
      <c r="L251" s="3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9"/>
      <c r="E252" s="1"/>
      <c r="F252" s="1"/>
      <c r="G252" s="1"/>
      <c r="H252" s="1"/>
      <c r="I252" s="9"/>
      <c r="J252" s="10"/>
      <c r="K252" s="3"/>
      <c r="L252" s="3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9"/>
      <c r="E253" s="1"/>
      <c r="F253" s="1"/>
      <c r="G253" s="1"/>
      <c r="H253" s="1"/>
      <c r="I253" s="9"/>
      <c r="J253" s="10"/>
      <c r="K253" s="3"/>
      <c r="L253" s="3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9"/>
      <c r="E254" s="1"/>
      <c r="F254" s="1"/>
      <c r="G254" s="1"/>
      <c r="H254" s="1"/>
      <c r="I254" s="9"/>
      <c r="J254" s="10"/>
      <c r="K254" s="3"/>
      <c r="L254" s="3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9"/>
      <c r="E255" s="1"/>
      <c r="F255" s="1"/>
      <c r="G255" s="1"/>
      <c r="H255" s="1"/>
      <c r="I255" s="9"/>
      <c r="J255" s="10"/>
      <c r="K255" s="3"/>
      <c r="L255" s="3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9"/>
      <c r="E256" s="1"/>
      <c r="F256" s="1"/>
      <c r="G256" s="1"/>
      <c r="H256" s="1"/>
      <c r="I256" s="9"/>
      <c r="J256" s="10"/>
      <c r="K256" s="3"/>
      <c r="L256" s="3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9"/>
      <c r="E257" s="1"/>
      <c r="F257" s="1"/>
      <c r="G257" s="1"/>
      <c r="H257" s="1"/>
      <c r="I257" s="9"/>
      <c r="J257" s="10"/>
      <c r="K257" s="3"/>
      <c r="L257" s="3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9"/>
      <c r="E258" s="1"/>
      <c r="F258" s="1"/>
      <c r="G258" s="1"/>
      <c r="H258" s="1"/>
      <c r="I258" s="9"/>
      <c r="J258" s="10"/>
      <c r="K258" s="3"/>
      <c r="L258" s="3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9"/>
      <c r="E259" s="1"/>
      <c r="F259" s="1"/>
      <c r="G259" s="1"/>
      <c r="H259" s="1"/>
      <c r="I259" s="9"/>
      <c r="J259" s="10"/>
      <c r="K259" s="3"/>
      <c r="L259" s="3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9"/>
      <c r="E260" s="1"/>
      <c r="F260" s="1"/>
      <c r="G260" s="1"/>
      <c r="H260" s="1"/>
      <c r="I260" s="9"/>
      <c r="J260" s="10"/>
      <c r="K260" s="3"/>
      <c r="L260" s="3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9"/>
      <c r="E261" s="1"/>
      <c r="F261" s="1"/>
      <c r="G261" s="1"/>
      <c r="H261" s="1"/>
      <c r="I261" s="9"/>
      <c r="J261" s="10"/>
      <c r="K261" s="3"/>
      <c r="L261" s="3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9"/>
      <c r="E262" s="1"/>
      <c r="F262" s="1"/>
      <c r="G262" s="1"/>
      <c r="H262" s="1"/>
      <c r="I262" s="9"/>
      <c r="J262" s="10"/>
      <c r="K262" s="3"/>
      <c r="L262" s="3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9"/>
      <c r="E263" s="1"/>
      <c r="F263" s="1"/>
      <c r="G263" s="1"/>
      <c r="H263" s="1"/>
      <c r="I263" s="9"/>
      <c r="J263" s="10"/>
      <c r="K263" s="3"/>
      <c r="L263" s="3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9"/>
      <c r="E264" s="1"/>
      <c r="F264" s="1"/>
      <c r="G264" s="1"/>
      <c r="H264" s="1"/>
      <c r="I264" s="9"/>
      <c r="J264" s="10"/>
      <c r="K264" s="3"/>
      <c r="L264" s="3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9"/>
      <c r="E265" s="1"/>
      <c r="F265" s="1"/>
      <c r="G265" s="1"/>
      <c r="H265" s="1"/>
      <c r="I265" s="9"/>
      <c r="J265" s="10"/>
      <c r="K265" s="3"/>
      <c r="L265" s="3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9"/>
      <c r="E266" s="1"/>
      <c r="F266" s="1"/>
      <c r="G266" s="1"/>
      <c r="H266" s="1"/>
      <c r="I266" s="9"/>
      <c r="J266" s="10"/>
      <c r="K266" s="3"/>
      <c r="L266" s="3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9"/>
      <c r="E267" s="1"/>
      <c r="F267" s="1"/>
      <c r="G267" s="1"/>
      <c r="H267" s="1"/>
      <c r="I267" s="9"/>
      <c r="J267" s="10"/>
      <c r="K267" s="3"/>
      <c r="L267" s="3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9"/>
      <c r="E268" s="1"/>
      <c r="F268" s="1"/>
      <c r="G268" s="1"/>
      <c r="H268" s="1"/>
      <c r="I268" s="9"/>
      <c r="J268" s="10"/>
      <c r="K268" s="3"/>
      <c r="L268" s="3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9"/>
      <c r="E269" s="1"/>
      <c r="F269" s="1"/>
      <c r="G269" s="1"/>
      <c r="H269" s="1"/>
      <c r="I269" s="9"/>
      <c r="J269" s="10"/>
      <c r="K269" s="3"/>
      <c r="L269" s="3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9"/>
      <c r="E270" s="1"/>
      <c r="F270" s="1"/>
      <c r="G270" s="1"/>
      <c r="H270" s="1"/>
      <c r="I270" s="9"/>
      <c r="J270" s="10"/>
      <c r="K270" s="3"/>
      <c r="L270" s="3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9"/>
      <c r="E271" s="1"/>
      <c r="F271" s="1"/>
      <c r="G271" s="1"/>
      <c r="H271" s="1"/>
      <c r="I271" s="9"/>
      <c r="J271" s="10"/>
      <c r="K271" s="3"/>
      <c r="L271" s="3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9"/>
      <c r="E272" s="1"/>
      <c r="F272" s="1"/>
      <c r="G272" s="1"/>
      <c r="H272" s="1"/>
      <c r="I272" s="9"/>
      <c r="J272" s="10"/>
      <c r="K272" s="3"/>
      <c r="L272" s="3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9"/>
      <c r="E273" s="1"/>
      <c r="F273" s="1"/>
      <c r="G273" s="1"/>
      <c r="H273" s="1"/>
      <c r="I273" s="9"/>
      <c r="J273" s="10"/>
      <c r="K273" s="3"/>
      <c r="L273" s="3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9"/>
      <c r="E274" s="1"/>
      <c r="F274" s="1"/>
      <c r="G274" s="1"/>
      <c r="H274" s="1"/>
      <c r="I274" s="9"/>
      <c r="J274" s="10"/>
      <c r="K274" s="3"/>
      <c r="L274" s="3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9"/>
      <c r="E275" s="1"/>
      <c r="F275" s="1"/>
      <c r="G275" s="1"/>
      <c r="H275" s="1"/>
      <c r="I275" s="9"/>
      <c r="J275" s="10"/>
      <c r="K275" s="3"/>
      <c r="L275" s="3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9"/>
      <c r="E276" s="1"/>
      <c r="F276" s="1"/>
      <c r="G276" s="1"/>
      <c r="H276" s="1"/>
      <c r="I276" s="9"/>
      <c r="J276" s="10"/>
      <c r="K276" s="3"/>
      <c r="L276" s="3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9"/>
      <c r="E277" s="1"/>
      <c r="F277" s="1"/>
      <c r="G277" s="1"/>
      <c r="H277" s="1"/>
      <c r="I277" s="9"/>
      <c r="J277" s="10"/>
      <c r="K277" s="3"/>
      <c r="L277" s="3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9"/>
      <c r="E278" s="1"/>
      <c r="F278" s="1"/>
      <c r="G278" s="1"/>
      <c r="H278" s="1"/>
      <c r="I278" s="9"/>
      <c r="J278" s="10"/>
      <c r="K278" s="3"/>
      <c r="L278" s="3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9"/>
      <c r="E279" s="1"/>
      <c r="F279" s="1"/>
      <c r="G279" s="1"/>
      <c r="H279" s="1"/>
      <c r="I279" s="9"/>
      <c r="J279" s="10"/>
      <c r="K279" s="3"/>
      <c r="L279" s="3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9"/>
      <c r="E280" s="1"/>
      <c r="F280" s="1"/>
      <c r="G280" s="1"/>
      <c r="H280" s="1"/>
      <c r="I280" s="9"/>
      <c r="J280" s="10"/>
      <c r="K280" s="3"/>
      <c r="L280" s="3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9"/>
      <c r="E281" s="1"/>
      <c r="F281" s="1"/>
      <c r="G281" s="1"/>
      <c r="H281" s="1"/>
      <c r="I281" s="9"/>
      <c r="J281" s="10"/>
      <c r="K281" s="3"/>
      <c r="L281" s="3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9"/>
      <c r="E282" s="1"/>
      <c r="F282" s="1"/>
      <c r="G282" s="1"/>
      <c r="H282" s="1"/>
      <c r="I282" s="9"/>
      <c r="J282" s="10"/>
      <c r="K282" s="3"/>
      <c r="L282" s="3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9"/>
      <c r="E283" s="1"/>
      <c r="F283" s="1"/>
      <c r="G283" s="1"/>
      <c r="H283" s="1"/>
      <c r="I283" s="9"/>
      <c r="J283" s="10"/>
      <c r="K283" s="3"/>
      <c r="L283" s="3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9"/>
      <c r="E284" s="1"/>
      <c r="F284" s="1"/>
      <c r="G284" s="1"/>
      <c r="H284" s="1"/>
      <c r="I284" s="9"/>
      <c r="J284" s="10"/>
      <c r="K284" s="3"/>
      <c r="L284" s="3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9"/>
      <c r="E285" s="1"/>
      <c r="F285" s="1"/>
      <c r="G285" s="1"/>
      <c r="H285" s="1"/>
      <c r="I285" s="9"/>
      <c r="J285" s="10"/>
      <c r="K285" s="3"/>
      <c r="L285" s="3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9"/>
      <c r="E286" s="1"/>
      <c r="F286" s="1"/>
      <c r="G286" s="1"/>
      <c r="H286" s="1"/>
      <c r="I286" s="9"/>
      <c r="J286" s="10"/>
      <c r="K286" s="3"/>
      <c r="L286" s="3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9"/>
      <c r="E287" s="1"/>
      <c r="F287" s="1"/>
      <c r="G287" s="1"/>
      <c r="H287" s="1"/>
      <c r="I287" s="9"/>
      <c r="J287" s="10"/>
      <c r="K287" s="3"/>
      <c r="L287" s="3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9"/>
      <c r="E288" s="1"/>
      <c r="F288" s="1"/>
      <c r="G288" s="1"/>
      <c r="H288" s="1"/>
      <c r="I288" s="9"/>
      <c r="J288" s="10"/>
      <c r="K288" s="3"/>
      <c r="L288" s="3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9"/>
      <c r="E289" s="1"/>
      <c r="F289" s="1"/>
      <c r="G289" s="1"/>
      <c r="H289" s="1"/>
      <c r="I289" s="9"/>
      <c r="J289" s="10"/>
      <c r="K289" s="3"/>
      <c r="L289" s="3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9"/>
      <c r="E290" s="1"/>
      <c r="F290" s="1"/>
      <c r="G290" s="1"/>
      <c r="H290" s="1"/>
      <c r="I290" s="9"/>
      <c r="J290" s="10"/>
      <c r="K290" s="3"/>
      <c r="L290" s="3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9"/>
      <c r="E291" s="1"/>
      <c r="F291" s="1"/>
      <c r="G291" s="1"/>
      <c r="H291" s="1"/>
      <c r="I291" s="9"/>
      <c r="J291" s="10"/>
      <c r="K291" s="3"/>
      <c r="L291" s="3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9"/>
      <c r="E292" s="1"/>
      <c r="F292" s="1"/>
      <c r="G292" s="1"/>
      <c r="H292" s="1"/>
      <c r="I292" s="9"/>
      <c r="J292" s="10"/>
      <c r="K292" s="3"/>
      <c r="L292" s="3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9"/>
      <c r="E293" s="1"/>
      <c r="F293" s="1"/>
      <c r="G293" s="1"/>
      <c r="H293" s="1"/>
      <c r="I293" s="9"/>
      <c r="J293" s="10"/>
      <c r="K293" s="3"/>
      <c r="L293" s="3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9"/>
      <c r="E294" s="1"/>
      <c r="F294" s="1"/>
      <c r="G294" s="1"/>
      <c r="H294" s="1"/>
      <c r="I294" s="9"/>
      <c r="J294" s="10"/>
      <c r="K294" s="3"/>
      <c r="L294" s="3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9"/>
      <c r="E295" s="1"/>
      <c r="F295" s="1"/>
      <c r="G295" s="1"/>
      <c r="H295" s="1"/>
      <c r="I295" s="9"/>
      <c r="J295" s="10"/>
      <c r="K295" s="3"/>
      <c r="L295" s="3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9"/>
      <c r="E296" s="1"/>
      <c r="F296" s="1"/>
      <c r="G296" s="1"/>
      <c r="H296" s="1"/>
      <c r="I296" s="9"/>
      <c r="J296" s="10"/>
      <c r="K296" s="3"/>
      <c r="L296" s="3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9"/>
      <c r="E297" s="1"/>
      <c r="F297" s="1"/>
      <c r="G297" s="1"/>
      <c r="H297" s="1"/>
      <c r="I297" s="9"/>
      <c r="J297" s="10"/>
      <c r="K297" s="3"/>
      <c r="L297" s="3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9"/>
      <c r="E298" s="1"/>
      <c r="F298" s="1"/>
      <c r="G298" s="1"/>
      <c r="H298" s="1"/>
      <c r="I298" s="9"/>
      <c r="J298" s="10"/>
      <c r="K298" s="3"/>
      <c r="L298" s="3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9"/>
      <c r="E299" s="1"/>
      <c r="F299" s="1"/>
      <c r="G299" s="1"/>
      <c r="H299" s="1"/>
      <c r="I299" s="9"/>
      <c r="J299" s="10"/>
      <c r="K299" s="3"/>
      <c r="L299" s="3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9"/>
      <c r="E300" s="1"/>
      <c r="F300" s="1"/>
      <c r="G300" s="1"/>
      <c r="H300" s="1"/>
      <c r="I300" s="9"/>
      <c r="J300" s="10"/>
      <c r="K300" s="3"/>
      <c r="L300" s="3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9"/>
      <c r="E301" s="1"/>
      <c r="F301" s="1"/>
      <c r="G301" s="1"/>
      <c r="H301" s="1"/>
      <c r="I301" s="9"/>
      <c r="J301" s="10"/>
      <c r="K301" s="3"/>
      <c r="L301" s="3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9"/>
      <c r="E302" s="1"/>
      <c r="F302" s="1"/>
      <c r="G302" s="1"/>
      <c r="H302" s="1"/>
      <c r="I302" s="9"/>
      <c r="J302" s="10"/>
      <c r="K302" s="3"/>
      <c r="L302" s="3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9"/>
      <c r="E303" s="1"/>
      <c r="F303" s="1"/>
      <c r="G303" s="1"/>
      <c r="H303" s="1"/>
      <c r="I303" s="9"/>
      <c r="J303" s="10"/>
      <c r="K303" s="3"/>
      <c r="L303" s="3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9"/>
      <c r="E304" s="1"/>
      <c r="F304" s="1"/>
      <c r="G304" s="1"/>
      <c r="H304" s="1"/>
      <c r="I304" s="9"/>
      <c r="J304" s="10"/>
      <c r="K304" s="3"/>
      <c r="L304" s="3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9"/>
      <c r="E305" s="1"/>
      <c r="F305" s="1"/>
      <c r="G305" s="1"/>
      <c r="H305" s="1"/>
      <c r="I305" s="9"/>
      <c r="J305" s="10"/>
      <c r="K305" s="3"/>
      <c r="L305" s="3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9"/>
      <c r="E306" s="1"/>
      <c r="F306" s="1"/>
      <c r="G306" s="1"/>
      <c r="H306" s="1"/>
      <c r="I306" s="9"/>
      <c r="J306" s="10"/>
      <c r="K306" s="3"/>
      <c r="L306" s="3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9"/>
      <c r="E307" s="1"/>
      <c r="F307" s="1"/>
      <c r="G307" s="1"/>
      <c r="H307" s="1"/>
      <c r="I307" s="9"/>
      <c r="J307" s="10"/>
      <c r="K307" s="3"/>
      <c r="L307" s="3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9"/>
      <c r="E308" s="1"/>
      <c r="F308" s="1"/>
      <c r="G308" s="1"/>
      <c r="H308" s="1"/>
      <c r="I308" s="9"/>
      <c r="J308" s="10"/>
      <c r="K308" s="3"/>
      <c r="L308" s="3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9"/>
      <c r="E309" s="1"/>
      <c r="F309" s="1"/>
      <c r="G309" s="1"/>
      <c r="H309" s="1"/>
      <c r="I309" s="9"/>
      <c r="J309" s="10"/>
      <c r="K309" s="3"/>
      <c r="L309" s="3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9"/>
      <c r="E310" s="1"/>
      <c r="F310" s="1"/>
      <c r="G310" s="1"/>
      <c r="H310" s="1"/>
      <c r="I310" s="9"/>
      <c r="J310" s="10"/>
      <c r="K310" s="3"/>
      <c r="L310" s="3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9"/>
      <c r="E311" s="1"/>
      <c r="F311" s="1"/>
      <c r="G311" s="1"/>
      <c r="H311" s="1"/>
      <c r="I311" s="9"/>
      <c r="J311" s="10"/>
      <c r="K311" s="3"/>
      <c r="L311" s="3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9"/>
      <c r="E312" s="1"/>
      <c r="F312" s="1"/>
      <c r="G312" s="1"/>
      <c r="H312" s="1"/>
      <c r="I312" s="9"/>
      <c r="J312" s="10"/>
      <c r="K312" s="3"/>
      <c r="L312" s="3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9"/>
      <c r="E313" s="1"/>
      <c r="F313" s="1"/>
      <c r="G313" s="1"/>
      <c r="H313" s="1"/>
      <c r="I313" s="9"/>
      <c r="J313" s="10"/>
      <c r="K313" s="3"/>
      <c r="L313" s="3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9"/>
      <c r="E314" s="1"/>
      <c r="F314" s="1"/>
      <c r="G314" s="1"/>
      <c r="H314" s="1"/>
      <c r="I314" s="9"/>
      <c r="J314" s="10"/>
      <c r="K314" s="3"/>
      <c r="L314" s="3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9"/>
      <c r="E315" s="1"/>
      <c r="F315" s="1"/>
      <c r="G315" s="1"/>
      <c r="H315" s="1"/>
      <c r="I315" s="9"/>
      <c r="J315" s="10"/>
      <c r="K315" s="3"/>
      <c r="L315" s="3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9"/>
      <c r="E316" s="1"/>
      <c r="F316" s="1"/>
      <c r="G316" s="1"/>
      <c r="H316" s="1"/>
      <c r="I316" s="9"/>
      <c r="J316" s="10"/>
      <c r="K316" s="3"/>
      <c r="L316" s="3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9"/>
      <c r="E317" s="1"/>
      <c r="F317" s="1"/>
      <c r="G317" s="1"/>
      <c r="H317" s="1"/>
      <c r="I317" s="9"/>
      <c r="J317" s="10"/>
      <c r="K317" s="3"/>
      <c r="L317" s="3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9"/>
      <c r="E318" s="1"/>
      <c r="F318" s="1"/>
      <c r="G318" s="1"/>
      <c r="H318" s="1"/>
      <c r="I318" s="9"/>
      <c r="J318" s="10"/>
      <c r="K318" s="3"/>
      <c r="L318" s="3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9"/>
      <c r="E319" s="1"/>
      <c r="F319" s="1"/>
      <c r="G319" s="1"/>
      <c r="H319" s="1"/>
      <c r="I319" s="9"/>
      <c r="J319" s="10"/>
      <c r="K319" s="3"/>
      <c r="L319" s="3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9"/>
      <c r="E320" s="1"/>
      <c r="F320" s="1"/>
      <c r="G320" s="1"/>
      <c r="H320" s="1"/>
      <c r="I320" s="9"/>
      <c r="J320" s="10"/>
      <c r="K320" s="3"/>
      <c r="L320" s="3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9"/>
      <c r="E321" s="1"/>
      <c r="F321" s="1"/>
      <c r="G321" s="1"/>
      <c r="H321" s="1"/>
      <c r="I321" s="9"/>
      <c r="J321" s="10"/>
      <c r="K321" s="3"/>
      <c r="L321" s="3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9"/>
      <c r="E322" s="1"/>
      <c r="F322" s="1"/>
      <c r="G322" s="1"/>
      <c r="H322" s="1"/>
      <c r="I322" s="9"/>
      <c r="J322" s="10"/>
      <c r="K322" s="3"/>
      <c r="L322" s="3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9"/>
      <c r="E323" s="1"/>
      <c r="F323" s="1"/>
      <c r="G323" s="1"/>
      <c r="H323" s="1"/>
      <c r="I323" s="9"/>
      <c r="J323" s="10"/>
      <c r="K323" s="3"/>
      <c r="L323" s="3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9"/>
      <c r="E324" s="1"/>
      <c r="F324" s="1"/>
      <c r="G324" s="1"/>
      <c r="H324" s="1"/>
      <c r="I324" s="9"/>
      <c r="J324" s="10"/>
      <c r="K324" s="3"/>
      <c r="L324" s="3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9"/>
      <c r="E325" s="1"/>
      <c r="F325" s="1"/>
      <c r="G325" s="1"/>
      <c r="H325" s="1"/>
      <c r="I325" s="9"/>
      <c r="J325" s="10"/>
      <c r="K325" s="3"/>
      <c r="L325" s="3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9"/>
      <c r="E326" s="1"/>
      <c r="F326" s="1"/>
      <c r="G326" s="1"/>
      <c r="H326" s="1"/>
      <c r="I326" s="9"/>
      <c r="J326" s="10"/>
      <c r="K326" s="3"/>
      <c r="L326" s="3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9"/>
      <c r="E327" s="1"/>
      <c r="F327" s="1"/>
      <c r="G327" s="1"/>
      <c r="H327" s="1"/>
      <c r="I327" s="9"/>
      <c r="J327" s="10"/>
      <c r="K327" s="3"/>
      <c r="L327" s="3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9"/>
      <c r="E328" s="1"/>
      <c r="F328" s="1"/>
      <c r="G328" s="1"/>
      <c r="H328" s="1"/>
      <c r="I328" s="9"/>
      <c r="J328" s="10"/>
      <c r="K328" s="3"/>
      <c r="L328" s="3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9"/>
      <c r="E329" s="1"/>
      <c r="F329" s="1"/>
      <c r="G329" s="1"/>
      <c r="H329" s="1"/>
      <c r="I329" s="9"/>
      <c r="J329" s="10"/>
      <c r="K329" s="3"/>
      <c r="L329" s="3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9"/>
      <c r="E330" s="1"/>
      <c r="F330" s="1"/>
      <c r="G330" s="1"/>
      <c r="H330" s="1"/>
      <c r="I330" s="9"/>
      <c r="J330" s="10"/>
      <c r="K330" s="3"/>
      <c r="L330" s="3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9"/>
      <c r="E331" s="1"/>
      <c r="F331" s="1"/>
      <c r="G331" s="1"/>
      <c r="H331" s="1"/>
      <c r="I331" s="9"/>
      <c r="J331" s="10"/>
      <c r="K331" s="3"/>
      <c r="L331" s="3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9"/>
      <c r="E332" s="1"/>
      <c r="F332" s="1"/>
      <c r="G332" s="1"/>
      <c r="H332" s="1"/>
      <c r="I332" s="9"/>
      <c r="J332" s="10"/>
      <c r="K332" s="3"/>
      <c r="L332" s="3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9"/>
      <c r="E333" s="1"/>
      <c r="F333" s="1"/>
      <c r="G333" s="1"/>
      <c r="H333" s="1"/>
      <c r="I333" s="9"/>
      <c r="J333" s="10"/>
      <c r="K333" s="3"/>
      <c r="L333" s="3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9"/>
      <c r="E334" s="1"/>
      <c r="F334" s="1"/>
      <c r="G334" s="1"/>
      <c r="H334" s="1"/>
      <c r="I334" s="9"/>
      <c r="J334" s="10"/>
      <c r="K334" s="3"/>
      <c r="L334" s="3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9"/>
      <c r="E335" s="1"/>
      <c r="F335" s="1"/>
      <c r="G335" s="1"/>
      <c r="H335" s="1"/>
      <c r="I335" s="9"/>
      <c r="J335" s="10"/>
      <c r="K335" s="3"/>
      <c r="L335" s="3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9"/>
      <c r="E336" s="1"/>
      <c r="F336" s="1"/>
      <c r="G336" s="1"/>
      <c r="H336" s="1"/>
      <c r="I336" s="9"/>
      <c r="J336" s="10"/>
      <c r="K336" s="3"/>
      <c r="L336" s="3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9"/>
      <c r="E337" s="1"/>
      <c r="F337" s="1"/>
      <c r="G337" s="1"/>
      <c r="H337" s="1"/>
      <c r="I337" s="9"/>
      <c r="J337" s="10"/>
      <c r="K337" s="3"/>
      <c r="L337" s="3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9"/>
      <c r="E338" s="1"/>
      <c r="F338" s="1"/>
      <c r="G338" s="1"/>
      <c r="H338" s="1"/>
      <c r="I338" s="9"/>
      <c r="J338" s="10"/>
      <c r="K338" s="3"/>
      <c r="L338" s="3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9"/>
      <c r="E339" s="1"/>
      <c r="F339" s="1"/>
      <c r="G339" s="1"/>
      <c r="H339" s="1"/>
      <c r="I339" s="9"/>
      <c r="J339" s="10"/>
      <c r="K339" s="3"/>
      <c r="L339" s="3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9"/>
      <c r="E340" s="1"/>
      <c r="F340" s="1"/>
      <c r="G340" s="1"/>
      <c r="H340" s="1"/>
      <c r="I340" s="9"/>
      <c r="J340" s="10"/>
      <c r="K340" s="3"/>
      <c r="L340" s="3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9"/>
      <c r="E341" s="1"/>
      <c r="F341" s="1"/>
      <c r="G341" s="1"/>
      <c r="H341" s="1"/>
      <c r="I341" s="9"/>
      <c r="J341" s="10"/>
      <c r="K341" s="3"/>
      <c r="L341" s="3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9"/>
      <c r="E342" s="1"/>
      <c r="F342" s="1"/>
      <c r="G342" s="1"/>
      <c r="H342" s="1"/>
      <c r="I342" s="9"/>
      <c r="J342" s="10"/>
      <c r="K342" s="3"/>
      <c r="L342" s="3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9"/>
      <c r="E343" s="1"/>
      <c r="F343" s="1"/>
      <c r="G343" s="1"/>
      <c r="H343" s="1"/>
      <c r="I343" s="9"/>
      <c r="J343" s="10"/>
      <c r="K343" s="3"/>
      <c r="L343" s="3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9"/>
      <c r="E344" s="1"/>
      <c r="F344" s="1"/>
      <c r="G344" s="1"/>
      <c r="H344" s="1"/>
      <c r="I344" s="9"/>
      <c r="J344" s="10"/>
      <c r="K344" s="3"/>
      <c r="L344" s="3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9"/>
      <c r="E345" s="1"/>
      <c r="F345" s="1"/>
      <c r="G345" s="1"/>
      <c r="H345" s="1"/>
      <c r="I345" s="9"/>
      <c r="J345" s="10"/>
      <c r="K345" s="3"/>
      <c r="L345" s="3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9"/>
      <c r="E346" s="1"/>
      <c r="F346" s="1"/>
      <c r="G346" s="1"/>
      <c r="H346" s="1"/>
      <c r="I346" s="9"/>
      <c r="J346" s="10"/>
      <c r="K346" s="3"/>
      <c r="L346" s="3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9"/>
      <c r="E347" s="1"/>
      <c r="F347" s="1"/>
      <c r="G347" s="1"/>
      <c r="H347" s="1"/>
      <c r="I347" s="9"/>
      <c r="J347" s="10"/>
      <c r="K347" s="3"/>
      <c r="L347" s="3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9"/>
      <c r="E348" s="1"/>
      <c r="F348" s="1"/>
      <c r="G348" s="1"/>
      <c r="H348" s="1"/>
      <c r="I348" s="9"/>
      <c r="J348" s="10"/>
      <c r="K348" s="3"/>
      <c r="L348" s="3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9"/>
      <c r="E349" s="1"/>
      <c r="F349" s="1"/>
      <c r="G349" s="1"/>
      <c r="H349" s="1"/>
      <c r="I349" s="9"/>
      <c r="J349" s="10"/>
      <c r="K349" s="3"/>
      <c r="L349" s="3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9"/>
      <c r="E350" s="1"/>
      <c r="F350" s="1"/>
      <c r="G350" s="1"/>
      <c r="H350" s="1"/>
      <c r="I350" s="9"/>
      <c r="J350" s="10"/>
      <c r="K350" s="3"/>
      <c r="L350" s="3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9"/>
      <c r="E351" s="1"/>
      <c r="F351" s="1"/>
      <c r="G351" s="1"/>
      <c r="H351" s="1"/>
      <c r="I351" s="9"/>
      <c r="J351" s="10"/>
      <c r="K351" s="3"/>
      <c r="L351" s="3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9"/>
      <c r="E352" s="1"/>
      <c r="F352" s="1"/>
      <c r="G352" s="1"/>
      <c r="H352" s="1"/>
      <c r="I352" s="9"/>
      <c r="J352" s="10"/>
      <c r="K352" s="3"/>
      <c r="L352" s="3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9"/>
      <c r="E353" s="1"/>
      <c r="F353" s="1"/>
      <c r="G353" s="1"/>
      <c r="H353" s="1"/>
      <c r="I353" s="9"/>
      <c r="J353" s="10"/>
      <c r="K353" s="3"/>
      <c r="L353" s="3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9"/>
      <c r="E354" s="1"/>
      <c r="F354" s="1"/>
      <c r="G354" s="1"/>
      <c r="H354" s="1"/>
      <c r="I354" s="9"/>
      <c r="J354" s="10"/>
      <c r="K354" s="3"/>
      <c r="L354" s="3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9"/>
      <c r="E355" s="1"/>
      <c r="F355" s="1"/>
      <c r="G355" s="1"/>
      <c r="H355" s="1"/>
      <c r="I355" s="9"/>
      <c r="J355" s="10"/>
      <c r="K355" s="3"/>
      <c r="L355" s="3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9"/>
      <c r="E356" s="1"/>
      <c r="F356" s="1"/>
      <c r="G356" s="1"/>
      <c r="H356" s="1"/>
      <c r="I356" s="9"/>
      <c r="J356" s="10"/>
      <c r="K356" s="3"/>
      <c r="L356" s="3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9"/>
      <c r="E357" s="1"/>
      <c r="F357" s="1"/>
      <c r="G357" s="1"/>
      <c r="H357" s="1"/>
      <c r="I357" s="9"/>
      <c r="J357" s="10"/>
      <c r="K357" s="3"/>
      <c r="L357" s="3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9"/>
      <c r="E358" s="1"/>
      <c r="F358" s="1"/>
      <c r="G358" s="1"/>
      <c r="H358" s="1"/>
      <c r="I358" s="9"/>
      <c r="J358" s="10"/>
      <c r="K358" s="3"/>
      <c r="L358" s="3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9"/>
      <c r="E359" s="1"/>
      <c r="F359" s="1"/>
      <c r="G359" s="1"/>
      <c r="H359" s="1"/>
      <c r="I359" s="9"/>
      <c r="J359" s="10"/>
      <c r="K359" s="3"/>
      <c r="L359" s="3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9"/>
      <c r="E360" s="1"/>
      <c r="F360" s="1"/>
      <c r="G360" s="1"/>
      <c r="H360" s="1"/>
      <c r="I360" s="9"/>
      <c r="J360" s="10"/>
      <c r="K360" s="3"/>
      <c r="L360" s="3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9"/>
      <c r="E361" s="1"/>
      <c r="F361" s="1"/>
      <c r="G361" s="1"/>
      <c r="H361" s="1"/>
      <c r="I361" s="9"/>
      <c r="J361" s="10"/>
      <c r="K361" s="3"/>
      <c r="L361" s="3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9"/>
      <c r="E362" s="1"/>
      <c r="F362" s="1"/>
      <c r="G362" s="1"/>
      <c r="H362" s="1"/>
      <c r="I362" s="9"/>
      <c r="J362" s="10"/>
      <c r="K362" s="3"/>
      <c r="L362" s="3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9"/>
      <c r="E363" s="1"/>
      <c r="F363" s="1"/>
      <c r="G363" s="1"/>
      <c r="H363" s="1"/>
      <c r="I363" s="9"/>
      <c r="J363" s="10"/>
      <c r="K363" s="3"/>
      <c r="L363" s="3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9"/>
      <c r="E364" s="1"/>
      <c r="F364" s="1"/>
      <c r="G364" s="1"/>
      <c r="H364" s="1"/>
      <c r="I364" s="9"/>
      <c r="J364" s="10"/>
      <c r="K364" s="3"/>
      <c r="L364" s="3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9"/>
      <c r="E365" s="1"/>
      <c r="F365" s="1"/>
      <c r="G365" s="1"/>
      <c r="H365" s="1"/>
      <c r="I365" s="9"/>
      <c r="J365" s="10"/>
      <c r="K365" s="3"/>
      <c r="L365" s="3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9"/>
      <c r="E366" s="1"/>
      <c r="F366" s="1"/>
      <c r="G366" s="1"/>
      <c r="H366" s="1"/>
      <c r="I366" s="9"/>
      <c r="J366" s="10"/>
      <c r="K366" s="3"/>
      <c r="L366" s="3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9"/>
      <c r="E367" s="1"/>
      <c r="F367" s="1"/>
      <c r="G367" s="1"/>
      <c r="H367" s="1"/>
      <c r="I367" s="9"/>
      <c r="J367" s="10"/>
      <c r="K367" s="3"/>
      <c r="L367" s="3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9"/>
      <c r="E368" s="1"/>
      <c r="F368" s="1"/>
      <c r="G368" s="1"/>
      <c r="H368" s="1"/>
      <c r="I368" s="9"/>
      <c r="J368" s="10"/>
      <c r="K368" s="3"/>
      <c r="L368" s="3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9"/>
      <c r="E369" s="1"/>
      <c r="F369" s="1"/>
      <c r="G369" s="1"/>
      <c r="H369" s="1"/>
      <c r="I369" s="9"/>
      <c r="J369" s="10"/>
      <c r="K369" s="3"/>
      <c r="L369" s="3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9"/>
      <c r="E370" s="1"/>
      <c r="F370" s="1"/>
      <c r="G370" s="1"/>
      <c r="H370" s="1"/>
      <c r="I370" s="9"/>
      <c r="J370" s="10"/>
      <c r="K370" s="3"/>
      <c r="L370" s="3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9"/>
      <c r="E371" s="1"/>
      <c r="F371" s="1"/>
      <c r="G371" s="1"/>
      <c r="H371" s="1"/>
      <c r="I371" s="9"/>
      <c r="J371" s="10"/>
      <c r="K371" s="3"/>
      <c r="L371" s="3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9"/>
      <c r="E372" s="1"/>
      <c r="F372" s="1"/>
      <c r="G372" s="1"/>
      <c r="H372" s="1"/>
      <c r="I372" s="9"/>
      <c r="J372" s="10"/>
      <c r="K372" s="3"/>
      <c r="L372" s="3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9"/>
      <c r="E373" s="1"/>
      <c r="F373" s="1"/>
      <c r="G373" s="1"/>
      <c r="H373" s="1"/>
      <c r="I373" s="9"/>
      <c r="J373" s="10"/>
      <c r="K373" s="3"/>
      <c r="L373" s="3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9"/>
      <c r="E374" s="1"/>
      <c r="F374" s="1"/>
      <c r="G374" s="1"/>
      <c r="H374" s="1"/>
      <c r="I374" s="9"/>
      <c r="J374" s="10"/>
      <c r="K374" s="3"/>
      <c r="L374" s="3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9"/>
      <c r="E375" s="1"/>
      <c r="F375" s="1"/>
      <c r="G375" s="1"/>
      <c r="H375" s="1"/>
      <c r="I375" s="9"/>
      <c r="J375" s="10"/>
      <c r="K375" s="3"/>
      <c r="L375" s="3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9"/>
      <c r="E376" s="1"/>
      <c r="F376" s="1"/>
      <c r="G376" s="1"/>
      <c r="H376" s="1"/>
      <c r="I376" s="9"/>
      <c r="J376" s="10"/>
      <c r="K376" s="3"/>
      <c r="L376" s="3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9"/>
      <c r="E377" s="1"/>
      <c r="F377" s="1"/>
      <c r="G377" s="1"/>
      <c r="H377" s="1"/>
      <c r="I377" s="9"/>
      <c r="J377" s="10"/>
      <c r="K377" s="3"/>
      <c r="L377" s="3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9"/>
      <c r="E378" s="1"/>
      <c r="F378" s="1"/>
      <c r="G378" s="1"/>
      <c r="H378" s="1"/>
      <c r="I378" s="9"/>
      <c r="J378" s="10"/>
      <c r="K378" s="3"/>
      <c r="L378" s="3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9"/>
      <c r="E379" s="1"/>
      <c r="F379" s="1"/>
      <c r="G379" s="1"/>
      <c r="H379" s="1"/>
      <c r="I379" s="9"/>
      <c r="J379" s="10"/>
      <c r="K379" s="3"/>
      <c r="L379" s="3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9"/>
      <c r="E380" s="1"/>
      <c r="F380" s="1"/>
      <c r="G380" s="1"/>
      <c r="H380" s="1"/>
      <c r="I380" s="9"/>
      <c r="J380" s="10"/>
      <c r="K380" s="3"/>
      <c r="L380" s="3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9"/>
      <c r="E381" s="1"/>
      <c r="F381" s="1"/>
      <c r="G381" s="1"/>
      <c r="H381" s="1"/>
      <c r="I381" s="9"/>
      <c r="J381" s="10"/>
      <c r="K381" s="3"/>
      <c r="L381" s="3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9"/>
      <c r="E382" s="1"/>
      <c r="F382" s="1"/>
      <c r="G382" s="1"/>
      <c r="H382" s="1"/>
      <c r="I382" s="9"/>
      <c r="J382" s="10"/>
      <c r="K382" s="3"/>
      <c r="L382" s="3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9"/>
      <c r="E383" s="1"/>
      <c r="F383" s="1"/>
      <c r="G383" s="1"/>
      <c r="H383" s="1"/>
      <c r="I383" s="9"/>
      <c r="J383" s="10"/>
      <c r="K383" s="3"/>
      <c r="L383" s="3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9"/>
      <c r="E384" s="1"/>
      <c r="F384" s="1"/>
      <c r="G384" s="1"/>
      <c r="H384" s="1"/>
      <c r="I384" s="9"/>
      <c r="J384" s="10"/>
      <c r="K384" s="3"/>
      <c r="L384" s="3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9"/>
      <c r="E385" s="1"/>
      <c r="F385" s="1"/>
      <c r="G385" s="1"/>
      <c r="H385" s="1"/>
      <c r="I385" s="9"/>
      <c r="J385" s="10"/>
      <c r="K385" s="3"/>
      <c r="L385" s="3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9"/>
      <c r="E386" s="1"/>
      <c r="F386" s="1"/>
      <c r="G386" s="1"/>
      <c r="H386" s="1"/>
      <c r="I386" s="9"/>
      <c r="J386" s="10"/>
      <c r="K386" s="3"/>
      <c r="L386" s="3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9"/>
      <c r="E387" s="1"/>
      <c r="F387" s="1"/>
      <c r="G387" s="1"/>
      <c r="H387" s="1"/>
      <c r="I387" s="9"/>
      <c r="J387" s="10"/>
      <c r="K387" s="3"/>
      <c r="L387" s="3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9"/>
      <c r="E388" s="1"/>
      <c r="F388" s="1"/>
      <c r="G388" s="1"/>
      <c r="H388" s="1"/>
      <c r="I388" s="9"/>
      <c r="J388" s="10"/>
      <c r="K388" s="3"/>
      <c r="L388" s="3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9"/>
      <c r="E389" s="1"/>
      <c r="F389" s="1"/>
      <c r="G389" s="1"/>
      <c r="H389" s="1"/>
      <c r="I389" s="9"/>
      <c r="J389" s="10"/>
      <c r="K389" s="3"/>
      <c r="L389" s="3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9"/>
      <c r="E390" s="1"/>
      <c r="F390" s="1"/>
      <c r="G390" s="1"/>
      <c r="H390" s="1"/>
      <c r="I390" s="9"/>
      <c r="J390" s="10"/>
      <c r="K390" s="3"/>
      <c r="L390" s="3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9"/>
      <c r="E391" s="1"/>
      <c r="F391" s="1"/>
      <c r="G391" s="1"/>
      <c r="H391" s="1"/>
      <c r="I391" s="9"/>
      <c r="J391" s="10"/>
      <c r="K391" s="3"/>
      <c r="L391" s="3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9"/>
      <c r="E392" s="1"/>
      <c r="F392" s="1"/>
      <c r="G392" s="1"/>
      <c r="H392" s="1"/>
      <c r="I392" s="9"/>
      <c r="J392" s="10"/>
      <c r="K392" s="3"/>
      <c r="L392" s="3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9"/>
      <c r="E393" s="1"/>
      <c r="F393" s="1"/>
      <c r="G393" s="1"/>
      <c r="H393" s="1"/>
      <c r="I393" s="9"/>
      <c r="J393" s="10"/>
      <c r="K393" s="3"/>
      <c r="L393" s="3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9"/>
      <c r="E394" s="1"/>
      <c r="F394" s="1"/>
      <c r="G394" s="1"/>
      <c r="H394" s="1"/>
      <c r="I394" s="9"/>
      <c r="J394" s="10"/>
      <c r="K394" s="3"/>
      <c r="L394" s="3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9"/>
      <c r="E395" s="1"/>
      <c r="F395" s="1"/>
      <c r="G395" s="1"/>
      <c r="H395" s="1"/>
      <c r="I395" s="9"/>
      <c r="J395" s="10"/>
      <c r="K395" s="3"/>
      <c r="L395" s="3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9"/>
      <c r="E396" s="1"/>
      <c r="F396" s="1"/>
      <c r="G396" s="1"/>
      <c r="H396" s="1"/>
      <c r="I396" s="9"/>
      <c r="J396" s="10"/>
      <c r="K396" s="3"/>
      <c r="L396" s="3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9"/>
      <c r="E397" s="1"/>
      <c r="F397" s="1"/>
      <c r="G397" s="1"/>
      <c r="H397" s="1"/>
      <c r="I397" s="9"/>
      <c r="J397" s="10"/>
      <c r="K397" s="3"/>
      <c r="L397" s="3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9"/>
      <c r="E398" s="1"/>
      <c r="F398" s="1"/>
      <c r="G398" s="1"/>
      <c r="H398" s="1"/>
      <c r="I398" s="9"/>
      <c r="J398" s="10"/>
      <c r="K398" s="3"/>
      <c r="L398" s="3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9"/>
      <c r="E399" s="1"/>
      <c r="F399" s="1"/>
      <c r="G399" s="1"/>
      <c r="H399" s="1"/>
      <c r="I399" s="9"/>
      <c r="J399" s="10"/>
      <c r="K399" s="3"/>
      <c r="L399" s="3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9"/>
      <c r="E400" s="1"/>
      <c r="F400" s="1"/>
      <c r="G400" s="1"/>
      <c r="H400" s="1"/>
      <c r="I400" s="9"/>
      <c r="J400" s="10"/>
      <c r="K400" s="3"/>
      <c r="L400" s="3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9"/>
      <c r="E401" s="1"/>
      <c r="F401" s="1"/>
      <c r="G401" s="1"/>
      <c r="H401" s="1"/>
      <c r="I401" s="9"/>
      <c r="J401" s="10"/>
      <c r="K401" s="3"/>
      <c r="L401" s="3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9"/>
      <c r="E402" s="1"/>
      <c r="F402" s="1"/>
      <c r="G402" s="1"/>
      <c r="H402" s="1"/>
      <c r="I402" s="9"/>
      <c r="J402" s="10"/>
      <c r="K402" s="3"/>
      <c r="L402" s="3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9"/>
      <c r="E403" s="1"/>
      <c r="F403" s="1"/>
      <c r="G403" s="1"/>
      <c r="H403" s="1"/>
      <c r="I403" s="9"/>
      <c r="J403" s="10"/>
      <c r="K403" s="3"/>
      <c r="L403" s="3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9"/>
      <c r="E404" s="1"/>
      <c r="F404" s="1"/>
      <c r="G404" s="1"/>
      <c r="H404" s="1"/>
      <c r="I404" s="9"/>
      <c r="J404" s="10"/>
      <c r="K404" s="3"/>
      <c r="L404" s="3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9"/>
      <c r="E405" s="1"/>
      <c r="F405" s="1"/>
      <c r="G405" s="1"/>
      <c r="H405" s="1"/>
      <c r="I405" s="9"/>
      <c r="J405" s="10"/>
      <c r="K405" s="3"/>
      <c r="L405" s="3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9"/>
      <c r="E406" s="1"/>
      <c r="F406" s="1"/>
      <c r="G406" s="1"/>
      <c r="H406" s="1"/>
      <c r="I406" s="9"/>
      <c r="J406" s="10"/>
      <c r="K406" s="3"/>
      <c r="L406" s="3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9"/>
      <c r="E407" s="1"/>
      <c r="F407" s="1"/>
      <c r="G407" s="1"/>
      <c r="H407" s="1"/>
      <c r="I407" s="9"/>
      <c r="J407" s="10"/>
      <c r="K407" s="3"/>
      <c r="L407" s="3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9"/>
      <c r="E408" s="1"/>
      <c r="F408" s="1"/>
      <c r="G408" s="1"/>
      <c r="H408" s="1"/>
      <c r="I408" s="9"/>
      <c r="J408" s="10"/>
      <c r="K408" s="3"/>
      <c r="L408" s="3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9"/>
      <c r="E409" s="1"/>
      <c r="F409" s="1"/>
      <c r="G409" s="1"/>
      <c r="H409" s="1"/>
      <c r="I409" s="9"/>
      <c r="J409" s="10"/>
      <c r="K409" s="3"/>
      <c r="L409" s="3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9"/>
      <c r="E410" s="1"/>
      <c r="F410" s="1"/>
      <c r="G410" s="1"/>
      <c r="H410" s="1"/>
      <c r="I410" s="9"/>
      <c r="J410" s="10"/>
      <c r="K410" s="3"/>
      <c r="L410" s="3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9"/>
      <c r="E411" s="1"/>
      <c r="F411" s="1"/>
      <c r="G411" s="1"/>
      <c r="H411" s="1"/>
      <c r="I411" s="9"/>
      <c r="J411" s="10"/>
      <c r="K411" s="3"/>
      <c r="L411" s="3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9"/>
      <c r="E412" s="1"/>
      <c r="F412" s="1"/>
      <c r="G412" s="1"/>
      <c r="H412" s="1"/>
      <c r="I412" s="9"/>
      <c r="J412" s="10"/>
      <c r="K412" s="3"/>
      <c r="L412" s="3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9"/>
      <c r="E413" s="1"/>
      <c r="F413" s="1"/>
      <c r="G413" s="1"/>
      <c r="H413" s="1"/>
      <c r="I413" s="9"/>
      <c r="J413" s="10"/>
      <c r="K413" s="3"/>
      <c r="L413" s="3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9"/>
      <c r="E414" s="1"/>
      <c r="F414" s="1"/>
      <c r="G414" s="1"/>
      <c r="H414" s="1"/>
      <c r="I414" s="9"/>
      <c r="J414" s="10"/>
      <c r="K414" s="3"/>
      <c r="L414" s="3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9"/>
      <c r="E415" s="1"/>
      <c r="F415" s="1"/>
      <c r="G415" s="1"/>
      <c r="H415" s="1"/>
      <c r="I415" s="9"/>
      <c r="J415" s="10"/>
      <c r="K415" s="3"/>
      <c r="L415" s="3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9"/>
      <c r="E416" s="1"/>
      <c r="F416" s="1"/>
      <c r="G416" s="1"/>
      <c r="H416" s="1"/>
      <c r="I416" s="9"/>
      <c r="J416" s="10"/>
      <c r="K416" s="3"/>
      <c r="L416" s="3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9"/>
      <c r="E417" s="1"/>
      <c r="F417" s="1"/>
      <c r="G417" s="1"/>
      <c r="H417" s="1"/>
      <c r="I417" s="9"/>
      <c r="J417" s="10"/>
      <c r="K417" s="3"/>
      <c r="L417" s="3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9"/>
      <c r="E418" s="1"/>
      <c r="F418" s="1"/>
      <c r="G418" s="1"/>
      <c r="H418" s="1"/>
      <c r="I418" s="9"/>
      <c r="J418" s="10"/>
      <c r="K418" s="3"/>
      <c r="L418" s="3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9"/>
      <c r="E419" s="1"/>
      <c r="F419" s="1"/>
      <c r="G419" s="1"/>
      <c r="H419" s="1"/>
      <c r="I419" s="9"/>
      <c r="J419" s="10"/>
      <c r="K419" s="3"/>
      <c r="L419" s="3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9"/>
      <c r="E420" s="1"/>
      <c r="F420" s="1"/>
      <c r="G420" s="1"/>
      <c r="H420" s="1"/>
      <c r="I420" s="9"/>
      <c r="J420" s="10"/>
      <c r="K420" s="3"/>
      <c r="L420" s="3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9"/>
      <c r="E421" s="1"/>
      <c r="F421" s="1"/>
      <c r="G421" s="1"/>
      <c r="H421" s="1"/>
      <c r="I421" s="9"/>
      <c r="J421" s="10"/>
      <c r="K421" s="3"/>
      <c r="L421" s="3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9"/>
      <c r="E422" s="1"/>
      <c r="F422" s="1"/>
      <c r="G422" s="1"/>
      <c r="H422" s="1"/>
      <c r="I422" s="9"/>
      <c r="J422" s="10"/>
      <c r="K422" s="3"/>
      <c r="L422" s="3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9"/>
      <c r="E423" s="1"/>
      <c r="F423" s="1"/>
      <c r="G423" s="1"/>
      <c r="H423" s="1"/>
      <c r="I423" s="9"/>
      <c r="J423" s="10"/>
      <c r="K423" s="3"/>
      <c r="L423" s="3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9"/>
      <c r="E424" s="1"/>
      <c r="F424" s="1"/>
      <c r="G424" s="1"/>
      <c r="H424" s="1"/>
      <c r="I424" s="9"/>
      <c r="J424" s="10"/>
      <c r="K424" s="3"/>
      <c r="L424" s="3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9"/>
      <c r="E425" s="1"/>
      <c r="F425" s="1"/>
      <c r="G425" s="1"/>
      <c r="H425" s="1"/>
      <c r="I425" s="9"/>
      <c r="J425" s="10"/>
      <c r="K425" s="3"/>
      <c r="L425" s="3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9"/>
      <c r="E426" s="1"/>
      <c r="F426" s="1"/>
      <c r="G426" s="1"/>
      <c r="H426" s="1"/>
      <c r="I426" s="9"/>
      <c r="J426" s="10"/>
      <c r="K426" s="3"/>
      <c r="L426" s="3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9"/>
      <c r="E427" s="1"/>
      <c r="F427" s="1"/>
      <c r="G427" s="1"/>
      <c r="H427" s="1"/>
      <c r="I427" s="9"/>
      <c r="J427" s="10"/>
      <c r="K427" s="3"/>
      <c r="L427" s="3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9"/>
      <c r="E428" s="1"/>
      <c r="F428" s="1"/>
      <c r="G428" s="1"/>
      <c r="H428" s="1"/>
      <c r="I428" s="9"/>
      <c r="J428" s="10"/>
      <c r="K428" s="3"/>
      <c r="L428" s="3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9"/>
      <c r="E429" s="1"/>
      <c r="F429" s="1"/>
      <c r="G429" s="1"/>
      <c r="H429" s="1"/>
      <c r="I429" s="9"/>
      <c r="J429" s="10"/>
      <c r="K429" s="3"/>
      <c r="L429" s="3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9"/>
      <c r="E430" s="1"/>
      <c r="F430" s="1"/>
      <c r="G430" s="1"/>
      <c r="H430" s="1"/>
      <c r="I430" s="9"/>
      <c r="J430" s="10"/>
      <c r="K430" s="3"/>
      <c r="L430" s="3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9"/>
      <c r="E431" s="1"/>
      <c r="F431" s="1"/>
      <c r="G431" s="1"/>
      <c r="H431" s="1"/>
      <c r="I431" s="9"/>
      <c r="J431" s="10"/>
      <c r="K431" s="3"/>
      <c r="L431" s="3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9"/>
      <c r="E432" s="1"/>
      <c r="F432" s="1"/>
      <c r="G432" s="1"/>
      <c r="H432" s="1"/>
      <c r="I432" s="9"/>
      <c r="J432" s="10"/>
      <c r="K432" s="3"/>
      <c r="L432" s="3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9"/>
      <c r="E433" s="1"/>
      <c r="F433" s="1"/>
      <c r="G433" s="1"/>
      <c r="H433" s="1"/>
      <c r="I433" s="9"/>
      <c r="J433" s="10"/>
      <c r="K433" s="3"/>
      <c r="L433" s="3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9"/>
      <c r="E434" s="1"/>
      <c r="F434" s="1"/>
      <c r="G434" s="1"/>
      <c r="H434" s="1"/>
      <c r="I434" s="9"/>
      <c r="J434" s="10"/>
      <c r="K434" s="3"/>
      <c r="L434" s="3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9"/>
      <c r="E435" s="1"/>
      <c r="F435" s="1"/>
      <c r="G435" s="1"/>
      <c r="H435" s="1"/>
      <c r="I435" s="9"/>
      <c r="J435" s="10"/>
      <c r="K435" s="3"/>
      <c r="L435" s="3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9"/>
      <c r="E436" s="1"/>
      <c r="F436" s="1"/>
      <c r="G436" s="1"/>
      <c r="H436" s="1"/>
      <c r="I436" s="9"/>
      <c r="J436" s="10"/>
      <c r="K436" s="3"/>
      <c r="L436" s="3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9"/>
      <c r="E437" s="1"/>
      <c r="F437" s="1"/>
      <c r="G437" s="1"/>
      <c r="H437" s="1"/>
      <c r="I437" s="9"/>
      <c r="J437" s="10"/>
      <c r="K437" s="3"/>
      <c r="L437" s="3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9"/>
      <c r="E438" s="1"/>
      <c r="F438" s="1"/>
      <c r="G438" s="1"/>
      <c r="H438" s="1"/>
      <c r="I438" s="9"/>
      <c r="J438" s="10"/>
      <c r="K438" s="3"/>
      <c r="L438" s="3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9"/>
      <c r="E439" s="1"/>
      <c r="F439" s="1"/>
      <c r="G439" s="1"/>
      <c r="H439" s="1"/>
      <c r="I439" s="9"/>
      <c r="J439" s="10"/>
      <c r="K439" s="3"/>
      <c r="L439" s="3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9"/>
      <c r="E440" s="1"/>
      <c r="F440" s="1"/>
      <c r="G440" s="1"/>
      <c r="H440" s="1"/>
      <c r="I440" s="9"/>
      <c r="J440" s="10"/>
      <c r="K440" s="3"/>
      <c r="L440" s="3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9"/>
      <c r="E441" s="1"/>
      <c r="F441" s="1"/>
      <c r="G441" s="1"/>
      <c r="H441" s="1"/>
      <c r="I441" s="9"/>
      <c r="J441" s="10"/>
      <c r="K441" s="3"/>
      <c r="L441" s="3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9"/>
      <c r="E442" s="1"/>
      <c r="F442" s="1"/>
      <c r="G442" s="1"/>
      <c r="H442" s="1"/>
      <c r="I442" s="9"/>
      <c r="J442" s="10"/>
      <c r="K442" s="3"/>
      <c r="L442" s="3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9"/>
      <c r="E443" s="1"/>
      <c r="F443" s="1"/>
      <c r="G443" s="1"/>
      <c r="H443" s="1"/>
      <c r="I443" s="9"/>
      <c r="J443" s="10"/>
      <c r="K443" s="3"/>
      <c r="L443" s="3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9"/>
      <c r="E444" s="1"/>
      <c r="F444" s="1"/>
      <c r="G444" s="1"/>
      <c r="H444" s="1"/>
      <c r="I444" s="9"/>
      <c r="J444" s="10"/>
      <c r="K444" s="3"/>
      <c r="L444" s="3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9"/>
      <c r="E445" s="1"/>
      <c r="F445" s="1"/>
      <c r="G445" s="1"/>
      <c r="H445" s="1"/>
      <c r="I445" s="9"/>
      <c r="J445" s="10"/>
      <c r="K445" s="3"/>
      <c r="L445" s="3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9"/>
      <c r="E446" s="1"/>
      <c r="F446" s="1"/>
      <c r="G446" s="1"/>
      <c r="H446" s="1"/>
      <c r="I446" s="9"/>
      <c r="J446" s="10"/>
      <c r="K446" s="3"/>
      <c r="L446" s="3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9"/>
      <c r="E447" s="1"/>
      <c r="F447" s="1"/>
      <c r="G447" s="1"/>
      <c r="H447" s="1"/>
      <c r="I447" s="9"/>
      <c r="J447" s="10"/>
      <c r="K447" s="3"/>
      <c r="L447" s="3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9"/>
      <c r="E448" s="1"/>
      <c r="F448" s="1"/>
      <c r="G448" s="1"/>
      <c r="H448" s="1"/>
      <c r="I448" s="9"/>
      <c r="J448" s="10"/>
      <c r="K448" s="3"/>
      <c r="L448" s="3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9"/>
      <c r="E449" s="1"/>
      <c r="F449" s="1"/>
      <c r="G449" s="1"/>
      <c r="H449" s="1"/>
      <c r="I449" s="9"/>
      <c r="J449" s="10"/>
      <c r="K449" s="3"/>
      <c r="L449" s="3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9"/>
      <c r="E450" s="1"/>
      <c r="F450" s="1"/>
      <c r="G450" s="1"/>
      <c r="H450" s="1"/>
      <c r="I450" s="9"/>
      <c r="J450" s="10"/>
      <c r="K450" s="3"/>
      <c r="L450" s="3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9"/>
      <c r="E451" s="1"/>
      <c r="F451" s="1"/>
      <c r="G451" s="1"/>
      <c r="H451" s="1"/>
      <c r="I451" s="9"/>
      <c r="J451" s="10"/>
      <c r="K451" s="3"/>
      <c r="L451" s="3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9"/>
      <c r="E452" s="1"/>
      <c r="F452" s="1"/>
      <c r="G452" s="1"/>
      <c r="H452" s="1"/>
      <c r="I452" s="9"/>
      <c r="J452" s="10"/>
      <c r="K452" s="3"/>
      <c r="L452" s="3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9"/>
      <c r="E453" s="1"/>
      <c r="F453" s="1"/>
      <c r="G453" s="1"/>
      <c r="H453" s="1"/>
      <c r="I453" s="9"/>
      <c r="J453" s="10"/>
      <c r="K453" s="3"/>
      <c r="L453" s="3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9"/>
      <c r="E454" s="1"/>
      <c r="F454" s="1"/>
      <c r="G454" s="1"/>
      <c r="H454" s="1"/>
      <c r="I454" s="9"/>
      <c r="J454" s="10"/>
      <c r="K454" s="3"/>
      <c r="L454" s="3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9"/>
      <c r="E455" s="1"/>
      <c r="F455" s="1"/>
      <c r="G455" s="1"/>
      <c r="H455" s="1"/>
      <c r="I455" s="9"/>
      <c r="J455" s="10"/>
      <c r="K455" s="3"/>
      <c r="L455" s="3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9"/>
      <c r="E456" s="1"/>
      <c r="F456" s="1"/>
      <c r="G456" s="1"/>
      <c r="H456" s="1"/>
      <c r="I456" s="9"/>
      <c r="J456" s="10"/>
      <c r="K456" s="3"/>
      <c r="L456" s="3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9"/>
      <c r="E457" s="1"/>
      <c r="F457" s="1"/>
      <c r="G457" s="1"/>
      <c r="H457" s="1"/>
      <c r="I457" s="9"/>
      <c r="J457" s="10"/>
      <c r="K457" s="3"/>
      <c r="L457" s="3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9"/>
      <c r="E458" s="1"/>
      <c r="F458" s="1"/>
      <c r="G458" s="1"/>
      <c r="H458" s="1"/>
      <c r="I458" s="9"/>
      <c r="J458" s="10"/>
      <c r="K458" s="3"/>
      <c r="L458" s="3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9"/>
      <c r="E459" s="1"/>
      <c r="F459" s="1"/>
      <c r="G459" s="1"/>
      <c r="H459" s="1"/>
      <c r="I459" s="9"/>
      <c r="J459" s="10"/>
      <c r="K459" s="3"/>
      <c r="L459" s="3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9"/>
      <c r="E460" s="1"/>
      <c r="F460" s="1"/>
      <c r="G460" s="1"/>
      <c r="H460" s="1"/>
      <c r="I460" s="9"/>
      <c r="J460" s="10"/>
      <c r="K460" s="3"/>
      <c r="L460" s="3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9"/>
      <c r="E461" s="1"/>
      <c r="F461" s="1"/>
      <c r="G461" s="1"/>
      <c r="H461" s="1"/>
      <c r="I461" s="9"/>
      <c r="J461" s="10"/>
      <c r="K461" s="3"/>
      <c r="L461" s="3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9"/>
      <c r="E462" s="1"/>
      <c r="F462" s="1"/>
      <c r="G462" s="1"/>
      <c r="H462" s="1"/>
      <c r="I462" s="9"/>
      <c r="J462" s="10"/>
      <c r="K462" s="3"/>
      <c r="L462" s="3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9"/>
      <c r="E463" s="1"/>
      <c r="F463" s="1"/>
      <c r="G463" s="1"/>
      <c r="H463" s="1"/>
      <c r="I463" s="9"/>
      <c r="J463" s="10"/>
      <c r="K463" s="3"/>
      <c r="L463" s="3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9"/>
      <c r="E464" s="1"/>
      <c r="F464" s="1"/>
      <c r="G464" s="1"/>
      <c r="H464" s="1"/>
      <c r="I464" s="9"/>
      <c r="J464" s="10"/>
      <c r="K464" s="3"/>
      <c r="L464" s="3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9"/>
      <c r="E465" s="1"/>
      <c r="F465" s="1"/>
      <c r="G465" s="1"/>
      <c r="H465" s="1"/>
      <c r="I465" s="9"/>
      <c r="J465" s="10"/>
      <c r="K465" s="3"/>
      <c r="L465" s="3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9"/>
      <c r="E466" s="1"/>
      <c r="F466" s="1"/>
      <c r="G466" s="1"/>
      <c r="H466" s="1"/>
      <c r="I466" s="9"/>
      <c r="J466" s="10"/>
      <c r="K466" s="3"/>
      <c r="L466" s="3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9"/>
      <c r="E467" s="1"/>
      <c r="F467" s="1"/>
      <c r="G467" s="1"/>
      <c r="H467" s="1"/>
      <c r="I467" s="9"/>
      <c r="J467" s="10"/>
      <c r="K467" s="3"/>
      <c r="L467" s="3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9"/>
      <c r="E468" s="1"/>
      <c r="F468" s="1"/>
      <c r="G468" s="1"/>
      <c r="H468" s="1"/>
      <c r="I468" s="9"/>
      <c r="J468" s="10"/>
      <c r="K468" s="3"/>
      <c r="L468" s="3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9"/>
      <c r="E469" s="1"/>
      <c r="F469" s="1"/>
      <c r="G469" s="1"/>
      <c r="H469" s="1"/>
      <c r="I469" s="9"/>
      <c r="J469" s="10"/>
      <c r="K469" s="3"/>
      <c r="L469" s="3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9"/>
      <c r="E470" s="1"/>
      <c r="F470" s="1"/>
      <c r="G470" s="1"/>
      <c r="H470" s="1"/>
      <c r="I470" s="9"/>
      <c r="J470" s="10"/>
      <c r="K470" s="3"/>
      <c r="L470" s="3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9"/>
      <c r="E471" s="1"/>
      <c r="F471" s="1"/>
      <c r="G471" s="1"/>
      <c r="H471" s="1"/>
      <c r="I471" s="9"/>
      <c r="J471" s="10"/>
      <c r="K471" s="3"/>
      <c r="L471" s="3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9"/>
      <c r="E472" s="1"/>
      <c r="F472" s="1"/>
      <c r="G472" s="1"/>
      <c r="H472" s="1"/>
      <c r="I472" s="9"/>
      <c r="J472" s="10"/>
      <c r="K472" s="3"/>
      <c r="L472" s="3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9"/>
      <c r="E473" s="1"/>
      <c r="F473" s="1"/>
      <c r="G473" s="1"/>
      <c r="H473" s="1"/>
      <c r="I473" s="9"/>
      <c r="J473" s="10"/>
      <c r="K473" s="3"/>
      <c r="L473" s="3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9"/>
      <c r="E474" s="1"/>
      <c r="F474" s="1"/>
      <c r="G474" s="1"/>
      <c r="H474" s="1"/>
      <c r="I474" s="9"/>
      <c r="J474" s="10"/>
      <c r="K474" s="3"/>
      <c r="L474" s="3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9"/>
      <c r="E475" s="1"/>
      <c r="F475" s="1"/>
      <c r="G475" s="1"/>
      <c r="H475" s="1"/>
      <c r="I475" s="9"/>
      <c r="J475" s="10"/>
      <c r="K475" s="3"/>
      <c r="L475" s="3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9"/>
      <c r="E476" s="1"/>
      <c r="F476" s="1"/>
      <c r="G476" s="1"/>
      <c r="H476" s="1"/>
      <c r="I476" s="9"/>
      <c r="J476" s="10"/>
      <c r="K476" s="3"/>
      <c r="L476" s="3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9"/>
      <c r="E477" s="1"/>
      <c r="F477" s="1"/>
      <c r="G477" s="1"/>
      <c r="H477" s="1"/>
      <c r="I477" s="9"/>
      <c r="J477" s="10"/>
      <c r="K477" s="3"/>
      <c r="L477" s="3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9"/>
      <c r="E478" s="1"/>
      <c r="F478" s="1"/>
      <c r="G478" s="1"/>
      <c r="H478" s="1"/>
      <c r="I478" s="9"/>
      <c r="J478" s="10"/>
      <c r="K478" s="3"/>
      <c r="L478" s="3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9"/>
      <c r="E479" s="1"/>
      <c r="F479" s="1"/>
      <c r="G479" s="1"/>
      <c r="H479" s="1"/>
      <c r="I479" s="9"/>
      <c r="J479" s="10"/>
      <c r="K479" s="3"/>
      <c r="L479" s="3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9"/>
      <c r="E480" s="1"/>
      <c r="F480" s="1"/>
      <c r="G480" s="1"/>
      <c r="H480" s="1"/>
      <c r="I480" s="9"/>
      <c r="J480" s="10"/>
      <c r="K480" s="3"/>
      <c r="L480" s="3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9"/>
      <c r="E481" s="1"/>
      <c r="F481" s="1"/>
      <c r="G481" s="1"/>
      <c r="H481" s="1"/>
      <c r="I481" s="9"/>
      <c r="J481" s="10"/>
      <c r="K481" s="3"/>
      <c r="L481" s="3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9"/>
      <c r="E482" s="1"/>
      <c r="F482" s="1"/>
      <c r="G482" s="1"/>
      <c r="H482" s="1"/>
      <c r="I482" s="9"/>
      <c r="J482" s="10"/>
      <c r="K482" s="3"/>
      <c r="L482" s="3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9"/>
      <c r="E483" s="1"/>
      <c r="F483" s="1"/>
      <c r="G483" s="1"/>
      <c r="H483" s="1"/>
      <c r="I483" s="9"/>
      <c r="J483" s="10"/>
      <c r="K483" s="3"/>
      <c r="L483" s="3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9"/>
      <c r="E484" s="1"/>
      <c r="F484" s="1"/>
      <c r="G484" s="1"/>
      <c r="H484" s="1"/>
      <c r="I484" s="9"/>
      <c r="J484" s="10"/>
      <c r="K484" s="3"/>
      <c r="L484" s="3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9"/>
      <c r="E485" s="1"/>
      <c r="F485" s="1"/>
      <c r="G485" s="1"/>
      <c r="H485" s="1"/>
      <c r="I485" s="9"/>
      <c r="J485" s="10"/>
      <c r="K485" s="3"/>
      <c r="L485" s="3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9"/>
      <c r="E486" s="1"/>
      <c r="F486" s="1"/>
      <c r="G486" s="1"/>
      <c r="H486" s="1"/>
      <c r="I486" s="9"/>
      <c r="J486" s="10"/>
      <c r="K486" s="3"/>
      <c r="L486" s="3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9"/>
      <c r="E487" s="1"/>
      <c r="F487" s="1"/>
      <c r="G487" s="1"/>
      <c r="H487" s="1"/>
      <c r="I487" s="9"/>
      <c r="J487" s="10"/>
      <c r="K487" s="3"/>
      <c r="L487" s="3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9"/>
      <c r="E488" s="1"/>
      <c r="F488" s="1"/>
      <c r="G488" s="1"/>
      <c r="H488" s="1"/>
      <c r="I488" s="9"/>
      <c r="J488" s="10"/>
      <c r="K488" s="3"/>
      <c r="L488" s="3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9"/>
      <c r="E489" s="1"/>
      <c r="F489" s="1"/>
      <c r="G489" s="1"/>
      <c r="H489" s="1"/>
      <c r="I489" s="9"/>
      <c r="J489" s="10"/>
      <c r="K489" s="3"/>
      <c r="L489" s="3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9"/>
      <c r="E490" s="1"/>
      <c r="F490" s="1"/>
      <c r="G490" s="1"/>
      <c r="H490" s="1"/>
      <c r="I490" s="9"/>
      <c r="J490" s="10"/>
      <c r="K490" s="3"/>
      <c r="L490" s="3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9"/>
      <c r="E491" s="1"/>
      <c r="F491" s="1"/>
      <c r="G491" s="1"/>
      <c r="H491" s="1"/>
      <c r="I491" s="9"/>
      <c r="J491" s="10"/>
      <c r="K491" s="3"/>
      <c r="L491" s="3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9"/>
      <c r="E492" s="1"/>
      <c r="F492" s="1"/>
      <c r="G492" s="1"/>
      <c r="H492" s="1"/>
      <c r="I492" s="9"/>
      <c r="J492" s="10"/>
      <c r="K492" s="3"/>
      <c r="L492" s="3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9"/>
      <c r="E493" s="1"/>
      <c r="F493" s="1"/>
      <c r="G493" s="1"/>
      <c r="H493" s="1"/>
      <c r="I493" s="9"/>
      <c r="J493" s="10"/>
      <c r="K493" s="3"/>
      <c r="L493" s="3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9"/>
      <c r="E494" s="1"/>
      <c r="F494" s="1"/>
      <c r="G494" s="1"/>
      <c r="H494" s="1"/>
      <c r="I494" s="9"/>
      <c r="J494" s="10"/>
      <c r="K494" s="3"/>
      <c r="L494" s="3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9"/>
      <c r="E495" s="1"/>
      <c r="F495" s="1"/>
      <c r="G495" s="1"/>
      <c r="H495" s="1"/>
      <c r="I495" s="9"/>
      <c r="J495" s="10"/>
      <c r="K495" s="3"/>
      <c r="L495" s="3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9"/>
      <c r="E496" s="1"/>
      <c r="F496" s="1"/>
      <c r="G496" s="1"/>
      <c r="H496" s="1"/>
      <c r="I496" s="9"/>
      <c r="J496" s="10"/>
      <c r="K496" s="3"/>
      <c r="L496" s="3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9"/>
      <c r="E497" s="1"/>
      <c r="F497" s="1"/>
      <c r="G497" s="1"/>
      <c r="H497" s="1"/>
      <c r="I497" s="9"/>
      <c r="J497" s="10"/>
      <c r="K497" s="3"/>
      <c r="L497" s="3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9"/>
      <c r="E498" s="1"/>
      <c r="F498" s="1"/>
      <c r="G498" s="1"/>
      <c r="H498" s="1"/>
      <c r="I498" s="9"/>
      <c r="J498" s="10"/>
      <c r="K498" s="3"/>
      <c r="L498" s="3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9"/>
      <c r="E499" s="1"/>
      <c r="F499" s="1"/>
      <c r="G499" s="1"/>
      <c r="H499" s="1"/>
      <c r="I499" s="9"/>
      <c r="J499" s="10"/>
      <c r="K499" s="3"/>
      <c r="L499" s="3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9"/>
      <c r="E500" s="1"/>
      <c r="F500" s="1"/>
      <c r="G500" s="1"/>
      <c r="H500" s="1"/>
      <c r="I500" s="9"/>
      <c r="J500" s="10"/>
      <c r="K500" s="3"/>
      <c r="L500" s="3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9"/>
      <c r="E501" s="1"/>
      <c r="F501" s="1"/>
      <c r="G501" s="1"/>
      <c r="H501" s="1"/>
      <c r="I501" s="9"/>
      <c r="J501" s="10"/>
      <c r="K501" s="3"/>
      <c r="L501" s="3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9"/>
      <c r="E502" s="1"/>
      <c r="F502" s="1"/>
      <c r="G502" s="1"/>
      <c r="H502" s="1"/>
      <c r="I502" s="9"/>
      <c r="J502" s="10"/>
      <c r="K502" s="3"/>
      <c r="L502" s="3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9"/>
      <c r="E503" s="1"/>
      <c r="F503" s="1"/>
      <c r="G503" s="1"/>
      <c r="H503" s="1"/>
      <c r="I503" s="9"/>
      <c r="J503" s="10"/>
      <c r="K503" s="3"/>
      <c r="L503" s="3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9"/>
      <c r="E504" s="1"/>
      <c r="F504" s="1"/>
      <c r="G504" s="1"/>
      <c r="H504" s="1"/>
      <c r="I504" s="9"/>
      <c r="J504" s="10"/>
      <c r="K504" s="3"/>
      <c r="L504" s="3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9"/>
      <c r="E505" s="1"/>
      <c r="F505" s="1"/>
      <c r="G505" s="1"/>
      <c r="H505" s="1"/>
      <c r="I505" s="9"/>
      <c r="J505" s="10"/>
      <c r="K505" s="3"/>
      <c r="L505" s="3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9"/>
      <c r="E506" s="1"/>
      <c r="F506" s="1"/>
      <c r="G506" s="1"/>
      <c r="H506" s="1"/>
      <c r="I506" s="9"/>
      <c r="J506" s="10"/>
      <c r="K506" s="3"/>
      <c r="L506" s="3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9"/>
      <c r="E507" s="1"/>
      <c r="F507" s="1"/>
      <c r="G507" s="1"/>
      <c r="H507" s="1"/>
      <c r="I507" s="9"/>
      <c r="J507" s="10"/>
      <c r="K507" s="3"/>
      <c r="L507" s="3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9"/>
      <c r="E508" s="1"/>
      <c r="F508" s="1"/>
      <c r="G508" s="1"/>
      <c r="H508" s="1"/>
      <c r="I508" s="9"/>
      <c r="J508" s="10"/>
      <c r="K508" s="3"/>
      <c r="L508" s="3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9"/>
      <c r="E509" s="1"/>
      <c r="F509" s="1"/>
      <c r="G509" s="1"/>
      <c r="H509" s="1"/>
      <c r="I509" s="9"/>
      <c r="J509" s="10"/>
      <c r="K509" s="3"/>
      <c r="L509" s="3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9"/>
      <c r="E510" s="1"/>
      <c r="F510" s="1"/>
      <c r="G510" s="1"/>
      <c r="H510" s="1"/>
      <c r="I510" s="9"/>
      <c r="J510" s="10"/>
      <c r="K510" s="3"/>
      <c r="L510" s="3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9"/>
      <c r="E511" s="1"/>
      <c r="F511" s="1"/>
      <c r="G511" s="1"/>
      <c r="H511" s="1"/>
      <c r="I511" s="9"/>
      <c r="J511" s="10"/>
      <c r="K511" s="3"/>
      <c r="L511" s="3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9"/>
      <c r="E512" s="1"/>
      <c r="F512" s="1"/>
      <c r="G512" s="1"/>
      <c r="H512" s="1"/>
      <c r="I512" s="9"/>
      <c r="J512" s="10"/>
      <c r="K512" s="3"/>
      <c r="L512" s="3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9"/>
      <c r="E513" s="1"/>
      <c r="F513" s="1"/>
      <c r="G513" s="1"/>
      <c r="H513" s="1"/>
      <c r="I513" s="9"/>
      <c r="J513" s="10"/>
      <c r="K513" s="3"/>
      <c r="L513" s="3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9"/>
      <c r="E514" s="1"/>
      <c r="F514" s="1"/>
      <c r="G514" s="1"/>
      <c r="H514" s="1"/>
      <c r="I514" s="9"/>
      <c r="J514" s="10"/>
      <c r="K514" s="3"/>
      <c r="L514" s="3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9"/>
      <c r="E515" s="1"/>
      <c r="F515" s="1"/>
      <c r="G515" s="1"/>
      <c r="H515" s="1"/>
      <c r="I515" s="9"/>
      <c r="J515" s="10"/>
      <c r="K515" s="3"/>
      <c r="L515" s="3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9"/>
      <c r="E516" s="1"/>
      <c r="F516" s="1"/>
      <c r="G516" s="1"/>
      <c r="H516" s="1"/>
      <c r="I516" s="9"/>
      <c r="J516" s="10"/>
      <c r="K516" s="3"/>
      <c r="L516" s="3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9"/>
      <c r="E517" s="1"/>
      <c r="F517" s="1"/>
      <c r="G517" s="1"/>
      <c r="H517" s="1"/>
      <c r="I517" s="9"/>
      <c r="J517" s="10"/>
      <c r="K517" s="3"/>
      <c r="L517" s="3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9"/>
      <c r="E518" s="1"/>
      <c r="F518" s="1"/>
      <c r="G518" s="1"/>
      <c r="H518" s="1"/>
      <c r="I518" s="9"/>
      <c r="J518" s="10"/>
      <c r="K518" s="3"/>
      <c r="L518" s="3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9"/>
      <c r="E519" s="1"/>
      <c r="F519" s="1"/>
      <c r="G519" s="1"/>
      <c r="H519" s="1"/>
      <c r="I519" s="9"/>
      <c r="J519" s="10"/>
      <c r="K519" s="3"/>
      <c r="L519" s="3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9"/>
      <c r="E520" s="1"/>
      <c r="F520" s="1"/>
      <c r="G520" s="1"/>
      <c r="H520" s="1"/>
      <c r="I520" s="9"/>
      <c r="J520" s="10"/>
      <c r="K520" s="3"/>
      <c r="L520" s="3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9"/>
      <c r="E521" s="1"/>
      <c r="F521" s="1"/>
      <c r="G521" s="1"/>
      <c r="H521" s="1"/>
      <c r="I521" s="9"/>
      <c r="J521" s="10"/>
      <c r="K521" s="3"/>
      <c r="L521" s="3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9"/>
      <c r="E522" s="1"/>
      <c r="F522" s="1"/>
      <c r="G522" s="1"/>
      <c r="H522" s="1"/>
      <c r="I522" s="9"/>
      <c r="J522" s="10"/>
      <c r="K522" s="3"/>
      <c r="L522" s="3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9"/>
      <c r="E523" s="1"/>
      <c r="F523" s="1"/>
      <c r="G523" s="1"/>
      <c r="H523" s="1"/>
      <c r="I523" s="9"/>
      <c r="J523" s="10"/>
      <c r="K523" s="3"/>
      <c r="L523" s="3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9"/>
      <c r="E524" s="1"/>
      <c r="F524" s="1"/>
      <c r="G524" s="1"/>
      <c r="H524" s="1"/>
      <c r="I524" s="9"/>
      <c r="J524" s="10"/>
      <c r="K524" s="3"/>
      <c r="L524" s="3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9"/>
      <c r="E525" s="1"/>
      <c r="F525" s="1"/>
      <c r="G525" s="1"/>
      <c r="H525" s="1"/>
      <c r="I525" s="9"/>
      <c r="J525" s="10"/>
      <c r="K525" s="3"/>
      <c r="L525" s="3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9"/>
      <c r="E526" s="1"/>
      <c r="F526" s="1"/>
      <c r="G526" s="1"/>
      <c r="H526" s="1"/>
      <c r="I526" s="9"/>
      <c r="J526" s="10"/>
      <c r="K526" s="3"/>
      <c r="L526" s="3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9"/>
      <c r="E527" s="1"/>
      <c r="F527" s="1"/>
      <c r="G527" s="1"/>
      <c r="H527" s="1"/>
      <c r="I527" s="9"/>
      <c r="J527" s="10"/>
      <c r="K527" s="3"/>
      <c r="L527" s="3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9"/>
      <c r="E528" s="1"/>
      <c r="F528" s="1"/>
      <c r="G528" s="1"/>
      <c r="H528" s="1"/>
      <c r="I528" s="9"/>
      <c r="J528" s="10"/>
      <c r="K528" s="3"/>
      <c r="L528" s="3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9"/>
      <c r="E529" s="1"/>
      <c r="F529" s="1"/>
      <c r="G529" s="1"/>
      <c r="H529" s="1"/>
      <c r="I529" s="9"/>
      <c r="J529" s="10"/>
      <c r="K529" s="3"/>
      <c r="L529" s="3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9"/>
      <c r="E530" s="1"/>
      <c r="F530" s="1"/>
      <c r="G530" s="1"/>
      <c r="H530" s="1"/>
      <c r="I530" s="9"/>
      <c r="J530" s="10"/>
      <c r="K530" s="3"/>
      <c r="L530" s="3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9"/>
      <c r="E531" s="1"/>
      <c r="F531" s="1"/>
      <c r="G531" s="1"/>
      <c r="H531" s="1"/>
      <c r="I531" s="9"/>
      <c r="J531" s="10"/>
      <c r="K531" s="3"/>
      <c r="L531" s="3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9"/>
      <c r="E532" s="1"/>
      <c r="F532" s="1"/>
      <c r="G532" s="1"/>
      <c r="H532" s="1"/>
      <c r="I532" s="9"/>
      <c r="J532" s="10"/>
      <c r="K532" s="3"/>
      <c r="L532" s="3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9"/>
      <c r="E533" s="1"/>
      <c r="F533" s="1"/>
      <c r="G533" s="1"/>
      <c r="H533" s="1"/>
      <c r="I533" s="9"/>
      <c r="J533" s="10"/>
      <c r="K533" s="3"/>
      <c r="L533" s="3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9"/>
      <c r="E534" s="1"/>
      <c r="F534" s="1"/>
      <c r="G534" s="1"/>
      <c r="H534" s="1"/>
      <c r="I534" s="9"/>
      <c r="J534" s="10"/>
      <c r="K534" s="3"/>
      <c r="L534" s="3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9"/>
      <c r="E535" s="1"/>
      <c r="F535" s="1"/>
      <c r="G535" s="1"/>
      <c r="H535" s="1"/>
      <c r="I535" s="9"/>
      <c r="J535" s="10"/>
      <c r="K535" s="3"/>
      <c r="L535" s="3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9"/>
      <c r="E536" s="1"/>
      <c r="F536" s="1"/>
      <c r="G536" s="1"/>
      <c r="H536" s="1"/>
      <c r="I536" s="9"/>
      <c r="J536" s="10"/>
      <c r="K536" s="3"/>
      <c r="L536" s="3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9"/>
      <c r="E537" s="1"/>
      <c r="F537" s="1"/>
      <c r="G537" s="1"/>
      <c r="H537" s="1"/>
      <c r="I537" s="9"/>
      <c r="J537" s="10"/>
      <c r="K537" s="3"/>
      <c r="L537" s="3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9"/>
      <c r="E538" s="1"/>
      <c r="F538" s="1"/>
      <c r="G538" s="1"/>
      <c r="H538" s="1"/>
      <c r="I538" s="9"/>
      <c r="J538" s="10"/>
      <c r="K538" s="3"/>
      <c r="L538" s="3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9"/>
      <c r="E539" s="1"/>
      <c r="F539" s="1"/>
      <c r="G539" s="1"/>
      <c r="H539" s="1"/>
      <c r="I539" s="9"/>
      <c r="J539" s="10"/>
      <c r="K539" s="3"/>
      <c r="L539" s="3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9"/>
      <c r="E540" s="1"/>
      <c r="F540" s="1"/>
      <c r="G540" s="1"/>
      <c r="H540" s="1"/>
      <c r="I540" s="9"/>
      <c r="J540" s="10"/>
      <c r="K540" s="3"/>
      <c r="L540" s="3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9"/>
      <c r="E541" s="1"/>
      <c r="F541" s="1"/>
      <c r="G541" s="1"/>
      <c r="H541" s="1"/>
      <c r="I541" s="9"/>
      <c r="J541" s="10"/>
      <c r="K541" s="3"/>
      <c r="L541" s="3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9"/>
      <c r="E542" s="1"/>
      <c r="F542" s="1"/>
      <c r="G542" s="1"/>
      <c r="H542" s="1"/>
      <c r="I542" s="9"/>
      <c r="J542" s="10"/>
      <c r="K542" s="3"/>
      <c r="L542" s="3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9"/>
      <c r="E543" s="1"/>
      <c r="F543" s="1"/>
      <c r="G543" s="1"/>
      <c r="H543" s="1"/>
      <c r="I543" s="9"/>
      <c r="J543" s="10"/>
      <c r="K543" s="3"/>
      <c r="L543" s="3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9"/>
      <c r="E544" s="1"/>
      <c r="F544" s="1"/>
      <c r="G544" s="1"/>
      <c r="H544" s="1"/>
      <c r="I544" s="9"/>
      <c r="J544" s="10"/>
      <c r="K544" s="3"/>
      <c r="L544" s="3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9"/>
      <c r="E545" s="1"/>
      <c r="F545" s="1"/>
      <c r="G545" s="1"/>
      <c r="H545" s="1"/>
      <c r="I545" s="9"/>
      <c r="J545" s="10"/>
      <c r="K545" s="3"/>
      <c r="L545" s="3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9"/>
      <c r="E546" s="1"/>
      <c r="F546" s="1"/>
      <c r="G546" s="1"/>
      <c r="H546" s="1"/>
      <c r="I546" s="9"/>
      <c r="J546" s="10"/>
      <c r="K546" s="3"/>
      <c r="L546" s="3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9"/>
      <c r="E547" s="1"/>
      <c r="F547" s="1"/>
      <c r="G547" s="1"/>
      <c r="H547" s="1"/>
      <c r="I547" s="9"/>
      <c r="J547" s="10"/>
      <c r="K547" s="3"/>
      <c r="L547" s="3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9"/>
      <c r="E548" s="1"/>
      <c r="F548" s="1"/>
      <c r="G548" s="1"/>
      <c r="H548" s="1"/>
      <c r="I548" s="9"/>
      <c r="J548" s="10"/>
      <c r="K548" s="3"/>
      <c r="L548" s="3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9"/>
      <c r="E549" s="1"/>
      <c r="F549" s="1"/>
      <c r="G549" s="1"/>
      <c r="H549" s="1"/>
      <c r="I549" s="9"/>
      <c r="J549" s="10"/>
      <c r="K549" s="3"/>
      <c r="L549" s="3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9"/>
      <c r="E550" s="1"/>
      <c r="F550" s="1"/>
      <c r="G550" s="1"/>
      <c r="H550" s="1"/>
      <c r="I550" s="9"/>
      <c r="J550" s="10"/>
      <c r="K550" s="3"/>
      <c r="L550" s="3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9"/>
      <c r="E551" s="1"/>
      <c r="F551" s="1"/>
      <c r="G551" s="1"/>
      <c r="H551" s="1"/>
      <c r="I551" s="9"/>
      <c r="J551" s="10"/>
      <c r="K551" s="3"/>
      <c r="L551" s="3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9"/>
      <c r="E552" s="1"/>
      <c r="F552" s="1"/>
      <c r="G552" s="1"/>
      <c r="H552" s="1"/>
      <c r="I552" s="9"/>
      <c r="J552" s="10"/>
      <c r="K552" s="3"/>
      <c r="L552" s="3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9"/>
      <c r="E553" s="1"/>
      <c r="F553" s="1"/>
      <c r="G553" s="1"/>
      <c r="H553" s="1"/>
      <c r="I553" s="9"/>
      <c r="J553" s="10"/>
      <c r="K553" s="3"/>
      <c r="L553" s="3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9"/>
      <c r="E554" s="1"/>
      <c r="F554" s="1"/>
      <c r="G554" s="1"/>
      <c r="H554" s="1"/>
      <c r="I554" s="9"/>
      <c r="J554" s="10"/>
      <c r="K554" s="3"/>
      <c r="L554" s="3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9"/>
      <c r="E555" s="1"/>
      <c r="F555" s="1"/>
      <c r="G555" s="1"/>
      <c r="H555" s="1"/>
      <c r="I555" s="9"/>
      <c r="J555" s="10"/>
      <c r="K555" s="3"/>
      <c r="L555" s="3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9"/>
      <c r="E556" s="1"/>
      <c r="F556" s="1"/>
      <c r="G556" s="1"/>
      <c r="H556" s="1"/>
      <c r="I556" s="9"/>
      <c r="J556" s="10"/>
      <c r="K556" s="3"/>
      <c r="L556" s="3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9"/>
      <c r="E557" s="1"/>
      <c r="F557" s="1"/>
      <c r="G557" s="1"/>
      <c r="H557" s="1"/>
      <c r="I557" s="9"/>
      <c r="J557" s="10"/>
      <c r="K557" s="3"/>
      <c r="L557" s="3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9"/>
      <c r="E558" s="1"/>
      <c r="F558" s="1"/>
      <c r="G558" s="1"/>
      <c r="H558" s="1"/>
      <c r="I558" s="9"/>
      <c r="J558" s="10"/>
      <c r="K558" s="3"/>
      <c r="L558" s="3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9"/>
      <c r="E559" s="1"/>
      <c r="F559" s="1"/>
      <c r="G559" s="1"/>
      <c r="H559" s="1"/>
      <c r="I559" s="9"/>
      <c r="J559" s="10"/>
      <c r="K559" s="3"/>
      <c r="L559" s="3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9"/>
      <c r="E560" s="1"/>
      <c r="F560" s="1"/>
      <c r="G560" s="1"/>
      <c r="H560" s="1"/>
      <c r="I560" s="9"/>
      <c r="J560" s="10"/>
      <c r="K560" s="3"/>
      <c r="L560" s="3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9"/>
      <c r="E561" s="1"/>
      <c r="F561" s="1"/>
      <c r="G561" s="1"/>
      <c r="H561" s="1"/>
      <c r="I561" s="9"/>
      <c r="J561" s="10"/>
      <c r="K561" s="3"/>
      <c r="L561" s="3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9"/>
      <c r="E562" s="1"/>
      <c r="F562" s="1"/>
      <c r="G562" s="1"/>
      <c r="H562" s="1"/>
      <c r="I562" s="9"/>
      <c r="J562" s="10"/>
      <c r="K562" s="3"/>
      <c r="L562" s="3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9"/>
      <c r="E563" s="1"/>
      <c r="F563" s="1"/>
      <c r="G563" s="1"/>
      <c r="H563" s="1"/>
      <c r="I563" s="9"/>
      <c r="J563" s="10"/>
      <c r="K563" s="3"/>
      <c r="L563" s="3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9"/>
      <c r="E564" s="1"/>
      <c r="F564" s="1"/>
      <c r="G564" s="1"/>
      <c r="H564" s="1"/>
      <c r="I564" s="9"/>
      <c r="J564" s="10"/>
      <c r="K564" s="3"/>
      <c r="L564" s="3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9"/>
      <c r="E565" s="1"/>
      <c r="F565" s="1"/>
      <c r="G565" s="1"/>
      <c r="H565" s="1"/>
      <c r="I565" s="9"/>
      <c r="J565" s="10"/>
      <c r="K565" s="3"/>
      <c r="L565" s="3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9"/>
      <c r="E566" s="1"/>
      <c r="F566" s="1"/>
      <c r="G566" s="1"/>
      <c r="H566" s="1"/>
      <c r="I566" s="9"/>
      <c r="J566" s="10"/>
      <c r="K566" s="3"/>
      <c r="L566" s="3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9"/>
      <c r="E567" s="1"/>
      <c r="F567" s="1"/>
      <c r="G567" s="1"/>
      <c r="H567" s="1"/>
      <c r="I567" s="9"/>
      <c r="J567" s="10"/>
      <c r="K567" s="3"/>
      <c r="L567" s="3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9"/>
      <c r="E568" s="1"/>
      <c r="F568" s="1"/>
      <c r="G568" s="1"/>
      <c r="H568" s="1"/>
      <c r="I568" s="9"/>
      <c r="J568" s="10"/>
      <c r="K568" s="3"/>
      <c r="L568" s="3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9"/>
      <c r="E569" s="1"/>
      <c r="F569" s="1"/>
      <c r="G569" s="1"/>
      <c r="H569" s="1"/>
      <c r="I569" s="9"/>
      <c r="J569" s="10"/>
      <c r="K569" s="3"/>
      <c r="L569" s="3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9"/>
      <c r="E570" s="1"/>
      <c r="F570" s="1"/>
      <c r="G570" s="1"/>
      <c r="H570" s="1"/>
      <c r="I570" s="9"/>
      <c r="J570" s="10"/>
      <c r="K570" s="3"/>
      <c r="L570" s="3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9"/>
      <c r="E571" s="1"/>
      <c r="F571" s="1"/>
      <c r="G571" s="1"/>
      <c r="H571" s="1"/>
      <c r="I571" s="9"/>
      <c r="J571" s="10"/>
      <c r="K571" s="3"/>
      <c r="L571" s="3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9"/>
      <c r="E572" s="1"/>
      <c r="F572" s="1"/>
      <c r="G572" s="1"/>
      <c r="H572" s="1"/>
      <c r="I572" s="9"/>
      <c r="J572" s="10"/>
      <c r="K572" s="3"/>
      <c r="L572" s="3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9"/>
      <c r="E573" s="1"/>
      <c r="F573" s="1"/>
      <c r="G573" s="1"/>
      <c r="H573" s="1"/>
      <c r="I573" s="9"/>
      <c r="J573" s="10"/>
      <c r="K573" s="3"/>
      <c r="L573" s="3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9"/>
      <c r="E574" s="1"/>
      <c r="F574" s="1"/>
      <c r="G574" s="1"/>
      <c r="H574" s="1"/>
      <c r="I574" s="9"/>
      <c r="J574" s="10"/>
      <c r="K574" s="3"/>
      <c r="L574" s="3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9"/>
      <c r="E575" s="1"/>
      <c r="F575" s="1"/>
      <c r="G575" s="1"/>
      <c r="H575" s="1"/>
      <c r="I575" s="9"/>
      <c r="J575" s="10"/>
      <c r="K575" s="3"/>
      <c r="L575" s="3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9"/>
      <c r="E576" s="1"/>
      <c r="F576" s="1"/>
      <c r="G576" s="1"/>
      <c r="H576" s="1"/>
      <c r="I576" s="9"/>
      <c r="J576" s="10"/>
      <c r="K576" s="3"/>
      <c r="L576" s="3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9"/>
      <c r="E577" s="1"/>
      <c r="F577" s="1"/>
      <c r="G577" s="1"/>
      <c r="H577" s="1"/>
      <c r="I577" s="9"/>
      <c r="J577" s="10"/>
      <c r="K577" s="3"/>
      <c r="L577" s="3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9"/>
      <c r="E578" s="1"/>
      <c r="F578" s="1"/>
      <c r="G578" s="1"/>
      <c r="H578" s="1"/>
      <c r="I578" s="9"/>
      <c r="J578" s="10"/>
      <c r="K578" s="3"/>
      <c r="L578" s="3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9"/>
      <c r="E579" s="1"/>
      <c r="F579" s="1"/>
      <c r="G579" s="1"/>
      <c r="H579" s="1"/>
      <c r="I579" s="9"/>
      <c r="J579" s="10"/>
      <c r="K579" s="3"/>
      <c r="L579" s="3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9"/>
      <c r="E580" s="1"/>
      <c r="F580" s="1"/>
      <c r="G580" s="1"/>
      <c r="H580" s="1"/>
      <c r="I580" s="9"/>
      <c r="J580" s="10"/>
      <c r="K580" s="3"/>
      <c r="L580" s="3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9"/>
      <c r="E581" s="1"/>
      <c r="F581" s="1"/>
      <c r="G581" s="1"/>
      <c r="H581" s="1"/>
      <c r="I581" s="9"/>
      <c r="J581" s="10"/>
      <c r="K581" s="3"/>
      <c r="L581" s="3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9"/>
      <c r="E582" s="1"/>
      <c r="F582" s="1"/>
      <c r="G582" s="1"/>
      <c r="H582" s="1"/>
      <c r="I582" s="9"/>
      <c r="J582" s="10"/>
      <c r="K582" s="3"/>
      <c r="L582" s="3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9"/>
      <c r="E583" s="1"/>
      <c r="F583" s="1"/>
      <c r="G583" s="1"/>
      <c r="H583" s="1"/>
      <c r="I583" s="9"/>
      <c r="J583" s="10"/>
      <c r="K583" s="3"/>
      <c r="L583" s="3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9"/>
      <c r="E584" s="1"/>
      <c r="F584" s="1"/>
      <c r="G584" s="1"/>
      <c r="H584" s="1"/>
      <c r="I584" s="9"/>
      <c r="J584" s="10"/>
      <c r="K584" s="3"/>
      <c r="L584" s="3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9"/>
      <c r="E585" s="1"/>
      <c r="F585" s="1"/>
      <c r="G585" s="1"/>
      <c r="H585" s="1"/>
      <c r="I585" s="9"/>
      <c r="J585" s="10"/>
      <c r="K585" s="3"/>
      <c r="L585" s="3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9"/>
      <c r="E586" s="1"/>
      <c r="F586" s="1"/>
      <c r="G586" s="1"/>
      <c r="H586" s="1"/>
      <c r="I586" s="9"/>
      <c r="J586" s="10"/>
      <c r="K586" s="3"/>
      <c r="L586" s="3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9"/>
      <c r="E587" s="1"/>
      <c r="F587" s="1"/>
      <c r="G587" s="1"/>
      <c r="H587" s="1"/>
      <c r="I587" s="9"/>
      <c r="J587" s="10"/>
      <c r="K587" s="3"/>
      <c r="L587" s="3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9"/>
      <c r="E588" s="1"/>
      <c r="F588" s="1"/>
      <c r="G588" s="1"/>
      <c r="H588" s="1"/>
      <c r="I588" s="9"/>
      <c r="J588" s="10"/>
      <c r="K588" s="3"/>
      <c r="L588" s="3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9"/>
      <c r="E589" s="1"/>
      <c r="F589" s="1"/>
      <c r="G589" s="1"/>
      <c r="H589" s="1"/>
      <c r="I589" s="9"/>
      <c r="J589" s="10"/>
      <c r="K589" s="3"/>
      <c r="L589" s="3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9"/>
      <c r="E590" s="1"/>
      <c r="F590" s="1"/>
      <c r="G590" s="1"/>
      <c r="H590" s="1"/>
      <c r="I590" s="9"/>
      <c r="J590" s="10"/>
      <c r="K590" s="3"/>
      <c r="L590" s="3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9"/>
      <c r="E591" s="1"/>
      <c r="F591" s="1"/>
      <c r="G591" s="1"/>
      <c r="H591" s="1"/>
      <c r="I591" s="9"/>
      <c r="J591" s="10"/>
      <c r="K591" s="3"/>
      <c r="L591" s="3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9"/>
      <c r="E592" s="1"/>
      <c r="F592" s="1"/>
      <c r="G592" s="1"/>
      <c r="H592" s="1"/>
      <c r="I592" s="9"/>
      <c r="J592" s="10"/>
      <c r="K592" s="3"/>
      <c r="L592" s="3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9"/>
      <c r="E593" s="1"/>
      <c r="F593" s="1"/>
      <c r="G593" s="1"/>
      <c r="H593" s="1"/>
      <c r="I593" s="9"/>
      <c r="J593" s="10"/>
      <c r="K593" s="3"/>
      <c r="L593" s="3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9"/>
      <c r="E594" s="1"/>
      <c r="F594" s="1"/>
      <c r="G594" s="1"/>
      <c r="H594" s="1"/>
      <c r="I594" s="9"/>
      <c r="J594" s="10"/>
      <c r="K594" s="3"/>
      <c r="L594" s="3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9"/>
      <c r="E595" s="1"/>
      <c r="F595" s="1"/>
      <c r="G595" s="1"/>
      <c r="H595" s="1"/>
      <c r="I595" s="9"/>
      <c r="J595" s="10"/>
      <c r="K595" s="3"/>
      <c r="L595" s="3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9"/>
      <c r="E596" s="1"/>
      <c r="F596" s="1"/>
      <c r="G596" s="1"/>
      <c r="H596" s="1"/>
      <c r="I596" s="9"/>
      <c r="J596" s="10"/>
      <c r="K596" s="3"/>
      <c r="L596" s="3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9"/>
      <c r="E597" s="1"/>
      <c r="F597" s="1"/>
      <c r="G597" s="1"/>
      <c r="H597" s="1"/>
      <c r="I597" s="9"/>
      <c r="J597" s="10"/>
      <c r="K597" s="3"/>
      <c r="L597" s="3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9"/>
      <c r="E598" s="1"/>
      <c r="F598" s="1"/>
      <c r="G598" s="1"/>
      <c r="H598" s="1"/>
      <c r="I598" s="9"/>
      <c r="J598" s="10"/>
      <c r="K598" s="3"/>
      <c r="L598" s="3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9"/>
      <c r="E599" s="1"/>
      <c r="F599" s="1"/>
      <c r="G599" s="1"/>
      <c r="H599" s="1"/>
      <c r="I599" s="9"/>
      <c r="J599" s="10"/>
      <c r="K599" s="3"/>
      <c r="L599" s="3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9"/>
      <c r="E600" s="1"/>
      <c r="F600" s="1"/>
      <c r="G600" s="1"/>
      <c r="H600" s="1"/>
      <c r="I600" s="9"/>
      <c r="J600" s="10"/>
      <c r="K600" s="3"/>
      <c r="L600" s="3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9"/>
      <c r="E601" s="1"/>
      <c r="F601" s="1"/>
      <c r="G601" s="1"/>
      <c r="H601" s="1"/>
      <c r="I601" s="9"/>
      <c r="J601" s="10"/>
      <c r="K601" s="3"/>
      <c r="L601" s="3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9"/>
      <c r="E602" s="1"/>
      <c r="F602" s="1"/>
      <c r="G602" s="1"/>
      <c r="H602" s="1"/>
      <c r="I602" s="9"/>
      <c r="J602" s="10"/>
      <c r="K602" s="3"/>
      <c r="L602" s="3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9"/>
      <c r="E603" s="1"/>
      <c r="F603" s="1"/>
      <c r="G603" s="1"/>
      <c r="H603" s="1"/>
      <c r="I603" s="9"/>
      <c r="J603" s="10"/>
      <c r="K603" s="3"/>
      <c r="L603" s="3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9"/>
      <c r="E604" s="1"/>
      <c r="F604" s="1"/>
      <c r="G604" s="1"/>
      <c r="H604" s="1"/>
      <c r="I604" s="9"/>
      <c r="J604" s="10"/>
      <c r="K604" s="3"/>
      <c r="L604" s="3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9"/>
      <c r="E605" s="1"/>
      <c r="F605" s="1"/>
      <c r="G605" s="1"/>
      <c r="H605" s="1"/>
      <c r="I605" s="9"/>
      <c r="J605" s="10"/>
      <c r="K605" s="3"/>
      <c r="L605" s="3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9"/>
      <c r="E606" s="1"/>
      <c r="F606" s="1"/>
      <c r="G606" s="1"/>
      <c r="H606" s="1"/>
      <c r="I606" s="9"/>
      <c r="J606" s="10"/>
      <c r="K606" s="3"/>
      <c r="L606" s="3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9"/>
      <c r="E607" s="1"/>
      <c r="F607" s="1"/>
      <c r="G607" s="1"/>
      <c r="H607" s="1"/>
      <c r="I607" s="9"/>
      <c r="J607" s="10"/>
      <c r="K607" s="3"/>
      <c r="L607" s="3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9"/>
      <c r="E608" s="1"/>
      <c r="F608" s="1"/>
      <c r="G608" s="1"/>
      <c r="H608" s="1"/>
      <c r="I608" s="9"/>
      <c r="J608" s="10"/>
      <c r="K608" s="3"/>
      <c r="L608" s="3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9"/>
      <c r="E609" s="1"/>
      <c r="F609" s="1"/>
      <c r="G609" s="1"/>
      <c r="H609" s="1"/>
      <c r="I609" s="9"/>
      <c r="J609" s="10"/>
      <c r="K609" s="3"/>
      <c r="L609" s="3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9"/>
      <c r="E610" s="1"/>
      <c r="F610" s="1"/>
      <c r="G610" s="1"/>
      <c r="H610" s="1"/>
      <c r="I610" s="9"/>
      <c r="J610" s="10"/>
      <c r="K610" s="3"/>
      <c r="L610" s="3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9"/>
      <c r="E611" s="1"/>
      <c r="F611" s="1"/>
      <c r="G611" s="1"/>
      <c r="H611" s="1"/>
      <c r="I611" s="9"/>
      <c r="J611" s="10"/>
      <c r="K611" s="3"/>
      <c r="L611" s="3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9"/>
      <c r="E612" s="1"/>
      <c r="F612" s="1"/>
      <c r="G612" s="1"/>
      <c r="H612" s="1"/>
      <c r="I612" s="9"/>
      <c r="J612" s="10"/>
      <c r="K612" s="3"/>
      <c r="L612" s="3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9"/>
      <c r="E613" s="1"/>
      <c r="F613" s="1"/>
      <c r="G613" s="1"/>
      <c r="H613" s="1"/>
      <c r="I613" s="9"/>
      <c r="J613" s="10"/>
      <c r="K613" s="3"/>
      <c r="L613" s="3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9"/>
      <c r="E614" s="1"/>
      <c r="F614" s="1"/>
      <c r="G614" s="1"/>
      <c r="H614" s="1"/>
      <c r="I614" s="9"/>
      <c r="J614" s="10"/>
      <c r="K614" s="3"/>
      <c r="L614" s="3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9"/>
      <c r="E615" s="1"/>
      <c r="F615" s="1"/>
      <c r="G615" s="1"/>
      <c r="H615" s="1"/>
      <c r="I615" s="9"/>
      <c r="J615" s="10"/>
      <c r="K615" s="3"/>
      <c r="L615" s="3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9"/>
      <c r="E616" s="1"/>
      <c r="F616" s="1"/>
      <c r="G616" s="1"/>
      <c r="H616" s="1"/>
      <c r="I616" s="9"/>
      <c r="J616" s="10"/>
      <c r="K616" s="3"/>
      <c r="L616" s="3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9"/>
      <c r="E617" s="1"/>
      <c r="F617" s="1"/>
      <c r="G617" s="1"/>
      <c r="H617" s="1"/>
      <c r="I617" s="9"/>
      <c r="J617" s="10"/>
      <c r="K617" s="3"/>
      <c r="L617" s="3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9"/>
      <c r="E618" s="1"/>
      <c r="F618" s="1"/>
      <c r="G618" s="1"/>
      <c r="H618" s="1"/>
      <c r="I618" s="9"/>
      <c r="J618" s="10"/>
      <c r="K618" s="3"/>
      <c r="L618" s="3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9"/>
      <c r="E619" s="1"/>
      <c r="F619" s="1"/>
      <c r="G619" s="1"/>
      <c r="H619" s="1"/>
      <c r="I619" s="9"/>
      <c r="J619" s="10"/>
      <c r="K619" s="3"/>
      <c r="L619" s="3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9"/>
      <c r="E620" s="1"/>
      <c r="F620" s="1"/>
      <c r="G620" s="1"/>
      <c r="H620" s="1"/>
      <c r="I620" s="9"/>
      <c r="J620" s="10"/>
      <c r="K620" s="3"/>
      <c r="L620" s="3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9"/>
      <c r="E621" s="1"/>
      <c r="F621" s="1"/>
      <c r="G621" s="1"/>
      <c r="H621" s="1"/>
      <c r="I621" s="9"/>
      <c r="J621" s="10"/>
      <c r="K621" s="3"/>
      <c r="L621" s="3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9"/>
      <c r="E622" s="1"/>
      <c r="F622" s="1"/>
      <c r="G622" s="1"/>
      <c r="H622" s="1"/>
      <c r="I622" s="9"/>
      <c r="J622" s="10"/>
      <c r="K622" s="3"/>
      <c r="L622" s="3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9"/>
      <c r="E623" s="1"/>
      <c r="F623" s="1"/>
      <c r="G623" s="1"/>
      <c r="H623" s="1"/>
      <c r="I623" s="9"/>
      <c r="J623" s="10"/>
      <c r="K623" s="3"/>
      <c r="L623" s="3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9"/>
      <c r="E624" s="1"/>
      <c r="F624" s="1"/>
      <c r="G624" s="1"/>
      <c r="H624" s="1"/>
      <c r="I624" s="9"/>
      <c r="J624" s="10"/>
      <c r="K624" s="3"/>
      <c r="L624" s="3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9"/>
      <c r="E625" s="1"/>
      <c r="F625" s="1"/>
      <c r="G625" s="1"/>
      <c r="H625" s="1"/>
      <c r="I625" s="9"/>
      <c r="J625" s="10"/>
      <c r="K625" s="3"/>
      <c r="L625" s="3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9"/>
      <c r="E626" s="1"/>
      <c r="F626" s="1"/>
      <c r="G626" s="1"/>
      <c r="H626" s="1"/>
      <c r="I626" s="9"/>
      <c r="J626" s="10"/>
      <c r="K626" s="3"/>
      <c r="L626" s="3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9"/>
      <c r="E627" s="1"/>
      <c r="F627" s="1"/>
      <c r="G627" s="1"/>
      <c r="H627" s="1"/>
      <c r="I627" s="9"/>
      <c r="J627" s="10"/>
      <c r="K627" s="3"/>
      <c r="L627" s="3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9"/>
      <c r="E628" s="1"/>
      <c r="F628" s="1"/>
      <c r="G628" s="1"/>
      <c r="H628" s="1"/>
      <c r="I628" s="9"/>
      <c r="J628" s="10"/>
      <c r="K628" s="3"/>
      <c r="L628" s="3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9"/>
      <c r="E629" s="1"/>
      <c r="F629" s="1"/>
      <c r="G629" s="1"/>
      <c r="H629" s="1"/>
      <c r="I629" s="9"/>
      <c r="J629" s="10"/>
      <c r="K629" s="3"/>
      <c r="L629" s="3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9"/>
      <c r="E630" s="1"/>
      <c r="F630" s="1"/>
      <c r="G630" s="1"/>
      <c r="H630" s="1"/>
      <c r="I630" s="9"/>
      <c r="J630" s="10"/>
      <c r="K630" s="3"/>
      <c r="L630" s="3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9"/>
      <c r="E631" s="1"/>
      <c r="F631" s="1"/>
      <c r="G631" s="1"/>
      <c r="H631" s="1"/>
      <c r="I631" s="9"/>
      <c r="J631" s="10"/>
      <c r="K631" s="3"/>
      <c r="L631" s="3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9"/>
      <c r="E632" s="1"/>
      <c r="F632" s="1"/>
      <c r="G632" s="1"/>
      <c r="H632" s="1"/>
      <c r="I632" s="9"/>
      <c r="J632" s="10"/>
      <c r="K632" s="3"/>
      <c r="L632" s="3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9"/>
      <c r="E633" s="1"/>
      <c r="F633" s="1"/>
      <c r="G633" s="1"/>
      <c r="H633" s="1"/>
      <c r="I633" s="9"/>
      <c r="J633" s="10"/>
      <c r="K633" s="3"/>
      <c r="L633" s="3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9"/>
      <c r="E634" s="1"/>
      <c r="F634" s="1"/>
      <c r="G634" s="1"/>
      <c r="H634" s="1"/>
      <c r="I634" s="9"/>
      <c r="J634" s="10"/>
      <c r="K634" s="3"/>
      <c r="L634" s="3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9"/>
      <c r="E635" s="1"/>
      <c r="F635" s="1"/>
      <c r="G635" s="1"/>
      <c r="H635" s="1"/>
      <c r="I635" s="9"/>
      <c r="J635" s="10"/>
      <c r="K635" s="3"/>
      <c r="L635" s="3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9"/>
      <c r="E636" s="1"/>
      <c r="F636" s="1"/>
      <c r="G636" s="1"/>
      <c r="H636" s="1"/>
      <c r="I636" s="9"/>
      <c r="J636" s="10"/>
      <c r="K636" s="3"/>
      <c r="L636" s="3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9"/>
      <c r="E637" s="1"/>
      <c r="F637" s="1"/>
      <c r="G637" s="1"/>
      <c r="H637" s="1"/>
      <c r="I637" s="9"/>
      <c r="J637" s="10"/>
      <c r="K637" s="3"/>
      <c r="L637" s="3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9"/>
      <c r="E638" s="1"/>
      <c r="F638" s="1"/>
      <c r="G638" s="1"/>
      <c r="H638" s="1"/>
      <c r="I638" s="9"/>
      <c r="J638" s="10"/>
      <c r="K638" s="3"/>
      <c r="L638" s="3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9"/>
      <c r="E639" s="1"/>
      <c r="F639" s="1"/>
      <c r="G639" s="1"/>
      <c r="H639" s="1"/>
      <c r="I639" s="9"/>
      <c r="J639" s="10"/>
      <c r="K639" s="3"/>
      <c r="L639" s="3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9"/>
      <c r="E640" s="1"/>
      <c r="F640" s="1"/>
      <c r="G640" s="1"/>
      <c r="H640" s="1"/>
      <c r="I640" s="9"/>
      <c r="J640" s="10"/>
      <c r="K640" s="3"/>
      <c r="L640" s="3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9"/>
      <c r="E641" s="1"/>
      <c r="F641" s="1"/>
      <c r="G641" s="1"/>
      <c r="H641" s="1"/>
      <c r="I641" s="9"/>
      <c r="J641" s="10"/>
      <c r="K641" s="3"/>
      <c r="L641" s="3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9"/>
      <c r="E642" s="1"/>
      <c r="F642" s="1"/>
      <c r="G642" s="1"/>
      <c r="H642" s="1"/>
      <c r="I642" s="9"/>
      <c r="J642" s="10"/>
      <c r="K642" s="3"/>
      <c r="L642" s="3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9"/>
      <c r="E643" s="1"/>
      <c r="F643" s="1"/>
      <c r="G643" s="1"/>
      <c r="H643" s="1"/>
      <c r="I643" s="9"/>
      <c r="J643" s="10"/>
      <c r="K643" s="3"/>
      <c r="L643" s="3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9"/>
      <c r="E644" s="1"/>
      <c r="F644" s="1"/>
      <c r="G644" s="1"/>
      <c r="H644" s="1"/>
      <c r="I644" s="9"/>
      <c r="J644" s="10"/>
      <c r="K644" s="3"/>
      <c r="L644" s="3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9"/>
      <c r="E645" s="1"/>
      <c r="F645" s="1"/>
      <c r="G645" s="1"/>
      <c r="H645" s="1"/>
      <c r="I645" s="9"/>
      <c r="J645" s="10"/>
      <c r="K645" s="3"/>
      <c r="L645" s="3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9"/>
      <c r="E646" s="1"/>
      <c r="F646" s="1"/>
      <c r="G646" s="1"/>
      <c r="H646" s="1"/>
      <c r="I646" s="9"/>
      <c r="J646" s="10"/>
      <c r="K646" s="3"/>
      <c r="L646" s="3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9"/>
      <c r="E647" s="1"/>
      <c r="F647" s="1"/>
      <c r="G647" s="1"/>
      <c r="H647" s="1"/>
      <c r="I647" s="9"/>
      <c r="J647" s="10"/>
      <c r="K647" s="3"/>
      <c r="L647" s="3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9"/>
      <c r="E648" s="1"/>
      <c r="F648" s="1"/>
      <c r="G648" s="1"/>
      <c r="H648" s="1"/>
      <c r="I648" s="9"/>
      <c r="J648" s="10"/>
      <c r="K648" s="3"/>
      <c r="L648" s="3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9"/>
      <c r="E649" s="1"/>
      <c r="F649" s="1"/>
      <c r="G649" s="1"/>
      <c r="H649" s="1"/>
      <c r="I649" s="9"/>
      <c r="J649" s="10"/>
      <c r="K649" s="3"/>
      <c r="L649" s="3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9"/>
      <c r="E650" s="1"/>
      <c r="F650" s="1"/>
      <c r="G650" s="1"/>
      <c r="H650" s="1"/>
      <c r="I650" s="9"/>
      <c r="J650" s="10"/>
      <c r="K650" s="3"/>
      <c r="L650" s="3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9"/>
      <c r="E651" s="1"/>
      <c r="F651" s="1"/>
      <c r="G651" s="1"/>
      <c r="H651" s="1"/>
      <c r="I651" s="9"/>
      <c r="J651" s="10"/>
      <c r="K651" s="3"/>
      <c r="L651" s="3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9"/>
      <c r="E652" s="1"/>
      <c r="F652" s="1"/>
      <c r="G652" s="1"/>
      <c r="H652" s="1"/>
      <c r="I652" s="9"/>
      <c r="J652" s="10"/>
      <c r="K652" s="3"/>
      <c r="L652" s="3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9"/>
      <c r="E653" s="1"/>
      <c r="F653" s="1"/>
      <c r="G653" s="1"/>
      <c r="H653" s="1"/>
      <c r="I653" s="9"/>
      <c r="J653" s="10"/>
      <c r="K653" s="3"/>
      <c r="L653" s="3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9"/>
      <c r="E654" s="1"/>
      <c r="F654" s="1"/>
      <c r="G654" s="1"/>
      <c r="H654" s="1"/>
      <c r="I654" s="9"/>
      <c r="J654" s="10"/>
      <c r="K654" s="3"/>
      <c r="L654" s="3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9"/>
      <c r="E655" s="1"/>
      <c r="F655" s="1"/>
      <c r="G655" s="1"/>
      <c r="H655" s="1"/>
      <c r="I655" s="9"/>
      <c r="J655" s="10"/>
      <c r="K655" s="3"/>
      <c r="L655" s="3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9"/>
      <c r="E656" s="1"/>
      <c r="F656" s="1"/>
      <c r="G656" s="1"/>
      <c r="H656" s="1"/>
      <c r="I656" s="9"/>
      <c r="J656" s="10"/>
      <c r="K656" s="3"/>
      <c r="L656" s="3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9"/>
      <c r="E657" s="1"/>
      <c r="F657" s="1"/>
      <c r="G657" s="1"/>
      <c r="H657" s="1"/>
      <c r="I657" s="9"/>
      <c r="J657" s="10"/>
      <c r="K657" s="3"/>
      <c r="L657" s="3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9"/>
      <c r="E658" s="1"/>
      <c r="F658" s="1"/>
      <c r="G658" s="1"/>
      <c r="H658" s="1"/>
      <c r="I658" s="9"/>
      <c r="J658" s="10"/>
      <c r="K658" s="3"/>
      <c r="L658" s="3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9"/>
      <c r="E659" s="1"/>
      <c r="F659" s="1"/>
      <c r="G659" s="1"/>
      <c r="H659" s="1"/>
      <c r="I659" s="9"/>
      <c r="J659" s="10"/>
      <c r="K659" s="3"/>
      <c r="L659" s="3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9"/>
      <c r="E660" s="1"/>
      <c r="F660" s="1"/>
      <c r="G660" s="1"/>
      <c r="H660" s="1"/>
      <c r="I660" s="9"/>
      <c r="J660" s="10"/>
      <c r="K660" s="3"/>
      <c r="L660" s="3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9"/>
      <c r="E661" s="1"/>
      <c r="F661" s="1"/>
      <c r="G661" s="1"/>
      <c r="H661" s="1"/>
      <c r="I661" s="9"/>
      <c r="J661" s="10"/>
      <c r="K661" s="3"/>
      <c r="L661" s="3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9"/>
      <c r="E662" s="1"/>
      <c r="F662" s="1"/>
      <c r="G662" s="1"/>
      <c r="H662" s="1"/>
      <c r="I662" s="9"/>
      <c r="J662" s="10"/>
      <c r="K662" s="3"/>
      <c r="L662" s="3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9"/>
      <c r="E663" s="1"/>
      <c r="F663" s="1"/>
      <c r="G663" s="1"/>
      <c r="H663" s="1"/>
      <c r="I663" s="9"/>
      <c r="J663" s="10"/>
      <c r="K663" s="3"/>
      <c r="L663" s="3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9"/>
      <c r="E664" s="1"/>
      <c r="F664" s="1"/>
      <c r="G664" s="1"/>
      <c r="H664" s="1"/>
      <c r="I664" s="9"/>
      <c r="J664" s="10"/>
      <c r="K664" s="3"/>
      <c r="L664" s="3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9"/>
      <c r="E665" s="1"/>
      <c r="F665" s="1"/>
      <c r="G665" s="1"/>
      <c r="H665" s="1"/>
      <c r="I665" s="9"/>
      <c r="J665" s="10"/>
      <c r="K665" s="3"/>
      <c r="L665" s="3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9"/>
      <c r="E666" s="1"/>
      <c r="F666" s="1"/>
      <c r="G666" s="1"/>
      <c r="H666" s="1"/>
      <c r="I666" s="9"/>
      <c r="J666" s="10"/>
      <c r="K666" s="3"/>
      <c r="L666" s="3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9"/>
      <c r="E667" s="1"/>
      <c r="F667" s="1"/>
      <c r="G667" s="1"/>
      <c r="H667" s="1"/>
      <c r="I667" s="9"/>
      <c r="J667" s="10"/>
      <c r="K667" s="3"/>
      <c r="L667" s="3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9"/>
      <c r="E668" s="1"/>
      <c r="F668" s="1"/>
      <c r="G668" s="1"/>
      <c r="H668" s="1"/>
      <c r="I668" s="9"/>
      <c r="J668" s="10"/>
      <c r="K668" s="3"/>
      <c r="L668" s="3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9"/>
      <c r="E669" s="1"/>
      <c r="F669" s="1"/>
      <c r="G669" s="1"/>
      <c r="H669" s="1"/>
      <c r="I669" s="9"/>
      <c r="J669" s="10"/>
      <c r="K669" s="3"/>
      <c r="L669" s="3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9"/>
      <c r="E670" s="1"/>
      <c r="F670" s="1"/>
      <c r="G670" s="1"/>
      <c r="H670" s="1"/>
      <c r="I670" s="9"/>
      <c r="J670" s="10"/>
      <c r="K670" s="3"/>
      <c r="L670" s="3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9"/>
      <c r="E671" s="1"/>
      <c r="F671" s="1"/>
      <c r="G671" s="1"/>
      <c r="H671" s="1"/>
      <c r="I671" s="9"/>
      <c r="J671" s="10"/>
      <c r="K671" s="3"/>
      <c r="L671" s="3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9"/>
      <c r="E672" s="1"/>
      <c r="F672" s="1"/>
      <c r="G672" s="1"/>
      <c r="H672" s="1"/>
      <c r="I672" s="9"/>
      <c r="J672" s="10"/>
      <c r="K672" s="3"/>
      <c r="L672" s="3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9"/>
      <c r="E673" s="1"/>
      <c r="F673" s="1"/>
      <c r="G673" s="1"/>
      <c r="H673" s="1"/>
      <c r="I673" s="9"/>
      <c r="J673" s="10"/>
      <c r="K673" s="3"/>
      <c r="L673" s="3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9"/>
      <c r="E674" s="1"/>
      <c r="F674" s="1"/>
      <c r="G674" s="1"/>
      <c r="H674" s="1"/>
      <c r="I674" s="9"/>
      <c r="J674" s="10"/>
      <c r="K674" s="3"/>
      <c r="L674" s="3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9"/>
      <c r="E675" s="1"/>
      <c r="F675" s="1"/>
      <c r="G675" s="1"/>
      <c r="H675" s="1"/>
      <c r="I675" s="9"/>
      <c r="J675" s="10"/>
      <c r="K675" s="3"/>
      <c r="L675" s="3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9"/>
      <c r="E676" s="1"/>
      <c r="F676" s="1"/>
      <c r="G676" s="1"/>
      <c r="H676" s="1"/>
      <c r="I676" s="9"/>
      <c r="J676" s="10"/>
      <c r="K676" s="3"/>
      <c r="L676" s="3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9"/>
      <c r="E677" s="1"/>
      <c r="F677" s="1"/>
      <c r="G677" s="1"/>
      <c r="H677" s="1"/>
      <c r="I677" s="9"/>
      <c r="J677" s="10"/>
      <c r="K677" s="3"/>
      <c r="L677" s="3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9"/>
      <c r="E678" s="1"/>
      <c r="F678" s="1"/>
      <c r="G678" s="1"/>
      <c r="H678" s="1"/>
      <c r="I678" s="9"/>
      <c r="J678" s="10"/>
      <c r="K678" s="3"/>
      <c r="L678" s="3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9"/>
      <c r="E679" s="1"/>
      <c r="F679" s="1"/>
      <c r="G679" s="1"/>
      <c r="H679" s="1"/>
      <c r="I679" s="9"/>
      <c r="J679" s="10"/>
      <c r="K679" s="3"/>
      <c r="L679" s="3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9"/>
      <c r="E680" s="1"/>
      <c r="F680" s="1"/>
      <c r="G680" s="1"/>
      <c r="H680" s="1"/>
      <c r="I680" s="9"/>
      <c r="J680" s="10"/>
      <c r="K680" s="3"/>
      <c r="L680" s="3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9"/>
      <c r="E681" s="1"/>
      <c r="F681" s="1"/>
      <c r="G681" s="1"/>
      <c r="H681" s="1"/>
      <c r="I681" s="9"/>
      <c r="J681" s="10"/>
      <c r="K681" s="3"/>
      <c r="L681" s="3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9"/>
      <c r="E682" s="1"/>
      <c r="F682" s="1"/>
      <c r="G682" s="1"/>
      <c r="H682" s="1"/>
      <c r="I682" s="9"/>
      <c r="J682" s="10"/>
      <c r="K682" s="3"/>
      <c r="L682" s="3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9"/>
      <c r="E683" s="1"/>
      <c r="F683" s="1"/>
      <c r="G683" s="1"/>
      <c r="H683" s="1"/>
      <c r="I683" s="9"/>
      <c r="J683" s="10"/>
      <c r="K683" s="3"/>
      <c r="L683" s="3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9"/>
      <c r="E684" s="1"/>
      <c r="F684" s="1"/>
      <c r="G684" s="1"/>
      <c r="H684" s="1"/>
      <c r="I684" s="9"/>
      <c r="J684" s="10"/>
      <c r="K684" s="3"/>
      <c r="L684" s="3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9"/>
      <c r="E685" s="1"/>
      <c r="F685" s="1"/>
      <c r="G685" s="1"/>
      <c r="H685" s="1"/>
      <c r="I685" s="9"/>
      <c r="J685" s="10"/>
      <c r="K685" s="3"/>
      <c r="L685" s="3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9"/>
      <c r="E686" s="1"/>
      <c r="F686" s="1"/>
      <c r="G686" s="1"/>
      <c r="H686" s="1"/>
      <c r="I686" s="9"/>
      <c r="J686" s="10"/>
      <c r="K686" s="3"/>
      <c r="L686" s="3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9"/>
      <c r="E687" s="1"/>
      <c r="F687" s="1"/>
      <c r="G687" s="1"/>
      <c r="H687" s="1"/>
      <c r="I687" s="9"/>
      <c r="J687" s="10"/>
      <c r="K687" s="3"/>
      <c r="L687" s="3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9"/>
      <c r="E688" s="1"/>
      <c r="F688" s="1"/>
      <c r="G688" s="1"/>
      <c r="H688" s="1"/>
      <c r="I688" s="9"/>
      <c r="J688" s="10"/>
      <c r="K688" s="3"/>
      <c r="L688" s="3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9"/>
      <c r="E689" s="1"/>
      <c r="F689" s="1"/>
      <c r="G689" s="1"/>
      <c r="H689" s="1"/>
      <c r="I689" s="9"/>
      <c r="J689" s="10"/>
      <c r="K689" s="3"/>
      <c r="L689" s="3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9"/>
      <c r="E690" s="1"/>
      <c r="F690" s="1"/>
      <c r="G690" s="1"/>
      <c r="H690" s="1"/>
      <c r="I690" s="9"/>
      <c r="J690" s="10"/>
      <c r="K690" s="3"/>
      <c r="L690" s="3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9"/>
      <c r="E691" s="1"/>
      <c r="F691" s="1"/>
      <c r="G691" s="1"/>
      <c r="H691" s="1"/>
      <c r="I691" s="9"/>
      <c r="J691" s="10"/>
      <c r="K691" s="3"/>
      <c r="L691" s="3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9"/>
      <c r="E692" s="1"/>
      <c r="F692" s="1"/>
      <c r="G692" s="1"/>
      <c r="H692" s="1"/>
      <c r="I692" s="9"/>
      <c r="J692" s="10"/>
      <c r="K692" s="3"/>
      <c r="L692" s="3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9"/>
      <c r="E693" s="1"/>
      <c r="F693" s="1"/>
      <c r="G693" s="1"/>
      <c r="H693" s="1"/>
      <c r="I693" s="9"/>
      <c r="J693" s="10"/>
      <c r="K693" s="3"/>
      <c r="L693" s="3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9"/>
      <c r="E694" s="1"/>
      <c r="F694" s="1"/>
      <c r="G694" s="1"/>
      <c r="H694" s="1"/>
      <c r="I694" s="9"/>
      <c r="J694" s="10"/>
      <c r="K694" s="3"/>
      <c r="L694" s="3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9"/>
      <c r="E695" s="1"/>
      <c r="F695" s="1"/>
      <c r="G695" s="1"/>
      <c r="H695" s="1"/>
      <c r="I695" s="9"/>
      <c r="J695" s="10"/>
      <c r="K695" s="3"/>
      <c r="L695" s="3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9"/>
      <c r="E696" s="1"/>
      <c r="F696" s="1"/>
      <c r="G696" s="1"/>
      <c r="H696" s="1"/>
      <c r="I696" s="9"/>
      <c r="J696" s="10"/>
      <c r="K696" s="3"/>
      <c r="L696" s="3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9"/>
      <c r="E697" s="1"/>
      <c r="F697" s="1"/>
      <c r="G697" s="1"/>
      <c r="H697" s="1"/>
      <c r="I697" s="9"/>
      <c r="J697" s="10"/>
      <c r="K697" s="3"/>
      <c r="L697" s="3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9"/>
      <c r="E698" s="1"/>
      <c r="F698" s="1"/>
      <c r="G698" s="1"/>
      <c r="H698" s="1"/>
      <c r="I698" s="9"/>
      <c r="J698" s="10"/>
      <c r="K698" s="3"/>
      <c r="L698" s="3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9"/>
      <c r="E699" s="1"/>
      <c r="F699" s="1"/>
      <c r="G699" s="1"/>
      <c r="H699" s="1"/>
      <c r="I699" s="9"/>
      <c r="J699" s="10"/>
      <c r="K699" s="3"/>
      <c r="L699" s="3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9"/>
      <c r="E700" s="1"/>
      <c r="F700" s="1"/>
      <c r="G700" s="1"/>
      <c r="H700" s="1"/>
      <c r="I700" s="9"/>
      <c r="J700" s="10"/>
      <c r="K700" s="3"/>
      <c r="L700" s="3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9"/>
      <c r="E701" s="1"/>
      <c r="F701" s="1"/>
      <c r="G701" s="1"/>
      <c r="H701" s="1"/>
      <c r="I701" s="9"/>
      <c r="J701" s="10"/>
      <c r="K701" s="3"/>
      <c r="L701" s="3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9"/>
      <c r="E702" s="1"/>
      <c r="F702" s="1"/>
      <c r="G702" s="1"/>
      <c r="H702" s="1"/>
      <c r="I702" s="9"/>
      <c r="J702" s="10"/>
      <c r="K702" s="3"/>
      <c r="L702" s="3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9"/>
      <c r="E703" s="1"/>
      <c r="F703" s="1"/>
      <c r="G703" s="1"/>
      <c r="H703" s="1"/>
      <c r="I703" s="9"/>
      <c r="J703" s="10"/>
      <c r="K703" s="3"/>
      <c r="L703" s="3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9"/>
      <c r="E704" s="1"/>
      <c r="F704" s="1"/>
      <c r="G704" s="1"/>
      <c r="H704" s="1"/>
      <c r="I704" s="9"/>
      <c r="J704" s="10"/>
      <c r="K704" s="3"/>
      <c r="L704" s="3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9"/>
      <c r="E705" s="1"/>
      <c r="F705" s="1"/>
      <c r="G705" s="1"/>
      <c r="H705" s="1"/>
      <c r="I705" s="9"/>
      <c r="J705" s="10"/>
      <c r="K705" s="3"/>
      <c r="L705" s="3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9"/>
      <c r="E706" s="1"/>
      <c r="F706" s="1"/>
      <c r="G706" s="1"/>
      <c r="H706" s="1"/>
      <c r="I706" s="9"/>
      <c r="J706" s="10"/>
      <c r="K706" s="3"/>
      <c r="L706" s="3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9"/>
      <c r="E707" s="1"/>
      <c r="F707" s="1"/>
      <c r="G707" s="1"/>
      <c r="H707" s="1"/>
      <c r="I707" s="9"/>
      <c r="J707" s="10"/>
      <c r="K707" s="3"/>
      <c r="L707" s="3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9"/>
      <c r="E708" s="1"/>
      <c r="F708" s="1"/>
      <c r="G708" s="1"/>
      <c r="H708" s="1"/>
      <c r="I708" s="9"/>
      <c r="J708" s="10"/>
      <c r="K708" s="3"/>
      <c r="L708" s="3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9"/>
      <c r="E709" s="1"/>
      <c r="F709" s="1"/>
      <c r="G709" s="1"/>
      <c r="H709" s="1"/>
      <c r="I709" s="9"/>
      <c r="J709" s="10"/>
      <c r="K709" s="3"/>
      <c r="L709" s="3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9"/>
      <c r="E710" s="1"/>
      <c r="F710" s="1"/>
      <c r="G710" s="1"/>
      <c r="H710" s="1"/>
      <c r="I710" s="9"/>
      <c r="J710" s="10"/>
      <c r="K710" s="3"/>
      <c r="L710" s="3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9"/>
      <c r="E711" s="1"/>
      <c r="F711" s="1"/>
      <c r="G711" s="1"/>
      <c r="H711" s="1"/>
      <c r="I711" s="9"/>
      <c r="J711" s="10"/>
      <c r="K711" s="3"/>
      <c r="L711" s="3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9"/>
      <c r="E712" s="1"/>
      <c r="F712" s="1"/>
      <c r="G712" s="1"/>
      <c r="H712" s="1"/>
      <c r="I712" s="9"/>
      <c r="J712" s="10"/>
      <c r="K712" s="3"/>
      <c r="L712" s="3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9"/>
      <c r="E713" s="1"/>
      <c r="F713" s="1"/>
      <c r="G713" s="1"/>
      <c r="H713" s="1"/>
      <c r="I713" s="9"/>
      <c r="J713" s="10"/>
      <c r="K713" s="3"/>
      <c r="L713" s="3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9"/>
      <c r="E714" s="1"/>
      <c r="F714" s="1"/>
      <c r="G714" s="1"/>
      <c r="H714" s="1"/>
      <c r="I714" s="9"/>
      <c r="J714" s="10"/>
      <c r="K714" s="3"/>
      <c r="L714" s="3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9"/>
      <c r="E715" s="1"/>
      <c r="F715" s="1"/>
      <c r="G715" s="1"/>
      <c r="H715" s="1"/>
      <c r="I715" s="9"/>
      <c r="J715" s="10"/>
      <c r="K715" s="3"/>
      <c r="L715" s="3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9"/>
      <c r="E716" s="1"/>
      <c r="F716" s="1"/>
      <c r="G716" s="1"/>
      <c r="H716" s="1"/>
      <c r="I716" s="9"/>
      <c r="J716" s="10"/>
      <c r="K716" s="3"/>
      <c r="L716" s="3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9"/>
      <c r="E717" s="1"/>
      <c r="F717" s="1"/>
      <c r="G717" s="1"/>
      <c r="H717" s="1"/>
      <c r="I717" s="9"/>
      <c r="J717" s="10"/>
      <c r="K717" s="3"/>
      <c r="L717" s="3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9"/>
      <c r="E718" s="1"/>
      <c r="F718" s="1"/>
      <c r="G718" s="1"/>
      <c r="H718" s="1"/>
      <c r="I718" s="9"/>
      <c r="J718" s="10"/>
      <c r="K718" s="3"/>
      <c r="L718" s="3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9"/>
      <c r="E719" s="1"/>
      <c r="F719" s="1"/>
      <c r="G719" s="1"/>
      <c r="H719" s="1"/>
      <c r="I719" s="9"/>
      <c r="J719" s="10"/>
      <c r="K719" s="3"/>
      <c r="L719" s="3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9"/>
      <c r="E720" s="1"/>
      <c r="F720" s="1"/>
      <c r="G720" s="1"/>
      <c r="H720" s="1"/>
      <c r="I720" s="9"/>
      <c r="J720" s="10"/>
      <c r="K720" s="3"/>
      <c r="L720" s="3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9"/>
      <c r="E721" s="1"/>
      <c r="F721" s="1"/>
      <c r="G721" s="1"/>
      <c r="H721" s="1"/>
      <c r="I721" s="9"/>
      <c r="J721" s="10"/>
      <c r="K721" s="3"/>
      <c r="L721" s="3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9"/>
      <c r="E722" s="1"/>
      <c r="F722" s="1"/>
      <c r="G722" s="1"/>
      <c r="H722" s="1"/>
      <c r="I722" s="9"/>
      <c r="J722" s="10"/>
      <c r="K722" s="3"/>
      <c r="L722" s="3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9"/>
      <c r="E723" s="1"/>
      <c r="F723" s="1"/>
      <c r="G723" s="1"/>
      <c r="H723" s="1"/>
      <c r="I723" s="9"/>
      <c r="J723" s="10"/>
      <c r="K723" s="3"/>
      <c r="L723" s="3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9"/>
      <c r="E724" s="1"/>
      <c r="F724" s="1"/>
      <c r="G724" s="1"/>
      <c r="H724" s="1"/>
      <c r="I724" s="9"/>
      <c r="J724" s="10"/>
      <c r="K724" s="3"/>
      <c r="L724" s="3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9"/>
      <c r="E725" s="1"/>
      <c r="F725" s="1"/>
      <c r="G725" s="1"/>
      <c r="H725" s="1"/>
      <c r="I725" s="9"/>
      <c r="J725" s="10"/>
      <c r="K725" s="3"/>
      <c r="L725" s="3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9"/>
      <c r="E726" s="1"/>
      <c r="F726" s="1"/>
      <c r="G726" s="1"/>
      <c r="H726" s="1"/>
      <c r="I726" s="9"/>
      <c r="J726" s="10"/>
      <c r="K726" s="3"/>
      <c r="L726" s="3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9"/>
      <c r="E727" s="1"/>
      <c r="F727" s="1"/>
      <c r="G727" s="1"/>
      <c r="H727" s="1"/>
      <c r="I727" s="9"/>
      <c r="J727" s="10"/>
      <c r="K727" s="3"/>
      <c r="L727" s="3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9"/>
      <c r="E728" s="1"/>
      <c r="F728" s="1"/>
      <c r="G728" s="1"/>
      <c r="H728" s="1"/>
      <c r="I728" s="9"/>
      <c r="J728" s="10"/>
      <c r="K728" s="3"/>
      <c r="L728" s="3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9"/>
      <c r="E729" s="1"/>
      <c r="F729" s="1"/>
      <c r="G729" s="1"/>
      <c r="H729" s="1"/>
      <c r="I729" s="9"/>
      <c r="J729" s="10"/>
      <c r="K729" s="3"/>
      <c r="L729" s="3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9"/>
      <c r="E730" s="1"/>
      <c r="F730" s="1"/>
      <c r="G730" s="1"/>
      <c r="H730" s="1"/>
      <c r="I730" s="9"/>
      <c r="J730" s="10"/>
      <c r="K730" s="3"/>
      <c r="L730" s="3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9"/>
      <c r="E731" s="1"/>
      <c r="F731" s="1"/>
      <c r="G731" s="1"/>
      <c r="H731" s="1"/>
      <c r="I731" s="9"/>
      <c r="J731" s="10"/>
      <c r="K731" s="3"/>
      <c r="L731" s="3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9"/>
      <c r="E732" s="1"/>
      <c r="F732" s="1"/>
      <c r="G732" s="1"/>
      <c r="H732" s="1"/>
      <c r="I732" s="9"/>
      <c r="J732" s="10"/>
      <c r="K732" s="3"/>
      <c r="L732" s="3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9"/>
      <c r="E733" s="1"/>
      <c r="F733" s="1"/>
      <c r="G733" s="1"/>
      <c r="H733" s="1"/>
      <c r="I733" s="9"/>
      <c r="J733" s="10"/>
      <c r="K733" s="3"/>
      <c r="L733" s="3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9"/>
      <c r="E734" s="1"/>
      <c r="F734" s="1"/>
      <c r="G734" s="1"/>
      <c r="H734" s="1"/>
      <c r="I734" s="9"/>
      <c r="J734" s="10"/>
      <c r="K734" s="3"/>
      <c r="L734" s="3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9"/>
      <c r="E735" s="1"/>
      <c r="F735" s="1"/>
      <c r="G735" s="1"/>
      <c r="H735" s="1"/>
      <c r="I735" s="9"/>
      <c r="J735" s="10"/>
      <c r="K735" s="3"/>
      <c r="L735" s="3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9"/>
      <c r="E736" s="1"/>
      <c r="F736" s="1"/>
      <c r="G736" s="1"/>
      <c r="H736" s="1"/>
      <c r="I736" s="9"/>
      <c r="J736" s="10"/>
      <c r="K736" s="3"/>
      <c r="L736" s="3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9"/>
      <c r="E737" s="1"/>
      <c r="F737" s="1"/>
      <c r="G737" s="1"/>
      <c r="H737" s="1"/>
      <c r="I737" s="9"/>
      <c r="J737" s="10"/>
      <c r="K737" s="3"/>
      <c r="L737" s="3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9"/>
      <c r="E738" s="1"/>
      <c r="F738" s="1"/>
      <c r="G738" s="1"/>
      <c r="H738" s="1"/>
      <c r="I738" s="9"/>
      <c r="J738" s="10"/>
      <c r="K738" s="3"/>
      <c r="L738" s="3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9"/>
      <c r="E739" s="1"/>
      <c r="F739" s="1"/>
      <c r="G739" s="1"/>
      <c r="H739" s="1"/>
      <c r="I739" s="9"/>
      <c r="J739" s="10"/>
      <c r="K739" s="3"/>
      <c r="L739" s="3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9"/>
      <c r="E740" s="1"/>
      <c r="F740" s="1"/>
      <c r="G740" s="1"/>
      <c r="H740" s="1"/>
      <c r="I740" s="9"/>
      <c r="J740" s="10"/>
      <c r="K740" s="3"/>
      <c r="L740" s="3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9"/>
      <c r="E741" s="1"/>
      <c r="F741" s="1"/>
      <c r="G741" s="1"/>
      <c r="H741" s="1"/>
      <c r="I741" s="9"/>
      <c r="J741" s="10"/>
      <c r="K741" s="3"/>
      <c r="L741" s="3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9"/>
      <c r="E742" s="1"/>
      <c r="F742" s="1"/>
      <c r="G742" s="1"/>
      <c r="H742" s="1"/>
      <c r="I742" s="9"/>
      <c r="J742" s="10"/>
      <c r="K742" s="3"/>
      <c r="L742" s="3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9"/>
      <c r="E743" s="1"/>
      <c r="F743" s="1"/>
      <c r="G743" s="1"/>
      <c r="H743" s="1"/>
      <c r="I743" s="9"/>
      <c r="J743" s="10"/>
      <c r="K743" s="3"/>
      <c r="L743" s="3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9"/>
      <c r="E744" s="1"/>
      <c r="F744" s="1"/>
      <c r="G744" s="1"/>
      <c r="H744" s="1"/>
      <c r="I744" s="9"/>
      <c r="J744" s="10"/>
      <c r="K744" s="3"/>
      <c r="L744" s="3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9"/>
      <c r="E745" s="1"/>
      <c r="F745" s="1"/>
      <c r="G745" s="1"/>
      <c r="H745" s="1"/>
      <c r="I745" s="9"/>
      <c r="J745" s="10"/>
      <c r="K745" s="3"/>
      <c r="L745" s="3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9"/>
      <c r="E746" s="1"/>
      <c r="F746" s="1"/>
      <c r="G746" s="1"/>
      <c r="H746" s="1"/>
      <c r="I746" s="9"/>
      <c r="J746" s="10"/>
      <c r="K746" s="3"/>
      <c r="L746" s="3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9"/>
      <c r="E747" s="1"/>
      <c r="F747" s="1"/>
      <c r="G747" s="1"/>
      <c r="H747" s="1"/>
      <c r="I747" s="9"/>
      <c r="J747" s="10"/>
      <c r="K747" s="3"/>
      <c r="L747" s="3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9"/>
      <c r="E748" s="1"/>
      <c r="F748" s="1"/>
      <c r="G748" s="1"/>
      <c r="H748" s="1"/>
      <c r="I748" s="9"/>
      <c r="J748" s="10"/>
      <c r="K748" s="3"/>
      <c r="L748" s="3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9"/>
      <c r="E749" s="1"/>
      <c r="F749" s="1"/>
      <c r="G749" s="1"/>
      <c r="H749" s="1"/>
      <c r="I749" s="9"/>
      <c r="J749" s="10"/>
      <c r="K749" s="3"/>
      <c r="L749" s="3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9"/>
      <c r="E750" s="1"/>
      <c r="F750" s="1"/>
      <c r="G750" s="1"/>
      <c r="H750" s="1"/>
      <c r="I750" s="9"/>
      <c r="J750" s="10"/>
      <c r="K750" s="3"/>
      <c r="L750" s="3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9"/>
      <c r="E751" s="1"/>
      <c r="F751" s="1"/>
      <c r="G751" s="1"/>
      <c r="H751" s="1"/>
      <c r="I751" s="9"/>
      <c r="J751" s="10"/>
      <c r="K751" s="3"/>
      <c r="L751" s="3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9"/>
      <c r="E752" s="1"/>
      <c r="F752" s="1"/>
      <c r="G752" s="1"/>
      <c r="H752" s="1"/>
      <c r="I752" s="9"/>
      <c r="J752" s="10"/>
      <c r="K752" s="3"/>
      <c r="L752" s="3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9"/>
      <c r="E753" s="1"/>
      <c r="F753" s="1"/>
      <c r="G753" s="1"/>
      <c r="H753" s="1"/>
      <c r="I753" s="9"/>
      <c r="J753" s="10"/>
      <c r="K753" s="3"/>
      <c r="L753" s="3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9"/>
      <c r="E754" s="1"/>
      <c r="F754" s="1"/>
      <c r="G754" s="1"/>
      <c r="H754" s="1"/>
      <c r="I754" s="9"/>
      <c r="J754" s="10"/>
      <c r="K754" s="3"/>
      <c r="L754" s="3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9"/>
      <c r="E755" s="1"/>
      <c r="F755" s="1"/>
      <c r="G755" s="1"/>
      <c r="H755" s="1"/>
      <c r="I755" s="9"/>
      <c r="J755" s="10"/>
      <c r="K755" s="3"/>
      <c r="L755" s="3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9"/>
      <c r="E756" s="1"/>
      <c r="F756" s="1"/>
      <c r="G756" s="1"/>
      <c r="H756" s="1"/>
      <c r="I756" s="9"/>
      <c r="J756" s="10"/>
      <c r="K756" s="3"/>
      <c r="L756" s="3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9"/>
      <c r="E757" s="1"/>
      <c r="F757" s="1"/>
      <c r="G757" s="1"/>
      <c r="H757" s="1"/>
      <c r="I757" s="9"/>
      <c r="J757" s="10"/>
      <c r="K757" s="3"/>
      <c r="L757" s="3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9"/>
      <c r="E758" s="1"/>
      <c r="F758" s="1"/>
      <c r="G758" s="1"/>
      <c r="H758" s="1"/>
      <c r="I758" s="9"/>
      <c r="J758" s="10"/>
      <c r="K758" s="3"/>
      <c r="L758" s="3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9"/>
      <c r="E759" s="1"/>
      <c r="F759" s="1"/>
      <c r="G759" s="1"/>
      <c r="H759" s="1"/>
      <c r="I759" s="9"/>
      <c r="J759" s="10"/>
      <c r="K759" s="3"/>
      <c r="L759" s="3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9"/>
      <c r="E760" s="1"/>
      <c r="F760" s="1"/>
      <c r="G760" s="1"/>
      <c r="H760" s="1"/>
      <c r="I760" s="9"/>
      <c r="J760" s="10"/>
      <c r="K760" s="3"/>
      <c r="L760" s="3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9"/>
      <c r="E761" s="1"/>
      <c r="F761" s="1"/>
      <c r="G761" s="1"/>
      <c r="H761" s="1"/>
      <c r="I761" s="9"/>
      <c r="J761" s="10"/>
      <c r="K761" s="3"/>
      <c r="L761" s="3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9"/>
      <c r="E762" s="1"/>
      <c r="F762" s="1"/>
      <c r="G762" s="1"/>
      <c r="H762" s="1"/>
      <c r="I762" s="9"/>
      <c r="J762" s="10"/>
      <c r="K762" s="3"/>
      <c r="L762" s="3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9"/>
      <c r="E763" s="1"/>
      <c r="F763" s="1"/>
      <c r="G763" s="1"/>
      <c r="H763" s="1"/>
      <c r="I763" s="9"/>
      <c r="J763" s="10"/>
      <c r="K763" s="3"/>
      <c r="L763" s="3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9"/>
      <c r="E764" s="1"/>
      <c r="F764" s="1"/>
      <c r="G764" s="1"/>
      <c r="H764" s="1"/>
      <c r="I764" s="9"/>
      <c r="J764" s="10"/>
      <c r="K764" s="3"/>
      <c r="L764" s="3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9"/>
      <c r="E765" s="1"/>
      <c r="F765" s="1"/>
      <c r="G765" s="1"/>
      <c r="H765" s="1"/>
      <c r="I765" s="9"/>
      <c r="J765" s="10"/>
      <c r="K765" s="3"/>
      <c r="L765" s="3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9"/>
      <c r="E766" s="1"/>
      <c r="F766" s="1"/>
      <c r="G766" s="1"/>
      <c r="H766" s="1"/>
      <c r="I766" s="9"/>
      <c r="J766" s="10"/>
      <c r="K766" s="3"/>
      <c r="L766" s="3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9"/>
      <c r="E767" s="1"/>
      <c r="F767" s="1"/>
      <c r="G767" s="1"/>
      <c r="H767" s="1"/>
      <c r="I767" s="9"/>
      <c r="J767" s="10"/>
      <c r="K767" s="3"/>
      <c r="L767" s="3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9"/>
      <c r="E768" s="1"/>
      <c r="F768" s="1"/>
      <c r="G768" s="1"/>
      <c r="H768" s="1"/>
      <c r="I768" s="9"/>
      <c r="J768" s="10"/>
      <c r="K768" s="3"/>
      <c r="L768" s="3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9"/>
      <c r="E769" s="1"/>
      <c r="F769" s="1"/>
      <c r="G769" s="1"/>
      <c r="H769" s="1"/>
      <c r="I769" s="9"/>
      <c r="J769" s="10"/>
      <c r="K769" s="3"/>
      <c r="L769" s="3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9"/>
      <c r="E770" s="1"/>
      <c r="F770" s="1"/>
      <c r="G770" s="1"/>
      <c r="H770" s="1"/>
      <c r="I770" s="9"/>
      <c r="J770" s="10"/>
      <c r="K770" s="3"/>
      <c r="L770" s="3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9"/>
      <c r="E771" s="1"/>
      <c r="F771" s="1"/>
      <c r="G771" s="1"/>
      <c r="H771" s="1"/>
      <c r="I771" s="9"/>
      <c r="J771" s="10"/>
      <c r="K771" s="3"/>
      <c r="L771" s="3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9"/>
      <c r="E772" s="1"/>
      <c r="F772" s="1"/>
      <c r="G772" s="1"/>
      <c r="H772" s="1"/>
      <c r="I772" s="9"/>
      <c r="J772" s="10"/>
      <c r="K772" s="3"/>
      <c r="L772" s="3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9"/>
      <c r="E773" s="1"/>
      <c r="F773" s="1"/>
      <c r="G773" s="1"/>
      <c r="H773" s="1"/>
      <c r="I773" s="9"/>
      <c r="J773" s="10"/>
      <c r="K773" s="3"/>
      <c r="L773" s="3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9"/>
      <c r="E774" s="1"/>
      <c r="F774" s="1"/>
      <c r="G774" s="1"/>
      <c r="H774" s="1"/>
      <c r="I774" s="9"/>
      <c r="J774" s="10"/>
      <c r="K774" s="3"/>
      <c r="L774" s="3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9"/>
      <c r="E775" s="1"/>
      <c r="F775" s="1"/>
      <c r="G775" s="1"/>
      <c r="H775" s="1"/>
      <c r="I775" s="9"/>
      <c r="J775" s="10"/>
      <c r="K775" s="3"/>
      <c r="L775" s="3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9"/>
      <c r="E776" s="1"/>
      <c r="F776" s="1"/>
      <c r="G776" s="1"/>
      <c r="H776" s="1"/>
      <c r="I776" s="9"/>
      <c r="J776" s="10"/>
      <c r="K776" s="3"/>
      <c r="L776" s="3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9"/>
      <c r="E777" s="1"/>
      <c r="F777" s="1"/>
      <c r="G777" s="1"/>
      <c r="H777" s="1"/>
      <c r="I777" s="9"/>
      <c r="J777" s="10"/>
      <c r="K777" s="3"/>
      <c r="L777" s="3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9"/>
      <c r="E778" s="1"/>
      <c r="F778" s="1"/>
      <c r="G778" s="1"/>
      <c r="H778" s="1"/>
      <c r="I778" s="9"/>
      <c r="J778" s="10"/>
      <c r="K778" s="3"/>
      <c r="L778" s="3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9"/>
      <c r="E779" s="1"/>
      <c r="F779" s="1"/>
      <c r="G779" s="1"/>
      <c r="H779" s="1"/>
      <c r="I779" s="9"/>
      <c r="J779" s="10"/>
      <c r="K779" s="3"/>
      <c r="L779" s="3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9"/>
      <c r="E780" s="1"/>
      <c r="F780" s="1"/>
      <c r="G780" s="1"/>
      <c r="H780" s="1"/>
      <c r="I780" s="9"/>
      <c r="J780" s="10"/>
      <c r="K780" s="3"/>
      <c r="L780" s="3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9"/>
      <c r="E781" s="1"/>
      <c r="F781" s="1"/>
      <c r="G781" s="1"/>
      <c r="H781" s="1"/>
      <c r="I781" s="9"/>
      <c r="J781" s="10"/>
      <c r="K781" s="3"/>
      <c r="L781" s="3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9"/>
      <c r="E782" s="1"/>
      <c r="F782" s="1"/>
      <c r="G782" s="1"/>
      <c r="H782" s="1"/>
      <c r="I782" s="9"/>
      <c r="J782" s="10"/>
      <c r="K782" s="3"/>
      <c r="L782" s="3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9"/>
      <c r="E783" s="1"/>
      <c r="F783" s="1"/>
      <c r="G783" s="1"/>
      <c r="H783" s="1"/>
      <c r="I783" s="9"/>
      <c r="J783" s="10"/>
      <c r="K783" s="3"/>
      <c r="L783" s="3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9"/>
      <c r="E784" s="1"/>
      <c r="F784" s="1"/>
      <c r="G784" s="1"/>
      <c r="H784" s="1"/>
      <c r="I784" s="9"/>
      <c r="J784" s="10"/>
      <c r="K784" s="3"/>
      <c r="L784" s="3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9"/>
      <c r="E785" s="1"/>
      <c r="F785" s="1"/>
      <c r="G785" s="1"/>
      <c r="H785" s="1"/>
      <c r="I785" s="9"/>
      <c r="J785" s="10"/>
      <c r="K785" s="3"/>
      <c r="L785" s="3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9"/>
      <c r="E786" s="1"/>
      <c r="F786" s="1"/>
      <c r="G786" s="1"/>
      <c r="H786" s="1"/>
      <c r="I786" s="9"/>
      <c r="J786" s="10"/>
      <c r="K786" s="3"/>
      <c r="L786" s="3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9"/>
      <c r="E787" s="1"/>
      <c r="F787" s="1"/>
      <c r="G787" s="1"/>
      <c r="H787" s="1"/>
      <c r="I787" s="9"/>
      <c r="J787" s="10"/>
      <c r="K787" s="3"/>
      <c r="L787" s="3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9"/>
      <c r="E788" s="1"/>
      <c r="F788" s="1"/>
      <c r="G788" s="1"/>
      <c r="H788" s="1"/>
      <c r="I788" s="9"/>
      <c r="J788" s="10"/>
      <c r="K788" s="3"/>
      <c r="L788" s="3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9"/>
      <c r="E789" s="1"/>
      <c r="F789" s="1"/>
      <c r="G789" s="1"/>
      <c r="H789" s="1"/>
      <c r="I789" s="9"/>
      <c r="J789" s="10"/>
      <c r="K789" s="3"/>
      <c r="L789" s="3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9"/>
      <c r="E790" s="1"/>
      <c r="F790" s="1"/>
      <c r="G790" s="1"/>
      <c r="H790" s="1"/>
      <c r="I790" s="9"/>
      <c r="J790" s="10"/>
      <c r="K790" s="3"/>
      <c r="L790" s="3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9"/>
      <c r="E791" s="1"/>
      <c r="F791" s="1"/>
      <c r="G791" s="1"/>
      <c r="H791" s="1"/>
      <c r="I791" s="9"/>
      <c r="J791" s="10"/>
      <c r="K791" s="3"/>
      <c r="L791" s="3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9"/>
      <c r="E792" s="1"/>
      <c r="F792" s="1"/>
      <c r="G792" s="1"/>
      <c r="H792" s="1"/>
      <c r="I792" s="9"/>
      <c r="J792" s="10"/>
      <c r="K792" s="3"/>
      <c r="L792" s="3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9"/>
      <c r="E793" s="1"/>
      <c r="F793" s="1"/>
      <c r="G793" s="1"/>
      <c r="H793" s="1"/>
      <c r="I793" s="9"/>
      <c r="J793" s="10"/>
      <c r="K793" s="3"/>
      <c r="L793" s="3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9"/>
      <c r="E794" s="1"/>
      <c r="F794" s="1"/>
      <c r="G794" s="1"/>
      <c r="H794" s="1"/>
      <c r="I794" s="9"/>
      <c r="J794" s="10"/>
      <c r="K794" s="3"/>
      <c r="L794" s="3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9"/>
      <c r="E795" s="1"/>
      <c r="F795" s="1"/>
      <c r="G795" s="1"/>
      <c r="H795" s="1"/>
      <c r="I795" s="9"/>
      <c r="J795" s="10"/>
      <c r="K795" s="3"/>
      <c r="L795" s="3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9"/>
      <c r="E796" s="1"/>
      <c r="F796" s="1"/>
      <c r="G796" s="1"/>
      <c r="H796" s="1"/>
      <c r="I796" s="9"/>
      <c r="J796" s="10"/>
      <c r="K796" s="3"/>
      <c r="L796" s="3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9"/>
      <c r="E797" s="1"/>
      <c r="F797" s="1"/>
      <c r="G797" s="1"/>
      <c r="H797" s="1"/>
      <c r="I797" s="9"/>
      <c r="J797" s="10"/>
      <c r="K797" s="3"/>
      <c r="L797" s="3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9"/>
      <c r="E798" s="1"/>
      <c r="F798" s="1"/>
      <c r="G798" s="1"/>
      <c r="H798" s="1"/>
      <c r="I798" s="9"/>
      <c r="J798" s="10"/>
      <c r="K798" s="3"/>
      <c r="L798" s="3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9"/>
      <c r="E799" s="1"/>
      <c r="F799" s="1"/>
      <c r="G799" s="1"/>
      <c r="H799" s="1"/>
      <c r="I799" s="9"/>
      <c r="J799" s="10"/>
      <c r="K799" s="3"/>
      <c r="L799" s="3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9"/>
      <c r="E800" s="1"/>
      <c r="F800" s="1"/>
      <c r="G800" s="1"/>
      <c r="H800" s="1"/>
      <c r="I800" s="9"/>
      <c r="J800" s="10"/>
      <c r="K800" s="3"/>
      <c r="L800" s="3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9"/>
      <c r="E801" s="1"/>
      <c r="F801" s="1"/>
      <c r="G801" s="1"/>
      <c r="H801" s="1"/>
      <c r="I801" s="9"/>
      <c r="J801" s="10"/>
      <c r="K801" s="3"/>
      <c r="L801" s="3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9"/>
      <c r="E802" s="1"/>
      <c r="F802" s="1"/>
      <c r="G802" s="1"/>
      <c r="H802" s="1"/>
      <c r="I802" s="9"/>
      <c r="J802" s="10"/>
      <c r="K802" s="3"/>
      <c r="L802" s="3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9"/>
      <c r="E803" s="1"/>
      <c r="F803" s="1"/>
      <c r="G803" s="1"/>
      <c r="H803" s="1"/>
      <c r="I803" s="9"/>
      <c r="J803" s="10"/>
      <c r="K803" s="3"/>
      <c r="L803" s="3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9"/>
      <c r="E804" s="1"/>
      <c r="F804" s="1"/>
      <c r="G804" s="1"/>
      <c r="H804" s="1"/>
      <c r="I804" s="9"/>
      <c r="J804" s="10"/>
      <c r="K804" s="3"/>
      <c r="L804" s="3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9"/>
      <c r="E805" s="1"/>
      <c r="F805" s="1"/>
      <c r="G805" s="1"/>
      <c r="H805" s="1"/>
      <c r="I805" s="9"/>
      <c r="J805" s="10"/>
      <c r="K805" s="3"/>
      <c r="L805" s="3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9"/>
      <c r="E806" s="1"/>
      <c r="F806" s="1"/>
      <c r="G806" s="1"/>
      <c r="H806" s="1"/>
      <c r="I806" s="9"/>
      <c r="J806" s="10"/>
      <c r="K806" s="3"/>
      <c r="L806" s="3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9"/>
      <c r="E807" s="1"/>
      <c r="F807" s="1"/>
      <c r="G807" s="1"/>
      <c r="H807" s="1"/>
      <c r="I807" s="9"/>
      <c r="J807" s="10"/>
      <c r="K807" s="3"/>
      <c r="L807" s="3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9"/>
      <c r="E808" s="1"/>
      <c r="F808" s="1"/>
      <c r="G808" s="1"/>
      <c r="H808" s="1"/>
      <c r="I808" s="9"/>
      <c r="J808" s="10"/>
      <c r="K808" s="3"/>
      <c r="L808" s="3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9"/>
      <c r="E809" s="1"/>
      <c r="F809" s="1"/>
      <c r="G809" s="1"/>
      <c r="H809" s="1"/>
      <c r="I809" s="9"/>
      <c r="J809" s="10"/>
      <c r="K809" s="3"/>
      <c r="L809" s="3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9"/>
      <c r="E810" s="1"/>
      <c r="F810" s="1"/>
      <c r="G810" s="1"/>
      <c r="H810" s="1"/>
      <c r="I810" s="9"/>
      <c r="J810" s="10"/>
      <c r="K810" s="3"/>
      <c r="L810" s="3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9"/>
      <c r="E811" s="1"/>
      <c r="F811" s="1"/>
      <c r="G811" s="1"/>
      <c r="H811" s="1"/>
      <c r="I811" s="9"/>
      <c r="J811" s="10"/>
      <c r="K811" s="3"/>
      <c r="L811" s="3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9"/>
      <c r="E812" s="1"/>
      <c r="F812" s="1"/>
      <c r="G812" s="1"/>
      <c r="H812" s="1"/>
      <c r="I812" s="9"/>
      <c r="J812" s="10"/>
      <c r="K812" s="3"/>
      <c r="L812" s="3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9"/>
      <c r="E813" s="1"/>
      <c r="F813" s="1"/>
      <c r="G813" s="1"/>
      <c r="H813" s="1"/>
      <c r="I813" s="9"/>
      <c r="J813" s="10"/>
      <c r="K813" s="3"/>
      <c r="L813" s="3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9"/>
      <c r="E814" s="1"/>
      <c r="F814" s="1"/>
      <c r="G814" s="1"/>
      <c r="H814" s="1"/>
      <c r="I814" s="9"/>
      <c r="J814" s="10"/>
      <c r="K814" s="3"/>
      <c r="L814" s="3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9"/>
      <c r="E815" s="1"/>
      <c r="F815" s="1"/>
      <c r="G815" s="1"/>
      <c r="H815" s="1"/>
      <c r="I815" s="9"/>
      <c r="J815" s="10"/>
      <c r="K815" s="3"/>
      <c r="L815" s="3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9"/>
      <c r="E816" s="1"/>
      <c r="F816" s="1"/>
      <c r="G816" s="1"/>
      <c r="H816" s="1"/>
      <c r="I816" s="9"/>
      <c r="J816" s="10"/>
      <c r="K816" s="3"/>
      <c r="L816" s="3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9"/>
      <c r="E817" s="1"/>
      <c r="F817" s="1"/>
      <c r="G817" s="1"/>
      <c r="H817" s="1"/>
      <c r="I817" s="9"/>
      <c r="J817" s="10"/>
      <c r="K817" s="3"/>
      <c r="L817" s="3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9"/>
      <c r="E818" s="1"/>
      <c r="F818" s="1"/>
      <c r="G818" s="1"/>
      <c r="H818" s="1"/>
      <c r="I818" s="9"/>
      <c r="J818" s="10"/>
      <c r="K818" s="3"/>
      <c r="L818" s="3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9"/>
      <c r="E819" s="1"/>
      <c r="F819" s="1"/>
      <c r="G819" s="1"/>
      <c r="H819" s="1"/>
      <c r="I819" s="9"/>
      <c r="J819" s="10"/>
      <c r="K819" s="3"/>
      <c r="L819" s="3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9"/>
      <c r="E820" s="1"/>
      <c r="F820" s="1"/>
      <c r="G820" s="1"/>
      <c r="H820" s="1"/>
      <c r="I820" s="9"/>
      <c r="J820" s="10"/>
      <c r="K820" s="3"/>
      <c r="L820" s="3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9"/>
      <c r="E821" s="1"/>
      <c r="F821" s="1"/>
      <c r="G821" s="1"/>
      <c r="H821" s="1"/>
      <c r="I821" s="9"/>
      <c r="J821" s="10"/>
      <c r="K821" s="3"/>
      <c r="L821" s="3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9"/>
      <c r="E822" s="1"/>
      <c r="F822" s="1"/>
      <c r="G822" s="1"/>
      <c r="H822" s="1"/>
      <c r="I822" s="9"/>
      <c r="J822" s="10"/>
      <c r="K822" s="3"/>
      <c r="L822" s="3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9"/>
      <c r="E823" s="1"/>
      <c r="F823" s="1"/>
      <c r="G823" s="1"/>
      <c r="H823" s="1"/>
      <c r="I823" s="9"/>
      <c r="J823" s="10"/>
      <c r="K823" s="3"/>
      <c r="L823" s="3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9"/>
      <c r="E824" s="1"/>
      <c r="F824" s="1"/>
      <c r="G824" s="1"/>
      <c r="H824" s="1"/>
      <c r="I824" s="9"/>
      <c r="J824" s="10"/>
      <c r="K824" s="3"/>
      <c r="L824" s="3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9"/>
      <c r="E825" s="1"/>
      <c r="F825" s="1"/>
      <c r="G825" s="1"/>
      <c r="H825" s="1"/>
      <c r="I825" s="9"/>
      <c r="J825" s="10"/>
      <c r="K825" s="3"/>
      <c r="L825" s="3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9"/>
      <c r="E826" s="1"/>
      <c r="F826" s="1"/>
      <c r="G826" s="1"/>
      <c r="H826" s="1"/>
      <c r="I826" s="9"/>
      <c r="J826" s="10"/>
      <c r="K826" s="3"/>
      <c r="L826" s="3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9"/>
      <c r="E827" s="1"/>
      <c r="F827" s="1"/>
      <c r="G827" s="1"/>
      <c r="H827" s="1"/>
      <c r="I827" s="9"/>
      <c r="J827" s="10"/>
      <c r="K827" s="3"/>
      <c r="L827" s="3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9"/>
      <c r="E828" s="1"/>
      <c r="F828" s="1"/>
      <c r="G828" s="1"/>
      <c r="H828" s="1"/>
      <c r="I828" s="9"/>
      <c r="J828" s="10"/>
      <c r="K828" s="3"/>
      <c r="L828" s="3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9"/>
      <c r="E829" s="1"/>
      <c r="F829" s="1"/>
      <c r="G829" s="1"/>
      <c r="H829" s="1"/>
      <c r="I829" s="9"/>
      <c r="J829" s="10"/>
      <c r="K829" s="3"/>
      <c r="L829" s="3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9"/>
      <c r="E830" s="1"/>
      <c r="F830" s="1"/>
      <c r="G830" s="1"/>
      <c r="H830" s="1"/>
      <c r="I830" s="9"/>
      <c r="J830" s="10"/>
      <c r="K830" s="3"/>
      <c r="L830" s="3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9"/>
      <c r="E831" s="1"/>
      <c r="F831" s="1"/>
      <c r="G831" s="1"/>
      <c r="H831" s="1"/>
      <c r="I831" s="9"/>
      <c r="J831" s="10"/>
      <c r="K831" s="3"/>
      <c r="L831" s="3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9"/>
      <c r="E832" s="1"/>
      <c r="F832" s="1"/>
      <c r="G832" s="1"/>
      <c r="H832" s="1"/>
      <c r="I832" s="9"/>
      <c r="J832" s="10"/>
      <c r="K832" s="3"/>
      <c r="L832" s="3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9"/>
      <c r="E833" s="1"/>
      <c r="F833" s="1"/>
      <c r="G833" s="1"/>
      <c r="H833" s="1"/>
      <c r="I833" s="9"/>
      <c r="J833" s="10"/>
      <c r="K833" s="3"/>
      <c r="L833" s="3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9"/>
      <c r="E834" s="1"/>
      <c r="F834" s="1"/>
      <c r="G834" s="1"/>
      <c r="H834" s="1"/>
      <c r="I834" s="9"/>
      <c r="J834" s="10"/>
      <c r="K834" s="3"/>
      <c r="L834" s="3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9"/>
      <c r="E835" s="1"/>
      <c r="F835" s="1"/>
      <c r="G835" s="1"/>
      <c r="H835" s="1"/>
      <c r="I835" s="9"/>
      <c r="J835" s="10"/>
      <c r="K835" s="3"/>
      <c r="L835" s="3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9"/>
      <c r="E836" s="1"/>
      <c r="F836" s="1"/>
      <c r="G836" s="1"/>
      <c r="H836" s="1"/>
      <c r="I836" s="9"/>
      <c r="J836" s="10"/>
      <c r="K836" s="3"/>
      <c r="L836" s="3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9"/>
      <c r="E837" s="1"/>
      <c r="F837" s="1"/>
      <c r="G837" s="1"/>
      <c r="H837" s="1"/>
      <c r="I837" s="9"/>
      <c r="J837" s="10"/>
      <c r="K837" s="3"/>
      <c r="L837" s="3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9"/>
      <c r="E838" s="1"/>
      <c r="F838" s="1"/>
      <c r="G838" s="1"/>
      <c r="H838" s="1"/>
      <c r="I838" s="9"/>
      <c r="J838" s="10"/>
      <c r="K838" s="3"/>
      <c r="L838" s="3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9"/>
      <c r="E839" s="1"/>
      <c r="F839" s="1"/>
      <c r="G839" s="1"/>
      <c r="H839" s="1"/>
      <c r="I839" s="9"/>
      <c r="J839" s="10"/>
      <c r="K839" s="3"/>
      <c r="L839" s="3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9"/>
      <c r="E840" s="1"/>
      <c r="F840" s="1"/>
      <c r="G840" s="1"/>
      <c r="H840" s="1"/>
      <c r="I840" s="9"/>
      <c r="J840" s="10"/>
      <c r="K840" s="3"/>
      <c r="L840" s="3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9"/>
      <c r="E841" s="1"/>
      <c r="F841" s="1"/>
      <c r="G841" s="1"/>
      <c r="H841" s="1"/>
      <c r="I841" s="9"/>
      <c r="J841" s="10"/>
      <c r="K841" s="3"/>
      <c r="L841" s="3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9"/>
      <c r="E842" s="1"/>
      <c r="F842" s="1"/>
      <c r="G842" s="1"/>
      <c r="H842" s="1"/>
      <c r="I842" s="9"/>
      <c r="J842" s="10"/>
      <c r="K842" s="3"/>
      <c r="L842" s="3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9"/>
      <c r="E843" s="1"/>
      <c r="F843" s="1"/>
      <c r="G843" s="1"/>
      <c r="H843" s="1"/>
      <c r="I843" s="9"/>
      <c r="J843" s="10"/>
      <c r="K843" s="3"/>
      <c r="L843" s="3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9"/>
      <c r="E844" s="1"/>
      <c r="F844" s="1"/>
      <c r="G844" s="1"/>
      <c r="H844" s="1"/>
      <c r="I844" s="9"/>
      <c r="J844" s="10"/>
      <c r="K844" s="3"/>
      <c r="L844" s="3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9"/>
      <c r="E845" s="1"/>
      <c r="F845" s="1"/>
      <c r="G845" s="1"/>
      <c r="H845" s="1"/>
      <c r="I845" s="9"/>
      <c r="J845" s="10"/>
      <c r="K845" s="3"/>
      <c r="L845" s="3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9"/>
      <c r="E846" s="1"/>
      <c r="F846" s="1"/>
      <c r="G846" s="1"/>
      <c r="H846" s="1"/>
      <c r="I846" s="9"/>
      <c r="J846" s="10"/>
      <c r="K846" s="3"/>
      <c r="L846" s="3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9"/>
      <c r="E847" s="1"/>
      <c r="F847" s="1"/>
      <c r="G847" s="1"/>
      <c r="H847" s="1"/>
      <c r="I847" s="9"/>
      <c r="J847" s="10"/>
      <c r="K847" s="3"/>
      <c r="L847" s="3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9"/>
      <c r="E848" s="1"/>
      <c r="F848" s="1"/>
      <c r="G848" s="1"/>
      <c r="H848" s="1"/>
      <c r="I848" s="9"/>
      <c r="J848" s="10"/>
      <c r="K848" s="3"/>
      <c r="L848" s="3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9"/>
      <c r="E849" s="1"/>
      <c r="F849" s="1"/>
      <c r="G849" s="1"/>
      <c r="H849" s="1"/>
      <c r="I849" s="9"/>
      <c r="J849" s="10"/>
      <c r="K849" s="3"/>
      <c r="L849" s="3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9"/>
      <c r="E850" s="1"/>
      <c r="F850" s="1"/>
      <c r="G850" s="1"/>
      <c r="H850" s="1"/>
      <c r="I850" s="9"/>
      <c r="J850" s="10"/>
      <c r="K850" s="3"/>
      <c r="L850" s="3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9"/>
      <c r="E851" s="1"/>
      <c r="F851" s="1"/>
      <c r="G851" s="1"/>
      <c r="H851" s="1"/>
      <c r="I851" s="9"/>
      <c r="J851" s="10"/>
      <c r="K851" s="3"/>
      <c r="L851" s="3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9"/>
      <c r="E852" s="1"/>
      <c r="F852" s="1"/>
      <c r="G852" s="1"/>
      <c r="H852" s="1"/>
      <c r="I852" s="9"/>
      <c r="J852" s="10"/>
      <c r="K852" s="3"/>
      <c r="L852" s="3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9"/>
      <c r="E853" s="1"/>
      <c r="F853" s="1"/>
      <c r="G853" s="1"/>
      <c r="H853" s="1"/>
      <c r="I853" s="9"/>
      <c r="J853" s="10"/>
      <c r="K853" s="3"/>
      <c r="L853" s="3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9"/>
      <c r="E854" s="1"/>
      <c r="F854" s="1"/>
      <c r="G854" s="1"/>
      <c r="H854" s="1"/>
      <c r="I854" s="9"/>
      <c r="J854" s="10"/>
      <c r="K854" s="3"/>
      <c r="L854" s="3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9"/>
      <c r="E855" s="1"/>
      <c r="F855" s="1"/>
      <c r="G855" s="1"/>
      <c r="H855" s="1"/>
      <c r="I855" s="9"/>
      <c r="J855" s="10"/>
      <c r="K855" s="3"/>
      <c r="L855" s="3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9"/>
      <c r="E856" s="1"/>
      <c r="F856" s="1"/>
      <c r="G856" s="1"/>
      <c r="H856" s="1"/>
      <c r="I856" s="9"/>
      <c r="J856" s="10"/>
      <c r="K856" s="3"/>
      <c r="L856" s="3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9"/>
      <c r="E857" s="1"/>
      <c r="F857" s="1"/>
      <c r="G857" s="1"/>
      <c r="H857" s="1"/>
      <c r="I857" s="9"/>
      <c r="J857" s="10"/>
      <c r="K857" s="3"/>
      <c r="L857" s="3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9"/>
      <c r="E858" s="1"/>
      <c r="F858" s="1"/>
      <c r="G858" s="1"/>
      <c r="H858" s="1"/>
      <c r="I858" s="9"/>
      <c r="J858" s="10"/>
      <c r="K858" s="3"/>
      <c r="L858" s="3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9"/>
      <c r="E859" s="1"/>
      <c r="F859" s="1"/>
      <c r="G859" s="1"/>
      <c r="H859" s="1"/>
      <c r="I859" s="9"/>
      <c r="J859" s="10"/>
      <c r="K859" s="3"/>
      <c r="L859" s="3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9"/>
      <c r="E860" s="1"/>
      <c r="F860" s="1"/>
      <c r="G860" s="1"/>
      <c r="H860" s="1"/>
      <c r="I860" s="9"/>
      <c r="J860" s="10"/>
      <c r="K860" s="3"/>
      <c r="L860" s="3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9"/>
      <c r="E861" s="1"/>
      <c r="F861" s="1"/>
      <c r="G861" s="1"/>
      <c r="H861" s="1"/>
      <c r="I861" s="9"/>
      <c r="J861" s="10"/>
      <c r="K861" s="3"/>
      <c r="L861" s="3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9"/>
      <c r="E862" s="1"/>
      <c r="F862" s="1"/>
      <c r="G862" s="1"/>
      <c r="H862" s="1"/>
      <c r="I862" s="9"/>
      <c r="J862" s="10"/>
      <c r="K862" s="3"/>
      <c r="L862" s="3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9"/>
      <c r="E863" s="1"/>
      <c r="F863" s="1"/>
      <c r="G863" s="1"/>
      <c r="H863" s="1"/>
      <c r="I863" s="9"/>
      <c r="J863" s="10"/>
      <c r="K863" s="3"/>
      <c r="L863" s="3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9"/>
      <c r="E864" s="1"/>
      <c r="F864" s="1"/>
      <c r="G864" s="1"/>
      <c r="H864" s="1"/>
      <c r="I864" s="9"/>
      <c r="J864" s="10"/>
      <c r="K864" s="3"/>
      <c r="L864" s="3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9"/>
      <c r="E865" s="1"/>
      <c r="F865" s="1"/>
      <c r="G865" s="1"/>
      <c r="H865" s="1"/>
      <c r="I865" s="9"/>
      <c r="J865" s="10"/>
      <c r="K865" s="3"/>
      <c r="L865" s="3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9"/>
      <c r="E866" s="1"/>
      <c r="F866" s="1"/>
      <c r="G866" s="1"/>
      <c r="H866" s="1"/>
      <c r="I866" s="9"/>
      <c r="J866" s="10"/>
      <c r="K866" s="3"/>
      <c r="L866" s="3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9"/>
      <c r="E867" s="1"/>
      <c r="F867" s="1"/>
      <c r="G867" s="1"/>
      <c r="H867" s="1"/>
      <c r="I867" s="9"/>
      <c r="J867" s="10"/>
      <c r="K867" s="3"/>
      <c r="L867" s="3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9"/>
      <c r="E868" s="1"/>
      <c r="F868" s="1"/>
      <c r="G868" s="1"/>
      <c r="H868" s="1"/>
      <c r="I868" s="9"/>
      <c r="J868" s="10"/>
      <c r="K868" s="3"/>
      <c r="L868" s="3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9"/>
      <c r="E869" s="1"/>
      <c r="F869" s="1"/>
      <c r="G869" s="1"/>
      <c r="H869" s="1"/>
      <c r="I869" s="9"/>
      <c r="J869" s="10"/>
      <c r="K869" s="3"/>
      <c r="L869" s="3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9"/>
      <c r="E870" s="1"/>
      <c r="F870" s="1"/>
      <c r="G870" s="1"/>
      <c r="H870" s="1"/>
      <c r="I870" s="9"/>
      <c r="J870" s="10"/>
      <c r="K870" s="3"/>
      <c r="L870" s="3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9"/>
      <c r="E871" s="1"/>
      <c r="F871" s="1"/>
      <c r="G871" s="1"/>
      <c r="H871" s="1"/>
      <c r="I871" s="9"/>
      <c r="J871" s="10"/>
      <c r="K871" s="3"/>
      <c r="L871" s="3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9"/>
      <c r="E872" s="1"/>
      <c r="F872" s="1"/>
      <c r="G872" s="1"/>
      <c r="H872" s="1"/>
      <c r="I872" s="9"/>
      <c r="J872" s="10"/>
      <c r="K872" s="3"/>
      <c r="L872" s="3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9"/>
      <c r="E873" s="1"/>
      <c r="F873" s="1"/>
      <c r="G873" s="1"/>
      <c r="H873" s="1"/>
      <c r="I873" s="9"/>
      <c r="J873" s="10"/>
      <c r="K873" s="3"/>
      <c r="L873" s="3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9"/>
      <c r="E874" s="1"/>
      <c r="F874" s="1"/>
      <c r="G874" s="1"/>
      <c r="H874" s="1"/>
      <c r="I874" s="9"/>
      <c r="J874" s="10"/>
      <c r="K874" s="3"/>
      <c r="L874" s="3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9"/>
      <c r="E875" s="1"/>
      <c r="F875" s="1"/>
      <c r="G875" s="1"/>
      <c r="H875" s="1"/>
      <c r="I875" s="9"/>
      <c r="J875" s="10"/>
      <c r="K875" s="3"/>
      <c r="L875" s="3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9"/>
      <c r="E876" s="1"/>
      <c r="F876" s="1"/>
      <c r="G876" s="1"/>
      <c r="H876" s="1"/>
      <c r="I876" s="9"/>
      <c r="J876" s="10"/>
      <c r="K876" s="3"/>
      <c r="L876" s="3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9"/>
      <c r="E877" s="1"/>
      <c r="F877" s="1"/>
      <c r="G877" s="1"/>
      <c r="H877" s="1"/>
      <c r="I877" s="9"/>
      <c r="J877" s="10"/>
      <c r="K877" s="3"/>
      <c r="L877" s="3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9"/>
      <c r="E878" s="1"/>
      <c r="F878" s="1"/>
      <c r="G878" s="1"/>
      <c r="H878" s="1"/>
      <c r="I878" s="9"/>
      <c r="J878" s="10"/>
      <c r="K878" s="3"/>
      <c r="L878" s="3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9"/>
      <c r="E879" s="1"/>
      <c r="F879" s="1"/>
      <c r="G879" s="1"/>
      <c r="H879" s="1"/>
      <c r="I879" s="9"/>
      <c r="J879" s="10"/>
      <c r="K879" s="3"/>
      <c r="L879" s="3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9"/>
      <c r="E880" s="1"/>
      <c r="F880" s="1"/>
      <c r="G880" s="1"/>
      <c r="H880" s="1"/>
      <c r="I880" s="9"/>
      <c r="J880" s="10"/>
      <c r="K880" s="3"/>
      <c r="L880" s="3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9"/>
      <c r="E881" s="1"/>
      <c r="F881" s="1"/>
      <c r="G881" s="1"/>
      <c r="H881" s="1"/>
      <c r="I881" s="9"/>
      <c r="J881" s="10"/>
      <c r="K881" s="3"/>
      <c r="L881" s="3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9"/>
      <c r="E882" s="1"/>
      <c r="F882" s="1"/>
      <c r="G882" s="1"/>
      <c r="H882" s="1"/>
      <c r="I882" s="9"/>
      <c r="J882" s="10"/>
      <c r="K882" s="3"/>
      <c r="L882" s="3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9"/>
      <c r="E883" s="1"/>
      <c r="F883" s="1"/>
      <c r="G883" s="1"/>
      <c r="H883" s="1"/>
      <c r="I883" s="9"/>
      <c r="J883" s="10"/>
      <c r="K883" s="3"/>
      <c r="L883" s="3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9"/>
      <c r="E884" s="1"/>
      <c r="F884" s="1"/>
      <c r="G884" s="1"/>
      <c r="H884" s="1"/>
      <c r="I884" s="9"/>
      <c r="J884" s="10"/>
      <c r="K884" s="3"/>
      <c r="L884" s="3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9"/>
      <c r="E885" s="1"/>
      <c r="F885" s="1"/>
      <c r="G885" s="1"/>
      <c r="H885" s="1"/>
      <c r="I885" s="9"/>
      <c r="J885" s="10"/>
      <c r="K885" s="3"/>
      <c r="L885" s="3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9"/>
      <c r="E886" s="1"/>
      <c r="F886" s="1"/>
      <c r="G886" s="1"/>
      <c r="H886" s="1"/>
      <c r="I886" s="9"/>
      <c r="J886" s="10"/>
      <c r="K886" s="3"/>
      <c r="L886" s="3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9"/>
      <c r="E887" s="1"/>
      <c r="F887" s="1"/>
      <c r="G887" s="1"/>
      <c r="H887" s="1"/>
      <c r="I887" s="9"/>
      <c r="J887" s="10"/>
      <c r="K887" s="3"/>
      <c r="L887" s="3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9"/>
      <c r="E888" s="1"/>
      <c r="F888" s="1"/>
      <c r="G888" s="1"/>
      <c r="H888" s="1"/>
      <c r="I888" s="9"/>
      <c r="J888" s="10"/>
      <c r="K888" s="3"/>
      <c r="L888" s="3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9"/>
      <c r="E889" s="1"/>
      <c r="F889" s="1"/>
      <c r="G889" s="1"/>
      <c r="H889" s="1"/>
      <c r="I889" s="9"/>
      <c r="J889" s="10"/>
      <c r="K889" s="3"/>
      <c r="L889" s="3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9"/>
      <c r="E890" s="1"/>
      <c r="F890" s="1"/>
      <c r="G890" s="1"/>
      <c r="H890" s="1"/>
      <c r="I890" s="9"/>
      <c r="J890" s="10"/>
      <c r="K890" s="3"/>
      <c r="L890" s="3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9"/>
      <c r="E891" s="1"/>
      <c r="F891" s="1"/>
      <c r="G891" s="1"/>
      <c r="H891" s="1"/>
      <c r="I891" s="9"/>
      <c r="J891" s="10"/>
      <c r="K891" s="3"/>
      <c r="L891" s="3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9"/>
      <c r="E892" s="1"/>
      <c r="F892" s="1"/>
      <c r="G892" s="1"/>
      <c r="H892" s="1"/>
      <c r="I892" s="9"/>
      <c r="J892" s="10"/>
      <c r="K892" s="3"/>
      <c r="L892" s="3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9"/>
      <c r="E893" s="1"/>
      <c r="F893" s="1"/>
      <c r="G893" s="1"/>
      <c r="H893" s="1"/>
      <c r="I893" s="9"/>
      <c r="J893" s="10"/>
      <c r="K893" s="3"/>
      <c r="L893" s="3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9"/>
      <c r="E894" s="1"/>
      <c r="F894" s="1"/>
      <c r="G894" s="1"/>
      <c r="H894" s="1"/>
      <c r="I894" s="9"/>
      <c r="J894" s="10"/>
      <c r="K894" s="3"/>
      <c r="L894" s="3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9"/>
      <c r="E895" s="1"/>
      <c r="F895" s="1"/>
      <c r="G895" s="1"/>
      <c r="H895" s="1"/>
      <c r="I895" s="9"/>
      <c r="J895" s="10"/>
      <c r="K895" s="3"/>
      <c r="L895" s="3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9"/>
      <c r="E896" s="1"/>
      <c r="F896" s="1"/>
      <c r="G896" s="1"/>
      <c r="H896" s="1"/>
      <c r="I896" s="9"/>
      <c r="J896" s="10"/>
      <c r="K896" s="3"/>
      <c r="L896" s="3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9"/>
      <c r="E897" s="1"/>
      <c r="F897" s="1"/>
      <c r="G897" s="1"/>
      <c r="H897" s="1"/>
      <c r="I897" s="9"/>
      <c r="J897" s="10"/>
      <c r="K897" s="3"/>
      <c r="L897" s="3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9"/>
      <c r="E898" s="1"/>
      <c r="F898" s="1"/>
      <c r="G898" s="1"/>
      <c r="H898" s="1"/>
      <c r="I898" s="9"/>
      <c r="J898" s="10"/>
      <c r="K898" s="3"/>
      <c r="L898" s="3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9"/>
      <c r="E899" s="1"/>
      <c r="F899" s="1"/>
      <c r="G899" s="1"/>
      <c r="H899" s="1"/>
      <c r="I899" s="9"/>
      <c r="J899" s="10"/>
      <c r="K899" s="3"/>
      <c r="L899" s="3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9"/>
      <c r="E900" s="1"/>
      <c r="F900" s="1"/>
      <c r="G900" s="1"/>
      <c r="H900" s="1"/>
      <c r="I900" s="9"/>
      <c r="J900" s="10"/>
      <c r="K900" s="3"/>
      <c r="L900" s="3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9"/>
      <c r="E901" s="1"/>
      <c r="F901" s="1"/>
      <c r="G901" s="1"/>
      <c r="H901" s="1"/>
      <c r="I901" s="9"/>
      <c r="J901" s="10"/>
      <c r="K901" s="3"/>
      <c r="L901" s="3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9"/>
      <c r="E902" s="1"/>
      <c r="F902" s="1"/>
      <c r="G902" s="1"/>
      <c r="H902" s="1"/>
      <c r="I902" s="9"/>
      <c r="J902" s="10"/>
      <c r="K902" s="3"/>
      <c r="L902" s="3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9"/>
      <c r="E903" s="1"/>
      <c r="F903" s="1"/>
      <c r="G903" s="1"/>
      <c r="H903" s="1"/>
      <c r="I903" s="9"/>
      <c r="J903" s="10"/>
      <c r="K903" s="3"/>
      <c r="L903" s="3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9"/>
      <c r="E904" s="1"/>
      <c r="F904" s="1"/>
      <c r="G904" s="1"/>
      <c r="H904" s="1"/>
      <c r="I904" s="9"/>
      <c r="J904" s="10"/>
      <c r="K904" s="3"/>
      <c r="L904" s="3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9"/>
      <c r="E905" s="1"/>
      <c r="F905" s="1"/>
      <c r="G905" s="1"/>
      <c r="H905" s="1"/>
      <c r="I905" s="9"/>
      <c r="J905" s="10"/>
      <c r="K905" s="3"/>
      <c r="L905" s="3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9"/>
      <c r="E906" s="1"/>
      <c r="F906" s="1"/>
      <c r="G906" s="1"/>
      <c r="H906" s="1"/>
      <c r="I906" s="9"/>
      <c r="J906" s="10"/>
      <c r="K906" s="3"/>
      <c r="L906" s="3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9"/>
      <c r="E907" s="1"/>
      <c r="F907" s="1"/>
      <c r="G907" s="1"/>
      <c r="H907" s="1"/>
      <c r="I907" s="9"/>
      <c r="J907" s="10"/>
      <c r="K907" s="3"/>
      <c r="L907" s="3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9"/>
      <c r="E908" s="1"/>
      <c r="F908" s="1"/>
      <c r="G908" s="1"/>
      <c r="H908" s="1"/>
      <c r="I908" s="9"/>
      <c r="J908" s="10"/>
      <c r="K908" s="3"/>
      <c r="L908" s="3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9"/>
      <c r="E909" s="1"/>
      <c r="F909" s="1"/>
      <c r="G909" s="1"/>
      <c r="H909" s="1"/>
      <c r="I909" s="9"/>
      <c r="J909" s="10"/>
      <c r="K909" s="3"/>
      <c r="L909" s="3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9"/>
      <c r="E910" s="1"/>
      <c r="F910" s="1"/>
      <c r="G910" s="1"/>
      <c r="H910" s="1"/>
      <c r="I910" s="9"/>
      <c r="J910" s="10"/>
      <c r="K910" s="3"/>
      <c r="L910" s="3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9"/>
      <c r="E911" s="1"/>
      <c r="F911" s="1"/>
      <c r="G911" s="1"/>
      <c r="H911" s="1"/>
      <c r="I911" s="9"/>
      <c r="J911" s="10"/>
      <c r="K911" s="3"/>
      <c r="L911" s="3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9"/>
      <c r="E912" s="1"/>
      <c r="F912" s="1"/>
      <c r="G912" s="1"/>
      <c r="H912" s="1"/>
      <c r="I912" s="9"/>
      <c r="J912" s="10"/>
      <c r="K912" s="3"/>
      <c r="L912" s="3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9"/>
      <c r="E913" s="1"/>
      <c r="F913" s="1"/>
      <c r="G913" s="1"/>
      <c r="H913" s="1"/>
      <c r="I913" s="9"/>
      <c r="J913" s="10"/>
      <c r="K913" s="3"/>
      <c r="L913" s="3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9"/>
      <c r="E914" s="1"/>
      <c r="F914" s="1"/>
      <c r="G914" s="1"/>
      <c r="H914" s="1"/>
      <c r="I914" s="9"/>
      <c r="J914" s="10"/>
      <c r="K914" s="3"/>
      <c r="L914" s="3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9"/>
      <c r="E915" s="1"/>
      <c r="F915" s="1"/>
      <c r="G915" s="1"/>
      <c r="H915" s="1"/>
      <c r="I915" s="9"/>
      <c r="J915" s="10"/>
      <c r="K915" s="3"/>
      <c r="L915" s="3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9"/>
      <c r="E916" s="1"/>
      <c r="F916" s="1"/>
      <c r="G916" s="1"/>
      <c r="H916" s="1"/>
      <c r="I916" s="9"/>
      <c r="J916" s="10"/>
      <c r="K916" s="3"/>
      <c r="L916" s="3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9"/>
      <c r="E917" s="1"/>
      <c r="F917" s="1"/>
      <c r="G917" s="1"/>
      <c r="H917" s="1"/>
      <c r="I917" s="9"/>
      <c r="J917" s="10"/>
      <c r="K917" s="3"/>
      <c r="L917" s="3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9"/>
      <c r="E918" s="1"/>
      <c r="F918" s="1"/>
      <c r="G918" s="1"/>
      <c r="H918" s="1"/>
      <c r="I918" s="9"/>
      <c r="J918" s="10"/>
      <c r="K918" s="3"/>
      <c r="L918" s="3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9"/>
      <c r="E919" s="1"/>
      <c r="F919" s="1"/>
      <c r="G919" s="1"/>
      <c r="H919" s="1"/>
      <c r="I919" s="9"/>
      <c r="J919" s="10"/>
      <c r="K919" s="3"/>
      <c r="L919" s="3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9"/>
      <c r="E920" s="1"/>
      <c r="F920" s="1"/>
      <c r="G920" s="1"/>
      <c r="H920" s="1"/>
      <c r="I920" s="9"/>
      <c r="J920" s="10"/>
      <c r="K920" s="3"/>
      <c r="L920" s="3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9"/>
      <c r="E921" s="1"/>
      <c r="F921" s="1"/>
      <c r="G921" s="1"/>
      <c r="H921" s="1"/>
      <c r="I921" s="9"/>
      <c r="J921" s="10"/>
      <c r="K921" s="3"/>
      <c r="L921" s="3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9"/>
      <c r="E922" s="1"/>
      <c r="F922" s="1"/>
      <c r="G922" s="1"/>
      <c r="H922" s="1"/>
      <c r="I922" s="9"/>
      <c r="J922" s="10"/>
      <c r="K922" s="3"/>
      <c r="L922" s="3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9"/>
      <c r="E923" s="1"/>
      <c r="F923" s="1"/>
      <c r="G923" s="1"/>
      <c r="H923" s="1"/>
      <c r="I923" s="9"/>
      <c r="J923" s="10"/>
      <c r="K923" s="3"/>
      <c r="L923" s="3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9"/>
      <c r="E924" s="1"/>
      <c r="F924" s="1"/>
      <c r="G924" s="1"/>
      <c r="H924" s="1"/>
      <c r="I924" s="9"/>
      <c r="J924" s="10"/>
      <c r="K924" s="3"/>
      <c r="L924" s="3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9"/>
      <c r="E925" s="1"/>
      <c r="F925" s="1"/>
      <c r="G925" s="1"/>
      <c r="H925" s="1"/>
      <c r="I925" s="9"/>
      <c r="J925" s="10"/>
      <c r="K925" s="3"/>
      <c r="L925" s="3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9"/>
      <c r="E926" s="1"/>
      <c r="F926" s="1"/>
      <c r="G926" s="1"/>
      <c r="H926" s="1"/>
      <c r="I926" s="9"/>
      <c r="J926" s="10"/>
      <c r="K926" s="3"/>
      <c r="L926" s="3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9"/>
      <c r="E927" s="1"/>
      <c r="F927" s="1"/>
      <c r="G927" s="1"/>
      <c r="H927" s="1"/>
      <c r="I927" s="9"/>
      <c r="J927" s="10"/>
      <c r="K927" s="3"/>
      <c r="L927" s="3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9"/>
      <c r="E928" s="1"/>
      <c r="F928" s="1"/>
      <c r="G928" s="1"/>
      <c r="H928" s="1"/>
      <c r="I928" s="9"/>
      <c r="J928" s="10"/>
      <c r="K928" s="3"/>
      <c r="L928" s="3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9"/>
      <c r="E929" s="1"/>
      <c r="F929" s="1"/>
      <c r="G929" s="1"/>
      <c r="H929" s="1"/>
      <c r="I929" s="9"/>
      <c r="J929" s="10"/>
      <c r="K929" s="3"/>
      <c r="L929" s="3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9"/>
      <c r="E930" s="1"/>
      <c r="F930" s="1"/>
      <c r="G930" s="1"/>
      <c r="H930" s="1"/>
      <c r="I930" s="9"/>
      <c r="J930" s="10"/>
      <c r="K930" s="3"/>
      <c r="L930" s="3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9"/>
      <c r="E931" s="1"/>
      <c r="F931" s="1"/>
      <c r="G931" s="1"/>
      <c r="H931" s="1"/>
      <c r="I931" s="9"/>
      <c r="J931" s="10"/>
      <c r="K931" s="3"/>
      <c r="L931" s="3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9"/>
      <c r="E932" s="1"/>
      <c r="F932" s="1"/>
      <c r="G932" s="1"/>
      <c r="H932" s="1"/>
      <c r="I932" s="9"/>
      <c r="J932" s="10"/>
      <c r="K932" s="3"/>
      <c r="L932" s="3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9"/>
      <c r="E933" s="1"/>
      <c r="F933" s="1"/>
      <c r="G933" s="1"/>
      <c r="H933" s="1"/>
      <c r="I933" s="9"/>
      <c r="J933" s="10"/>
      <c r="K933" s="3"/>
      <c r="L933" s="3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9"/>
      <c r="E934" s="1"/>
      <c r="F934" s="1"/>
      <c r="G934" s="1"/>
      <c r="H934" s="1"/>
      <c r="I934" s="9"/>
      <c r="J934" s="10"/>
      <c r="K934" s="3"/>
      <c r="L934" s="3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9"/>
      <c r="E935" s="1"/>
      <c r="F935" s="1"/>
      <c r="G935" s="1"/>
      <c r="H935" s="1"/>
      <c r="I935" s="9"/>
      <c r="J935" s="10"/>
      <c r="K935" s="3"/>
      <c r="L935" s="3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9"/>
      <c r="E936" s="1"/>
      <c r="F936" s="1"/>
      <c r="G936" s="1"/>
      <c r="H936" s="1"/>
      <c r="I936" s="9"/>
      <c r="J936" s="10"/>
      <c r="K936" s="3"/>
      <c r="L936" s="3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9"/>
      <c r="E937" s="1"/>
      <c r="F937" s="1"/>
      <c r="G937" s="1"/>
      <c r="H937" s="1"/>
      <c r="I937" s="9"/>
      <c r="J937" s="10"/>
      <c r="K937" s="3"/>
      <c r="L937" s="3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9"/>
      <c r="E938" s="1"/>
      <c r="F938" s="1"/>
      <c r="G938" s="1"/>
      <c r="H938" s="1"/>
      <c r="I938" s="9"/>
      <c r="J938" s="10"/>
      <c r="K938" s="3"/>
      <c r="L938" s="3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9"/>
      <c r="E939" s="1"/>
      <c r="F939" s="1"/>
      <c r="G939" s="1"/>
      <c r="H939" s="1"/>
      <c r="I939" s="9"/>
      <c r="J939" s="10"/>
      <c r="K939" s="3"/>
      <c r="L939" s="3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9"/>
      <c r="E940" s="1"/>
      <c r="F940" s="1"/>
      <c r="G940" s="1"/>
      <c r="H940" s="1"/>
      <c r="I940" s="9"/>
      <c r="J940" s="10"/>
      <c r="K940" s="3"/>
      <c r="L940" s="3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9"/>
      <c r="E941" s="1"/>
      <c r="F941" s="1"/>
      <c r="G941" s="1"/>
      <c r="H941" s="1"/>
      <c r="I941" s="9"/>
      <c r="J941" s="10"/>
      <c r="K941" s="3"/>
      <c r="L941" s="3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9"/>
      <c r="E942" s="1"/>
      <c r="F942" s="1"/>
      <c r="G942" s="1"/>
      <c r="H942" s="1"/>
      <c r="I942" s="9"/>
      <c r="J942" s="10"/>
      <c r="K942" s="3"/>
      <c r="L942" s="3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9"/>
      <c r="E943" s="1"/>
      <c r="F943" s="1"/>
      <c r="G943" s="1"/>
      <c r="H943" s="1"/>
      <c r="I943" s="9"/>
      <c r="J943" s="10"/>
      <c r="K943" s="3"/>
      <c r="L943" s="3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9"/>
      <c r="E944" s="1"/>
      <c r="F944" s="1"/>
      <c r="G944" s="1"/>
      <c r="H944" s="1"/>
      <c r="I944" s="9"/>
      <c r="J944" s="10"/>
      <c r="K944" s="3"/>
      <c r="L944" s="3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9"/>
      <c r="E945" s="1"/>
      <c r="F945" s="1"/>
      <c r="G945" s="1"/>
      <c r="H945" s="1"/>
      <c r="I945" s="9"/>
      <c r="J945" s="10"/>
      <c r="K945" s="3"/>
      <c r="L945" s="3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9"/>
      <c r="E946" s="1"/>
      <c r="F946" s="1"/>
      <c r="G946" s="1"/>
      <c r="H946" s="1"/>
      <c r="I946" s="9"/>
      <c r="J946" s="10"/>
      <c r="K946" s="3"/>
      <c r="L946" s="3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9"/>
      <c r="E947" s="1"/>
      <c r="F947" s="1"/>
      <c r="G947" s="1"/>
      <c r="H947" s="1"/>
      <c r="I947" s="9"/>
      <c r="J947" s="10"/>
      <c r="K947" s="3"/>
      <c r="L947" s="3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9"/>
      <c r="E948" s="1"/>
      <c r="F948" s="1"/>
      <c r="G948" s="1"/>
      <c r="H948" s="1"/>
      <c r="I948" s="9"/>
      <c r="J948" s="10"/>
      <c r="K948" s="3"/>
      <c r="L948" s="3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9"/>
      <c r="E949" s="1"/>
      <c r="F949" s="1"/>
      <c r="G949" s="1"/>
      <c r="H949" s="1"/>
      <c r="I949" s="9"/>
      <c r="J949" s="10"/>
      <c r="K949" s="3"/>
      <c r="L949" s="3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9"/>
      <c r="E950" s="1"/>
      <c r="F950" s="1"/>
      <c r="G950" s="1"/>
      <c r="H950" s="1"/>
      <c r="I950" s="9"/>
      <c r="J950" s="10"/>
      <c r="K950" s="3"/>
      <c r="L950" s="3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9"/>
      <c r="E951" s="1"/>
      <c r="F951" s="1"/>
      <c r="G951" s="1"/>
      <c r="H951" s="1"/>
      <c r="I951" s="9"/>
      <c r="J951" s="10"/>
      <c r="K951" s="3"/>
      <c r="L951" s="3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9"/>
      <c r="E952" s="1"/>
      <c r="F952" s="1"/>
      <c r="G952" s="1"/>
      <c r="H952" s="1"/>
      <c r="I952" s="9"/>
      <c r="J952" s="10"/>
      <c r="K952" s="3"/>
      <c r="L952" s="3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9"/>
      <c r="E953" s="1"/>
      <c r="F953" s="1"/>
      <c r="G953" s="1"/>
      <c r="H953" s="1"/>
      <c r="I953" s="9"/>
      <c r="J953" s="10"/>
      <c r="K953" s="3"/>
      <c r="L953" s="3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9"/>
      <c r="E954" s="1"/>
      <c r="F954" s="1"/>
      <c r="G954" s="1"/>
      <c r="H954" s="1"/>
      <c r="I954" s="9"/>
      <c r="J954" s="10"/>
      <c r="K954" s="3"/>
      <c r="L954" s="3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9"/>
      <c r="E955" s="1"/>
      <c r="F955" s="1"/>
      <c r="G955" s="1"/>
      <c r="H955" s="1"/>
      <c r="I955" s="9"/>
      <c r="J955" s="10"/>
      <c r="K955" s="3"/>
      <c r="L955" s="3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9"/>
      <c r="E956" s="1"/>
      <c r="F956" s="1"/>
      <c r="G956" s="1"/>
      <c r="H956" s="1"/>
      <c r="I956" s="9"/>
      <c r="J956" s="10"/>
      <c r="K956" s="3"/>
      <c r="L956" s="3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9"/>
      <c r="E957" s="1"/>
      <c r="F957" s="1"/>
      <c r="G957" s="1"/>
      <c r="H957" s="1"/>
      <c r="I957" s="9"/>
      <c r="J957" s="10"/>
      <c r="K957" s="3"/>
      <c r="L957" s="3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9"/>
      <c r="E958" s="1"/>
      <c r="F958" s="1"/>
      <c r="G958" s="1"/>
      <c r="H958" s="1"/>
      <c r="I958" s="9"/>
      <c r="J958" s="10"/>
      <c r="K958" s="3"/>
      <c r="L958" s="3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9"/>
      <c r="E959" s="1"/>
      <c r="F959" s="1"/>
      <c r="G959" s="1"/>
      <c r="H959" s="1"/>
      <c r="I959" s="9"/>
      <c r="J959" s="10"/>
      <c r="K959" s="3"/>
      <c r="L959" s="3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9"/>
      <c r="E960" s="1"/>
      <c r="F960" s="1"/>
      <c r="G960" s="1"/>
      <c r="H960" s="1"/>
      <c r="I960" s="9"/>
      <c r="J960" s="10"/>
      <c r="K960" s="3"/>
      <c r="L960" s="3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9"/>
      <c r="E961" s="1"/>
      <c r="F961" s="1"/>
      <c r="G961" s="1"/>
      <c r="H961" s="1"/>
      <c r="I961" s="9"/>
      <c r="J961" s="10"/>
      <c r="K961" s="3"/>
      <c r="L961" s="3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9"/>
      <c r="E962" s="1"/>
      <c r="F962" s="1"/>
      <c r="G962" s="1"/>
      <c r="H962" s="1"/>
      <c r="I962" s="9"/>
      <c r="J962" s="10"/>
      <c r="K962" s="3"/>
      <c r="L962" s="3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9"/>
      <c r="E963" s="1"/>
      <c r="F963" s="1"/>
      <c r="G963" s="1"/>
      <c r="H963" s="1"/>
      <c r="I963" s="9"/>
      <c r="J963" s="10"/>
      <c r="K963" s="3"/>
      <c r="L963" s="3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9"/>
      <c r="E964" s="1"/>
      <c r="F964" s="1"/>
      <c r="G964" s="1"/>
      <c r="H964" s="1"/>
      <c r="I964" s="9"/>
      <c r="J964" s="10"/>
      <c r="K964" s="3"/>
      <c r="L964" s="3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9"/>
      <c r="E965" s="1"/>
      <c r="F965" s="1"/>
      <c r="G965" s="1"/>
      <c r="H965" s="1"/>
      <c r="I965" s="9"/>
      <c r="J965" s="10"/>
      <c r="K965" s="3"/>
      <c r="L965" s="3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9"/>
      <c r="E966" s="1"/>
      <c r="F966" s="1"/>
      <c r="G966" s="1"/>
      <c r="H966" s="1"/>
      <c r="I966" s="9"/>
      <c r="J966" s="10"/>
      <c r="K966" s="3"/>
      <c r="L966" s="3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9"/>
      <c r="E967" s="1"/>
      <c r="F967" s="1"/>
      <c r="G967" s="1"/>
      <c r="H967" s="1"/>
      <c r="I967" s="9"/>
      <c r="J967" s="10"/>
      <c r="K967" s="3"/>
      <c r="L967" s="3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9"/>
      <c r="E968" s="1"/>
      <c r="F968" s="1"/>
      <c r="G968" s="1"/>
      <c r="H968" s="1"/>
      <c r="I968" s="9"/>
      <c r="J968" s="10"/>
      <c r="K968" s="3"/>
      <c r="L968" s="3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9"/>
      <c r="E969" s="1"/>
      <c r="F969" s="1"/>
      <c r="G969" s="1"/>
      <c r="H969" s="1"/>
      <c r="I969" s="9"/>
      <c r="J969" s="10"/>
      <c r="K969" s="3"/>
      <c r="L969" s="3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9"/>
      <c r="E970" s="1"/>
      <c r="F970" s="1"/>
      <c r="G970" s="1"/>
      <c r="H970" s="1"/>
      <c r="I970" s="9"/>
      <c r="J970" s="10"/>
      <c r="K970" s="3"/>
      <c r="L970" s="3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9"/>
      <c r="E971" s="1"/>
      <c r="F971" s="1"/>
      <c r="G971" s="1"/>
      <c r="H971" s="1"/>
      <c r="I971" s="9"/>
      <c r="J971" s="10"/>
      <c r="K971" s="3"/>
      <c r="L971" s="3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9"/>
      <c r="E972" s="1"/>
      <c r="F972" s="1"/>
      <c r="G972" s="1"/>
      <c r="H972" s="1"/>
      <c r="I972" s="9"/>
      <c r="J972" s="10"/>
      <c r="K972" s="3"/>
      <c r="L972" s="3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9"/>
      <c r="E973" s="1"/>
      <c r="F973" s="1"/>
      <c r="G973" s="1"/>
      <c r="H973" s="1"/>
      <c r="I973" s="9"/>
      <c r="J973" s="10"/>
      <c r="K973" s="3"/>
      <c r="L973" s="3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9"/>
      <c r="E974" s="1"/>
      <c r="F974" s="1"/>
      <c r="G974" s="1"/>
      <c r="H974" s="1"/>
      <c r="I974" s="9"/>
      <c r="J974" s="10"/>
      <c r="K974" s="3"/>
      <c r="L974" s="3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9"/>
      <c r="E975" s="1"/>
      <c r="F975" s="1"/>
      <c r="G975" s="1"/>
      <c r="H975" s="1"/>
      <c r="I975" s="9"/>
      <c r="J975" s="10"/>
      <c r="K975" s="3"/>
      <c r="L975" s="3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9"/>
      <c r="E976" s="1"/>
      <c r="F976" s="1"/>
      <c r="G976" s="1"/>
      <c r="H976" s="1"/>
      <c r="I976" s="9"/>
      <c r="J976" s="10"/>
      <c r="K976" s="3"/>
      <c r="L976" s="3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9"/>
      <c r="E977" s="1"/>
      <c r="F977" s="1"/>
      <c r="G977" s="1"/>
      <c r="H977" s="1"/>
      <c r="I977" s="9"/>
      <c r="J977" s="10"/>
      <c r="K977" s="3"/>
      <c r="L977" s="3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9"/>
      <c r="E978" s="1"/>
      <c r="F978" s="1"/>
      <c r="G978" s="1"/>
      <c r="H978" s="1"/>
      <c r="I978" s="9"/>
      <c r="J978" s="10"/>
      <c r="K978" s="3"/>
      <c r="L978" s="3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9"/>
      <c r="E979" s="1"/>
      <c r="F979" s="1"/>
      <c r="G979" s="1"/>
      <c r="H979" s="1"/>
      <c r="I979" s="9"/>
      <c r="J979" s="10"/>
      <c r="K979" s="3"/>
      <c r="L979" s="3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9"/>
      <c r="E980" s="1"/>
      <c r="F980" s="1"/>
      <c r="G980" s="1"/>
      <c r="H980" s="1"/>
      <c r="I980" s="9"/>
      <c r="J980" s="10"/>
      <c r="K980" s="3"/>
      <c r="L980" s="3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9"/>
      <c r="E981" s="1"/>
      <c r="F981" s="1"/>
      <c r="G981" s="1"/>
      <c r="H981" s="1"/>
      <c r="I981" s="9"/>
      <c r="J981" s="10"/>
      <c r="K981" s="3"/>
      <c r="L981" s="3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9"/>
      <c r="E982" s="1"/>
      <c r="F982" s="1"/>
      <c r="G982" s="1"/>
      <c r="H982" s="1"/>
      <c r="I982" s="9"/>
      <c r="J982" s="10"/>
      <c r="K982" s="3"/>
      <c r="L982" s="3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9"/>
      <c r="E983" s="1"/>
      <c r="F983" s="1"/>
      <c r="G983" s="1"/>
      <c r="H983" s="1"/>
      <c r="I983" s="9"/>
      <c r="J983" s="10"/>
      <c r="K983" s="3"/>
      <c r="L983" s="3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9"/>
      <c r="E984" s="1"/>
      <c r="F984" s="1"/>
      <c r="G984" s="1"/>
      <c r="H984" s="1"/>
      <c r="I984" s="9"/>
      <c r="J984" s="10"/>
      <c r="K984" s="3"/>
      <c r="L984" s="3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9"/>
      <c r="E985" s="1"/>
      <c r="F985" s="1"/>
      <c r="G985" s="1"/>
      <c r="H985" s="1"/>
      <c r="I985" s="9"/>
      <c r="J985" s="10"/>
      <c r="K985" s="3"/>
      <c r="L985" s="3"/>
      <c r="M985" s="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9"/>
      <c r="E986" s="1"/>
      <c r="F986" s="1"/>
      <c r="G986" s="1"/>
      <c r="H986" s="1"/>
      <c r="I986" s="9"/>
      <c r="J986" s="10"/>
      <c r="K986" s="3"/>
      <c r="L986" s="3"/>
      <c r="M986" s="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9"/>
      <c r="E987" s="1"/>
      <c r="F987" s="1"/>
      <c r="G987" s="1"/>
      <c r="H987" s="1"/>
      <c r="I987" s="9"/>
      <c r="J987" s="10"/>
      <c r="K987" s="3"/>
      <c r="L987" s="3"/>
      <c r="M987" s="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9"/>
      <c r="E988" s="1"/>
      <c r="F988" s="1"/>
      <c r="G988" s="1"/>
      <c r="H988" s="1"/>
      <c r="I988" s="9"/>
      <c r="J988" s="10"/>
      <c r="K988" s="3"/>
      <c r="L988" s="3"/>
      <c r="M988" s="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9"/>
      <c r="E989" s="1"/>
      <c r="F989" s="1"/>
      <c r="G989" s="1"/>
      <c r="H989" s="1"/>
      <c r="I989" s="9"/>
      <c r="J989" s="10"/>
      <c r="K989" s="3"/>
      <c r="L989" s="3"/>
      <c r="M989" s="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9"/>
      <c r="E990" s="1"/>
      <c r="F990" s="1"/>
      <c r="G990" s="1"/>
      <c r="H990" s="1"/>
      <c r="I990" s="9"/>
      <c r="J990" s="10"/>
      <c r="K990" s="3"/>
      <c r="L990" s="3"/>
      <c r="M990" s="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9"/>
      <c r="E991" s="1"/>
      <c r="F991" s="1"/>
      <c r="G991" s="1"/>
      <c r="H991" s="1"/>
      <c r="I991" s="9"/>
      <c r="J991" s="10"/>
      <c r="K991" s="3"/>
      <c r="L991" s="3"/>
      <c r="M991" s="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9"/>
      <c r="E992" s="1"/>
      <c r="F992" s="1"/>
      <c r="G992" s="1"/>
      <c r="H992" s="1"/>
      <c r="I992" s="9"/>
      <c r="J992" s="10"/>
      <c r="K992" s="3"/>
      <c r="L992" s="3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9"/>
      <c r="E993" s="1"/>
      <c r="F993" s="1"/>
      <c r="G993" s="1"/>
      <c r="H993" s="1"/>
      <c r="I993" s="9"/>
      <c r="J993" s="10"/>
      <c r="K993" s="3"/>
      <c r="L993" s="3"/>
      <c r="M993" s="4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9"/>
      <c r="E994" s="1"/>
      <c r="F994" s="1"/>
      <c r="G994" s="1"/>
      <c r="H994" s="1"/>
      <c r="I994" s="9"/>
      <c r="J994" s="10"/>
      <c r="K994" s="3"/>
      <c r="L994" s="3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9"/>
      <c r="E995" s="1"/>
      <c r="F995" s="1"/>
      <c r="G995" s="1"/>
      <c r="H995" s="1"/>
      <c r="I995" s="9"/>
      <c r="J995" s="10"/>
      <c r="K995" s="3"/>
      <c r="L995" s="3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9"/>
      <c r="E996" s="1"/>
      <c r="F996" s="1"/>
      <c r="G996" s="1"/>
      <c r="H996" s="1"/>
      <c r="I996" s="9"/>
      <c r="J996" s="10"/>
      <c r="K996" s="3"/>
      <c r="L996" s="3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9"/>
      <c r="E997" s="1"/>
      <c r="F997" s="1"/>
      <c r="G997" s="1"/>
      <c r="H997" s="1"/>
      <c r="I997" s="9"/>
      <c r="J997" s="10"/>
      <c r="K997" s="3"/>
      <c r="L997" s="3"/>
      <c r="M997" s="4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9"/>
      <c r="E998" s="1"/>
      <c r="F998" s="1"/>
      <c r="G998" s="1"/>
      <c r="H998" s="1"/>
      <c r="I998" s="9"/>
      <c r="J998" s="10"/>
      <c r="K998" s="3"/>
      <c r="L998" s="3"/>
      <c r="M998" s="4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9"/>
      <c r="E999" s="1"/>
      <c r="F999" s="1"/>
      <c r="G999" s="1"/>
      <c r="H999" s="1"/>
      <c r="I999" s="9"/>
      <c r="J999" s="10"/>
      <c r="K999" s="3"/>
      <c r="L999" s="3"/>
      <c r="M999" s="4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9"/>
      <c r="E1000" s="1"/>
      <c r="F1000" s="1"/>
      <c r="G1000" s="1"/>
      <c r="H1000" s="1"/>
      <c r="I1000" s="9"/>
      <c r="J1000" s="10"/>
      <c r="K1000" s="3"/>
      <c r="L1000" s="3"/>
      <c r="M1000" s="4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N16:O16"/>
    <mergeCell ref="C18:G18"/>
    <mergeCell ref="C24:G24"/>
    <mergeCell ref="B1:H1"/>
    <mergeCell ref="B3:G3"/>
    <mergeCell ref="F11:H11"/>
    <mergeCell ref="B14:G14"/>
  </mergeCells>
  <pageMargins left="0.511811024" right="0.511811024" top="0.78740157499999996" bottom="0.78740157499999996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M1550"/>
  <sheetViews>
    <sheetView showGridLines="0" tabSelected="1" topLeftCell="A1020" workbookViewId="0">
      <selection activeCell="G1328" sqref="G1328"/>
    </sheetView>
  </sheetViews>
  <sheetFormatPr defaultColWidth="12.5703125" defaultRowHeight="15" customHeight="1" x14ac:dyDescent="0.25"/>
  <cols>
    <col min="1" max="1" width="5" customWidth="1"/>
    <col min="2" max="2" width="115.7109375" customWidth="1"/>
    <col min="3" max="3" width="4.28515625" customWidth="1"/>
    <col min="4" max="4" width="11.85546875" customWidth="1"/>
    <col min="5" max="6" width="16.42578125" customWidth="1"/>
    <col min="7" max="7" width="12.42578125" customWidth="1"/>
    <col min="8" max="8" width="12.85546875" customWidth="1"/>
    <col min="9" max="9" width="12.42578125" customWidth="1"/>
    <col min="10" max="10" width="12.85546875" customWidth="1"/>
    <col min="11" max="11" width="8" customWidth="1"/>
    <col min="12" max="12" width="4.140625" customWidth="1"/>
    <col min="13" max="13" width="15.7109375" customWidth="1"/>
  </cols>
  <sheetData>
    <row r="1" spans="1:13" x14ac:dyDescent="0.25">
      <c r="A1" s="56"/>
      <c r="B1" s="49" t="s">
        <v>15</v>
      </c>
      <c r="C1" s="57"/>
      <c r="G1" s="58"/>
      <c r="H1" s="58"/>
      <c r="I1" s="58"/>
      <c r="J1" s="58"/>
      <c r="K1" s="59"/>
      <c r="M1" s="58"/>
    </row>
    <row r="2" spans="1:13" x14ac:dyDescent="0.25">
      <c r="A2" s="56"/>
      <c r="B2" s="18" t="s">
        <v>118</v>
      </c>
      <c r="C2" s="57"/>
      <c r="G2" s="58"/>
      <c r="H2" s="58"/>
      <c r="I2" s="58"/>
      <c r="J2" s="58"/>
      <c r="K2" s="59"/>
      <c r="M2" s="58"/>
    </row>
    <row r="3" spans="1:13" ht="60" x14ac:dyDescent="0.25">
      <c r="A3" s="18" t="s">
        <v>119</v>
      </c>
      <c r="B3" s="18" t="s">
        <v>120</v>
      </c>
      <c r="C3" s="18" t="s">
        <v>21</v>
      </c>
      <c r="D3" s="18" t="s">
        <v>121</v>
      </c>
      <c r="E3" s="60" t="s">
        <v>122</v>
      </c>
      <c r="F3" s="18" t="s">
        <v>123</v>
      </c>
      <c r="G3" s="61" t="s">
        <v>22</v>
      </c>
      <c r="H3" s="18" t="s">
        <v>23</v>
      </c>
      <c r="I3" s="18" t="s">
        <v>24</v>
      </c>
      <c r="J3" s="18" t="s">
        <v>25</v>
      </c>
      <c r="K3" s="62" t="s">
        <v>26</v>
      </c>
      <c r="L3" s="63"/>
      <c r="M3" s="64"/>
    </row>
    <row r="4" spans="1:13" x14ac:dyDescent="0.25">
      <c r="A4" s="65">
        <v>1</v>
      </c>
      <c r="B4" s="66" t="s">
        <v>124</v>
      </c>
      <c r="C4" s="67">
        <v>2</v>
      </c>
      <c r="D4" s="68" t="s">
        <v>125</v>
      </c>
      <c r="E4" s="69" t="s">
        <v>126</v>
      </c>
      <c r="F4" s="70">
        <v>10301950027</v>
      </c>
      <c r="G4" s="71">
        <f t="shared" ref="G4:G28" si="0">M4</f>
        <v>623.99104</v>
      </c>
      <c r="H4" s="71">
        <f t="shared" ref="H4:H28" si="1">G4*C4</f>
        <v>1247.98208</v>
      </c>
      <c r="I4" s="71">
        <f t="shared" ref="I4:I28" si="2">G4</f>
        <v>623.99104</v>
      </c>
      <c r="J4" s="71">
        <f t="shared" ref="J4:J28" si="3">I4*C4</f>
        <v>1247.98208</v>
      </c>
      <c r="K4" s="72">
        <v>0</v>
      </c>
      <c r="M4" s="58">
        <v>623.99104</v>
      </c>
    </row>
    <row r="5" spans="1:13" x14ac:dyDescent="0.25">
      <c r="A5" s="73">
        <v>2</v>
      </c>
      <c r="B5" s="66" t="s">
        <v>127</v>
      </c>
      <c r="C5" s="67">
        <v>1</v>
      </c>
      <c r="D5" s="68" t="s">
        <v>128</v>
      </c>
      <c r="E5" s="69" t="s">
        <v>126</v>
      </c>
      <c r="F5" s="74">
        <v>10301950026</v>
      </c>
      <c r="G5" s="71">
        <f t="shared" si="0"/>
        <v>270.32</v>
      </c>
      <c r="H5" s="71">
        <f t="shared" si="1"/>
        <v>270.32</v>
      </c>
      <c r="I5" s="71">
        <f t="shared" si="2"/>
        <v>270.32</v>
      </c>
      <c r="J5" s="71">
        <f t="shared" si="3"/>
        <v>270.32</v>
      </c>
      <c r="K5" s="72">
        <v>0</v>
      </c>
      <c r="M5" s="58">
        <f>VLOOKUP(D5,'TABELA DE PRECOS'!B:C,2,0)</f>
        <v>270.32</v>
      </c>
    </row>
    <row r="6" spans="1:13" x14ac:dyDescent="0.25">
      <c r="A6" s="65">
        <v>3</v>
      </c>
      <c r="B6" s="66" t="s">
        <v>129</v>
      </c>
      <c r="C6" s="67">
        <v>2</v>
      </c>
      <c r="D6" s="70" t="s">
        <v>130</v>
      </c>
      <c r="E6" s="69" t="s">
        <v>131</v>
      </c>
      <c r="F6" s="70">
        <v>81897719002</v>
      </c>
      <c r="G6" s="71">
        <f t="shared" si="0"/>
        <v>473.32479999999998</v>
      </c>
      <c r="H6" s="71">
        <f t="shared" si="1"/>
        <v>946.64959999999996</v>
      </c>
      <c r="I6" s="71">
        <f t="shared" si="2"/>
        <v>473.32479999999998</v>
      </c>
      <c r="J6" s="71">
        <f t="shared" si="3"/>
        <v>946.64959999999996</v>
      </c>
      <c r="K6" s="72">
        <v>0</v>
      </c>
      <c r="M6" s="58">
        <f>VLOOKUP(D6,'TABELA DE PRECOS'!B:C,2,0)</f>
        <v>473.32479999999998</v>
      </c>
    </row>
    <row r="7" spans="1:13" x14ac:dyDescent="0.25">
      <c r="A7" s="73">
        <v>4</v>
      </c>
      <c r="B7" t="s">
        <v>1626</v>
      </c>
      <c r="C7" s="67">
        <v>2</v>
      </c>
      <c r="D7" s="70" t="s">
        <v>132</v>
      </c>
      <c r="E7" s="69" t="s">
        <v>131</v>
      </c>
      <c r="F7" s="70">
        <v>81897719002</v>
      </c>
      <c r="G7" s="71">
        <f t="shared" si="0"/>
        <v>121.71328</v>
      </c>
      <c r="H7" s="71">
        <f t="shared" si="1"/>
        <v>243.42655999999999</v>
      </c>
      <c r="I7" s="71">
        <f t="shared" si="2"/>
        <v>121.71328</v>
      </c>
      <c r="J7" s="71">
        <f t="shared" si="3"/>
        <v>243.42655999999999</v>
      </c>
      <c r="K7" s="72">
        <v>0</v>
      </c>
      <c r="M7" s="58">
        <f>VLOOKUP(D7,'TABELA DE PRECOS'!B:C,2,0)</f>
        <v>121.71328</v>
      </c>
    </row>
    <row r="8" spans="1:13" x14ac:dyDescent="0.25">
      <c r="A8" s="65">
        <v>5</v>
      </c>
      <c r="B8" s="66" t="s">
        <v>133</v>
      </c>
      <c r="C8" s="67">
        <v>2</v>
      </c>
      <c r="D8" s="70" t="s">
        <v>134</v>
      </c>
      <c r="E8" s="69" t="s">
        <v>131</v>
      </c>
      <c r="F8" s="70">
        <v>81897719002</v>
      </c>
      <c r="G8" s="71">
        <f t="shared" si="0"/>
        <v>17.19688</v>
      </c>
      <c r="H8" s="71">
        <f t="shared" si="1"/>
        <v>34.39376</v>
      </c>
      <c r="I8" s="71">
        <f t="shared" si="2"/>
        <v>17.19688</v>
      </c>
      <c r="J8" s="71">
        <f t="shared" si="3"/>
        <v>34.39376</v>
      </c>
      <c r="K8" s="72">
        <v>0</v>
      </c>
      <c r="M8" s="58">
        <f>VLOOKUP(D8,'TABELA DE PRECOS'!B:C,2,0)</f>
        <v>17.19688</v>
      </c>
    </row>
    <row r="9" spans="1:13" x14ac:dyDescent="0.25">
      <c r="A9" s="65">
        <v>6</v>
      </c>
      <c r="B9" s="66" t="s">
        <v>135</v>
      </c>
      <c r="C9" s="67">
        <v>2</v>
      </c>
      <c r="D9" s="70" t="s">
        <v>136</v>
      </c>
      <c r="E9" s="69" t="s">
        <v>131</v>
      </c>
      <c r="F9" s="70">
        <v>81897719002</v>
      </c>
      <c r="G9" s="71">
        <f t="shared" si="0"/>
        <v>12.17216</v>
      </c>
      <c r="H9" s="71">
        <f t="shared" si="1"/>
        <v>24.34432</v>
      </c>
      <c r="I9" s="71">
        <f t="shared" si="2"/>
        <v>12.17216</v>
      </c>
      <c r="J9" s="71">
        <f t="shared" si="3"/>
        <v>24.34432</v>
      </c>
      <c r="K9" s="72">
        <v>0</v>
      </c>
      <c r="M9" s="58">
        <f>VLOOKUP(D9,'TABELA DE PRECOS'!B:C,2,0)</f>
        <v>12.17216</v>
      </c>
    </row>
    <row r="10" spans="1:13" x14ac:dyDescent="0.25">
      <c r="A10" s="73">
        <v>7</v>
      </c>
      <c r="B10" s="66" t="s">
        <v>137</v>
      </c>
      <c r="C10" s="67">
        <v>2</v>
      </c>
      <c r="D10" s="70" t="s">
        <v>138</v>
      </c>
      <c r="E10" s="69" t="s">
        <v>131</v>
      </c>
      <c r="F10" s="70">
        <v>81897719002</v>
      </c>
      <c r="G10" s="71">
        <f t="shared" si="0"/>
        <v>8.25</v>
      </c>
      <c r="H10" s="71">
        <f t="shared" si="1"/>
        <v>16.5</v>
      </c>
      <c r="I10" s="71">
        <f t="shared" si="2"/>
        <v>8.25</v>
      </c>
      <c r="J10" s="71">
        <f t="shared" si="3"/>
        <v>16.5</v>
      </c>
      <c r="K10" s="72">
        <v>0</v>
      </c>
      <c r="M10" s="58">
        <f>VLOOKUP(D10,'TABELA DE PRECOS'!B:C,2,0)</f>
        <v>8.25</v>
      </c>
    </row>
    <row r="11" spans="1:13" x14ac:dyDescent="0.25">
      <c r="A11" s="65">
        <v>8</v>
      </c>
      <c r="B11" s="66" t="s">
        <v>139</v>
      </c>
      <c r="C11" s="67">
        <v>2</v>
      </c>
      <c r="D11" s="70" t="s">
        <v>140</v>
      </c>
      <c r="E11" s="69" t="s">
        <v>131</v>
      </c>
      <c r="F11" s="70">
        <v>81897719002</v>
      </c>
      <c r="G11" s="71">
        <f t="shared" si="0"/>
        <v>8.1120000000000001</v>
      </c>
      <c r="H11" s="71">
        <f t="shared" si="1"/>
        <v>16.224</v>
      </c>
      <c r="I11" s="71">
        <f t="shared" si="2"/>
        <v>8.1120000000000001</v>
      </c>
      <c r="J11" s="71">
        <f t="shared" si="3"/>
        <v>16.224</v>
      </c>
      <c r="K11" s="72">
        <v>0</v>
      </c>
      <c r="M11" s="58">
        <f>VLOOKUP(D11,'TABELA DE PRECOS'!B:C,2,0)</f>
        <v>8.1120000000000001</v>
      </c>
    </row>
    <row r="12" spans="1:13" x14ac:dyDescent="0.25">
      <c r="A12" s="73">
        <v>9</v>
      </c>
      <c r="B12" s="66" t="s">
        <v>141</v>
      </c>
      <c r="C12" s="67">
        <v>2</v>
      </c>
      <c r="D12" s="70" t="s">
        <v>142</v>
      </c>
      <c r="E12" s="69" t="s">
        <v>131</v>
      </c>
      <c r="F12" s="70">
        <v>81897719003</v>
      </c>
      <c r="G12" s="71">
        <f t="shared" si="0"/>
        <v>189.33823999999998</v>
      </c>
      <c r="H12" s="71">
        <f t="shared" si="1"/>
        <v>378.67647999999997</v>
      </c>
      <c r="I12" s="71">
        <f t="shared" si="2"/>
        <v>189.33823999999998</v>
      </c>
      <c r="J12" s="71">
        <f t="shared" si="3"/>
        <v>378.67647999999997</v>
      </c>
      <c r="K12" s="72">
        <v>0</v>
      </c>
      <c r="M12" s="58">
        <f>VLOOKUP(D12,'TABELA DE PRECOS'!B:C,2,0)</f>
        <v>189.33823999999998</v>
      </c>
    </row>
    <row r="13" spans="1:13" x14ac:dyDescent="0.25">
      <c r="A13" s="65">
        <v>10</v>
      </c>
      <c r="B13" s="66" t="s">
        <v>143</v>
      </c>
      <c r="C13" s="67">
        <v>4</v>
      </c>
      <c r="D13" s="74" t="s">
        <v>144</v>
      </c>
      <c r="E13" s="69" t="s">
        <v>131</v>
      </c>
      <c r="F13" s="70">
        <v>81897719002</v>
      </c>
      <c r="G13" s="71">
        <f t="shared" si="0"/>
        <v>68.738080000000011</v>
      </c>
      <c r="H13" s="71">
        <f t="shared" si="1"/>
        <v>274.95232000000004</v>
      </c>
      <c r="I13" s="71">
        <f t="shared" si="2"/>
        <v>68.738080000000011</v>
      </c>
      <c r="J13" s="71">
        <f t="shared" si="3"/>
        <v>274.95232000000004</v>
      </c>
      <c r="K13" s="72">
        <v>0</v>
      </c>
      <c r="M13" s="58">
        <f>VLOOKUP(D13,'TABELA DE PRECOS'!B:C,2,0)</f>
        <v>68.738080000000011</v>
      </c>
    </row>
    <row r="14" spans="1:13" x14ac:dyDescent="0.25">
      <c r="A14" s="65">
        <v>11</v>
      </c>
      <c r="B14" s="66" t="s">
        <v>1577</v>
      </c>
      <c r="C14" s="67">
        <v>2</v>
      </c>
      <c r="D14" s="70" t="s">
        <v>146</v>
      </c>
      <c r="E14" s="69" t="s">
        <v>131</v>
      </c>
      <c r="F14" s="70">
        <v>81897719006</v>
      </c>
      <c r="G14" s="71">
        <f t="shared" si="0"/>
        <v>29.735680000000002</v>
      </c>
      <c r="H14" s="71">
        <f t="shared" si="1"/>
        <v>59.471360000000004</v>
      </c>
      <c r="I14" s="71">
        <f t="shared" si="2"/>
        <v>29.735680000000002</v>
      </c>
      <c r="J14" s="71">
        <f t="shared" si="3"/>
        <v>59.471360000000004</v>
      </c>
      <c r="K14" s="72">
        <v>0</v>
      </c>
      <c r="M14" s="58">
        <f>VLOOKUP(D14,'TABELA DE PRECOS'!B:C,2,0)</f>
        <v>29.735680000000002</v>
      </c>
    </row>
    <row r="15" spans="1:13" x14ac:dyDescent="0.25">
      <c r="A15" s="73">
        <v>12</v>
      </c>
      <c r="B15" s="66" t="s">
        <v>147</v>
      </c>
      <c r="C15" s="67">
        <v>2</v>
      </c>
      <c r="D15" s="70" t="s">
        <v>148</v>
      </c>
      <c r="E15" s="69" t="s">
        <v>131</v>
      </c>
      <c r="F15" s="70">
        <v>81897719002</v>
      </c>
      <c r="G15" s="71">
        <f t="shared" si="0"/>
        <v>18.94464</v>
      </c>
      <c r="H15" s="71">
        <f t="shared" si="1"/>
        <v>37.889279999999999</v>
      </c>
      <c r="I15" s="71">
        <f t="shared" si="2"/>
        <v>18.94464</v>
      </c>
      <c r="J15" s="71">
        <f t="shared" si="3"/>
        <v>37.889279999999999</v>
      </c>
      <c r="K15" s="72">
        <v>0</v>
      </c>
      <c r="M15" s="58">
        <f>VLOOKUP(D15,'TABELA DE PRECOS'!B:C,2,0)</f>
        <v>18.94464</v>
      </c>
    </row>
    <row r="16" spans="1:13" x14ac:dyDescent="0.25">
      <c r="A16" s="65">
        <v>13</v>
      </c>
      <c r="B16" s="66" t="s">
        <v>149</v>
      </c>
      <c r="C16" s="67">
        <v>2</v>
      </c>
      <c r="D16" s="75" t="s">
        <v>150</v>
      </c>
      <c r="E16" s="69" t="s">
        <v>131</v>
      </c>
      <c r="F16" s="70">
        <v>81897719006</v>
      </c>
      <c r="G16" s="71">
        <f t="shared" si="0"/>
        <v>33.795839999999998</v>
      </c>
      <c r="H16" s="71">
        <f t="shared" si="1"/>
        <v>67.591679999999997</v>
      </c>
      <c r="I16" s="71">
        <f t="shared" si="2"/>
        <v>33.795839999999998</v>
      </c>
      <c r="J16" s="71">
        <f t="shared" si="3"/>
        <v>67.591679999999997</v>
      </c>
      <c r="K16" s="72">
        <v>0</v>
      </c>
      <c r="M16" s="58">
        <f>VLOOKUP(D16,'TABELA DE PRECOS'!B:C,2,0)</f>
        <v>33.795839999999998</v>
      </c>
    </row>
    <row r="17" spans="1:13" x14ac:dyDescent="0.25">
      <c r="A17" s="73">
        <v>14</v>
      </c>
      <c r="B17" s="66" t="s">
        <v>151</v>
      </c>
      <c r="C17" s="67">
        <v>2</v>
      </c>
      <c r="D17" s="70" t="s">
        <v>152</v>
      </c>
      <c r="E17" s="69" t="s">
        <v>131</v>
      </c>
      <c r="F17" s="70">
        <v>81897719002</v>
      </c>
      <c r="G17" s="71">
        <f t="shared" si="0"/>
        <v>38.43</v>
      </c>
      <c r="H17" s="71">
        <f t="shared" si="1"/>
        <v>76.86</v>
      </c>
      <c r="I17" s="71">
        <f t="shared" si="2"/>
        <v>38.43</v>
      </c>
      <c r="J17" s="71">
        <f t="shared" si="3"/>
        <v>76.86</v>
      </c>
      <c r="K17" s="72">
        <v>0</v>
      </c>
      <c r="M17" s="58">
        <f>VLOOKUP(D17,'TABELA DE PRECOS'!B:C,2,0)</f>
        <v>38.43</v>
      </c>
    </row>
    <row r="18" spans="1:13" x14ac:dyDescent="0.25">
      <c r="A18" s="65">
        <v>15</v>
      </c>
      <c r="B18" s="66" t="s">
        <v>415</v>
      </c>
      <c r="C18" s="67">
        <v>2</v>
      </c>
      <c r="D18" s="70" t="s">
        <v>416</v>
      </c>
      <c r="E18" s="69" t="s">
        <v>131</v>
      </c>
      <c r="F18" s="70">
        <v>81897719002</v>
      </c>
      <c r="G18" s="71">
        <f t="shared" si="0"/>
        <v>16.752624000000001</v>
      </c>
      <c r="H18" s="71">
        <f t="shared" si="1"/>
        <v>33.505248000000002</v>
      </c>
      <c r="I18" s="71">
        <f t="shared" si="2"/>
        <v>16.752624000000001</v>
      </c>
      <c r="J18" s="71">
        <f t="shared" si="3"/>
        <v>33.505248000000002</v>
      </c>
      <c r="K18" s="72">
        <v>0</v>
      </c>
      <c r="M18" s="58">
        <f>VLOOKUP(D18,'TABELA DE PRECOS'!B:C,2,0)</f>
        <v>16.752624000000001</v>
      </c>
    </row>
    <row r="19" spans="1:13" x14ac:dyDescent="0.25">
      <c r="A19" s="65">
        <v>16</v>
      </c>
      <c r="B19" s="66" t="s">
        <v>155</v>
      </c>
      <c r="C19" s="67">
        <v>1</v>
      </c>
      <c r="D19" s="70" t="s">
        <v>156</v>
      </c>
      <c r="E19" s="69" t="s">
        <v>131</v>
      </c>
      <c r="F19" s="70">
        <v>81897719002</v>
      </c>
      <c r="G19" s="71">
        <f t="shared" si="0"/>
        <v>50.710400000000007</v>
      </c>
      <c r="H19" s="71">
        <f t="shared" si="1"/>
        <v>50.710400000000007</v>
      </c>
      <c r="I19" s="71">
        <f t="shared" si="2"/>
        <v>50.710400000000007</v>
      </c>
      <c r="J19" s="71">
        <f t="shared" si="3"/>
        <v>50.710400000000007</v>
      </c>
      <c r="K19" s="72">
        <v>0</v>
      </c>
      <c r="M19" s="58">
        <f>VLOOKUP(D19,'TABELA DE PRECOS'!B:C,2,0)</f>
        <v>50.710400000000007</v>
      </c>
    </row>
    <row r="20" spans="1:13" x14ac:dyDescent="0.25">
      <c r="A20" s="73">
        <v>17</v>
      </c>
      <c r="B20" s="66" t="s">
        <v>157</v>
      </c>
      <c r="C20" s="67">
        <v>1</v>
      </c>
      <c r="D20" s="70" t="s">
        <v>158</v>
      </c>
      <c r="E20" s="69" t="s">
        <v>131</v>
      </c>
      <c r="F20" s="70">
        <v>81897719002</v>
      </c>
      <c r="G20" s="71">
        <f t="shared" si="0"/>
        <v>152.13952</v>
      </c>
      <c r="H20" s="71">
        <f t="shared" si="1"/>
        <v>152.13952</v>
      </c>
      <c r="I20" s="71">
        <f t="shared" si="2"/>
        <v>152.13952</v>
      </c>
      <c r="J20" s="71">
        <f t="shared" si="3"/>
        <v>152.13952</v>
      </c>
      <c r="K20" s="72">
        <v>0</v>
      </c>
      <c r="M20" s="58">
        <f>VLOOKUP(D20,'TABELA DE PRECOS'!B:C,2,0)</f>
        <v>152.13952</v>
      </c>
    </row>
    <row r="21" spans="1:13" ht="15.75" customHeight="1" x14ac:dyDescent="0.25">
      <c r="A21" s="65">
        <v>18</v>
      </c>
      <c r="B21" s="66" t="s">
        <v>159</v>
      </c>
      <c r="C21" s="67">
        <v>1</v>
      </c>
      <c r="D21" s="70" t="s">
        <v>160</v>
      </c>
      <c r="E21" s="69" t="s">
        <v>131</v>
      </c>
      <c r="F21" s="70">
        <v>81897719002</v>
      </c>
      <c r="G21" s="71">
        <f t="shared" si="0"/>
        <v>152.13952</v>
      </c>
      <c r="H21" s="71">
        <f t="shared" si="1"/>
        <v>152.13952</v>
      </c>
      <c r="I21" s="71">
        <f t="shared" si="2"/>
        <v>152.13952</v>
      </c>
      <c r="J21" s="71">
        <f t="shared" si="3"/>
        <v>152.13952</v>
      </c>
      <c r="K21" s="72">
        <v>0</v>
      </c>
      <c r="M21" s="58">
        <f>VLOOKUP(D21,'TABELA DE PRECOS'!B:C,2,0)</f>
        <v>152.13952</v>
      </c>
    </row>
    <row r="22" spans="1:13" ht="15.75" customHeight="1" x14ac:dyDescent="0.25">
      <c r="A22" s="73">
        <v>19</v>
      </c>
      <c r="B22" s="66" t="s">
        <v>161</v>
      </c>
      <c r="C22" s="67">
        <v>1</v>
      </c>
      <c r="D22" s="70" t="s">
        <v>162</v>
      </c>
      <c r="E22" s="69" t="s">
        <v>131</v>
      </c>
      <c r="F22" s="70">
        <v>81897719002</v>
      </c>
      <c r="G22" s="71">
        <f t="shared" si="0"/>
        <v>152.13952</v>
      </c>
      <c r="H22" s="71">
        <f t="shared" si="1"/>
        <v>152.13952</v>
      </c>
      <c r="I22" s="71">
        <f t="shared" si="2"/>
        <v>152.13952</v>
      </c>
      <c r="J22" s="71">
        <f t="shared" si="3"/>
        <v>152.13952</v>
      </c>
      <c r="K22" s="72">
        <v>0</v>
      </c>
      <c r="M22" s="58">
        <f>VLOOKUP(D22,'TABELA DE PRECOS'!B:C,2,0)</f>
        <v>152.13952</v>
      </c>
    </row>
    <row r="23" spans="1:13" ht="15.75" customHeight="1" x14ac:dyDescent="0.25">
      <c r="A23" s="65">
        <v>20</v>
      </c>
      <c r="B23" s="66" t="s">
        <v>163</v>
      </c>
      <c r="C23" s="67">
        <v>1</v>
      </c>
      <c r="D23" s="70" t="s">
        <v>164</v>
      </c>
      <c r="E23" s="69" t="s">
        <v>131</v>
      </c>
      <c r="F23" s="70">
        <v>81897719002</v>
      </c>
      <c r="G23" s="71">
        <f t="shared" si="0"/>
        <v>162.28160000000003</v>
      </c>
      <c r="H23" s="71">
        <f t="shared" si="1"/>
        <v>162.28160000000003</v>
      </c>
      <c r="I23" s="71">
        <f t="shared" si="2"/>
        <v>162.28160000000003</v>
      </c>
      <c r="J23" s="71">
        <f t="shared" si="3"/>
        <v>162.28160000000003</v>
      </c>
      <c r="K23" s="72">
        <v>0</v>
      </c>
      <c r="M23" s="58">
        <f>VLOOKUP(D23,'TABELA DE PRECOS'!B:C,2,0)</f>
        <v>162.28160000000003</v>
      </c>
    </row>
    <row r="24" spans="1:13" ht="15.75" customHeight="1" x14ac:dyDescent="0.25">
      <c r="A24" s="65">
        <v>21</v>
      </c>
      <c r="B24" s="66" t="s">
        <v>165</v>
      </c>
      <c r="C24" s="67">
        <v>1</v>
      </c>
      <c r="D24" s="66" t="s">
        <v>166</v>
      </c>
      <c r="E24" s="69" t="s">
        <v>131</v>
      </c>
      <c r="F24" s="76">
        <v>81897719002</v>
      </c>
      <c r="G24" s="71">
        <f t="shared" si="0"/>
        <v>202.84992</v>
      </c>
      <c r="H24" s="71">
        <f t="shared" si="1"/>
        <v>202.84992</v>
      </c>
      <c r="I24" s="71">
        <f t="shared" si="2"/>
        <v>202.84992</v>
      </c>
      <c r="J24" s="71">
        <f t="shared" si="3"/>
        <v>202.84992</v>
      </c>
      <c r="K24" s="72">
        <v>0</v>
      </c>
      <c r="M24" s="58">
        <f>VLOOKUP(D24,'TABELA DE PRECOS'!B:C,2,0)</f>
        <v>202.84992</v>
      </c>
    </row>
    <row r="25" spans="1:13" ht="15.75" customHeight="1" x14ac:dyDescent="0.25">
      <c r="A25" s="73">
        <v>22</v>
      </c>
      <c r="B25" s="66" t="s">
        <v>167</v>
      </c>
      <c r="C25" s="67">
        <v>2</v>
      </c>
      <c r="D25" s="76" t="s">
        <v>168</v>
      </c>
      <c r="E25" s="69" t="s">
        <v>131</v>
      </c>
      <c r="F25" s="70">
        <v>81897719002</v>
      </c>
      <c r="G25" s="71">
        <f t="shared" si="0"/>
        <v>152.13952</v>
      </c>
      <c r="H25" s="71">
        <f t="shared" si="1"/>
        <v>304.27904000000001</v>
      </c>
      <c r="I25" s="71">
        <f t="shared" si="2"/>
        <v>152.13952</v>
      </c>
      <c r="J25" s="71">
        <f t="shared" si="3"/>
        <v>304.27904000000001</v>
      </c>
      <c r="K25" s="72">
        <v>0</v>
      </c>
      <c r="M25" s="58">
        <f>VLOOKUP(D25,'TABELA DE PRECOS'!B:C,2,0)</f>
        <v>152.13952</v>
      </c>
    </row>
    <row r="26" spans="1:13" ht="15.75" customHeight="1" x14ac:dyDescent="0.25">
      <c r="A26" s="65">
        <v>23</v>
      </c>
      <c r="B26" s="66" t="s">
        <v>169</v>
      </c>
      <c r="C26" s="67">
        <v>2</v>
      </c>
      <c r="D26" s="70" t="s">
        <v>170</v>
      </c>
      <c r="E26" s="69" t="s">
        <v>131</v>
      </c>
      <c r="F26" s="70">
        <v>81897719002</v>
      </c>
      <c r="G26" s="71">
        <f t="shared" si="0"/>
        <v>141.99744000000001</v>
      </c>
      <c r="H26" s="71">
        <f t="shared" si="1"/>
        <v>283.99488000000002</v>
      </c>
      <c r="I26" s="71">
        <f t="shared" si="2"/>
        <v>141.99744000000001</v>
      </c>
      <c r="J26" s="71">
        <f t="shared" si="3"/>
        <v>283.99488000000002</v>
      </c>
      <c r="K26" s="72">
        <v>0</v>
      </c>
      <c r="M26" s="58">
        <f>VLOOKUP(D26,'TABELA DE PRECOS'!B:C,2,0)</f>
        <v>141.99744000000001</v>
      </c>
    </row>
    <row r="27" spans="1:13" ht="15.75" customHeight="1" x14ac:dyDescent="0.25">
      <c r="A27" s="73">
        <v>24</v>
      </c>
      <c r="B27" s="66" t="s">
        <v>171</v>
      </c>
      <c r="C27" s="67">
        <v>2</v>
      </c>
      <c r="D27" s="70" t="s">
        <v>172</v>
      </c>
      <c r="E27" s="69" t="s">
        <v>126</v>
      </c>
      <c r="F27" s="70">
        <v>10301950026</v>
      </c>
      <c r="G27" s="71">
        <f t="shared" si="0"/>
        <v>195.60319999999999</v>
      </c>
      <c r="H27" s="71">
        <f t="shared" si="1"/>
        <v>391.20639999999997</v>
      </c>
      <c r="I27" s="71">
        <f t="shared" si="2"/>
        <v>195.60319999999999</v>
      </c>
      <c r="J27" s="71">
        <f t="shared" si="3"/>
        <v>391.20639999999997</v>
      </c>
      <c r="K27" s="72">
        <v>0</v>
      </c>
      <c r="M27" s="58">
        <f>VLOOKUP(D27,'TABELA DE PRECOS'!B:C,2,0)</f>
        <v>195.60319999999999</v>
      </c>
    </row>
    <row r="28" spans="1:13" ht="15.75" customHeight="1" x14ac:dyDescent="0.25">
      <c r="A28" s="65">
        <v>25</v>
      </c>
      <c r="B28" s="66" t="s">
        <v>173</v>
      </c>
      <c r="C28" s="67">
        <v>2</v>
      </c>
      <c r="D28" s="70" t="s">
        <v>174</v>
      </c>
      <c r="E28" s="69" t="s">
        <v>131</v>
      </c>
      <c r="F28" s="70">
        <v>81897719002</v>
      </c>
      <c r="G28" s="71">
        <f t="shared" si="0"/>
        <v>70.994559999999993</v>
      </c>
      <c r="H28" s="71">
        <f t="shared" si="1"/>
        <v>141.98911999999999</v>
      </c>
      <c r="I28" s="71">
        <f t="shared" si="2"/>
        <v>70.994559999999993</v>
      </c>
      <c r="J28" s="71">
        <f t="shared" si="3"/>
        <v>141.98911999999999</v>
      </c>
      <c r="K28" s="72">
        <v>0</v>
      </c>
      <c r="M28" s="58">
        <f>VLOOKUP(D28,'TABELA DE PRECOS'!B:C,2,0)</f>
        <v>70.994559999999993</v>
      </c>
    </row>
    <row r="29" spans="1:13" ht="15.75" customHeight="1" x14ac:dyDescent="0.25">
      <c r="A29" s="65">
        <v>26</v>
      </c>
      <c r="B29" s="66" t="s">
        <v>175</v>
      </c>
      <c r="C29" s="67">
        <v>2</v>
      </c>
      <c r="D29" s="70" t="s">
        <v>176</v>
      </c>
      <c r="E29" s="69" t="s">
        <v>131</v>
      </c>
      <c r="F29" s="70">
        <v>81897719002</v>
      </c>
      <c r="G29" s="71">
        <v>152.13952</v>
      </c>
      <c r="H29" s="71">
        <v>304.27904000000001</v>
      </c>
      <c r="I29" s="71">
        <v>152.13952</v>
      </c>
      <c r="J29" s="71">
        <v>304.27904000000001</v>
      </c>
      <c r="K29" s="72">
        <v>0</v>
      </c>
      <c r="M29" s="58">
        <v>152.13952</v>
      </c>
    </row>
    <row r="30" spans="1:13" ht="15.75" customHeight="1" x14ac:dyDescent="0.25">
      <c r="A30" s="73">
        <v>27</v>
      </c>
      <c r="B30" s="77" t="s">
        <v>177</v>
      </c>
      <c r="C30" s="67">
        <v>2</v>
      </c>
      <c r="D30" s="70" t="s">
        <v>178</v>
      </c>
      <c r="E30" s="69" t="s">
        <v>126</v>
      </c>
      <c r="F30" s="70">
        <v>10301950027</v>
      </c>
      <c r="G30" s="71">
        <f t="shared" ref="G30:G52" si="4">M30</f>
        <v>33.795839999999998</v>
      </c>
      <c r="H30" s="71">
        <f t="shared" ref="H30:H52" si="5">G30*C30</f>
        <v>67.591679999999997</v>
      </c>
      <c r="I30" s="71">
        <f t="shared" ref="I30:I52" si="6">G30</f>
        <v>33.795839999999998</v>
      </c>
      <c r="J30" s="71">
        <f t="shared" ref="J30:J52" si="7">I30*C30</f>
        <v>67.591679999999997</v>
      </c>
      <c r="K30" s="72">
        <v>0</v>
      </c>
      <c r="M30" s="58">
        <f>VLOOKUP(D30,'TABELA DE PRECOS'!B:C,2,0)</f>
        <v>33.795839999999998</v>
      </c>
    </row>
    <row r="31" spans="1:13" ht="15.75" customHeight="1" x14ac:dyDescent="0.25">
      <c r="A31" s="65">
        <v>28</v>
      </c>
      <c r="B31" s="66" t="s">
        <v>179</v>
      </c>
      <c r="C31" s="67">
        <v>2</v>
      </c>
      <c r="D31" s="70" t="s">
        <v>180</v>
      </c>
      <c r="E31" s="69" t="s">
        <v>131</v>
      </c>
      <c r="F31" s="70">
        <v>81897719002</v>
      </c>
      <c r="G31" s="71">
        <f t="shared" si="4"/>
        <v>169.05408</v>
      </c>
      <c r="H31" s="71">
        <f t="shared" si="5"/>
        <v>338.10816</v>
      </c>
      <c r="I31" s="71">
        <f t="shared" si="6"/>
        <v>169.05408</v>
      </c>
      <c r="J31" s="71">
        <f t="shared" si="7"/>
        <v>338.10816</v>
      </c>
      <c r="K31" s="72">
        <v>0</v>
      </c>
      <c r="M31" s="58">
        <f>VLOOKUP(D31,'TABELA DE PRECOS'!B:C,2,0)</f>
        <v>169.05408</v>
      </c>
    </row>
    <row r="32" spans="1:13" ht="15.75" customHeight="1" x14ac:dyDescent="0.25">
      <c r="A32" s="73">
        <v>29</v>
      </c>
      <c r="B32" s="66" t="s">
        <v>181</v>
      </c>
      <c r="C32" s="67">
        <v>4</v>
      </c>
      <c r="D32" s="70" t="s">
        <v>182</v>
      </c>
      <c r="E32" s="69" t="s">
        <v>131</v>
      </c>
      <c r="F32" s="70">
        <v>81897719002</v>
      </c>
      <c r="G32" s="71">
        <f t="shared" si="4"/>
        <v>29.989999999999995</v>
      </c>
      <c r="H32" s="71">
        <f t="shared" si="5"/>
        <v>119.95999999999998</v>
      </c>
      <c r="I32" s="71">
        <f t="shared" si="6"/>
        <v>29.989999999999995</v>
      </c>
      <c r="J32" s="71">
        <f t="shared" si="7"/>
        <v>119.95999999999998</v>
      </c>
      <c r="K32" s="72">
        <v>0</v>
      </c>
      <c r="M32" s="58">
        <f>VLOOKUP(D32,'TABELA DE PRECOS'!B:C,2,0)</f>
        <v>29.989999999999995</v>
      </c>
    </row>
    <row r="33" spans="1:13" ht="15.75" customHeight="1" x14ac:dyDescent="0.25">
      <c r="A33" s="65">
        <v>30</v>
      </c>
      <c r="B33" s="66" t="s">
        <v>183</v>
      </c>
      <c r="C33" s="67">
        <v>1</v>
      </c>
      <c r="D33" s="70" t="s">
        <v>184</v>
      </c>
      <c r="E33" s="69" t="s">
        <v>131</v>
      </c>
      <c r="F33" s="70">
        <v>81897719002</v>
      </c>
      <c r="G33" s="71">
        <f t="shared" si="4"/>
        <v>40.79</v>
      </c>
      <c r="H33" s="71">
        <f t="shared" si="5"/>
        <v>40.79</v>
      </c>
      <c r="I33" s="71">
        <f t="shared" si="6"/>
        <v>40.79</v>
      </c>
      <c r="J33" s="71">
        <f t="shared" si="7"/>
        <v>40.79</v>
      </c>
      <c r="K33" s="72">
        <v>0</v>
      </c>
      <c r="M33" s="58">
        <f>VLOOKUP(D33,'TABELA DE PRECOS'!B:C,2,0)</f>
        <v>40.79</v>
      </c>
    </row>
    <row r="34" spans="1:13" ht="15.75" customHeight="1" x14ac:dyDescent="0.25">
      <c r="A34" s="65">
        <v>31</v>
      </c>
      <c r="B34" s="66" t="s">
        <v>185</v>
      </c>
      <c r="C34" s="67">
        <v>15</v>
      </c>
      <c r="D34" s="70" t="s">
        <v>186</v>
      </c>
      <c r="E34" s="69" t="s">
        <v>131</v>
      </c>
      <c r="F34" s="70">
        <v>81897719002</v>
      </c>
      <c r="G34" s="71">
        <f t="shared" si="4"/>
        <v>17.28</v>
      </c>
      <c r="H34" s="71">
        <f t="shared" si="5"/>
        <v>259.20000000000005</v>
      </c>
      <c r="I34" s="71">
        <f t="shared" si="6"/>
        <v>17.28</v>
      </c>
      <c r="J34" s="71">
        <f t="shared" si="7"/>
        <v>259.20000000000005</v>
      </c>
      <c r="K34" s="72">
        <v>0</v>
      </c>
      <c r="M34" s="58">
        <f>VLOOKUP(D34,'TABELA DE PRECOS'!B:C,2,0)</f>
        <v>17.28</v>
      </c>
    </row>
    <row r="35" spans="1:13" ht="15.75" customHeight="1" x14ac:dyDescent="0.25">
      <c r="A35" s="73">
        <v>32</v>
      </c>
      <c r="B35" s="66" t="s">
        <v>187</v>
      </c>
      <c r="C35" s="67">
        <v>15</v>
      </c>
      <c r="D35" s="70" t="s">
        <v>188</v>
      </c>
      <c r="E35" s="69" t="s">
        <v>131</v>
      </c>
      <c r="F35" s="70">
        <v>81897719002</v>
      </c>
      <c r="G35" s="71">
        <f t="shared" si="4"/>
        <v>15.95</v>
      </c>
      <c r="H35" s="71">
        <f t="shared" si="5"/>
        <v>239.25</v>
      </c>
      <c r="I35" s="71">
        <f t="shared" si="6"/>
        <v>15.95</v>
      </c>
      <c r="J35" s="71">
        <f t="shared" si="7"/>
        <v>239.25</v>
      </c>
      <c r="K35" s="72">
        <v>0</v>
      </c>
      <c r="M35" s="58">
        <f>VLOOKUP(D35,'TABELA DE PRECOS'!B:C,2,0)</f>
        <v>15.95</v>
      </c>
    </row>
    <row r="36" spans="1:13" ht="15.75" customHeight="1" x14ac:dyDescent="0.25">
      <c r="A36" s="65">
        <v>33</v>
      </c>
      <c r="B36" s="66" t="s">
        <v>189</v>
      </c>
      <c r="C36" s="67">
        <v>10</v>
      </c>
      <c r="D36" s="70" t="s">
        <v>190</v>
      </c>
      <c r="E36" s="69" t="s">
        <v>131</v>
      </c>
      <c r="F36" s="70">
        <v>81897719002</v>
      </c>
      <c r="G36" s="71">
        <f t="shared" si="4"/>
        <v>16.71</v>
      </c>
      <c r="H36" s="71">
        <f t="shared" si="5"/>
        <v>167.10000000000002</v>
      </c>
      <c r="I36" s="71">
        <f t="shared" si="6"/>
        <v>16.71</v>
      </c>
      <c r="J36" s="71">
        <f t="shared" si="7"/>
        <v>167.10000000000002</v>
      </c>
      <c r="K36" s="72">
        <v>0</v>
      </c>
      <c r="M36" s="58">
        <f>VLOOKUP(D36,'TABELA DE PRECOS'!B:C,2,0)</f>
        <v>16.71</v>
      </c>
    </row>
    <row r="37" spans="1:13" ht="15.75" customHeight="1" x14ac:dyDescent="0.25">
      <c r="A37" s="73">
        <v>34</v>
      </c>
      <c r="B37" s="66" t="s">
        <v>191</v>
      </c>
      <c r="C37" s="67">
        <v>1</v>
      </c>
      <c r="D37" s="70" t="s">
        <v>192</v>
      </c>
      <c r="E37" s="69" t="s">
        <v>131</v>
      </c>
      <c r="F37" s="70">
        <v>81897719002</v>
      </c>
      <c r="G37" s="71">
        <f t="shared" si="4"/>
        <v>25.68384</v>
      </c>
      <c r="H37" s="71">
        <f t="shared" si="5"/>
        <v>25.68384</v>
      </c>
      <c r="I37" s="71">
        <f t="shared" si="6"/>
        <v>25.68384</v>
      </c>
      <c r="J37" s="71">
        <f t="shared" si="7"/>
        <v>25.68384</v>
      </c>
      <c r="K37" s="72">
        <v>0</v>
      </c>
      <c r="M37" s="58">
        <f>VLOOKUP(D37,'TABELA DE PRECOS'!B:C,2,0)</f>
        <v>25.68384</v>
      </c>
    </row>
    <row r="38" spans="1:13" ht="15.75" customHeight="1" x14ac:dyDescent="0.25">
      <c r="A38" s="65">
        <v>35</v>
      </c>
      <c r="B38" s="66" t="s">
        <v>1576</v>
      </c>
      <c r="C38" s="67">
        <v>2</v>
      </c>
      <c r="D38" s="70" t="s">
        <v>1575</v>
      </c>
      <c r="E38" s="69" t="s">
        <v>131</v>
      </c>
      <c r="F38" s="70">
        <v>81897719002</v>
      </c>
      <c r="G38" s="71">
        <f t="shared" si="4"/>
        <v>24.34432</v>
      </c>
      <c r="H38" s="71">
        <f t="shared" si="5"/>
        <v>48.688639999999999</v>
      </c>
      <c r="I38" s="71">
        <f t="shared" si="6"/>
        <v>24.34432</v>
      </c>
      <c r="J38" s="71">
        <f t="shared" si="7"/>
        <v>48.688639999999999</v>
      </c>
      <c r="K38" s="72">
        <v>0</v>
      </c>
      <c r="M38" s="58">
        <f>VLOOKUP(D38,'TABELA DE PRECOS'!B:C,2,0)</f>
        <v>24.34432</v>
      </c>
    </row>
    <row r="39" spans="1:13" ht="15.75" customHeight="1" x14ac:dyDescent="0.25">
      <c r="A39" s="65">
        <v>36</v>
      </c>
      <c r="B39" s="66" t="s">
        <v>195</v>
      </c>
      <c r="C39" s="67">
        <v>4</v>
      </c>
      <c r="D39" s="70" t="s">
        <v>196</v>
      </c>
      <c r="E39" s="69" t="s">
        <v>131</v>
      </c>
      <c r="F39" s="70">
        <v>81897719002</v>
      </c>
      <c r="G39" s="71">
        <f t="shared" si="4"/>
        <v>9.0399999999999991</v>
      </c>
      <c r="H39" s="71">
        <f t="shared" si="5"/>
        <v>36.159999999999997</v>
      </c>
      <c r="I39" s="71">
        <f t="shared" si="6"/>
        <v>9.0399999999999991</v>
      </c>
      <c r="J39" s="71">
        <f t="shared" si="7"/>
        <v>36.159999999999997</v>
      </c>
      <c r="K39" s="72">
        <v>0</v>
      </c>
      <c r="M39" s="58">
        <f>VLOOKUP(D39,'TABELA DE PRECOS'!B:C,2,0)</f>
        <v>9.0399999999999991</v>
      </c>
    </row>
    <row r="40" spans="1:13" ht="15.75" customHeight="1" x14ac:dyDescent="0.25">
      <c r="A40" s="73">
        <v>37</v>
      </c>
      <c r="B40" s="66" t="s">
        <v>197</v>
      </c>
      <c r="C40" s="67">
        <v>1</v>
      </c>
      <c r="D40" s="74" t="s">
        <v>198</v>
      </c>
      <c r="E40" s="69" t="s">
        <v>131</v>
      </c>
      <c r="F40" s="70">
        <v>81897719002</v>
      </c>
      <c r="G40" s="71">
        <f t="shared" si="4"/>
        <v>94.648320000000012</v>
      </c>
      <c r="H40" s="71">
        <f t="shared" si="5"/>
        <v>94.648320000000012</v>
      </c>
      <c r="I40" s="71">
        <f t="shared" si="6"/>
        <v>94.648320000000012</v>
      </c>
      <c r="J40" s="71">
        <f t="shared" si="7"/>
        <v>94.648320000000012</v>
      </c>
      <c r="K40" s="72">
        <v>0</v>
      </c>
      <c r="M40" s="58">
        <f>VLOOKUP(D40,'TABELA DE PRECOS'!B:C,2,0)</f>
        <v>94.648320000000012</v>
      </c>
    </row>
    <row r="41" spans="1:13" ht="15.75" customHeight="1" x14ac:dyDescent="0.25">
      <c r="A41" s="65">
        <v>38</v>
      </c>
      <c r="B41" s="66" t="s">
        <v>199</v>
      </c>
      <c r="C41" s="67">
        <v>2</v>
      </c>
      <c r="D41" s="70" t="s">
        <v>200</v>
      </c>
      <c r="E41" s="69" t="s">
        <v>131</v>
      </c>
      <c r="F41" s="70">
        <v>81897719003</v>
      </c>
      <c r="G41" s="71">
        <f t="shared" si="4"/>
        <v>94.648320000000012</v>
      </c>
      <c r="H41" s="71">
        <f t="shared" si="5"/>
        <v>189.29664000000002</v>
      </c>
      <c r="I41" s="71">
        <f t="shared" si="6"/>
        <v>94.648320000000012</v>
      </c>
      <c r="J41" s="71">
        <f t="shared" si="7"/>
        <v>189.29664000000002</v>
      </c>
      <c r="K41" s="72">
        <v>0</v>
      </c>
      <c r="M41" s="58">
        <f>VLOOKUP(D41,'TABELA DE PRECOS'!B:C,2,0)</f>
        <v>94.648320000000012</v>
      </c>
    </row>
    <row r="42" spans="1:13" ht="15.75" customHeight="1" x14ac:dyDescent="0.25">
      <c r="A42" s="73">
        <v>39</v>
      </c>
      <c r="B42" s="66" t="s">
        <v>201</v>
      </c>
      <c r="C42" s="67">
        <v>2</v>
      </c>
      <c r="D42" s="70" t="s">
        <v>202</v>
      </c>
      <c r="E42" s="69" t="s">
        <v>131</v>
      </c>
      <c r="F42" s="70">
        <v>81897710034</v>
      </c>
      <c r="G42" s="71">
        <f t="shared" si="4"/>
        <v>47.349119999999999</v>
      </c>
      <c r="H42" s="71">
        <f t="shared" si="5"/>
        <v>94.698239999999998</v>
      </c>
      <c r="I42" s="71">
        <f t="shared" si="6"/>
        <v>47.349119999999999</v>
      </c>
      <c r="J42" s="71">
        <f t="shared" si="7"/>
        <v>94.698239999999998</v>
      </c>
      <c r="K42" s="72">
        <v>0</v>
      </c>
      <c r="M42" s="58">
        <f>VLOOKUP(D42,'TABELA DE PRECOS'!B:C,2,0)</f>
        <v>47.349119999999999</v>
      </c>
    </row>
    <row r="43" spans="1:13" ht="15.75" customHeight="1" x14ac:dyDescent="0.25">
      <c r="A43" s="65">
        <v>40</v>
      </c>
      <c r="B43" s="66" t="s">
        <v>203</v>
      </c>
      <c r="C43" s="67">
        <v>2</v>
      </c>
      <c r="D43" s="70" t="s">
        <v>204</v>
      </c>
      <c r="E43" s="69" t="s">
        <v>131</v>
      </c>
      <c r="F43" s="70">
        <v>81897719003</v>
      </c>
      <c r="G43" s="71">
        <f t="shared" si="4"/>
        <v>70.994559999999993</v>
      </c>
      <c r="H43" s="71">
        <f t="shared" si="5"/>
        <v>141.98911999999999</v>
      </c>
      <c r="I43" s="71">
        <f t="shared" si="6"/>
        <v>70.994559999999993</v>
      </c>
      <c r="J43" s="71">
        <f t="shared" si="7"/>
        <v>141.98911999999999</v>
      </c>
      <c r="K43" s="72">
        <v>0</v>
      </c>
      <c r="M43" s="58">
        <f>VLOOKUP(D43,'TABELA DE PRECOS'!B:C,2,0)</f>
        <v>70.994559999999993</v>
      </c>
    </row>
    <row r="44" spans="1:13" ht="15.75" customHeight="1" x14ac:dyDescent="0.25">
      <c r="A44" s="65">
        <v>41</v>
      </c>
      <c r="B44" s="66" t="s">
        <v>205</v>
      </c>
      <c r="C44" s="67">
        <v>2</v>
      </c>
      <c r="D44" s="70" t="s">
        <v>206</v>
      </c>
      <c r="E44" s="69" t="s">
        <v>131</v>
      </c>
      <c r="F44" s="70">
        <v>81897719002</v>
      </c>
      <c r="G44" s="71">
        <f t="shared" si="4"/>
        <v>18.077135999999999</v>
      </c>
      <c r="H44" s="71">
        <f t="shared" si="5"/>
        <v>36.154271999999999</v>
      </c>
      <c r="I44" s="71">
        <f t="shared" si="6"/>
        <v>18.077135999999999</v>
      </c>
      <c r="J44" s="71">
        <f t="shared" si="7"/>
        <v>36.154271999999999</v>
      </c>
      <c r="K44" s="72">
        <v>0</v>
      </c>
      <c r="M44" s="58">
        <f>VLOOKUP(D44,'TABELA DE PRECOS'!B:C,2,0)</f>
        <v>18.077135999999999</v>
      </c>
    </row>
    <row r="45" spans="1:13" ht="15.75" customHeight="1" x14ac:dyDescent="0.25">
      <c r="A45" s="73">
        <v>42</v>
      </c>
      <c r="B45" s="66" t="s">
        <v>207</v>
      </c>
      <c r="C45" s="67">
        <v>4</v>
      </c>
      <c r="D45" s="74" t="s">
        <v>208</v>
      </c>
      <c r="E45" s="69" t="s">
        <v>131</v>
      </c>
      <c r="F45" s="70">
        <v>81897719002</v>
      </c>
      <c r="G45" s="71">
        <f t="shared" si="4"/>
        <v>21.30752</v>
      </c>
      <c r="H45" s="71">
        <f t="shared" si="5"/>
        <v>85.230080000000001</v>
      </c>
      <c r="I45" s="71">
        <f t="shared" si="6"/>
        <v>21.30752</v>
      </c>
      <c r="J45" s="71">
        <f t="shared" si="7"/>
        <v>85.230080000000001</v>
      </c>
      <c r="K45" s="72">
        <v>0</v>
      </c>
      <c r="M45" s="58">
        <f>VLOOKUP(D45,'TABELA DE PRECOS'!B:C,2,0)</f>
        <v>21.30752</v>
      </c>
    </row>
    <row r="46" spans="1:13" ht="15.75" customHeight="1" x14ac:dyDescent="0.25">
      <c r="A46" s="65">
        <v>43</v>
      </c>
      <c r="B46" s="66" t="s">
        <v>209</v>
      </c>
      <c r="C46" s="67">
        <v>4</v>
      </c>
      <c r="D46" s="70" t="s">
        <v>210</v>
      </c>
      <c r="E46" s="69" t="s">
        <v>131</v>
      </c>
      <c r="F46" s="70">
        <v>81897719003</v>
      </c>
      <c r="G46" s="71">
        <f t="shared" si="4"/>
        <v>73.489999999999995</v>
      </c>
      <c r="H46" s="71">
        <f t="shared" si="5"/>
        <v>293.95999999999998</v>
      </c>
      <c r="I46" s="71">
        <f t="shared" si="6"/>
        <v>73.489999999999995</v>
      </c>
      <c r="J46" s="71">
        <f t="shared" si="7"/>
        <v>293.95999999999998</v>
      </c>
      <c r="K46" s="72">
        <v>0</v>
      </c>
      <c r="M46" s="58">
        <f>VLOOKUP(D46,'TABELA DE PRECOS'!B:C,2,0)</f>
        <v>73.489999999999995</v>
      </c>
    </row>
    <row r="47" spans="1:13" ht="15.75" customHeight="1" x14ac:dyDescent="0.25">
      <c r="A47" s="73">
        <v>44</v>
      </c>
      <c r="B47" s="66" t="s">
        <v>211</v>
      </c>
      <c r="C47" s="67">
        <v>2</v>
      </c>
      <c r="D47" s="70" t="s">
        <v>212</v>
      </c>
      <c r="E47" s="69" t="s">
        <v>131</v>
      </c>
      <c r="F47" s="70">
        <v>81897719002</v>
      </c>
      <c r="G47" s="71">
        <f t="shared" si="4"/>
        <v>18.84</v>
      </c>
      <c r="H47" s="71">
        <f t="shared" si="5"/>
        <v>37.68</v>
      </c>
      <c r="I47" s="71">
        <f t="shared" si="6"/>
        <v>18.84</v>
      </c>
      <c r="J47" s="71">
        <f t="shared" si="7"/>
        <v>37.68</v>
      </c>
      <c r="K47" s="72">
        <v>0</v>
      </c>
      <c r="M47" s="58">
        <f>VLOOKUP(D47,'TABELA DE PRECOS'!B:C,2,0)</f>
        <v>18.84</v>
      </c>
    </row>
    <row r="48" spans="1:13" ht="15.75" customHeight="1" x14ac:dyDescent="0.25">
      <c r="A48" s="65">
        <v>45</v>
      </c>
      <c r="B48" s="66" t="s">
        <v>213</v>
      </c>
      <c r="C48" s="67">
        <v>4</v>
      </c>
      <c r="D48" s="70" t="s">
        <v>214</v>
      </c>
      <c r="E48" s="69" t="s">
        <v>131</v>
      </c>
      <c r="F48" s="70">
        <v>81897719002</v>
      </c>
      <c r="G48" s="71">
        <f t="shared" si="4"/>
        <v>21.989759999999997</v>
      </c>
      <c r="H48" s="71">
        <f t="shared" si="5"/>
        <v>87.959039999999987</v>
      </c>
      <c r="I48" s="71">
        <f t="shared" si="6"/>
        <v>21.989759999999997</v>
      </c>
      <c r="J48" s="71">
        <f t="shared" si="7"/>
        <v>87.959039999999987</v>
      </c>
      <c r="K48" s="72">
        <v>0</v>
      </c>
      <c r="M48" s="58">
        <f>VLOOKUP(D48,'TABELA DE PRECOS'!B:C,2,0)</f>
        <v>21.989759999999997</v>
      </c>
    </row>
    <row r="49" spans="1:13" ht="15.75" customHeight="1" x14ac:dyDescent="0.25">
      <c r="A49" s="65">
        <v>46</v>
      </c>
      <c r="B49" s="66" t="s">
        <v>215</v>
      </c>
      <c r="C49" s="67">
        <v>2</v>
      </c>
      <c r="D49" s="70" t="s">
        <v>216</v>
      </c>
      <c r="E49" s="69" t="s">
        <v>131</v>
      </c>
      <c r="F49" s="70">
        <v>81897719002</v>
      </c>
      <c r="G49" s="71">
        <f t="shared" si="4"/>
        <v>26.207999999999998</v>
      </c>
      <c r="H49" s="71">
        <f t="shared" si="5"/>
        <v>52.415999999999997</v>
      </c>
      <c r="I49" s="71">
        <f t="shared" si="6"/>
        <v>26.207999999999998</v>
      </c>
      <c r="J49" s="71">
        <f t="shared" si="7"/>
        <v>52.415999999999997</v>
      </c>
      <c r="K49" s="72">
        <v>0</v>
      </c>
      <c r="M49" s="58">
        <f>VLOOKUP(D49,'TABELA DE PRECOS'!B:C,2,0)</f>
        <v>26.207999999999998</v>
      </c>
    </row>
    <row r="50" spans="1:13" ht="15.75" customHeight="1" x14ac:dyDescent="0.25">
      <c r="A50" s="73">
        <v>47</v>
      </c>
      <c r="B50" s="66" t="s">
        <v>217</v>
      </c>
      <c r="C50" s="67">
        <v>2</v>
      </c>
      <c r="D50" s="76" t="s">
        <v>218</v>
      </c>
      <c r="E50" s="69" t="s">
        <v>131</v>
      </c>
      <c r="F50" s="76">
        <v>81897719002</v>
      </c>
      <c r="G50" s="71">
        <f t="shared" si="4"/>
        <v>25.68384</v>
      </c>
      <c r="H50" s="71">
        <f t="shared" si="5"/>
        <v>51.36768</v>
      </c>
      <c r="I50" s="71">
        <f t="shared" si="6"/>
        <v>25.68384</v>
      </c>
      <c r="J50" s="71">
        <f t="shared" si="7"/>
        <v>51.36768</v>
      </c>
      <c r="K50" s="72">
        <v>0</v>
      </c>
      <c r="M50" s="58">
        <f>VLOOKUP(D50,'TABELA DE PRECOS'!B:C,2,0)</f>
        <v>25.68384</v>
      </c>
    </row>
    <row r="51" spans="1:13" ht="15.75" customHeight="1" x14ac:dyDescent="0.25">
      <c r="A51" s="65">
        <v>48</v>
      </c>
      <c r="B51" s="66" t="s">
        <v>219</v>
      </c>
      <c r="C51" s="67">
        <v>4</v>
      </c>
      <c r="D51" s="70" t="s">
        <v>220</v>
      </c>
      <c r="E51" s="69" t="s">
        <v>131</v>
      </c>
      <c r="F51" s="70">
        <v>81897719002</v>
      </c>
      <c r="G51" s="71">
        <f t="shared" si="4"/>
        <v>17.363840000000003</v>
      </c>
      <c r="H51" s="71">
        <f t="shared" si="5"/>
        <v>69.455360000000013</v>
      </c>
      <c r="I51" s="71">
        <f t="shared" si="6"/>
        <v>17.363840000000003</v>
      </c>
      <c r="J51" s="71">
        <f t="shared" si="7"/>
        <v>69.455360000000013</v>
      </c>
      <c r="K51" s="72">
        <v>0</v>
      </c>
      <c r="M51" s="58">
        <f>VLOOKUP(D51,'TABELA DE PRECOS'!B:C,2,0)</f>
        <v>17.363840000000003</v>
      </c>
    </row>
    <row r="52" spans="1:13" ht="15.75" customHeight="1" x14ac:dyDescent="0.25">
      <c r="A52" s="73">
        <v>49</v>
      </c>
      <c r="B52" t="s">
        <v>1627</v>
      </c>
      <c r="C52" s="67">
        <v>1</v>
      </c>
      <c r="D52" s="74" t="s">
        <v>222</v>
      </c>
      <c r="E52" s="69" t="s">
        <v>131</v>
      </c>
      <c r="F52" s="76" t="s">
        <v>223</v>
      </c>
      <c r="G52" s="71">
        <f t="shared" si="4"/>
        <v>590.62848000000008</v>
      </c>
      <c r="H52" s="71">
        <f t="shared" si="5"/>
        <v>590.62848000000008</v>
      </c>
      <c r="I52" s="71">
        <f t="shared" si="6"/>
        <v>590.62848000000008</v>
      </c>
      <c r="J52" s="71">
        <f t="shared" si="7"/>
        <v>590.62848000000008</v>
      </c>
      <c r="K52" s="72">
        <v>0</v>
      </c>
      <c r="M52" s="58">
        <f>VLOOKUP(D52,'TABELA DE PRECOS'!B:C,2,0)</f>
        <v>590.62848000000008</v>
      </c>
    </row>
    <row r="53" spans="1:13" ht="15.75" customHeight="1" x14ac:dyDescent="0.25">
      <c r="A53" s="78"/>
      <c r="B53" s="79" t="s">
        <v>224</v>
      </c>
      <c r="C53" s="79">
        <f>SUM(C4:C52)</f>
        <v>135</v>
      </c>
      <c r="D53" s="79"/>
      <c r="E53" s="79"/>
      <c r="F53" s="79"/>
      <c r="G53" s="80"/>
      <c r="H53" s="80">
        <f>SUM(H4:H52)</f>
        <v>9194.8111999999983</v>
      </c>
      <c r="I53" s="79"/>
      <c r="J53" s="80">
        <f>SUM(J4:J52)</f>
        <v>9194.8111999999983</v>
      </c>
      <c r="K53" s="81"/>
      <c r="M53" s="58" t="e">
        <f>VLOOKUP(D53,'TABELA DE PRECOS'!B:C,2,0)</f>
        <v>#N/A</v>
      </c>
    </row>
    <row r="54" spans="1:13" ht="15.75" customHeight="1" x14ac:dyDescent="0.25">
      <c r="A54" s="56"/>
      <c r="B54" s="49" t="s">
        <v>15</v>
      </c>
      <c r="C54" s="57"/>
      <c r="G54" s="58"/>
      <c r="H54" s="58"/>
      <c r="I54" s="58"/>
      <c r="J54" s="58"/>
      <c r="K54" s="59"/>
      <c r="M54" s="58" t="e">
        <f>VLOOKUP(D54,'TABELA DE PRECOS'!B:C,2,0)</f>
        <v>#N/A</v>
      </c>
    </row>
    <row r="55" spans="1:13" ht="15.75" customHeight="1" x14ac:dyDescent="0.25">
      <c r="A55" s="56"/>
      <c r="B55" s="18" t="s">
        <v>225</v>
      </c>
      <c r="C55" s="57"/>
      <c r="G55" s="58"/>
      <c r="H55" s="58"/>
      <c r="I55" s="58"/>
      <c r="J55" s="58"/>
      <c r="K55" s="59"/>
      <c r="M55" s="58" t="e">
        <f>VLOOKUP(D55,'TABELA DE PRECOS'!B:C,2,0)</f>
        <v>#N/A</v>
      </c>
    </row>
    <row r="56" spans="1:13" ht="15.75" customHeight="1" x14ac:dyDescent="0.25">
      <c r="A56" s="18" t="s">
        <v>119</v>
      </c>
      <c r="B56" s="18" t="s">
        <v>120</v>
      </c>
      <c r="C56" s="18" t="s">
        <v>21</v>
      </c>
      <c r="D56" s="18" t="s">
        <v>121</v>
      </c>
      <c r="E56" s="60" t="s">
        <v>122</v>
      </c>
      <c r="F56" s="18" t="s">
        <v>123</v>
      </c>
      <c r="G56" s="61" t="s">
        <v>22</v>
      </c>
      <c r="H56" s="18" t="s">
        <v>23</v>
      </c>
      <c r="I56" s="18" t="s">
        <v>24</v>
      </c>
      <c r="J56" s="18" t="s">
        <v>25</v>
      </c>
      <c r="K56" s="62" t="s">
        <v>26</v>
      </c>
      <c r="L56" s="63"/>
      <c r="M56" s="58" t="str">
        <f>VLOOKUP(D56,'TABELA DE PRECOS'!B:C,2,0)</f>
        <v>Valor Unit Bruto</v>
      </c>
    </row>
    <row r="57" spans="1:13" ht="15.75" customHeight="1" x14ac:dyDescent="0.25">
      <c r="A57" s="65">
        <v>1</v>
      </c>
      <c r="B57" s="66" t="s">
        <v>226</v>
      </c>
      <c r="C57" s="82">
        <v>2</v>
      </c>
      <c r="D57" s="76" t="s">
        <v>132</v>
      </c>
      <c r="E57" s="69" t="s">
        <v>131</v>
      </c>
      <c r="F57" s="76">
        <v>81897719002</v>
      </c>
      <c r="G57" s="71">
        <f t="shared" ref="G57:G60" si="8">M57</f>
        <v>121.71328</v>
      </c>
      <c r="H57" s="71">
        <f t="shared" ref="H57:H109" si="9">G57*C57</f>
        <v>243.42655999999999</v>
      </c>
      <c r="I57" s="71">
        <f t="shared" ref="I57:I109" si="10">G57</f>
        <v>121.71328</v>
      </c>
      <c r="J57" s="71">
        <f t="shared" ref="J57:J109" si="11">I57*C57</f>
        <v>243.42655999999999</v>
      </c>
      <c r="K57" s="72">
        <v>0</v>
      </c>
      <c r="M57" s="58">
        <f>VLOOKUP(D57,'TABELA DE PRECOS'!B:C,2,0)</f>
        <v>121.71328</v>
      </c>
    </row>
    <row r="58" spans="1:13" ht="15.75" customHeight="1" x14ac:dyDescent="0.25">
      <c r="A58" s="65">
        <v>2</v>
      </c>
      <c r="B58" s="66" t="s">
        <v>227</v>
      </c>
      <c r="C58" s="82">
        <v>2</v>
      </c>
      <c r="D58" s="66" t="s">
        <v>228</v>
      </c>
      <c r="E58" s="69" t="s">
        <v>126</v>
      </c>
      <c r="F58" s="76">
        <v>10301950027</v>
      </c>
      <c r="G58" s="71">
        <f t="shared" si="8"/>
        <v>209.85535999999999</v>
      </c>
      <c r="H58" s="71">
        <f t="shared" si="9"/>
        <v>419.71071999999998</v>
      </c>
      <c r="I58" s="71">
        <f t="shared" si="10"/>
        <v>209.85535999999999</v>
      </c>
      <c r="J58" s="71">
        <f t="shared" si="11"/>
        <v>419.71071999999998</v>
      </c>
      <c r="K58" s="72">
        <v>0</v>
      </c>
      <c r="M58" s="58">
        <f>VLOOKUP(D58,'TABELA DE PRECOS'!B:C,2,0)</f>
        <v>209.85535999999999</v>
      </c>
    </row>
    <row r="59" spans="1:13" ht="15.75" customHeight="1" x14ac:dyDescent="0.25">
      <c r="A59" s="65">
        <v>3</v>
      </c>
      <c r="B59" s="66" t="s">
        <v>229</v>
      </c>
      <c r="C59" s="82">
        <v>2</v>
      </c>
      <c r="D59" s="66" t="s">
        <v>230</v>
      </c>
      <c r="E59" s="69" t="s">
        <v>126</v>
      </c>
      <c r="F59" s="76">
        <v>10301950027</v>
      </c>
      <c r="G59" s="71">
        <f t="shared" si="8"/>
        <v>209.85535999999999</v>
      </c>
      <c r="H59" s="71">
        <f t="shared" si="9"/>
        <v>419.71071999999998</v>
      </c>
      <c r="I59" s="71">
        <f t="shared" si="10"/>
        <v>209.85535999999999</v>
      </c>
      <c r="J59" s="71">
        <f t="shared" si="11"/>
        <v>419.71071999999998</v>
      </c>
      <c r="K59" s="72">
        <v>0</v>
      </c>
      <c r="M59" s="58">
        <f>VLOOKUP(D59,'TABELA DE PRECOS'!B:C,2,0)</f>
        <v>209.85535999999999</v>
      </c>
    </row>
    <row r="60" spans="1:13" ht="15.75" customHeight="1" x14ac:dyDescent="0.25">
      <c r="A60" s="65">
        <v>4</v>
      </c>
      <c r="B60" s="66" t="s">
        <v>231</v>
      </c>
      <c r="C60" s="82">
        <v>1</v>
      </c>
      <c r="D60" s="76" t="s">
        <v>232</v>
      </c>
      <c r="E60" s="69" t="s">
        <v>131</v>
      </c>
      <c r="F60" s="76">
        <v>81897719002</v>
      </c>
      <c r="G60" s="71">
        <f t="shared" si="8"/>
        <v>135.21664000000001</v>
      </c>
      <c r="H60" s="71">
        <f t="shared" si="9"/>
        <v>135.21664000000001</v>
      </c>
      <c r="I60" s="71">
        <f t="shared" si="10"/>
        <v>135.21664000000001</v>
      </c>
      <c r="J60" s="71">
        <f t="shared" si="11"/>
        <v>135.21664000000001</v>
      </c>
      <c r="K60" s="72">
        <v>0</v>
      </c>
      <c r="M60" s="58">
        <f>VLOOKUP(D60,'TABELA DE PRECOS'!B:C,2,0)</f>
        <v>135.21664000000001</v>
      </c>
    </row>
    <row r="61" spans="1:13" ht="15.75" customHeight="1" x14ac:dyDescent="0.25">
      <c r="A61" s="65">
        <v>5</v>
      </c>
      <c r="B61" s="66" t="s">
        <v>233</v>
      </c>
      <c r="C61" s="82">
        <v>1</v>
      </c>
      <c r="D61" s="76" t="s">
        <v>234</v>
      </c>
      <c r="E61" s="69" t="s">
        <v>131</v>
      </c>
      <c r="F61" s="76">
        <v>81897719002</v>
      </c>
      <c r="G61" s="71">
        <f t="shared" ref="G61:G109" si="12">M61</f>
        <v>135.21664000000001</v>
      </c>
      <c r="H61" s="71">
        <f t="shared" si="9"/>
        <v>135.21664000000001</v>
      </c>
      <c r="I61" s="71">
        <f t="shared" si="10"/>
        <v>135.21664000000001</v>
      </c>
      <c r="J61" s="71">
        <f t="shared" si="11"/>
        <v>135.21664000000001</v>
      </c>
      <c r="K61" s="72">
        <v>0</v>
      </c>
      <c r="M61" s="58">
        <f>VLOOKUP(D61,'TABELA DE PRECOS'!B:C,2,0)</f>
        <v>135.21664000000001</v>
      </c>
    </row>
    <row r="62" spans="1:13" ht="15.75" customHeight="1" x14ac:dyDescent="0.25">
      <c r="A62" s="65">
        <v>6</v>
      </c>
      <c r="B62" s="83" t="s">
        <v>1578</v>
      </c>
      <c r="C62" s="82">
        <v>2</v>
      </c>
      <c r="D62" s="76" t="s">
        <v>236</v>
      </c>
      <c r="E62" s="69" t="s">
        <v>126</v>
      </c>
      <c r="F62" s="70">
        <v>10301950026</v>
      </c>
      <c r="G62" s="71">
        <f t="shared" si="12"/>
        <v>879.02463999999998</v>
      </c>
      <c r="H62" s="71">
        <f t="shared" si="9"/>
        <v>1758.04928</v>
      </c>
      <c r="I62" s="71">
        <f t="shared" si="10"/>
        <v>879.02463999999998</v>
      </c>
      <c r="J62" s="71">
        <f t="shared" si="11"/>
        <v>1758.04928</v>
      </c>
      <c r="K62" s="72">
        <v>0</v>
      </c>
      <c r="M62" s="58">
        <f>VLOOKUP(D62,'TABELA DE PRECOS'!B:C,2,0)</f>
        <v>879.02463999999998</v>
      </c>
    </row>
    <row r="63" spans="1:13" ht="15.75" customHeight="1" x14ac:dyDescent="0.25">
      <c r="A63" s="65">
        <v>7</v>
      </c>
      <c r="B63" s="66" t="s">
        <v>133</v>
      </c>
      <c r="C63" s="82">
        <v>2</v>
      </c>
      <c r="D63" s="76" t="s">
        <v>134</v>
      </c>
      <c r="E63" s="69" t="s">
        <v>131</v>
      </c>
      <c r="F63" s="76">
        <v>81897719002</v>
      </c>
      <c r="G63" s="71">
        <f t="shared" si="12"/>
        <v>17.19688</v>
      </c>
      <c r="H63" s="71">
        <f t="shared" si="9"/>
        <v>34.39376</v>
      </c>
      <c r="I63" s="71">
        <f t="shared" si="10"/>
        <v>17.19688</v>
      </c>
      <c r="J63" s="71">
        <f t="shared" si="11"/>
        <v>34.39376</v>
      </c>
      <c r="K63" s="72">
        <v>0</v>
      </c>
      <c r="M63" s="58">
        <f>VLOOKUP(D63,'TABELA DE PRECOS'!B:C,2,0)</f>
        <v>17.19688</v>
      </c>
    </row>
    <row r="64" spans="1:13" ht="15.75" customHeight="1" x14ac:dyDescent="0.25">
      <c r="A64" s="65">
        <v>8</v>
      </c>
      <c r="B64" s="66" t="s">
        <v>135</v>
      </c>
      <c r="C64" s="82">
        <v>2</v>
      </c>
      <c r="D64" s="76" t="s">
        <v>136</v>
      </c>
      <c r="E64" s="69" t="s">
        <v>131</v>
      </c>
      <c r="F64" s="76">
        <v>81897719002</v>
      </c>
      <c r="G64" s="71">
        <f t="shared" si="12"/>
        <v>12.17216</v>
      </c>
      <c r="H64" s="71">
        <f t="shared" si="9"/>
        <v>24.34432</v>
      </c>
      <c r="I64" s="71">
        <f t="shared" si="10"/>
        <v>12.17216</v>
      </c>
      <c r="J64" s="71">
        <f t="shared" si="11"/>
        <v>24.34432</v>
      </c>
      <c r="K64" s="72">
        <v>0</v>
      </c>
      <c r="M64" s="58">
        <f>VLOOKUP(D64,'TABELA DE PRECOS'!B:C,2,0)</f>
        <v>12.17216</v>
      </c>
    </row>
    <row r="65" spans="1:13" ht="15.75" customHeight="1" x14ac:dyDescent="0.25">
      <c r="A65" s="65">
        <v>9</v>
      </c>
      <c r="B65" s="66" t="s">
        <v>137</v>
      </c>
      <c r="C65" s="82">
        <v>2</v>
      </c>
      <c r="D65" s="76" t="s">
        <v>138</v>
      </c>
      <c r="E65" s="69" t="s">
        <v>131</v>
      </c>
      <c r="F65" s="76">
        <v>81897719002</v>
      </c>
      <c r="G65" s="71">
        <f t="shared" si="12"/>
        <v>8.25</v>
      </c>
      <c r="H65" s="71">
        <f t="shared" si="9"/>
        <v>16.5</v>
      </c>
      <c r="I65" s="71">
        <f t="shared" si="10"/>
        <v>8.25</v>
      </c>
      <c r="J65" s="71">
        <f t="shared" si="11"/>
        <v>16.5</v>
      </c>
      <c r="K65" s="72">
        <v>0</v>
      </c>
      <c r="M65" s="58">
        <f>VLOOKUP(D65,'TABELA DE PRECOS'!B:C,2,0)</f>
        <v>8.25</v>
      </c>
    </row>
    <row r="66" spans="1:13" ht="15.75" customHeight="1" x14ac:dyDescent="0.25">
      <c r="A66" s="65">
        <v>10</v>
      </c>
      <c r="B66" s="66" t="s">
        <v>139</v>
      </c>
      <c r="C66" s="82">
        <v>2</v>
      </c>
      <c r="D66" s="76" t="s">
        <v>140</v>
      </c>
      <c r="E66" s="69" t="s">
        <v>131</v>
      </c>
      <c r="F66" s="76">
        <v>81897719002</v>
      </c>
      <c r="G66" s="71">
        <f t="shared" si="12"/>
        <v>8.1120000000000001</v>
      </c>
      <c r="H66" s="71">
        <f t="shared" si="9"/>
        <v>16.224</v>
      </c>
      <c r="I66" s="71">
        <f t="shared" si="10"/>
        <v>8.1120000000000001</v>
      </c>
      <c r="J66" s="71">
        <f t="shared" si="11"/>
        <v>16.224</v>
      </c>
      <c r="K66" s="72">
        <v>0</v>
      </c>
      <c r="M66" s="58">
        <f>VLOOKUP(D66,'TABELA DE PRECOS'!B:C,2,0)</f>
        <v>8.1120000000000001</v>
      </c>
    </row>
    <row r="67" spans="1:13" ht="15.75" customHeight="1" x14ac:dyDescent="0.25">
      <c r="A67" s="65">
        <v>11</v>
      </c>
      <c r="B67" s="66" t="s">
        <v>237</v>
      </c>
      <c r="C67" s="82">
        <v>1</v>
      </c>
      <c r="D67" s="76" t="s">
        <v>238</v>
      </c>
      <c r="E67" s="69" t="s">
        <v>131</v>
      </c>
      <c r="F67" s="76">
        <v>81897710042</v>
      </c>
      <c r="G67" s="71">
        <f t="shared" si="12"/>
        <v>281.73184000000003</v>
      </c>
      <c r="H67" s="71">
        <f t="shared" si="9"/>
        <v>281.73184000000003</v>
      </c>
      <c r="I67" s="71">
        <f t="shared" si="10"/>
        <v>281.73184000000003</v>
      </c>
      <c r="J67" s="71">
        <f t="shared" si="11"/>
        <v>281.73184000000003</v>
      </c>
      <c r="K67" s="72">
        <v>0</v>
      </c>
      <c r="M67" s="58">
        <f>VLOOKUP(D67,'TABELA DE PRECOS'!B:C,2,0)</f>
        <v>281.73184000000003</v>
      </c>
    </row>
    <row r="68" spans="1:13" ht="15.75" customHeight="1" x14ac:dyDescent="0.25">
      <c r="A68" s="65">
        <v>12</v>
      </c>
      <c r="B68" s="66" t="s">
        <v>239</v>
      </c>
      <c r="C68" s="82">
        <v>1</v>
      </c>
      <c r="D68" s="76" t="s">
        <v>240</v>
      </c>
      <c r="E68" s="69" t="s">
        <v>131</v>
      </c>
      <c r="F68" s="76">
        <v>81897710042</v>
      </c>
      <c r="G68" s="71">
        <f t="shared" si="12"/>
        <v>281.73184000000003</v>
      </c>
      <c r="H68" s="71">
        <f t="shared" si="9"/>
        <v>281.73184000000003</v>
      </c>
      <c r="I68" s="71">
        <f t="shared" si="10"/>
        <v>281.73184000000003</v>
      </c>
      <c r="J68" s="71">
        <f t="shared" si="11"/>
        <v>281.73184000000003</v>
      </c>
      <c r="K68" s="72">
        <v>0</v>
      </c>
      <c r="M68" s="58">
        <f>VLOOKUP(D68,'TABELA DE PRECOS'!B:C,2,0)</f>
        <v>281.73184000000003</v>
      </c>
    </row>
    <row r="69" spans="1:13" ht="15.75" customHeight="1" x14ac:dyDescent="0.25">
      <c r="A69" s="65">
        <v>13</v>
      </c>
      <c r="B69" s="66" t="s">
        <v>141</v>
      </c>
      <c r="C69" s="82">
        <v>1</v>
      </c>
      <c r="D69" s="76" t="s">
        <v>142</v>
      </c>
      <c r="E69" s="69" t="s">
        <v>131</v>
      </c>
      <c r="F69" s="76">
        <v>81897719003</v>
      </c>
      <c r="G69" s="71">
        <f t="shared" si="12"/>
        <v>189.33823999999998</v>
      </c>
      <c r="H69" s="71">
        <f t="shared" si="9"/>
        <v>189.33823999999998</v>
      </c>
      <c r="I69" s="71">
        <f t="shared" si="10"/>
        <v>189.33823999999998</v>
      </c>
      <c r="J69" s="71">
        <f t="shared" si="11"/>
        <v>189.33823999999998</v>
      </c>
      <c r="K69" s="72">
        <v>0</v>
      </c>
      <c r="M69" s="58">
        <f>VLOOKUP(D69,'TABELA DE PRECOS'!B:C,2,0)</f>
        <v>189.33823999999998</v>
      </c>
    </row>
    <row r="70" spans="1:13" ht="15.75" customHeight="1" x14ac:dyDescent="0.25">
      <c r="A70" s="65">
        <v>14</v>
      </c>
      <c r="B70" s="66" t="s">
        <v>1577</v>
      </c>
      <c r="C70" s="82">
        <v>2</v>
      </c>
      <c r="D70" s="76" t="s">
        <v>146</v>
      </c>
      <c r="E70" s="69" t="s">
        <v>131</v>
      </c>
      <c r="F70" s="76">
        <v>81897719006</v>
      </c>
      <c r="G70" s="71">
        <f t="shared" si="12"/>
        <v>29.735680000000002</v>
      </c>
      <c r="H70" s="71">
        <f t="shared" si="9"/>
        <v>59.471360000000004</v>
      </c>
      <c r="I70" s="71">
        <f t="shared" si="10"/>
        <v>29.735680000000002</v>
      </c>
      <c r="J70" s="71">
        <f t="shared" si="11"/>
        <v>59.471360000000004</v>
      </c>
      <c r="K70" s="72">
        <v>0</v>
      </c>
      <c r="M70" s="58">
        <f>VLOOKUP(D70,'TABELA DE PRECOS'!B:C,2,0)</f>
        <v>29.735680000000002</v>
      </c>
    </row>
    <row r="71" spans="1:13" ht="15.75" customHeight="1" x14ac:dyDescent="0.25">
      <c r="A71" s="65">
        <v>15</v>
      </c>
      <c r="B71" s="66" t="s">
        <v>147</v>
      </c>
      <c r="C71" s="82">
        <v>2</v>
      </c>
      <c r="D71" s="76" t="s">
        <v>148</v>
      </c>
      <c r="E71" s="69" t="s">
        <v>131</v>
      </c>
      <c r="F71" s="76">
        <v>81897719002</v>
      </c>
      <c r="G71" s="71">
        <f t="shared" si="12"/>
        <v>18.94464</v>
      </c>
      <c r="H71" s="71">
        <f t="shared" si="9"/>
        <v>37.889279999999999</v>
      </c>
      <c r="I71" s="71">
        <f t="shared" si="10"/>
        <v>18.94464</v>
      </c>
      <c r="J71" s="71">
        <f t="shared" si="11"/>
        <v>37.889279999999999</v>
      </c>
      <c r="K71" s="72">
        <v>0</v>
      </c>
      <c r="M71" s="58">
        <f>VLOOKUP(D71,'TABELA DE PRECOS'!B:C,2,0)</f>
        <v>18.94464</v>
      </c>
    </row>
    <row r="72" spans="1:13" ht="15.75" customHeight="1" x14ac:dyDescent="0.25">
      <c r="A72" s="65">
        <v>16</v>
      </c>
      <c r="B72" s="66" t="s">
        <v>241</v>
      </c>
      <c r="C72" s="82">
        <v>2</v>
      </c>
      <c r="D72" s="66" t="s">
        <v>242</v>
      </c>
      <c r="E72" s="69" t="s">
        <v>126</v>
      </c>
      <c r="F72" s="76">
        <v>10301950027</v>
      </c>
      <c r="G72" s="71">
        <f t="shared" si="12"/>
        <v>268.34496000000001</v>
      </c>
      <c r="H72" s="71">
        <f t="shared" si="9"/>
        <v>536.68992000000003</v>
      </c>
      <c r="I72" s="71">
        <f t="shared" si="10"/>
        <v>268.34496000000001</v>
      </c>
      <c r="J72" s="71">
        <f t="shared" si="11"/>
        <v>536.68992000000003</v>
      </c>
      <c r="K72" s="72">
        <v>0</v>
      </c>
      <c r="M72" s="58">
        <f>VLOOKUP(D72,'TABELA DE PRECOS'!B:C,2,0)</f>
        <v>268.34496000000001</v>
      </c>
    </row>
    <row r="73" spans="1:13" ht="15.75" customHeight="1" x14ac:dyDescent="0.25">
      <c r="A73" s="65">
        <v>17</v>
      </c>
      <c r="B73" s="66" t="s">
        <v>149</v>
      </c>
      <c r="C73" s="82">
        <v>2</v>
      </c>
      <c r="D73" s="76" t="s">
        <v>150</v>
      </c>
      <c r="E73" s="69" t="s">
        <v>131</v>
      </c>
      <c r="F73" s="76">
        <v>81897719006</v>
      </c>
      <c r="G73" s="71">
        <f t="shared" si="12"/>
        <v>33.795839999999998</v>
      </c>
      <c r="H73" s="71">
        <f t="shared" si="9"/>
        <v>67.591679999999997</v>
      </c>
      <c r="I73" s="71">
        <f t="shared" si="10"/>
        <v>33.795839999999998</v>
      </c>
      <c r="J73" s="71">
        <f t="shared" si="11"/>
        <v>67.591679999999997</v>
      </c>
      <c r="K73" s="72">
        <v>0</v>
      </c>
      <c r="M73" s="58">
        <f>VLOOKUP(D73,'TABELA DE PRECOS'!B:C,2,0)</f>
        <v>33.795839999999998</v>
      </c>
    </row>
    <row r="74" spans="1:13" ht="15.75" customHeight="1" x14ac:dyDescent="0.25">
      <c r="A74" s="65">
        <v>18</v>
      </c>
      <c r="B74" s="66" t="s">
        <v>151</v>
      </c>
      <c r="C74" s="82">
        <v>2</v>
      </c>
      <c r="D74" s="76" t="s">
        <v>152</v>
      </c>
      <c r="E74" s="69" t="s">
        <v>131</v>
      </c>
      <c r="F74" s="76">
        <v>81897719002</v>
      </c>
      <c r="G74" s="71">
        <f t="shared" si="12"/>
        <v>38.43</v>
      </c>
      <c r="H74" s="71">
        <f t="shared" si="9"/>
        <v>76.86</v>
      </c>
      <c r="I74" s="71">
        <f t="shared" si="10"/>
        <v>38.43</v>
      </c>
      <c r="J74" s="71">
        <f t="shared" si="11"/>
        <v>76.86</v>
      </c>
      <c r="K74" s="72">
        <v>0</v>
      </c>
      <c r="M74" s="58">
        <f>VLOOKUP(D74,'TABELA DE PRECOS'!B:C,2,0)</f>
        <v>38.43</v>
      </c>
    </row>
    <row r="75" spans="1:13" ht="15.75" customHeight="1" x14ac:dyDescent="0.25">
      <c r="A75" s="65">
        <v>19</v>
      </c>
      <c r="B75" s="66" t="s">
        <v>415</v>
      </c>
      <c r="C75" s="82">
        <v>2</v>
      </c>
      <c r="D75" t="s">
        <v>416</v>
      </c>
      <c r="E75" s="69" t="s">
        <v>131</v>
      </c>
      <c r="F75" s="76">
        <v>81897719002</v>
      </c>
      <c r="G75" s="71">
        <v>17.2</v>
      </c>
      <c r="H75" s="71">
        <f t="shared" si="9"/>
        <v>34.4</v>
      </c>
      <c r="I75" s="71">
        <f t="shared" si="10"/>
        <v>17.2</v>
      </c>
      <c r="J75" s="71">
        <f t="shared" si="11"/>
        <v>34.4</v>
      </c>
      <c r="K75" s="72">
        <v>0</v>
      </c>
      <c r="M75" s="58">
        <f>VLOOKUP(D75,'TABELA DE PRECOS'!B:C,2,0)</f>
        <v>16.752624000000001</v>
      </c>
    </row>
    <row r="76" spans="1:13" ht="15.75" customHeight="1" x14ac:dyDescent="0.25">
      <c r="A76" s="65">
        <v>20</v>
      </c>
      <c r="B76" s="66" t="s">
        <v>243</v>
      </c>
      <c r="C76" s="82">
        <v>1</v>
      </c>
      <c r="D76" s="76" t="s">
        <v>244</v>
      </c>
      <c r="E76" s="69" t="s">
        <v>131</v>
      </c>
      <c r="F76" s="76">
        <v>81897719002</v>
      </c>
      <c r="G76" s="71">
        <f t="shared" si="12"/>
        <v>35.74</v>
      </c>
      <c r="H76" s="71">
        <f t="shared" si="9"/>
        <v>35.74</v>
      </c>
      <c r="I76" s="71">
        <f t="shared" si="10"/>
        <v>35.74</v>
      </c>
      <c r="J76" s="71">
        <f t="shared" si="11"/>
        <v>35.74</v>
      </c>
      <c r="K76" s="72">
        <v>0</v>
      </c>
      <c r="M76" s="58">
        <f>VLOOKUP(D76,'TABELA DE PRECOS'!B:C,2,0)</f>
        <v>35.74</v>
      </c>
    </row>
    <row r="77" spans="1:13" ht="15.75" customHeight="1" x14ac:dyDescent="0.25">
      <c r="A77" s="65">
        <v>21</v>
      </c>
      <c r="B77" s="66" t="s">
        <v>245</v>
      </c>
      <c r="C77" s="82">
        <v>1</v>
      </c>
      <c r="D77" s="66" t="s">
        <v>246</v>
      </c>
      <c r="E77" s="69" t="s">
        <v>126</v>
      </c>
      <c r="F77" s="76">
        <v>10301950026</v>
      </c>
      <c r="G77" s="71">
        <f t="shared" si="12"/>
        <v>151.12447999999998</v>
      </c>
      <c r="H77" s="71">
        <f t="shared" si="9"/>
        <v>151.12447999999998</v>
      </c>
      <c r="I77" s="71">
        <f t="shared" si="10"/>
        <v>151.12447999999998</v>
      </c>
      <c r="J77" s="71">
        <f t="shared" si="11"/>
        <v>151.12447999999998</v>
      </c>
      <c r="K77" s="72">
        <v>0</v>
      </c>
      <c r="M77" s="58">
        <f>VLOOKUP(D77,'TABELA DE PRECOS'!B:C,2,0)</f>
        <v>151.12447999999998</v>
      </c>
    </row>
    <row r="78" spans="1:13" ht="15.75" customHeight="1" x14ac:dyDescent="0.25">
      <c r="A78" s="65">
        <v>22</v>
      </c>
      <c r="B78" s="66" t="s">
        <v>165</v>
      </c>
      <c r="C78" s="82">
        <v>2</v>
      </c>
      <c r="D78" s="76" t="s">
        <v>166</v>
      </c>
      <c r="E78" s="69" t="s">
        <v>131</v>
      </c>
      <c r="F78" s="76">
        <v>81897719002</v>
      </c>
      <c r="G78" s="71">
        <f t="shared" si="12"/>
        <v>202.84992</v>
      </c>
      <c r="H78" s="71">
        <f t="shared" si="9"/>
        <v>405.69983999999999</v>
      </c>
      <c r="I78" s="71">
        <f t="shared" si="10"/>
        <v>202.84992</v>
      </c>
      <c r="J78" s="71">
        <f t="shared" si="11"/>
        <v>405.69983999999999</v>
      </c>
      <c r="K78" s="72">
        <v>0</v>
      </c>
      <c r="M78" s="58">
        <f>VLOOKUP(D78,'TABELA DE PRECOS'!B:C,2,0)</f>
        <v>202.84992</v>
      </c>
    </row>
    <row r="79" spans="1:13" ht="15.75" customHeight="1" x14ac:dyDescent="0.25">
      <c r="A79" s="65">
        <v>23</v>
      </c>
      <c r="B79" s="66" t="s">
        <v>167</v>
      </c>
      <c r="C79" s="82">
        <v>2</v>
      </c>
      <c r="D79" s="76" t="s">
        <v>168</v>
      </c>
      <c r="E79" s="69" t="s">
        <v>131</v>
      </c>
      <c r="F79" s="76">
        <v>81897719002</v>
      </c>
      <c r="G79" s="71">
        <f t="shared" si="12"/>
        <v>152.13952</v>
      </c>
      <c r="H79" s="71">
        <f t="shared" si="9"/>
        <v>304.27904000000001</v>
      </c>
      <c r="I79" s="71">
        <f t="shared" si="10"/>
        <v>152.13952</v>
      </c>
      <c r="J79" s="71">
        <f t="shared" si="11"/>
        <v>304.27904000000001</v>
      </c>
      <c r="K79" s="72">
        <v>0</v>
      </c>
      <c r="M79" s="58">
        <f>VLOOKUP(D79,'TABELA DE PRECOS'!B:C,2,0)</f>
        <v>152.13952</v>
      </c>
    </row>
    <row r="80" spans="1:13" ht="15.75" customHeight="1" x14ac:dyDescent="0.25">
      <c r="A80" s="65">
        <v>24</v>
      </c>
      <c r="B80" s="66" t="s">
        <v>169</v>
      </c>
      <c r="C80" s="82">
        <v>2</v>
      </c>
      <c r="D80" s="76" t="s">
        <v>170</v>
      </c>
      <c r="E80" s="69" t="s">
        <v>131</v>
      </c>
      <c r="F80" s="76">
        <v>81897719002</v>
      </c>
      <c r="G80" s="71">
        <f t="shared" si="12"/>
        <v>141.99744000000001</v>
      </c>
      <c r="H80" s="71">
        <f t="shared" si="9"/>
        <v>283.99488000000002</v>
      </c>
      <c r="I80" s="71">
        <f t="shared" si="10"/>
        <v>141.99744000000001</v>
      </c>
      <c r="J80" s="71">
        <f t="shared" si="11"/>
        <v>283.99488000000002</v>
      </c>
      <c r="K80" s="72">
        <v>0</v>
      </c>
      <c r="M80" s="58">
        <f>VLOOKUP(D80,'TABELA DE PRECOS'!B:C,2,0)</f>
        <v>141.99744000000001</v>
      </c>
    </row>
    <row r="81" spans="1:13" ht="15.75" customHeight="1" x14ac:dyDescent="0.25">
      <c r="A81" s="65">
        <v>25</v>
      </c>
      <c r="B81" s="66" t="s">
        <v>171</v>
      </c>
      <c r="C81" s="82">
        <v>2</v>
      </c>
      <c r="D81" s="66" t="s">
        <v>172</v>
      </c>
      <c r="E81" s="69" t="s">
        <v>126</v>
      </c>
      <c r="F81" s="76">
        <v>10301950026</v>
      </c>
      <c r="G81" s="71">
        <f t="shared" si="12"/>
        <v>195.60319999999999</v>
      </c>
      <c r="H81" s="71">
        <f t="shared" si="9"/>
        <v>391.20639999999997</v>
      </c>
      <c r="I81" s="71">
        <f t="shared" si="10"/>
        <v>195.60319999999999</v>
      </c>
      <c r="J81" s="71">
        <f t="shared" si="11"/>
        <v>391.20639999999997</v>
      </c>
      <c r="K81" s="72">
        <v>0</v>
      </c>
      <c r="M81" s="58">
        <f>VLOOKUP(D81,'TABELA DE PRECOS'!B:C,2,0)</f>
        <v>195.60319999999999</v>
      </c>
    </row>
    <row r="82" spans="1:13" ht="15.75" customHeight="1" x14ac:dyDescent="0.25">
      <c r="A82" s="65">
        <v>26</v>
      </c>
      <c r="B82" s="66" t="s">
        <v>173</v>
      </c>
      <c r="C82" s="82">
        <v>2</v>
      </c>
      <c r="D82" s="76" t="s">
        <v>174</v>
      </c>
      <c r="E82" s="69" t="s">
        <v>131</v>
      </c>
      <c r="F82" s="76">
        <v>81897719002</v>
      </c>
      <c r="G82" s="71">
        <f t="shared" si="12"/>
        <v>70.994559999999993</v>
      </c>
      <c r="H82" s="71">
        <f t="shared" si="9"/>
        <v>141.98911999999999</v>
      </c>
      <c r="I82" s="71">
        <f t="shared" si="10"/>
        <v>70.994559999999993</v>
      </c>
      <c r="J82" s="71">
        <f t="shared" si="11"/>
        <v>141.98911999999999</v>
      </c>
      <c r="K82" s="72">
        <v>0</v>
      </c>
      <c r="M82" s="58">
        <f>VLOOKUP(D82,'TABELA DE PRECOS'!B:C,2,0)</f>
        <v>70.994559999999993</v>
      </c>
    </row>
    <row r="83" spans="1:13" ht="15.75" customHeight="1" x14ac:dyDescent="0.25">
      <c r="A83" s="65">
        <v>27</v>
      </c>
      <c r="B83" s="66" t="s">
        <v>175</v>
      </c>
      <c r="C83" s="82">
        <v>2</v>
      </c>
      <c r="D83" s="76" t="s">
        <v>176</v>
      </c>
      <c r="E83" s="69" t="s">
        <v>131</v>
      </c>
      <c r="F83" s="76">
        <v>81897719002</v>
      </c>
      <c r="G83" s="71">
        <f t="shared" si="12"/>
        <v>152.13952</v>
      </c>
      <c r="H83" s="71">
        <f t="shared" si="9"/>
        <v>304.27904000000001</v>
      </c>
      <c r="I83" s="71">
        <f t="shared" si="10"/>
        <v>152.13952</v>
      </c>
      <c r="J83" s="71">
        <f t="shared" si="11"/>
        <v>304.27904000000001</v>
      </c>
      <c r="K83" s="72">
        <v>0</v>
      </c>
      <c r="M83" s="58">
        <f>VLOOKUP(D83,'TABELA DE PRECOS'!B:C,2,0)</f>
        <v>152.13952</v>
      </c>
    </row>
    <row r="84" spans="1:13" ht="15.75" customHeight="1" x14ac:dyDescent="0.25">
      <c r="A84" s="65">
        <v>28</v>
      </c>
      <c r="B84" s="83" t="s">
        <v>247</v>
      </c>
      <c r="C84" s="82">
        <v>2</v>
      </c>
      <c r="D84" s="76" t="s">
        <v>178</v>
      </c>
      <c r="E84" s="69" t="s">
        <v>126</v>
      </c>
      <c r="F84" s="76">
        <v>10301950027</v>
      </c>
      <c r="G84" s="71">
        <f t="shared" si="12"/>
        <v>33.795839999999998</v>
      </c>
      <c r="H84" s="71">
        <f t="shared" si="9"/>
        <v>67.591679999999997</v>
      </c>
      <c r="I84" s="71">
        <f t="shared" si="10"/>
        <v>33.795839999999998</v>
      </c>
      <c r="J84" s="71">
        <f t="shared" si="11"/>
        <v>67.591679999999997</v>
      </c>
      <c r="K84" s="72">
        <v>0</v>
      </c>
      <c r="M84" s="58">
        <f>VLOOKUP(D84,'TABELA DE PRECOS'!B:C,2,0)</f>
        <v>33.795839999999998</v>
      </c>
    </row>
    <row r="85" spans="1:13" ht="15.75" customHeight="1" x14ac:dyDescent="0.25">
      <c r="A85" s="65">
        <v>29</v>
      </c>
      <c r="B85" s="66" t="s">
        <v>179</v>
      </c>
      <c r="C85" s="82">
        <v>2</v>
      </c>
      <c r="D85" s="76" t="s">
        <v>180</v>
      </c>
      <c r="E85" s="69" t="s">
        <v>131</v>
      </c>
      <c r="F85" s="76">
        <v>81897719002</v>
      </c>
      <c r="G85" s="71">
        <f t="shared" si="12"/>
        <v>169.05408</v>
      </c>
      <c r="H85" s="71">
        <f t="shared" si="9"/>
        <v>338.10816</v>
      </c>
      <c r="I85" s="71">
        <f t="shared" si="10"/>
        <v>169.05408</v>
      </c>
      <c r="J85" s="71">
        <f t="shared" si="11"/>
        <v>338.10816</v>
      </c>
      <c r="K85" s="72">
        <v>0</v>
      </c>
      <c r="M85" s="58">
        <f>VLOOKUP(D85,'TABELA DE PRECOS'!B:C,2,0)</f>
        <v>169.05408</v>
      </c>
    </row>
    <row r="86" spans="1:13" ht="15.75" customHeight="1" x14ac:dyDescent="0.25">
      <c r="A86" s="65">
        <v>30</v>
      </c>
      <c r="B86" s="66" t="s">
        <v>248</v>
      </c>
      <c r="C86" s="82">
        <v>1</v>
      </c>
      <c r="D86" s="66" t="s">
        <v>249</v>
      </c>
      <c r="E86" s="69" t="s">
        <v>126</v>
      </c>
      <c r="F86" s="76">
        <v>10301950025</v>
      </c>
      <c r="G86" s="71">
        <f t="shared" si="12"/>
        <v>853.83168000000001</v>
      </c>
      <c r="H86" s="71">
        <f t="shared" si="9"/>
        <v>853.83168000000001</v>
      </c>
      <c r="I86" s="71">
        <f t="shared" si="10"/>
        <v>853.83168000000001</v>
      </c>
      <c r="J86" s="71">
        <f t="shared" si="11"/>
        <v>853.83168000000001</v>
      </c>
      <c r="K86" s="72">
        <v>0</v>
      </c>
      <c r="M86" s="58">
        <f>VLOOKUP(D86,'TABELA DE PRECOS'!B:C,2,0)</f>
        <v>853.83168000000001</v>
      </c>
    </row>
    <row r="87" spans="1:13" ht="15.75" customHeight="1" x14ac:dyDescent="0.25">
      <c r="A87" s="65">
        <v>31</v>
      </c>
      <c r="B87" s="66" t="s">
        <v>250</v>
      </c>
      <c r="C87" s="82">
        <v>1</v>
      </c>
      <c r="D87" s="66" t="s">
        <v>251</v>
      </c>
      <c r="E87" s="69" t="s">
        <v>126</v>
      </c>
      <c r="F87" s="76">
        <v>10301950025</v>
      </c>
      <c r="G87" s="71">
        <f t="shared" si="12"/>
        <v>853.83168000000001</v>
      </c>
      <c r="H87" s="71">
        <f t="shared" si="9"/>
        <v>853.83168000000001</v>
      </c>
      <c r="I87" s="71">
        <f t="shared" si="10"/>
        <v>853.83168000000001</v>
      </c>
      <c r="J87" s="71">
        <f t="shared" si="11"/>
        <v>853.83168000000001</v>
      </c>
      <c r="K87" s="72">
        <v>0</v>
      </c>
      <c r="M87" s="58">
        <f>VLOOKUP(D87,'TABELA DE PRECOS'!B:C,2,0)</f>
        <v>853.83168000000001</v>
      </c>
    </row>
    <row r="88" spans="1:13" ht="15.75" customHeight="1" x14ac:dyDescent="0.25">
      <c r="A88" s="65">
        <v>32</v>
      </c>
      <c r="B88" s="66" t="s">
        <v>252</v>
      </c>
      <c r="C88" s="82">
        <v>1</v>
      </c>
      <c r="D88" s="66" t="s">
        <v>253</v>
      </c>
      <c r="E88" s="69" t="s">
        <v>126</v>
      </c>
      <c r="F88" s="76">
        <v>10301950025</v>
      </c>
      <c r="G88" s="71">
        <f t="shared" si="12"/>
        <v>853.83168000000001</v>
      </c>
      <c r="H88" s="71">
        <f t="shared" si="9"/>
        <v>853.83168000000001</v>
      </c>
      <c r="I88" s="71">
        <f t="shared" si="10"/>
        <v>853.83168000000001</v>
      </c>
      <c r="J88" s="71">
        <f t="shared" si="11"/>
        <v>853.83168000000001</v>
      </c>
      <c r="K88" s="72">
        <v>0</v>
      </c>
      <c r="M88" s="58">
        <f>VLOOKUP(D88,'TABELA DE PRECOS'!B:C,2,0)</f>
        <v>853.83168000000001</v>
      </c>
    </row>
    <row r="89" spans="1:13" ht="15.75" customHeight="1" x14ac:dyDescent="0.25">
      <c r="A89" s="65">
        <v>33</v>
      </c>
      <c r="B89" s="66" t="s">
        <v>181</v>
      </c>
      <c r="C89" s="82">
        <v>4</v>
      </c>
      <c r="D89" s="76" t="s">
        <v>182</v>
      </c>
      <c r="E89" s="69" t="s">
        <v>131</v>
      </c>
      <c r="F89" s="76">
        <v>81897719002</v>
      </c>
      <c r="G89" s="71">
        <f t="shared" si="12"/>
        <v>29.989999999999995</v>
      </c>
      <c r="H89" s="71">
        <f t="shared" si="9"/>
        <v>119.95999999999998</v>
      </c>
      <c r="I89" s="71">
        <f t="shared" si="10"/>
        <v>29.989999999999995</v>
      </c>
      <c r="J89" s="71">
        <f t="shared" si="11"/>
        <v>119.95999999999998</v>
      </c>
      <c r="K89" s="72">
        <v>0</v>
      </c>
      <c r="M89" s="58">
        <f>VLOOKUP(D89,'TABELA DE PRECOS'!B:C,2,0)</f>
        <v>29.989999999999995</v>
      </c>
    </row>
    <row r="90" spans="1:13" ht="15.75" customHeight="1" x14ac:dyDescent="0.25">
      <c r="A90" s="65">
        <v>34</v>
      </c>
      <c r="B90" s="66" t="s">
        <v>183</v>
      </c>
      <c r="C90" s="82">
        <v>1</v>
      </c>
      <c r="D90" s="76" t="s">
        <v>184</v>
      </c>
      <c r="E90" s="69" t="s">
        <v>131</v>
      </c>
      <c r="F90" s="76">
        <v>81897719002</v>
      </c>
      <c r="G90" s="71">
        <f t="shared" si="12"/>
        <v>40.79</v>
      </c>
      <c r="H90" s="71">
        <f t="shared" si="9"/>
        <v>40.79</v>
      </c>
      <c r="I90" s="71">
        <f t="shared" si="10"/>
        <v>40.79</v>
      </c>
      <c r="J90" s="71">
        <f t="shared" si="11"/>
        <v>40.79</v>
      </c>
      <c r="K90" s="72">
        <v>0</v>
      </c>
      <c r="M90" s="58">
        <f>VLOOKUP(D90,'TABELA DE PRECOS'!B:C,2,0)</f>
        <v>40.79</v>
      </c>
    </row>
    <row r="91" spans="1:13" ht="15.75" customHeight="1" x14ac:dyDescent="0.25">
      <c r="A91" s="65">
        <v>35</v>
      </c>
      <c r="B91" s="66" t="s">
        <v>185</v>
      </c>
      <c r="C91" s="82">
        <v>15</v>
      </c>
      <c r="D91" s="76" t="s">
        <v>186</v>
      </c>
      <c r="E91" s="69" t="s">
        <v>131</v>
      </c>
      <c r="F91" s="76">
        <v>81897719002</v>
      </c>
      <c r="G91" s="71">
        <f t="shared" si="12"/>
        <v>17.28</v>
      </c>
      <c r="H91" s="71">
        <f t="shared" si="9"/>
        <v>259.20000000000005</v>
      </c>
      <c r="I91" s="71">
        <f t="shared" si="10"/>
        <v>17.28</v>
      </c>
      <c r="J91" s="71">
        <f t="shared" si="11"/>
        <v>259.20000000000005</v>
      </c>
      <c r="K91" s="72">
        <v>0</v>
      </c>
      <c r="M91" s="58">
        <f>VLOOKUP(D91,'TABELA DE PRECOS'!B:C,2,0)</f>
        <v>17.28</v>
      </c>
    </row>
    <row r="92" spans="1:13" ht="15.75" customHeight="1" x14ac:dyDescent="0.25">
      <c r="A92" s="65">
        <v>36</v>
      </c>
      <c r="B92" s="66" t="s">
        <v>187</v>
      </c>
      <c r="C92" s="82">
        <v>15</v>
      </c>
      <c r="D92" s="76" t="s">
        <v>188</v>
      </c>
      <c r="E92" s="69" t="s">
        <v>131</v>
      </c>
      <c r="F92" s="76">
        <v>81897719002</v>
      </c>
      <c r="G92" s="71">
        <f t="shared" si="12"/>
        <v>15.95</v>
      </c>
      <c r="H92" s="71">
        <f t="shared" si="9"/>
        <v>239.25</v>
      </c>
      <c r="I92" s="71">
        <f t="shared" si="10"/>
        <v>15.95</v>
      </c>
      <c r="J92" s="71">
        <f t="shared" si="11"/>
        <v>239.25</v>
      </c>
      <c r="K92" s="72">
        <v>0</v>
      </c>
      <c r="M92" s="58">
        <f>VLOOKUP(D92,'TABELA DE PRECOS'!B:C,2,0)</f>
        <v>15.95</v>
      </c>
    </row>
    <row r="93" spans="1:13" ht="15.75" customHeight="1" x14ac:dyDescent="0.25">
      <c r="A93" s="65">
        <v>37</v>
      </c>
      <c r="B93" s="66" t="s">
        <v>254</v>
      </c>
      <c r="C93" s="82">
        <v>10</v>
      </c>
      <c r="D93" s="76" t="s">
        <v>255</v>
      </c>
      <c r="E93" s="69" t="s">
        <v>131</v>
      </c>
      <c r="F93" s="76">
        <v>81897719002</v>
      </c>
      <c r="G93" s="71">
        <f t="shared" si="12"/>
        <v>16.68</v>
      </c>
      <c r="H93" s="71">
        <f t="shared" si="9"/>
        <v>166.8</v>
      </c>
      <c r="I93" s="71">
        <f t="shared" si="10"/>
        <v>16.68</v>
      </c>
      <c r="J93" s="71">
        <f t="shared" si="11"/>
        <v>166.8</v>
      </c>
      <c r="K93" s="72">
        <v>0</v>
      </c>
      <c r="M93" s="58">
        <f>VLOOKUP(D93,'TABELA DE PRECOS'!B:C,2,0)</f>
        <v>16.68</v>
      </c>
    </row>
    <row r="94" spans="1:13" ht="15.75" customHeight="1" x14ac:dyDescent="0.25">
      <c r="A94" s="65">
        <v>38</v>
      </c>
      <c r="B94" s="66" t="s">
        <v>191</v>
      </c>
      <c r="C94" s="82">
        <v>2</v>
      </c>
      <c r="D94" s="76" t="s">
        <v>192</v>
      </c>
      <c r="E94" s="69" t="s">
        <v>131</v>
      </c>
      <c r="F94" s="76">
        <v>81897719002</v>
      </c>
      <c r="G94" s="71">
        <f t="shared" si="12"/>
        <v>25.68384</v>
      </c>
      <c r="H94" s="71">
        <f t="shared" si="9"/>
        <v>51.36768</v>
      </c>
      <c r="I94" s="71">
        <f t="shared" si="10"/>
        <v>25.68384</v>
      </c>
      <c r="J94" s="71">
        <f t="shared" si="11"/>
        <v>51.36768</v>
      </c>
      <c r="K94" s="72">
        <v>0</v>
      </c>
      <c r="M94" s="58">
        <f>VLOOKUP(D94,'TABELA DE PRECOS'!B:C,2,0)</f>
        <v>25.68384</v>
      </c>
    </row>
    <row r="95" spans="1:13" ht="15.75" customHeight="1" x14ac:dyDescent="0.25">
      <c r="A95" s="65">
        <v>39</v>
      </c>
      <c r="B95" s="66" t="s">
        <v>1576</v>
      </c>
      <c r="C95" s="82">
        <v>2</v>
      </c>
      <c r="D95" s="76" t="s">
        <v>1575</v>
      </c>
      <c r="E95" s="69" t="s">
        <v>131</v>
      </c>
      <c r="F95" s="76">
        <v>81897719002</v>
      </c>
      <c r="G95" s="71">
        <v>24.34</v>
      </c>
      <c r="H95" s="71">
        <f t="shared" si="9"/>
        <v>48.68</v>
      </c>
      <c r="I95" s="71">
        <f t="shared" si="10"/>
        <v>24.34</v>
      </c>
      <c r="J95" s="71">
        <f t="shared" si="11"/>
        <v>48.68</v>
      </c>
      <c r="K95" s="72">
        <v>0</v>
      </c>
      <c r="M95" s="58">
        <f>VLOOKUP(D95,'TABELA DE PRECOS'!B:C,2,0)</f>
        <v>24.34432</v>
      </c>
    </row>
    <row r="96" spans="1:13" ht="15.75" customHeight="1" x14ac:dyDescent="0.25">
      <c r="A96" s="65">
        <v>40</v>
      </c>
      <c r="B96" s="66" t="s">
        <v>195</v>
      </c>
      <c r="C96" s="82">
        <v>4</v>
      </c>
      <c r="D96" s="76" t="s">
        <v>196</v>
      </c>
      <c r="E96" s="69" t="s">
        <v>131</v>
      </c>
      <c r="F96" s="76">
        <v>81897719002</v>
      </c>
      <c r="G96" s="71">
        <f t="shared" si="12"/>
        <v>9.0399999999999991</v>
      </c>
      <c r="H96" s="71">
        <f t="shared" si="9"/>
        <v>36.159999999999997</v>
      </c>
      <c r="I96" s="71">
        <f t="shared" si="10"/>
        <v>9.0399999999999991</v>
      </c>
      <c r="J96" s="71">
        <f t="shared" si="11"/>
        <v>36.159999999999997</v>
      </c>
      <c r="K96" s="72">
        <v>0</v>
      </c>
      <c r="M96" s="58">
        <f>VLOOKUP(D96,'TABELA DE PRECOS'!B:C,2,0)</f>
        <v>9.0399999999999991</v>
      </c>
    </row>
    <row r="97" spans="1:13" ht="15.75" customHeight="1" x14ac:dyDescent="0.25">
      <c r="A97" s="65">
        <v>41</v>
      </c>
      <c r="B97" s="66" t="s">
        <v>256</v>
      </c>
      <c r="C97" s="82">
        <v>1</v>
      </c>
      <c r="D97" s="76" t="s">
        <v>257</v>
      </c>
      <c r="E97" s="69" t="s">
        <v>131</v>
      </c>
      <c r="F97" s="76">
        <v>81897710009</v>
      </c>
      <c r="G97" s="71">
        <f t="shared" si="12"/>
        <v>63.111520000000006</v>
      </c>
      <c r="H97" s="71">
        <f t="shared" si="9"/>
        <v>63.111520000000006</v>
      </c>
      <c r="I97" s="71">
        <f t="shared" si="10"/>
        <v>63.111520000000006</v>
      </c>
      <c r="J97" s="71">
        <f t="shared" si="11"/>
        <v>63.111520000000006</v>
      </c>
      <c r="K97" s="72">
        <v>0</v>
      </c>
      <c r="M97" s="58">
        <f>VLOOKUP(D97,'TABELA DE PRECOS'!B:C,2,0)</f>
        <v>63.111520000000006</v>
      </c>
    </row>
    <row r="98" spans="1:13" ht="15.75" customHeight="1" x14ac:dyDescent="0.25">
      <c r="A98" s="65">
        <v>42</v>
      </c>
      <c r="B98" s="66" t="s">
        <v>199</v>
      </c>
      <c r="C98" s="82">
        <v>2</v>
      </c>
      <c r="D98" s="76" t="s">
        <v>200</v>
      </c>
      <c r="E98" s="69" t="s">
        <v>131</v>
      </c>
      <c r="F98" s="76">
        <v>81897719003</v>
      </c>
      <c r="G98" s="71">
        <f t="shared" si="12"/>
        <v>94.648320000000012</v>
      </c>
      <c r="H98" s="71">
        <f t="shared" si="9"/>
        <v>189.29664000000002</v>
      </c>
      <c r="I98" s="71">
        <f t="shared" si="10"/>
        <v>94.648320000000012</v>
      </c>
      <c r="J98" s="71">
        <f t="shared" si="11"/>
        <v>189.29664000000002</v>
      </c>
      <c r="K98" s="72">
        <v>0</v>
      </c>
      <c r="M98" s="58">
        <f>VLOOKUP(D98,'TABELA DE PRECOS'!B:C,2,0)</f>
        <v>94.648320000000012</v>
      </c>
    </row>
    <row r="99" spans="1:13" ht="15.75" customHeight="1" x14ac:dyDescent="0.25">
      <c r="A99" s="65">
        <v>43</v>
      </c>
      <c r="B99" s="66" t="s">
        <v>201</v>
      </c>
      <c r="C99" s="82">
        <v>2</v>
      </c>
      <c r="D99" s="76" t="s">
        <v>202</v>
      </c>
      <c r="E99" s="69" t="s">
        <v>131</v>
      </c>
      <c r="F99" s="76">
        <v>81897710034</v>
      </c>
      <c r="G99" s="71">
        <f t="shared" si="12"/>
        <v>47.349119999999999</v>
      </c>
      <c r="H99" s="71">
        <f t="shared" si="9"/>
        <v>94.698239999999998</v>
      </c>
      <c r="I99" s="71">
        <f t="shared" si="10"/>
        <v>47.349119999999999</v>
      </c>
      <c r="J99" s="71">
        <f t="shared" si="11"/>
        <v>94.698239999999998</v>
      </c>
      <c r="K99" s="72">
        <v>0</v>
      </c>
      <c r="M99" s="58">
        <f>VLOOKUP(D99,'TABELA DE PRECOS'!B:C,2,0)</f>
        <v>47.349119999999999</v>
      </c>
    </row>
    <row r="100" spans="1:13" ht="15.75" customHeight="1" x14ac:dyDescent="0.25">
      <c r="A100" s="65">
        <v>44</v>
      </c>
      <c r="B100" s="66" t="s">
        <v>203</v>
      </c>
      <c r="C100" s="82">
        <v>2</v>
      </c>
      <c r="D100" s="76" t="s">
        <v>204</v>
      </c>
      <c r="E100" s="69" t="s">
        <v>131</v>
      </c>
      <c r="F100" s="76">
        <v>81897719003</v>
      </c>
      <c r="G100" s="71">
        <f t="shared" si="12"/>
        <v>70.994559999999993</v>
      </c>
      <c r="H100" s="71">
        <f t="shared" si="9"/>
        <v>141.98911999999999</v>
      </c>
      <c r="I100" s="71">
        <f t="shared" si="10"/>
        <v>70.994559999999993</v>
      </c>
      <c r="J100" s="71">
        <f t="shared" si="11"/>
        <v>141.98911999999999</v>
      </c>
      <c r="K100" s="72">
        <v>0</v>
      </c>
      <c r="M100" s="58">
        <f>VLOOKUP(D100,'TABELA DE PRECOS'!B:C,2,0)</f>
        <v>70.994559999999993</v>
      </c>
    </row>
    <row r="101" spans="1:13" ht="15.75" customHeight="1" x14ac:dyDescent="0.25">
      <c r="A101" s="65">
        <v>45</v>
      </c>
      <c r="B101" s="66" t="s">
        <v>207</v>
      </c>
      <c r="C101" s="82">
        <v>1</v>
      </c>
      <c r="D101" s="76" t="s">
        <v>208</v>
      </c>
      <c r="E101" s="69" t="s">
        <v>131</v>
      </c>
      <c r="F101" s="76">
        <v>81897719002</v>
      </c>
      <c r="G101" s="71">
        <f t="shared" si="12"/>
        <v>21.30752</v>
      </c>
      <c r="H101" s="71">
        <f t="shared" si="9"/>
        <v>21.30752</v>
      </c>
      <c r="I101" s="71">
        <f t="shared" si="10"/>
        <v>21.30752</v>
      </c>
      <c r="J101" s="71">
        <f t="shared" si="11"/>
        <v>21.30752</v>
      </c>
      <c r="K101" s="72">
        <v>0</v>
      </c>
      <c r="M101" s="58">
        <f>VLOOKUP(D101,'TABELA DE PRECOS'!B:C,2,0)</f>
        <v>21.30752</v>
      </c>
    </row>
    <row r="102" spans="1:13" ht="15.75" customHeight="1" x14ac:dyDescent="0.25">
      <c r="A102" s="65">
        <v>46</v>
      </c>
      <c r="B102" s="66" t="s">
        <v>258</v>
      </c>
      <c r="C102" s="82">
        <v>4</v>
      </c>
      <c r="D102" s="76" t="s">
        <v>259</v>
      </c>
      <c r="E102" s="69" t="s">
        <v>131</v>
      </c>
      <c r="F102" s="76">
        <v>81897719003</v>
      </c>
      <c r="G102" s="71">
        <f t="shared" si="12"/>
        <v>101.56</v>
      </c>
      <c r="H102" s="71">
        <f t="shared" si="9"/>
        <v>406.24</v>
      </c>
      <c r="I102" s="71">
        <f t="shared" si="10"/>
        <v>101.56</v>
      </c>
      <c r="J102" s="71">
        <f t="shared" si="11"/>
        <v>406.24</v>
      </c>
      <c r="K102" s="72">
        <v>0</v>
      </c>
      <c r="M102" s="58">
        <f>VLOOKUP(D102,'TABELA DE PRECOS'!B:C,2,0)</f>
        <v>101.56</v>
      </c>
    </row>
    <row r="103" spans="1:13" ht="15.75" customHeight="1" x14ac:dyDescent="0.25">
      <c r="A103" s="65">
        <v>47</v>
      </c>
      <c r="B103" s="66" t="s">
        <v>209</v>
      </c>
      <c r="C103" s="82">
        <v>4</v>
      </c>
      <c r="D103" s="76" t="s">
        <v>210</v>
      </c>
      <c r="E103" s="69" t="s">
        <v>131</v>
      </c>
      <c r="F103" s="76">
        <v>81897719003</v>
      </c>
      <c r="G103" s="71">
        <f t="shared" si="12"/>
        <v>73.489999999999995</v>
      </c>
      <c r="H103" s="71">
        <f t="shared" si="9"/>
        <v>293.95999999999998</v>
      </c>
      <c r="I103" s="71">
        <f t="shared" si="10"/>
        <v>73.489999999999995</v>
      </c>
      <c r="J103" s="71">
        <f t="shared" si="11"/>
        <v>293.95999999999998</v>
      </c>
      <c r="K103" s="72">
        <v>0</v>
      </c>
      <c r="M103" s="58">
        <f>VLOOKUP(D103,'TABELA DE PRECOS'!B:C,2,0)</f>
        <v>73.489999999999995</v>
      </c>
    </row>
    <row r="104" spans="1:13" ht="15.75" customHeight="1" x14ac:dyDescent="0.25">
      <c r="A104" s="65">
        <v>48</v>
      </c>
      <c r="B104" s="66" t="s">
        <v>219</v>
      </c>
      <c r="C104" s="82">
        <v>4</v>
      </c>
      <c r="D104" s="76" t="s">
        <v>220</v>
      </c>
      <c r="E104" s="69" t="s">
        <v>131</v>
      </c>
      <c r="F104" s="76">
        <v>81897719002</v>
      </c>
      <c r="G104" s="71">
        <f t="shared" si="12"/>
        <v>17.363840000000003</v>
      </c>
      <c r="H104" s="71">
        <f t="shared" si="9"/>
        <v>69.455360000000013</v>
      </c>
      <c r="I104" s="71">
        <f t="shared" si="10"/>
        <v>17.363840000000003</v>
      </c>
      <c r="J104" s="71">
        <f t="shared" si="11"/>
        <v>69.455360000000013</v>
      </c>
      <c r="K104" s="72">
        <v>0</v>
      </c>
      <c r="M104" s="58">
        <f>VLOOKUP(D104,'TABELA DE PRECOS'!B:C,2,0)</f>
        <v>17.363840000000003</v>
      </c>
    </row>
    <row r="105" spans="1:13" ht="15.75" customHeight="1" x14ac:dyDescent="0.25">
      <c r="A105" s="65">
        <v>49</v>
      </c>
      <c r="B105" s="66" t="s">
        <v>217</v>
      </c>
      <c r="C105" s="82">
        <v>2</v>
      </c>
      <c r="D105" s="76" t="s">
        <v>218</v>
      </c>
      <c r="E105" s="69" t="s">
        <v>131</v>
      </c>
      <c r="F105" s="76">
        <v>81897719002</v>
      </c>
      <c r="G105" s="71">
        <f t="shared" si="12"/>
        <v>25.68384</v>
      </c>
      <c r="H105" s="71">
        <f t="shared" si="9"/>
        <v>51.36768</v>
      </c>
      <c r="I105" s="71">
        <f t="shared" si="10"/>
        <v>25.68384</v>
      </c>
      <c r="J105" s="71">
        <f t="shared" si="11"/>
        <v>51.36768</v>
      </c>
      <c r="K105" s="72">
        <v>0</v>
      </c>
      <c r="M105" s="58">
        <f>VLOOKUP(D105,'TABELA DE PRECOS'!B:C,2,0)</f>
        <v>25.68384</v>
      </c>
    </row>
    <row r="106" spans="1:13" ht="15.75" customHeight="1" x14ac:dyDescent="0.25">
      <c r="A106" s="65">
        <v>50</v>
      </c>
      <c r="B106" s="66" t="s">
        <v>211</v>
      </c>
      <c r="C106" s="82">
        <v>2</v>
      </c>
      <c r="D106" s="76" t="s">
        <v>212</v>
      </c>
      <c r="E106" s="69" t="s">
        <v>131</v>
      </c>
      <c r="F106" s="76">
        <v>81897719002</v>
      </c>
      <c r="G106" s="71">
        <f t="shared" si="12"/>
        <v>18.84</v>
      </c>
      <c r="H106" s="71">
        <f t="shared" si="9"/>
        <v>37.68</v>
      </c>
      <c r="I106" s="71">
        <f t="shared" si="10"/>
        <v>18.84</v>
      </c>
      <c r="J106" s="71">
        <f t="shared" si="11"/>
        <v>37.68</v>
      </c>
      <c r="K106" s="72">
        <v>0</v>
      </c>
      <c r="M106" s="58">
        <f>VLOOKUP(D106,'TABELA DE PRECOS'!B:C,2,0)</f>
        <v>18.84</v>
      </c>
    </row>
    <row r="107" spans="1:13" ht="15.75" customHeight="1" x14ac:dyDescent="0.25">
      <c r="A107" s="65">
        <v>51</v>
      </c>
      <c r="B107" s="66" t="s">
        <v>213</v>
      </c>
      <c r="C107" s="82">
        <v>4</v>
      </c>
      <c r="D107" s="76" t="s">
        <v>214</v>
      </c>
      <c r="E107" s="69" t="s">
        <v>131</v>
      </c>
      <c r="F107" s="76">
        <v>81897719002</v>
      </c>
      <c r="G107" s="71">
        <f t="shared" si="12"/>
        <v>21.989759999999997</v>
      </c>
      <c r="H107" s="71">
        <f t="shared" si="9"/>
        <v>87.959039999999987</v>
      </c>
      <c r="I107" s="71">
        <f t="shared" si="10"/>
        <v>21.989759999999997</v>
      </c>
      <c r="J107" s="71">
        <f t="shared" si="11"/>
        <v>87.959039999999987</v>
      </c>
      <c r="K107" s="72">
        <v>0</v>
      </c>
      <c r="M107" s="58">
        <f>VLOOKUP(D107,'TABELA DE PRECOS'!B:C,2,0)</f>
        <v>21.989759999999997</v>
      </c>
    </row>
    <row r="108" spans="1:13" ht="15.75" customHeight="1" x14ac:dyDescent="0.25">
      <c r="A108" s="65">
        <v>52</v>
      </c>
      <c r="B108" s="66" t="s">
        <v>215</v>
      </c>
      <c r="C108" s="82">
        <v>2</v>
      </c>
      <c r="D108" s="76" t="s">
        <v>216</v>
      </c>
      <c r="E108" s="69" t="s">
        <v>131</v>
      </c>
      <c r="F108" s="76">
        <v>81897719002</v>
      </c>
      <c r="G108" s="71">
        <f t="shared" si="12"/>
        <v>26.207999999999998</v>
      </c>
      <c r="H108" s="71">
        <f t="shared" si="9"/>
        <v>52.415999999999997</v>
      </c>
      <c r="I108" s="71">
        <f t="shared" si="10"/>
        <v>26.207999999999998</v>
      </c>
      <c r="J108" s="71">
        <f t="shared" si="11"/>
        <v>52.415999999999997</v>
      </c>
      <c r="K108" s="72">
        <v>0</v>
      </c>
      <c r="M108" s="58">
        <f>VLOOKUP(D108,'TABELA DE PRECOS'!B:C,2,0)</f>
        <v>26.207999999999998</v>
      </c>
    </row>
    <row r="109" spans="1:13" ht="15.75" customHeight="1" x14ac:dyDescent="0.25">
      <c r="A109" s="65">
        <v>53</v>
      </c>
      <c r="B109" t="s">
        <v>1627</v>
      </c>
      <c r="C109" s="82">
        <v>1</v>
      </c>
      <c r="D109" s="76" t="s">
        <v>222</v>
      </c>
      <c r="E109" s="69" t="s">
        <v>131</v>
      </c>
      <c r="F109" s="76" t="s">
        <v>223</v>
      </c>
      <c r="G109" s="71">
        <f t="shared" si="12"/>
        <v>590.62848000000008</v>
      </c>
      <c r="H109" s="71">
        <f t="shared" si="9"/>
        <v>590.62848000000008</v>
      </c>
      <c r="I109" s="71">
        <f t="shared" si="10"/>
        <v>590.62848000000008</v>
      </c>
      <c r="J109" s="71">
        <f t="shared" si="11"/>
        <v>590.62848000000008</v>
      </c>
      <c r="K109" s="72">
        <v>0</v>
      </c>
      <c r="M109" s="58">
        <f>VLOOKUP(D109,'TABELA DE PRECOS'!B:C,2,0)</f>
        <v>590.62848000000008</v>
      </c>
    </row>
    <row r="110" spans="1:13" ht="15.75" customHeight="1" x14ac:dyDescent="0.25">
      <c r="A110" s="78"/>
      <c r="B110" s="79" t="s">
        <v>224</v>
      </c>
      <c r="C110" s="79">
        <f>SUM(C57:C109)</f>
        <v>138</v>
      </c>
      <c r="D110" s="79"/>
      <c r="E110" s="79"/>
      <c r="F110" s="79"/>
      <c r="G110" s="80"/>
      <c r="H110" s="80">
        <f>SUM(H57:H109)</f>
        <v>12816.321759999999</v>
      </c>
      <c r="I110" s="79"/>
      <c r="J110" s="80">
        <f>SUM(J57:J109)</f>
        <v>12816.321759999999</v>
      </c>
      <c r="K110" s="81"/>
      <c r="M110" s="58" t="e">
        <f>VLOOKUP(D110,'TABELA DE PRECOS'!B:C,2,0)</f>
        <v>#N/A</v>
      </c>
    </row>
    <row r="111" spans="1:13" ht="15.75" customHeight="1" x14ac:dyDescent="0.25">
      <c r="A111" s="56"/>
      <c r="B111" s="49" t="s">
        <v>15</v>
      </c>
      <c r="C111" s="57"/>
      <c r="G111" s="58"/>
      <c r="H111" s="58"/>
      <c r="I111" s="58"/>
      <c r="J111" s="58"/>
      <c r="K111" s="59"/>
      <c r="M111" s="58" t="e">
        <f>VLOOKUP(D111,'TABELA DE PRECOS'!B:C,2,0)</f>
        <v>#N/A</v>
      </c>
    </row>
    <row r="112" spans="1:13" ht="15.75" customHeight="1" x14ac:dyDescent="0.25">
      <c r="A112" s="56"/>
      <c r="B112" s="18" t="s">
        <v>260</v>
      </c>
      <c r="C112" s="57"/>
      <c r="G112" s="58"/>
      <c r="H112" s="58"/>
      <c r="I112" s="58"/>
      <c r="J112" s="58"/>
      <c r="K112" s="59"/>
      <c r="M112" s="58" t="e">
        <f>VLOOKUP(D112,'TABELA DE PRECOS'!B:C,2,0)</f>
        <v>#N/A</v>
      </c>
    </row>
    <row r="113" spans="1:13" ht="15.75" customHeight="1" x14ac:dyDescent="0.25">
      <c r="A113" s="18" t="s">
        <v>119</v>
      </c>
      <c r="B113" s="18" t="s">
        <v>120</v>
      </c>
      <c r="C113" s="18" t="s">
        <v>21</v>
      </c>
      <c r="D113" s="18" t="s">
        <v>121</v>
      </c>
      <c r="E113" s="60" t="s">
        <v>122</v>
      </c>
      <c r="F113" s="18" t="s">
        <v>123</v>
      </c>
      <c r="G113" s="61" t="s">
        <v>22</v>
      </c>
      <c r="H113" s="18" t="s">
        <v>23</v>
      </c>
      <c r="I113" s="18" t="s">
        <v>24</v>
      </c>
      <c r="J113" s="18" t="s">
        <v>25</v>
      </c>
      <c r="K113" s="62" t="s">
        <v>26</v>
      </c>
      <c r="L113" s="63"/>
      <c r="M113" s="58" t="str">
        <f>VLOOKUP(D113,'TABELA DE PRECOS'!B:C,2,0)</f>
        <v>Valor Unit Bruto</v>
      </c>
    </row>
    <row r="114" spans="1:13" ht="15.75" customHeight="1" x14ac:dyDescent="0.25">
      <c r="A114" s="65">
        <v>1</v>
      </c>
      <c r="B114" s="84" t="s">
        <v>261</v>
      </c>
      <c r="C114" s="73">
        <v>1</v>
      </c>
      <c r="D114" s="85" t="s">
        <v>262</v>
      </c>
      <c r="E114" s="86" t="s">
        <v>131</v>
      </c>
      <c r="F114" s="85">
        <v>81897719002</v>
      </c>
      <c r="G114" s="71">
        <f t="shared" ref="G114:G128" si="13">M114</f>
        <v>29.735680000000002</v>
      </c>
      <c r="H114" s="71">
        <f t="shared" ref="H114:H128" si="14">G114*C114</f>
        <v>29.735680000000002</v>
      </c>
      <c r="I114" s="71">
        <f t="shared" ref="I114:I128" si="15">G114</f>
        <v>29.735680000000002</v>
      </c>
      <c r="J114" s="71">
        <f t="shared" ref="J114:J128" si="16">I114*C114</f>
        <v>29.735680000000002</v>
      </c>
      <c r="K114" s="72">
        <v>0</v>
      </c>
      <c r="M114" s="58">
        <f>VLOOKUP(D114,'TABELA DE PRECOS'!B:C,2,0)</f>
        <v>29.735680000000002</v>
      </c>
    </row>
    <row r="115" spans="1:13" ht="15.75" customHeight="1" x14ac:dyDescent="0.25">
      <c r="A115" s="67">
        <v>2</v>
      </c>
      <c r="B115" s="66" t="s">
        <v>263</v>
      </c>
      <c r="C115" s="82">
        <v>1</v>
      </c>
      <c r="D115" s="76" t="s">
        <v>264</v>
      </c>
      <c r="E115" s="69" t="s">
        <v>126</v>
      </c>
      <c r="F115" s="76">
        <v>10301950027</v>
      </c>
      <c r="G115" s="87">
        <f t="shared" si="13"/>
        <v>29.735680000000002</v>
      </c>
      <c r="H115" s="71">
        <f t="shared" si="14"/>
        <v>29.735680000000002</v>
      </c>
      <c r="I115" s="71">
        <f t="shared" si="15"/>
        <v>29.735680000000002</v>
      </c>
      <c r="J115" s="71">
        <f t="shared" si="16"/>
        <v>29.735680000000002</v>
      </c>
      <c r="K115" s="72">
        <v>0</v>
      </c>
      <c r="M115" s="58">
        <f>VLOOKUP(D115,'TABELA DE PRECOS'!B:C,2,0)</f>
        <v>29.735680000000002</v>
      </c>
    </row>
    <row r="116" spans="1:13" ht="15.75" customHeight="1" x14ac:dyDescent="0.25">
      <c r="A116" s="65">
        <v>3</v>
      </c>
      <c r="B116" s="66" t="s">
        <v>265</v>
      </c>
      <c r="C116" s="82">
        <v>1</v>
      </c>
      <c r="D116" s="76" t="s">
        <v>266</v>
      </c>
      <c r="E116" s="69" t="s">
        <v>131</v>
      </c>
      <c r="F116" s="76">
        <v>81897719002</v>
      </c>
      <c r="G116" s="87">
        <f t="shared" si="13"/>
        <v>29.735680000000002</v>
      </c>
      <c r="H116" s="71">
        <f t="shared" si="14"/>
        <v>29.735680000000002</v>
      </c>
      <c r="I116" s="71">
        <f t="shared" si="15"/>
        <v>29.735680000000002</v>
      </c>
      <c r="J116" s="71">
        <f t="shared" si="16"/>
        <v>29.735680000000002</v>
      </c>
      <c r="K116" s="72">
        <v>0</v>
      </c>
      <c r="M116" s="58">
        <f>VLOOKUP(D116,'TABELA DE PRECOS'!B:C,2,0)</f>
        <v>29.735680000000002</v>
      </c>
    </row>
    <row r="117" spans="1:13" ht="15.75" customHeight="1" x14ac:dyDescent="0.25">
      <c r="A117" s="67">
        <v>4</v>
      </c>
      <c r="B117" t="s">
        <v>1628</v>
      </c>
      <c r="C117" s="82">
        <v>1</v>
      </c>
      <c r="D117" s="76" t="s">
        <v>267</v>
      </c>
      <c r="E117" s="69" t="s">
        <v>126</v>
      </c>
      <c r="F117" s="76">
        <v>10301950027</v>
      </c>
      <c r="G117" s="87">
        <f t="shared" si="13"/>
        <v>29.735680000000002</v>
      </c>
      <c r="H117" s="71">
        <f t="shared" si="14"/>
        <v>29.735680000000002</v>
      </c>
      <c r="I117" s="71">
        <f t="shared" si="15"/>
        <v>29.735680000000002</v>
      </c>
      <c r="J117" s="71">
        <f t="shared" si="16"/>
        <v>29.735680000000002</v>
      </c>
      <c r="K117" s="72">
        <v>0</v>
      </c>
      <c r="M117" s="58">
        <f>VLOOKUP(D117,'TABELA DE PRECOS'!B:C,2,0)</f>
        <v>29.735680000000002</v>
      </c>
    </row>
    <row r="118" spans="1:13" ht="15.75" customHeight="1" x14ac:dyDescent="0.25">
      <c r="A118" s="65">
        <v>5</v>
      </c>
      <c r="B118" s="66" t="s">
        <v>268</v>
      </c>
      <c r="C118" s="82">
        <v>1</v>
      </c>
      <c r="D118" s="76" t="s">
        <v>269</v>
      </c>
      <c r="E118" s="69" t="s">
        <v>131</v>
      </c>
      <c r="F118" s="76">
        <v>81897719002</v>
      </c>
      <c r="G118" s="87">
        <f t="shared" si="13"/>
        <v>29.735680000000002</v>
      </c>
      <c r="H118" s="71">
        <f t="shared" si="14"/>
        <v>29.735680000000002</v>
      </c>
      <c r="I118" s="71">
        <f t="shared" si="15"/>
        <v>29.735680000000002</v>
      </c>
      <c r="J118" s="71">
        <f t="shared" si="16"/>
        <v>29.735680000000002</v>
      </c>
      <c r="K118" s="72">
        <v>0</v>
      </c>
      <c r="M118" s="58">
        <f>VLOOKUP(D118,'TABELA DE PRECOS'!B:C,2,0)</f>
        <v>29.735680000000002</v>
      </c>
    </row>
    <row r="119" spans="1:13" ht="15.75" customHeight="1" x14ac:dyDescent="0.25">
      <c r="A119" s="65">
        <v>6</v>
      </c>
      <c r="B119" s="66" t="s">
        <v>270</v>
      </c>
      <c r="C119" s="82">
        <v>4</v>
      </c>
      <c r="D119" s="76" t="s">
        <v>271</v>
      </c>
      <c r="E119" s="69" t="s">
        <v>131</v>
      </c>
      <c r="F119" s="76">
        <v>81897719002</v>
      </c>
      <c r="G119" s="87">
        <f t="shared" si="13"/>
        <v>32.456319999999998</v>
      </c>
      <c r="H119" s="71">
        <f t="shared" si="14"/>
        <v>129.82527999999999</v>
      </c>
      <c r="I119" s="71">
        <f t="shared" si="15"/>
        <v>32.456319999999998</v>
      </c>
      <c r="J119" s="71">
        <f t="shared" si="16"/>
        <v>129.82527999999999</v>
      </c>
      <c r="K119" s="72">
        <v>0</v>
      </c>
      <c r="M119" s="58">
        <f>VLOOKUP(D119,'TABELA DE PRECOS'!B:C,2,0)</f>
        <v>32.456319999999998</v>
      </c>
    </row>
    <row r="120" spans="1:13" ht="15.75" customHeight="1" x14ac:dyDescent="0.25">
      <c r="A120" s="65">
        <v>7</v>
      </c>
      <c r="B120" s="66" t="s">
        <v>272</v>
      </c>
      <c r="C120" s="82">
        <v>2</v>
      </c>
      <c r="D120" s="76" t="s">
        <v>273</v>
      </c>
      <c r="E120" s="69" t="s">
        <v>131</v>
      </c>
      <c r="F120" s="76">
        <v>81897719002</v>
      </c>
      <c r="G120" s="87">
        <f t="shared" si="13"/>
        <v>54.08</v>
      </c>
      <c r="H120" s="71">
        <f t="shared" si="14"/>
        <v>108.16</v>
      </c>
      <c r="I120" s="71">
        <f t="shared" si="15"/>
        <v>54.08</v>
      </c>
      <c r="J120" s="71">
        <f t="shared" si="16"/>
        <v>108.16</v>
      </c>
      <c r="K120" s="72">
        <v>0</v>
      </c>
      <c r="M120" s="58">
        <f>VLOOKUP(D120,'TABELA DE PRECOS'!B:C,2,0)</f>
        <v>54.08</v>
      </c>
    </row>
    <row r="121" spans="1:13" ht="15.75" customHeight="1" x14ac:dyDescent="0.25">
      <c r="A121" s="65">
        <v>8</v>
      </c>
      <c r="B121" s="66" t="s">
        <v>274</v>
      </c>
      <c r="C121" s="82">
        <v>2</v>
      </c>
      <c r="D121" s="76" t="s">
        <v>275</v>
      </c>
      <c r="E121" s="69" t="s">
        <v>131</v>
      </c>
      <c r="F121" s="76">
        <v>81897719002</v>
      </c>
      <c r="G121" s="87">
        <f t="shared" si="13"/>
        <v>54.08</v>
      </c>
      <c r="H121" s="71">
        <f t="shared" si="14"/>
        <v>108.16</v>
      </c>
      <c r="I121" s="71">
        <f t="shared" si="15"/>
        <v>54.08</v>
      </c>
      <c r="J121" s="71">
        <f t="shared" si="16"/>
        <v>108.16</v>
      </c>
      <c r="K121" s="72">
        <v>0</v>
      </c>
      <c r="M121" s="58">
        <f>VLOOKUP(D121,'TABELA DE PRECOS'!B:C,2,0)</f>
        <v>54.08</v>
      </c>
    </row>
    <row r="122" spans="1:13" ht="15.75" customHeight="1" x14ac:dyDescent="0.25">
      <c r="A122" s="65">
        <v>9</v>
      </c>
      <c r="B122" s="66" t="s">
        <v>276</v>
      </c>
      <c r="C122" s="82">
        <v>2</v>
      </c>
      <c r="D122" s="76" t="s">
        <v>277</v>
      </c>
      <c r="E122" s="69" t="s">
        <v>131</v>
      </c>
      <c r="F122" s="76">
        <v>81897710017</v>
      </c>
      <c r="G122" s="87">
        <f t="shared" si="13"/>
        <v>65.927679999999995</v>
      </c>
      <c r="H122" s="71">
        <f t="shared" si="14"/>
        <v>131.85535999999999</v>
      </c>
      <c r="I122" s="71">
        <f t="shared" si="15"/>
        <v>65.927679999999995</v>
      </c>
      <c r="J122" s="71">
        <f t="shared" si="16"/>
        <v>131.85535999999999</v>
      </c>
      <c r="K122" s="72">
        <v>0</v>
      </c>
      <c r="M122" s="58">
        <f>VLOOKUP(D122,'TABELA DE PRECOS'!B:C,2,0)</f>
        <v>65.927679999999995</v>
      </c>
    </row>
    <row r="123" spans="1:13" ht="15.75" customHeight="1" x14ac:dyDescent="0.25">
      <c r="A123" s="65">
        <v>10</v>
      </c>
      <c r="B123" s="66" t="s">
        <v>278</v>
      </c>
      <c r="C123" s="82">
        <v>1</v>
      </c>
      <c r="D123" s="66" t="s">
        <v>279</v>
      </c>
      <c r="E123" s="88" t="s">
        <v>126</v>
      </c>
      <c r="F123" s="89">
        <v>10301950027</v>
      </c>
      <c r="G123" s="87">
        <f t="shared" si="13"/>
        <v>150.25919999999999</v>
      </c>
      <c r="H123" s="71">
        <f t="shared" si="14"/>
        <v>150.25919999999999</v>
      </c>
      <c r="I123" s="71">
        <f t="shared" si="15"/>
        <v>150.25919999999999</v>
      </c>
      <c r="J123" s="71">
        <f t="shared" si="16"/>
        <v>150.25919999999999</v>
      </c>
      <c r="K123" s="72">
        <v>0</v>
      </c>
      <c r="M123" s="58">
        <f>VLOOKUP(D123,'TABELA DE PRECOS'!B:C,2,0)</f>
        <v>150.25919999999999</v>
      </c>
    </row>
    <row r="124" spans="1:13" ht="15.75" customHeight="1" x14ac:dyDescent="0.25">
      <c r="A124" s="65">
        <v>11</v>
      </c>
      <c r="B124" s="66" t="s">
        <v>256</v>
      </c>
      <c r="C124" s="82">
        <v>1</v>
      </c>
      <c r="D124" s="76" t="s">
        <v>257</v>
      </c>
      <c r="E124" s="69" t="s">
        <v>131</v>
      </c>
      <c r="F124" s="76">
        <v>81897710009</v>
      </c>
      <c r="G124" s="87">
        <f t="shared" si="13"/>
        <v>63.111520000000006</v>
      </c>
      <c r="H124" s="71">
        <f t="shared" si="14"/>
        <v>63.111520000000006</v>
      </c>
      <c r="I124" s="71">
        <f t="shared" si="15"/>
        <v>63.111520000000006</v>
      </c>
      <c r="J124" s="71">
        <f t="shared" si="16"/>
        <v>63.111520000000006</v>
      </c>
      <c r="K124" s="72">
        <v>0</v>
      </c>
      <c r="M124" s="58">
        <f>VLOOKUP(D124,'TABELA DE PRECOS'!B:C,2,0)</f>
        <v>63.111520000000006</v>
      </c>
    </row>
    <row r="125" spans="1:13" ht="15.75" customHeight="1" x14ac:dyDescent="0.25">
      <c r="A125" s="65">
        <v>12</v>
      </c>
      <c r="B125" s="66" t="s">
        <v>197</v>
      </c>
      <c r="C125" s="82">
        <v>1</v>
      </c>
      <c r="D125" s="76" t="s">
        <v>198</v>
      </c>
      <c r="E125" s="69" t="s">
        <v>131</v>
      </c>
      <c r="F125" s="76">
        <v>81897719002</v>
      </c>
      <c r="G125" s="87">
        <f t="shared" si="13"/>
        <v>94.648320000000012</v>
      </c>
      <c r="H125" s="71">
        <f t="shared" si="14"/>
        <v>94.648320000000012</v>
      </c>
      <c r="I125" s="71">
        <f t="shared" si="15"/>
        <v>94.648320000000012</v>
      </c>
      <c r="J125" s="71">
        <f t="shared" si="16"/>
        <v>94.648320000000012</v>
      </c>
      <c r="K125" s="72">
        <v>0</v>
      </c>
      <c r="M125" s="58">
        <f>VLOOKUP(D125,'TABELA DE PRECOS'!B:C,2,0)</f>
        <v>94.648320000000012</v>
      </c>
    </row>
    <row r="126" spans="1:13" ht="15.75" customHeight="1" x14ac:dyDescent="0.25">
      <c r="A126" s="65">
        <v>13</v>
      </c>
      <c r="B126" s="66" t="s">
        <v>280</v>
      </c>
      <c r="C126" s="82">
        <v>1</v>
      </c>
      <c r="D126" s="76" t="s">
        <v>281</v>
      </c>
      <c r="E126" s="69" t="s">
        <v>131</v>
      </c>
      <c r="F126" s="76">
        <v>81897719003</v>
      </c>
      <c r="G126" s="87">
        <f t="shared" si="13"/>
        <v>91.278720000000007</v>
      </c>
      <c r="H126" s="71">
        <f t="shared" si="14"/>
        <v>91.278720000000007</v>
      </c>
      <c r="I126" s="71">
        <f t="shared" si="15"/>
        <v>91.278720000000007</v>
      </c>
      <c r="J126" s="71">
        <f t="shared" si="16"/>
        <v>91.278720000000007</v>
      </c>
      <c r="K126" s="72">
        <v>0</v>
      </c>
      <c r="M126" s="58">
        <f>VLOOKUP(D126,'TABELA DE PRECOS'!B:C,2,0)</f>
        <v>91.278720000000007</v>
      </c>
    </row>
    <row r="127" spans="1:13" ht="15.75" customHeight="1" x14ac:dyDescent="0.25">
      <c r="A127" s="65">
        <v>14</v>
      </c>
      <c r="B127" s="66" t="s">
        <v>282</v>
      </c>
      <c r="C127" s="82">
        <v>2</v>
      </c>
      <c r="D127" s="76" t="s">
        <v>283</v>
      </c>
      <c r="E127" s="69" t="s">
        <v>131</v>
      </c>
      <c r="F127" s="76">
        <v>81897719002</v>
      </c>
      <c r="G127" s="87">
        <f t="shared" si="13"/>
        <v>17.46</v>
      </c>
      <c r="H127" s="71">
        <f t="shared" si="14"/>
        <v>34.92</v>
      </c>
      <c r="I127" s="71">
        <f t="shared" si="15"/>
        <v>17.46</v>
      </c>
      <c r="J127" s="71">
        <f t="shared" si="16"/>
        <v>34.92</v>
      </c>
      <c r="K127" s="72">
        <v>0</v>
      </c>
      <c r="M127" s="58">
        <f>VLOOKUP(D127,'TABELA DE PRECOS'!B:C,2,0)</f>
        <v>17.46</v>
      </c>
    </row>
    <row r="128" spans="1:13" ht="15.75" customHeight="1" x14ac:dyDescent="0.25">
      <c r="A128" s="65">
        <v>15</v>
      </c>
      <c r="B128" t="s">
        <v>1629</v>
      </c>
      <c r="C128" s="82">
        <v>1</v>
      </c>
      <c r="D128" s="76" t="s">
        <v>285</v>
      </c>
      <c r="E128" s="69" t="s">
        <v>131</v>
      </c>
      <c r="F128" s="76" t="s">
        <v>223</v>
      </c>
      <c r="G128" s="87">
        <f t="shared" si="13"/>
        <v>387.35</v>
      </c>
      <c r="H128" s="71">
        <f t="shared" si="14"/>
        <v>387.35</v>
      </c>
      <c r="I128" s="71">
        <f t="shared" si="15"/>
        <v>387.35</v>
      </c>
      <c r="J128" s="71">
        <f t="shared" si="16"/>
        <v>387.35</v>
      </c>
      <c r="K128" s="72">
        <v>0</v>
      </c>
      <c r="M128" s="58">
        <f>VLOOKUP(D128,'TABELA DE PRECOS'!B:C,2,0)</f>
        <v>387.35</v>
      </c>
    </row>
    <row r="129" spans="1:13" ht="15.75" customHeight="1" x14ac:dyDescent="0.25">
      <c r="A129" s="78"/>
      <c r="B129" s="79" t="s">
        <v>224</v>
      </c>
      <c r="C129" s="79">
        <f>SUM(C114:C128)</f>
        <v>22</v>
      </c>
      <c r="D129" s="79"/>
      <c r="E129" s="79"/>
      <c r="F129" s="79"/>
      <c r="G129" s="80"/>
      <c r="H129" s="80">
        <f>SUM(H114:H128)</f>
        <v>1448.2467999999999</v>
      </c>
      <c r="I129" s="79"/>
      <c r="J129" s="80">
        <f>SUM(J114:J128)</f>
        <v>1448.2467999999999</v>
      </c>
      <c r="K129" s="81"/>
      <c r="M129" s="58" t="e">
        <f>VLOOKUP(D129,'TABELA DE PRECOS'!B:C,2,0)</f>
        <v>#N/A</v>
      </c>
    </row>
    <row r="130" spans="1:13" ht="15.75" customHeight="1" x14ac:dyDescent="0.25">
      <c r="A130" s="56"/>
      <c r="B130" s="49" t="s">
        <v>15</v>
      </c>
      <c r="C130" s="57"/>
      <c r="G130" s="58"/>
      <c r="H130" s="58"/>
      <c r="I130" s="58"/>
      <c r="J130" s="58"/>
      <c r="K130" s="59"/>
      <c r="M130" s="58" t="e">
        <f>VLOOKUP(D130,'TABELA DE PRECOS'!B:C,2,0)</f>
        <v>#N/A</v>
      </c>
    </row>
    <row r="131" spans="1:13" ht="15.75" customHeight="1" x14ac:dyDescent="0.25">
      <c r="A131" s="56"/>
      <c r="B131" s="18" t="s">
        <v>286</v>
      </c>
      <c r="C131" s="57"/>
      <c r="G131" s="58"/>
      <c r="H131" s="58"/>
      <c r="I131" s="58"/>
      <c r="J131" s="58"/>
      <c r="K131" s="59"/>
      <c r="M131" s="58" t="e">
        <f>VLOOKUP(D131,'TABELA DE PRECOS'!B:C,2,0)</f>
        <v>#N/A</v>
      </c>
    </row>
    <row r="132" spans="1:13" ht="15.75" customHeight="1" x14ac:dyDescent="0.25">
      <c r="A132" s="18" t="s">
        <v>119</v>
      </c>
      <c r="B132" s="18" t="s">
        <v>120</v>
      </c>
      <c r="C132" s="18" t="s">
        <v>21</v>
      </c>
      <c r="D132" s="18" t="s">
        <v>121</v>
      </c>
      <c r="E132" s="60" t="s">
        <v>122</v>
      </c>
      <c r="F132" s="18" t="s">
        <v>123</v>
      </c>
      <c r="G132" s="61" t="s">
        <v>22</v>
      </c>
      <c r="H132" s="18" t="s">
        <v>23</v>
      </c>
      <c r="I132" s="18" t="s">
        <v>24</v>
      </c>
      <c r="J132" s="18" t="s">
        <v>25</v>
      </c>
      <c r="K132" s="62" t="s">
        <v>26</v>
      </c>
      <c r="M132" s="58" t="str">
        <f>VLOOKUP(D132,'TABELA DE PRECOS'!B:C,2,0)</f>
        <v>Valor Unit Bruto</v>
      </c>
    </row>
    <row r="133" spans="1:13" ht="15.75" customHeight="1" x14ac:dyDescent="0.25">
      <c r="A133" s="65">
        <v>1</v>
      </c>
      <c r="B133" s="84" t="s">
        <v>287</v>
      </c>
      <c r="C133" s="73">
        <v>1</v>
      </c>
      <c r="D133" s="85" t="s">
        <v>288</v>
      </c>
      <c r="E133" s="86" t="s">
        <v>131</v>
      </c>
      <c r="F133" s="85" t="s">
        <v>289</v>
      </c>
      <c r="G133" s="71">
        <f t="shared" ref="G133:G185" si="17">M133</f>
        <v>47.527200000000001</v>
      </c>
      <c r="H133" s="71">
        <f t="shared" ref="H133:H185" si="18">G133*C133</f>
        <v>47.527200000000001</v>
      </c>
      <c r="I133" s="71">
        <f t="shared" ref="I133:I185" si="19">G133</f>
        <v>47.527200000000001</v>
      </c>
      <c r="J133" s="71">
        <f t="shared" ref="J133:J185" si="20">I133*C133</f>
        <v>47.527200000000001</v>
      </c>
      <c r="K133" s="72">
        <v>0</v>
      </c>
      <c r="M133" s="58">
        <f>VLOOKUP(D133,'TABELA DE PRECOS'!B:C,2,0)</f>
        <v>47.527200000000001</v>
      </c>
    </row>
    <row r="134" spans="1:13" ht="15.75" customHeight="1" x14ac:dyDescent="0.25">
      <c r="A134" s="65">
        <v>2</v>
      </c>
      <c r="B134" s="84" t="s">
        <v>290</v>
      </c>
      <c r="C134" s="73">
        <v>2</v>
      </c>
      <c r="D134" s="85" t="s">
        <v>291</v>
      </c>
      <c r="E134" s="86" t="s">
        <v>131</v>
      </c>
      <c r="F134" s="85">
        <v>81897719002</v>
      </c>
      <c r="G134" s="71">
        <f t="shared" si="17"/>
        <v>16.5</v>
      </c>
      <c r="H134" s="71">
        <f t="shared" si="18"/>
        <v>33</v>
      </c>
      <c r="I134" s="71">
        <f t="shared" si="19"/>
        <v>16.5</v>
      </c>
      <c r="J134" s="71">
        <f t="shared" si="20"/>
        <v>33</v>
      </c>
      <c r="K134" s="72">
        <v>0</v>
      </c>
      <c r="M134" s="58">
        <f>VLOOKUP(D134,'TABELA DE PRECOS'!B:C,2,0)</f>
        <v>16.5</v>
      </c>
    </row>
    <row r="135" spans="1:13" ht="15.75" customHeight="1" x14ac:dyDescent="0.25">
      <c r="A135" s="65">
        <v>3</v>
      </c>
      <c r="B135" s="84" t="s">
        <v>133</v>
      </c>
      <c r="C135" s="73">
        <v>2</v>
      </c>
      <c r="D135" s="85" t="s">
        <v>134</v>
      </c>
      <c r="E135" s="86" t="s">
        <v>131</v>
      </c>
      <c r="F135" s="85">
        <v>81897719002</v>
      </c>
      <c r="G135" s="71">
        <f t="shared" si="17"/>
        <v>17.19688</v>
      </c>
      <c r="H135" s="71">
        <f t="shared" si="18"/>
        <v>34.39376</v>
      </c>
      <c r="I135" s="71">
        <f t="shared" si="19"/>
        <v>17.19688</v>
      </c>
      <c r="J135" s="71">
        <f t="shared" si="20"/>
        <v>34.39376</v>
      </c>
      <c r="K135" s="72">
        <v>0</v>
      </c>
      <c r="M135" s="58">
        <f>VLOOKUP(D135,'TABELA DE PRECOS'!B:C,2,0)</f>
        <v>17.19688</v>
      </c>
    </row>
    <row r="136" spans="1:13" ht="15.75" customHeight="1" x14ac:dyDescent="0.25">
      <c r="A136" s="65">
        <v>4</v>
      </c>
      <c r="B136" s="84" t="s">
        <v>292</v>
      </c>
      <c r="C136" s="73">
        <v>2</v>
      </c>
      <c r="D136" s="85" t="s">
        <v>293</v>
      </c>
      <c r="E136" s="86" t="s">
        <v>131</v>
      </c>
      <c r="F136" s="85">
        <v>81897719002</v>
      </c>
      <c r="G136" s="71">
        <f t="shared" si="17"/>
        <v>57.032640000000001</v>
      </c>
      <c r="H136" s="71">
        <f t="shared" si="18"/>
        <v>114.06528</v>
      </c>
      <c r="I136" s="71">
        <f t="shared" si="19"/>
        <v>57.032640000000001</v>
      </c>
      <c r="J136" s="71">
        <f t="shared" si="20"/>
        <v>114.06528</v>
      </c>
      <c r="K136" s="72">
        <v>0</v>
      </c>
      <c r="M136" s="58">
        <f>VLOOKUP(D136,'TABELA DE PRECOS'!B:C,2,0)</f>
        <v>57.032640000000001</v>
      </c>
    </row>
    <row r="137" spans="1:13" ht="15.75" customHeight="1" x14ac:dyDescent="0.25">
      <c r="A137" s="65">
        <v>5</v>
      </c>
      <c r="B137" s="84" t="s">
        <v>294</v>
      </c>
      <c r="C137" s="73">
        <v>3</v>
      </c>
      <c r="D137" s="85" t="s">
        <v>295</v>
      </c>
      <c r="E137" s="86" t="s">
        <v>131</v>
      </c>
      <c r="F137" s="85">
        <v>81897719002</v>
      </c>
      <c r="G137" s="71">
        <f t="shared" si="17"/>
        <v>58.95</v>
      </c>
      <c r="H137" s="71">
        <f t="shared" si="18"/>
        <v>176.85000000000002</v>
      </c>
      <c r="I137" s="71">
        <f t="shared" si="19"/>
        <v>58.95</v>
      </c>
      <c r="J137" s="71">
        <f t="shared" si="20"/>
        <v>176.85000000000002</v>
      </c>
      <c r="K137" s="72">
        <v>0</v>
      </c>
      <c r="M137" s="58">
        <f>VLOOKUP(D137,'TABELA DE PRECOS'!B:C,2,0)</f>
        <v>58.95</v>
      </c>
    </row>
    <row r="138" spans="1:13" ht="15.75" customHeight="1" x14ac:dyDescent="0.25">
      <c r="A138" s="65">
        <v>6</v>
      </c>
      <c r="B138" s="84" t="s">
        <v>296</v>
      </c>
      <c r="C138" s="73">
        <v>2</v>
      </c>
      <c r="D138" s="85" t="s">
        <v>297</v>
      </c>
      <c r="E138" s="86" t="s">
        <v>131</v>
      </c>
      <c r="F138" s="85">
        <v>81897719002</v>
      </c>
      <c r="G138" s="71">
        <f t="shared" si="17"/>
        <v>57.032640000000001</v>
      </c>
      <c r="H138" s="71">
        <f t="shared" si="18"/>
        <v>114.06528</v>
      </c>
      <c r="I138" s="71">
        <f t="shared" si="19"/>
        <v>57.032640000000001</v>
      </c>
      <c r="J138" s="71">
        <f t="shared" si="20"/>
        <v>114.06528</v>
      </c>
      <c r="K138" s="72">
        <v>0</v>
      </c>
      <c r="M138" s="58">
        <f>VLOOKUP(D138,'TABELA DE PRECOS'!B:C,2,0)</f>
        <v>57.032640000000001</v>
      </c>
    </row>
    <row r="139" spans="1:13" ht="15.75" customHeight="1" x14ac:dyDescent="0.25">
      <c r="A139" s="65">
        <v>7</v>
      </c>
      <c r="B139" s="84" t="s">
        <v>298</v>
      </c>
      <c r="C139" s="73">
        <v>3</v>
      </c>
      <c r="D139" s="85" t="s">
        <v>299</v>
      </c>
      <c r="E139" s="86" t="s">
        <v>131</v>
      </c>
      <c r="F139" s="85">
        <v>81897719002</v>
      </c>
      <c r="G139" s="71">
        <f t="shared" si="17"/>
        <v>8.3628</v>
      </c>
      <c r="H139" s="71">
        <f t="shared" si="18"/>
        <v>25.0884</v>
      </c>
      <c r="I139" s="71">
        <f t="shared" si="19"/>
        <v>8.3628</v>
      </c>
      <c r="J139" s="71">
        <f t="shared" si="20"/>
        <v>25.0884</v>
      </c>
      <c r="K139" s="72">
        <v>0</v>
      </c>
      <c r="M139" s="58">
        <f>VLOOKUP(D139,'TABELA DE PRECOS'!B:C,2,0)</f>
        <v>8.3628</v>
      </c>
    </row>
    <row r="140" spans="1:13" ht="15.75" customHeight="1" x14ac:dyDescent="0.25">
      <c r="A140" s="65">
        <v>8</v>
      </c>
      <c r="B140" s="84" t="s">
        <v>137</v>
      </c>
      <c r="C140" s="73">
        <v>1</v>
      </c>
      <c r="D140" s="85" t="s">
        <v>138</v>
      </c>
      <c r="E140" s="86" t="s">
        <v>131</v>
      </c>
      <c r="F140" s="85">
        <v>81897719002</v>
      </c>
      <c r="G140" s="71">
        <f t="shared" si="17"/>
        <v>8.25</v>
      </c>
      <c r="H140" s="71">
        <f t="shared" si="18"/>
        <v>8.25</v>
      </c>
      <c r="I140" s="71">
        <f t="shared" si="19"/>
        <v>8.25</v>
      </c>
      <c r="J140" s="71">
        <f t="shared" si="20"/>
        <v>8.25</v>
      </c>
      <c r="K140" s="72">
        <v>0</v>
      </c>
      <c r="M140" s="58">
        <f>VLOOKUP(D140,'TABELA DE PRECOS'!B:C,2,0)</f>
        <v>8.25</v>
      </c>
    </row>
    <row r="141" spans="1:13" ht="15.75" customHeight="1" x14ac:dyDescent="0.25">
      <c r="A141" s="65">
        <v>9</v>
      </c>
      <c r="B141" s="84" t="s">
        <v>300</v>
      </c>
      <c r="C141" s="73">
        <v>1</v>
      </c>
      <c r="D141" s="85" t="s">
        <v>301</v>
      </c>
      <c r="E141" s="86" t="s">
        <v>131</v>
      </c>
      <c r="F141" s="85">
        <v>81897719002</v>
      </c>
      <c r="G141" s="71">
        <f t="shared" si="17"/>
        <v>9.4</v>
      </c>
      <c r="H141" s="71">
        <f t="shared" si="18"/>
        <v>9.4</v>
      </c>
      <c r="I141" s="71">
        <f t="shared" si="19"/>
        <v>9.4</v>
      </c>
      <c r="J141" s="71">
        <f t="shared" si="20"/>
        <v>9.4</v>
      </c>
      <c r="K141" s="72">
        <v>0</v>
      </c>
      <c r="M141" s="58">
        <f>VLOOKUP(D141,'TABELA DE PRECOS'!B:C,2,0)</f>
        <v>9.4</v>
      </c>
    </row>
    <row r="142" spans="1:13" ht="15.75" customHeight="1" x14ac:dyDescent="0.25">
      <c r="A142" s="65">
        <v>10</v>
      </c>
      <c r="B142" s="84" t="s">
        <v>302</v>
      </c>
      <c r="C142" s="73">
        <v>1</v>
      </c>
      <c r="D142" s="85" t="s">
        <v>303</v>
      </c>
      <c r="E142" s="86" t="s">
        <v>131</v>
      </c>
      <c r="F142" s="85">
        <v>81897719002</v>
      </c>
      <c r="G142" s="71">
        <f t="shared" si="17"/>
        <v>154.62360000000001</v>
      </c>
      <c r="H142" s="71">
        <f t="shared" si="18"/>
        <v>154.62360000000001</v>
      </c>
      <c r="I142" s="71">
        <f t="shared" si="19"/>
        <v>154.62360000000001</v>
      </c>
      <c r="J142" s="71">
        <f t="shared" si="20"/>
        <v>154.62360000000001</v>
      </c>
      <c r="K142" s="72">
        <v>0</v>
      </c>
      <c r="M142" s="58">
        <f>VLOOKUP(D142,'TABELA DE PRECOS'!B:C,2,0)</f>
        <v>154.62360000000001</v>
      </c>
    </row>
    <row r="143" spans="1:13" ht="15.75" customHeight="1" x14ac:dyDescent="0.25">
      <c r="A143" s="65">
        <v>11</v>
      </c>
      <c r="B143" s="84" t="s">
        <v>304</v>
      </c>
      <c r="C143" s="73">
        <v>1</v>
      </c>
      <c r="D143" s="85" t="s">
        <v>305</v>
      </c>
      <c r="E143" s="86" t="s">
        <v>131</v>
      </c>
      <c r="F143" s="85" t="s">
        <v>223</v>
      </c>
      <c r="G143" s="71">
        <f t="shared" si="17"/>
        <v>5.2653600000000003</v>
      </c>
      <c r="H143" s="71">
        <f t="shared" si="18"/>
        <v>5.2653600000000003</v>
      </c>
      <c r="I143" s="71">
        <f t="shared" si="19"/>
        <v>5.2653600000000003</v>
      </c>
      <c r="J143" s="71">
        <f t="shared" si="20"/>
        <v>5.2653600000000003</v>
      </c>
      <c r="K143" s="72">
        <v>0</v>
      </c>
      <c r="M143" s="58">
        <f>VLOOKUP(D143,'TABELA DE PRECOS'!B:C,2,0)</f>
        <v>5.2653600000000003</v>
      </c>
    </row>
    <row r="144" spans="1:13" ht="15.75" customHeight="1" x14ac:dyDescent="0.25">
      <c r="A144" s="65">
        <v>12</v>
      </c>
      <c r="B144" s="84" t="s">
        <v>306</v>
      </c>
      <c r="C144" s="73">
        <v>1</v>
      </c>
      <c r="D144" s="85" t="s">
        <v>307</v>
      </c>
      <c r="E144" s="86" t="s">
        <v>131</v>
      </c>
      <c r="F144" s="85" t="s">
        <v>223</v>
      </c>
      <c r="G144" s="71">
        <f t="shared" si="17"/>
        <v>9.8366400000000009</v>
      </c>
      <c r="H144" s="71">
        <f t="shared" si="18"/>
        <v>9.8366400000000009</v>
      </c>
      <c r="I144" s="71">
        <f t="shared" si="19"/>
        <v>9.8366400000000009</v>
      </c>
      <c r="J144" s="71">
        <f t="shared" si="20"/>
        <v>9.8366400000000009</v>
      </c>
      <c r="K144" s="72">
        <v>0</v>
      </c>
      <c r="M144" s="58">
        <f>VLOOKUP(D144,'TABELA DE PRECOS'!B:C,2,0)</f>
        <v>9.8366400000000009</v>
      </c>
    </row>
    <row r="145" spans="1:13" ht="15.75" customHeight="1" x14ac:dyDescent="0.25">
      <c r="A145" s="65">
        <v>13</v>
      </c>
      <c r="B145" s="84" t="s">
        <v>308</v>
      </c>
      <c r="C145" s="73">
        <v>1</v>
      </c>
      <c r="D145" s="85" t="s">
        <v>309</v>
      </c>
      <c r="E145" s="86" t="s">
        <v>131</v>
      </c>
      <c r="F145" s="85">
        <v>81897719002</v>
      </c>
      <c r="G145" s="71">
        <f t="shared" si="17"/>
        <v>25.328520000000001</v>
      </c>
      <c r="H145" s="71">
        <f t="shared" si="18"/>
        <v>25.328520000000001</v>
      </c>
      <c r="I145" s="71">
        <f t="shared" si="19"/>
        <v>25.328520000000001</v>
      </c>
      <c r="J145" s="71">
        <f t="shared" si="20"/>
        <v>25.328520000000001</v>
      </c>
      <c r="K145" s="72">
        <v>0</v>
      </c>
      <c r="M145" s="58">
        <f>VLOOKUP(D145,'TABELA DE PRECOS'!B:C,2,0)</f>
        <v>25.328520000000001</v>
      </c>
    </row>
    <row r="146" spans="1:13" ht="15.75" customHeight="1" x14ac:dyDescent="0.25">
      <c r="A146" s="65">
        <v>14</v>
      </c>
      <c r="B146" s="84" t="s">
        <v>310</v>
      </c>
      <c r="C146" s="73">
        <v>2</v>
      </c>
      <c r="D146" s="85" t="s">
        <v>311</v>
      </c>
      <c r="E146" s="86" t="s">
        <v>131</v>
      </c>
      <c r="F146" s="85">
        <v>81897719002</v>
      </c>
      <c r="G146" s="71">
        <f t="shared" si="17"/>
        <v>10.7</v>
      </c>
      <c r="H146" s="71">
        <f t="shared" si="18"/>
        <v>21.4</v>
      </c>
      <c r="I146" s="71">
        <f t="shared" si="19"/>
        <v>10.7</v>
      </c>
      <c r="J146" s="71">
        <f t="shared" si="20"/>
        <v>21.4</v>
      </c>
      <c r="K146" s="72">
        <v>0</v>
      </c>
      <c r="M146" s="58">
        <f>VLOOKUP(D146,'TABELA DE PRECOS'!B:C,2,0)</f>
        <v>10.7</v>
      </c>
    </row>
    <row r="147" spans="1:13" ht="15.75" customHeight="1" x14ac:dyDescent="0.25">
      <c r="A147" s="65">
        <v>15</v>
      </c>
      <c r="B147" s="84" t="s">
        <v>312</v>
      </c>
      <c r="C147" s="73">
        <v>1</v>
      </c>
      <c r="D147" s="85" t="s">
        <v>313</v>
      </c>
      <c r="E147" s="86" t="s">
        <v>131</v>
      </c>
      <c r="F147" s="85">
        <v>81897719002</v>
      </c>
      <c r="G147" s="71">
        <f t="shared" si="17"/>
        <v>19.010880000000004</v>
      </c>
      <c r="H147" s="71">
        <f t="shared" si="18"/>
        <v>19.010880000000004</v>
      </c>
      <c r="I147" s="71">
        <f t="shared" si="19"/>
        <v>19.010880000000004</v>
      </c>
      <c r="J147" s="71">
        <f t="shared" si="20"/>
        <v>19.010880000000004</v>
      </c>
      <c r="K147" s="72">
        <v>0</v>
      </c>
      <c r="M147" s="58">
        <f>VLOOKUP(D147,'TABELA DE PRECOS'!B:C,2,0)</f>
        <v>19.010880000000004</v>
      </c>
    </row>
    <row r="148" spans="1:13" ht="15.75" customHeight="1" x14ac:dyDescent="0.25">
      <c r="A148" s="65">
        <v>16</v>
      </c>
      <c r="B148" s="84" t="s">
        <v>314</v>
      </c>
      <c r="C148" s="73">
        <v>1</v>
      </c>
      <c r="D148" s="85" t="s">
        <v>315</v>
      </c>
      <c r="E148" s="86" t="s">
        <v>131</v>
      </c>
      <c r="F148" s="85">
        <v>81897719002</v>
      </c>
      <c r="G148" s="71">
        <f t="shared" si="17"/>
        <v>55.459440000000001</v>
      </c>
      <c r="H148" s="71">
        <f t="shared" si="18"/>
        <v>55.459440000000001</v>
      </c>
      <c r="I148" s="71">
        <f t="shared" si="19"/>
        <v>55.459440000000001</v>
      </c>
      <c r="J148" s="71">
        <f t="shared" si="20"/>
        <v>55.459440000000001</v>
      </c>
      <c r="K148" s="72">
        <v>0</v>
      </c>
      <c r="M148" s="58">
        <f>VLOOKUP(D148,'TABELA DE PRECOS'!B:C,2,0)</f>
        <v>55.459440000000001</v>
      </c>
    </row>
    <row r="149" spans="1:13" ht="15.75" customHeight="1" x14ac:dyDescent="0.25">
      <c r="A149" s="65">
        <v>17</v>
      </c>
      <c r="B149" s="84" t="s">
        <v>316</v>
      </c>
      <c r="C149" s="73">
        <v>2</v>
      </c>
      <c r="D149" s="85" t="s">
        <v>317</v>
      </c>
      <c r="E149" s="86" t="s">
        <v>131</v>
      </c>
      <c r="F149" s="85">
        <v>81897719002</v>
      </c>
      <c r="G149" s="71">
        <f t="shared" si="17"/>
        <v>32.450000000000003</v>
      </c>
      <c r="H149" s="71">
        <f t="shared" si="18"/>
        <v>64.900000000000006</v>
      </c>
      <c r="I149" s="71">
        <f t="shared" si="19"/>
        <v>32.450000000000003</v>
      </c>
      <c r="J149" s="71">
        <f t="shared" si="20"/>
        <v>64.900000000000006</v>
      </c>
      <c r="K149" s="72">
        <v>0</v>
      </c>
      <c r="M149" s="58">
        <f>VLOOKUP(D149,'TABELA DE PRECOS'!B:C,2,0)</f>
        <v>32.450000000000003</v>
      </c>
    </row>
    <row r="150" spans="1:13" ht="15.75" customHeight="1" x14ac:dyDescent="0.25">
      <c r="A150" s="65">
        <v>18</v>
      </c>
      <c r="B150" s="84" t="s">
        <v>318</v>
      </c>
      <c r="C150" s="73">
        <v>2</v>
      </c>
      <c r="D150" s="85" t="s">
        <v>319</v>
      </c>
      <c r="E150" s="86" t="s">
        <v>131</v>
      </c>
      <c r="F150" s="85">
        <v>81897719002</v>
      </c>
      <c r="G150" s="71">
        <f t="shared" si="17"/>
        <v>47.527200000000001</v>
      </c>
      <c r="H150" s="71">
        <f t="shared" si="18"/>
        <v>95.054400000000001</v>
      </c>
      <c r="I150" s="71">
        <f t="shared" si="19"/>
        <v>47.527200000000001</v>
      </c>
      <c r="J150" s="71">
        <f t="shared" si="20"/>
        <v>95.054400000000001</v>
      </c>
      <c r="K150" s="72">
        <v>0</v>
      </c>
      <c r="M150" s="58">
        <f>VLOOKUP(D150,'TABELA DE PRECOS'!B:C,2,0)</f>
        <v>47.527200000000001</v>
      </c>
    </row>
    <row r="151" spans="1:13" ht="15.75" customHeight="1" x14ac:dyDescent="0.25">
      <c r="A151" s="65">
        <v>19</v>
      </c>
      <c r="B151" s="84" t="s">
        <v>185</v>
      </c>
      <c r="C151" s="73">
        <v>6</v>
      </c>
      <c r="D151" s="85" t="s">
        <v>186</v>
      </c>
      <c r="E151" s="86" t="s">
        <v>131</v>
      </c>
      <c r="F151" s="85">
        <v>81897719002</v>
      </c>
      <c r="G151" s="71">
        <f t="shared" si="17"/>
        <v>17.28</v>
      </c>
      <c r="H151" s="71">
        <f t="shared" si="18"/>
        <v>103.68</v>
      </c>
      <c r="I151" s="71">
        <f t="shared" si="19"/>
        <v>17.28</v>
      </c>
      <c r="J151" s="71">
        <f t="shared" si="20"/>
        <v>103.68</v>
      </c>
      <c r="K151" s="72">
        <v>0</v>
      </c>
      <c r="M151" s="58">
        <f>VLOOKUP(D151,'TABELA DE PRECOS'!B:C,2,0)</f>
        <v>17.28</v>
      </c>
    </row>
    <row r="152" spans="1:13" ht="15.75" customHeight="1" x14ac:dyDescent="0.25">
      <c r="A152" s="65">
        <v>20</v>
      </c>
      <c r="B152" s="84" t="s">
        <v>183</v>
      </c>
      <c r="C152" s="73">
        <v>1</v>
      </c>
      <c r="D152" s="85" t="s">
        <v>184</v>
      </c>
      <c r="E152" s="86" t="s">
        <v>131</v>
      </c>
      <c r="F152" s="85">
        <v>81897719002</v>
      </c>
      <c r="G152" s="71">
        <f t="shared" si="17"/>
        <v>40.79</v>
      </c>
      <c r="H152" s="71">
        <f t="shared" si="18"/>
        <v>40.79</v>
      </c>
      <c r="I152" s="71">
        <f t="shared" si="19"/>
        <v>40.79</v>
      </c>
      <c r="J152" s="71">
        <f t="shared" si="20"/>
        <v>40.79</v>
      </c>
      <c r="K152" s="72">
        <v>0</v>
      </c>
      <c r="M152" s="58">
        <f>VLOOKUP(D152,'TABELA DE PRECOS'!B:C,2,0)</f>
        <v>40.79</v>
      </c>
    </row>
    <row r="153" spans="1:13" ht="15.75" customHeight="1" x14ac:dyDescent="0.25">
      <c r="A153" s="65">
        <v>21</v>
      </c>
      <c r="B153" s="84" t="s">
        <v>320</v>
      </c>
      <c r="C153" s="73">
        <v>2</v>
      </c>
      <c r="D153" s="85" t="s">
        <v>321</v>
      </c>
      <c r="E153" s="86" t="s">
        <v>131</v>
      </c>
      <c r="F153" s="85">
        <v>81897719002</v>
      </c>
      <c r="G153" s="71">
        <f t="shared" si="17"/>
        <v>44.93</v>
      </c>
      <c r="H153" s="71">
        <f t="shared" si="18"/>
        <v>89.86</v>
      </c>
      <c r="I153" s="71">
        <f t="shared" si="19"/>
        <v>44.93</v>
      </c>
      <c r="J153" s="71">
        <f t="shared" si="20"/>
        <v>89.86</v>
      </c>
      <c r="K153" s="72">
        <v>0</v>
      </c>
      <c r="M153" s="58">
        <f>VLOOKUP(D153,'TABELA DE PRECOS'!B:C,2,0)</f>
        <v>44.93</v>
      </c>
    </row>
    <row r="154" spans="1:13" ht="15.75" customHeight="1" x14ac:dyDescent="0.25">
      <c r="A154" s="65">
        <v>22</v>
      </c>
      <c r="B154" s="84" t="s">
        <v>322</v>
      </c>
      <c r="C154" s="73">
        <v>2</v>
      </c>
      <c r="D154" s="85" t="s">
        <v>323</v>
      </c>
      <c r="E154" s="86" t="s">
        <v>131</v>
      </c>
      <c r="F154" s="85">
        <v>81897719002</v>
      </c>
      <c r="G154" s="71">
        <f t="shared" si="17"/>
        <v>38.021760000000008</v>
      </c>
      <c r="H154" s="71">
        <f t="shared" si="18"/>
        <v>76.043520000000015</v>
      </c>
      <c r="I154" s="71">
        <f t="shared" si="19"/>
        <v>38.021760000000008</v>
      </c>
      <c r="J154" s="71">
        <f t="shared" si="20"/>
        <v>76.043520000000015</v>
      </c>
      <c r="K154" s="72">
        <v>0</v>
      </c>
      <c r="M154" s="58">
        <f>VLOOKUP(D154,'TABELA DE PRECOS'!B:C,2,0)</f>
        <v>38.021760000000008</v>
      </c>
    </row>
    <row r="155" spans="1:13" ht="15.75" customHeight="1" x14ac:dyDescent="0.25">
      <c r="A155" s="65">
        <v>23</v>
      </c>
      <c r="B155" s="84" t="s">
        <v>324</v>
      </c>
      <c r="C155" s="73">
        <v>6</v>
      </c>
      <c r="D155" s="85" t="s">
        <v>325</v>
      </c>
      <c r="E155" s="86" t="s">
        <v>131</v>
      </c>
      <c r="F155" s="85">
        <v>81897719002</v>
      </c>
      <c r="G155" s="71">
        <f t="shared" si="17"/>
        <v>23.7636</v>
      </c>
      <c r="H155" s="71">
        <f t="shared" si="18"/>
        <v>142.58160000000001</v>
      </c>
      <c r="I155" s="71">
        <f t="shared" si="19"/>
        <v>23.7636</v>
      </c>
      <c r="J155" s="71">
        <f t="shared" si="20"/>
        <v>142.58160000000001</v>
      </c>
      <c r="K155" s="72">
        <v>0</v>
      </c>
      <c r="M155" s="58">
        <f>VLOOKUP(D155,'TABELA DE PRECOS'!B:C,2,0)</f>
        <v>23.7636</v>
      </c>
    </row>
    <row r="156" spans="1:13" ht="15.75" customHeight="1" x14ac:dyDescent="0.25">
      <c r="A156" s="65">
        <v>24</v>
      </c>
      <c r="B156" s="84" t="s">
        <v>326</v>
      </c>
      <c r="C156" s="73">
        <v>2</v>
      </c>
      <c r="D156" s="85" t="s">
        <v>327</v>
      </c>
      <c r="E156" s="86" t="s">
        <v>131</v>
      </c>
      <c r="F156" s="85">
        <v>81897719002</v>
      </c>
      <c r="G156" s="71">
        <f t="shared" si="17"/>
        <v>24.01</v>
      </c>
      <c r="H156" s="71">
        <f t="shared" si="18"/>
        <v>48.02</v>
      </c>
      <c r="I156" s="71">
        <f t="shared" si="19"/>
        <v>24.01</v>
      </c>
      <c r="J156" s="71">
        <f t="shared" si="20"/>
        <v>48.02</v>
      </c>
      <c r="K156" s="72">
        <v>0</v>
      </c>
      <c r="M156" s="58">
        <f>VLOOKUP(D156,'TABELA DE PRECOS'!B:C,2,0)</f>
        <v>24.01</v>
      </c>
    </row>
    <row r="157" spans="1:13" ht="15.75" customHeight="1" x14ac:dyDescent="0.25">
      <c r="A157" s="65">
        <v>25</v>
      </c>
      <c r="B157" s="84" t="s">
        <v>328</v>
      </c>
      <c r="C157" s="73">
        <v>3</v>
      </c>
      <c r="D157" s="85" t="s">
        <v>329</v>
      </c>
      <c r="E157" s="86" t="s">
        <v>131</v>
      </c>
      <c r="F157" s="85">
        <v>81897719002</v>
      </c>
      <c r="G157" s="71">
        <f t="shared" si="17"/>
        <v>10.92</v>
      </c>
      <c r="H157" s="71">
        <f t="shared" si="18"/>
        <v>32.76</v>
      </c>
      <c r="I157" s="71">
        <f t="shared" si="19"/>
        <v>10.92</v>
      </c>
      <c r="J157" s="71">
        <f t="shared" si="20"/>
        <v>32.76</v>
      </c>
      <c r="K157" s="72">
        <v>0</v>
      </c>
      <c r="M157" s="58">
        <f>VLOOKUP(D157,'TABELA DE PRECOS'!B:C,2,0)</f>
        <v>10.92</v>
      </c>
    </row>
    <row r="158" spans="1:13" ht="15.75" customHeight="1" x14ac:dyDescent="0.25">
      <c r="A158" s="65">
        <v>26</v>
      </c>
      <c r="B158" s="84" t="s">
        <v>330</v>
      </c>
      <c r="C158" s="73">
        <v>2</v>
      </c>
      <c r="D158" s="85" t="s">
        <v>331</v>
      </c>
      <c r="E158" s="86" t="s">
        <v>131</v>
      </c>
      <c r="F158" s="85">
        <v>81897719002</v>
      </c>
      <c r="G158" s="71">
        <f t="shared" si="17"/>
        <v>11.41</v>
      </c>
      <c r="H158" s="71">
        <f t="shared" si="18"/>
        <v>22.82</v>
      </c>
      <c r="I158" s="71">
        <f t="shared" si="19"/>
        <v>11.41</v>
      </c>
      <c r="J158" s="71">
        <f t="shared" si="20"/>
        <v>22.82</v>
      </c>
      <c r="K158" s="72">
        <v>0</v>
      </c>
      <c r="M158" s="58">
        <f>VLOOKUP(D158,'TABELA DE PRECOS'!B:C,2,0)</f>
        <v>11.41</v>
      </c>
    </row>
    <row r="159" spans="1:13" ht="15.75" customHeight="1" x14ac:dyDescent="0.25">
      <c r="A159" s="65">
        <v>27</v>
      </c>
      <c r="B159" s="84" t="s">
        <v>332</v>
      </c>
      <c r="C159" s="73">
        <v>2</v>
      </c>
      <c r="D159" s="85" t="s">
        <v>333</v>
      </c>
      <c r="E159" s="86" t="s">
        <v>131</v>
      </c>
      <c r="F159" s="85">
        <v>81897719002</v>
      </c>
      <c r="G159" s="71">
        <f t="shared" si="17"/>
        <v>17.19688</v>
      </c>
      <c r="H159" s="71">
        <f t="shared" si="18"/>
        <v>34.39376</v>
      </c>
      <c r="I159" s="71">
        <f t="shared" si="19"/>
        <v>17.19688</v>
      </c>
      <c r="J159" s="71">
        <f t="shared" si="20"/>
        <v>34.39376</v>
      </c>
      <c r="K159" s="72">
        <v>0</v>
      </c>
      <c r="M159" s="58">
        <f>VLOOKUP(D159,'TABELA DE PRECOS'!B:C,2,0)</f>
        <v>17.19688</v>
      </c>
    </row>
    <row r="160" spans="1:13" ht="15.75" customHeight="1" x14ac:dyDescent="0.25">
      <c r="A160" s="65">
        <v>28</v>
      </c>
      <c r="B160" s="84" t="s">
        <v>195</v>
      </c>
      <c r="C160" s="73">
        <v>3</v>
      </c>
      <c r="D160" s="85" t="s">
        <v>196</v>
      </c>
      <c r="E160" s="86" t="s">
        <v>131</v>
      </c>
      <c r="F160" s="85">
        <v>81897719002</v>
      </c>
      <c r="G160" s="71">
        <f t="shared" si="17"/>
        <v>9.0399999999999991</v>
      </c>
      <c r="H160" s="71">
        <f t="shared" si="18"/>
        <v>27.119999999999997</v>
      </c>
      <c r="I160" s="71">
        <f t="shared" si="19"/>
        <v>9.0399999999999991</v>
      </c>
      <c r="J160" s="71">
        <f t="shared" si="20"/>
        <v>27.119999999999997</v>
      </c>
      <c r="K160" s="72">
        <v>0</v>
      </c>
      <c r="M160" s="58">
        <f>VLOOKUP(D160,'TABELA DE PRECOS'!B:C,2,0)</f>
        <v>9.0399999999999991</v>
      </c>
    </row>
    <row r="161" spans="1:13" ht="15.75" customHeight="1" x14ac:dyDescent="0.25">
      <c r="A161" s="65">
        <v>29</v>
      </c>
      <c r="B161" s="84" t="s">
        <v>334</v>
      </c>
      <c r="C161" s="73">
        <v>2</v>
      </c>
      <c r="D161" s="85" t="s">
        <v>335</v>
      </c>
      <c r="E161" s="86" t="s">
        <v>131</v>
      </c>
      <c r="F161" s="85">
        <v>81897719002</v>
      </c>
      <c r="G161" s="71">
        <f t="shared" si="17"/>
        <v>36.11</v>
      </c>
      <c r="H161" s="71">
        <f t="shared" si="18"/>
        <v>72.22</v>
      </c>
      <c r="I161" s="71">
        <f t="shared" si="19"/>
        <v>36.11</v>
      </c>
      <c r="J161" s="71">
        <f t="shared" si="20"/>
        <v>72.22</v>
      </c>
      <c r="K161" s="72">
        <v>0</v>
      </c>
      <c r="M161" s="58">
        <f>VLOOKUP(D161,'TABELA DE PRECOS'!B:C,2,0)</f>
        <v>36.11</v>
      </c>
    </row>
    <row r="162" spans="1:13" ht="15.75" customHeight="1" x14ac:dyDescent="0.25">
      <c r="A162" s="65">
        <v>30</v>
      </c>
      <c r="B162" s="84" t="s">
        <v>336</v>
      </c>
      <c r="C162" s="73">
        <v>2</v>
      </c>
      <c r="D162" s="85" t="s">
        <v>337</v>
      </c>
      <c r="E162" s="86" t="s">
        <v>131</v>
      </c>
      <c r="F162" s="85">
        <v>81897719002</v>
      </c>
      <c r="G162" s="71">
        <f t="shared" si="17"/>
        <v>34.79</v>
      </c>
      <c r="H162" s="71">
        <f t="shared" si="18"/>
        <v>69.58</v>
      </c>
      <c r="I162" s="71">
        <f t="shared" si="19"/>
        <v>34.79</v>
      </c>
      <c r="J162" s="71">
        <f t="shared" si="20"/>
        <v>69.58</v>
      </c>
      <c r="K162" s="72">
        <v>0</v>
      </c>
      <c r="M162" s="58">
        <f>VLOOKUP(D162,'TABELA DE PRECOS'!B:C,2,0)</f>
        <v>34.79</v>
      </c>
    </row>
    <row r="163" spans="1:13" ht="15.75" customHeight="1" x14ac:dyDescent="0.25">
      <c r="A163" s="65">
        <v>31</v>
      </c>
      <c r="B163" s="84" t="s">
        <v>338</v>
      </c>
      <c r="C163" s="73">
        <v>1</v>
      </c>
      <c r="D163" s="85" t="s">
        <v>339</v>
      </c>
      <c r="E163" s="86" t="s">
        <v>131</v>
      </c>
      <c r="F163" s="85">
        <v>81897719002</v>
      </c>
      <c r="G163" s="71">
        <f t="shared" si="17"/>
        <v>26.31</v>
      </c>
      <c r="H163" s="71">
        <f t="shared" si="18"/>
        <v>26.31</v>
      </c>
      <c r="I163" s="71">
        <f t="shared" si="19"/>
        <v>26.31</v>
      </c>
      <c r="J163" s="71">
        <f t="shared" si="20"/>
        <v>26.31</v>
      </c>
      <c r="K163" s="72">
        <v>0</v>
      </c>
      <c r="M163" s="58">
        <f>VLOOKUP(D163,'TABELA DE PRECOS'!B:C,2,0)</f>
        <v>26.31</v>
      </c>
    </row>
    <row r="164" spans="1:13" ht="15.75" customHeight="1" x14ac:dyDescent="0.25">
      <c r="A164" s="65">
        <v>32</v>
      </c>
      <c r="B164" s="84" t="s">
        <v>187</v>
      </c>
      <c r="C164" s="73">
        <v>4</v>
      </c>
      <c r="D164" s="85" t="s">
        <v>188</v>
      </c>
      <c r="E164" s="86" t="s">
        <v>131</v>
      </c>
      <c r="F164" s="85">
        <v>81897719002</v>
      </c>
      <c r="G164" s="71">
        <f t="shared" si="17"/>
        <v>15.95</v>
      </c>
      <c r="H164" s="71">
        <f t="shared" si="18"/>
        <v>63.8</v>
      </c>
      <c r="I164" s="71">
        <f t="shared" si="19"/>
        <v>15.95</v>
      </c>
      <c r="J164" s="71">
        <f t="shared" si="20"/>
        <v>63.8</v>
      </c>
      <c r="K164" s="72">
        <v>0</v>
      </c>
      <c r="M164" s="58">
        <f>VLOOKUP(D164,'TABELA DE PRECOS'!B:C,2,0)</f>
        <v>15.95</v>
      </c>
    </row>
    <row r="165" spans="1:13" ht="15.75" customHeight="1" x14ac:dyDescent="0.25">
      <c r="A165" s="65">
        <v>33</v>
      </c>
      <c r="B165" s="84" t="s">
        <v>340</v>
      </c>
      <c r="C165" s="73">
        <v>4</v>
      </c>
      <c r="D165" s="85" t="s">
        <v>341</v>
      </c>
      <c r="E165" s="86" t="s">
        <v>131</v>
      </c>
      <c r="F165" s="85">
        <v>81897719002</v>
      </c>
      <c r="G165" s="71">
        <f t="shared" si="17"/>
        <v>19.010880000000004</v>
      </c>
      <c r="H165" s="71">
        <f t="shared" si="18"/>
        <v>76.043520000000015</v>
      </c>
      <c r="I165" s="71">
        <f t="shared" si="19"/>
        <v>19.010880000000004</v>
      </c>
      <c r="J165" s="71">
        <f t="shared" si="20"/>
        <v>76.043520000000015</v>
      </c>
      <c r="K165" s="72">
        <v>0</v>
      </c>
      <c r="M165" s="58">
        <f>VLOOKUP(D165,'TABELA DE PRECOS'!B:C,2,0)</f>
        <v>19.010880000000004</v>
      </c>
    </row>
    <row r="166" spans="1:13" ht="15.75" customHeight="1" x14ac:dyDescent="0.25">
      <c r="A166" s="65">
        <v>34</v>
      </c>
      <c r="B166" s="66" t="s">
        <v>342</v>
      </c>
      <c r="C166" s="82">
        <v>6</v>
      </c>
      <c r="D166" s="76" t="s">
        <v>343</v>
      </c>
      <c r="E166" s="86" t="s">
        <v>131</v>
      </c>
      <c r="F166" s="85">
        <v>81897719002</v>
      </c>
      <c r="G166" s="71">
        <f t="shared" si="17"/>
        <v>21.43</v>
      </c>
      <c r="H166" s="71">
        <f t="shared" si="18"/>
        <v>128.57999999999998</v>
      </c>
      <c r="I166" s="71">
        <f t="shared" si="19"/>
        <v>21.43</v>
      </c>
      <c r="J166" s="71">
        <f t="shared" si="20"/>
        <v>128.57999999999998</v>
      </c>
      <c r="K166" s="72">
        <v>0</v>
      </c>
      <c r="M166" s="58">
        <f>VLOOKUP(D166,'TABELA DE PRECOS'!B:C,2,0)</f>
        <v>21.43</v>
      </c>
    </row>
    <row r="167" spans="1:13" ht="15.75" customHeight="1" x14ac:dyDescent="0.25">
      <c r="A167" s="65">
        <v>35</v>
      </c>
      <c r="B167" s="66" t="s">
        <v>344</v>
      </c>
      <c r="C167" s="82">
        <v>6</v>
      </c>
      <c r="D167" s="76" t="s">
        <v>345</v>
      </c>
      <c r="E167" s="86" t="s">
        <v>131</v>
      </c>
      <c r="F167" s="85">
        <v>81897719002</v>
      </c>
      <c r="G167" s="71">
        <f t="shared" si="17"/>
        <v>18.12</v>
      </c>
      <c r="H167" s="71">
        <f t="shared" si="18"/>
        <v>108.72</v>
      </c>
      <c r="I167" s="71">
        <f t="shared" si="19"/>
        <v>18.12</v>
      </c>
      <c r="J167" s="71">
        <f t="shared" si="20"/>
        <v>108.72</v>
      </c>
      <c r="K167" s="72">
        <v>0</v>
      </c>
      <c r="M167" s="58">
        <f>VLOOKUP(D167,'TABELA DE PRECOS'!B:C,2,0)</f>
        <v>18.12</v>
      </c>
    </row>
    <row r="168" spans="1:13" ht="15.75" customHeight="1" x14ac:dyDescent="0.25">
      <c r="A168" s="65">
        <v>36</v>
      </c>
      <c r="B168" s="84" t="s">
        <v>346</v>
      </c>
      <c r="C168" s="73">
        <v>2</v>
      </c>
      <c r="D168" s="85" t="s">
        <v>347</v>
      </c>
      <c r="E168" s="86" t="s">
        <v>131</v>
      </c>
      <c r="F168" s="85">
        <v>81897719002</v>
      </c>
      <c r="G168" s="71">
        <f t="shared" si="17"/>
        <v>35.645399999999995</v>
      </c>
      <c r="H168" s="71">
        <f t="shared" si="18"/>
        <v>71.29079999999999</v>
      </c>
      <c r="I168" s="71">
        <f t="shared" si="19"/>
        <v>35.645399999999995</v>
      </c>
      <c r="J168" s="71">
        <f t="shared" si="20"/>
        <v>71.29079999999999</v>
      </c>
      <c r="K168" s="72">
        <v>0</v>
      </c>
      <c r="M168" s="58">
        <f>VLOOKUP(D168,'TABELA DE PRECOS'!B:C,2,0)</f>
        <v>35.645399999999995</v>
      </c>
    </row>
    <row r="169" spans="1:13" ht="15.75" customHeight="1" x14ac:dyDescent="0.25">
      <c r="A169" s="65">
        <v>37</v>
      </c>
      <c r="B169" t="s">
        <v>1630</v>
      </c>
      <c r="C169" s="73">
        <v>2</v>
      </c>
      <c r="D169" s="85" t="s">
        <v>349</v>
      </c>
      <c r="E169" s="86" t="s">
        <v>131</v>
      </c>
      <c r="F169" s="85">
        <v>81897719002</v>
      </c>
      <c r="G169" s="71">
        <f t="shared" si="17"/>
        <v>34.833959999999998</v>
      </c>
      <c r="H169" s="71">
        <f t="shared" si="18"/>
        <v>69.667919999999995</v>
      </c>
      <c r="I169" s="71">
        <f t="shared" si="19"/>
        <v>34.833959999999998</v>
      </c>
      <c r="J169" s="71">
        <f t="shared" si="20"/>
        <v>69.667919999999995</v>
      </c>
      <c r="K169" s="72">
        <v>0</v>
      </c>
      <c r="M169" s="58">
        <f>VLOOKUP(D169,'TABELA DE PRECOS'!B:C,2,0)</f>
        <v>34.833959999999998</v>
      </c>
    </row>
    <row r="170" spans="1:13" ht="15.75" customHeight="1" x14ac:dyDescent="0.25">
      <c r="A170" s="65">
        <v>38</v>
      </c>
      <c r="B170" s="84" t="s">
        <v>193</v>
      </c>
      <c r="C170" s="73">
        <v>2</v>
      </c>
      <c r="D170" s="85" t="s">
        <v>194</v>
      </c>
      <c r="E170" s="86" t="s">
        <v>131</v>
      </c>
      <c r="F170" s="85">
        <v>81897719002</v>
      </c>
      <c r="G170" s="71">
        <f t="shared" si="17"/>
        <v>24.34432</v>
      </c>
      <c r="H170" s="71">
        <f t="shared" si="18"/>
        <v>48.688639999999999</v>
      </c>
      <c r="I170" s="71">
        <f t="shared" si="19"/>
        <v>24.34432</v>
      </c>
      <c r="J170" s="71">
        <f t="shared" si="20"/>
        <v>48.688639999999999</v>
      </c>
      <c r="K170" s="72">
        <v>0</v>
      </c>
      <c r="M170" s="58">
        <f>VLOOKUP(D170,'TABELA DE PRECOS'!B:C,2,0)</f>
        <v>24.34432</v>
      </c>
    </row>
    <row r="171" spans="1:13" ht="15.75" customHeight="1" x14ac:dyDescent="0.25">
      <c r="A171" s="65">
        <v>39</v>
      </c>
      <c r="B171" s="84" t="s">
        <v>350</v>
      </c>
      <c r="C171" s="73">
        <v>2</v>
      </c>
      <c r="D171" s="85" t="s">
        <v>351</v>
      </c>
      <c r="E171" s="86" t="s">
        <v>131</v>
      </c>
      <c r="F171" s="85">
        <v>81897719002</v>
      </c>
      <c r="G171" s="71">
        <f t="shared" si="17"/>
        <v>18.89472</v>
      </c>
      <c r="H171" s="71">
        <f t="shared" si="18"/>
        <v>37.789439999999999</v>
      </c>
      <c r="I171" s="71">
        <f t="shared" si="19"/>
        <v>18.89472</v>
      </c>
      <c r="J171" s="71">
        <f t="shared" si="20"/>
        <v>37.789439999999999</v>
      </c>
      <c r="K171" s="72">
        <v>0</v>
      </c>
      <c r="M171" s="58">
        <f>VLOOKUP(D171,'TABELA DE PRECOS'!B:C,2,0)</f>
        <v>18.89472</v>
      </c>
    </row>
    <row r="172" spans="1:13" ht="15.75" customHeight="1" x14ac:dyDescent="0.25">
      <c r="A172" s="65">
        <v>40</v>
      </c>
      <c r="B172" s="84" t="s">
        <v>352</v>
      </c>
      <c r="C172" s="73">
        <v>2</v>
      </c>
      <c r="D172" s="85" t="s">
        <v>353</v>
      </c>
      <c r="E172" s="86" t="s">
        <v>131</v>
      </c>
      <c r="F172" s="85">
        <v>81897719002</v>
      </c>
      <c r="G172" s="71">
        <f t="shared" si="17"/>
        <v>18.77</v>
      </c>
      <c r="H172" s="71">
        <f t="shared" si="18"/>
        <v>37.54</v>
      </c>
      <c r="I172" s="71">
        <f t="shared" si="19"/>
        <v>18.77</v>
      </c>
      <c r="J172" s="71">
        <f t="shared" si="20"/>
        <v>37.54</v>
      </c>
      <c r="K172" s="72">
        <v>0</v>
      </c>
      <c r="M172" s="58">
        <f>VLOOKUP(D172,'TABELA DE PRECOS'!B:C,2,0)</f>
        <v>18.77</v>
      </c>
    </row>
    <row r="173" spans="1:13" ht="15.75" customHeight="1" x14ac:dyDescent="0.25">
      <c r="A173" s="65">
        <v>41</v>
      </c>
      <c r="B173" s="84" t="s">
        <v>354</v>
      </c>
      <c r="C173" s="73">
        <v>8</v>
      </c>
      <c r="D173" s="85" t="s">
        <v>355</v>
      </c>
      <c r="E173" s="86" t="s">
        <v>131</v>
      </c>
      <c r="F173" s="85">
        <v>81897719002</v>
      </c>
      <c r="G173" s="71">
        <f t="shared" si="17"/>
        <v>21.09</v>
      </c>
      <c r="H173" s="71">
        <f t="shared" si="18"/>
        <v>168.72</v>
      </c>
      <c r="I173" s="71">
        <f t="shared" si="19"/>
        <v>21.09</v>
      </c>
      <c r="J173" s="71">
        <f t="shared" si="20"/>
        <v>168.72</v>
      </c>
      <c r="K173" s="72">
        <v>0</v>
      </c>
      <c r="M173" s="58">
        <f>VLOOKUP(D173,'TABELA DE PRECOS'!B:C,2,0)</f>
        <v>21.09</v>
      </c>
    </row>
    <row r="174" spans="1:13" ht="15.75" customHeight="1" x14ac:dyDescent="0.25">
      <c r="A174" s="65">
        <v>42</v>
      </c>
      <c r="B174" s="84" t="s">
        <v>356</v>
      </c>
      <c r="C174" s="73">
        <v>8</v>
      </c>
      <c r="D174" s="85" t="s">
        <v>357</v>
      </c>
      <c r="E174" s="86" t="s">
        <v>131</v>
      </c>
      <c r="F174" s="85">
        <v>81897719002</v>
      </c>
      <c r="G174" s="71">
        <f t="shared" si="17"/>
        <v>19.04</v>
      </c>
      <c r="H174" s="71">
        <f t="shared" si="18"/>
        <v>152.32</v>
      </c>
      <c r="I174" s="71">
        <f t="shared" si="19"/>
        <v>19.04</v>
      </c>
      <c r="J174" s="71">
        <f t="shared" si="20"/>
        <v>152.32</v>
      </c>
      <c r="K174" s="72">
        <v>0</v>
      </c>
      <c r="M174" s="58">
        <f>VLOOKUP(D174,'TABELA DE PRECOS'!B:C,2,0)</f>
        <v>19.04</v>
      </c>
    </row>
    <row r="175" spans="1:13" ht="15.75" customHeight="1" x14ac:dyDescent="0.25">
      <c r="A175" s="65">
        <v>43</v>
      </c>
      <c r="B175" s="66" t="s">
        <v>358</v>
      </c>
      <c r="C175" s="82">
        <v>1</v>
      </c>
      <c r="D175" s="76" t="s">
        <v>359</v>
      </c>
      <c r="E175" s="69" t="s">
        <v>131</v>
      </c>
      <c r="F175" s="85">
        <v>81897719002</v>
      </c>
      <c r="G175" s="71">
        <f t="shared" si="17"/>
        <v>16.87</v>
      </c>
      <c r="H175" s="71">
        <f t="shared" si="18"/>
        <v>16.87</v>
      </c>
      <c r="I175" s="71">
        <f t="shared" si="19"/>
        <v>16.87</v>
      </c>
      <c r="J175" s="71">
        <f t="shared" si="20"/>
        <v>16.87</v>
      </c>
      <c r="K175" s="72">
        <v>0</v>
      </c>
      <c r="M175" s="58">
        <f>VLOOKUP(D175,'TABELA DE PRECOS'!B:C,2,0)</f>
        <v>16.87</v>
      </c>
    </row>
    <row r="176" spans="1:13" ht="15.75" customHeight="1" x14ac:dyDescent="0.25">
      <c r="A176" s="65">
        <v>44</v>
      </c>
      <c r="B176" s="66" t="s">
        <v>360</v>
      </c>
      <c r="C176" s="82">
        <v>3</v>
      </c>
      <c r="D176" s="76" t="s">
        <v>361</v>
      </c>
      <c r="E176" s="69" t="s">
        <v>131</v>
      </c>
      <c r="F176" s="85">
        <v>81897719002</v>
      </c>
      <c r="G176" s="71">
        <f t="shared" si="17"/>
        <v>19.477120000000003</v>
      </c>
      <c r="H176" s="71">
        <f t="shared" si="18"/>
        <v>58.431360000000012</v>
      </c>
      <c r="I176" s="71">
        <f t="shared" si="19"/>
        <v>19.477120000000003</v>
      </c>
      <c r="J176" s="71">
        <f t="shared" si="20"/>
        <v>58.431360000000012</v>
      </c>
      <c r="K176" s="72">
        <v>0</v>
      </c>
      <c r="M176" s="58">
        <f>VLOOKUP(D176,'TABELA DE PRECOS'!B:C,2,0)</f>
        <v>19.477120000000003</v>
      </c>
    </row>
    <row r="177" spans="1:13" ht="15.75" customHeight="1" x14ac:dyDescent="0.25">
      <c r="A177" s="65">
        <v>45</v>
      </c>
      <c r="B177" s="66" t="s">
        <v>362</v>
      </c>
      <c r="C177" s="82">
        <v>2</v>
      </c>
      <c r="D177" s="76" t="s">
        <v>363</v>
      </c>
      <c r="E177" s="69" t="s">
        <v>131</v>
      </c>
      <c r="F177" s="85">
        <v>81897719002</v>
      </c>
      <c r="G177" s="71">
        <f t="shared" si="17"/>
        <v>22.5472</v>
      </c>
      <c r="H177" s="71">
        <f t="shared" si="18"/>
        <v>45.0944</v>
      </c>
      <c r="I177" s="71">
        <f t="shared" si="19"/>
        <v>22.5472</v>
      </c>
      <c r="J177" s="71">
        <f t="shared" si="20"/>
        <v>45.0944</v>
      </c>
      <c r="K177" s="72">
        <v>0</v>
      </c>
      <c r="M177" s="58">
        <f>VLOOKUP(D177,'TABELA DE PRECOS'!B:C,2,0)</f>
        <v>22.5472</v>
      </c>
    </row>
    <row r="178" spans="1:13" ht="15.75" customHeight="1" x14ac:dyDescent="0.25">
      <c r="A178" s="65">
        <v>46</v>
      </c>
      <c r="B178" s="66" t="s">
        <v>364</v>
      </c>
      <c r="C178" s="82">
        <v>2</v>
      </c>
      <c r="D178" s="76" t="s">
        <v>365</v>
      </c>
      <c r="E178" s="69" t="s">
        <v>131</v>
      </c>
      <c r="F178" s="85">
        <v>81897719002</v>
      </c>
      <c r="G178" s="71">
        <f t="shared" si="17"/>
        <v>39.586680000000008</v>
      </c>
      <c r="H178" s="71">
        <f t="shared" si="18"/>
        <v>79.173360000000017</v>
      </c>
      <c r="I178" s="71">
        <f t="shared" si="19"/>
        <v>39.586680000000008</v>
      </c>
      <c r="J178" s="71">
        <f t="shared" si="20"/>
        <v>79.173360000000017</v>
      </c>
      <c r="K178" s="72">
        <v>0</v>
      </c>
      <c r="M178" s="58">
        <f>VLOOKUP(D178,'TABELA DE PRECOS'!B:C,2,0)</f>
        <v>39.586680000000008</v>
      </c>
    </row>
    <row r="179" spans="1:13" ht="15.75" customHeight="1" x14ac:dyDescent="0.25">
      <c r="A179" s="65">
        <v>47</v>
      </c>
      <c r="B179" s="84" t="s">
        <v>366</v>
      </c>
      <c r="C179" s="73">
        <v>1</v>
      </c>
      <c r="D179" s="85" t="s">
        <v>367</v>
      </c>
      <c r="E179" s="86" t="s">
        <v>131</v>
      </c>
      <c r="F179" s="85">
        <v>81897719002</v>
      </c>
      <c r="G179" s="71">
        <f t="shared" si="17"/>
        <v>18.7</v>
      </c>
      <c r="H179" s="71">
        <f t="shared" si="18"/>
        <v>18.7</v>
      </c>
      <c r="I179" s="71">
        <f t="shared" si="19"/>
        <v>18.7</v>
      </c>
      <c r="J179" s="71">
        <f t="shared" si="20"/>
        <v>18.7</v>
      </c>
      <c r="K179" s="72">
        <v>0</v>
      </c>
      <c r="M179" s="58">
        <f>VLOOKUP(D179,'TABELA DE PRECOS'!B:C,2,0)</f>
        <v>18.7</v>
      </c>
    </row>
    <row r="180" spans="1:13" ht="15.75" customHeight="1" x14ac:dyDescent="0.25">
      <c r="A180" s="65">
        <v>48</v>
      </c>
      <c r="B180" s="84" t="s">
        <v>368</v>
      </c>
      <c r="C180" s="73">
        <v>1</v>
      </c>
      <c r="D180" s="85" t="s">
        <v>369</v>
      </c>
      <c r="E180" s="86" t="s">
        <v>131</v>
      </c>
      <c r="F180" s="85">
        <v>81897719002</v>
      </c>
      <c r="G180" s="71">
        <f t="shared" si="17"/>
        <v>18.22</v>
      </c>
      <c r="H180" s="71">
        <f t="shared" si="18"/>
        <v>18.22</v>
      </c>
      <c r="I180" s="71">
        <f t="shared" si="19"/>
        <v>18.22</v>
      </c>
      <c r="J180" s="71">
        <f t="shared" si="20"/>
        <v>18.22</v>
      </c>
      <c r="K180" s="72">
        <v>0</v>
      </c>
      <c r="M180" s="58">
        <f>VLOOKUP(D180,'TABELA DE PRECOS'!B:C,2,0)</f>
        <v>18.22</v>
      </c>
    </row>
    <row r="181" spans="1:13" ht="15.75" customHeight="1" x14ac:dyDescent="0.25">
      <c r="A181" s="65">
        <v>49</v>
      </c>
      <c r="B181" s="84" t="s">
        <v>370</v>
      </c>
      <c r="C181" s="73">
        <v>1</v>
      </c>
      <c r="D181" s="85" t="s">
        <v>371</v>
      </c>
      <c r="E181" s="86" t="s">
        <v>131</v>
      </c>
      <c r="F181" s="85">
        <v>81897719002</v>
      </c>
      <c r="G181" s="71">
        <f t="shared" si="17"/>
        <v>19.41</v>
      </c>
      <c r="H181" s="71">
        <f t="shared" si="18"/>
        <v>19.41</v>
      </c>
      <c r="I181" s="71">
        <f t="shared" si="19"/>
        <v>19.41</v>
      </c>
      <c r="J181" s="71">
        <f t="shared" si="20"/>
        <v>19.41</v>
      </c>
      <c r="K181" s="72">
        <v>0</v>
      </c>
      <c r="M181" s="58">
        <f>VLOOKUP(D181,'TABELA DE PRECOS'!B:C,2,0)</f>
        <v>19.41</v>
      </c>
    </row>
    <row r="182" spans="1:13" ht="15.75" customHeight="1" x14ac:dyDescent="0.25">
      <c r="A182" s="65">
        <v>50</v>
      </c>
      <c r="B182" s="84" t="s">
        <v>372</v>
      </c>
      <c r="C182" s="73">
        <v>1</v>
      </c>
      <c r="D182" s="85" t="s">
        <v>373</v>
      </c>
      <c r="E182" s="86" t="s">
        <v>131</v>
      </c>
      <c r="F182" s="85" t="s">
        <v>223</v>
      </c>
      <c r="G182" s="71">
        <f t="shared" si="17"/>
        <v>452.16</v>
      </c>
      <c r="H182" s="71">
        <f t="shared" si="18"/>
        <v>452.16</v>
      </c>
      <c r="I182" s="71">
        <f t="shared" si="19"/>
        <v>452.16</v>
      </c>
      <c r="J182" s="71">
        <f t="shared" si="20"/>
        <v>452.16</v>
      </c>
      <c r="K182" s="72">
        <v>0</v>
      </c>
      <c r="M182" s="58">
        <f>VLOOKUP(D182,'TABELA DE PRECOS'!B:C,2,0)</f>
        <v>452.16</v>
      </c>
    </row>
    <row r="183" spans="1:13" ht="15.75" customHeight="1" x14ac:dyDescent="0.25">
      <c r="A183" s="65">
        <v>51</v>
      </c>
      <c r="B183" s="84" t="s">
        <v>374</v>
      </c>
      <c r="C183" s="73">
        <v>1</v>
      </c>
      <c r="D183" s="85" t="s">
        <v>375</v>
      </c>
      <c r="E183" s="86" t="s">
        <v>131</v>
      </c>
      <c r="F183" s="85" t="s">
        <v>223</v>
      </c>
      <c r="G183" s="71">
        <f t="shared" si="17"/>
        <v>640.15991999999994</v>
      </c>
      <c r="H183" s="71">
        <f t="shared" si="18"/>
        <v>640.15991999999994</v>
      </c>
      <c r="I183" s="71">
        <f t="shared" si="19"/>
        <v>640.15991999999994</v>
      </c>
      <c r="J183" s="71">
        <f t="shared" si="20"/>
        <v>640.15991999999994</v>
      </c>
      <c r="K183" s="72">
        <v>0</v>
      </c>
      <c r="M183" s="58">
        <f>VLOOKUP(D183,'TABELA DE PRECOS'!B:C,2,0)</f>
        <v>640.15991999999994</v>
      </c>
    </row>
    <row r="184" spans="1:13" ht="15.75" customHeight="1" x14ac:dyDescent="0.25">
      <c r="A184" s="65">
        <v>52</v>
      </c>
      <c r="B184" s="84" t="s">
        <v>376</v>
      </c>
      <c r="C184" s="73">
        <v>1</v>
      </c>
      <c r="D184" s="85" t="s">
        <v>377</v>
      </c>
      <c r="E184" s="86" t="s">
        <v>131</v>
      </c>
      <c r="F184" s="85" t="s">
        <v>223</v>
      </c>
      <c r="G184" s="71">
        <f t="shared" si="17"/>
        <v>514.57000000000005</v>
      </c>
      <c r="H184" s="71">
        <f t="shared" si="18"/>
        <v>514.57000000000005</v>
      </c>
      <c r="I184" s="71">
        <f t="shared" si="19"/>
        <v>514.57000000000005</v>
      </c>
      <c r="J184" s="71">
        <f t="shared" si="20"/>
        <v>514.57000000000005</v>
      </c>
      <c r="K184" s="72">
        <v>0</v>
      </c>
      <c r="M184" s="58">
        <f>VLOOKUP(D184,'TABELA DE PRECOS'!B:C,2,0)</f>
        <v>514.57000000000005</v>
      </c>
    </row>
    <row r="185" spans="1:13" ht="15.75" customHeight="1" x14ac:dyDescent="0.25">
      <c r="A185" s="65">
        <v>53</v>
      </c>
      <c r="B185" s="84" t="s">
        <v>378</v>
      </c>
      <c r="C185" s="73">
        <v>2</v>
      </c>
      <c r="D185" s="85" t="s">
        <v>379</v>
      </c>
      <c r="E185" s="86" t="s">
        <v>131</v>
      </c>
      <c r="F185" s="85" t="s">
        <v>223</v>
      </c>
      <c r="G185" s="71">
        <f t="shared" si="17"/>
        <v>9.18</v>
      </c>
      <c r="H185" s="71">
        <f t="shared" si="18"/>
        <v>18.36</v>
      </c>
      <c r="I185" s="71">
        <f t="shared" si="19"/>
        <v>9.18</v>
      </c>
      <c r="J185" s="71">
        <f t="shared" si="20"/>
        <v>18.36</v>
      </c>
      <c r="K185" s="72">
        <v>0</v>
      </c>
      <c r="M185" s="58">
        <f>VLOOKUP(D185,'TABELA DE PRECOS'!B:C,2,0)</f>
        <v>9.18</v>
      </c>
    </row>
    <row r="186" spans="1:13" ht="15.75" customHeight="1" x14ac:dyDescent="0.25">
      <c r="A186" s="78"/>
      <c r="B186" s="79" t="s">
        <v>224</v>
      </c>
      <c r="C186" s="79">
        <f>SUM(C133:C185)</f>
        <v>125</v>
      </c>
      <c r="D186" s="79"/>
      <c r="E186" s="79"/>
      <c r="F186" s="79"/>
      <c r="G186" s="80"/>
      <c r="H186" s="80">
        <f>SUM(H133:H185)</f>
        <v>4644.0069999999969</v>
      </c>
      <c r="I186" s="79"/>
      <c r="J186" s="80">
        <f>SUM(J133:J185)</f>
        <v>4644.0069999999969</v>
      </c>
      <c r="K186" s="81"/>
      <c r="M186" s="58" t="e">
        <f>VLOOKUP(D186,'TABELA DE PRECOS'!B:C,2,0)</f>
        <v>#N/A</v>
      </c>
    </row>
    <row r="187" spans="1:13" ht="15.75" customHeight="1" x14ac:dyDescent="0.25">
      <c r="A187" s="56"/>
      <c r="B187" s="49" t="s">
        <v>15</v>
      </c>
      <c r="C187" s="57"/>
      <c r="D187" s="90"/>
      <c r="E187" s="90"/>
      <c r="F187" s="90"/>
      <c r="G187" s="58"/>
      <c r="H187" s="58"/>
      <c r="I187" s="58"/>
      <c r="J187" s="58"/>
      <c r="K187" s="59"/>
      <c r="M187" s="58" t="e">
        <f>VLOOKUP(D187,'TABELA DE PRECOS'!B:C,2,0)</f>
        <v>#N/A</v>
      </c>
    </row>
    <row r="188" spans="1:13" ht="15.75" customHeight="1" x14ac:dyDescent="0.25">
      <c r="A188" s="56"/>
      <c r="B188" s="18" t="s">
        <v>380</v>
      </c>
      <c r="C188" s="57"/>
      <c r="D188" s="90"/>
      <c r="E188" s="90"/>
      <c r="F188" s="90"/>
      <c r="G188" s="58"/>
      <c r="H188" s="58"/>
      <c r="I188" s="58"/>
      <c r="J188" s="58"/>
      <c r="K188" s="59"/>
      <c r="M188" s="58" t="e">
        <f>VLOOKUP(D188,'TABELA DE PRECOS'!B:C,2,0)</f>
        <v>#N/A</v>
      </c>
    </row>
    <row r="189" spans="1:13" ht="15.75" customHeight="1" x14ac:dyDescent="0.25">
      <c r="A189" s="18" t="s">
        <v>119</v>
      </c>
      <c r="B189" s="18" t="s">
        <v>120</v>
      </c>
      <c r="C189" s="18" t="s">
        <v>21</v>
      </c>
      <c r="D189" s="18" t="s">
        <v>121</v>
      </c>
      <c r="E189" s="60" t="s">
        <v>122</v>
      </c>
      <c r="F189" s="18" t="s">
        <v>123</v>
      </c>
      <c r="G189" s="61" t="s">
        <v>22</v>
      </c>
      <c r="H189" s="18" t="s">
        <v>23</v>
      </c>
      <c r="I189" s="18" t="s">
        <v>24</v>
      </c>
      <c r="J189" s="18" t="s">
        <v>25</v>
      </c>
      <c r="K189" s="62" t="s">
        <v>26</v>
      </c>
      <c r="M189" s="58" t="str">
        <f>VLOOKUP(D189,'TABELA DE PRECOS'!B:C,2,0)</f>
        <v>Valor Unit Bruto</v>
      </c>
    </row>
    <row r="190" spans="1:13" ht="15.75" customHeight="1" x14ac:dyDescent="0.25">
      <c r="A190" s="65">
        <v>1</v>
      </c>
      <c r="B190" s="84" t="s">
        <v>381</v>
      </c>
      <c r="C190" s="73">
        <v>2</v>
      </c>
      <c r="D190" s="85" t="s">
        <v>382</v>
      </c>
      <c r="E190" s="86" t="s">
        <v>131</v>
      </c>
      <c r="F190" s="85">
        <v>81897719002</v>
      </c>
      <c r="G190" s="71">
        <f t="shared" ref="G190:G239" si="21">M190</f>
        <v>226.79275200000001</v>
      </c>
      <c r="H190" s="71">
        <f t="shared" ref="H190:H239" si="22">G190*C190</f>
        <v>453.58550400000001</v>
      </c>
      <c r="I190" s="71">
        <f t="shared" ref="I190:I239" si="23">G190</f>
        <v>226.79275200000001</v>
      </c>
      <c r="J190" s="71">
        <f t="shared" ref="J190:J239" si="24">I190*C190</f>
        <v>453.58550400000001</v>
      </c>
      <c r="K190" s="72">
        <v>0</v>
      </c>
      <c r="M190" s="58">
        <v>226.79275200000001</v>
      </c>
    </row>
    <row r="191" spans="1:13" ht="15.75" customHeight="1" x14ac:dyDescent="0.25">
      <c r="A191" s="65">
        <v>2</v>
      </c>
      <c r="B191" s="84" t="s">
        <v>383</v>
      </c>
      <c r="C191" s="73">
        <v>2</v>
      </c>
      <c r="D191" s="85" t="s">
        <v>384</v>
      </c>
      <c r="E191" s="86" t="s">
        <v>131</v>
      </c>
      <c r="F191" s="85">
        <v>81897719006</v>
      </c>
      <c r="G191" s="71">
        <f t="shared" si="21"/>
        <v>207.48235200000002</v>
      </c>
      <c r="H191" s="71">
        <f t="shared" si="22"/>
        <v>414.96470400000004</v>
      </c>
      <c r="I191" s="71">
        <f t="shared" si="23"/>
        <v>207.48235200000002</v>
      </c>
      <c r="J191" s="71">
        <f t="shared" si="24"/>
        <v>414.96470400000004</v>
      </c>
      <c r="K191" s="72">
        <v>0</v>
      </c>
      <c r="M191" s="58">
        <f>VLOOKUP(D191,'TABELA DE PRECOS'!B:C,2,0)</f>
        <v>207.48235200000002</v>
      </c>
    </row>
    <row r="192" spans="1:13" ht="15.75" customHeight="1" x14ac:dyDescent="0.25">
      <c r="A192" s="65">
        <v>3</v>
      </c>
      <c r="B192" s="84" t="s">
        <v>385</v>
      </c>
      <c r="C192" s="73">
        <v>1</v>
      </c>
      <c r="D192" s="85" t="s">
        <v>386</v>
      </c>
      <c r="E192" s="86" t="s">
        <v>131</v>
      </c>
      <c r="F192" s="85">
        <v>81897719002</v>
      </c>
      <c r="G192" s="71">
        <f t="shared" si="21"/>
        <v>160.67475200000001</v>
      </c>
      <c r="H192" s="71">
        <f t="shared" si="22"/>
        <v>160.67475200000001</v>
      </c>
      <c r="I192" s="71">
        <f t="shared" si="23"/>
        <v>160.67475200000001</v>
      </c>
      <c r="J192" s="71">
        <f t="shared" si="24"/>
        <v>160.67475200000001</v>
      </c>
      <c r="K192" s="72">
        <v>0</v>
      </c>
      <c r="M192" s="58">
        <f>VLOOKUP(D192,'TABELA DE PRECOS'!B:C,2,0)</f>
        <v>160.67475200000001</v>
      </c>
    </row>
    <row r="193" spans="1:13" ht="15.75" customHeight="1" x14ac:dyDescent="0.25">
      <c r="A193" s="65">
        <v>4</v>
      </c>
      <c r="B193" s="84" t="s">
        <v>133</v>
      </c>
      <c r="C193" s="73">
        <v>2</v>
      </c>
      <c r="D193" s="85" t="s">
        <v>134</v>
      </c>
      <c r="E193" s="86" t="s">
        <v>131</v>
      </c>
      <c r="F193" s="85">
        <v>81897719002</v>
      </c>
      <c r="G193" s="71">
        <f t="shared" si="21"/>
        <v>17.19688</v>
      </c>
      <c r="H193" s="71">
        <f t="shared" si="22"/>
        <v>34.39376</v>
      </c>
      <c r="I193" s="71">
        <f t="shared" si="23"/>
        <v>17.19688</v>
      </c>
      <c r="J193" s="71">
        <f t="shared" si="24"/>
        <v>34.39376</v>
      </c>
      <c r="K193" s="72">
        <v>0</v>
      </c>
      <c r="M193" s="58">
        <f>VLOOKUP(D193,'TABELA DE PRECOS'!B:C,2,0)</f>
        <v>17.19688</v>
      </c>
    </row>
    <row r="194" spans="1:13" ht="15.75" customHeight="1" x14ac:dyDescent="0.25">
      <c r="A194" s="65">
        <v>5</v>
      </c>
      <c r="B194" s="84" t="s">
        <v>290</v>
      </c>
      <c r="C194" s="73">
        <v>2</v>
      </c>
      <c r="D194" s="85" t="s">
        <v>291</v>
      </c>
      <c r="E194" s="86" t="s">
        <v>131</v>
      </c>
      <c r="F194" s="85">
        <v>81897719002</v>
      </c>
      <c r="G194" s="71">
        <f t="shared" si="21"/>
        <v>16.5</v>
      </c>
      <c r="H194" s="71">
        <f t="shared" si="22"/>
        <v>33</v>
      </c>
      <c r="I194" s="71">
        <f t="shared" si="23"/>
        <v>16.5</v>
      </c>
      <c r="J194" s="71">
        <f t="shared" si="24"/>
        <v>33</v>
      </c>
      <c r="K194" s="72">
        <v>0</v>
      </c>
      <c r="M194" s="58">
        <f>VLOOKUP(D194,'TABELA DE PRECOS'!B:C,2,0)</f>
        <v>16.5</v>
      </c>
    </row>
    <row r="195" spans="1:13" ht="15.75" customHeight="1" x14ac:dyDescent="0.25">
      <c r="A195" s="65">
        <v>6</v>
      </c>
      <c r="B195" s="84" t="s">
        <v>294</v>
      </c>
      <c r="C195" s="73">
        <v>2</v>
      </c>
      <c r="D195" s="85" t="s">
        <v>295</v>
      </c>
      <c r="E195" s="86" t="s">
        <v>131</v>
      </c>
      <c r="F195" s="85">
        <v>81897719002</v>
      </c>
      <c r="G195" s="71">
        <f t="shared" si="21"/>
        <v>58.95</v>
      </c>
      <c r="H195" s="71">
        <f t="shared" si="22"/>
        <v>117.9</v>
      </c>
      <c r="I195" s="71">
        <f t="shared" si="23"/>
        <v>58.95</v>
      </c>
      <c r="J195" s="71">
        <f t="shared" si="24"/>
        <v>117.9</v>
      </c>
      <c r="K195" s="72">
        <v>0</v>
      </c>
      <c r="M195" s="58">
        <f>VLOOKUP(D195,'TABELA DE PRECOS'!B:C,2,0)</f>
        <v>58.95</v>
      </c>
    </row>
    <row r="196" spans="1:13" ht="15.75" customHeight="1" x14ac:dyDescent="0.25">
      <c r="A196" s="65">
        <v>7</v>
      </c>
      <c r="B196" s="84" t="s">
        <v>287</v>
      </c>
      <c r="C196" s="73">
        <v>1</v>
      </c>
      <c r="D196" s="85" t="s">
        <v>288</v>
      </c>
      <c r="E196" s="86" t="s">
        <v>131</v>
      </c>
      <c r="F196" s="85">
        <v>81897710034</v>
      </c>
      <c r="G196" s="71">
        <f t="shared" si="21"/>
        <v>47.527200000000001</v>
      </c>
      <c r="H196" s="71">
        <f t="shared" si="22"/>
        <v>47.527200000000001</v>
      </c>
      <c r="I196" s="71">
        <f t="shared" si="23"/>
        <v>47.527200000000001</v>
      </c>
      <c r="J196" s="71">
        <f t="shared" si="24"/>
        <v>47.527200000000001</v>
      </c>
      <c r="K196" s="72">
        <v>0</v>
      </c>
      <c r="M196" s="58">
        <f>VLOOKUP(D196,'TABELA DE PRECOS'!B:C,2,0)</f>
        <v>47.527200000000001</v>
      </c>
    </row>
    <row r="197" spans="1:13" ht="15.75" customHeight="1" x14ac:dyDescent="0.25">
      <c r="A197" s="65">
        <v>8</v>
      </c>
      <c r="B197" s="84" t="s">
        <v>137</v>
      </c>
      <c r="C197" s="73">
        <v>1</v>
      </c>
      <c r="D197" s="85" t="s">
        <v>138</v>
      </c>
      <c r="E197" s="86" t="s">
        <v>131</v>
      </c>
      <c r="F197" s="85">
        <v>81897719002</v>
      </c>
      <c r="G197" s="71">
        <f t="shared" si="21"/>
        <v>8.25</v>
      </c>
      <c r="H197" s="71">
        <f t="shared" si="22"/>
        <v>8.25</v>
      </c>
      <c r="I197" s="71">
        <f t="shared" si="23"/>
        <v>8.25</v>
      </c>
      <c r="J197" s="71">
        <f t="shared" si="24"/>
        <v>8.25</v>
      </c>
      <c r="K197" s="72">
        <v>0</v>
      </c>
      <c r="M197" s="58">
        <f>VLOOKUP(D197,'TABELA DE PRECOS'!B:C,2,0)</f>
        <v>8.25</v>
      </c>
    </row>
    <row r="198" spans="1:13" ht="15.75" customHeight="1" x14ac:dyDescent="0.25">
      <c r="A198" s="65">
        <v>9</v>
      </c>
      <c r="B198" s="84" t="s">
        <v>300</v>
      </c>
      <c r="C198" s="73">
        <v>1</v>
      </c>
      <c r="D198" s="85" t="s">
        <v>301</v>
      </c>
      <c r="E198" s="86" t="s">
        <v>131</v>
      </c>
      <c r="F198" s="85">
        <v>81897719002</v>
      </c>
      <c r="G198" s="71">
        <f t="shared" si="21"/>
        <v>9.4</v>
      </c>
      <c r="H198" s="71">
        <f t="shared" si="22"/>
        <v>9.4</v>
      </c>
      <c r="I198" s="71">
        <f t="shared" si="23"/>
        <v>9.4</v>
      </c>
      <c r="J198" s="71">
        <f t="shared" si="24"/>
        <v>9.4</v>
      </c>
      <c r="K198" s="72">
        <v>0</v>
      </c>
      <c r="M198" s="58">
        <f>VLOOKUP(D198,'TABELA DE PRECOS'!B:C,2,0)</f>
        <v>9.4</v>
      </c>
    </row>
    <row r="199" spans="1:13" ht="15.75" customHeight="1" x14ac:dyDescent="0.25">
      <c r="A199" s="65">
        <v>10</v>
      </c>
      <c r="B199" s="84" t="s">
        <v>306</v>
      </c>
      <c r="C199" s="73">
        <v>1</v>
      </c>
      <c r="D199" s="85" t="s">
        <v>307</v>
      </c>
      <c r="E199" s="86" t="s">
        <v>131</v>
      </c>
      <c r="F199" s="85" t="s">
        <v>223</v>
      </c>
      <c r="G199" s="71">
        <f t="shared" si="21"/>
        <v>9.8366400000000009</v>
      </c>
      <c r="H199" s="71">
        <f t="shared" si="22"/>
        <v>9.8366400000000009</v>
      </c>
      <c r="I199" s="71">
        <f t="shared" si="23"/>
        <v>9.8366400000000009</v>
      </c>
      <c r="J199" s="71">
        <f t="shared" si="24"/>
        <v>9.8366400000000009</v>
      </c>
      <c r="K199" s="72">
        <v>0</v>
      </c>
      <c r="M199" s="58">
        <f>VLOOKUP(D199,'TABELA DE PRECOS'!B:C,2,0)</f>
        <v>9.8366400000000009</v>
      </c>
    </row>
    <row r="200" spans="1:13" ht="15.75" customHeight="1" x14ac:dyDescent="0.25">
      <c r="A200" s="65">
        <v>11</v>
      </c>
      <c r="B200" s="84" t="s">
        <v>304</v>
      </c>
      <c r="C200" s="73">
        <v>1</v>
      </c>
      <c r="D200" s="85" t="s">
        <v>305</v>
      </c>
      <c r="E200" s="86" t="s">
        <v>131</v>
      </c>
      <c r="F200" s="85" t="s">
        <v>223</v>
      </c>
      <c r="G200" s="71">
        <f t="shared" si="21"/>
        <v>5.2653600000000003</v>
      </c>
      <c r="H200" s="71">
        <f t="shared" si="22"/>
        <v>5.2653600000000003</v>
      </c>
      <c r="I200" s="71">
        <f t="shared" si="23"/>
        <v>5.2653600000000003</v>
      </c>
      <c r="J200" s="71">
        <f t="shared" si="24"/>
        <v>5.2653600000000003</v>
      </c>
      <c r="K200" s="72">
        <v>0</v>
      </c>
      <c r="M200" s="58">
        <f>VLOOKUP(D200,'TABELA DE PRECOS'!B:C,2,0)</f>
        <v>5.2653600000000003</v>
      </c>
    </row>
    <row r="201" spans="1:13" ht="15.75" customHeight="1" x14ac:dyDescent="0.25">
      <c r="A201" s="65">
        <v>12</v>
      </c>
      <c r="B201" s="84" t="s">
        <v>387</v>
      </c>
      <c r="C201" s="73">
        <v>2</v>
      </c>
      <c r="D201" s="85" t="s">
        <v>388</v>
      </c>
      <c r="E201" s="86" t="s">
        <v>131</v>
      </c>
      <c r="F201" s="85">
        <v>81897719002</v>
      </c>
      <c r="G201" s="71">
        <f t="shared" si="21"/>
        <v>13.375935999999999</v>
      </c>
      <c r="H201" s="71">
        <f t="shared" si="22"/>
        <v>26.751871999999999</v>
      </c>
      <c r="I201" s="71">
        <f t="shared" si="23"/>
        <v>13.375935999999999</v>
      </c>
      <c r="J201" s="71">
        <f t="shared" si="24"/>
        <v>26.751871999999999</v>
      </c>
      <c r="K201" s="72">
        <v>0</v>
      </c>
      <c r="M201" s="58">
        <f>VLOOKUP(D201,'TABELA DE PRECOS'!B:C,2,0)</f>
        <v>13.375935999999999</v>
      </c>
    </row>
    <row r="202" spans="1:13" ht="15.75" customHeight="1" x14ac:dyDescent="0.25">
      <c r="A202" s="65">
        <v>13</v>
      </c>
      <c r="B202" s="84" t="s">
        <v>316</v>
      </c>
      <c r="C202" s="73">
        <v>1</v>
      </c>
      <c r="D202" s="85" t="s">
        <v>317</v>
      </c>
      <c r="E202" s="86" t="s">
        <v>131</v>
      </c>
      <c r="F202" s="85">
        <v>81897719002</v>
      </c>
      <c r="G202" s="71">
        <f t="shared" si="21"/>
        <v>32.450000000000003</v>
      </c>
      <c r="H202" s="71">
        <f t="shared" si="22"/>
        <v>32.450000000000003</v>
      </c>
      <c r="I202" s="71">
        <f t="shared" si="23"/>
        <v>32.450000000000003</v>
      </c>
      <c r="J202" s="71">
        <f t="shared" si="24"/>
        <v>32.450000000000003</v>
      </c>
      <c r="K202" s="72">
        <v>0</v>
      </c>
      <c r="M202" s="58">
        <f>VLOOKUP(D202,'TABELA DE PRECOS'!B:C,2,0)</f>
        <v>32.450000000000003</v>
      </c>
    </row>
    <row r="203" spans="1:13" ht="15.75" customHeight="1" x14ac:dyDescent="0.25">
      <c r="A203" s="65">
        <v>14</v>
      </c>
      <c r="B203" s="84" t="s">
        <v>389</v>
      </c>
      <c r="C203" s="73">
        <v>4</v>
      </c>
      <c r="D203" s="85" t="s">
        <v>390</v>
      </c>
      <c r="E203" s="86" t="s">
        <v>131</v>
      </c>
      <c r="F203" s="85">
        <v>81897719002</v>
      </c>
      <c r="G203" s="71">
        <f t="shared" si="21"/>
        <v>24.102847999999998</v>
      </c>
      <c r="H203" s="71">
        <f t="shared" si="22"/>
        <v>96.411391999999992</v>
      </c>
      <c r="I203" s="71">
        <f t="shared" si="23"/>
        <v>24.102847999999998</v>
      </c>
      <c r="J203" s="71">
        <f t="shared" si="24"/>
        <v>96.411391999999992</v>
      </c>
      <c r="K203" s="72">
        <v>0</v>
      </c>
      <c r="M203" s="58">
        <f>VLOOKUP(D203,'TABELA DE PRECOS'!B:C,2,0)</f>
        <v>24.102847999999998</v>
      </c>
    </row>
    <row r="204" spans="1:13" ht="15.75" customHeight="1" x14ac:dyDescent="0.25">
      <c r="A204" s="65">
        <v>15</v>
      </c>
      <c r="B204" s="84" t="s">
        <v>391</v>
      </c>
      <c r="C204" s="73">
        <v>1</v>
      </c>
      <c r="D204" s="85" t="s">
        <v>392</v>
      </c>
      <c r="E204" s="86" t="s">
        <v>131</v>
      </c>
      <c r="F204" s="85">
        <v>81897719006</v>
      </c>
      <c r="G204" s="71">
        <f t="shared" si="21"/>
        <v>31.76</v>
      </c>
      <c r="H204" s="71">
        <f t="shared" si="22"/>
        <v>31.76</v>
      </c>
      <c r="I204" s="71">
        <f t="shared" si="23"/>
        <v>31.76</v>
      </c>
      <c r="J204" s="71">
        <f t="shared" si="24"/>
        <v>31.76</v>
      </c>
      <c r="K204" s="72">
        <v>0</v>
      </c>
      <c r="M204" s="58">
        <f>VLOOKUP(D204,'TABELA DE PRECOS'!B:C,2,0)</f>
        <v>31.76</v>
      </c>
    </row>
    <row r="205" spans="1:13" ht="15.75" customHeight="1" x14ac:dyDescent="0.25">
      <c r="A205" s="65">
        <v>16</v>
      </c>
      <c r="B205" s="84" t="s">
        <v>393</v>
      </c>
      <c r="C205" s="73">
        <v>1</v>
      </c>
      <c r="D205" s="85" t="s">
        <v>394</v>
      </c>
      <c r="E205" s="86" t="s">
        <v>131</v>
      </c>
      <c r="F205" s="85">
        <v>81897719002</v>
      </c>
      <c r="G205" s="71">
        <f t="shared" si="21"/>
        <v>28.117263999999999</v>
      </c>
      <c r="H205" s="71">
        <f t="shared" si="22"/>
        <v>28.117263999999999</v>
      </c>
      <c r="I205" s="71">
        <f t="shared" si="23"/>
        <v>28.117263999999999</v>
      </c>
      <c r="J205" s="71">
        <f t="shared" si="24"/>
        <v>28.117263999999999</v>
      </c>
      <c r="K205" s="72">
        <v>0</v>
      </c>
      <c r="M205" s="58">
        <f>VLOOKUP(D205,'TABELA DE PRECOS'!B:C,2,0)</f>
        <v>28.117263999999999</v>
      </c>
    </row>
    <row r="206" spans="1:13" ht="15.75" customHeight="1" x14ac:dyDescent="0.25">
      <c r="A206" s="65">
        <v>17</v>
      </c>
      <c r="B206" s="84" t="s">
        <v>395</v>
      </c>
      <c r="C206" s="73">
        <v>1</v>
      </c>
      <c r="D206" s="85" t="s">
        <v>396</v>
      </c>
      <c r="E206" s="86" t="s">
        <v>131</v>
      </c>
      <c r="F206" s="85">
        <v>81897719002</v>
      </c>
      <c r="G206" s="71">
        <f t="shared" si="21"/>
        <v>27.438656000000002</v>
      </c>
      <c r="H206" s="71">
        <f t="shared" si="22"/>
        <v>27.438656000000002</v>
      </c>
      <c r="I206" s="71">
        <f t="shared" si="23"/>
        <v>27.438656000000002</v>
      </c>
      <c r="J206" s="71">
        <f t="shared" si="24"/>
        <v>27.438656000000002</v>
      </c>
      <c r="K206" s="72">
        <v>0</v>
      </c>
      <c r="M206" s="58">
        <f>VLOOKUP(D206,'TABELA DE PRECOS'!B:C,2,0)</f>
        <v>27.438656000000002</v>
      </c>
    </row>
    <row r="207" spans="1:13" ht="15.75" customHeight="1" x14ac:dyDescent="0.25">
      <c r="A207" s="65">
        <v>18</v>
      </c>
      <c r="B207" s="84" t="s">
        <v>397</v>
      </c>
      <c r="C207" s="73">
        <v>1</v>
      </c>
      <c r="D207" s="85" t="s">
        <v>398</v>
      </c>
      <c r="E207" s="86" t="s">
        <v>131</v>
      </c>
      <c r="F207" s="85">
        <v>81897719002</v>
      </c>
      <c r="G207" s="71">
        <f t="shared" si="21"/>
        <v>9.19</v>
      </c>
      <c r="H207" s="71">
        <f t="shared" si="22"/>
        <v>9.19</v>
      </c>
      <c r="I207" s="71">
        <f t="shared" si="23"/>
        <v>9.19</v>
      </c>
      <c r="J207" s="71">
        <f t="shared" si="24"/>
        <v>9.19</v>
      </c>
      <c r="K207" s="72">
        <v>0</v>
      </c>
      <c r="M207" s="58">
        <f>VLOOKUP(D207,'TABELA DE PRECOS'!B:C,2,0)</f>
        <v>9.19</v>
      </c>
    </row>
    <row r="208" spans="1:13" ht="15.75" customHeight="1" x14ac:dyDescent="0.25">
      <c r="A208" s="65">
        <v>19</v>
      </c>
      <c r="B208" s="84" t="s">
        <v>399</v>
      </c>
      <c r="C208" s="73">
        <v>1</v>
      </c>
      <c r="D208" s="85" t="s">
        <v>400</v>
      </c>
      <c r="E208" s="86" t="s">
        <v>131</v>
      </c>
      <c r="F208" s="85">
        <v>81897719002</v>
      </c>
      <c r="G208" s="71">
        <f t="shared" si="21"/>
        <v>8.85</v>
      </c>
      <c r="H208" s="71">
        <f t="shared" si="22"/>
        <v>8.85</v>
      </c>
      <c r="I208" s="71">
        <f t="shared" si="23"/>
        <v>8.85</v>
      </c>
      <c r="J208" s="71">
        <f t="shared" si="24"/>
        <v>8.85</v>
      </c>
      <c r="K208" s="72">
        <v>0</v>
      </c>
      <c r="M208" s="58">
        <f>VLOOKUP(D208,'TABELA DE PRECOS'!B:C,2,0)</f>
        <v>8.85</v>
      </c>
    </row>
    <row r="209" spans="1:13" ht="15.75" customHeight="1" x14ac:dyDescent="0.25">
      <c r="A209" s="65">
        <v>20</v>
      </c>
      <c r="B209" s="84" t="s">
        <v>324</v>
      </c>
      <c r="C209" s="73">
        <v>4</v>
      </c>
      <c r="D209" s="85" t="s">
        <v>325</v>
      </c>
      <c r="E209" s="86" t="s">
        <v>131</v>
      </c>
      <c r="F209" s="85">
        <v>81897719002</v>
      </c>
      <c r="G209" s="71">
        <f t="shared" si="21"/>
        <v>23.7636</v>
      </c>
      <c r="H209" s="71">
        <f t="shared" si="22"/>
        <v>95.054400000000001</v>
      </c>
      <c r="I209" s="71">
        <f t="shared" si="23"/>
        <v>23.7636</v>
      </c>
      <c r="J209" s="71">
        <f t="shared" si="24"/>
        <v>95.054400000000001</v>
      </c>
      <c r="K209" s="72">
        <v>0</v>
      </c>
      <c r="M209" s="58">
        <f>VLOOKUP(D209,'TABELA DE PRECOS'!B:C,2,0)</f>
        <v>23.7636</v>
      </c>
    </row>
    <row r="210" spans="1:13" ht="15.75" customHeight="1" x14ac:dyDescent="0.25">
      <c r="A210" s="65">
        <v>21</v>
      </c>
      <c r="B210" s="84" t="s">
        <v>401</v>
      </c>
      <c r="C210" s="73">
        <v>1</v>
      </c>
      <c r="D210" s="85" t="s">
        <v>402</v>
      </c>
      <c r="E210" s="86" t="s">
        <v>131</v>
      </c>
      <c r="F210" s="85">
        <v>81897719002</v>
      </c>
      <c r="G210" s="71">
        <f t="shared" si="21"/>
        <v>6.0257119999999995</v>
      </c>
      <c r="H210" s="71">
        <f t="shared" si="22"/>
        <v>6.0257119999999995</v>
      </c>
      <c r="I210" s="71">
        <f t="shared" si="23"/>
        <v>6.0257119999999995</v>
      </c>
      <c r="J210" s="71">
        <f t="shared" si="24"/>
        <v>6.0257119999999995</v>
      </c>
      <c r="K210" s="72">
        <v>0</v>
      </c>
      <c r="M210" s="58">
        <f>VLOOKUP(D210,'TABELA DE PRECOS'!B:C,2,0)</f>
        <v>6.0257119999999995</v>
      </c>
    </row>
    <row r="211" spans="1:13" ht="15.75" customHeight="1" x14ac:dyDescent="0.25">
      <c r="A211" s="65">
        <v>22</v>
      </c>
      <c r="B211" s="84" t="s">
        <v>403</v>
      </c>
      <c r="C211" s="73">
        <v>1</v>
      </c>
      <c r="D211" s="85" t="s">
        <v>404</v>
      </c>
      <c r="E211" s="86" t="s">
        <v>131</v>
      </c>
      <c r="F211" s="85">
        <v>81897719002</v>
      </c>
      <c r="G211" s="71">
        <f t="shared" si="21"/>
        <v>6.21</v>
      </c>
      <c r="H211" s="71">
        <f t="shared" si="22"/>
        <v>6.21</v>
      </c>
      <c r="I211" s="71">
        <f t="shared" si="23"/>
        <v>6.21</v>
      </c>
      <c r="J211" s="71">
        <f t="shared" si="24"/>
        <v>6.21</v>
      </c>
      <c r="K211" s="72">
        <v>0</v>
      </c>
      <c r="M211" s="58">
        <f>VLOOKUP(D211,'TABELA DE PRECOS'!B:C,2,0)</f>
        <v>6.21</v>
      </c>
    </row>
    <row r="212" spans="1:13" ht="15.75" customHeight="1" x14ac:dyDescent="0.25">
      <c r="A212" s="65">
        <v>23</v>
      </c>
      <c r="B212" s="84" t="s">
        <v>405</v>
      </c>
      <c r="C212" s="73">
        <v>1</v>
      </c>
      <c r="D212" s="85" t="s">
        <v>406</v>
      </c>
      <c r="E212" s="86" t="s">
        <v>131</v>
      </c>
      <c r="F212" s="85">
        <v>81897719002</v>
      </c>
      <c r="G212" s="71">
        <f t="shared" si="21"/>
        <v>5.4878400000000003</v>
      </c>
      <c r="H212" s="71">
        <f t="shared" si="22"/>
        <v>5.4878400000000003</v>
      </c>
      <c r="I212" s="71">
        <f t="shared" si="23"/>
        <v>5.4878400000000003</v>
      </c>
      <c r="J212" s="71">
        <f t="shared" si="24"/>
        <v>5.4878400000000003</v>
      </c>
      <c r="K212" s="72">
        <v>0</v>
      </c>
      <c r="M212" s="58">
        <f>VLOOKUP(D212,'TABELA DE PRECOS'!B:C,2,0)</f>
        <v>5.4878400000000003</v>
      </c>
    </row>
    <row r="213" spans="1:13" ht="15.75" customHeight="1" x14ac:dyDescent="0.25">
      <c r="A213" s="65">
        <v>24</v>
      </c>
      <c r="B213" s="84" t="s">
        <v>407</v>
      </c>
      <c r="C213" s="73">
        <v>1</v>
      </c>
      <c r="D213" s="85" t="s">
        <v>408</v>
      </c>
      <c r="E213" s="86" t="s">
        <v>131</v>
      </c>
      <c r="F213" s="85">
        <v>81897719002</v>
      </c>
      <c r="G213" s="71">
        <f t="shared" si="21"/>
        <v>5.04</v>
      </c>
      <c r="H213" s="71">
        <f t="shared" si="22"/>
        <v>5.04</v>
      </c>
      <c r="I213" s="71">
        <f t="shared" si="23"/>
        <v>5.04</v>
      </c>
      <c r="J213" s="71">
        <f t="shared" si="24"/>
        <v>5.04</v>
      </c>
      <c r="K213" s="72">
        <v>0</v>
      </c>
      <c r="M213" s="58">
        <f>VLOOKUP(D213,'TABELA DE PRECOS'!B:C,2,0)</f>
        <v>5.04</v>
      </c>
    </row>
    <row r="214" spans="1:13" ht="15.75" customHeight="1" x14ac:dyDescent="0.25">
      <c r="A214" s="65">
        <v>25</v>
      </c>
      <c r="B214" s="84" t="s">
        <v>409</v>
      </c>
      <c r="C214" s="73">
        <v>6</v>
      </c>
      <c r="D214" s="85" t="s">
        <v>410</v>
      </c>
      <c r="E214" s="86" t="s">
        <v>131</v>
      </c>
      <c r="F214" s="85">
        <v>81897719002</v>
      </c>
      <c r="G214" s="71">
        <f t="shared" si="21"/>
        <v>13.86</v>
      </c>
      <c r="H214" s="71">
        <f t="shared" si="22"/>
        <v>83.16</v>
      </c>
      <c r="I214" s="71">
        <f t="shared" si="23"/>
        <v>13.86</v>
      </c>
      <c r="J214" s="71">
        <f t="shared" si="24"/>
        <v>83.16</v>
      </c>
      <c r="K214" s="72">
        <v>0</v>
      </c>
      <c r="M214" s="58">
        <f>VLOOKUP(D214,'TABELA DE PRECOS'!B:C,2,0)</f>
        <v>13.86</v>
      </c>
    </row>
    <row r="215" spans="1:13" ht="15.75" customHeight="1" x14ac:dyDescent="0.25">
      <c r="A215" s="65">
        <v>26</v>
      </c>
      <c r="B215" s="84" t="s">
        <v>183</v>
      </c>
      <c r="C215" s="73">
        <v>1</v>
      </c>
      <c r="D215" s="85" t="s">
        <v>184</v>
      </c>
      <c r="E215" s="86" t="s">
        <v>131</v>
      </c>
      <c r="F215" s="85">
        <v>81897719002</v>
      </c>
      <c r="G215" s="71">
        <f t="shared" si="21"/>
        <v>40.79</v>
      </c>
      <c r="H215" s="71">
        <f t="shared" si="22"/>
        <v>40.79</v>
      </c>
      <c r="I215" s="71">
        <f t="shared" si="23"/>
        <v>40.79</v>
      </c>
      <c r="J215" s="71">
        <f t="shared" si="24"/>
        <v>40.79</v>
      </c>
      <c r="K215" s="72">
        <v>0</v>
      </c>
      <c r="M215" s="58">
        <f>VLOOKUP(D215,'TABELA DE PRECOS'!B:C,2,0)</f>
        <v>40.79</v>
      </c>
    </row>
    <row r="216" spans="1:13" ht="15.75" customHeight="1" x14ac:dyDescent="0.25">
      <c r="A216" s="65">
        <v>27</v>
      </c>
      <c r="B216" s="84" t="s">
        <v>320</v>
      </c>
      <c r="C216" s="73">
        <v>1</v>
      </c>
      <c r="D216" s="85" t="s">
        <v>321</v>
      </c>
      <c r="E216" s="86" t="s">
        <v>131</v>
      </c>
      <c r="F216" s="85">
        <v>81897719002</v>
      </c>
      <c r="G216" s="71">
        <f t="shared" si="21"/>
        <v>44.93</v>
      </c>
      <c r="H216" s="71">
        <f t="shared" si="22"/>
        <v>44.93</v>
      </c>
      <c r="I216" s="71">
        <f t="shared" si="23"/>
        <v>44.93</v>
      </c>
      <c r="J216" s="71">
        <f t="shared" si="24"/>
        <v>44.93</v>
      </c>
      <c r="K216" s="72">
        <v>0</v>
      </c>
      <c r="M216" s="58">
        <f>VLOOKUP(D216,'TABELA DE PRECOS'!B:C,2,0)</f>
        <v>44.93</v>
      </c>
    </row>
    <row r="217" spans="1:13" ht="15.75" customHeight="1" x14ac:dyDescent="0.25">
      <c r="A217" s="65">
        <v>28</v>
      </c>
      <c r="B217" s="84" t="s">
        <v>411</v>
      </c>
      <c r="C217" s="73">
        <v>3</v>
      </c>
      <c r="D217" s="85" t="s">
        <v>412</v>
      </c>
      <c r="E217" s="86" t="s">
        <v>131</v>
      </c>
      <c r="F217" s="85">
        <v>81897719002</v>
      </c>
      <c r="G217" s="71">
        <f t="shared" si="21"/>
        <v>71.981504000000001</v>
      </c>
      <c r="H217" s="71">
        <f t="shared" si="22"/>
        <v>215.944512</v>
      </c>
      <c r="I217" s="71">
        <f t="shared" si="23"/>
        <v>71.981504000000001</v>
      </c>
      <c r="J217" s="71">
        <f t="shared" si="24"/>
        <v>215.944512</v>
      </c>
      <c r="K217" s="72">
        <v>0</v>
      </c>
      <c r="M217" s="58">
        <f>VLOOKUP(D217,'TABELA DE PRECOS'!B:C,2,0)</f>
        <v>71.981504000000001</v>
      </c>
    </row>
    <row r="218" spans="1:13" ht="15.75" customHeight="1" x14ac:dyDescent="0.25">
      <c r="A218" s="65">
        <v>29</v>
      </c>
      <c r="B218" s="84" t="s">
        <v>413</v>
      </c>
      <c r="C218" s="73">
        <v>3</v>
      </c>
      <c r="D218" s="85" t="s">
        <v>414</v>
      </c>
      <c r="E218" s="86" t="s">
        <v>131</v>
      </c>
      <c r="F218" s="85">
        <v>81897719002</v>
      </c>
      <c r="G218" s="71">
        <f t="shared" si="21"/>
        <v>77.001568000000006</v>
      </c>
      <c r="H218" s="71">
        <f t="shared" si="22"/>
        <v>231.004704</v>
      </c>
      <c r="I218" s="71">
        <f t="shared" si="23"/>
        <v>77.001568000000006</v>
      </c>
      <c r="J218" s="71">
        <f t="shared" si="24"/>
        <v>231.004704</v>
      </c>
      <c r="K218" s="72">
        <v>0</v>
      </c>
      <c r="M218" s="58">
        <f>VLOOKUP(D218,'TABELA DE PRECOS'!B:C,2,0)</f>
        <v>77.001568000000006</v>
      </c>
    </row>
    <row r="219" spans="1:13" ht="15.75" customHeight="1" x14ac:dyDescent="0.25">
      <c r="A219" s="65">
        <v>30</v>
      </c>
      <c r="B219" s="84" t="s">
        <v>254</v>
      </c>
      <c r="C219" s="73">
        <v>6</v>
      </c>
      <c r="D219" s="85" t="s">
        <v>255</v>
      </c>
      <c r="E219" s="86" t="s">
        <v>131</v>
      </c>
      <c r="F219" s="85">
        <v>81897719002</v>
      </c>
      <c r="G219" s="71">
        <f t="shared" si="21"/>
        <v>16.68</v>
      </c>
      <c r="H219" s="71">
        <f t="shared" si="22"/>
        <v>100.08</v>
      </c>
      <c r="I219" s="71">
        <f t="shared" si="23"/>
        <v>16.68</v>
      </c>
      <c r="J219" s="71">
        <f t="shared" si="24"/>
        <v>100.08</v>
      </c>
      <c r="K219" s="72">
        <v>0</v>
      </c>
      <c r="M219" s="58">
        <f>VLOOKUP(D219,'TABELA DE PRECOS'!B:C,2,0)</f>
        <v>16.68</v>
      </c>
    </row>
    <row r="220" spans="1:13" ht="15.75" customHeight="1" x14ac:dyDescent="0.25">
      <c r="A220" s="65">
        <v>31</v>
      </c>
      <c r="B220" s="84" t="s">
        <v>189</v>
      </c>
      <c r="C220" s="73">
        <v>6</v>
      </c>
      <c r="D220" s="85" t="s">
        <v>190</v>
      </c>
      <c r="E220" s="86" t="s">
        <v>131</v>
      </c>
      <c r="F220" s="85">
        <v>81897719002</v>
      </c>
      <c r="G220" s="71">
        <f t="shared" si="21"/>
        <v>16.71</v>
      </c>
      <c r="H220" s="71">
        <f t="shared" si="22"/>
        <v>100.26</v>
      </c>
      <c r="I220" s="71">
        <f t="shared" si="23"/>
        <v>16.71</v>
      </c>
      <c r="J220" s="71">
        <f t="shared" si="24"/>
        <v>100.26</v>
      </c>
      <c r="K220" s="72">
        <v>0</v>
      </c>
      <c r="M220" s="58">
        <f>VLOOKUP(D220,'TABELA DE PRECOS'!B:C,2,0)</f>
        <v>16.71</v>
      </c>
    </row>
    <row r="221" spans="1:13" ht="15.75" customHeight="1" x14ac:dyDescent="0.25">
      <c r="A221" s="65">
        <v>32</v>
      </c>
      <c r="B221" s="84" t="s">
        <v>354</v>
      </c>
      <c r="C221" s="73">
        <v>2</v>
      </c>
      <c r="D221" s="85" t="s">
        <v>355</v>
      </c>
      <c r="E221" s="86" t="s">
        <v>131</v>
      </c>
      <c r="F221" s="85">
        <v>81897719002</v>
      </c>
      <c r="G221" s="71">
        <f t="shared" si="21"/>
        <v>21.09</v>
      </c>
      <c r="H221" s="71">
        <f t="shared" si="22"/>
        <v>42.18</v>
      </c>
      <c r="I221" s="71">
        <f t="shared" si="23"/>
        <v>21.09</v>
      </c>
      <c r="J221" s="71">
        <f t="shared" si="24"/>
        <v>42.18</v>
      </c>
      <c r="K221" s="72">
        <v>0</v>
      </c>
      <c r="M221" s="58">
        <f>VLOOKUP(D221,'TABELA DE PRECOS'!B:C,2,0)</f>
        <v>21.09</v>
      </c>
    </row>
    <row r="222" spans="1:13" ht="15.75" customHeight="1" x14ac:dyDescent="0.25">
      <c r="A222" s="65">
        <v>33</v>
      </c>
      <c r="B222" s="84" t="s">
        <v>356</v>
      </c>
      <c r="C222" s="73">
        <v>2</v>
      </c>
      <c r="D222" s="85" t="s">
        <v>357</v>
      </c>
      <c r="E222" s="86" t="s">
        <v>131</v>
      </c>
      <c r="F222" s="85">
        <v>81897719002</v>
      </c>
      <c r="G222" s="71">
        <f t="shared" si="21"/>
        <v>19.04</v>
      </c>
      <c r="H222" s="71">
        <f t="shared" si="22"/>
        <v>38.08</v>
      </c>
      <c r="I222" s="71">
        <f t="shared" si="23"/>
        <v>19.04</v>
      </c>
      <c r="J222" s="71">
        <f t="shared" si="24"/>
        <v>38.08</v>
      </c>
      <c r="K222" s="72">
        <v>0</v>
      </c>
      <c r="M222" s="58">
        <f>VLOOKUP(D222,'TABELA DE PRECOS'!B:C,2,0)</f>
        <v>19.04</v>
      </c>
    </row>
    <row r="223" spans="1:13" ht="15.75" customHeight="1" x14ac:dyDescent="0.25">
      <c r="A223" s="65">
        <v>34</v>
      </c>
      <c r="B223" s="84" t="s">
        <v>415</v>
      </c>
      <c r="C223" s="73">
        <v>4</v>
      </c>
      <c r="D223" s="85" t="s">
        <v>416</v>
      </c>
      <c r="E223" s="86" t="s">
        <v>131</v>
      </c>
      <c r="F223" s="85">
        <v>81897719002</v>
      </c>
      <c r="G223" s="71">
        <f t="shared" si="21"/>
        <v>16.752624000000001</v>
      </c>
      <c r="H223" s="71">
        <f t="shared" si="22"/>
        <v>67.010496000000003</v>
      </c>
      <c r="I223" s="71">
        <f t="shared" si="23"/>
        <v>16.752624000000001</v>
      </c>
      <c r="J223" s="71">
        <f t="shared" si="24"/>
        <v>67.010496000000003</v>
      </c>
      <c r="K223" s="72">
        <v>0</v>
      </c>
      <c r="M223" s="58">
        <f>VLOOKUP(D223,'TABELA DE PRECOS'!B:C,2,0)</f>
        <v>16.752624000000001</v>
      </c>
    </row>
    <row r="224" spans="1:13" ht="15.75" customHeight="1" x14ac:dyDescent="0.25">
      <c r="A224" s="65">
        <v>35</v>
      </c>
      <c r="B224" s="84" t="s">
        <v>417</v>
      </c>
      <c r="C224" s="73">
        <v>1</v>
      </c>
      <c r="D224" s="85" t="s">
        <v>418</v>
      </c>
      <c r="E224" s="86" t="s">
        <v>131</v>
      </c>
      <c r="F224" s="85">
        <v>81897719002</v>
      </c>
      <c r="G224" s="71">
        <f t="shared" si="21"/>
        <v>43.504495999999996</v>
      </c>
      <c r="H224" s="71">
        <f t="shared" si="22"/>
        <v>43.504495999999996</v>
      </c>
      <c r="I224" s="71">
        <f t="shared" si="23"/>
        <v>43.504495999999996</v>
      </c>
      <c r="J224" s="71">
        <f t="shared" si="24"/>
        <v>43.504495999999996</v>
      </c>
      <c r="K224" s="72">
        <v>0</v>
      </c>
      <c r="M224" s="58">
        <f>VLOOKUP(D224,'TABELA DE PRECOS'!B:C,2,0)</f>
        <v>43.504495999999996</v>
      </c>
    </row>
    <row r="225" spans="1:13" ht="15.75" customHeight="1" x14ac:dyDescent="0.25">
      <c r="A225" s="65">
        <v>36</v>
      </c>
      <c r="B225" s="84" t="s">
        <v>187</v>
      </c>
      <c r="C225" s="73">
        <v>6</v>
      </c>
      <c r="D225" s="85" t="s">
        <v>188</v>
      </c>
      <c r="E225" s="86" t="s">
        <v>131</v>
      </c>
      <c r="F225" s="85">
        <v>81897719002</v>
      </c>
      <c r="G225" s="71">
        <f t="shared" si="21"/>
        <v>15.95</v>
      </c>
      <c r="H225" s="71">
        <f t="shared" si="22"/>
        <v>95.699999999999989</v>
      </c>
      <c r="I225" s="71">
        <f t="shared" si="23"/>
        <v>15.95</v>
      </c>
      <c r="J225" s="71">
        <f t="shared" si="24"/>
        <v>95.699999999999989</v>
      </c>
      <c r="K225" s="72">
        <v>0</v>
      </c>
      <c r="M225" s="58">
        <f>VLOOKUP(D225,'TABELA DE PRECOS'!B:C,2,0)</f>
        <v>15.95</v>
      </c>
    </row>
    <row r="226" spans="1:13" ht="15.75" customHeight="1" x14ac:dyDescent="0.25">
      <c r="A226" s="65">
        <v>37</v>
      </c>
      <c r="B226" s="84" t="s">
        <v>419</v>
      </c>
      <c r="C226" s="73">
        <v>6</v>
      </c>
      <c r="D226" s="85" t="s">
        <v>420</v>
      </c>
      <c r="E226" s="86" t="s">
        <v>131</v>
      </c>
      <c r="F226" s="85">
        <v>81897719002</v>
      </c>
      <c r="G226" s="71">
        <f t="shared" si="21"/>
        <v>16.52</v>
      </c>
      <c r="H226" s="71">
        <f t="shared" si="22"/>
        <v>99.12</v>
      </c>
      <c r="I226" s="71">
        <f t="shared" si="23"/>
        <v>16.52</v>
      </c>
      <c r="J226" s="71">
        <f t="shared" si="24"/>
        <v>99.12</v>
      </c>
      <c r="K226" s="72">
        <v>0</v>
      </c>
      <c r="M226" s="58">
        <f>VLOOKUP(D226,'TABELA DE PRECOS'!B:C,2,0)</f>
        <v>16.52</v>
      </c>
    </row>
    <row r="227" spans="1:13" ht="15.75" customHeight="1" x14ac:dyDescent="0.25">
      <c r="A227" s="65">
        <v>38</v>
      </c>
      <c r="B227" s="84" t="s">
        <v>205</v>
      </c>
      <c r="C227" s="73">
        <v>1</v>
      </c>
      <c r="D227" s="85" t="s">
        <v>206</v>
      </c>
      <c r="E227" s="86" t="s">
        <v>131</v>
      </c>
      <c r="F227" s="85">
        <v>81897719002</v>
      </c>
      <c r="G227" s="71">
        <f t="shared" si="21"/>
        <v>18.077135999999999</v>
      </c>
      <c r="H227" s="71">
        <f t="shared" si="22"/>
        <v>18.077135999999999</v>
      </c>
      <c r="I227" s="71">
        <f t="shared" si="23"/>
        <v>18.077135999999999</v>
      </c>
      <c r="J227" s="71">
        <f t="shared" si="24"/>
        <v>18.077135999999999</v>
      </c>
      <c r="K227" s="72">
        <v>0</v>
      </c>
      <c r="M227" s="58">
        <f>VLOOKUP(D227,'TABELA DE PRECOS'!B:C,2,0)</f>
        <v>18.077135999999999</v>
      </c>
    </row>
    <row r="228" spans="1:13" ht="15.75" customHeight="1" x14ac:dyDescent="0.25">
      <c r="A228" s="65">
        <v>39</v>
      </c>
      <c r="B228" s="84" t="s">
        <v>360</v>
      </c>
      <c r="C228" s="73">
        <v>1</v>
      </c>
      <c r="D228" s="85" t="s">
        <v>361</v>
      </c>
      <c r="E228" s="86" t="s">
        <v>131</v>
      </c>
      <c r="F228" s="85">
        <v>81897719002</v>
      </c>
      <c r="G228" s="71">
        <f t="shared" si="21"/>
        <v>19.477120000000003</v>
      </c>
      <c r="H228" s="71">
        <f t="shared" si="22"/>
        <v>19.477120000000003</v>
      </c>
      <c r="I228" s="71">
        <f t="shared" si="23"/>
        <v>19.477120000000003</v>
      </c>
      <c r="J228" s="71">
        <f t="shared" si="24"/>
        <v>19.477120000000003</v>
      </c>
      <c r="K228" s="72">
        <v>0</v>
      </c>
      <c r="M228" s="58">
        <f>VLOOKUP(D228,'TABELA DE PRECOS'!B:C,2,0)</f>
        <v>19.477120000000003</v>
      </c>
    </row>
    <row r="229" spans="1:13" ht="15.75" customHeight="1" x14ac:dyDescent="0.25">
      <c r="A229" s="65">
        <v>40</v>
      </c>
      <c r="B229" s="84" t="s">
        <v>207</v>
      </c>
      <c r="C229" s="73">
        <v>1</v>
      </c>
      <c r="D229" s="85" t="s">
        <v>208</v>
      </c>
      <c r="E229" s="86" t="s">
        <v>131</v>
      </c>
      <c r="F229" s="85">
        <v>81897719002</v>
      </c>
      <c r="G229" s="71">
        <f t="shared" si="21"/>
        <v>21.30752</v>
      </c>
      <c r="H229" s="71">
        <f t="shared" si="22"/>
        <v>21.30752</v>
      </c>
      <c r="I229" s="71">
        <f t="shared" si="23"/>
        <v>21.30752</v>
      </c>
      <c r="J229" s="71">
        <f t="shared" si="24"/>
        <v>21.30752</v>
      </c>
      <c r="K229" s="72">
        <v>0</v>
      </c>
      <c r="M229" s="58">
        <f>VLOOKUP(D229,'TABELA DE PRECOS'!B:C,2,0)</f>
        <v>21.30752</v>
      </c>
    </row>
    <row r="230" spans="1:13" ht="15.75" customHeight="1" x14ac:dyDescent="0.25">
      <c r="A230" s="65">
        <v>41</v>
      </c>
      <c r="B230" s="84" t="s">
        <v>421</v>
      </c>
      <c r="C230" s="73">
        <v>1</v>
      </c>
      <c r="D230" s="85" t="s">
        <v>422</v>
      </c>
      <c r="E230" s="86" t="s">
        <v>131</v>
      </c>
      <c r="F230" s="85">
        <v>81897719002</v>
      </c>
      <c r="G230" s="71">
        <f t="shared" si="21"/>
        <v>11.13</v>
      </c>
      <c r="H230" s="71">
        <f t="shared" si="22"/>
        <v>11.13</v>
      </c>
      <c r="I230" s="71">
        <f t="shared" si="23"/>
        <v>11.13</v>
      </c>
      <c r="J230" s="71">
        <f t="shared" si="24"/>
        <v>11.13</v>
      </c>
      <c r="K230" s="72">
        <v>0</v>
      </c>
      <c r="M230" s="58">
        <f>VLOOKUP(D230,'TABELA DE PRECOS'!B:C,2,0)</f>
        <v>11.13</v>
      </c>
    </row>
    <row r="231" spans="1:13" ht="15.75" customHeight="1" x14ac:dyDescent="0.25">
      <c r="A231" s="65">
        <v>42</v>
      </c>
      <c r="B231" s="84" t="s">
        <v>219</v>
      </c>
      <c r="C231" s="73">
        <v>1</v>
      </c>
      <c r="D231" s="85" t="s">
        <v>220</v>
      </c>
      <c r="E231" s="86" t="s">
        <v>131</v>
      </c>
      <c r="F231" s="85">
        <v>81897719002</v>
      </c>
      <c r="G231" s="71">
        <f t="shared" si="21"/>
        <v>17.363840000000003</v>
      </c>
      <c r="H231" s="71">
        <f t="shared" si="22"/>
        <v>17.363840000000003</v>
      </c>
      <c r="I231" s="71">
        <f t="shared" si="23"/>
        <v>17.363840000000003</v>
      </c>
      <c r="J231" s="71">
        <f t="shared" si="24"/>
        <v>17.363840000000003</v>
      </c>
      <c r="K231" s="72">
        <v>0</v>
      </c>
      <c r="M231" s="58">
        <f>VLOOKUP(D231,'TABELA DE PRECOS'!B:C,2,0)</f>
        <v>17.363840000000003</v>
      </c>
    </row>
    <row r="232" spans="1:13" ht="15.75" customHeight="1" x14ac:dyDescent="0.25">
      <c r="A232" s="65">
        <v>43</v>
      </c>
      <c r="B232" s="84" t="s">
        <v>282</v>
      </c>
      <c r="C232" s="73">
        <v>1</v>
      </c>
      <c r="D232" s="85" t="s">
        <v>283</v>
      </c>
      <c r="E232" s="86" t="s">
        <v>131</v>
      </c>
      <c r="F232" s="85">
        <v>81897719002</v>
      </c>
      <c r="G232" s="71">
        <f t="shared" si="21"/>
        <v>17.46</v>
      </c>
      <c r="H232" s="71">
        <f t="shared" si="22"/>
        <v>17.46</v>
      </c>
      <c r="I232" s="71">
        <f t="shared" si="23"/>
        <v>17.46</v>
      </c>
      <c r="J232" s="71">
        <f t="shared" si="24"/>
        <v>17.46</v>
      </c>
      <c r="K232" s="72">
        <v>0</v>
      </c>
      <c r="M232" s="58">
        <f>VLOOKUP(D232,'TABELA DE PRECOS'!B:C,2,0)</f>
        <v>17.46</v>
      </c>
    </row>
    <row r="233" spans="1:13" ht="15.75" customHeight="1" x14ac:dyDescent="0.25">
      <c r="A233" s="65">
        <v>44</v>
      </c>
      <c r="B233" s="84" t="s">
        <v>1327</v>
      </c>
      <c r="C233" s="73">
        <v>1</v>
      </c>
      <c r="D233" s="85" t="s">
        <v>424</v>
      </c>
      <c r="E233" s="86" t="s">
        <v>131</v>
      </c>
      <c r="F233" s="85">
        <v>81897719002</v>
      </c>
      <c r="G233" s="71">
        <f t="shared" si="21"/>
        <v>14.63</v>
      </c>
      <c r="H233" s="71">
        <f t="shared" si="22"/>
        <v>14.63</v>
      </c>
      <c r="I233" s="71">
        <f t="shared" si="23"/>
        <v>14.63</v>
      </c>
      <c r="J233" s="71">
        <f t="shared" si="24"/>
        <v>14.63</v>
      </c>
      <c r="K233" s="72">
        <v>0</v>
      </c>
      <c r="M233" s="58">
        <f>VLOOKUP(D233,'TABELA DE PRECOS'!B:C,2,0)</f>
        <v>14.63</v>
      </c>
    </row>
    <row r="234" spans="1:13" ht="15.75" customHeight="1" x14ac:dyDescent="0.25">
      <c r="A234" s="65">
        <v>45</v>
      </c>
      <c r="B234" s="84" t="s">
        <v>425</v>
      </c>
      <c r="C234" s="73">
        <v>1</v>
      </c>
      <c r="D234" s="85" t="s">
        <v>426</v>
      </c>
      <c r="E234" s="86" t="s">
        <v>131</v>
      </c>
      <c r="F234" s="85">
        <v>81897719002</v>
      </c>
      <c r="G234" s="71">
        <f t="shared" si="21"/>
        <v>18.43</v>
      </c>
      <c r="H234" s="71">
        <f t="shared" si="22"/>
        <v>18.43</v>
      </c>
      <c r="I234" s="71">
        <f t="shared" si="23"/>
        <v>18.43</v>
      </c>
      <c r="J234" s="71">
        <f t="shared" si="24"/>
        <v>18.43</v>
      </c>
      <c r="K234" s="72">
        <v>0</v>
      </c>
      <c r="M234" s="58">
        <f>VLOOKUP(D234,'TABELA DE PRECOS'!B:C,2,0)</f>
        <v>18.43</v>
      </c>
    </row>
    <row r="235" spans="1:13" ht="15.75" customHeight="1" x14ac:dyDescent="0.25">
      <c r="A235" s="65">
        <v>46</v>
      </c>
      <c r="B235" s="84" t="s">
        <v>1590</v>
      </c>
      <c r="C235" s="73">
        <v>1</v>
      </c>
      <c r="D235" s="85" t="s">
        <v>428</v>
      </c>
      <c r="E235" s="86" t="s">
        <v>131</v>
      </c>
      <c r="F235" s="85">
        <v>81897719002</v>
      </c>
      <c r="G235" s="71">
        <f t="shared" si="21"/>
        <v>16.02</v>
      </c>
      <c r="H235" s="71">
        <f t="shared" si="22"/>
        <v>16.02</v>
      </c>
      <c r="I235" s="71">
        <f t="shared" si="23"/>
        <v>16.02</v>
      </c>
      <c r="J235" s="71">
        <f t="shared" si="24"/>
        <v>16.02</v>
      </c>
      <c r="K235" s="72">
        <v>0</v>
      </c>
      <c r="M235" s="58">
        <f>VLOOKUP(D235,'TABELA DE PRECOS'!B:C,2,0)</f>
        <v>16.02</v>
      </c>
    </row>
    <row r="236" spans="1:13" ht="15.75" customHeight="1" x14ac:dyDescent="0.25">
      <c r="A236" s="65">
        <v>47</v>
      </c>
      <c r="B236" s="84" t="s">
        <v>429</v>
      </c>
      <c r="C236" s="73">
        <v>1</v>
      </c>
      <c r="D236" s="85" t="s">
        <v>430</v>
      </c>
      <c r="E236" s="86" t="s">
        <v>131</v>
      </c>
      <c r="F236" s="85" t="s">
        <v>223</v>
      </c>
      <c r="G236" s="71">
        <f t="shared" si="21"/>
        <v>414.17980800000004</v>
      </c>
      <c r="H236" s="71">
        <f t="shared" si="22"/>
        <v>414.17980800000004</v>
      </c>
      <c r="I236" s="71">
        <f t="shared" si="23"/>
        <v>414.17980800000004</v>
      </c>
      <c r="J236" s="71">
        <f t="shared" si="24"/>
        <v>414.17980800000004</v>
      </c>
      <c r="K236" s="72">
        <v>0</v>
      </c>
      <c r="M236" s="58">
        <f>VLOOKUP(D236,'TABELA DE PRECOS'!B:C,2,0)</f>
        <v>414.17980800000004</v>
      </c>
    </row>
    <row r="237" spans="1:13" ht="15.75" customHeight="1" x14ac:dyDescent="0.25">
      <c r="A237" s="65">
        <v>48</v>
      </c>
      <c r="B237" s="84" t="s">
        <v>431</v>
      </c>
      <c r="C237" s="73">
        <v>1</v>
      </c>
      <c r="D237" s="85" t="s">
        <v>432</v>
      </c>
      <c r="E237" s="86" t="s">
        <v>131</v>
      </c>
      <c r="F237" s="85" t="s">
        <v>223</v>
      </c>
      <c r="G237" s="71">
        <f t="shared" si="21"/>
        <v>685.87</v>
      </c>
      <c r="H237" s="71">
        <f t="shared" si="22"/>
        <v>685.87</v>
      </c>
      <c r="I237" s="71">
        <f t="shared" si="23"/>
        <v>685.87</v>
      </c>
      <c r="J237" s="71">
        <f t="shared" si="24"/>
        <v>685.87</v>
      </c>
      <c r="K237" s="72">
        <v>0</v>
      </c>
      <c r="M237" s="58">
        <f>VLOOKUP(D237,'TABELA DE PRECOS'!B:C,2,0)</f>
        <v>685.87</v>
      </c>
    </row>
    <row r="238" spans="1:13" ht="15.75" customHeight="1" x14ac:dyDescent="0.25">
      <c r="A238" s="65">
        <v>49</v>
      </c>
      <c r="B238" s="84" t="s">
        <v>433</v>
      </c>
      <c r="C238" s="73">
        <v>1</v>
      </c>
      <c r="D238" s="85" t="s">
        <v>434</v>
      </c>
      <c r="E238" s="86" t="s">
        <v>131</v>
      </c>
      <c r="F238" s="85" t="s">
        <v>223</v>
      </c>
      <c r="G238" s="71">
        <f t="shared" si="21"/>
        <v>681.45791999999994</v>
      </c>
      <c r="H238" s="71">
        <f t="shared" si="22"/>
        <v>681.45791999999994</v>
      </c>
      <c r="I238" s="71">
        <f t="shared" si="23"/>
        <v>681.45791999999994</v>
      </c>
      <c r="J238" s="71">
        <f t="shared" si="24"/>
        <v>681.45791999999994</v>
      </c>
      <c r="K238" s="72">
        <v>0</v>
      </c>
      <c r="M238" s="58">
        <f>VLOOKUP(D238,'TABELA DE PRECOS'!B:C,2,0)</f>
        <v>681.45791999999994</v>
      </c>
    </row>
    <row r="239" spans="1:13" ht="15.75" customHeight="1" x14ac:dyDescent="0.25">
      <c r="A239" s="65">
        <v>50</v>
      </c>
      <c r="B239" s="84" t="s">
        <v>378</v>
      </c>
      <c r="C239" s="73">
        <v>2</v>
      </c>
      <c r="D239" s="85" t="s">
        <v>379</v>
      </c>
      <c r="E239" s="86" t="s">
        <v>131</v>
      </c>
      <c r="F239" s="85" t="s">
        <v>223</v>
      </c>
      <c r="G239" s="71">
        <f t="shared" si="21"/>
        <v>9.18</v>
      </c>
      <c r="H239" s="71">
        <f t="shared" si="22"/>
        <v>18.36</v>
      </c>
      <c r="I239" s="71">
        <f t="shared" si="23"/>
        <v>9.18</v>
      </c>
      <c r="J239" s="71">
        <f t="shared" si="24"/>
        <v>18.36</v>
      </c>
      <c r="K239" s="72">
        <v>0</v>
      </c>
      <c r="M239" s="58">
        <f>VLOOKUP(D239,'TABELA DE PRECOS'!B:C,2,0)</f>
        <v>9.18</v>
      </c>
    </row>
    <row r="240" spans="1:13" ht="15.75" customHeight="1" x14ac:dyDescent="0.25">
      <c r="A240" s="78"/>
      <c r="B240" s="79" t="s">
        <v>224</v>
      </c>
      <c r="C240" s="79">
        <f>SUM(C190:C239)</f>
        <v>97</v>
      </c>
      <c r="D240" s="79"/>
      <c r="E240" s="79"/>
      <c r="F240" s="79"/>
      <c r="G240" s="80"/>
      <c r="H240" s="80">
        <f>SUM(H190:H239)</f>
        <v>4829.1126079999995</v>
      </c>
      <c r="I240" s="79"/>
      <c r="J240" s="80">
        <f>SUM(J190:J239)</f>
        <v>4829.1126079999995</v>
      </c>
      <c r="K240" s="81"/>
      <c r="M240" s="58" t="e">
        <f>VLOOKUP(D240,'TABELA DE PRECOS'!B:C,2,0)</f>
        <v>#N/A</v>
      </c>
    </row>
    <row r="241" spans="1:13" ht="15.75" customHeight="1" x14ac:dyDescent="0.25">
      <c r="A241" s="57"/>
      <c r="B241" s="49" t="s">
        <v>15</v>
      </c>
      <c r="C241" s="57"/>
      <c r="D241" s="90"/>
      <c r="E241" s="90"/>
      <c r="F241" s="90"/>
      <c r="G241" s="58"/>
      <c r="H241" s="58"/>
      <c r="I241" s="58"/>
      <c r="J241" s="58"/>
      <c r="K241" s="59"/>
      <c r="M241" s="58" t="e">
        <f>VLOOKUP(D241,'TABELA DE PRECOS'!B:C,2,0)</f>
        <v>#N/A</v>
      </c>
    </row>
    <row r="242" spans="1:13" ht="15.75" customHeight="1" x14ac:dyDescent="0.25">
      <c r="A242" s="56"/>
      <c r="B242" s="18" t="s">
        <v>435</v>
      </c>
      <c r="C242" s="57"/>
      <c r="G242" s="58"/>
      <c r="H242" s="58"/>
      <c r="I242" s="58"/>
      <c r="J242" s="58"/>
      <c r="K242" s="59"/>
      <c r="M242" s="58" t="e">
        <f>VLOOKUP(D242,'TABELA DE PRECOS'!B:C,2,0)</f>
        <v>#N/A</v>
      </c>
    </row>
    <row r="243" spans="1:13" ht="15.75" customHeight="1" x14ac:dyDescent="0.25">
      <c r="A243" s="18" t="s">
        <v>119</v>
      </c>
      <c r="B243" s="18" t="s">
        <v>120</v>
      </c>
      <c r="C243" s="18" t="s">
        <v>21</v>
      </c>
      <c r="D243" s="18" t="s">
        <v>121</v>
      </c>
      <c r="E243" s="60" t="s">
        <v>122</v>
      </c>
      <c r="F243" s="18" t="s">
        <v>123</v>
      </c>
      <c r="G243" s="61" t="s">
        <v>22</v>
      </c>
      <c r="H243" s="18" t="s">
        <v>23</v>
      </c>
      <c r="I243" s="18" t="s">
        <v>24</v>
      </c>
      <c r="J243" s="18" t="s">
        <v>25</v>
      </c>
      <c r="K243" s="62" t="s">
        <v>26</v>
      </c>
      <c r="M243" s="58" t="str">
        <f>VLOOKUP(D243,'TABELA DE PRECOS'!B:C,2,0)</f>
        <v>Valor Unit Bruto</v>
      </c>
    </row>
    <row r="244" spans="1:13" ht="15.75" customHeight="1" x14ac:dyDescent="0.25">
      <c r="A244" s="73">
        <v>1</v>
      </c>
      <c r="B244" s="84" t="s">
        <v>290</v>
      </c>
      <c r="C244" s="73">
        <v>1</v>
      </c>
      <c r="D244" s="85" t="s">
        <v>291</v>
      </c>
      <c r="E244" s="86" t="s">
        <v>131</v>
      </c>
      <c r="F244" s="85">
        <v>81897719002</v>
      </c>
      <c r="G244" s="71">
        <f t="shared" ref="G244:G280" si="25">M244</f>
        <v>16.5</v>
      </c>
      <c r="H244" s="71">
        <f t="shared" ref="H244:H280" si="26">G244*C244</f>
        <v>16.5</v>
      </c>
      <c r="I244" s="71">
        <f t="shared" ref="I244:I280" si="27">G244</f>
        <v>16.5</v>
      </c>
      <c r="J244" s="71">
        <f t="shared" ref="J244:J280" si="28">I244*C244</f>
        <v>16.5</v>
      </c>
      <c r="K244" s="72">
        <v>0</v>
      </c>
      <c r="L244" s="63"/>
      <c r="M244" s="58">
        <f>VLOOKUP(D244,'TABELA DE PRECOS'!B:C,2,0)</f>
        <v>16.5</v>
      </c>
    </row>
    <row r="245" spans="1:13" ht="15.75" customHeight="1" x14ac:dyDescent="0.25">
      <c r="A245" s="73">
        <v>2</v>
      </c>
      <c r="B245" s="84" t="s">
        <v>133</v>
      </c>
      <c r="C245" s="73">
        <v>1</v>
      </c>
      <c r="D245" s="85" t="s">
        <v>134</v>
      </c>
      <c r="E245" s="86" t="s">
        <v>131</v>
      </c>
      <c r="F245" s="85">
        <v>81897719002</v>
      </c>
      <c r="G245" s="71">
        <f t="shared" si="25"/>
        <v>17.19688</v>
      </c>
      <c r="H245" s="71">
        <f t="shared" si="26"/>
        <v>17.19688</v>
      </c>
      <c r="I245" s="71">
        <f t="shared" si="27"/>
        <v>17.19688</v>
      </c>
      <c r="J245" s="71">
        <f t="shared" si="28"/>
        <v>17.19688</v>
      </c>
      <c r="K245" s="72">
        <v>0</v>
      </c>
      <c r="M245" s="58">
        <f>VLOOKUP(D245,'TABELA DE PRECOS'!B:C,2,0)</f>
        <v>17.19688</v>
      </c>
    </row>
    <row r="246" spans="1:13" ht="15.75" customHeight="1" x14ac:dyDescent="0.25">
      <c r="A246" s="73">
        <v>3</v>
      </c>
      <c r="B246" s="84" t="s">
        <v>436</v>
      </c>
      <c r="C246" s="73">
        <v>1</v>
      </c>
      <c r="D246" s="85" t="s">
        <v>437</v>
      </c>
      <c r="E246" s="86" t="s">
        <v>131</v>
      </c>
      <c r="F246" s="85">
        <v>81897719002</v>
      </c>
      <c r="G246" s="71">
        <f t="shared" si="25"/>
        <v>24.36928</v>
      </c>
      <c r="H246" s="71">
        <f t="shared" si="26"/>
        <v>24.36928</v>
      </c>
      <c r="I246" s="71">
        <f t="shared" si="27"/>
        <v>24.36928</v>
      </c>
      <c r="J246" s="71">
        <f t="shared" si="28"/>
        <v>24.36928</v>
      </c>
      <c r="K246" s="72">
        <v>0</v>
      </c>
      <c r="M246" s="58">
        <f>VLOOKUP(D246,'TABELA DE PRECOS'!B:C,2,0)</f>
        <v>24.36928</v>
      </c>
    </row>
    <row r="247" spans="1:13" ht="15.75" customHeight="1" x14ac:dyDescent="0.25">
      <c r="A247" s="73">
        <v>4</v>
      </c>
      <c r="B247" s="84" t="s">
        <v>438</v>
      </c>
      <c r="C247" s="73">
        <v>1</v>
      </c>
      <c r="D247" s="91">
        <v>10450</v>
      </c>
      <c r="E247" s="86" t="s">
        <v>439</v>
      </c>
      <c r="F247" s="85">
        <v>81087610003</v>
      </c>
      <c r="G247" s="71">
        <f t="shared" si="25"/>
        <v>36.541440000000001</v>
      </c>
      <c r="H247" s="71">
        <f t="shared" si="26"/>
        <v>36.541440000000001</v>
      </c>
      <c r="I247" s="71">
        <f t="shared" si="27"/>
        <v>36.541440000000001</v>
      </c>
      <c r="J247" s="71">
        <f t="shared" si="28"/>
        <v>36.541440000000001</v>
      </c>
      <c r="K247" s="72">
        <v>0</v>
      </c>
      <c r="M247" s="58">
        <f>VLOOKUP(D247,'TABELA DE PRECOS'!B:C,2,0)</f>
        <v>36.541440000000001</v>
      </c>
    </row>
    <row r="248" spans="1:13" ht="15.75" customHeight="1" x14ac:dyDescent="0.25">
      <c r="A248" s="73">
        <v>5</v>
      </c>
      <c r="B248" s="84" t="s">
        <v>300</v>
      </c>
      <c r="C248" s="73">
        <v>1</v>
      </c>
      <c r="D248" s="85" t="s">
        <v>301</v>
      </c>
      <c r="E248" s="86" t="s">
        <v>131</v>
      </c>
      <c r="F248" s="85">
        <v>81897719002</v>
      </c>
      <c r="G248" s="71">
        <f t="shared" si="25"/>
        <v>9.4</v>
      </c>
      <c r="H248" s="71">
        <f t="shared" si="26"/>
        <v>9.4</v>
      </c>
      <c r="I248" s="71">
        <f t="shared" si="27"/>
        <v>9.4</v>
      </c>
      <c r="J248" s="71">
        <f t="shared" si="28"/>
        <v>9.4</v>
      </c>
      <c r="K248" s="72">
        <v>0</v>
      </c>
      <c r="M248" s="58">
        <f>VLOOKUP(D248,'TABELA DE PRECOS'!B:C,2,0)</f>
        <v>9.4</v>
      </c>
    </row>
    <row r="249" spans="1:13" ht="15.75" customHeight="1" x14ac:dyDescent="0.25">
      <c r="A249" s="73">
        <v>6</v>
      </c>
      <c r="B249" s="84" t="s">
        <v>137</v>
      </c>
      <c r="C249" s="73">
        <v>1</v>
      </c>
      <c r="D249" s="85" t="s">
        <v>138</v>
      </c>
      <c r="E249" s="86" t="s">
        <v>131</v>
      </c>
      <c r="F249" s="85">
        <v>81897719002</v>
      </c>
      <c r="G249" s="71">
        <f t="shared" si="25"/>
        <v>8.25</v>
      </c>
      <c r="H249" s="71">
        <f t="shared" si="26"/>
        <v>8.25</v>
      </c>
      <c r="I249" s="71">
        <f t="shared" si="27"/>
        <v>8.25</v>
      </c>
      <c r="J249" s="71">
        <f t="shared" si="28"/>
        <v>8.25</v>
      </c>
      <c r="K249" s="72">
        <v>0</v>
      </c>
      <c r="M249" s="58">
        <f>VLOOKUP(D249,'TABELA DE PRECOS'!B:C,2,0)</f>
        <v>8.25</v>
      </c>
    </row>
    <row r="250" spans="1:13" ht="15.75" customHeight="1" x14ac:dyDescent="0.25">
      <c r="A250" s="73">
        <v>7</v>
      </c>
      <c r="B250" s="84" t="s">
        <v>304</v>
      </c>
      <c r="C250" s="73">
        <v>1</v>
      </c>
      <c r="D250" s="85" t="s">
        <v>305</v>
      </c>
      <c r="E250" s="86" t="s">
        <v>131</v>
      </c>
      <c r="F250" s="85" t="s">
        <v>223</v>
      </c>
      <c r="G250" s="71">
        <f t="shared" si="25"/>
        <v>5.2653600000000003</v>
      </c>
      <c r="H250" s="71">
        <f t="shared" si="26"/>
        <v>5.2653600000000003</v>
      </c>
      <c r="I250" s="71">
        <f t="shared" si="27"/>
        <v>5.2653600000000003</v>
      </c>
      <c r="J250" s="71">
        <f t="shared" si="28"/>
        <v>5.2653600000000003</v>
      </c>
      <c r="K250" s="72">
        <v>0</v>
      </c>
      <c r="M250" s="58">
        <f>VLOOKUP(D250,'TABELA DE PRECOS'!B:C,2,0)</f>
        <v>5.2653600000000003</v>
      </c>
    </row>
    <row r="251" spans="1:13" ht="15.75" customHeight="1" x14ac:dyDescent="0.25">
      <c r="A251" s="73">
        <v>8</v>
      </c>
      <c r="B251" s="84" t="s">
        <v>324</v>
      </c>
      <c r="C251" s="73">
        <v>2</v>
      </c>
      <c r="D251" s="85" t="s">
        <v>325</v>
      </c>
      <c r="E251" s="86" t="s">
        <v>131</v>
      </c>
      <c r="F251" s="85">
        <v>81897719002</v>
      </c>
      <c r="G251" s="71">
        <f t="shared" si="25"/>
        <v>23.7636</v>
      </c>
      <c r="H251" s="71">
        <f t="shared" si="26"/>
        <v>47.527200000000001</v>
      </c>
      <c r="I251" s="71">
        <f t="shared" si="27"/>
        <v>23.7636</v>
      </c>
      <c r="J251" s="71">
        <f t="shared" si="28"/>
        <v>47.527200000000001</v>
      </c>
      <c r="K251" s="72">
        <v>0</v>
      </c>
      <c r="M251" s="58">
        <f>VLOOKUP(D251,'TABELA DE PRECOS'!B:C,2,0)</f>
        <v>23.7636</v>
      </c>
    </row>
    <row r="252" spans="1:13" ht="15.75" customHeight="1" x14ac:dyDescent="0.25">
      <c r="A252" s="73">
        <v>9</v>
      </c>
      <c r="B252" s="84" t="s">
        <v>185</v>
      </c>
      <c r="C252" s="73">
        <v>6</v>
      </c>
      <c r="D252" s="85" t="s">
        <v>186</v>
      </c>
      <c r="E252" s="86" t="s">
        <v>131</v>
      </c>
      <c r="F252" s="85">
        <v>81897719002</v>
      </c>
      <c r="G252" s="71">
        <f t="shared" si="25"/>
        <v>17.28</v>
      </c>
      <c r="H252" s="71">
        <f t="shared" si="26"/>
        <v>103.68</v>
      </c>
      <c r="I252" s="71">
        <f t="shared" si="27"/>
        <v>17.28</v>
      </c>
      <c r="J252" s="71">
        <f t="shared" si="28"/>
        <v>103.68</v>
      </c>
      <c r="K252" s="72">
        <v>0</v>
      </c>
      <c r="M252" s="58">
        <f>VLOOKUP(D252,'TABELA DE PRECOS'!B:C,2,0)</f>
        <v>17.28</v>
      </c>
    </row>
    <row r="253" spans="1:13" ht="15.75" customHeight="1" x14ac:dyDescent="0.25">
      <c r="A253" s="73">
        <v>10</v>
      </c>
      <c r="B253" s="84" t="s">
        <v>183</v>
      </c>
      <c r="C253" s="73">
        <v>1</v>
      </c>
      <c r="D253" s="85" t="s">
        <v>184</v>
      </c>
      <c r="E253" s="86" t="s">
        <v>131</v>
      </c>
      <c r="F253" s="85">
        <v>81897719002</v>
      </c>
      <c r="G253" s="71">
        <f t="shared" si="25"/>
        <v>40.79</v>
      </c>
      <c r="H253" s="71">
        <f t="shared" si="26"/>
        <v>40.79</v>
      </c>
      <c r="I253" s="71">
        <f t="shared" si="27"/>
        <v>40.79</v>
      </c>
      <c r="J253" s="71">
        <f t="shared" si="28"/>
        <v>40.79</v>
      </c>
      <c r="K253" s="72">
        <v>0</v>
      </c>
      <c r="M253" s="58">
        <f>VLOOKUP(D253,'TABELA DE PRECOS'!B:C,2,0)</f>
        <v>40.79</v>
      </c>
    </row>
    <row r="254" spans="1:13" ht="15.75" customHeight="1" x14ac:dyDescent="0.25">
      <c r="A254" s="73">
        <v>11</v>
      </c>
      <c r="B254" s="84" t="s">
        <v>320</v>
      </c>
      <c r="C254" s="73">
        <v>2</v>
      </c>
      <c r="D254" s="85" t="s">
        <v>321</v>
      </c>
      <c r="E254" s="86" t="s">
        <v>131</v>
      </c>
      <c r="F254" s="85">
        <v>81897719002</v>
      </c>
      <c r="G254" s="71">
        <f t="shared" si="25"/>
        <v>44.93</v>
      </c>
      <c r="H254" s="71">
        <f t="shared" si="26"/>
        <v>89.86</v>
      </c>
      <c r="I254" s="71">
        <f t="shared" si="27"/>
        <v>44.93</v>
      </c>
      <c r="J254" s="71">
        <f t="shared" si="28"/>
        <v>89.86</v>
      </c>
      <c r="K254" s="72">
        <v>0</v>
      </c>
      <c r="M254" s="58">
        <f>VLOOKUP(D254,'TABELA DE PRECOS'!B:C,2,0)</f>
        <v>44.93</v>
      </c>
    </row>
    <row r="255" spans="1:13" ht="15.75" customHeight="1" x14ac:dyDescent="0.25">
      <c r="A255" s="73">
        <v>12</v>
      </c>
      <c r="B255" s="84" t="s">
        <v>397</v>
      </c>
      <c r="C255" s="73">
        <v>1</v>
      </c>
      <c r="D255" s="85" t="s">
        <v>398</v>
      </c>
      <c r="E255" s="86" t="s">
        <v>131</v>
      </c>
      <c r="F255" s="85">
        <v>81897719002</v>
      </c>
      <c r="G255" s="71">
        <f t="shared" si="25"/>
        <v>9.19</v>
      </c>
      <c r="H255" s="71">
        <f t="shared" si="26"/>
        <v>9.19</v>
      </c>
      <c r="I255" s="71">
        <f t="shared" si="27"/>
        <v>9.19</v>
      </c>
      <c r="J255" s="71">
        <f t="shared" si="28"/>
        <v>9.19</v>
      </c>
      <c r="K255" s="72">
        <v>0</v>
      </c>
      <c r="M255" s="58">
        <f>VLOOKUP(D255,'TABELA DE PRECOS'!B:C,2,0)</f>
        <v>9.19</v>
      </c>
    </row>
    <row r="256" spans="1:13" ht="15.75" customHeight="1" x14ac:dyDescent="0.25">
      <c r="A256" s="73">
        <v>13</v>
      </c>
      <c r="B256" s="84" t="s">
        <v>328</v>
      </c>
      <c r="C256" s="73">
        <v>2</v>
      </c>
      <c r="D256" s="85" t="s">
        <v>329</v>
      </c>
      <c r="E256" s="86" t="s">
        <v>131</v>
      </c>
      <c r="F256" s="85">
        <v>81897719002</v>
      </c>
      <c r="G256" s="71">
        <f t="shared" si="25"/>
        <v>10.92</v>
      </c>
      <c r="H256" s="71">
        <f t="shared" si="26"/>
        <v>21.84</v>
      </c>
      <c r="I256" s="71">
        <f t="shared" si="27"/>
        <v>10.92</v>
      </c>
      <c r="J256" s="71">
        <f t="shared" si="28"/>
        <v>21.84</v>
      </c>
      <c r="K256" s="72">
        <v>0</v>
      </c>
      <c r="M256" s="58">
        <f>VLOOKUP(D256,'TABELA DE PRECOS'!B:C,2,0)</f>
        <v>10.92</v>
      </c>
    </row>
    <row r="257" spans="1:13" ht="15.75" customHeight="1" x14ac:dyDescent="0.25">
      <c r="A257" s="73">
        <v>14</v>
      </c>
      <c r="B257" s="84" t="s">
        <v>195</v>
      </c>
      <c r="C257" s="73">
        <v>2</v>
      </c>
      <c r="D257" s="85" t="s">
        <v>196</v>
      </c>
      <c r="E257" s="86" t="s">
        <v>131</v>
      </c>
      <c r="F257" s="85">
        <v>81897719002</v>
      </c>
      <c r="G257" s="71">
        <f t="shared" si="25"/>
        <v>9.0399999999999991</v>
      </c>
      <c r="H257" s="71">
        <f t="shared" si="26"/>
        <v>18.079999999999998</v>
      </c>
      <c r="I257" s="71">
        <f t="shared" si="27"/>
        <v>9.0399999999999991</v>
      </c>
      <c r="J257" s="71">
        <f t="shared" si="28"/>
        <v>18.079999999999998</v>
      </c>
      <c r="K257" s="72">
        <v>0</v>
      </c>
      <c r="M257" s="58">
        <f>VLOOKUP(D257,'TABELA DE PRECOS'!B:C,2,0)</f>
        <v>9.0399999999999991</v>
      </c>
    </row>
    <row r="258" spans="1:13" ht="15.75" customHeight="1" x14ac:dyDescent="0.25">
      <c r="A258" s="73">
        <v>15</v>
      </c>
      <c r="B258" s="84" t="s">
        <v>440</v>
      </c>
      <c r="C258" s="73">
        <v>1</v>
      </c>
      <c r="D258" s="85" t="s">
        <v>441</v>
      </c>
      <c r="E258" s="86" t="s">
        <v>131</v>
      </c>
      <c r="F258" s="85">
        <v>81897719002</v>
      </c>
      <c r="G258" s="71">
        <f t="shared" si="25"/>
        <v>17.646719999999998</v>
      </c>
      <c r="H258" s="71">
        <f t="shared" si="26"/>
        <v>17.646719999999998</v>
      </c>
      <c r="I258" s="71">
        <f t="shared" si="27"/>
        <v>17.646719999999998</v>
      </c>
      <c r="J258" s="71">
        <f t="shared" si="28"/>
        <v>17.646719999999998</v>
      </c>
      <c r="K258" s="72">
        <v>0</v>
      </c>
      <c r="M258" s="58">
        <f>VLOOKUP(D258,'TABELA DE PRECOS'!B:C,2,0)</f>
        <v>17.646719999999998</v>
      </c>
    </row>
    <row r="259" spans="1:13" ht="15.75" customHeight="1" x14ac:dyDescent="0.25">
      <c r="A259" s="73">
        <v>16</v>
      </c>
      <c r="B259" s="84" t="s">
        <v>342</v>
      </c>
      <c r="C259" s="73">
        <v>2</v>
      </c>
      <c r="D259" s="85" t="s">
        <v>343</v>
      </c>
      <c r="E259" s="86" t="s">
        <v>131</v>
      </c>
      <c r="F259" s="85">
        <v>81897719002</v>
      </c>
      <c r="G259" s="71">
        <f t="shared" si="25"/>
        <v>21.43</v>
      </c>
      <c r="H259" s="71">
        <f t="shared" si="26"/>
        <v>42.86</v>
      </c>
      <c r="I259" s="71">
        <f t="shared" si="27"/>
        <v>21.43</v>
      </c>
      <c r="J259" s="71">
        <f t="shared" si="28"/>
        <v>42.86</v>
      </c>
      <c r="K259" s="72">
        <v>0</v>
      </c>
      <c r="M259" s="58">
        <f>VLOOKUP(D259,'TABELA DE PRECOS'!B:C,2,0)</f>
        <v>21.43</v>
      </c>
    </row>
    <row r="260" spans="1:13" ht="15.75" customHeight="1" x14ac:dyDescent="0.25">
      <c r="A260" s="73">
        <v>17</v>
      </c>
      <c r="B260" s="84" t="s">
        <v>344</v>
      </c>
      <c r="C260" s="73">
        <v>2</v>
      </c>
      <c r="D260" s="85" t="s">
        <v>345</v>
      </c>
      <c r="E260" s="86" t="s">
        <v>131</v>
      </c>
      <c r="F260" s="85">
        <v>81897719002</v>
      </c>
      <c r="G260" s="71">
        <f t="shared" si="25"/>
        <v>18.12</v>
      </c>
      <c r="H260" s="71">
        <f t="shared" si="26"/>
        <v>36.24</v>
      </c>
      <c r="I260" s="71">
        <f t="shared" si="27"/>
        <v>18.12</v>
      </c>
      <c r="J260" s="71">
        <f t="shared" si="28"/>
        <v>36.24</v>
      </c>
      <c r="K260" s="72">
        <v>0</v>
      </c>
      <c r="M260" s="58">
        <f>VLOOKUP(D260,'TABELA DE PRECOS'!B:C,2,0)</f>
        <v>18.12</v>
      </c>
    </row>
    <row r="261" spans="1:13" ht="15.75" customHeight="1" x14ac:dyDescent="0.25">
      <c r="A261" s="73">
        <v>18</v>
      </c>
      <c r="B261" s="84" t="s">
        <v>1580</v>
      </c>
      <c r="C261" s="73">
        <v>4</v>
      </c>
      <c r="D261" s="118" t="s">
        <v>1579</v>
      </c>
      <c r="E261" s="86" t="s">
        <v>131</v>
      </c>
      <c r="F261" s="85">
        <v>81897719002</v>
      </c>
      <c r="G261" s="71">
        <f t="shared" si="25"/>
        <v>21.30752</v>
      </c>
      <c r="H261" s="71">
        <f t="shared" si="26"/>
        <v>85.230080000000001</v>
      </c>
      <c r="I261" s="71">
        <f t="shared" si="27"/>
        <v>21.30752</v>
      </c>
      <c r="J261" s="71">
        <f t="shared" si="28"/>
        <v>85.230080000000001</v>
      </c>
      <c r="K261" s="72">
        <v>0</v>
      </c>
      <c r="M261" s="58">
        <f>VLOOKUP(D261,'TABELA DE PRECOS'!B:C,2,0)</f>
        <v>21.30752</v>
      </c>
    </row>
    <row r="262" spans="1:13" ht="15.75" customHeight="1" x14ac:dyDescent="0.25">
      <c r="A262" s="73">
        <v>19</v>
      </c>
      <c r="B262" s="84" t="s">
        <v>444</v>
      </c>
      <c r="C262" s="73">
        <v>2</v>
      </c>
      <c r="D262" s="85" t="s">
        <v>445</v>
      </c>
      <c r="E262" s="86" t="s">
        <v>131</v>
      </c>
      <c r="F262" s="85">
        <v>81897710022</v>
      </c>
      <c r="G262" s="71">
        <f t="shared" si="25"/>
        <v>25.44256</v>
      </c>
      <c r="H262" s="71">
        <f t="shared" si="26"/>
        <v>50.885120000000001</v>
      </c>
      <c r="I262" s="71">
        <f t="shared" si="27"/>
        <v>25.44256</v>
      </c>
      <c r="J262" s="71">
        <f t="shared" si="28"/>
        <v>50.885120000000001</v>
      </c>
      <c r="K262" s="72">
        <v>0</v>
      </c>
      <c r="M262" s="58">
        <f>VLOOKUP(D262,'TABELA DE PRECOS'!B:C,2,0)</f>
        <v>25.44256</v>
      </c>
    </row>
    <row r="263" spans="1:13" ht="15.75" customHeight="1" x14ac:dyDescent="0.25">
      <c r="A263" s="73">
        <v>20</v>
      </c>
      <c r="B263" s="84" t="s">
        <v>338</v>
      </c>
      <c r="C263" s="73">
        <v>1</v>
      </c>
      <c r="D263" s="85" t="s">
        <v>339</v>
      </c>
      <c r="E263" s="86" t="s">
        <v>131</v>
      </c>
      <c r="F263" s="85">
        <v>81897719002</v>
      </c>
      <c r="G263" s="71">
        <f t="shared" si="25"/>
        <v>26.31</v>
      </c>
      <c r="H263" s="71">
        <f t="shared" si="26"/>
        <v>26.31</v>
      </c>
      <c r="I263" s="71">
        <f t="shared" si="27"/>
        <v>26.31</v>
      </c>
      <c r="J263" s="71">
        <f t="shared" si="28"/>
        <v>26.31</v>
      </c>
      <c r="K263" s="72">
        <v>0</v>
      </c>
      <c r="M263" s="58">
        <f>VLOOKUP(D263,'TABELA DE PRECOS'!B:C,2,0)</f>
        <v>26.31</v>
      </c>
    </row>
    <row r="264" spans="1:13" ht="15.75" customHeight="1" x14ac:dyDescent="0.25">
      <c r="A264" s="73">
        <v>21</v>
      </c>
      <c r="B264" s="84" t="s">
        <v>187</v>
      </c>
      <c r="C264" s="73">
        <v>6</v>
      </c>
      <c r="D264" s="85" t="s">
        <v>188</v>
      </c>
      <c r="E264" s="86" t="s">
        <v>131</v>
      </c>
      <c r="F264" s="85">
        <v>81897719002</v>
      </c>
      <c r="G264" s="71">
        <f t="shared" si="25"/>
        <v>15.95</v>
      </c>
      <c r="H264" s="71">
        <f t="shared" si="26"/>
        <v>95.699999999999989</v>
      </c>
      <c r="I264" s="71">
        <f t="shared" si="27"/>
        <v>15.95</v>
      </c>
      <c r="J264" s="71">
        <f t="shared" si="28"/>
        <v>95.699999999999989</v>
      </c>
      <c r="K264" s="72">
        <v>0</v>
      </c>
      <c r="M264" s="58">
        <f>VLOOKUP(D264,'TABELA DE PRECOS'!B:C,2,0)</f>
        <v>15.95</v>
      </c>
    </row>
    <row r="265" spans="1:13" ht="15.75" customHeight="1" x14ac:dyDescent="0.25">
      <c r="A265" s="73">
        <v>22</v>
      </c>
      <c r="B265" s="84" t="s">
        <v>316</v>
      </c>
      <c r="C265" s="73">
        <v>2</v>
      </c>
      <c r="D265" s="85" t="s">
        <v>317</v>
      </c>
      <c r="E265" s="86" t="s">
        <v>131</v>
      </c>
      <c r="F265" s="85">
        <v>81897719002</v>
      </c>
      <c r="G265" s="71">
        <f t="shared" si="25"/>
        <v>32.450000000000003</v>
      </c>
      <c r="H265" s="71">
        <f t="shared" si="26"/>
        <v>64.900000000000006</v>
      </c>
      <c r="I265" s="71">
        <f t="shared" si="27"/>
        <v>32.450000000000003</v>
      </c>
      <c r="J265" s="71">
        <f t="shared" si="28"/>
        <v>64.900000000000006</v>
      </c>
      <c r="K265" s="72">
        <v>0</v>
      </c>
      <c r="M265" s="58">
        <f>VLOOKUP(D265,'TABELA DE PRECOS'!B:C,2,0)</f>
        <v>32.450000000000003</v>
      </c>
    </row>
    <row r="266" spans="1:13" ht="15.75" customHeight="1" x14ac:dyDescent="0.25">
      <c r="A266" s="73">
        <v>23</v>
      </c>
      <c r="B266" s="84" t="s">
        <v>151</v>
      </c>
      <c r="C266" s="73">
        <v>1</v>
      </c>
      <c r="D266" s="85" t="s">
        <v>152</v>
      </c>
      <c r="E266" s="86" t="s">
        <v>131</v>
      </c>
      <c r="F266" s="85">
        <v>81897719002</v>
      </c>
      <c r="G266" s="71">
        <f t="shared" si="25"/>
        <v>38.43</v>
      </c>
      <c r="H266" s="71">
        <f t="shared" si="26"/>
        <v>38.43</v>
      </c>
      <c r="I266" s="71">
        <f t="shared" si="27"/>
        <v>38.43</v>
      </c>
      <c r="J266" s="71">
        <f t="shared" si="28"/>
        <v>38.43</v>
      </c>
      <c r="K266" s="72">
        <v>0</v>
      </c>
      <c r="M266" s="58">
        <f>VLOOKUP(D266,'TABELA DE PRECOS'!B:C,2,0)</f>
        <v>38.43</v>
      </c>
    </row>
    <row r="267" spans="1:13" ht="15.75" customHeight="1" x14ac:dyDescent="0.25">
      <c r="A267" s="73">
        <v>24</v>
      </c>
      <c r="B267" s="84" t="s">
        <v>446</v>
      </c>
      <c r="C267" s="73">
        <v>1</v>
      </c>
      <c r="D267" s="85" t="s">
        <v>447</v>
      </c>
      <c r="E267" s="86" t="s">
        <v>131</v>
      </c>
      <c r="F267" s="85">
        <v>81897719006</v>
      </c>
      <c r="G267" s="71">
        <f t="shared" si="25"/>
        <v>34.04768</v>
      </c>
      <c r="H267" s="71">
        <f t="shared" si="26"/>
        <v>34.04768</v>
      </c>
      <c r="I267" s="71">
        <f t="shared" si="27"/>
        <v>34.04768</v>
      </c>
      <c r="J267" s="71">
        <f t="shared" si="28"/>
        <v>34.04768</v>
      </c>
      <c r="K267" s="72">
        <v>0</v>
      </c>
      <c r="M267" s="58">
        <f>VLOOKUP(D267,'TABELA DE PRECOS'!B:C,2,0)</f>
        <v>34.04768</v>
      </c>
    </row>
    <row r="268" spans="1:13" ht="15.75" customHeight="1" x14ac:dyDescent="0.25">
      <c r="A268" s="73">
        <v>25</v>
      </c>
      <c r="B268" s="84" t="s">
        <v>419</v>
      </c>
      <c r="C268" s="73">
        <v>6</v>
      </c>
      <c r="D268" s="85" t="s">
        <v>420</v>
      </c>
      <c r="E268" s="86" t="s">
        <v>131</v>
      </c>
      <c r="F268" s="85">
        <v>81897719002</v>
      </c>
      <c r="G268" s="71">
        <f t="shared" si="25"/>
        <v>16.52</v>
      </c>
      <c r="H268" s="71">
        <f t="shared" si="26"/>
        <v>99.12</v>
      </c>
      <c r="I268" s="71">
        <f t="shared" si="27"/>
        <v>16.52</v>
      </c>
      <c r="J268" s="71">
        <f t="shared" si="28"/>
        <v>99.12</v>
      </c>
      <c r="K268" s="72">
        <v>0</v>
      </c>
      <c r="M268" s="58">
        <f>VLOOKUP(D268,'TABELA DE PRECOS'!B:C,2,0)</f>
        <v>16.52</v>
      </c>
    </row>
    <row r="269" spans="1:13" ht="15.75" customHeight="1" x14ac:dyDescent="0.25">
      <c r="A269" s="73">
        <v>26</v>
      </c>
      <c r="B269" s="84" t="s">
        <v>350</v>
      </c>
      <c r="C269" s="73">
        <v>2</v>
      </c>
      <c r="D269" s="85" t="s">
        <v>351</v>
      </c>
      <c r="E269" s="86" t="s">
        <v>131</v>
      </c>
      <c r="F269" s="85">
        <v>81897719002</v>
      </c>
      <c r="G269" s="71">
        <f t="shared" si="25"/>
        <v>18.89472</v>
      </c>
      <c r="H269" s="71">
        <f t="shared" si="26"/>
        <v>37.789439999999999</v>
      </c>
      <c r="I269" s="71">
        <f t="shared" si="27"/>
        <v>18.89472</v>
      </c>
      <c r="J269" s="71">
        <f t="shared" si="28"/>
        <v>37.789439999999999</v>
      </c>
      <c r="K269" s="72">
        <v>0</v>
      </c>
      <c r="M269" s="58">
        <f>VLOOKUP(D269,'TABELA DE PRECOS'!B:C,2,0)</f>
        <v>18.89472</v>
      </c>
    </row>
    <row r="270" spans="1:13" ht="15.75" customHeight="1" x14ac:dyDescent="0.25">
      <c r="A270" s="73">
        <v>27</v>
      </c>
      <c r="B270" s="84" t="s">
        <v>352</v>
      </c>
      <c r="C270" s="73">
        <v>2</v>
      </c>
      <c r="D270" s="85" t="s">
        <v>353</v>
      </c>
      <c r="E270" s="86" t="s">
        <v>131</v>
      </c>
      <c r="F270" s="85">
        <v>81897719002</v>
      </c>
      <c r="G270" s="71">
        <f t="shared" si="25"/>
        <v>18.77</v>
      </c>
      <c r="H270" s="71">
        <f t="shared" si="26"/>
        <v>37.54</v>
      </c>
      <c r="I270" s="71">
        <f t="shared" si="27"/>
        <v>18.77</v>
      </c>
      <c r="J270" s="71">
        <f t="shared" si="28"/>
        <v>37.54</v>
      </c>
      <c r="K270" s="72">
        <v>0</v>
      </c>
      <c r="M270" s="58">
        <f>VLOOKUP(D270,'TABELA DE PRECOS'!B:C,2,0)</f>
        <v>18.77</v>
      </c>
    </row>
    <row r="271" spans="1:13" ht="15.75" customHeight="1" x14ac:dyDescent="0.25">
      <c r="A271" s="73">
        <v>28</v>
      </c>
      <c r="B271" s="84" t="s">
        <v>207</v>
      </c>
      <c r="C271" s="73">
        <v>1</v>
      </c>
      <c r="D271" s="85" t="s">
        <v>208</v>
      </c>
      <c r="E271" s="86" t="s">
        <v>131</v>
      </c>
      <c r="F271" s="85">
        <v>81897719002</v>
      </c>
      <c r="G271" s="71">
        <f t="shared" si="25"/>
        <v>21.30752</v>
      </c>
      <c r="H271" s="71">
        <f t="shared" si="26"/>
        <v>21.30752</v>
      </c>
      <c r="I271" s="71">
        <f t="shared" si="27"/>
        <v>21.30752</v>
      </c>
      <c r="J271" s="71">
        <f t="shared" si="28"/>
        <v>21.30752</v>
      </c>
      <c r="K271" s="72">
        <v>0</v>
      </c>
      <c r="M271" s="58">
        <f>VLOOKUP(D271,'TABELA DE PRECOS'!B:C,2,0)</f>
        <v>21.30752</v>
      </c>
    </row>
    <row r="272" spans="1:13" ht="15.75" customHeight="1" x14ac:dyDescent="0.25">
      <c r="A272" s="73">
        <v>29</v>
      </c>
      <c r="B272" s="84" t="s">
        <v>362</v>
      </c>
      <c r="C272" s="73">
        <v>1</v>
      </c>
      <c r="D272" s="85" t="s">
        <v>363</v>
      </c>
      <c r="E272" s="86" t="s">
        <v>131</v>
      </c>
      <c r="F272" s="85">
        <v>81897719002</v>
      </c>
      <c r="G272" s="71">
        <f t="shared" si="25"/>
        <v>22.5472</v>
      </c>
      <c r="H272" s="71">
        <f t="shared" si="26"/>
        <v>22.5472</v>
      </c>
      <c r="I272" s="71">
        <f t="shared" si="27"/>
        <v>22.5472</v>
      </c>
      <c r="J272" s="71">
        <f t="shared" si="28"/>
        <v>22.5472</v>
      </c>
      <c r="K272" s="72">
        <v>0</v>
      </c>
      <c r="M272" s="58">
        <f>VLOOKUP(D272,'TABELA DE PRECOS'!B:C,2,0)</f>
        <v>22.5472</v>
      </c>
    </row>
    <row r="273" spans="1:13" ht="15.75" customHeight="1" x14ac:dyDescent="0.25">
      <c r="A273" s="73">
        <v>30</v>
      </c>
      <c r="B273" s="84" t="s">
        <v>366</v>
      </c>
      <c r="C273" s="73">
        <v>1</v>
      </c>
      <c r="D273" s="85" t="s">
        <v>367</v>
      </c>
      <c r="E273" s="86" t="s">
        <v>131</v>
      </c>
      <c r="F273" s="85">
        <v>81897719002</v>
      </c>
      <c r="G273" s="71">
        <f t="shared" si="25"/>
        <v>18.7</v>
      </c>
      <c r="H273" s="71">
        <f t="shared" si="26"/>
        <v>18.7</v>
      </c>
      <c r="I273" s="71">
        <f t="shared" si="27"/>
        <v>18.7</v>
      </c>
      <c r="J273" s="71">
        <f t="shared" si="28"/>
        <v>18.7</v>
      </c>
      <c r="K273" s="72">
        <v>0</v>
      </c>
      <c r="M273" s="58">
        <f>VLOOKUP(D273,'TABELA DE PRECOS'!B:C,2,0)</f>
        <v>18.7</v>
      </c>
    </row>
    <row r="274" spans="1:13" ht="15.75" customHeight="1" x14ac:dyDescent="0.25">
      <c r="A274" s="73">
        <v>31</v>
      </c>
      <c r="B274" s="84" t="s">
        <v>368</v>
      </c>
      <c r="C274" s="73">
        <v>1</v>
      </c>
      <c r="D274" s="85" t="s">
        <v>369</v>
      </c>
      <c r="E274" s="86" t="s">
        <v>131</v>
      </c>
      <c r="F274" s="85">
        <v>81897719002</v>
      </c>
      <c r="G274" s="71">
        <f t="shared" si="25"/>
        <v>18.22</v>
      </c>
      <c r="H274" s="71">
        <f t="shared" si="26"/>
        <v>18.22</v>
      </c>
      <c r="I274" s="71">
        <f t="shared" si="27"/>
        <v>18.22</v>
      </c>
      <c r="J274" s="71">
        <f t="shared" si="28"/>
        <v>18.22</v>
      </c>
      <c r="K274" s="72">
        <v>0</v>
      </c>
      <c r="M274" s="58">
        <f>VLOOKUP(D274,'TABELA DE PRECOS'!B:C,2,0)</f>
        <v>18.22</v>
      </c>
    </row>
    <row r="275" spans="1:13" ht="15.75" customHeight="1" x14ac:dyDescent="0.25">
      <c r="A275" s="73">
        <v>32</v>
      </c>
      <c r="B275" s="84" t="s">
        <v>370</v>
      </c>
      <c r="C275" s="73">
        <v>1</v>
      </c>
      <c r="D275" s="85" t="s">
        <v>371</v>
      </c>
      <c r="E275" s="86" t="s">
        <v>131</v>
      </c>
      <c r="F275" s="85">
        <v>81897719002</v>
      </c>
      <c r="G275" s="71">
        <f t="shared" si="25"/>
        <v>19.41</v>
      </c>
      <c r="H275" s="71">
        <f t="shared" si="26"/>
        <v>19.41</v>
      </c>
      <c r="I275" s="71">
        <f t="shared" si="27"/>
        <v>19.41</v>
      </c>
      <c r="J275" s="71">
        <f t="shared" si="28"/>
        <v>19.41</v>
      </c>
      <c r="K275" s="72">
        <v>0</v>
      </c>
      <c r="M275" s="58">
        <f>VLOOKUP(D275,'TABELA DE PRECOS'!B:C,2,0)</f>
        <v>19.41</v>
      </c>
    </row>
    <row r="276" spans="1:13" ht="15.75" customHeight="1" x14ac:dyDescent="0.25">
      <c r="A276" s="73">
        <v>33</v>
      </c>
      <c r="B276" s="84" t="s">
        <v>448</v>
      </c>
      <c r="C276" s="73">
        <v>1</v>
      </c>
      <c r="D276" s="85" t="s">
        <v>449</v>
      </c>
      <c r="E276" s="86" t="s">
        <v>131</v>
      </c>
      <c r="F276" s="85">
        <v>81897719002</v>
      </c>
      <c r="G276" s="71">
        <f t="shared" si="25"/>
        <v>17.28</v>
      </c>
      <c r="H276" s="71">
        <f t="shared" si="26"/>
        <v>17.28</v>
      </c>
      <c r="I276" s="71">
        <f t="shared" si="27"/>
        <v>17.28</v>
      </c>
      <c r="J276" s="71">
        <f t="shared" si="28"/>
        <v>17.28</v>
      </c>
      <c r="K276" s="72">
        <v>0</v>
      </c>
      <c r="M276" s="58">
        <f>VLOOKUP(D276,'TABELA DE PRECOS'!B:C,2,0)</f>
        <v>17.28</v>
      </c>
    </row>
    <row r="277" spans="1:13" ht="15.75" customHeight="1" x14ac:dyDescent="0.25">
      <c r="A277" s="73">
        <v>34</v>
      </c>
      <c r="B277" s="84" t="s">
        <v>372</v>
      </c>
      <c r="C277" s="73">
        <v>1</v>
      </c>
      <c r="D277" s="85" t="s">
        <v>373</v>
      </c>
      <c r="E277" s="86" t="s">
        <v>131</v>
      </c>
      <c r="F277" s="85" t="s">
        <v>223</v>
      </c>
      <c r="G277" s="71">
        <f t="shared" si="25"/>
        <v>452.16</v>
      </c>
      <c r="H277" s="71">
        <f t="shared" si="26"/>
        <v>452.16</v>
      </c>
      <c r="I277" s="71">
        <f t="shared" si="27"/>
        <v>452.16</v>
      </c>
      <c r="J277" s="71">
        <f t="shared" si="28"/>
        <v>452.16</v>
      </c>
      <c r="K277" s="72">
        <v>0</v>
      </c>
      <c r="M277" s="58">
        <f>VLOOKUP(D277,'TABELA DE PRECOS'!B:C,2,0)</f>
        <v>452.16</v>
      </c>
    </row>
    <row r="278" spans="1:13" ht="15.75" customHeight="1" x14ac:dyDescent="0.25">
      <c r="A278" s="73">
        <v>35</v>
      </c>
      <c r="B278" s="84" t="s">
        <v>374</v>
      </c>
      <c r="C278" s="73">
        <v>1</v>
      </c>
      <c r="D278" s="85" t="s">
        <v>375</v>
      </c>
      <c r="E278" s="86" t="s">
        <v>131</v>
      </c>
      <c r="F278" s="85" t="s">
        <v>223</v>
      </c>
      <c r="G278" s="71">
        <f t="shared" si="25"/>
        <v>640.15991999999994</v>
      </c>
      <c r="H278" s="71">
        <f t="shared" si="26"/>
        <v>640.15991999999994</v>
      </c>
      <c r="I278" s="71">
        <f t="shared" si="27"/>
        <v>640.15991999999994</v>
      </c>
      <c r="J278" s="71">
        <f t="shared" si="28"/>
        <v>640.15991999999994</v>
      </c>
      <c r="K278" s="72">
        <v>0</v>
      </c>
      <c r="M278" s="58">
        <f>VLOOKUP(D278,'TABELA DE PRECOS'!B:C,2,0)</f>
        <v>640.15991999999994</v>
      </c>
    </row>
    <row r="279" spans="1:13" ht="15.75" customHeight="1" x14ac:dyDescent="0.25">
      <c r="A279" s="73">
        <v>36</v>
      </c>
      <c r="B279" s="84" t="s">
        <v>376</v>
      </c>
      <c r="C279" s="73">
        <v>1</v>
      </c>
      <c r="D279" s="85" t="s">
        <v>377</v>
      </c>
      <c r="E279" s="86" t="s">
        <v>131</v>
      </c>
      <c r="F279" s="85" t="s">
        <v>223</v>
      </c>
      <c r="G279" s="71">
        <f t="shared" si="25"/>
        <v>514.57000000000005</v>
      </c>
      <c r="H279" s="71">
        <f t="shared" si="26"/>
        <v>514.57000000000005</v>
      </c>
      <c r="I279" s="71">
        <f t="shared" si="27"/>
        <v>514.57000000000005</v>
      </c>
      <c r="J279" s="71">
        <f t="shared" si="28"/>
        <v>514.57000000000005</v>
      </c>
      <c r="K279" s="72">
        <v>0</v>
      </c>
      <c r="M279" s="58">
        <f>VLOOKUP(D279,'TABELA DE PRECOS'!B:C,2,0)</f>
        <v>514.57000000000005</v>
      </c>
    </row>
    <row r="280" spans="1:13" ht="15.75" customHeight="1" x14ac:dyDescent="0.25">
      <c r="A280" s="73">
        <v>37</v>
      </c>
      <c r="B280" s="84" t="s">
        <v>378</v>
      </c>
      <c r="C280" s="73">
        <v>2</v>
      </c>
      <c r="D280" s="85" t="s">
        <v>379</v>
      </c>
      <c r="E280" s="86" t="s">
        <v>131</v>
      </c>
      <c r="F280" s="85" t="s">
        <v>223</v>
      </c>
      <c r="G280" s="71">
        <f t="shared" si="25"/>
        <v>9.18</v>
      </c>
      <c r="H280" s="71">
        <f t="shared" si="26"/>
        <v>18.36</v>
      </c>
      <c r="I280" s="71">
        <f t="shared" si="27"/>
        <v>9.18</v>
      </c>
      <c r="J280" s="71">
        <f t="shared" si="28"/>
        <v>18.36</v>
      </c>
      <c r="K280" s="72">
        <v>0</v>
      </c>
      <c r="M280" s="58">
        <f>VLOOKUP(D280,'TABELA DE PRECOS'!B:C,2,0)</f>
        <v>9.18</v>
      </c>
    </row>
    <row r="281" spans="1:13" ht="15.75" customHeight="1" x14ac:dyDescent="0.25">
      <c r="A281" s="78"/>
      <c r="B281" s="79" t="s">
        <v>224</v>
      </c>
      <c r="C281" s="79">
        <f>SUM(C244:C280)</f>
        <v>66</v>
      </c>
      <c r="D281" s="79"/>
      <c r="E281" s="79"/>
      <c r="F281" s="79"/>
      <c r="G281" s="80"/>
      <c r="H281" s="80">
        <f>SUM(H244:H280)</f>
        <v>2857.9038400000004</v>
      </c>
      <c r="I281" s="79"/>
      <c r="J281" s="80">
        <f>SUM(J244:J280)</f>
        <v>2857.9038400000004</v>
      </c>
      <c r="K281" s="81"/>
      <c r="M281" s="58" t="e">
        <f>VLOOKUP(D281,'TABELA DE PRECOS'!B:C,2,0)</f>
        <v>#N/A</v>
      </c>
    </row>
    <row r="282" spans="1:13" ht="15.75" customHeight="1" x14ac:dyDescent="0.25">
      <c r="A282" s="56"/>
      <c r="B282" s="49" t="s">
        <v>15</v>
      </c>
      <c r="C282" s="57"/>
      <c r="D282" s="90"/>
      <c r="E282" s="90"/>
      <c r="F282" s="90"/>
      <c r="G282" s="58"/>
      <c r="H282" s="58"/>
      <c r="I282" s="58"/>
      <c r="J282" s="58"/>
      <c r="K282" s="59"/>
      <c r="M282" s="58" t="e">
        <f>VLOOKUP(D282,'TABELA DE PRECOS'!B:C,2,0)</f>
        <v>#N/A</v>
      </c>
    </row>
    <row r="283" spans="1:13" ht="15.75" customHeight="1" x14ac:dyDescent="0.25">
      <c r="A283" s="56"/>
      <c r="B283" s="18" t="s">
        <v>450</v>
      </c>
      <c r="C283" s="57"/>
      <c r="G283" s="58"/>
      <c r="H283" s="58"/>
      <c r="I283" s="58"/>
      <c r="J283" s="58"/>
      <c r="K283" s="59"/>
      <c r="M283" s="58" t="e">
        <f>VLOOKUP(D283,'TABELA DE PRECOS'!B:C,2,0)</f>
        <v>#N/A</v>
      </c>
    </row>
    <row r="284" spans="1:13" ht="15.75" customHeight="1" x14ac:dyDescent="0.25">
      <c r="A284" s="18" t="s">
        <v>119</v>
      </c>
      <c r="B284" s="18" t="s">
        <v>120</v>
      </c>
      <c r="C284" s="18" t="s">
        <v>21</v>
      </c>
      <c r="D284" s="18" t="s">
        <v>121</v>
      </c>
      <c r="E284" s="60" t="s">
        <v>122</v>
      </c>
      <c r="F284" s="18" t="s">
        <v>123</v>
      </c>
      <c r="G284" s="61" t="s">
        <v>22</v>
      </c>
      <c r="H284" s="18" t="s">
        <v>23</v>
      </c>
      <c r="I284" s="18" t="s">
        <v>24</v>
      </c>
      <c r="J284" s="18" t="s">
        <v>25</v>
      </c>
      <c r="K284" s="62" t="s">
        <v>26</v>
      </c>
      <c r="M284" s="58" t="str">
        <f>VLOOKUP(D284,'TABELA DE PRECOS'!B:C,2,0)</f>
        <v>Valor Unit Bruto</v>
      </c>
    </row>
    <row r="285" spans="1:13" ht="15.75" customHeight="1" x14ac:dyDescent="0.25">
      <c r="A285" s="73">
        <v>1</v>
      </c>
      <c r="B285" s="84" t="s">
        <v>290</v>
      </c>
      <c r="C285" s="73">
        <v>2</v>
      </c>
      <c r="D285" s="85" t="s">
        <v>291</v>
      </c>
      <c r="E285" s="86" t="s">
        <v>131</v>
      </c>
      <c r="F285" s="85">
        <v>81897719002</v>
      </c>
      <c r="G285" s="71">
        <f t="shared" ref="G285:G314" si="29">M285</f>
        <v>16.5</v>
      </c>
      <c r="H285" s="71">
        <f t="shared" ref="H285:H314" si="30">G285*C285</f>
        <v>33</v>
      </c>
      <c r="I285" s="71">
        <f t="shared" ref="I285:I314" si="31">G285</f>
        <v>16.5</v>
      </c>
      <c r="J285" s="71">
        <f t="shared" ref="J285:J314" si="32">I285*C285</f>
        <v>33</v>
      </c>
      <c r="K285" s="72">
        <v>0</v>
      </c>
      <c r="M285" s="58">
        <f>VLOOKUP(D285,'TABELA DE PRECOS'!B:C,2,0)</f>
        <v>16.5</v>
      </c>
    </row>
    <row r="286" spans="1:13" ht="15.75" customHeight="1" x14ac:dyDescent="0.25">
      <c r="A286" s="73">
        <v>2</v>
      </c>
      <c r="B286" s="84" t="s">
        <v>304</v>
      </c>
      <c r="C286" s="73">
        <v>1</v>
      </c>
      <c r="D286" s="85" t="s">
        <v>305</v>
      </c>
      <c r="E286" s="86" t="s">
        <v>131</v>
      </c>
      <c r="F286" s="85" t="s">
        <v>223</v>
      </c>
      <c r="G286" s="71">
        <f t="shared" si="29"/>
        <v>5.2653600000000003</v>
      </c>
      <c r="H286" s="71">
        <f t="shared" si="30"/>
        <v>5.2653600000000003</v>
      </c>
      <c r="I286" s="71">
        <f t="shared" si="31"/>
        <v>5.2653600000000003</v>
      </c>
      <c r="J286" s="71">
        <f t="shared" si="32"/>
        <v>5.2653600000000003</v>
      </c>
      <c r="K286" s="72">
        <v>0</v>
      </c>
      <c r="L286" s="63"/>
      <c r="M286" s="58">
        <f>VLOOKUP(D286,'TABELA DE PRECOS'!B:C,2,0)</f>
        <v>5.2653600000000003</v>
      </c>
    </row>
    <row r="287" spans="1:13" ht="15.75" customHeight="1" x14ac:dyDescent="0.25">
      <c r="A287" s="65">
        <v>3</v>
      </c>
      <c r="B287" s="84" t="s">
        <v>300</v>
      </c>
      <c r="C287" s="73">
        <v>1</v>
      </c>
      <c r="D287" s="85" t="s">
        <v>301</v>
      </c>
      <c r="E287" s="86" t="s">
        <v>131</v>
      </c>
      <c r="F287" s="85">
        <v>81897719002</v>
      </c>
      <c r="G287" s="71">
        <f t="shared" si="29"/>
        <v>9.4</v>
      </c>
      <c r="H287" s="71">
        <f t="shared" si="30"/>
        <v>9.4</v>
      </c>
      <c r="I287" s="71">
        <f t="shared" si="31"/>
        <v>9.4</v>
      </c>
      <c r="J287" s="71">
        <f t="shared" si="32"/>
        <v>9.4</v>
      </c>
      <c r="K287" s="72">
        <v>0</v>
      </c>
      <c r="M287" s="58">
        <f>VLOOKUP(D287,'TABELA DE PRECOS'!B:C,2,0)</f>
        <v>9.4</v>
      </c>
    </row>
    <row r="288" spans="1:13" ht="15.75" customHeight="1" x14ac:dyDescent="0.25">
      <c r="A288" s="73">
        <v>4</v>
      </c>
      <c r="B288" s="84" t="s">
        <v>451</v>
      </c>
      <c r="C288" s="73">
        <v>1</v>
      </c>
      <c r="D288" s="92" t="s">
        <v>452</v>
      </c>
      <c r="E288" s="86" t="s">
        <v>131</v>
      </c>
      <c r="F288" s="85">
        <v>81897710021</v>
      </c>
      <c r="G288" s="71">
        <f t="shared" si="29"/>
        <v>6.12</v>
      </c>
      <c r="H288" s="71">
        <f t="shared" si="30"/>
        <v>6.12</v>
      </c>
      <c r="I288" s="71">
        <f t="shared" si="31"/>
        <v>6.12</v>
      </c>
      <c r="J288" s="71">
        <f t="shared" si="32"/>
        <v>6.12</v>
      </c>
      <c r="K288" s="72">
        <v>0</v>
      </c>
      <c r="M288" s="58">
        <f>VLOOKUP(D288,'TABELA DE PRECOS'!B:C,2,0)</f>
        <v>6.12</v>
      </c>
    </row>
    <row r="289" spans="1:13" ht="15.75" customHeight="1" x14ac:dyDescent="0.25">
      <c r="A289" s="73">
        <v>5</v>
      </c>
      <c r="B289" s="84" t="s">
        <v>185</v>
      </c>
      <c r="C289" s="73">
        <v>4</v>
      </c>
      <c r="D289" s="85" t="s">
        <v>186</v>
      </c>
      <c r="E289" s="86" t="s">
        <v>131</v>
      </c>
      <c r="F289" s="85">
        <v>81897719002</v>
      </c>
      <c r="G289" s="71">
        <f t="shared" si="29"/>
        <v>17.28</v>
      </c>
      <c r="H289" s="71">
        <f t="shared" si="30"/>
        <v>69.12</v>
      </c>
      <c r="I289" s="71">
        <f t="shared" si="31"/>
        <v>17.28</v>
      </c>
      <c r="J289" s="71">
        <f t="shared" si="32"/>
        <v>69.12</v>
      </c>
      <c r="K289" s="72">
        <v>0</v>
      </c>
      <c r="M289" s="58">
        <f>VLOOKUP(D289,'TABELA DE PRECOS'!B:C,2,0)</f>
        <v>17.28</v>
      </c>
    </row>
    <row r="290" spans="1:13" ht="15.75" customHeight="1" x14ac:dyDescent="0.25">
      <c r="A290" s="65">
        <v>6</v>
      </c>
      <c r="B290" s="84" t="s">
        <v>183</v>
      </c>
      <c r="C290" s="73">
        <v>1</v>
      </c>
      <c r="D290" s="85" t="s">
        <v>184</v>
      </c>
      <c r="E290" s="86" t="s">
        <v>131</v>
      </c>
      <c r="F290" s="85">
        <v>81897719002</v>
      </c>
      <c r="G290" s="71">
        <f t="shared" si="29"/>
        <v>40.79</v>
      </c>
      <c r="H290" s="71">
        <f t="shared" si="30"/>
        <v>40.79</v>
      </c>
      <c r="I290" s="71">
        <f t="shared" si="31"/>
        <v>40.79</v>
      </c>
      <c r="J290" s="71">
        <f t="shared" si="32"/>
        <v>40.79</v>
      </c>
      <c r="K290" s="72">
        <v>0</v>
      </c>
      <c r="M290" s="58">
        <f>VLOOKUP(D290,'TABELA DE PRECOS'!B:C,2,0)</f>
        <v>40.79</v>
      </c>
    </row>
    <row r="291" spans="1:13" ht="15.75" customHeight="1" x14ac:dyDescent="0.25">
      <c r="A291" s="73">
        <v>7</v>
      </c>
      <c r="B291" s="84" t="s">
        <v>324</v>
      </c>
      <c r="C291" s="73">
        <v>2</v>
      </c>
      <c r="D291" s="85" t="s">
        <v>325</v>
      </c>
      <c r="E291" s="86" t="s">
        <v>131</v>
      </c>
      <c r="F291" s="85">
        <v>81897719002</v>
      </c>
      <c r="G291" s="71">
        <f t="shared" si="29"/>
        <v>23.7636</v>
      </c>
      <c r="H291" s="71">
        <f t="shared" si="30"/>
        <v>47.527200000000001</v>
      </c>
      <c r="I291" s="71">
        <f t="shared" si="31"/>
        <v>23.7636</v>
      </c>
      <c r="J291" s="71">
        <f t="shared" si="32"/>
        <v>47.527200000000001</v>
      </c>
      <c r="K291" s="72">
        <v>0</v>
      </c>
      <c r="M291" s="58">
        <f>VLOOKUP(D291,'TABELA DE PRECOS'!B:C,2,0)</f>
        <v>23.7636</v>
      </c>
    </row>
    <row r="292" spans="1:13" ht="15.75" customHeight="1" x14ac:dyDescent="0.25">
      <c r="A292" s="73">
        <v>8</v>
      </c>
      <c r="B292" s="84" t="s">
        <v>397</v>
      </c>
      <c r="C292" s="73">
        <v>1</v>
      </c>
      <c r="D292" s="85" t="s">
        <v>398</v>
      </c>
      <c r="E292" s="86" t="s">
        <v>131</v>
      </c>
      <c r="F292" s="85">
        <v>81897719002</v>
      </c>
      <c r="G292" s="71">
        <f t="shared" si="29"/>
        <v>9.19</v>
      </c>
      <c r="H292" s="71">
        <f t="shared" si="30"/>
        <v>9.19</v>
      </c>
      <c r="I292" s="71">
        <f t="shared" si="31"/>
        <v>9.19</v>
      </c>
      <c r="J292" s="71">
        <f t="shared" si="32"/>
        <v>9.19</v>
      </c>
      <c r="K292" s="72">
        <v>0</v>
      </c>
      <c r="M292" s="58">
        <f>VLOOKUP(D292,'TABELA DE PRECOS'!B:C,2,0)</f>
        <v>9.19</v>
      </c>
    </row>
    <row r="293" spans="1:13" ht="15.75" customHeight="1" x14ac:dyDescent="0.25">
      <c r="A293" s="65">
        <v>9</v>
      </c>
      <c r="B293" s="84" t="s">
        <v>453</v>
      </c>
      <c r="C293" s="73">
        <v>3</v>
      </c>
      <c r="D293" s="85" t="s">
        <v>454</v>
      </c>
      <c r="E293" s="86" t="s">
        <v>131</v>
      </c>
      <c r="F293" s="85">
        <v>81897719002</v>
      </c>
      <c r="G293" s="71">
        <f t="shared" si="29"/>
        <v>4.8588800000000001</v>
      </c>
      <c r="H293" s="71">
        <f t="shared" si="30"/>
        <v>14.576640000000001</v>
      </c>
      <c r="I293" s="71">
        <f t="shared" si="31"/>
        <v>4.8588800000000001</v>
      </c>
      <c r="J293" s="71">
        <f t="shared" si="32"/>
        <v>14.576640000000001</v>
      </c>
      <c r="K293" s="72">
        <v>0</v>
      </c>
      <c r="M293" s="58">
        <f>VLOOKUP(D293,'TABELA DE PRECOS'!B:C,2,0)</f>
        <v>4.8588800000000001</v>
      </c>
    </row>
    <row r="294" spans="1:13" ht="15.75" customHeight="1" x14ac:dyDescent="0.25">
      <c r="A294" s="73">
        <v>10</v>
      </c>
      <c r="B294" s="93" t="s">
        <v>455</v>
      </c>
      <c r="C294" s="73">
        <v>1</v>
      </c>
      <c r="D294" s="49" t="s">
        <v>456</v>
      </c>
      <c r="E294" s="86" t="s">
        <v>131</v>
      </c>
      <c r="F294" s="85">
        <v>81897719002</v>
      </c>
      <c r="G294" s="71">
        <f t="shared" si="29"/>
        <v>8.3699999999999992</v>
      </c>
      <c r="H294" s="71">
        <f t="shared" si="30"/>
        <v>8.3699999999999992</v>
      </c>
      <c r="I294" s="71">
        <f t="shared" si="31"/>
        <v>8.3699999999999992</v>
      </c>
      <c r="J294" s="71">
        <f t="shared" si="32"/>
        <v>8.3699999999999992</v>
      </c>
      <c r="K294" s="72">
        <v>0</v>
      </c>
      <c r="M294" s="58">
        <f>VLOOKUP(D294,'TABELA DE PRECOS'!B:C,2,0)</f>
        <v>8.3699999999999992</v>
      </c>
    </row>
    <row r="295" spans="1:13" ht="15.75" customHeight="1" x14ac:dyDescent="0.25">
      <c r="A295" s="73">
        <v>11</v>
      </c>
      <c r="B295" s="84" t="s">
        <v>399</v>
      </c>
      <c r="C295" s="73">
        <v>1</v>
      </c>
      <c r="D295" s="85" t="s">
        <v>400</v>
      </c>
      <c r="E295" s="86" t="s">
        <v>131</v>
      </c>
      <c r="F295" s="85">
        <v>81897719002</v>
      </c>
      <c r="G295" s="71">
        <f t="shared" si="29"/>
        <v>8.85</v>
      </c>
      <c r="H295" s="71">
        <f t="shared" si="30"/>
        <v>8.85</v>
      </c>
      <c r="I295" s="71">
        <f t="shared" si="31"/>
        <v>8.85</v>
      </c>
      <c r="J295" s="71">
        <f t="shared" si="32"/>
        <v>8.85</v>
      </c>
      <c r="K295" s="72">
        <v>0</v>
      </c>
      <c r="M295" s="58">
        <f>VLOOKUP(D295,'TABELA DE PRECOS'!B:C,2,0)</f>
        <v>8.85</v>
      </c>
    </row>
    <row r="296" spans="1:13" ht="15.75" customHeight="1" x14ac:dyDescent="0.25">
      <c r="A296" s="65">
        <v>12</v>
      </c>
      <c r="B296" s="84" t="s">
        <v>405</v>
      </c>
      <c r="C296" s="73">
        <v>3</v>
      </c>
      <c r="D296" s="85" t="s">
        <v>406</v>
      </c>
      <c r="E296" s="86" t="s">
        <v>131</v>
      </c>
      <c r="F296" s="85">
        <v>81897719002</v>
      </c>
      <c r="G296" s="71">
        <f t="shared" si="29"/>
        <v>5.4878400000000003</v>
      </c>
      <c r="H296" s="71">
        <f t="shared" si="30"/>
        <v>16.463520000000003</v>
      </c>
      <c r="I296" s="71">
        <f t="shared" si="31"/>
        <v>5.4878400000000003</v>
      </c>
      <c r="J296" s="71">
        <f t="shared" si="32"/>
        <v>16.463520000000003</v>
      </c>
      <c r="K296" s="72">
        <v>0</v>
      </c>
      <c r="M296" s="58">
        <f>VLOOKUP(D296,'TABELA DE PRECOS'!B:C,2,0)</f>
        <v>5.4878400000000003</v>
      </c>
    </row>
    <row r="297" spans="1:13" ht="15.75" customHeight="1" x14ac:dyDescent="0.25">
      <c r="A297" s="73">
        <v>13</v>
      </c>
      <c r="B297" s="84" t="s">
        <v>187</v>
      </c>
      <c r="C297" s="73">
        <v>6</v>
      </c>
      <c r="D297" s="85" t="s">
        <v>188</v>
      </c>
      <c r="E297" s="86" t="s">
        <v>131</v>
      </c>
      <c r="F297" s="85">
        <v>81897719002</v>
      </c>
      <c r="G297" s="71">
        <f t="shared" si="29"/>
        <v>15.95</v>
      </c>
      <c r="H297" s="71">
        <f t="shared" si="30"/>
        <v>95.699999999999989</v>
      </c>
      <c r="I297" s="71">
        <f t="shared" si="31"/>
        <v>15.95</v>
      </c>
      <c r="J297" s="71">
        <f t="shared" si="32"/>
        <v>95.699999999999989</v>
      </c>
      <c r="K297" s="72">
        <v>0</v>
      </c>
      <c r="M297" s="58">
        <f>VLOOKUP(D297,'TABELA DE PRECOS'!B:C,2,0)</f>
        <v>15.95</v>
      </c>
    </row>
    <row r="298" spans="1:13" ht="15.75" customHeight="1" x14ac:dyDescent="0.25">
      <c r="A298" s="73">
        <v>14</v>
      </c>
      <c r="B298" s="84" t="s">
        <v>419</v>
      </c>
      <c r="C298" s="73">
        <v>4</v>
      </c>
      <c r="D298" s="85" t="s">
        <v>420</v>
      </c>
      <c r="E298" s="86" t="s">
        <v>131</v>
      </c>
      <c r="F298" s="85">
        <v>81897719002</v>
      </c>
      <c r="G298" s="71">
        <f t="shared" si="29"/>
        <v>16.52</v>
      </c>
      <c r="H298" s="71">
        <f t="shared" si="30"/>
        <v>66.08</v>
      </c>
      <c r="I298" s="71">
        <f t="shared" si="31"/>
        <v>16.52</v>
      </c>
      <c r="J298" s="71">
        <f t="shared" si="32"/>
        <v>66.08</v>
      </c>
      <c r="K298" s="72">
        <v>0</v>
      </c>
      <c r="M298" s="58">
        <f>VLOOKUP(D298,'TABELA DE PRECOS'!B:C,2,0)</f>
        <v>16.52</v>
      </c>
    </row>
    <row r="299" spans="1:13" ht="15.75" customHeight="1" x14ac:dyDescent="0.25">
      <c r="A299" s="65">
        <v>15</v>
      </c>
      <c r="B299" s="84" t="s">
        <v>342</v>
      </c>
      <c r="C299" s="73">
        <v>2</v>
      </c>
      <c r="D299" s="85" t="s">
        <v>343</v>
      </c>
      <c r="E299" s="86" t="s">
        <v>131</v>
      </c>
      <c r="F299" s="85">
        <v>81897719002</v>
      </c>
      <c r="G299" s="71">
        <f t="shared" si="29"/>
        <v>21.43</v>
      </c>
      <c r="H299" s="71">
        <f t="shared" si="30"/>
        <v>42.86</v>
      </c>
      <c r="I299" s="71">
        <f t="shared" si="31"/>
        <v>21.43</v>
      </c>
      <c r="J299" s="71">
        <f t="shared" si="32"/>
        <v>42.86</v>
      </c>
      <c r="K299" s="72">
        <v>0</v>
      </c>
      <c r="M299" s="58">
        <f>VLOOKUP(D299,'TABELA DE PRECOS'!B:C,2,0)</f>
        <v>21.43</v>
      </c>
    </row>
    <row r="300" spans="1:13" ht="15.75" customHeight="1" x14ac:dyDescent="0.25">
      <c r="A300" s="73">
        <v>16</v>
      </c>
      <c r="B300" s="84" t="s">
        <v>254</v>
      </c>
      <c r="C300" s="73">
        <v>4</v>
      </c>
      <c r="D300" s="85" t="s">
        <v>255</v>
      </c>
      <c r="E300" s="86" t="s">
        <v>131</v>
      </c>
      <c r="F300" s="85">
        <v>81897719002</v>
      </c>
      <c r="G300" s="71">
        <f t="shared" si="29"/>
        <v>16.68</v>
      </c>
      <c r="H300" s="71">
        <f t="shared" si="30"/>
        <v>66.72</v>
      </c>
      <c r="I300" s="71">
        <f t="shared" si="31"/>
        <v>16.68</v>
      </c>
      <c r="J300" s="71">
        <f t="shared" si="32"/>
        <v>66.72</v>
      </c>
      <c r="K300" s="72">
        <v>0</v>
      </c>
      <c r="M300" s="58">
        <f>VLOOKUP(D300,'TABELA DE PRECOS'!B:C,2,0)</f>
        <v>16.68</v>
      </c>
    </row>
    <row r="301" spans="1:13" ht="15.75" customHeight="1" x14ac:dyDescent="0.25">
      <c r="A301" s="73">
        <v>17</v>
      </c>
      <c r="B301" s="84" t="s">
        <v>189</v>
      </c>
      <c r="C301" s="73">
        <v>2</v>
      </c>
      <c r="D301" s="85" t="s">
        <v>190</v>
      </c>
      <c r="E301" s="86" t="s">
        <v>131</v>
      </c>
      <c r="F301" s="85">
        <v>81897719002</v>
      </c>
      <c r="G301" s="71">
        <f t="shared" si="29"/>
        <v>16.71</v>
      </c>
      <c r="H301" s="71">
        <f t="shared" si="30"/>
        <v>33.42</v>
      </c>
      <c r="I301" s="71">
        <f t="shared" si="31"/>
        <v>16.71</v>
      </c>
      <c r="J301" s="71">
        <f t="shared" si="32"/>
        <v>33.42</v>
      </c>
      <c r="K301" s="72">
        <v>0</v>
      </c>
      <c r="M301" s="58">
        <f>VLOOKUP(D301,'TABELA DE PRECOS'!B:C,2,0)</f>
        <v>16.71</v>
      </c>
    </row>
    <row r="302" spans="1:13" ht="15.75" customHeight="1" x14ac:dyDescent="0.25">
      <c r="A302" s="65">
        <v>18</v>
      </c>
      <c r="B302" s="84" t="s">
        <v>344</v>
      </c>
      <c r="C302" s="73">
        <v>2</v>
      </c>
      <c r="D302" s="85" t="s">
        <v>345</v>
      </c>
      <c r="E302" s="86" t="s">
        <v>131</v>
      </c>
      <c r="F302" s="85">
        <v>81897719002</v>
      </c>
      <c r="G302" s="71">
        <f t="shared" si="29"/>
        <v>18.12</v>
      </c>
      <c r="H302" s="71">
        <f t="shared" si="30"/>
        <v>36.24</v>
      </c>
      <c r="I302" s="71">
        <f t="shared" si="31"/>
        <v>18.12</v>
      </c>
      <c r="J302" s="71">
        <f t="shared" si="32"/>
        <v>36.24</v>
      </c>
      <c r="K302" s="72">
        <v>0</v>
      </c>
      <c r="M302" s="58">
        <f>VLOOKUP(D302,'TABELA DE PRECOS'!B:C,2,0)</f>
        <v>18.12</v>
      </c>
    </row>
    <row r="303" spans="1:13" ht="15.75" customHeight="1" x14ac:dyDescent="0.25">
      <c r="A303" s="73">
        <v>19</v>
      </c>
      <c r="B303" s="84" t="s">
        <v>457</v>
      </c>
      <c r="C303" s="73">
        <v>2</v>
      </c>
      <c r="D303" s="85" t="s">
        <v>458</v>
      </c>
      <c r="E303" s="86" t="s">
        <v>131</v>
      </c>
      <c r="F303" s="85">
        <v>81897719002</v>
      </c>
      <c r="G303" s="71">
        <f t="shared" si="29"/>
        <v>15.81</v>
      </c>
      <c r="H303" s="71">
        <f t="shared" si="30"/>
        <v>31.62</v>
      </c>
      <c r="I303" s="71">
        <f t="shared" si="31"/>
        <v>15.81</v>
      </c>
      <c r="J303" s="71">
        <f t="shared" si="32"/>
        <v>31.62</v>
      </c>
      <c r="K303" s="72">
        <v>0</v>
      </c>
      <c r="M303" s="58">
        <f>VLOOKUP(D303,'TABELA DE PRECOS'!B:C,2,0)</f>
        <v>15.81</v>
      </c>
    </row>
    <row r="304" spans="1:13" ht="15.75" customHeight="1" x14ac:dyDescent="0.25">
      <c r="A304" s="73">
        <v>20</v>
      </c>
      <c r="B304" s="84" t="s">
        <v>352</v>
      </c>
      <c r="C304" s="73">
        <v>2</v>
      </c>
      <c r="D304" s="85" t="s">
        <v>353</v>
      </c>
      <c r="E304" s="86" t="s">
        <v>131</v>
      </c>
      <c r="F304" s="85">
        <v>81897719002</v>
      </c>
      <c r="G304" s="71">
        <f t="shared" si="29"/>
        <v>18.77</v>
      </c>
      <c r="H304" s="71">
        <f t="shared" si="30"/>
        <v>37.54</v>
      </c>
      <c r="I304" s="71">
        <f t="shared" si="31"/>
        <v>18.77</v>
      </c>
      <c r="J304" s="71">
        <f t="shared" si="32"/>
        <v>37.54</v>
      </c>
      <c r="K304" s="72">
        <v>0</v>
      </c>
      <c r="M304" s="58">
        <f>VLOOKUP(D304,'TABELA DE PRECOS'!B:C,2,0)</f>
        <v>18.77</v>
      </c>
    </row>
    <row r="305" spans="1:13" ht="15.75" customHeight="1" x14ac:dyDescent="0.25">
      <c r="A305" s="65">
        <v>21</v>
      </c>
      <c r="B305" s="84" t="s">
        <v>205</v>
      </c>
      <c r="C305" s="73">
        <v>4</v>
      </c>
      <c r="D305" s="85" t="s">
        <v>206</v>
      </c>
      <c r="E305" s="86" t="s">
        <v>131</v>
      </c>
      <c r="F305" s="85">
        <v>81897719002</v>
      </c>
      <c r="G305" s="71">
        <f t="shared" si="29"/>
        <v>18.077135999999999</v>
      </c>
      <c r="H305" s="71">
        <f t="shared" si="30"/>
        <v>72.308543999999998</v>
      </c>
      <c r="I305" s="71">
        <f t="shared" si="31"/>
        <v>18.077135999999999</v>
      </c>
      <c r="J305" s="71">
        <f t="shared" si="32"/>
        <v>72.308543999999998</v>
      </c>
      <c r="K305" s="72">
        <v>0</v>
      </c>
      <c r="M305" s="58">
        <f>VLOOKUP(D305,'TABELA DE PRECOS'!B:C,2,0)</f>
        <v>18.077135999999999</v>
      </c>
    </row>
    <row r="306" spans="1:13" ht="15.75" customHeight="1" x14ac:dyDescent="0.25">
      <c r="A306" s="73">
        <v>22</v>
      </c>
      <c r="B306" s="84" t="s">
        <v>360</v>
      </c>
      <c r="C306" s="73">
        <v>1</v>
      </c>
      <c r="D306" s="85" t="s">
        <v>361</v>
      </c>
      <c r="E306" s="86" t="s">
        <v>131</v>
      </c>
      <c r="F306" s="85">
        <v>81897719002</v>
      </c>
      <c r="G306" s="71">
        <f t="shared" si="29"/>
        <v>19.477120000000003</v>
      </c>
      <c r="H306" s="71">
        <f t="shared" si="30"/>
        <v>19.477120000000003</v>
      </c>
      <c r="I306" s="71">
        <f t="shared" si="31"/>
        <v>19.477120000000003</v>
      </c>
      <c r="J306" s="71">
        <f t="shared" si="32"/>
        <v>19.477120000000003</v>
      </c>
      <c r="K306" s="72">
        <v>0</v>
      </c>
      <c r="M306" s="58">
        <f>VLOOKUP(D306,'TABELA DE PRECOS'!B:C,2,0)</f>
        <v>19.477120000000003</v>
      </c>
    </row>
    <row r="307" spans="1:13" ht="15.75" customHeight="1" x14ac:dyDescent="0.25">
      <c r="A307" s="73">
        <v>23</v>
      </c>
      <c r="B307" s="84" t="s">
        <v>459</v>
      </c>
      <c r="C307" s="73">
        <v>1</v>
      </c>
      <c r="D307" s="85" t="s">
        <v>460</v>
      </c>
      <c r="E307" s="86" t="s">
        <v>131</v>
      </c>
      <c r="F307" s="85">
        <v>81897719002</v>
      </c>
      <c r="G307" s="71">
        <f t="shared" si="29"/>
        <v>12.17216</v>
      </c>
      <c r="H307" s="71">
        <f t="shared" si="30"/>
        <v>12.17216</v>
      </c>
      <c r="I307" s="71">
        <f t="shared" si="31"/>
        <v>12.17216</v>
      </c>
      <c r="J307" s="71">
        <f t="shared" si="32"/>
        <v>12.17216</v>
      </c>
      <c r="K307" s="72">
        <v>0</v>
      </c>
      <c r="M307" s="58">
        <f>VLOOKUP(D307,'TABELA DE PRECOS'!B:C,2,0)</f>
        <v>12.17216</v>
      </c>
    </row>
    <row r="308" spans="1:13" ht="15.75" customHeight="1" x14ac:dyDescent="0.25">
      <c r="A308" s="65">
        <v>24</v>
      </c>
      <c r="B308" s="84" t="s">
        <v>425</v>
      </c>
      <c r="C308" s="73">
        <v>1</v>
      </c>
      <c r="D308" s="85" t="s">
        <v>426</v>
      </c>
      <c r="E308" s="86" t="s">
        <v>131</v>
      </c>
      <c r="F308" s="85">
        <v>81897719002</v>
      </c>
      <c r="G308" s="71">
        <f t="shared" si="29"/>
        <v>18.43</v>
      </c>
      <c r="H308" s="71">
        <f t="shared" si="30"/>
        <v>18.43</v>
      </c>
      <c r="I308" s="71">
        <f t="shared" si="31"/>
        <v>18.43</v>
      </c>
      <c r="J308" s="71">
        <f t="shared" si="32"/>
        <v>18.43</v>
      </c>
      <c r="K308" s="72">
        <v>0</v>
      </c>
      <c r="M308" s="58">
        <f>VLOOKUP(D308,'TABELA DE PRECOS'!B:C,2,0)</f>
        <v>18.43</v>
      </c>
    </row>
    <row r="309" spans="1:13" ht="15.75" customHeight="1" x14ac:dyDescent="0.25">
      <c r="A309" s="73">
        <v>25</v>
      </c>
      <c r="B309" s="84" t="s">
        <v>370</v>
      </c>
      <c r="C309" s="73">
        <v>1</v>
      </c>
      <c r="D309" s="85" t="s">
        <v>371</v>
      </c>
      <c r="E309" s="86" t="s">
        <v>131</v>
      </c>
      <c r="F309" s="85">
        <v>81897719002</v>
      </c>
      <c r="G309" s="71">
        <f t="shared" si="29"/>
        <v>19.41</v>
      </c>
      <c r="H309" s="71">
        <f t="shared" si="30"/>
        <v>19.41</v>
      </c>
      <c r="I309" s="71">
        <f t="shared" si="31"/>
        <v>19.41</v>
      </c>
      <c r="J309" s="71">
        <f t="shared" si="32"/>
        <v>19.41</v>
      </c>
      <c r="K309" s="72">
        <v>0</v>
      </c>
      <c r="M309" s="58">
        <f>VLOOKUP(D309,'TABELA DE PRECOS'!B:C,2,0)</f>
        <v>19.41</v>
      </c>
    </row>
    <row r="310" spans="1:13" ht="15.75" customHeight="1" x14ac:dyDescent="0.25">
      <c r="A310" s="73">
        <v>26</v>
      </c>
      <c r="B310" s="84" t="s">
        <v>448</v>
      </c>
      <c r="C310" s="73">
        <v>1</v>
      </c>
      <c r="D310" s="85" t="s">
        <v>449</v>
      </c>
      <c r="E310" s="86" t="s">
        <v>131</v>
      </c>
      <c r="F310" s="85">
        <v>81897719002</v>
      </c>
      <c r="G310" s="71">
        <f t="shared" si="29"/>
        <v>17.28</v>
      </c>
      <c r="H310" s="71">
        <f t="shared" si="30"/>
        <v>17.28</v>
      </c>
      <c r="I310" s="71">
        <f t="shared" si="31"/>
        <v>17.28</v>
      </c>
      <c r="J310" s="71">
        <f t="shared" si="32"/>
        <v>17.28</v>
      </c>
      <c r="K310" s="72">
        <v>0</v>
      </c>
      <c r="M310" s="58">
        <f>VLOOKUP(D310,'TABELA DE PRECOS'!B:C,2,0)</f>
        <v>17.28</v>
      </c>
    </row>
    <row r="311" spans="1:13" ht="15.75" customHeight="1" x14ac:dyDescent="0.25">
      <c r="A311" s="65">
        <v>27</v>
      </c>
      <c r="B311" s="84" t="s">
        <v>372</v>
      </c>
      <c r="C311" s="73">
        <v>1</v>
      </c>
      <c r="D311" s="85" t="s">
        <v>373</v>
      </c>
      <c r="E311" s="86" t="s">
        <v>131</v>
      </c>
      <c r="F311" s="85" t="s">
        <v>223</v>
      </c>
      <c r="G311" s="71">
        <f t="shared" si="29"/>
        <v>452.16</v>
      </c>
      <c r="H311" s="71">
        <f t="shared" si="30"/>
        <v>452.16</v>
      </c>
      <c r="I311" s="71">
        <f t="shared" si="31"/>
        <v>452.16</v>
      </c>
      <c r="J311" s="71">
        <f t="shared" si="32"/>
        <v>452.16</v>
      </c>
      <c r="K311" s="72">
        <v>0</v>
      </c>
      <c r="M311" s="58">
        <f>VLOOKUP(D311,'TABELA DE PRECOS'!B:C,2,0)</f>
        <v>452.16</v>
      </c>
    </row>
    <row r="312" spans="1:13" ht="15.75" customHeight="1" x14ac:dyDescent="0.25">
      <c r="A312" s="73">
        <v>28</v>
      </c>
      <c r="B312" s="84" t="s">
        <v>374</v>
      </c>
      <c r="C312" s="73">
        <v>1</v>
      </c>
      <c r="D312" s="85" t="s">
        <v>375</v>
      </c>
      <c r="E312" s="86" t="s">
        <v>131</v>
      </c>
      <c r="F312" s="85" t="s">
        <v>223</v>
      </c>
      <c r="G312" s="71">
        <f t="shared" si="29"/>
        <v>640.15991999999994</v>
      </c>
      <c r="H312" s="71">
        <f t="shared" si="30"/>
        <v>640.15991999999994</v>
      </c>
      <c r="I312" s="71">
        <f t="shared" si="31"/>
        <v>640.15991999999994</v>
      </c>
      <c r="J312" s="71">
        <f t="shared" si="32"/>
        <v>640.15991999999994</v>
      </c>
      <c r="K312" s="72">
        <v>0</v>
      </c>
      <c r="M312" s="58">
        <f>VLOOKUP(D312,'TABELA DE PRECOS'!B:C,2,0)</f>
        <v>640.15991999999994</v>
      </c>
    </row>
    <row r="313" spans="1:13" ht="15.75" customHeight="1" x14ac:dyDescent="0.25">
      <c r="A313" s="73">
        <v>29</v>
      </c>
      <c r="B313" s="84" t="s">
        <v>376</v>
      </c>
      <c r="C313" s="73">
        <v>1</v>
      </c>
      <c r="D313" s="85" t="s">
        <v>377</v>
      </c>
      <c r="E313" s="86" t="s">
        <v>131</v>
      </c>
      <c r="F313" s="85" t="s">
        <v>223</v>
      </c>
      <c r="G313" s="71">
        <f t="shared" si="29"/>
        <v>514.57000000000005</v>
      </c>
      <c r="H313" s="71">
        <f t="shared" si="30"/>
        <v>514.57000000000005</v>
      </c>
      <c r="I313" s="71">
        <f t="shared" si="31"/>
        <v>514.57000000000005</v>
      </c>
      <c r="J313" s="71">
        <f t="shared" si="32"/>
        <v>514.57000000000005</v>
      </c>
      <c r="K313" s="72">
        <v>0</v>
      </c>
      <c r="M313" s="58">
        <f>VLOOKUP(D313,'TABELA DE PRECOS'!B:C,2,0)</f>
        <v>514.57000000000005</v>
      </c>
    </row>
    <row r="314" spans="1:13" ht="15.75" customHeight="1" x14ac:dyDescent="0.25">
      <c r="A314" s="65">
        <v>30</v>
      </c>
      <c r="B314" s="84" t="s">
        <v>378</v>
      </c>
      <c r="C314" s="73">
        <v>2</v>
      </c>
      <c r="D314" s="85" t="s">
        <v>379</v>
      </c>
      <c r="E314" s="86" t="s">
        <v>131</v>
      </c>
      <c r="F314" s="85" t="s">
        <v>223</v>
      </c>
      <c r="G314" s="71">
        <f t="shared" si="29"/>
        <v>9.18</v>
      </c>
      <c r="H314" s="71">
        <f t="shared" si="30"/>
        <v>18.36</v>
      </c>
      <c r="I314" s="71">
        <f t="shared" si="31"/>
        <v>9.18</v>
      </c>
      <c r="J314" s="71">
        <f t="shared" si="32"/>
        <v>18.36</v>
      </c>
      <c r="K314" s="72">
        <v>0</v>
      </c>
      <c r="M314" s="58">
        <f>VLOOKUP(D314,'TABELA DE PRECOS'!B:C,2,0)</f>
        <v>9.18</v>
      </c>
    </row>
    <row r="315" spans="1:13" ht="15.75" customHeight="1" x14ac:dyDescent="0.25">
      <c r="A315" s="78"/>
      <c r="B315" s="79" t="s">
        <v>224</v>
      </c>
      <c r="C315" s="79">
        <f>SUM(C285:C314)</f>
        <v>59</v>
      </c>
      <c r="D315" s="79"/>
      <c r="E315" s="79"/>
      <c r="F315" s="79"/>
      <c r="G315" s="80"/>
      <c r="H315" s="80">
        <f>SUM(H285:H314)</f>
        <v>2463.180464</v>
      </c>
      <c r="I315" s="79"/>
      <c r="J315" s="80">
        <f>SUM(J285:J314)</f>
        <v>2463.180464</v>
      </c>
      <c r="K315" s="81"/>
      <c r="M315" s="58" t="e">
        <f>VLOOKUP(D315,'TABELA DE PRECOS'!B:C,2,0)</f>
        <v>#N/A</v>
      </c>
    </row>
    <row r="316" spans="1:13" ht="15.75" customHeight="1" x14ac:dyDescent="0.25">
      <c r="A316" s="56"/>
      <c r="B316" s="49" t="s">
        <v>15</v>
      </c>
      <c r="C316" s="57"/>
      <c r="D316" s="90"/>
      <c r="E316" s="90"/>
      <c r="F316" s="90"/>
      <c r="G316" s="58"/>
      <c r="H316" s="58"/>
      <c r="I316" s="58"/>
      <c r="J316" s="58"/>
      <c r="K316" s="59"/>
      <c r="M316" s="58" t="e">
        <f>VLOOKUP(D316,'TABELA DE PRECOS'!B:C,2,0)</f>
        <v>#N/A</v>
      </c>
    </row>
    <row r="317" spans="1:13" ht="15.75" customHeight="1" x14ac:dyDescent="0.25">
      <c r="A317" s="94"/>
      <c r="B317" s="18" t="s">
        <v>461</v>
      </c>
      <c r="C317" s="57"/>
      <c r="D317" s="90"/>
      <c r="E317" s="90"/>
      <c r="F317" s="90"/>
      <c r="G317" s="58"/>
      <c r="H317" s="58"/>
      <c r="I317" s="58"/>
      <c r="J317" s="58"/>
      <c r="K317" s="59"/>
      <c r="M317" s="58" t="e">
        <f>VLOOKUP(D317,'TABELA DE PRECOS'!B:C,2,0)</f>
        <v>#N/A</v>
      </c>
    </row>
    <row r="318" spans="1:13" ht="15.75" customHeight="1" x14ac:dyDescent="0.25">
      <c r="A318" s="18" t="s">
        <v>119</v>
      </c>
      <c r="B318" s="18" t="s">
        <v>120</v>
      </c>
      <c r="C318" s="18" t="s">
        <v>21</v>
      </c>
      <c r="D318" s="18" t="s">
        <v>121</v>
      </c>
      <c r="E318" s="60" t="s">
        <v>122</v>
      </c>
      <c r="F318" s="18" t="s">
        <v>123</v>
      </c>
      <c r="G318" s="61" t="s">
        <v>22</v>
      </c>
      <c r="H318" s="18" t="s">
        <v>23</v>
      </c>
      <c r="I318" s="18" t="s">
        <v>24</v>
      </c>
      <c r="J318" s="18" t="s">
        <v>25</v>
      </c>
      <c r="K318" s="62" t="s">
        <v>26</v>
      </c>
      <c r="M318" s="58" t="str">
        <f>VLOOKUP(D318,'TABELA DE PRECOS'!B:C,2,0)</f>
        <v>Valor Unit Bruto</v>
      </c>
    </row>
    <row r="319" spans="1:13" ht="15.75" customHeight="1" x14ac:dyDescent="0.25">
      <c r="A319" s="65">
        <v>1</v>
      </c>
      <c r="B319" s="84" t="s">
        <v>462</v>
      </c>
      <c r="C319" s="73">
        <v>6</v>
      </c>
      <c r="D319" s="85" t="s">
        <v>463</v>
      </c>
      <c r="E319" s="86" t="s">
        <v>131</v>
      </c>
      <c r="F319" s="85">
        <v>81897710023</v>
      </c>
      <c r="G319" s="71">
        <f t="shared" ref="G319:G339" si="33">M319</f>
        <v>566.35864000000004</v>
      </c>
      <c r="H319" s="71">
        <f t="shared" ref="H319:H339" si="34">G319*C319</f>
        <v>3398.1518400000004</v>
      </c>
      <c r="I319" s="71">
        <f t="shared" ref="I319:I339" si="35">G319</f>
        <v>566.35864000000004</v>
      </c>
      <c r="J319" s="71">
        <f t="shared" ref="J319:J339" si="36">I319*C319</f>
        <v>3398.1518400000004</v>
      </c>
      <c r="K319" s="72">
        <v>0</v>
      </c>
      <c r="M319" s="58">
        <f>VLOOKUP(D319,'TABELA DE PRECOS'!B:C,2,0)</f>
        <v>566.35864000000004</v>
      </c>
    </row>
    <row r="320" spans="1:13" ht="15.75" customHeight="1" x14ac:dyDescent="0.25">
      <c r="A320" s="65">
        <v>2</v>
      </c>
      <c r="B320" s="84" t="s">
        <v>464</v>
      </c>
      <c r="C320" s="73">
        <v>6</v>
      </c>
      <c r="D320" s="85" t="s">
        <v>465</v>
      </c>
      <c r="E320" s="86" t="s">
        <v>131</v>
      </c>
      <c r="F320" s="85">
        <v>81897710018</v>
      </c>
      <c r="G320" s="71">
        <f t="shared" si="33"/>
        <v>53.807199999999995</v>
      </c>
      <c r="H320" s="71">
        <f t="shared" si="34"/>
        <v>322.84319999999997</v>
      </c>
      <c r="I320" s="71">
        <f t="shared" si="35"/>
        <v>53.807199999999995</v>
      </c>
      <c r="J320" s="71">
        <f t="shared" si="36"/>
        <v>322.84319999999997</v>
      </c>
      <c r="K320" s="72">
        <v>0</v>
      </c>
      <c r="M320" s="58">
        <f>VLOOKUP(D320,'TABELA DE PRECOS'!B:C,2,0)</f>
        <v>53.807199999999995</v>
      </c>
    </row>
    <row r="321" spans="1:13" ht="15.75" customHeight="1" x14ac:dyDescent="0.25">
      <c r="A321" s="65">
        <v>3</v>
      </c>
      <c r="B321" s="84" t="s">
        <v>466</v>
      </c>
      <c r="C321" s="73">
        <v>6</v>
      </c>
      <c r="D321" s="85" t="s">
        <v>467</v>
      </c>
      <c r="E321" s="86" t="s">
        <v>131</v>
      </c>
      <c r="F321" s="85">
        <v>81897710018</v>
      </c>
      <c r="G321" s="71">
        <f t="shared" si="33"/>
        <v>53.807199999999995</v>
      </c>
      <c r="H321" s="71">
        <f t="shared" si="34"/>
        <v>322.84319999999997</v>
      </c>
      <c r="I321" s="71">
        <f t="shared" si="35"/>
        <v>53.807199999999995</v>
      </c>
      <c r="J321" s="71">
        <f t="shared" si="36"/>
        <v>322.84319999999997</v>
      </c>
      <c r="K321" s="72">
        <v>0</v>
      </c>
      <c r="L321" s="63"/>
      <c r="M321" s="58">
        <f>VLOOKUP(D321,'TABELA DE PRECOS'!B:C,2,0)</f>
        <v>53.807199999999995</v>
      </c>
    </row>
    <row r="322" spans="1:13" ht="15.75" customHeight="1" x14ac:dyDescent="0.25">
      <c r="A322" s="65">
        <v>4</v>
      </c>
      <c r="B322" s="84" t="s">
        <v>468</v>
      </c>
      <c r="C322" s="73">
        <v>12</v>
      </c>
      <c r="D322" s="85" t="s">
        <v>469</v>
      </c>
      <c r="E322" s="86" t="s">
        <v>131</v>
      </c>
      <c r="F322" s="85">
        <v>81897719002</v>
      </c>
      <c r="G322" s="71">
        <f t="shared" si="33"/>
        <v>27.77704</v>
      </c>
      <c r="H322" s="71">
        <f t="shared" si="34"/>
        <v>333.32447999999999</v>
      </c>
      <c r="I322" s="71">
        <f t="shared" si="35"/>
        <v>27.77704</v>
      </c>
      <c r="J322" s="71">
        <f t="shared" si="36"/>
        <v>333.32447999999999</v>
      </c>
      <c r="K322" s="72">
        <v>0</v>
      </c>
      <c r="M322" s="58">
        <f>VLOOKUP(D322,'TABELA DE PRECOS'!B:C,2,0)</f>
        <v>27.77704</v>
      </c>
    </row>
    <row r="323" spans="1:13" ht="15.75" customHeight="1" x14ac:dyDescent="0.25">
      <c r="A323" s="65">
        <v>5</v>
      </c>
      <c r="B323" s="84" t="s">
        <v>470</v>
      </c>
      <c r="C323" s="73">
        <v>12</v>
      </c>
      <c r="D323" s="85" t="s">
        <v>471</v>
      </c>
      <c r="E323" s="86" t="s">
        <v>131</v>
      </c>
      <c r="F323" s="85">
        <v>81897719002</v>
      </c>
      <c r="G323" s="71">
        <f t="shared" si="33"/>
        <v>21.348960000000002</v>
      </c>
      <c r="H323" s="71">
        <f t="shared" si="34"/>
        <v>256.18752000000001</v>
      </c>
      <c r="I323" s="71">
        <f t="shared" si="35"/>
        <v>21.348960000000002</v>
      </c>
      <c r="J323" s="71">
        <f t="shared" si="36"/>
        <v>256.18752000000001</v>
      </c>
      <c r="K323" s="72">
        <v>0</v>
      </c>
      <c r="M323" s="58">
        <f>VLOOKUP(D323,'TABELA DE PRECOS'!B:C,2,0)</f>
        <v>21.348960000000002</v>
      </c>
    </row>
    <row r="324" spans="1:13" ht="15.75" customHeight="1" x14ac:dyDescent="0.25">
      <c r="A324" s="65">
        <v>6</v>
      </c>
      <c r="B324" s="84" t="s">
        <v>1581</v>
      </c>
      <c r="C324" s="73">
        <v>6</v>
      </c>
      <c r="D324" s="85" t="s">
        <v>473</v>
      </c>
      <c r="E324" s="86" t="s">
        <v>131</v>
      </c>
      <c r="F324" s="85">
        <v>81897719002</v>
      </c>
      <c r="G324" s="71">
        <f t="shared" si="33"/>
        <v>33.932320000000004</v>
      </c>
      <c r="H324" s="71">
        <f t="shared" si="34"/>
        <v>203.59392000000003</v>
      </c>
      <c r="I324" s="71">
        <f t="shared" si="35"/>
        <v>33.932320000000004</v>
      </c>
      <c r="J324" s="71">
        <f t="shared" si="36"/>
        <v>203.59392000000003</v>
      </c>
      <c r="K324" s="72">
        <v>0</v>
      </c>
      <c r="M324" s="58">
        <f>VLOOKUP(D324,'TABELA DE PRECOS'!B:C,2,0)</f>
        <v>33.932320000000004</v>
      </c>
    </row>
    <row r="325" spans="1:13" ht="15.75" customHeight="1" x14ac:dyDescent="0.25">
      <c r="A325" s="65">
        <v>7</v>
      </c>
      <c r="B325" s="66" t="s">
        <v>474</v>
      </c>
      <c r="C325" s="82">
        <v>12</v>
      </c>
      <c r="D325" s="76" t="s">
        <v>475</v>
      </c>
      <c r="E325" s="69" t="s">
        <v>131</v>
      </c>
      <c r="F325" s="76">
        <v>81897719002</v>
      </c>
      <c r="G325" s="71">
        <f t="shared" si="33"/>
        <v>33.932320000000004</v>
      </c>
      <c r="H325" s="71">
        <f t="shared" si="34"/>
        <v>407.18784000000005</v>
      </c>
      <c r="I325" s="71">
        <f t="shared" si="35"/>
        <v>33.932320000000004</v>
      </c>
      <c r="J325" s="71">
        <f t="shared" si="36"/>
        <v>407.18784000000005</v>
      </c>
      <c r="K325" s="72">
        <v>0</v>
      </c>
      <c r="M325" s="58">
        <f>VLOOKUP(D325,'TABELA DE PRECOS'!B:C,2,0)</f>
        <v>33.932320000000004</v>
      </c>
    </row>
    <row r="326" spans="1:13" ht="15.75" customHeight="1" x14ac:dyDescent="0.25">
      <c r="A326" s="65">
        <v>8</v>
      </c>
      <c r="B326" s="66" t="s">
        <v>476</v>
      </c>
      <c r="C326" s="82">
        <v>6</v>
      </c>
      <c r="D326" s="76" t="s">
        <v>477</v>
      </c>
      <c r="E326" s="69" t="s">
        <v>131</v>
      </c>
      <c r="F326" s="76">
        <v>81897719002</v>
      </c>
      <c r="G326" s="71">
        <f t="shared" si="33"/>
        <v>14.56128</v>
      </c>
      <c r="H326" s="71">
        <f t="shared" si="34"/>
        <v>87.367680000000007</v>
      </c>
      <c r="I326" s="71">
        <f t="shared" si="35"/>
        <v>14.56128</v>
      </c>
      <c r="J326" s="71">
        <f t="shared" si="36"/>
        <v>87.367680000000007</v>
      </c>
      <c r="K326" s="72">
        <v>0</v>
      </c>
      <c r="M326" s="58">
        <f>VLOOKUP(D326,'TABELA DE PRECOS'!B:C,2,0)</f>
        <v>14.56128</v>
      </c>
    </row>
    <row r="327" spans="1:13" ht="15.75" customHeight="1" x14ac:dyDescent="0.25">
      <c r="A327" s="65">
        <v>9</v>
      </c>
      <c r="B327" s="66" t="s">
        <v>478</v>
      </c>
      <c r="C327" s="82">
        <v>6</v>
      </c>
      <c r="D327" s="76" t="s">
        <v>479</v>
      </c>
      <c r="E327" s="69" t="s">
        <v>131</v>
      </c>
      <c r="F327" s="76">
        <v>81897710017</v>
      </c>
      <c r="G327" s="71">
        <f t="shared" si="33"/>
        <v>30.87528</v>
      </c>
      <c r="H327" s="71">
        <f t="shared" si="34"/>
        <v>185.25167999999999</v>
      </c>
      <c r="I327" s="71">
        <f t="shared" si="35"/>
        <v>30.87528</v>
      </c>
      <c r="J327" s="71">
        <f t="shared" si="36"/>
        <v>185.25167999999999</v>
      </c>
      <c r="K327" s="72">
        <v>0</v>
      </c>
      <c r="M327" s="58">
        <f>VLOOKUP(D327,'TABELA DE PRECOS'!B:C,2,0)</f>
        <v>30.87528</v>
      </c>
    </row>
    <row r="328" spans="1:13" ht="15.75" customHeight="1" x14ac:dyDescent="0.25">
      <c r="A328" s="65">
        <v>10</v>
      </c>
      <c r="B328" s="66" t="s">
        <v>480</v>
      </c>
      <c r="C328" s="82">
        <v>6</v>
      </c>
      <c r="D328" s="76" t="s">
        <v>481</v>
      </c>
      <c r="E328" s="69" t="s">
        <v>131</v>
      </c>
      <c r="F328" s="76">
        <v>81897710018</v>
      </c>
      <c r="G328" s="71">
        <f t="shared" si="33"/>
        <v>30.87528</v>
      </c>
      <c r="H328" s="71">
        <f t="shared" si="34"/>
        <v>185.25167999999999</v>
      </c>
      <c r="I328" s="71">
        <f t="shared" si="35"/>
        <v>30.87528</v>
      </c>
      <c r="J328" s="71">
        <f t="shared" si="36"/>
        <v>185.25167999999999</v>
      </c>
      <c r="K328" s="72">
        <v>0</v>
      </c>
      <c r="M328" s="58">
        <f>VLOOKUP(D328,'TABELA DE PRECOS'!B:C,2,0)</f>
        <v>30.87528</v>
      </c>
    </row>
    <row r="329" spans="1:13" ht="15.75" customHeight="1" x14ac:dyDescent="0.25">
      <c r="A329" s="65">
        <v>11</v>
      </c>
      <c r="B329" s="66" t="s">
        <v>482</v>
      </c>
      <c r="C329" s="82">
        <v>12</v>
      </c>
      <c r="D329" s="76" t="s">
        <v>483</v>
      </c>
      <c r="E329" s="69" t="s">
        <v>131</v>
      </c>
      <c r="F329" s="76">
        <v>81897719002</v>
      </c>
      <c r="G329" s="71">
        <f t="shared" si="33"/>
        <v>7.5643199999999995</v>
      </c>
      <c r="H329" s="71">
        <f t="shared" si="34"/>
        <v>90.771839999999997</v>
      </c>
      <c r="I329" s="71">
        <f t="shared" si="35"/>
        <v>7.5643199999999995</v>
      </c>
      <c r="J329" s="71">
        <f t="shared" si="36"/>
        <v>90.771839999999997</v>
      </c>
      <c r="K329" s="72">
        <v>0</v>
      </c>
      <c r="M329" s="58">
        <f>VLOOKUP(D329,'TABELA DE PRECOS'!B:C,2,0)</f>
        <v>7.5643199999999995</v>
      </c>
    </row>
    <row r="330" spans="1:13" ht="15.75" customHeight="1" x14ac:dyDescent="0.25">
      <c r="A330" s="65">
        <v>12</v>
      </c>
      <c r="B330" s="66" t="s">
        <v>397</v>
      </c>
      <c r="C330" s="82">
        <v>6</v>
      </c>
      <c r="D330" s="66" t="s">
        <v>398</v>
      </c>
      <c r="E330" s="69" t="s">
        <v>131</v>
      </c>
      <c r="F330" s="76">
        <v>81897719002</v>
      </c>
      <c r="G330" s="71">
        <f t="shared" si="33"/>
        <v>9.19</v>
      </c>
      <c r="H330" s="71">
        <f t="shared" si="34"/>
        <v>55.14</v>
      </c>
      <c r="I330" s="71">
        <f t="shared" si="35"/>
        <v>9.19</v>
      </c>
      <c r="J330" s="71">
        <f t="shared" si="36"/>
        <v>55.14</v>
      </c>
      <c r="K330" s="72">
        <v>0</v>
      </c>
      <c r="M330" s="58">
        <f>VLOOKUP(D330,'TABELA DE PRECOS'!B:C,2,0)</f>
        <v>9.19</v>
      </c>
    </row>
    <row r="331" spans="1:13" ht="15.75" customHeight="1" x14ac:dyDescent="0.25">
      <c r="A331" s="65">
        <v>13</v>
      </c>
      <c r="B331" s="66" t="s">
        <v>399</v>
      </c>
      <c r="C331" s="82">
        <v>6</v>
      </c>
      <c r="D331" s="66" t="s">
        <v>400</v>
      </c>
      <c r="E331" s="69" t="s">
        <v>131</v>
      </c>
      <c r="F331" s="76">
        <v>81897719002</v>
      </c>
      <c r="G331" s="71">
        <f t="shared" si="33"/>
        <v>8.85</v>
      </c>
      <c r="H331" s="71">
        <f t="shared" si="34"/>
        <v>53.099999999999994</v>
      </c>
      <c r="I331" s="71">
        <f t="shared" si="35"/>
        <v>8.85</v>
      </c>
      <c r="J331" s="71">
        <f t="shared" si="36"/>
        <v>53.099999999999994</v>
      </c>
      <c r="K331" s="72">
        <v>0</v>
      </c>
      <c r="M331" s="58">
        <f>VLOOKUP(D331,'TABELA DE PRECOS'!B:C,2,0)</f>
        <v>8.85</v>
      </c>
    </row>
    <row r="332" spans="1:13" ht="15.75" customHeight="1" x14ac:dyDescent="0.25">
      <c r="A332" s="65">
        <v>14</v>
      </c>
      <c r="B332" s="66" t="s">
        <v>484</v>
      </c>
      <c r="C332" s="82">
        <v>6</v>
      </c>
      <c r="D332" s="66" t="s">
        <v>485</v>
      </c>
      <c r="E332" s="69" t="s">
        <v>131</v>
      </c>
      <c r="F332" s="76">
        <v>81897719002</v>
      </c>
      <c r="G332" s="71">
        <f t="shared" si="33"/>
        <v>35.506160000000001</v>
      </c>
      <c r="H332" s="71">
        <f t="shared" si="34"/>
        <v>213.03696000000002</v>
      </c>
      <c r="I332" s="71">
        <f t="shared" si="35"/>
        <v>35.506160000000001</v>
      </c>
      <c r="J332" s="71">
        <f t="shared" si="36"/>
        <v>213.03696000000002</v>
      </c>
      <c r="K332" s="72">
        <v>0</v>
      </c>
      <c r="M332" s="58">
        <f>VLOOKUP(D332,'TABELA DE PRECOS'!B:C,2,0)</f>
        <v>35.506160000000001</v>
      </c>
    </row>
    <row r="333" spans="1:13" ht="15.75" customHeight="1" x14ac:dyDescent="0.25">
      <c r="A333" s="65">
        <v>15</v>
      </c>
      <c r="B333" s="66" t="s">
        <v>486</v>
      </c>
      <c r="C333" s="82">
        <v>6</v>
      </c>
      <c r="D333" s="76" t="s">
        <v>487</v>
      </c>
      <c r="E333" s="69" t="s">
        <v>131</v>
      </c>
      <c r="F333" s="76">
        <v>81897719002</v>
      </c>
      <c r="G333" s="71">
        <f t="shared" si="33"/>
        <v>46.292320000000004</v>
      </c>
      <c r="H333" s="71">
        <f t="shared" si="34"/>
        <v>277.75391999999999</v>
      </c>
      <c r="I333" s="71">
        <f t="shared" si="35"/>
        <v>46.292320000000004</v>
      </c>
      <c r="J333" s="71">
        <f t="shared" si="36"/>
        <v>277.75391999999999</v>
      </c>
      <c r="K333" s="72">
        <v>0</v>
      </c>
      <c r="M333" s="58">
        <f>VLOOKUP(D333,'TABELA DE PRECOS'!B:C,2,0)</f>
        <v>46.292320000000004</v>
      </c>
    </row>
    <row r="334" spans="1:13" ht="15.75" customHeight="1" x14ac:dyDescent="0.25">
      <c r="A334" s="65">
        <v>16</v>
      </c>
      <c r="B334" s="66" t="s">
        <v>488</v>
      </c>
      <c r="C334" s="82">
        <v>6</v>
      </c>
      <c r="D334" s="66" t="s">
        <v>489</v>
      </c>
      <c r="E334" s="69" t="s">
        <v>131</v>
      </c>
      <c r="F334" s="76">
        <v>81897719002</v>
      </c>
      <c r="G334" s="71">
        <f t="shared" si="33"/>
        <v>11.81</v>
      </c>
      <c r="H334" s="71">
        <f t="shared" si="34"/>
        <v>70.86</v>
      </c>
      <c r="I334" s="71">
        <f t="shared" si="35"/>
        <v>11.81</v>
      </c>
      <c r="J334" s="71">
        <f t="shared" si="36"/>
        <v>70.86</v>
      </c>
      <c r="K334" s="72">
        <v>0</v>
      </c>
      <c r="M334" s="58">
        <f>VLOOKUP(D334,'TABELA DE PRECOS'!B:C,2,0)</f>
        <v>11.81</v>
      </c>
    </row>
    <row r="335" spans="1:13" ht="15.75" customHeight="1" x14ac:dyDescent="0.25">
      <c r="A335" s="65">
        <v>17</v>
      </c>
      <c r="B335" s="66" t="s">
        <v>490</v>
      </c>
      <c r="C335" s="82">
        <v>12</v>
      </c>
      <c r="D335" s="66" t="s">
        <v>491</v>
      </c>
      <c r="E335" s="69" t="s">
        <v>131</v>
      </c>
      <c r="F335" s="76">
        <v>81897719002</v>
      </c>
      <c r="G335" s="71">
        <f t="shared" si="33"/>
        <v>13.65</v>
      </c>
      <c r="H335" s="71">
        <f t="shared" si="34"/>
        <v>163.80000000000001</v>
      </c>
      <c r="I335" s="71">
        <f t="shared" si="35"/>
        <v>13.65</v>
      </c>
      <c r="J335" s="71">
        <f t="shared" si="36"/>
        <v>163.80000000000001</v>
      </c>
      <c r="K335" s="72">
        <v>0</v>
      </c>
      <c r="M335" s="58">
        <f>VLOOKUP(D335,'TABELA DE PRECOS'!B:C,2,0)</f>
        <v>13.65</v>
      </c>
    </row>
    <row r="336" spans="1:13" ht="15.75" customHeight="1" x14ac:dyDescent="0.25">
      <c r="A336" s="65">
        <v>18</v>
      </c>
      <c r="B336" s="84" t="s">
        <v>492</v>
      </c>
      <c r="C336" s="73">
        <v>1</v>
      </c>
      <c r="D336" s="85" t="s">
        <v>493</v>
      </c>
      <c r="E336" s="86" t="s">
        <v>131</v>
      </c>
      <c r="F336" s="85" t="s">
        <v>223</v>
      </c>
      <c r="G336" s="71">
        <f t="shared" si="33"/>
        <v>333.28328000000005</v>
      </c>
      <c r="H336" s="71">
        <f t="shared" si="34"/>
        <v>333.28328000000005</v>
      </c>
      <c r="I336" s="71">
        <f t="shared" si="35"/>
        <v>333.28328000000005</v>
      </c>
      <c r="J336" s="71">
        <f t="shared" si="36"/>
        <v>333.28328000000005</v>
      </c>
      <c r="K336" s="72">
        <v>0</v>
      </c>
      <c r="M336" s="58">
        <f>VLOOKUP(D336,'TABELA DE PRECOS'!B:C,2,0)</f>
        <v>333.28328000000005</v>
      </c>
    </row>
    <row r="337" spans="1:13" ht="15.75" customHeight="1" x14ac:dyDescent="0.25">
      <c r="A337" s="65">
        <v>19</v>
      </c>
      <c r="B337" s="84" t="s">
        <v>494</v>
      </c>
      <c r="C337" s="73">
        <v>1</v>
      </c>
      <c r="D337" s="85" t="s">
        <v>495</v>
      </c>
      <c r="E337" s="86" t="s">
        <v>131</v>
      </c>
      <c r="F337" s="85" t="s">
        <v>223</v>
      </c>
      <c r="G337" s="71">
        <f t="shared" si="33"/>
        <v>356.26528000000002</v>
      </c>
      <c r="H337" s="71">
        <f t="shared" si="34"/>
        <v>356.26528000000002</v>
      </c>
      <c r="I337" s="71">
        <f t="shared" si="35"/>
        <v>356.26528000000002</v>
      </c>
      <c r="J337" s="71">
        <f t="shared" si="36"/>
        <v>356.26528000000002</v>
      </c>
      <c r="K337" s="72">
        <v>0</v>
      </c>
      <c r="M337" s="58">
        <f>VLOOKUP(D337,'TABELA DE PRECOS'!B:C,2,0)</f>
        <v>356.26528000000002</v>
      </c>
    </row>
    <row r="338" spans="1:13" ht="15.75" customHeight="1" x14ac:dyDescent="0.25">
      <c r="A338" s="65">
        <v>20</v>
      </c>
      <c r="B338" s="84" t="s">
        <v>496</v>
      </c>
      <c r="C338" s="73">
        <v>1</v>
      </c>
      <c r="D338" s="85" t="s">
        <v>497</v>
      </c>
      <c r="E338" s="86" t="s">
        <v>131</v>
      </c>
      <c r="F338" s="85" t="s">
        <v>223</v>
      </c>
      <c r="G338" s="71">
        <f t="shared" si="33"/>
        <v>414.94</v>
      </c>
      <c r="H338" s="71">
        <f t="shared" si="34"/>
        <v>414.94</v>
      </c>
      <c r="I338" s="71">
        <f t="shared" si="35"/>
        <v>414.94</v>
      </c>
      <c r="J338" s="71">
        <f t="shared" si="36"/>
        <v>414.94</v>
      </c>
      <c r="K338" s="72">
        <v>0</v>
      </c>
      <c r="M338" s="58">
        <f>VLOOKUP(D338,'TABELA DE PRECOS'!B:C,2,0)</f>
        <v>414.94</v>
      </c>
    </row>
    <row r="339" spans="1:13" ht="15.75" customHeight="1" x14ac:dyDescent="0.25">
      <c r="A339" s="65">
        <v>21</v>
      </c>
      <c r="B339" s="84" t="s">
        <v>378</v>
      </c>
      <c r="C339" s="73">
        <v>2</v>
      </c>
      <c r="D339" s="85" t="s">
        <v>498</v>
      </c>
      <c r="E339" s="86" t="s">
        <v>131</v>
      </c>
      <c r="F339" s="85" t="s">
        <v>223</v>
      </c>
      <c r="G339" s="71">
        <f t="shared" si="33"/>
        <v>9.18</v>
      </c>
      <c r="H339" s="71">
        <f t="shared" si="34"/>
        <v>18.36</v>
      </c>
      <c r="I339" s="71">
        <f t="shared" si="35"/>
        <v>9.18</v>
      </c>
      <c r="J339" s="71">
        <f t="shared" si="36"/>
        <v>18.36</v>
      </c>
      <c r="K339" s="72">
        <v>0</v>
      </c>
      <c r="M339" s="58">
        <f>VLOOKUP(D339,'TABELA DE PRECOS'!B:C,2,0)</f>
        <v>9.18</v>
      </c>
    </row>
    <row r="340" spans="1:13" ht="15.75" customHeight="1" x14ac:dyDescent="0.25">
      <c r="A340" s="78"/>
      <c r="B340" s="79" t="s">
        <v>224</v>
      </c>
      <c r="C340" s="79">
        <f>SUM(C319:C339)</f>
        <v>137</v>
      </c>
      <c r="D340" s="79"/>
      <c r="E340" s="79"/>
      <c r="F340" s="79"/>
      <c r="G340" s="80"/>
      <c r="H340" s="80">
        <f>SUM(H319:H339)</f>
        <v>7749.3143200000022</v>
      </c>
      <c r="I340" s="79"/>
      <c r="J340" s="80">
        <f>SUM(J319:J339)</f>
        <v>7749.3143200000022</v>
      </c>
      <c r="K340" s="81"/>
      <c r="M340" s="58" t="e">
        <f>VLOOKUP(D340,'TABELA DE PRECOS'!B:C,2,0)</f>
        <v>#N/A</v>
      </c>
    </row>
    <row r="341" spans="1:13" ht="15.75" customHeight="1" x14ac:dyDescent="0.25">
      <c r="A341" s="56"/>
      <c r="B341" s="49" t="s">
        <v>15</v>
      </c>
      <c r="C341" s="57"/>
      <c r="D341" s="90"/>
      <c r="E341" s="90"/>
      <c r="F341" s="90"/>
      <c r="G341" s="58"/>
      <c r="H341" s="58"/>
      <c r="I341" s="58"/>
      <c r="J341" s="58"/>
      <c r="K341" s="59"/>
      <c r="M341" s="58" t="e">
        <f>VLOOKUP(D341,'TABELA DE PRECOS'!B:C,2,0)</f>
        <v>#N/A</v>
      </c>
    </row>
    <row r="342" spans="1:13" ht="15.75" customHeight="1" x14ac:dyDescent="0.25">
      <c r="A342" s="56"/>
      <c r="B342" s="18" t="s">
        <v>499</v>
      </c>
      <c r="C342" s="57"/>
      <c r="G342" s="58"/>
      <c r="H342" s="58"/>
      <c r="I342" s="58"/>
      <c r="J342" s="58"/>
      <c r="K342" s="59"/>
      <c r="M342" s="58" t="e">
        <f>VLOOKUP(D342,'TABELA DE PRECOS'!B:C,2,0)</f>
        <v>#N/A</v>
      </c>
    </row>
    <row r="343" spans="1:13" ht="15.75" customHeight="1" x14ac:dyDescent="0.25">
      <c r="A343" s="18" t="s">
        <v>119</v>
      </c>
      <c r="B343" s="18" t="s">
        <v>120</v>
      </c>
      <c r="C343" s="18" t="s">
        <v>21</v>
      </c>
      <c r="D343" s="18" t="s">
        <v>121</v>
      </c>
      <c r="E343" s="60" t="s">
        <v>122</v>
      </c>
      <c r="F343" s="18" t="s">
        <v>123</v>
      </c>
      <c r="G343" s="61" t="s">
        <v>22</v>
      </c>
      <c r="H343" s="18" t="s">
        <v>23</v>
      </c>
      <c r="I343" s="18" t="s">
        <v>24</v>
      </c>
      <c r="J343" s="18" t="s">
        <v>25</v>
      </c>
      <c r="K343" s="62" t="s">
        <v>26</v>
      </c>
      <c r="M343" s="58" t="str">
        <f>VLOOKUP(D343,'TABELA DE PRECOS'!B:C,2,0)</f>
        <v>Valor Unit Bruto</v>
      </c>
    </row>
    <row r="344" spans="1:13" ht="15.75" customHeight="1" x14ac:dyDescent="0.25">
      <c r="A344" s="65">
        <v>1</v>
      </c>
      <c r="B344" s="84" t="s">
        <v>500</v>
      </c>
      <c r="C344" s="73">
        <v>4</v>
      </c>
      <c r="D344" s="84" t="s">
        <v>501</v>
      </c>
      <c r="E344" s="86" t="s">
        <v>131</v>
      </c>
      <c r="F344" s="93">
        <v>81897710042</v>
      </c>
      <c r="G344" s="71">
        <f t="shared" ref="G344:G367" si="37">M344</f>
        <v>162.87183999999999</v>
      </c>
      <c r="H344" s="71">
        <f t="shared" ref="H344:H367" si="38">G344*C344</f>
        <v>651.48735999999997</v>
      </c>
      <c r="I344" s="71">
        <f t="shared" ref="I344:I367" si="39">G344</f>
        <v>162.87183999999999</v>
      </c>
      <c r="J344" s="71">
        <f t="shared" ref="J344:J367" si="40">I344*C344</f>
        <v>651.48735999999997</v>
      </c>
      <c r="K344" s="72">
        <v>0</v>
      </c>
      <c r="L344" s="63"/>
      <c r="M344" s="58">
        <f>VLOOKUP(D344,'TABELA DE PRECOS'!B:C,2,0)</f>
        <v>162.87183999999999</v>
      </c>
    </row>
    <row r="345" spans="1:13" ht="15.75" customHeight="1" x14ac:dyDescent="0.25">
      <c r="A345" s="65">
        <v>2</v>
      </c>
      <c r="B345" s="84" t="s">
        <v>502</v>
      </c>
      <c r="C345" s="73">
        <v>2</v>
      </c>
      <c r="D345" s="84" t="s">
        <v>503</v>
      </c>
      <c r="E345" s="86" t="s">
        <v>131</v>
      </c>
      <c r="F345" s="93">
        <v>81897719001</v>
      </c>
      <c r="G345" s="71">
        <f t="shared" si="37"/>
        <v>139.40431999999998</v>
      </c>
      <c r="H345" s="71">
        <f t="shared" si="38"/>
        <v>278.80863999999997</v>
      </c>
      <c r="I345" s="71">
        <f t="shared" si="39"/>
        <v>139.40431999999998</v>
      </c>
      <c r="J345" s="71">
        <f t="shared" si="40"/>
        <v>278.80863999999997</v>
      </c>
      <c r="K345" s="72">
        <v>0</v>
      </c>
      <c r="M345" s="58">
        <f>VLOOKUP(D345,'TABELA DE PRECOS'!B:C,2,0)</f>
        <v>139.40431999999998</v>
      </c>
    </row>
    <row r="346" spans="1:13" ht="15.75" customHeight="1" x14ac:dyDescent="0.25">
      <c r="A346" s="65">
        <v>3</v>
      </c>
      <c r="B346" s="84" t="s">
        <v>504</v>
      </c>
      <c r="C346" s="73">
        <v>2</v>
      </c>
      <c r="D346" s="84" t="s">
        <v>505</v>
      </c>
      <c r="E346" s="86" t="s">
        <v>131</v>
      </c>
      <c r="F346" s="93">
        <v>81897719001</v>
      </c>
      <c r="G346" s="71">
        <f t="shared" si="37"/>
        <v>139.40431999999998</v>
      </c>
      <c r="H346" s="71">
        <f t="shared" si="38"/>
        <v>278.80863999999997</v>
      </c>
      <c r="I346" s="71">
        <f t="shared" si="39"/>
        <v>139.40431999999998</v>
      </c>
      <c r="J346" s="71">
        <f t="shared" si="40"/>
        <v>278.80863999999997</v>
      </c>
      <c r="K346" s="72">
        <v>0</v>
      </c>
      <c r="M346" s="58">
        <f>VLOOKUP(D346,'TABELA DE PRECOS'!B:C,2,0)</f>
        <v>139.40431999999998</v>
      </c>
    </row>
    <row r="347" spans="1:13" ht="15.75" customHeight="1" x14ac:dyDescent="0.25">
      <c r="A347" s="65">
        <v>4</v>
      </c>
      <c r="B347" s="84" t="s">
        <v>506</v>
      </c>
      <c r="C347" s="73">
        <v>4</v>
      </c>
      <c r="D347" s="84" t="s">
        <v>507</v>
      </c>
      <c r="E347" s="86" t="s">
        <v>131</v>
      </c>
      <c r="F347" s="93">
        <v>81897719001</v>
      </c>
      <c r="G347" s="71">
        <f t="shared" si="37"/>
        <v>98.451520000000002</v>
      </c>
      <c r="H347" s="71">
        <f t="shared" si="38"/>
        <v>393.80608000000001</v>
      </c>
      <c r="I347" s="71">
        <f t="shared" si="39"/>
        <v>98.451520000000002</v>
      </c>
      <c r="J347" s="71">
        <f t="shared" si="40"/>
        <v>393.80608000000001</v>
      </c>
      <c r="K347" s="72">
        <v>0</v>
      </c>
      <c r="M347" s="58">
        <f>VLOOKUP(D347,'TABELA DE PRECOS'!B:C,2,0)</f>
        <v>98.451520000000002</v>
      </c>
    </row>
    <row r="348" spans="1:13" ht="15.75" customHeight="1" x14ac:dyDescent="0.25">
      <c r="A348" s="65">
        <v>5</v>
      </c>
      <c r="B348" s="84" t="s">
        <v>1582</v>
      </c>
      <c r="C348" s="73">
        <v>4</v>
      </c>
      <c r="D348" s="84" t="s">
        <v>1583</v>
      </c>
      <c r="E348" s="86" t="s">
        <v>131</v>
      </c>
      <c r="F348" s="93">
        <v>81897710012</v>
      </c>
      <c r="G348" s="71">
        <f t="shared" si="37"/>
        <v>26.67</v>
      </c>
      <c r="H348" s="71">
        <f t="shared" si="38"/>
        <v>106.68</v>
      </c>
      <c r="I348" s="71">
        <f t="shared" si="39"/>
        <v>26.67</v>
      </c>
      <c r="J348" s="71">
        <f t="shared" si="40"/>
        <v>106.68</v>
      </c>
      <c r="K348" s="72">
        <v>0</v>
      </c>
      <c r="M348" s="58">
        <f>VLOOKUP(D348,'TABELA DE PRECOS'!B:C,2,0)</f>
        <v>26.67</v>
      </c>
    </row>
    <row r="349" spans="1:13" ht="15.75" customHeight="1" x14ac:dyDescent="0.25">
      <c r="A349" s="65">
        <v>6</v>
      </c>
      <c r="B349" s="66" t="s">
        <v>510</v>
      </c>
      <c r="C349" s="82">
        <v>5</v>
      </c>
      <c r="D349" s="76" t="s">
        <v>511</v>
      </c>
      <c r="E349" s="69" t="s">
        <v>131</v>
      </c>
      <c r="F349" s="95">
        <v>81897719006</v>
      </c>
      <c r="G349" s="71">
        <f t="shared" si="37"/>
        <v>19.89</v>
      </c>
      <c r="H349" s="71">
        <f t="shared" si="38"/>
        <v>99.45</v>
      </c>
      <c r="I349" s="71">
        <f t="shared" si="39"/>
        <v>19.89</v>
      </c>
      <c r="J349" s="71">
        <f t="shared" si="40"/>
        <v>99.45</v>
      </c>
      <c r="K349" s="72">
        <v>0</v>
      </c>
      <c r="M349" s="58">
        <v>19.89</v>
      </c>
    </row>
    <row r="350" spans="1:13" ht="15.75" customHeight="1" x14ac:dyDescent="0.25">
      <c r="A350" s="65">
        <v>7</v>
      </c>
      <c r="B350" s="66" t="s">
        <v>139</v>
      </c>
      <c r="C350" s="82">
        <v>2</v>
      </c>
      <c r="D350" s="76" t="s">
        <v>140</v>
      </c>
      <c r="E350" s="69" t="s">
        <v>131</v>
      </c>
      <c r="F350" s="95">
        <v>81897719002</v>
      </c>
      <c r="G350" s="71">
        <f t="shared" si="37"/>
        <v>8.1120000000000001</v>
      </c>
      <c r="H350" s="71">
        <f t="shared" si="38"/>
        <v>16.224</v>
      </c>
      <c r="I350" s="71">
        <f t="shared" si="39"/>
        <v>8.1120000000000001</v>
      </c>
      <c r="J350" s="71">
        <f t="shared" si="40"/>
        <v>16.224</v>
      </c>
      <c r="K350" s="72">
        <v>0</v>
      </c>
      <c r="M350" s="58">
        <f>VLOOKUP(D350,'TABELA DE PRECOS'!B:C,2,0)</f>
        <v>8.1120000000000001</v>
      </c>
    </row>
    <row r="351" spans="1:13" ht="15.75" customHeight="1" x14ac:dyDescent="0.25">
      <c r="A351" s="65">
        <v>8</v>
      </c>
      <c r="B351" s="66" t="s">
        <v>512</v>
      </c>
      <c r="C351" s="82">
        <v>4</v>
      </c>
      <c r="D351" s="76" t="s">
        <v>513</v>
      </c>
      <c r="E351" s="69" t="s">
        <v>131</v>
      </c>
      <c r="F351" s="95">
        <v>81897719002</v>
      </c>
      <c r="G351" s="71">
        <f t="shared" si="37"/>
        <v>65.590399999999988</v>
      </c>
      <c r="H351" s="71">
        <f t="shared" si="38"/>
        <v>262.36159999999995</v>
      </c>
      <c r="I351" s="71">
        <f t="shared" si="39"/>
        <v>65.590399999999988</v>
      </c>
      <c r="J351" s="71">
        <f t="shared" si="40"/>
        <v>262.36159999999995</v>
      </c>
      <c r="K351" s="72">
        <v>0</v>
      </c>
      <c r="M351" s="58">
        <f>VLOOKUP(D351,'TABELA DE PRECOS'!B:C,2,0)</f>
        <v>65.590399999999988</v>
      </c>
    </row>
    <row r="352" spans="1:13" ht="15.75" customHeight="1" x14ac:dyDescent="0.25">
      <c r="A352" s="65">
        <v>9</v>
      </c>
      <c r="B352" s="66" t="s">
        <v>514</v>
      </c>
      <c r="C352" s="82">
        <v>2</v>
      </c>
      <c r="D352" s="76" t="s">
        <v>515</v>
      </c>
      <c r="E352" s="69" t="s">
        <v>131</v>
      </c>
      <c r="F352" s="95">
        <v>81897719002</v>
      </c>
      <c r="G352" s="71">
        <f t="shared" si="37"/>
        <v>65.590399999999988</v>
      </c>
      <c r="H352" s="71">
        <f t="shared" si="38"/>
        <v>131.18079999999998</v>
      </c>
      <c r="I352" s="71">
        <f t="shared" si="39"/>
        <v>65.590399999999988</v>
      </c>
      <c r="J352" s="71">
        <f t="shared" si="40"/>
        <v>131.18079999999998</v>
      </c>
      <c r="K352" s="72">
        <v>0</v>
      </c>
      <c r="M352" s="58">
        <f>VLOOKUP(D352,'TABELA DE PRECOS'!B:C,2,0)</f>
        <v>65.590399999999988</v>
      </c>
    </row>
    <row r="353" spans="1:13" ht="15.75" customHeight="1" x14ac:dyDescent="0.25">
      <c r="A353" s="65">
        <v>10</v>
      </c>
      <c r="B353" s="66" t="s">
        <v>516</v>
      </c>
      <c r="C353" s="82">
        <v>1</v>
      </c>
      <c r="D353" s="76" t="s">
        <v>517</v>
      </c>
      <c r="E353" s="69" t="s">
        <v>131</v>
      </c>
      <c r="F353" s="95">
        <v>81897719002</v>
      </c>
      <c r="G353" s="71">
        <f t="shared" si="37"/>
        <v>69.430239999999998</v>
      </c>
      <c r="H353" s="71">
        <f t="shared" si="38"/>
        <v>69.430239999999998</v>
      </c>
      <c r="I353" s="71">
        <f t="shared" si="39"/>
        <v>69.430239999999998</v>
      </c>
      <c r="J353" s="71">
        <f t="shared" si="40"/>
        <v>69.430239999999998</v>
      </c>
      <c r="K353" s="72">
        <v>0</v>
      </c>
      <c r="M353" s="58">
        <f>VLOOKUP(D353,'TABELA DE PRECOS'!B:C,2,0)</f>
        <v>69.430239999999998</v>
      </c>
    </row>
    <row r="354" spans="1:13" ht="15.75" customHeight="1" x14ac:dyDescent="0.25">
      <c r="A354" s="65">
        <v>11</v>
      </c>
      <c r="B354" s="66" t="s">
        <v>518</v>
      </c>
      <c r="C354" s="82">
        <v>4</v>
      </c>
      <c r="D354" s="76" t="s">
        <v>519</v>
      </c>
      <c r="E354" s="69" t="s">
        <v>131</v>
      </c>
      <c r="F354" s="95">
        <v>81897719002</v>
      </c>
      <c r="G354" s="71">
        <f t="shared" si="37"/>
        <v>12.36</v>
      </c>
      <c r="H354" s="71">
        <f t="shared" si="38"/>
        <v>49.44</v>
      </c>
      <c r="I354" s="71">
        <f t="shared" si="39"/>
        <v>12.36</v>
      </c>
      <c r="J354" s="71">
        <f t="shared" si="40"/>
        <v>49.44</v>
      </c>
      <c r="K354" s="72">
        <v>0</v>
      </c>
      <c r="M354" s="58">
        <f>VLOOKUP(D354,'TABELA DE PRECOS'!B:C,2,0)</f>
        <v>12.36</v>
      </c>
    </row>
    <row r="355" spans="1:13" ht="15.75" customHeight="1" x14ac:dyDescent="0.25">
      <c r="A355" s="65">
        <v>12</v>
      </c>
      <c r="B355" s="66" t="s">
        <v>397</v>
      </c>
      <c r="C355" s="82">
        <v>2</v>
      </c>
      <c r="D355" s="76" t="s">
        <v>398</v>
      </c>
      <c r="E355" s="69" t="s">
        <v>131</v>
      </c>
      <c r="F355" s="95">
        <v>81897719002</v>
      </c>
      <c r="G355" s="71">
        <f t="shared" si="37"/>
        <v>9.19</v>
      </c>
      <c r="H355" s="71">
        <f t="shared" si="38"/>
        <v>18.38</v>
      </c>
      <c r="I355" s="71">
        <f t="shared" si="39"/>
        <v>9.19</v>
      </c>
      <c r="J355" s="71">
        <f t="shared" si="40"/>
        <v>18.38</v>
      </c>
      <c r="K355" s="72">
        <v>0</v>
      </c>
      <c r="M355" s="58">
        <f>VLOOKUP(D355,'TABELA DE PRECOS'!B:C,2,0)</f>
        <v>9.19</v>
      </c>
    </row>
    <row r="356" spans="1:13" ht="15.75" customHeight="1" x14ac:dyDescent="0.25">
      <c r="A356" s="65">
        <v>13</v>
      </c>
      <c r="B356" s="66" t="s">
        <v>520</v>
      </c>
      <c r="C356" s="82">
        <v>2</v>
      </c>
      <c r="D356" s="66" t="s">
        <v>521</v>
      </c>
      <c r="E356" s="69" t="s">
        <v>131</v>
      </c>
      <c r="F356" s="95">
        <v>81897719006</v>
      </c>
      <c r="G356" s="71">
        <f t="shared" si="37"/>
        <v>38.554960000000001</v>
      </c>
      <c r="H356" s="71">
        <f t="shared" si="38"/>
        <v>77.109920000000002</v>
      </c>
      <c r="I356" s="71">
        <f t="shared" si="39"/>
        <v>38.554960000000001</v>
      </c>
      <c r="J356" s="71">
        <f t="shared" si="40"/>
        <v>77.109920000000002</v>
      </c>
      <c r="K356" s="72">
        <v>0</v>
      </c>
      <c r="M356" s="58">
        <f>VLOOKUP(D356,'TABELA DE PRECOS'!B:C,2,0)</f>
        <v>38.554960000000001</v>
      </c>
    </row>
    <row r="357" spans="1:13" ht="15.75" customHeight="1" x14ac:dyDescent="0.25">
      <c r="A357" s="65">
        <v>14</v>
      </c>
      <c r="B357" s="66" t="s">
        <v>522</v>
      </c>
      <c r="C357" s="82">
        <v>1</v>
      </c>
      <c r="D357" s="66" t="s">
        <v>523</v>
      </c>
      <c r="E357" s="69" t="s">
        <v>131</v>
      </c>
      <c r="F357" s="95">
        <v>81897719006</v>
      </c>
      <c r="G357" s="71">
        <f t="shared" si="37"/>
        <v>342.88288</v>
      </c>
      <c r="H357" s="71">
        <f t="shared" si="38"/>
        <v>342.88288</v>
      </c>
      <c r="I357" s="71">
        <f t="shared" si="39"/>
        <v>342.88288</v>
      </c>
      <c r="J357" s="71">
        <f t="shared" si="40"/>
        <v>342.88288</v>
      </c>
      <c r="K357" s="72">
        <v>0</v>
      </c>
      <c r="M357" s="58">
        <f>VLOOKUP(D357,'TABELA DE PRECOS'!B:C,2,0)</f>
        <v>342.88288</v>
      </c>
    </row>
    <row r="358" spans="1:13" ht="15.75" customHeight="1" x14ac:dyDescent="0.25">
      <c r="A358" s="65">
        <v>15</v>
      </c>
      <c r="B358" s="66" t="s">
        <v>524</v>
      </c>
      <c r="C358" s="82">
        <v>2</v>
      </c>
      <c r="D358" s="76" t="s">
        <v>525</v>
      </c>
      <c r="E358" s="69" t="s">
        <v>131</v>
      </c>
      <c r="F358" s="95">
        <v>81897719002</v>
      </c>
      <c r="G358" s="71">
        <f t="shared" si="37"/>
        <v>61.701119999999996</v>
      </c>
      <c r="H358" s="71">
        <f t="shared" si="38"/>
        <v>123.40223999999999</v>
      </c>
      <c r="I358" s="71">
        <f t="shared" si="39"/>
        <v>61.701119999999996</v>
      </c>
      <c r="J358" s="71">
        <f t="shared" si="40"/>
        <v>123.40223999999999</v>
      </c>
      <c r="K358" s="72">
        <v>0</v>
      </c>
      <c r="M358" s="58">
        <f>VLOOKUP(D358,'TABELA DE PRECOS'!B:C,2,0)</f>
        <v>61.701119999999996</v>
      </c>
    </row>
    <row r="359" spans="1:13" ht="15.75" customHeight="1" x14ac:dyDescent="0.25">
      <c r="A359" s="65">
        <v>16</v>
      </c>
      <c r="B359" s="66" t="s">
        <v>526</v>
      </c>
      <c r="C359" s="82">
        <v>1</v>
      </c>
      <c r="D359" s="76" t="s">
        <v>527</v>
      </c>
      <c r="E359" s="69" t="s">
        <v>131</v>
      </c>
      <c r="F359" s="95">
        <v>81897719002</v>
      </c>
      <c r="G359" s="71">
        <f t="shared" si="37"/>
        <v>81.007440000000003</v>
      </c>
      <c r="H359" s="71">
        <f t="shared" si="38"/>
        <v>81.007440000000003</v>
      </c>
      <c r="I359" s="71">
        <f t="shared" si="39"/>
        <v>81.007440000000003</v>
      </c>
      <c r="J359" s="71">
        <f t="shared" si="40"/>
        <v>81.007440000000003</v>
      </c>
      <c r="K359" s="72">
        <v>0</v>
      </c>
      <c r="M359" s="58">
        <f>VLOOKUP(D359,'TABELA DE PRECOS'!B:C,2,0)</f>
        <v>81.007440000000003</v>
      </c>
    </row>
    <row r="360" spans="1:13" ht="15.75" customHeight="1" x14ac:dyDescent="0.25">
      <c r="A360" s="65">
        <v>17</v>
      </c>
      <c r="B360" s="66" t="s">
        <v>528</v>
      </c>
      <c r="C360" s="82">
        <v>2</v>
      </c>
      <c r="D360" s="76" t="s">
        <v>529</v>
      </c>
      <c r="E360" s="69" t="s">
        <v>131</v>
      </c>
      <c r="F360" s="95">
        <v>81897719002</v>
      </c>
      <c r="G360" s="71">
        <f t="shared" si="37"/>
        <v>6.9463200000000001</v>
      </c>
      <c r="H360" s="71">
        <f t="shared" si="38"/>
        <v>13.89264</v>
      </c>
      <c r="I360" s="71">
        <f t="shared" si="39"/>
        <v>6.9463200000000001</v>
      </c>
      <c r="J360" s="71">
        <f t="shared" si="40"/>
        <v>13.89264</v>
      </c>
      <c r="K360" s="72">
        <v>0</v>
      </c>
      <c r="M360" s="58">
        <f>VLOOKUP(D360,'TABELA DE PRECOS'!B:C,2,0)</f>
        <v>6.9463200000000001</v>
      </c>
    </row>
    <row r="361" spans="1:13" ht="15.75" customHeight="1" x14ac:dyDescent="0.25">
      <c r="A361" s="65">
        <v>18</v>
      </c>
      <c r="B361" s="66" t="s">
        <v>530</v>
      </c>
      <c r="C361" s="82">
        <v>3</v>
      </c>
      <c r="D361" s="76" t="s">
        <v>531</v>
      </c>
      <c r="E361" s="69" t="s">
        <v>131</v>
      </c>
      <c r="F361" s="95">
        <v>81897719002</v>
      </c>
      <c r="G361" s="71">
        <f t="shared" si="37"/>
        <v>20.039680000000001</v>
      </c>
      <c r="H361" s="71">
        <f t="shared" si="38"/>
        <v>60.119039999999998</v>
      </c>
      <c r="I361" s="71">
        <f t="shared" si="39"/>
        <v>20.039680000000001</v>
      </c>
      <c r="J361" s="71">
        <f t="shared" si="40"/>
        <v>60.119039999999998</v>
      </c>
      <c r="K361" s="72">
        <v>0</v>
      </c>
      <c r="M361" s="58">
        <f>VLOOKUP(D361,'TABELA DE PRECOS'!B:C,2,0)</f>
        <v>20.039680000000001</v>
      </c>
    </row>
    <row r="362" spans="1:13" ht="15.75" customHeight="1" x14ac:dyDescent="0.25">
      <c r="A362" s="65">
        <v>19</v>
      </c>
      <c r="B362" s="66" t="s">
        <v>459</v>
      </c>
      <c r="C362" s="82">
        <v>3</v>
      </c>
      <c r="D362" s="76" t="s">
        <v>460</v>
      </c>
      <c r="E362" s="69" t="s">
        <v>131</v>
      </c>
      <c r="F362" s="95">
        <v>81897719002</v>
      </c>
      <c r="G362" s="71">
        <f t="shared" si="37"/>
        <v>12.17216</v>
      </c>
      <c r="H362" s="71">
        <f t="shared" si="38"/>
        <v>36.516480000000001</v>
      </c>
      <c r="I362" s="71">
        <f t="shared" si="39"/>
        <v>12.17216</v>
      </c>
      <c r="J362" s="71">
        <f t="shared" si="40"/>
        <v>36.516480000000001</v>
      </c>
      <c r="K362" s="72">
        <v>0</v>
      </c>
      <c r="M362" s="58">
        <f>VLOOKUP(D362,'TABELA DE PRECOS'!B:C,2,0)</f>
        <v>12.17216</v>
      </c>
    </row>
    <row r="363" spans="1:13" ht="15.75" customHeight="1" x14ac:dyDescent="0.25">
      <c r="A363" s="96">
        <v>20</v>
      </c>
      <c r="B363" s="66" t="s">
        <v>532</v>
      </c>
      <c r="C363" s="82">
        <v>2</v>
      </c>
      <c r="D363" s="76" t="s">
        <v>533</v>
      </c>
      <c r="E363" s="69" t="s">
        <v>131</v>
      </c>
      <c r="F363" s="95">
        <v>81897719002</v>
      </c>
      <c r="G363" s="71">
        <f t="shared" si="37"/>
        <v>19.84</v>
      </c>
      <c r="H363" s="71">
        <f t="shared" si="38"/>
        <v>39.68</v>
      </c>
      <c r="I363" s="71">
        <f t="shared" si="39"/>
        <v>19.84</v>
      </c>
      <c r="J363" s="71">
        <f t="shared" si="40"/>
        <v>39.68</v>
      </c>
      <c r="K363" s="72">
        <v>0</v>
      </c>
      <c r="M363" s="58">
        <f>VLOOKUP(D363,'TABELA DE PRECOS'!B:C,2,0)</f>
        <v>19.84</v>
      </c>
    </row>
    <row r="364" spans="1:13" ht="15.75" customHeight="1" x14ac:dyDescent="0.25">
      <c r="A364" s="65">
        <v>21</v>
      </c>
      <c r="B364" s="84" t="s">
        <v>534</v>
      </c>
      <c r="C364" s="73">
        <v>1</v>
      </c>
      <c r="D364" s="85" t="s">
        <v>535</v>
      </c>
      <c r="E364" s="86" t="s">
        <v>131</v>
      </c>
      <c r="F364" s="93" t="s">
        <v>223</v>
      </c>
      <c r="G364" s="71">
        <f t="shared" si="37"/>
        <v>334.76</v>
      </c>
      <c r="H364" s="71">
        <f t="shared" si="38"/>
        <v>334.76</v>
      </c>
      <c r="I364" s="71">
        <f t="shared" si="39"/>
        <v>334.76</v>
      </c>
      <c r="J364" s="71">
        <f t="shared" si="40"/>
        <v>334.76</v>
      </c>
      <c r="K364" s="72">
        <v>0</v>
      </c>
      <c r="M364" s="58">
        <f>VLOOKUP(D364,'TABELA DE PRECOS'!B:C,2,0)</f>
        <v>334.76</v>
      </c>
    </row>
    <row r="365" spans="1:13" ht="15.75" customHeight="1" x14ac:dyDescent="0.25">
      <c r="A365" s="65">
        <v>22</v>
      </c>
      <c r="B365" s="84" t="s">
        <v>496</v>
      </c>
      <c r="C365" s="73">
        <v>1</v>
      </c>
      <c r="D365" s="85" t="s">
        <v>497</v>
      </c>
      <c r="E365" s="86" t="s">
        <v>131</v>
      </c>
      <c r="F365" s="93" t="s">
        <v>223</v>
      </c>
      <c r="G365" s="71">
        <f t="shared" si="37"/>
        <v>414.94</v>
      </c>
      <c r="H365" s="71">
        <f t="shared" si="38"/>
        <v>414.94</v>
      </c>
      <c r="I365" s="71">
        <f t="shared" si="39"/>
        <v>414.94</v>
      </c>
      <c r="J365" s="71">
        <f t="shared" si="40"/>
        <v>414.94</v>
      </c>
      <c r="K365" s="72">
        <v>0</v>
      </c>
      <c r="M365" s="58">
        <f>VLOOKUP(D365,'TABELA DE PRECOS'!B:C,2,0)</f>
        <v>414.94</v>
      </c>
    </row>
    <row r="366" spans="1:13" ht="15.75" customHeight="1" x14ac:dyDescent="0.25">
      <c r="A366" s="65">
        <v>23</v>
      </c>
      <c r="B366" s="84" t="s">
        <v>536</v>
      </c>
      <c r="C366" s="73">
        <v>1</v>
      </c>
      <c r="D366" s="85" t="s">
        <v>537</v>
      </c>
      <c r="E366" s="86" t="s">
        <v>131</v>
      </c>
      <c r="F366" s="93" t="s">
        <v>223</v>
      </c>
      <c r="G366" s="71">
        <f t="shared" si="37"/>
        <v>355.78</v>
      </c>
      <c r="H366" s="71">
        <f t="shared" si="38"/>
        <v>355.78</v>
      </c>
      <c r="I366" s="71">
        <f t="shared" si="39"/>
        <v>355.78</v>
      </c>
      <c r="J366" s="71">
        <f t="shared" si="40"/>
        <v>355.78</v>
      </c>
      <c r="K366" s="72">
        <v>0</v>
      </c>
      <c r="M366" s="58">
        <f>VLOOKUP(D366,'TABELA DE PRECOS'!B:C,2,0)</f>
        <v>355.78</v>
      </c>
    </row>
    <row r="367" spans="1:13" ht="15.75" customHeight="1" x14ac:dyDescent="0.25">
      <c r="A367" s="65">
        <v>24</v>
      </c>
      <c r="B367" s="84" t="s">
        <v>538</v>
      </c>
      <c r="C367" s="73">
        <v>2</v>
      </c>
      <c r="D367" s="85" t="s">
        <v>498</v>
      </c>
      <c r="E367" s="86" t="s">
        <v>131</v>
      </c>
      <c r="F367" s="93" t="s">
        <v>223</v>
      </c>
      <c r="G367" s="71">
        <f t="shared" si="37"/>
        <v>9.18</v>
      </c>
      <c r="H367" s="71">
        <f t="shared" si="38"/>
        <v>18.36</v>
      </c>
      <c r="I367" s="71">
        <f t="shared" si="39"/>
        <v>9.18</v>
      </c>
      <c r="J367" s="71">
        <f t="shared" si="40"/>
        <v>18.36</v>
      </c>
      <c r="K367" s="72">
        <v>0</v>
      </c>
      <c r="M367" s="58">
        <f>VLOOKUP(D367,'TABELA DE PRECOS'!B:C,2,0)</f>
        <v>9.18</v>
      </c>
    </row>
    <row r="368" spans="1:13" ht="15.75" customHeight="1" x14ac:dyDescent="0.25">
      <c r="A368" s="78"/>
      <c r="B368" s="79" t="s">
        <v>224</v>
      </c>
      <c r="C368" s="79">
        <f>SUM(C344:C367)</f>
        <v>57</v>
      </c>
      <c r="D368" s="79"/>
      <c r="E368" s="79"/>
      <c r="F368" s="79"/>
      <c r="G368" s="80"/>
      <c r="H368" s="80">
        <f>SUM(H344:H367)</f>
        <v>4254.5079999999998</v>
      </c>
      <c r="I368" s="79"/>
      <c r="J368" s="80">
        <f>SUM(J344:J367)</f>
        <v>4254.5079999999998</v>
      </c>
      <c r="K368" s="81"/>
      <c r="M368" s="58" t="e">
        <f>VLOOKUP(D368,'TABELA DE PRECOS'!B:C,2,0)</f>
        <v>#N/A</v>
      </c>
    </row>
    <row r="369" spans="1:13" ht="15.75" customHeight="1" x14ac:dyDescent="0.25">
      <c r="A369" s="56"/>
      <c r="B369" s="49" t="s">
        <v>15</v>
      </c>
      <c r="C369" s="57"/>
      <c r="G369" s="58"/>
      <c r="H369" s="58"/>
      <c r="I369" s="58"/>
      <c r="J369" s="58"/>
      <c r="K369" s="59"/>
      <c r="M369" s="58" t="e">
        <f>VLOOKUP(D369,'TABELA DE PRECOS'!B:C,2,0)</f>
        <v>#N/A</v>
      </c>
    </row>
    <row r="370" spans="1:13" ht="15.75" customHeight="1" x14ac:dyDescent="0.25">
      <c r="A370" s="56"/>
      <c r="B370" s="18" t="s">
        <v>539</v>
      </c>
      <c r="C370" s="57"/>
      <c r="G370" s="58"/>
      <c r="H370" s="58"/>
      <c r="I370" s="58"/>
      <c r="J370" s="58"/>
      <c r="K370" s="59"/>
      <c r="M370" s="58" t="e">
        <f>VLOOKUP(D370,'TABELA DE PRECOS'!B:C,2,0)</f>
        <v>#N/A</v>
      </c>
    </row>
    <row r="371" spans="1:13" ht="15.75" customHeight="1" x14ac:dyDescent="0.25">
      <c r="A371" s="18" t="s">
        <v>119</v>
      </c>
      <c r="B371" s="18" t="s">
        <v>120</v>
      </c>
      <c r="C371" s="18" t="s">
        <v>21</v>
      </c>
      <c r="D371" s="18" t="s">
        <v>121</v>
      </c>
      <c r="E371" s="60" t="s">
        <v>122</v>
      </c>
      <c r="F371" s="18" t="s">
        <v>123</v>
      </c>
      <c r="G371" s="61" t="s">
        <v>22</v>
      </c>
      <c r="H371" s="18" t="s">
        <v>23</v>
      </c>
      <c r="I371" s="18" t="s">
        <v>24</v>
      </c>
      <c r="J371" s="18" t="s">
        <v>25</v>
      </c>
      <c r="K371" s="62" t="s">
        <v>26</v>
      </c>
      <c r="M371" s="58" t="str">
        <f>VLOOKUP(D371,'TABELA DE PRECOS'!B:C,2,0)</f>
        <v>Valor Unit Bruto</v>
      </c>
    </row>
    <row r="372" spans="1:13" ht="15.75" customHeight="1" x14ac:dyDescent="0.25">
      <c r="A372" s="65">
        <v>1</v>
      </c>
      <c r="B372" s="84" t="s">
        <v>540</v>
      </c>
      <c r="C372" s="73">
        <v>2</v>
      </c>
      <c r="D372" s="85" t="s">
        <v>541</v>
      </c>
      <c r="E372" s="86" t="s">
        <v>131</v>
      </c>
      <c r="F372" s="85">
        <v>81897710009</v>
      </c>
      <c r="G372" s="71">
        <f t="shared" ref="G372:G438" si="41">M372</f>
        <v>791.48496</v>
      </c>
      <c r="H372" s="71">
        <f t="shared" ref="H372:H438" si="42">G372*C372</f>
        <v>1582.96992</v>
      </c>
      <c r="I372" s="71">
        <f t="shared" ref="I372:I438" si="43">G372</f>
        <v>791.48496</v>
      </c>
      <c r="J372" s="71">
        <f t="shared" ref="J372:J438" si="44">I372*C372</f>
        <v>1582.96992</v>
      </c>
      <c r="K372" s="72">
        <v>0</v>
      </c>
      <c r="L372" s="63"/>
      <c r="M372" s="58">
        <f>VLOOKUP(D372,'TABELA DE PRECOS'!B:C,2,0)</f>
        <v>791.48496</v>
      </c>
    </row>
    <row r="373" spans="1:13" ht="15.75" customHeight="1" x14ac:dyDescent="0.25">
      <c r="A373" s="65">
        <v>2</v>
      </c>
      <c r="B373" s="84" t="s">
        <v>542</v>
      </c>
      <c r="C373" s="73">
        <v>2</v>
      </c>
      <c r="D373" s="85" t="s">
        <v>543</v>
      </c>
      <c r="E373" s="86" t="s">
        <v>131</v>
      </c>
      <c r="F373" s="85">
        <v>81897710009</v>
      </c>
      <c r="G373" s="71">
        <f t="shared" si="41"/>
        <v>709.08496000000002</v>
      </c>
      <c r="H373" s="71">
        <f t="shared" si="42"/>
        <v>1418.16992</v>
      </c>
      <c r="I373" s="71">
        <f t="shared" si="43"/>
        <v>709.08496000000002</v>
      </c>
      <c r="J373" s="71">
        <f t="shared" si="44"/>
        <v>1418.16992</v>
      </c>
      <c r="K373" s="72">
        <v>0</v>
      </c>
      <c r="M373" s="58">
        <f>VLOOKUP(D373,'TABELA DE PRECOS'!B:C,2,0)</f>
        <v>709.08496000000002</v>
      </c>
    </row>
    <row r="374" spans="1:13" ht="15.75" customHeight="1" x14ac:dyDescent="0.25">
      <c r="A374" s="65">
        <v>3</v>
      </c>
      <c r="B374" s="84" t="s">
        <v>544</v>
      </c>
      <c r="C374" s="73">
        <v>1</v>
      </c>
      <c r="D374" s="85" t="s">
        <v>545</v>
      </c>
      <c r="E374" s="86" t="s">
        <v>131</v>
      </c>
      <c r="F374" s="85">
        <v>81897719002</v>
      </c>
      <c r="G374" s="71">
        <f t="shared" si="41"/>
        <v>266.71232000000003</v>
      </c>
      <c r="H374" s="71">
        <f t="shared" si="42"/>
        <v>266.71232000000003</v>
      </c>
      <c r="I374" s="71">
        <f t="shared" si="43"/>
        <v>266.71232000000003</v>
      </c>
      <c r="J374" s="71">
        <f t="shared" si="44"/>
        <v>266.71232000000003</v>
      </c>
      <c r="K374" s="72">
        <v>0</v>
      </c>
      <c r="M374" s="58">
        <f>VLOOKUP(D374,'TABELA DE PRECOS'!B:C,2,0)</f>
        <v>266.71232000000003</v>
      </c>
    </row>
    <row r="375" spans="1:13" ht="15.75" customHeight="1" x14ac:dyDescent="0.25">
      <c r="A375" s="65">
        <v>4</v>
      </c>
      <c r="B375" s="84" t="s">
        <v>546</v>
      </c>
      <c r="C375" s="73">
        <v>1</v>
      </c>
      <c r="D375" s="85" t="s">
        <v>547</v>
      </c>
      <c r="E375" s="86" t="s">
        <v>131</v>
      </c>
      <c r="F375" s="85">
        <v>81897719002</v>
      </c>
      <c r="G375" s="71">
        <f t="shared" si="41"/>
        <v>29.64752</v>
      </c>
      <c r="H375" s="71">
        <f t="shared" si="42"/>
        <v>29.64752</v>
      </c>
      <c r="I375" s="71">
        <f t="shared" si="43"/>
        <v>29.64752</v>
      </c>
      <c r="J375" s="71">
        <f t="shared" si="44"/>
        <v>29.64752</v>
      </c>
      <c r="K375" s="72">
        <v>0</v>
      </c>
      <c r="M375" s="58">
        <f>VLOOKUP(D375,'TABELA DE PRECOS'!B:C,2,0)</f>
        <v>29.64752</v>
      </c>
    </row>
    <row r="376" spans="1:13" ht="15.75" customHeight="1" x14ac:dyDescent="0.25">
      <c r="A376" s="65">
        <v>5</v>
      </c>
      <c r="B376" s="84" t="s">
        <v>290</v>
      </c>
      <c r="C376" s="73">
        <v>1</v>
      </c>
      <c r="D376" s="85" t="s">
        <v>291</v>
      </c>
      <c r="E376" s="86" t="s">
        <v>131</v>
      </c>
      <c r="F376" s="85">
        <v>81897719002</v>
      </c>
      <c r="G376" s="71">
        <f t="shared" si="41"/>
        <v>16.5</v>
      </c>
      <c r="H376" s="71">
        <f t="shared" si="42"/>
        <v>16.5</v>
      </c>
      <c r="I376" s="71">
        <f t="shared" si="43"/>
        <v>16.5</v>
      </c>
      <c r="J376" s="71">
        <f t="shared" si="44"/>
        <v>16.5</v>
      </c>
      <c r="K376" s="72">
        <v>0</v>
      </c>
      <c r="M376" s="58">
        <f>VLOOKUP(D376,'TABELA DE PRECOS'!B:C,2,0)</f>
        <v>16.5</v>
      </c>
    </row>
    <row r="377" spans="1:13" ht="15.75" customHeight="1" x14ac:dyDescent="0.25">
      <c r="A377" s="65">
        <v>6</v>
      </c>
      <c r="B377" s="84" t="s">
        <v>133</v>
      </c>
      <c r="C377" s="73">
        <v>1</v>
      </c>
      <c r="D377" s="85" t="s">
        <v>134</v>
      </c>
      <c r="E377" s="86" t="s">
        <v>131</v>
      </c>
      <c r="F377" s="85">
        <v>81897719002</v>
      </c>
      <c r="G377" s="71">
        <f t="shared" si="41"/>
        <v>17.19688</v>
      </c>
      <c r="H377" s="71">
        <f t="shared" si="42"/>
        <v>17.19688</v>
      </c>
      <c r="I377" s="71">
        <f t="shared" si="43"/>
        <v>17.19688</v>
      </c>
      <c r="J377" s="71">
        <f t="shared" si="44"/>
        <v>17.19688</v>
      </c>
      <c r="K377" s="72">
        <v>0</v>
      </c>
      <c r="M377" s="58">
        <f>VLOOKUP(D377,'TABELA DE PRECOS'!B:C,2,0)</f>
        <v>17.19688</v>
      </c>
    </row>
    <row r="378" spans="1:13" ht="15.75" customHeight="1" x14ac:dyDescent="0.25">
      <c r="A378" s="65">
        <v>7</v>
      </c>
      <c r="B378" s="84" t="s">
        <v>548</v>
      </c>
      <c r="C378" s="73">
        <v>1</v>
      </c>
      <c r="D378" s="85" t="s">
        <v>549</v>
      </c>
      <c r="E378" s="86" t="s">
        <v>131</v>
      </c>
      <c r="F378" s="85">
        <v>81897719002</v>
      </c>
      <c r="G378" s="71">
        <f t="shared" si="41"/>
        <v>122.24039999999999</v>
      </c>
      <c r="H378" s="71">
        <f t="shared" si="42"/>
        <v>122.24039999999999</v>
      </c>
      <c r="I378" s="71">
        <f t="shared" si="43"/>
        <v>122.24039999999999</v>
      </c>
      <c r="J378" s="71">
        <f t="shared" si="44"/>
        <v>122.24039999999999</v>
      </c>
      <c r="K378" s="72">
        <v>0</v>
      </c>
      <c r="M378" s="58">
        <f>VLOOKUP(D378,'TABELA DE PRECOS'!B:C,2,0)</f>
        <v>122.24039999999999</v>
      </c>
    </row>
    <row r="379" spans="1:13" ht="15.75" customHeight="1" x14ac:dyDescent="0.25">
      <c r="A379" s="65">
        <v>8</v>
      </c>
      <c r="B379" s="66" t="s">
        <v>550</v>
      </c>
      <c r="C379" s="82">
        <v>1</v>
      </c>
      <c r="D379" s="76" t="s">
        <v>551</v>
      </c>
      <c r="E379" s="69" t="s">
        <v>131</v>
      </c>
      <c r="F379" s="76">
        <v>81897719002</v>
      </c>
      <c r="G379" s="71">
        <f t="shared" si="41"/>
        <v>122.24039999999999</v>
      </c>
      <c r="H379" s="71">
        <f t="shared" si="42"/>
        <v>122.24039999999999</v>
      </c>
      <c r="I379" s="71">
        <f t="shared" si="43"/>
        <v>122.24039999999999</v>
      </c>
      <c r="J379" s="71">
        <f t="shared" si="44"/>
        <v>122.24039999999999</v>
      </c>
      <c r="K379" s="72">
        <v>0</v>
      </c>
      <c r="M379" s="58">
        <f>VLOOKUP(D379,'TABELA DE PRECOS'!B:C,2,0)</f>
        <v>122.24039999999999</v>
      </c>
    </row>
    <row r="380" spans="1:13" ht="15.75" customHeight="1" x14ac:dyDescent="0.25">
      <c r="A380" s="65">
        <v>9</v>
      </c>
      <c r="B380" s="66" t="s">
        <v>552</v>
      </c>
      <c r="C380" s="82">
        <v>2</v>
      </c>
      <c r="D380" s="76" t="s">
        <v>553</v>
      </c>
      <c r="E380" s="69" t="s">
        <v>131</v>
      </c>
      <c r="F380" s="76">
        <v>81897719002</v>
      </c>
      <c r="G380" s="71">
        <f t="shared" si="41"/>
        <v>133.35616000000002</v>
      </c>
      <c r="H380" s="71">
        <f t="shared" si="42"/>
        <v>266.71232000000003</v>
      </c>
      <c r="I380" s="71">
        <f t="shared" si="43"/>
        <v>133.35616000000002</v>
      </c>
      <c r="J380" s="71">
        <f t="shared" si="44"/>
        <v>266.71232000000003</v>
      </c>
      <c r="K380" s="72">
        <v>0</v>
      </c>
      <c r="M380" s="58">
        <f>VLOOKUP(D380,'TABELA DE PRECOS'!B:C,2,0)</f>
        <v>133.35616000000002</v>
      </c>
    </row>
    <row r="381" spans="1:13" ht="15.75" customHeight="1" x14ac:dyDescent="0.25">
      <c r="A381" s="65">
        <v>10</v>
      </c>
      <c r="B381" s="66" t="s">
        <v>554</v>
      </c>
      <c r="C381" s="82">
        <v>2</v>
      </c>
      <c r="D381" s="76" t="s">
        <v>555</v>
      </c>
      <c r="E381" s="69" t="s">
        <v>131</v>
      </c>
      <c r="F381" s="76">
        <v>81897719002</v>
      </c>
      <c r="G381" s="71">
        <f t="shared" si="41"/>
        <v>29.64752</v>
      </c>
      <c r="H381" s="71">
        <f t="shared" si="42"/>
        <v>59.29504</v>
      </c>
      <c r="I381" s="71">
        <f t="shared" si="43"/>
        <v>29.64752</v>
      </c>
      <c r="J381" s="71">
        <f t="shared" si="44"/>
        <v>59.29504</v>
      </c>
      <c r="K381" s="72">
        <v>0</v>
      </c>
      <c r="M381" s="58">
        <f>VLOOKUP(D381,'TABELA DE PRECOS'!B:C,2,0)</f>
        <v>29.64752</v>
      </c>
    </row>
    <row r="382" spans="1:13" ht="15.75" customHeight="1" x14ac:dyDescent="0.25">
      <c r="A382" s="65">
        <v>11</v>
      </c>
      <c r="B382" s="66" t="s">
        <v>381</v>
      </c>
      <c r="C382" s="82">
        <v>2</v>
      </c>
      <c r="D382" s="76" t="s">
        <v>382</v>
      </c>
      <c r="E382" s="69" t="s">
        <v>131</v>
      </c>
      <c r="F382" s="76">
        <v>81897719002</v>
      </c>
      <c r="G382" s="71">
        <f t="shared" si="41"/>
        <v>226.79275200000001</v>
      </c>
      <c r="H382" s="71">
        <f t="shared" si="42"/>
        <v>453.58550400000001</v>
      </c>
      <c r="I382" s="71">
        <f t="shared" si="43"/>
        <v>226.79275200000001</v>
      </c>
      <c r="J382" s="71">
        <f t="shared" si="44"/>
        <v>453.58550400000001</v>
      </c>
      <c r="K382" s="72">
        <v>0</v>
      </c>
      <c r="M382" s="58">
        <v>226.79275200000001</v>
      </c>
    </row>
    <row r="383" spans="1:13" ht="15.75" customHeight="1" x14ac:dyDescent="0.25">
      <c r="A383" s="65">
        <v>12</v>
      </c>
      <c r="B383" s="66" t="s">
        <v>556</v>
      </c>
      <c r="C383" s="82">
        <v>2</v>
      </c>
      <c r="D383" s="76" t="s">
        <v>557</v>
      </c>
      <c r="E383" s="69" t="s">
        <v>131</v>
      </c>
      <c r="F383" s="76">
        <v>81897719002</v>
      </c>
      <c r="G383" s="71">
        <f t="shared" si="41"/>
        <v>24.448080000000001</v>
      </c>
      <c r="H383" s="71">
        <f t="shared" si="42"/>
        <v>48.896160000000002</v>
      </c>
      <c r="I383" s="71">
        <f t="shared" si="43"/>
        <v>24.448080000000001</v>
      </c>
      <c r="J383" s="71">
        <f t="shared" si="44"/>
        <v>48.896160000000002</v>
      </c>
      <c r="K383" s="72">
        <v>0</v>
      </c>
      <c r="M383" s="58">
        <f>VLOOKUP(D383,'TABELA DE PRECOS'!B:C,2,0)</f>
        <v>24.448080000000001</v>
      </c>
    </row>
    <row r="384" spans="1:13" ht="15.75" customHeight="1" x14ac:dyDescent="0.25">
      <c r="A384" s="65">
        <v>13</v>
      </c>
      <c r="B384" s="66" t="s">
        <v>558</v>
      </c>
      <c r="C384" s="82">
        <v>1</v>
      </c>
      <c r="D384" s="76" t="s">
        <v>559</v>
      </c>
      <c r="E384" s="69" t="s">
        <v>131</v>
      </c>
      <c r="F384" s="76">
        <v>81897719002</v>
      </c>
      <c r="G384" s="71">
        <f t="shared" si="41"/>
        <v>65.211359999999999</v>
      </c>
      <c r="H384" s="71">
        <f t="shared" si="42"/>
        <v>65.211359999999999</v>
      </c>
      <c r="I384" s="71">
        <f t="shared" si="43"/>
        <v>65.211359999999999</v>
      </c>
      <c r="J384" s="71">
        <f t="shared" si="44"/>
        <v>65.211359999999999</v>
      </c>
      <c r="K384" s="72">
        <v>0</v>
      </c>
      <c r="M384" s="58">
        <f>VLOOKUP(D384,'TABELA DE PRECOS'!B:C,2,0)</f>
        <v>65.211359999999999</v>
      </c>
    </row>
    <row r="385" spans="1:13" ht="15.75" customHeight="1" x14ac:dyDescent="0.25">
      <c r="A385" s="65">
        <v>14</v>
      </c>
      <c r="B385" s="66" t="s">
        <v>560</v>
      </c>
      <c r="C385" s="82">
        <v>1</v>
      </c>
      <c r="D385" s="76" t="s">
        <v>561</v>
      </c>
      <c r="E385" s="69" t="s">
        <v>131</v>
      </c>
      <c r="F385" s="76">
        <v>81897719002</v>
      </c>
      <c r="G385" s="71">
        <f t="shared" si="41"/>
        <v>59.253839999999997</v>
      </c>
      <c r="H385" s="71">
        <f t="shared" si="42"/>
        <v>59.253839999999997</v>
      </c>
      <c r="I385" s="71">
        <f t="shared" si="43"/>
        <v>59.253839999999997</v>
      </c>
      <c r="J385" s="71">
        <f t="shared" si="44"/>
        <v>59.253839999999997</v>
      </c>
      <c r="K385" s="72">
        <v>0</v>
      </c>
      <c r="M385" s="58">
        <f>VLOOKUP(D385,'TABELA DE PRECOS'!B:C,2,0)</f>
        <v>59.253839999999997</v>
      </c>
    </row>
    <row r="386" spans="1:13" ht="15.75" customHeight="1" x14ac:dyDescent="0.25">
      <c r="A386" s="65">
        <v>15</v>
      </c>
      <c r="B386" s="66" t="s">
        <v>562</v>
      </c>
      <c r="C386" s="82">
        <v>1</v>
      </c>
      <c r="D386" s="76" t="s">
        <v>563</v>
      </c>
      <c r="E386" s="69" t="s">
        <v>131</v>
      </c>
      <c r="F386" s="76">
        <v>81897719002</v>
      </c>
      <c r="G386" s="71">
        <f t="shared" si="41"/>
        <v>296.35984000000002</v>
      </c>
      <c r="H386" s="71">
        <f t="shared" si="42"/>
        <v>296.35984000000002</v>
      </c>
      <c r="I386" s="71">
        <f t="shared" si="43"/>
        <v>296.35984000000002</v>
      </c>
      <c r="J386" s="71">
        <f t="shared" si="44"/>
        <v>296.35984000000002</v>
      </c>
      <c r="K386" s="72">
        <v>0</v>
      </c>
      <c r="M386" s="58">
        <f>VLOOKUP(D386,'TABELA DE PRECOS'!B:C,2,0)</f>
        <v>296.35984000000002</v>
      </c>
    </row>
    <row r="387" spans="1:13" ht="15.75" customHeight="1" x14ac:dyDescent="0.25">
      <c r="A387" s="67">
        <v>16</v>
      </c>
      <c r="B387" s="66" t="s">
        <v>564</v>
      </c>
      <c r="C387" s="82">
        <v>1</v>
      </c>
      <c r="D387" s="76" t="s">
        <v>565</v>
      </c>
      <c r="E387" s="69" t="s">
        <v>131</v>
      </c>
      <c r="F387" s="76">
        <v>81897710021</v>
      </c>
      <c r="G387" s="71">
        <f t="shared" si="41"/>
        <v>8.25</v>
      </c>
      <c r="H387" s="71">
        <f t="shared" si="42"/>
        <v>8.25</v>
      </c>
      <c r="I387" s="71">
        <f t="shared" si="43"/>
        <v>8.25</v>
      </c>
      <c r="J387" s="71">
        <f t="shared" si="44"/>
        <v>8.25</v>
      </c>
      <c r="K387" s="72">
        <v>0</v>
      </c>
      <c r="M387" s="58">
        <f>VLOOKUP(D387,'TABELA DE PRECOS'!B:C,2,0)</f>
        <v>8.25</v>
      </c>
    </row>
    <row r="388" spans="1:13" ht="15.75" customHeight="1" x14ac:dyDescent="0.25">
      <c r="A388" s="65">
        <v>17</v>
      </c>
      <c r="B388" s="84" t="s">
        <v>137</v>
      </c>
      <c r="C388" s="73">
        <v>1</v>
      </c>
      <c r="D388" s="85" t="s">
        <v>138</v>
      </c>
      <c r="E388" s="86" t="s">
        <v>131</v>
      </c>
      <c r="F388" s="85">
        <v>81897719002</v>
      </c>
      <c r="G388" s="71">
        <f t="shared" si="41"/>
        <v>8.25</v>
      </c>
      <c r="H388" s="71">
        <f t="shared" si="42"/>
        <v>8.25</v>
      </c>
      <c r="I388" s="71">
        <f t="shared" si="43"/>
        <v>8.25</v>
      </c>
      <c r="J388" s="71">
        <f t="shared" si="44"/>
        <v>8.25</v>
      </c>
      <c r="K388" s="72">
        <v>0</v>
      </c>
      <c r="M388" s="58">
        <f>VLOOKUP(D388,'TABELA DE PRECOS'!B:C,2,0)</f>
        <v>8.25</v>
      </c>
    </row>
    <row r="389" spans="1:13" ht="15.75" customHeight="1" x14ac:dyDescent="0.25">
      <c r="A389" s="65">
        <v>18</v>
      </c>
      <c r="B389" s="84" t="s">
        <v>566</v>
      </c>
      <c r="C389" s="73">
        <v>1</v>
      </c>
      <c r="D389" s="85" t="s">
        <v>567</v>
      </c>
      <c r="E389" s="86" t="s">
        <v>131</v>
      </c>
      <c r="F389" s="85">
        <v>81897719002</v>
      </c>
      <c r="G389" s="71">
        <f t="shared" si="41"/>
        <v>10.4404</v>
      </c>
      <c r="H389" s="71">
        <f t="shared" si="42"/>
        <v>10.4404</v>
      </c>
      <c r="I389" s="71">
        <f t="shared" si="43"/>
        <v>10.4404</v>
      </c>
      <c r="J389" s="71">
        <f t="shared" si="44"/>
        <v>10.4404</v>
      </c>
      <c r="K389" s="72">
        <v>0</v>
      </c>
      <c r="M389" s="58">
        <f>VLOOKUP(D389,'TABELA DE PRECOS'!B:C,2,0)</f>
        <v>10.4404</v>
      </c>
    </row>
    <row r="390" spans="1:13" ht="15.75" customHeight="1" x14ac:dyDescent="0.25">
      <c r="A390" s="65">
        <v>19</v>
      </c>
      <c r="B390" s="84" t="s">
        <v>304</v>
      </c>
      <c r="C390" s="73">
        <v>1</v>
      </c>
      <c r="D390" s="85" t="s">
        <v>305</v>
      </c>
      <c r="E390" s="86" t="s">
        <v>131</v>
      </c>
      <c r="F390" s="85" t="s">
        <v>223</v>
      </c>
      <c r="G390" s="71">
        <f t="shared" si="41"/>
        <v>5.2653600000000003</v>
      </c>
      <c r="H390" s="71">
        <f t="shared" si="42"/>
        <v>5.2653600000000003</v>
      </c>
      <c r="I390" s="71">
        <f t="shared" si="43"/>
        <v>5.2653600000000003</v>
      </c>
      <c r="J390" s="71">
        <f t="shared" si="44"/>
        <v>5.2653600000000003</v>
      </c>
      <c r="K390" s="72">
        <v>0</v>
      </c>
      <c r="M390" s="58">
        <f>VLOOKUP(D390,'TABELA DE PRECOS'!B:C,2,0)</f>
        <v>5.2653600000000003</v>
      </c>
    </row>
    <row r="391" spans="1:13" ht="15.75" customHeight="1" x14ac:dyDescent="0.25">
      <c r="A391" s="65">
        <v>20</v>
      </c>
      <c r="B391" s="84" t="s">
        <v>568</v>
      </c>
      <c r="C391" s="73">
        <v>1</v>
      </c>
      <c r="D391" s="85" t="s">
        <v>569</v>
      </c>
      <c r="E391" s="86" t="s">
        <v>131</v>
      </c>
      <c r="F391" s="85">
        <v>81897719002</v>
      </c>
      <c r="G391" s="71">
        <f t="shared" si="41"/>
        <v>32.580959999999997</v>
      </c>
      <c r="H391" s="71">
        <f t="shared" si="42"/>
        <v>32.580959999999997</v>
      </c>
      <c r="I391" s="71">
        <f t="shared" si="43"/>
        <v>32.580959999999997</v>
      </c>
      <c r="J391" s="71">
        <f t="shared" si="44"/>
        <v>32.580959999999997</v>
      </c>
      <c r="K391" s="72">
        <v>0</v>
      </c>
      <c r="M391" s="58">
        <f>VLOOKUP(D391,'TABELA DE PRECOS'!B:C,2,0)</f>
        <v>32.580959999999997</v>
      </c>
    </row>
    <row r="392" spans="1:13" ht="15.75" customHeight="1" x14ac:dyDescent="0.25">
      <c r="A392" s="65">
        <v>21</v>
      </c>
      <c r="B392" s="84" t="s">
        <v>570</v>
      </c>
      <c r="C392" s="73">
        <v>1</v>
      </c>
      <c r="D392" s="85" t="s">
        <v>571</v>
      </c>
      <c r="E392" s="86" t="s">
        <v>131</v>
      </c>
      <c r="F392" s="85">
        <v>81897719002</v>
      </c>
      <c r="G392" s="71">
        <f t="shared" si="41"/>
        <v>32.580959999999997</v>
      </c>
      <c r="H392" s="71">
        <f t="shared" si="42"/>
        <v>32.580959999999997</v>
      </c>
      <c r="I392" s="71">
        <f t="shared" si="43"/>
        <v>32.580959999999997</v>
      </c>
      <c r="J392" s="71">
        <f t="shared" si="44"/>
        <v>32.580959999999997</v>
      </c>
      <c r="K392" s="72">
        <v>0</v>
      </c>
      <c r="M392" s="58">
        <f>VLOOKUP(D392,'TABELA DE PRECOS'!B:C,2,0)</f>
        <v>32.580959999999997</v>
      </c>
    </row>
    <row r="393" spans="1:13" ht="15.75" customHeight="1" x14ac:dyDescent="0.25">
      <c r="A393" s="65">
        <v>22</v>
      </c>
      <c r="B393" s="84" t="s">
        <v>572</v>
      </c>
      <c r="C393" s="73">
        <v>1</v>
      </c>
      <c r="D393" s="85" t="s">
        <v>573</v>
      </c>
      <c r="E393" s="86" t="s">
        <v>131</v>
      </c>
      <c r="F393" s="85">
        <v>81897719002</v>
      </c>
      <c r="G393" s="71">
        <f t="shared" si="41"/>
        <v>32.580959999999997</v>
      </c>
      <c r="H393" s="71">
        <f t="shared" si="42"/>
        <v>32.580959999999997</v>
      </c>
      <c r="I393" s="71">
        <f t="shared" si="43"/>
        <v>32.580959999999997</v>
      </c>
      <c r="J393" s="71">
        <f t="shared" si="44"/>
        <v>32.580959999999997</v>
      </c>
      <c r="K393" s="72">
        <v>0</v>
      </c>
      <c r="M393" s="58">
        <f>VLOOKUP(D393,'TABELA DE PRECOS'!B:C,2,0)</f>
        <v>32.580959999999997</v>
      </c>
    </row>
    <row r="394" spans="1:13" ht="15.75" customHeight="1" x14ac:dyDescent="0.25">
      <c r="A394" s="65">
        <v>23</v>
      </c>
      <c r="B394" s="84" t="s">
        <v>574</v>
      </c>
      <c r="C394" s="73">
        <v>1</v>
      </c>
      <c r="D394" s="85" t="s">
        <v>575</v>
      </c>
      <c r="E394" s="86" t="s">
        <v>131</v>
      </c>
      <c r="F394" s="85">
        <v>81897719002</v>
      </c>
      <c r="G394" s="71">
        <f t="shared" si="41"/>
        <v>32.580959999999997</v>
      </c>
      <c r="H394" s="71">
        <f t="shared" si="42"/>
        <v>32.580959999999997</v>
      </c>
      <c r="I394" s="71">
        <f t="shared" si="43"/>
        <v>32.580959999999997</v>
      </c>
      <c r="J394" s="71">
        <f t="shared" si="44"/>
        <v>32.580959999999997</v>
      </c>
      <c r="K394" s="72">
        <v>0</v>
      </c>
      <c r="M394" s="58">
        <f>VLOOKUP(D394,'TABELA DE PRECOS'!B:C,2,0)</f>
        <v>32.580959999999997</v>
      </c>
    </row>
    <row r="395" spans="1:13" ht="15.75" customHeight="1" x14ac:dyDescent="0.25">
      <c r="A395" s="65">
        <v>24</v>
      </c>
      <c r="B395" s="84" t="s">
        <v>576</v>
      </c>
      <c r="C395" s="73">
        <v>1</v>
      </c>
      <c r="D395" s="85" t="s">
        <v>577</v>
      </c>
      <c r="E395" s="86" t="s">
        <v>131</v>
      </c>
      <c r="F395" s="85">
        <v>81897719002</v>
      </c>
      <c r="G395" s="71">
        <f t="shared" si="41"/>
        <v>33.339040000000004</v>
      </c>
      <c r="H395" s="71">
        <f t="shared" si="42"/>
        <v>33.339040000000004</v>
      </c>
      <c r="I395" s="71">
        <f t="shared" si="43"/>
        <v>33.339040000000004</v>
      </c>
      <c r="J395" s="71">
        <f t="shared" si="44"/>
        <v>33.339040000000004</v>
      </c>
      <c r="K395" s="72">
        <v>0</v>
      </c>
      <c r="M395" s="58">
        <f>VLOOKUP(D395,'TABELA DE PRECOS'!B:C,2,0)</f>
        <v>33.339040000000004</v>
      </c>
    </row>
    <row r="396" spans="1:13" ht="15.75" customHeight="1" x14ac:dyDescent="0.25">
      <c r="A396" s="65">
        <v>25</v>
      </c>
      <c r="B396" s="84" t="s">
        <v>578</v>
      </c>
      <c r="C396" s="73">
        <v>1</v>
      </c>
      <c r="D396" s="85" t="s">
        <v>579</v>
      </c>
      <c r="E396" s="86" t="s">
        <v>131</v>
      </c>
      <c r="F396" s="85">
        <v>81897719002</v>
      </c>
      <c r="G396" s="71">
        <f t="shared" si="41"/>
        <v>17.474799999999998</v>
      </c>
      <c r="H396" s="71">
        <f t="shared" si="42"/>
        <v>17.474799999999998</v>
      </c>
      <c r="I396" s="71">
        <f t="shared" si="43"/>
        <v>17.474799999999998</v>
      </c>
      <c r="J396" s="71">
        <f t="shared" si="44"/>
        <v>17.474799999999998</v>
      </c>
      <c r="K396" s="72">
        <v>0</v>
      </c>
      <c r="M396" s="58">
        <f>VLOOKUP(D396,'TABELA DE PRECOS'!B:C,2,0)</f>
        <v>17.474799999999998</v>
      </c>
    </row>
    <row r="397" spans="1:13" ht="15.75" customHeight="1" x14ac:dyDescent="0.25">
      <c r="A397" s="65">
        <v>26</v>
      </c>
      <c r="B397" s="84" t="s">
        <v>397</v>
      </c>
      <c r="C397" s="73">
        <v>2</v>
      </c>
      <c r="D397" s="85" t="s">
        <v>398</v>
      </c>
      <c r="E397" s="86" t="s">
        <v>131</v>
      </c>
      <c r="F397" s="85">
        <v>81897719002</v>
      </c>
      <c r="G397" s="71">
        <f t="shared" si="41"/>
        <v>9.19</v>
      </c>
      <c r="H397" s="71">
        <f t="shared" si="42"/>
        <v>18.38</v>
      </c>
      <c r="I397" s="71">
        <f t="shared" si="43"/>
        <v>9.19</v>
      </c>
      <c r="J397" s="71">
        <f t="shared" si="44"/>
        <v>18.38</v>
      </c>
      <c r="K397" s="72">
        <v>0</v>
      </c>
      <c r="M397" s="58">
        <f>VLOOKUP(D397,'TABELA DE PRECOS'!B:C,2,0)</f>
        <v>9.19</v>
      </c>
    </row>
    <row r="398" spans="1:13" ht="15.75" customHeight="1" x14ac:dyDescent="0.25">
      <c r="A398" s="65">
        <v>27</v>
      </c>
      <c r="B398" s="84" t="s">
        <v>399</v>
      </c>
      <c r="C398" s="73">
        <v>2</v>
      </c>
      <c r="D398" s="85" t="s">
        <v>400</v>
      </c>
      <c r="E398" s="86" t="s">
        <v>131</v>
      </c>
      <c r="F398" s="85">
        <v>81897719002</v>
      </c>
      <c r="G398" s="71">
        <f t="shared" si="41"/>
        <v>8.85</v>
      </c>
      <c r="H398" s="71">
        <f t="shared" si="42"/>
        <v>17.7</v>
      </c>
      <c r="I398" s="71">
        <f t="shared" si="43"/>
        <v>8.85</v>
      </c>
      <c r="J398" s="71">
        <f t="shared" si="44"/>
        <v>17.7</v>
      </c>
      <c r="K398" s="72">
        <v>0</v>
      </c>
      <c r="M398" s="58">
        <f>VLOOKUP(D398,'TABELA DE PRECOS'!B:C,2,0)</f>
        <v>8.85</v>
      </c>
    </row>
    <row r="399" spans="1:13" ht="15.75" customHeight="1" x14ac:dyDescent="0.25">
      <c r="A399" s="65">
        <v>28</v>
      </c>
      <c r="B399" s="84" t="s">
        <v>407</v>
      </c>
      <c r="C399" s="73">
        <v>3</v>
      </c>
      <c r="D399" s="85" t="s">
        <v>408</v>
      </c>
      <c r="E399" s="86" t="s">
        <v>131</v>
      </c>
      <c r="F399" s="85">
        <v>81897719002</v>
      </c>
      <c r="G399" s="71">
        <f t="shared" si="41"/>
        <v>5.04</v>
      </c>
      <c r="H399" s="71">
        <f t="shared" si="42"/>
        <v>15.120000000000001</v>
      </c>
      <c r="I399" s="71">
        <f t="shared" si="43"/>
        <v>5.04</v>
      </c>
      <c r="J399" s="71">
        <f t="shared" si="44"/>
        <v>15.120000000000001</v>
      </c>
      <c r="K399" s="72">
        <v>0</v>
      </c>
      <c r="M399" s="58">
        <f>VLOOKUP(D399,'TABELA DE PRECOS'!B:C,2,0)</f>
        <v>5.04</v>
      </c>
    </row>
    <row r="400" spans="1:13" ht="15.75" customHeight="1" x14ac:dyDescent="0.25">
      <c r="A400" s="65">
        <v>29</v>
      </c>
      <c r="B400" s="84" t="s">
        <v>403</v>
      </c>
      <c r="C400" s="73">
        <v>3</v>
      </c>
      <c r="D400" s="85" t="s">
        <v>404</v>
      </c>
      <c r="E400" s="86" t="s">
        <v>131</v>
      </c>
      <c r="F400" s="85">
        <v>81897719002</v>
      </c>
      <c r="G400" s="71">
        <f t="shared" si="41"/>
        <v>6.21</v>
      </c>
      <c r="H400" s="71">
        <f t="shared" si="42"/>
        <v>18.63</v>
      </c>
      <c r="I400" s="71">
        <f t="shared" si="43"/>
        <v>6.21</v>
      </c>
      <c r="J400" s="71">
        <f t="shared" si="44"/>
        <v>18.63</v>
      </c>
      <c r="K400" s="72">
        <v>0</v>
      </c>
      <c r="M400" s="58">
        <f>VLOOKUP(D400,'TABELA DE PRECOS'!B:C,2,0)</f>
        <v>6.21</v>
      </c>
    </row>
    <row r="401" spans="1:13" ht="15.75" customHeight="1" x14ac:dyDescent="0.25">
      <c r="A401" s="65">
        <v>30</v>
      </c>
      <c r="B401" s="84" t="s">
        <v>185</v>
      </c>
      <c r="C401" s="73">
        <v>6</v>
      </c>
      <c r="D401" s="85" t="s">
        <v>186</v>
      </c>
      <c r="E401" s="86" t="s">
        <v>131</v>
      </c>
      <c r="F401" s="85">
        <v>81897719002</v>
      </c>
      <c r="G401" s="71">
        <f t="shared" si="41"/>
        <v>17.28</v>
      </c>
      <c r="H401" s="71">
        <f t="shared" si="42"/>
        <v>103.68</v>
      </c>
      <c r="I401" s="71">
        <f t="shared" si="43"/>
        <v>17.28</v>
      </c>
      <c r="J401" s="71">
        <f t="shared" si="44"/>
        <v>103.68</v>
      </c>
      <c r="K401" s="72">
        <v>0</v>
      </c>
      <c r="M401" s="58">
        <f>VLOOKUP(D401,'TABELA DE PRECOS'!B:C,2,0)</f>
        <v>17.28</v>
      </c>
    </row>
    <row r="402" spans="1:13" ht="15.75" customHeight="1" x14ac:dyDescent="0.25">
      <c r="A402" s="65">
        <v>31</v>
      </c>
      <c r="B402" s="84" t="s">
        <v>183</v>
      </c>
      <c r="C402" s="73">
        <v>1</v>
      </c>
      <c r="D402" s="85" t="s">
        <v>184</v>
      </c>
      <c r="E402" s="86" t="s">
        <v>131</v>
      </c>
      <c r="F402" s="85">
        <v>81897719002</v>
      </c>
      <c r="G402" s="71">
        <f t="shared" si="41"/>
        <v>40.79</v>
      </c>
      <c r="H402" s="71">
        <f t="shared" si="42"/>
        <v>40.79</v>
      </c>
      <c r="I402" s="71">
        <f t="shared" si="43"/>
        <v>40.79</v>
      </c>
      <c r="J402" s="71">
        <f t="shared" si="44"/>
        <v>40.79</v>
      </c>
      <c r="K402" s="72">
        <v>0</v>
      </c>
      <c r="M402" s="58">
        <f>VLOOKUP(D402,'TABELA DE PRECOS'!B:C,2,0)</f>
        <v>40.79</v>
      </c>
    </row>
    <row r="403" spans="1:13" ht="15.75" customHeight="1" x14ac:dyDescent="0.25">
      <c r="A403" s="65">
        <v>32</v>
      </c>
      <c r="B403" s="84" t="s">
        <v>254</v>
      </c>
      <c r="C403" s="73">
        <v>6</v>
      </c>
      <c r="D403" s="85" t="s">
        <v>255</v>
      </c>
      <c r="E403" s="86" t="s">
        <v>131</v>
      </c>
      <c r="F403" s="85">
        <v>81897719002</v>
      </c>
      <c r="G403" s="71">
        <f t="shared" si="41"/>
        <v>16.68</v>
      </c>
      <c r="H403" s="71">
        <f t="shared" si="42"/>
        <v>100.08</v>
      </c>
      <c r="I403" s="71">
        <f t="shared" si="43"/>
        <v>16.68</v>
      </c>
      <c r="J403" s="71">
        <f t="shared" si="44"/>
        <v>100.08</v>
      </c>
      <c r="K403" s="72">
        <v>0</v>
      </c>
      <c r="M403" s="58">
        <f>VLOOKUP(D403,'TABELA DE PRECOS'!B:C,2,0)</f>
        <v>16.68</v>
      </c>
    </row>
    <row r="404" spans="1:13" ht="15.75" customHeight="1" x14ac:dyDescent="0.25">
      <c r="A404" s="65">
        <v>33</v>
      </c>
      <c r="B404" s="84" t="s">
        <v>189</v>
      </c>
      <c r="C404" s="73">
        <v>6</v>
      </c>
      <c r="D404" s="85" t="s">
        <v>190</v>
      </c>
      <c r="E404" s="86" t="s">
        <v>131</v>
      </c>
      <c r="F404" s="85">
        <v>81897719002</v>
      </c>
      <c r="G404" s="71">
        <f t="shared" si="41"/>
        <v>16.71</v>
      </c>
      <c r="H404" s="71">
        <f t="shared" si="42"/>
        <v>100.26</v>
      </c>
      <c r="I404" s="71">
        <f t="shared" si="43"/>
        <v>16.71</v>
      </c>
      <c r="J404" s="71">
        <f t="shared" si="44"/>
        <v>100.26</v>
      </c>
      <c r="K404" s="72">
        <v>0</v>
      </c>
      <c r="M404" s="58">
        <f>VLOOKUP(D404,'TABELA DE PRECOS'!B:C,2,0)</f>
        <v>16.71</v>
      </c>
    </row>
    <row r="405" spans="1:13" ht="15.75" customHeight="1" x14ac:dyDescent="0.25">
      <c r="A405" s="65">
        <v>34</v>
      </c>
      <c r="B405" s="84" t="s">
        <v>580</v>
      </c>
      <c r="C405" s="73">
        <v>1</v>
      </c>
      <c r="D405" s="85" t="s">
        <v>581</v>
      </c>
      <c r="E405" s="86" t="s">
        <v>131</v>
      </c>
      <c r="F405" s="85">
        <v>81897719002</v>
      </c>
      <c r="G405" s="71">
        <f t="shared" si="41"/>
        <v>296.35984000000002</v>
      </c>
      <c r="H405" s="71">
        <f t="shared" si="42"/>
        <v>296.35984000000002</v>
      </c>
      <c r="I405" s="71">
        <f t="shared" si="43"/>
        <v>296.35984000000002</v>
      </c>
      <c r="J405" s="71">
        <f t="shared" si="44"/>
        <v>296.35984000000002</v>
      </c>
      <c r="K405" s="72">
        <v>0</v>
      </c>
      <c r="M405" s="58">
        <f>VLOOKUP(D405,'TABELA DE PRECOS'!B:C,2,0)</f>
        <v>296.35984000000002</v>
      </c>
    </row>
    <row r="406" spans="1:13" ht="15.75" customHeight="1" x14ac:dyDescent="0.25">
      <c r="A406" s="65">
        <v>35</v>
      </c>
      <c r="B406" s="66" t="s">
        <v>582</v>
      </c>
      <c r="C406" s="82">
        <v>1</v>
      </c>
      <c r="D406" s="76" t="s">
        <v>583</v>
      </c>
      <c r="E406" s="86" t="s">
        <v>131</v>
      </c>
      <c r="F406" s="85">
        <v>81897710011</v>
      </c>
      <c r="G406" s="71">
        <f t="shared" si="41"/>
        <v>296.35984000000002</v>
      </c>
      <c r="H406" s="71">
        <f t="shared" si="42"/>
        <v>296.35984000000002</v>
      </c>
      <c r="I406" s="71">
        <f t="shared" si="43"/>
        <v>296.35984000000002</v>
      </c>
      <c r="J406" s="71">
        <f t="shared" si="44"/>
        <v>296.35984000000002</v>
      </c>
      <c r="K406" s="72">
        <v>0</v>
      </c>
      <c r="M406" s="58">
        <f>VLOOKUP(D406,'TABELA DE PRECOS'!B:C,2,0)</f>
        <v>296.35984000000002</v>
      </c>
    </row>
    <row r="407" spans="1:13" ht="15.75" customHeight="1" x14ac:dyDescent="0.25">
      <c r="A407" s="65">
        <v>36</v>
      </c>
      <c r="B407" s="84" t="s">
        <v>584</v>
      </c>
      <c r="C407" s="73">
        <v>1</v>
      </c>
      <c r="D407" s="85" t="s">
        <v>585</v>
      </c>
      <c r="E407" s="86" t="s">
        <v>131</v>
      </c>
      <c r="F407" s="85">
        <v>81897719002</v>
      </c>
      <c r="G407" s="71">
        <f t="shared" si="41"/>
        <v>296.35984000000002</v>
      </c>
      <c r="H407" s="71">
        <f t="shared" si="42"/>
        <v>296.35984000000002</v>
      </c>
      <c r="I407" s="71">
        <f t="shared" si="43"/>
        <v>296.35984000000002</v>
      </c>
      <c r="J407" s="71">
        <f t="shared" si="44"/>
        <v>296.35984000000002</v>
      </c>
      <c r="K407" s="72">
        <v>0</v>
      </c>
      <c r="M407" s="58">
        <f>VLOOKUP(D407,'TABELA DE PRECOS'!B:C,2,0)</f>
        <v>296.35984000000002</v>
      </c>
    </row>
    <row r="408" spans="1:13" ht="15.75" customHeight="1" x14ac:dyDescent="0.25">
      <c r="A408" s="65">
        <v>37</v>
      </c>
      <c r="B408" s="84" t="s">
        <v>586</v>
      </c>
      <c r="C408" s="73">
        <v>2</v>
      </c>
      <c r="D408" s="85" t="s">
        <v>587</v>
      </c>
      <c r="E408" s="86" t="s">
        <v>131</v>
      </c>
      <c r="F408" s="85">
        <v>81897719002</v>
      </c>
      <c r="G408" s="71">
        <f t="shared" si="41"/>
        <v>155.57944000000001</v>
      </c>
      <c r="H408" s="71">
        <f t="shared" si="42"/>
        <v>311.15888000000001</v>
      </c>
      <c r="I408" s="71">
        <f t="shared" si="43"/>
        <v>155.57944000000001</v>
      </c>
      <c r="J408" s="71">
        <f t="shared" si="44"/>
        <v>311.15888000000001</v>
      </c>
      <c r="K408" s="72">
        <v>0</v>
      </c>
      <c r="M408" s="58">
        <f>VLOOKUP(D408,'TABELA DE PRECOS'!B:C,2,0)</f>
        <v>155.57944000000001</v>
      </c>
    </row>
    <row r="409" spans="1:13" ht="15.75" customHeight="1" x14ac:dyDescent="0.25">
      <c r="A409" s="65">
        <v>38</v>
      </c>
      <c r="B409" s="84" t="s">
        <v>588</v>
      </c>
      <c r="C409" s="73">
        <v>1</v>
      </c>
      <c r="D409" s="85" t="s">
        <v>589</v>
      </c>
      <c r="E409" s="86" t="s">
        <v>131</v>
      </c>
      <c r="F409" s="85">
        <v>81897719002</v>
      </c>
      <c r="G409" s="71">
        <f t="shared" si="41"/>
        <v>155.57944000000001</v>
      </c>
      <c r="H409" s="71">
        <f t="shared" si="42"/>
        <v>155.57944000000001</v>
      </c>
      <c r="I409" s="71">
        <f t="shared" si="43"/>
        <v>155.57944000000001</v>
      </c>
      <c r="J409" s="71">
        <f t="shared" si="44"/>
        <v>155.57944000000001</v>
      </c>
      <c r="K409" s="72">
        <v>0</v>
      </c>
      <c r="M409" s="58">
        <f>VLOOKUP(D409,'TABELA DE PRECOS'!B:C,2,0)</f>
        <v>155.57944000000001</v>
      </c>
    </row>
    <row r="410" spans="1:13" ht="15.75" customHeight="1" x14ac:dyDescent="0.25">
      <c r="A410" s="65">
        <v>39</v>
      </c>
      <c r="B410" s="84" t="s">
        <v>590</v>
      </c>
      <c r="C410" s="73">
        <v>1</v>
      </c>
      <c r="D410" s="85" t="s">
        <v>591</v>
      </c>
      <c r="E410" s="86" t="s">
        <v>131</v>
      </c>
      <c r="F410" s="85">
        <v>81897719002</v>
      </c>
      <c r="G410" s="71">
        <f t="shared" si="41"/>
        <v>155.57944000000001</v>
      </c>
      <c r="H410" s="71">
        <f t="shared" si="42"/>
        <v>155.57944000000001</v>
      </c>
      <c r="I410" s="71">
        <f t="shared" si="43"/>
        <v>155.57944000000001</v>
      </c>
      <c r="J410" s="71">
        <f t="shared" si="44"/>
        <v>155.57944000000001</v>
      </c>
      <c r="K410" s="72">
        <v>0</v>
      </c>
      <c r="M410" s="58">
        <f>VLOOKUP(D410,'TABELA DE PRECOS'!B:C,2,0)</f>
        <v>155.57944000000001</v>
      </c>
    </row>
    <row r="411" spans="1:13" ht="15.75" customHeight="1" x14ac:dyDescent="0.25">
      <c r="A411" s="65">
        <v>40</v>
      </c>
      <c r="B411" s="84" t="s">
        <v>592</v>
      </c>
      <c r="C411" s="73">
        <v>1</v>
      </c>
      <c r="D411" s="85" t="s">
        <v>593</v>
      </c>
      <c r="E411" s="86" t="s">
        <v>131</v>
      </c>
      <c r="F411" s="85">
        <v>81897719002</v>
      </c>
      <c r="G411" s="71">
        <f t="shared" si="41"/>
        <v>155.57944000000001</v>
      </c>
      <c r="H411" s="71">
        <f t="shared" si="42"/>
        <v>155.57944000000001</v>
      </c>
      <c r="I411" s="71">
        <f t="shared" si="43"/>
        <v>155.57944000000001</v>
      </c>
      <c r="J411" s="71">
        <f t="shared" si="44"/>
        <v>155.57944000000001</v>
      </c>
      <c r="K411" s="72">
        <v>0</v>
      </c>
      <c r="M411" s="58">
        <f>VLOOKUP(D411,'TABELA DE PRECOS'!B:C,2,0)</f>
        <v>155.57944000000001</v>
      </c>
    </row>
    <row r="412" spans="1:13" ht="15.75" customHeight="1" x14ac:dyDescent="0.25">
      <c r="A412" s="65">
        <v>41</v>
      </c>
      <c r="B412" s="84" t="s">
        <v>594</v>
      </c>
      <c r="C412" s="73">
        <v>1</v>
      </c>
      <c r="D412" s="85" t="s">
        <v>595</v>
      </c>
      <c r="E412" s="86" t="s">
        <v>131</v>
      </c>
      <c r="F412" s="85">
        <v>81897719003</v>
      </c>
      <c r="G412" s="71">
        <f t="shared" si="41"/>
        <v>65.06</v>
      </c>
      <c r="H412" s="71">
        <f t="shared" si="42"/>
        <v>65.06</v>
      </c>
      <c r="I412" s="71">
        <f t="shared" si="43"/>
        <v>65.06</v>
      </c>
      <c r="J412" s="71">
        <f t="shared" si="44"/>
        <v>65.06</v>
      </c>
      <c r="K412" s="72">
        <v>0</v>
      </c>
      <c r="M412" s="58">
        <f>VLOOKUP(D412,'TABELA DE PRECOS'!B:C,2,0)</f>
        <v>65.06</v>
      </c>
    </row>
    <row r="413" spans="1:13" ht="15.75" customHeight="1" x14ac:dyDescent="0.25">
      <c r="A413" s="65">
        <v>42</v>
      </c>
      <c r="B413" s="84" t="s">
        <v>258</v>
      </c>
      <c r="C413" s="73">
        <v>1</v>
      </c>
      <c r="D413" s="85" t="s">
        <v>259</v>
      </c>
      <c r="E413" s="86" t="s">
        <v>131</v>
      </c>
      <c r="F413" s="85">
        <v>81897719003</v>
      </c>
      <c r="G413" s="71">
        <f t="shared" si="41"/>
        <v>101.56</v>
      </c>
      <c r="H413" s="71">
        <f t="shared" si="42"/>
        <v>101.56</v>
      </c>
      <c r="I413" s="71">
        <f t="shared" si="43"/>
        <v>101.56</v>
      </c>
      <c r="J413" s="71">
        <f t="shared" si="44"/>
        <v>101.56</v>
      </c>
      <c r="K413" s="72">
        <v>0</v>
      </c>
      <c r="M413" s="58">
        <f>VLOOKUP(D413,'TABELA DE PRECOS'!B:C,2,0)</f>
        <v>101.56</v>
      </c>
    </row>
    <row r="414" spans="1:13" ht="15.75" customHeight="1" x14ac:dyDescent="0.25">
      <c r="A414" s="65">
        <v>43</v>
      </c>
      <c r="B414" s="84" t="s">
        <v>596</v>
      </c>
      <c r="C414" s="73">
        <v>1</v>
      </c>
      <c r="D414" s="85" t="s">
        <v>597</v>
      </c>
      <c r="E414" s="86" t="s">
        <v>131</v>
      </c>
      <c r="F414" s="85">
        <v>81897719002</v>
      </c>
      <c r="G414" s="71">
        <f t="shared" si="41"/>
        <v>296.35984000000002</v>
      </c>
      <c r="H414" s="71">
        <f t="shared" si="42"/>
        <v>296.35984000000002</v>
      </c>
      <c r="I414" s="71">
        <f t="shared" si="43"/>
        <v>296.35984000000002</v>
      </c>
      <c r="J414" s="71">
        <f t="shared" si="44"/>
        <v>296.35984000000002</v>
      </c>
      <c r="K414" s="72">
        <v>0</v>
      </c>
      <c r="M414" s="58">
        <f>VLOOKUP(D414,'TABELA DE PRECOS'!B:C,2,0)</f>
        <v>296.35984000000002</v>
      </c>
    </row>
    <row r="415" spans="1:13" ht="15.75" customHeight="1" x14ac:dyDescent="0.25">
      <c r="A415" s="65">
        <v>44</v>
      </c>
      <c r="B415" s="84" t="s">
        <v>598</v>
      </c>
      <c r="C415" s="73">
        <v>1</v>
      </c>
      <c r="D415" s="85" t="s">
        <v>599</v>
      </c>
      <c r="E415" s="86" t="s">
        <v>131</v>
      </c>
      <c r="F415" s="85">
        <v>81897719002</v>
      </c>
      <c r="G415" s="71">
        <f t="shared" si="41"/>
        <v>296.35984000000002</v>
      </c>
      <c r="H415" s="71">
        <f t="shared" si="42"/>
        <v>296.35984000000002</v>
      </c>
      <c r="I415" s="71">
        <f t="shared" si="43"/>
        <v>296.35984000000002</v>
      </c>
      <c r="J415" s="71">
        <f t="shared" si="44"/>
        <v>296.35984000000002</v>
      </c>
      <c r="K415" s="72">
        <v>0</v>
      </c>
      <c r="M415" s="58">
        <f>VLOOKUP(D415,'TABELA DE PRECOS'!B:C,2,0)</f>
        <v>296.35984000000002</v>
      </c>
    </row>
    <row r="416" spans="1:13" ht="15.75" customHeight="1" x14ac:dyDescent="0.25">
      <c r="A416" s="65">
        <v>45</v>
      </c>
      <c r="B416" s="84" t="s">
        <v>600</v>
      </c>
      <c r="C416" s="73">
        <v>1</v>
      </c>
      <c r="D416" s="85" t="s">
        <v>601</v>
      </c>
      <c r="E416" s="86" t="s">
        <v>131</v>
      </c>
      <c r="F416" s="85">
        <v>81897719002</v>
      </c>
      <c r="G416" s="71">
        <f t="shared" si="41"/>
        <v>296.35984000000002</v>
      </c>
      <c r="H416" s="71">
        <f t="shared" si="42"/>
        <v>296.35984000000002</v>
      </c>
      <c r="I416" s="71">
        <f t="shared" si="43"/>
        <v>296.35984000000002</v>
      </c>
      <c r="J416" s="71">
        <f t="shared" si="44"/>
        <v>296.35984000000002</v>
      </c>
      <c r="K416" s="72">
        <v>0</v>
      </c>
      <c r="M416" s="58">
        <f>VLOOKUP(D416,'TABELA DE PRECOS'!B:C,2,0)</f>
        <v>296.35984000000002</v>
      </c>
    </row>
    <row r="417" spans="1:13" ht="15" customHeight="1" x14ac:dyDescent="0.25">
      <c r="A417" s="65">
        <v>46</v>
      </c>
      <c r="B417" s="84" t="s">
        <v>602</v>
      </c>
      <c r="C417" s="73">
        <v>1</v>
      </c>
      <c r="D417" s="85" t="s">
        <v>603</v>
      </c>
      <c r="E417" s="86" t="s">
        <v>131</v>
      </c>
      <c r="F417" s="85">
        <v>81897719002</v>
      </c>
      <c r="G417" s="71">
        <f t="shared" si="41"/>
        <v>296.35984000000002</v>
      </c>
      <c r="H417" s="71">
        <f t="shared" si="42"/>
        <v>296.35984000000002</v>
      </c>
      <c r="I417" s="71">
        <f t="shared" si="43"/>
        <v>296.35984000000002</v>
      </c>
      <c r="J417" s="71">
        <f t="shared" si="44"/>
        <v>296.35984000000002</v>
      </c>
      <c r="K417" s="72">
        <v>0</v>
      </c>
      <c r="M417" s="58">
        <f>VLOOKUP(D417,'TABELA DE PRECOS'!B:C,2,0)</f>
        <v>296.35984000000002</v>
      </c>
    </row>
    <row r="418" spans="1:13" ht="15" customHeight="1" x14ac:dyDescent="0.25">
      <c r="A418" s="65">
        <v>47</v>
      </c>
      <c r="B418" s="66" t="s">
        <v>604</v>
      </c>
      <c r="C418" s="73">
        <v>1</v>
      </c>
      <c r="D418" s="84" t="s">
        <v>605</v>
      </c>
      <c r="E418" s="86" t="s">
        <v>131</v>
      </c>
      <c r="F418" s="85">
        <v>81897719006</v>
      </c>
      <c r="G418" s="71">
        <f t="shared" si="41"/>
        <v>454.14759999999995</v>
      </c>
      <c r="H418" s="71">
        <f t="shared" si="42"/>
        <v>454.14759999999995</v>
      </c>
      <c r="I418" s="71">
        <f t="shared" si="43"/>
        <v>454.14759999999995</v>
      </c>
      <c r="J418" s="71">
        <f t="shared" si="44"/>
        <v>454.14759999999995</v>
      </c>
      <c r="K418" s="72">
        <v>0</v>
      </c>
      <c r="M418" s="58">
        <f>VLOOKUP(D418,'TABELA DE PRECOS'!B:C,2,0)</f>
        <v>454.14759999999995</v>
      </c>
    </row>
    <row r="419" spans="1:13" ht="15" customHeight="1" x14ac:dyDescent="0.25">
      <c r="A419" s="65">
        <v>48</v>
      </c>
      <c r="B419" s="84" t="s">
        <v>604</v>
      </c>
      <c r="C419" s="73">
        <v>1</v>
      </c>
      <c r="D419" s="84" t="s">
        <v>605</v>
      </c>
      <c r="E419" s="86" t="s">
        <v>131</v>
      </c>
      <c r="F419" s="85">
        <v>81897719006</v>
      </c>
      <c r="G419" s="71">
        <f t="shared" si="41"/>
        <v>454.14759999999995</v>
      </c>
      <c r="H419" s="71">
        <f t="shared" si="42"/>
        <v>454.14759999999995</v>
      </c>
      <c r="I419" s="71">
        <f t="shared" si="43"/>
        <v>454.14759999999995</v>
      </c>
      <c r="J419" s="71">
        <f t="shared" si="44"/>
        <v>454.14759999999995</v>
      </c>
      <c r="K419" s="72">
        <v>0</v>
      </c>
      <c r="M419" s="58">
        <f>VLOOKUP(D419,'TABELA DE PRECOS'!B:C,2,0)</f>
        <v>454.14759999999995</v>
      </c>
    </row>
    <row r="420" spans="1:13" ht="15" customHeight="1" x14ac:dyDescent="0.25">
      <c r="A420" s="65">
        <v>49</v>
      </c>
      <c r="B420" s="84" t="s">
        <v>606</v>
      </c>
      <c r="C420" s="73">
        <v>1</v>
      </c>
      <c r="D420" s="84" t="s">
        <v>607</v>
      </c>
      <c r="E420" s="86" t="s">
        <v>131</v>
      </c>
      <c r="F420" s="85">
        <v>81897719006</v>
      </c>
      <c r="G420" s="71">
        <f t="shared" si="41"/>
        <v>454.14759999999995</v>
      </c>
      <c r="H420" s="71">
        <f t="shared" si="42"/>
        <v>454.14759999999995</v>
      </c>
      <c r="I420" s="71">
        <f t="shared" si="43"/>
        <v>454.14759999999995</v>
      </c>
      <c r="J420" s="71">
        <f t="shared" si="44"/>
        <v>454.14759999999995</v>
      </c>
      <c r="K420" s="72">
        <v>0</v>
      </c>
      <c r="M420" s="58">
        <f>VLOOKUP(D420,'TABELA DE PRECOS'!B:C,2,0)</f>
        <v>454.14759999999995</v>
      </c>
    </row>
    <row r="421" spans="1:13" ht="15" customHeight="1" x14ac:dyDescent="0.25">
      <c r="A421" s="65">
        <v>50</v>
      </c>
      <c r="B421" s="84" t="s">
        <v>608</v>
      </c>
      <c r="C421" s="73">
        <v>1</v>
      </c>
      <c r="D421" s="84" t="s">
        <v>609</v>
      </c>
      <c r="E421" s="86" t="s">
        <v>131</v>
      </c>
      <c r="F421" s="85">
        <v>81897719006</v>
      </c>
      <c r="G421" s="71">
        <f t="shared" si="41"/>
        <v>454.14759999999995</v>
      </c>
      <c r="H421" s="71">
        <f t="shared" si="42"/>
        <v>454.14759999999995</v>
      </c>
      <c r="I421" s="71">
        <f t="shared" si="43"/>
        <v>454.14759999999995</v>
      </c>
      <c r="J421" s="71">
        <f t="shared" si="44"/>
        <v>454.14759999999995</v>
      </c>
      <c r="K421" s="72">
        <v>0</v>
      </c>
      <c r="M421" s="58">
        <f>VLOOKUP(D421,'TABELA DE PRECOS'!B:C,2,0)</f>
        <v>454.14759999999995</v>
      </c>
    </row>
    <row r="422" spans="1:13" ht="15" customHeight="1" x14ac:dyDescent="0.25">
      <c r="A422" s="65">
        <v>51</v>
      </c>
      <c r="B422" s="84" t="s">
        <v>610</v>
      </c>
      <c r="C422" s="73">
        <v>1</v>
      </c>
      <c r="D422" s="84" t="s">
        <v>611</v>
      </c>
      <c r="E422" s="86" t="s">
        <v>131</v>
      </c>
      <c r="F422" s="85">
        <v>81897719006</v>
      </c>
      <c r="G422" s="71">
        <f t="shared" si="41"/>
        <v>454.14759999999995</v>
      </c>
      <c r="H422" s="71">
        <f t="shared" si="42"/>
        <v>454.14759999999995</v>
      </c>
      <c r="I422" s="71">
        <f t="shared" si="43"/>
        <v>454.14759999999995</v>
      </c>
      <c r="J422" s="71">
        <f t="shared" si="44"/>
        <v>454.14759999999995</v>
      </c>
      <c r="K422" s="72">
        <v>0</v>
      </c>
      <c r="M422" s="58">
        <f>VLOOKUP(D422,'TABELA DE PRECOS'!B:C,2,0)</f>
        <v>454.14759999999995</v>
      </c>
    </row>
    <row r="423" spans="1:13" ht="15.75" customHeight="1" x14ac:dyDescent="0.25">
      <c r="A423" s="65">
        <v>52</v>
      </c>
      <c r="B423" s="84" t="s">
        <v>612</v>
      </c>
      <c r="C423" s="73">
        <v>1</v>
      </c>
      <c r="D423" s="85" t="s">
        <v>613</v>
      </c>
      <c r="E423" s="86" t="s">
        <v>131</v>
      </c>
      <c r="F423" s="85">
        <v>81897710011</v>
      </c>
      <c r="G423" s="71">
        <f t="shared" si="41"/>
        <v>296.35984000000002</v>
      </c>
      <c r="H423" s="71">
        <f t="shared" si="42"/>
        <v>296.35984000000002</v>
      </c>
      <c r="I423" s="71">
        <f t="shared" si="43"/>
        <v>296.35984000000002</v>
      </c>
      <c r="J423" s="71">
        <f t="shared" si="44"/>
        <v>296.35984000000002</v>
      </c>
      <c r="K423" s="72">
        <v>0</v>
      </c>
      <c r="M423" s="58">
        <f>VLOOKUP(D423,'TABELA DE PRECOS'!B:C,2,0)</f>
        <v>296.35984000000002</v>
      </c>
    </row>
    <row r="424" spans="1:13" ht="15.75" customHeight="1" x14ac:dyDescent="0.25">
      <c r="A424" s="65">
        <v>53</v>
      </c>
      <c r="B424" s="84" t="s">
        <v>614</v>
      </c>
      <c r="C424" s="73">
        <v>2</v>
      </c>
      <c r="D424" s="85" t="s">
        <v>615</v>
      </c>
      <c r="E424" s="86" t="s">
        <v>131</v>
      </c>
      <c r="F424" s="85">
        <v>81897710011</v>
      </c>
      <c r="G424" s="71">
        <f t="shared" si="41"/>
        <v>296.35984000000002</v>
      </c>
      <c r="H424" s="71">
        <f t="shared" si="42"/>
        <v>592.71968000000004</v>
      </c>
      <c r="I424" s="71">
        <f t="shared" si="43"/>
        <v>296.35984000000002</v>
      </c>
      <c r="J424" s="71">
        <f t="shared" si="44"/>
        <v>592.71968000000004</v>
      </c>
      <c r="K424" s="72">
        <v>0</v>
      </c>
      <c r="M424" s="58">
        <f>VLOOKUP(D424,'TABELA DE PRECOS'!B:C,2,0)</f>
        <v>296.35984000000002</v>
      </c>
    </row>
    <row r="425" spans="1:13" ht="15.75" customHeight="1" x14ac:dyDescent="0.25">
      <c r="A425" s="65">
        <v>54</v>
      </c>
      <c r="B425" s="84" t="s">
        <v>616</v>
      </c>
      <c r="C425" s="73">
        <v>1</v>
      </c>
      <c r="D425" s="85" t="s">
        <v>617</v>
      </c>
      <c r="E425" s="86" t="s">
        <v>131</v>
      </c>
      <c r="F425" s="85">
        <v>81897719002</v>
      </c>
      <c r="G425" s="71">
        <f t="shared" si="41"/>
        <v>37.038800000000002</v>
      </c>
      <c r="H425" s="71">
        <f t="shared" si="42"/>
        <v>37.038800000000002</v>
      </c>
      <c r="I425" s="71">
        <f t="shared" si="43"/>
        <v>37.038800000000002</v>
      </c>
      <c r="J425" s="71">
        <f t="shared" si="44"/>
        <v>37.038800000000002</v>
      </c>
      <c r="K425" s="72">
        <v>0</v>
      </c>
      <c r="M425" s="58">
        <f>VLOOKUP(D425,'TABELA DE PRECOS'!B:C,2,0)</f>
        <v>37.038800000000002</v>
      </c>
    </row>
    <row r="426" spans="1:13" ht="15.75" customHeight="1" x14ac:dyDescent="0.25">
      <c r="A426" s="65">
        <v>55</v>
      </c>
      <c r="B426" s="84" t="s">
        <v>618</v>
      </c>
      <c r="C426" s="73">
        <v>1</v>
      </c>
      <c r="D426" s="85" t="s">
        <v>619</v>
      </c>
      <c r="E426" s="86" t="s">
        <v>131</v>
      </c>
      <c r="F426" s="85">
        <v>81897719002</v>
      </c>
      <c r="G426" s="71">
        <f t="shared" si="41"/>
        <v>37.030560000000001</v>
      </c>
      <c r="H426" s="71">
        <f t="shared" si="42"/>
        <v>37.030560000000001</v>
      </c>
      <c r="I426" s="71">
        <f t="shared" si="43"/>
        <v>37.030560000000001</v>
      </c>
      <c r="J426" s="71">
        <f t="shared" si="44"/>
        <v>37.030560000000001</v>
      </c>
      <c r="K426" s="72">
        <v>0</v>
      </c>
      <c r="M426" s="58">
        <f>VLOOKUP(D426,'TABELA DE PRECOS'!B:C,2,0)</f>
        <v>37.030560000000001</v>
      </c>
    </row>
    <row r="427" spans="1:13" ht="15.75" customHeight="1" x14ac:dyDescent="0.25">
      <c r="A427" s="65">
        <v>56</v>
      </c>
      <c r="B427" s="84" t="s">
        <v>620</v>
      </c>
      <c r="C427" s="73">
        <v>1</v>
      </c>
      <c r="D427" s="85" t="s">
        <v>621</v>
      </c>
      <c r="E427" s="86" t="s">
        <v>131</v>
      </c>
      <c r="F427" s="85">
        <v>81897719002</v>
      </c>
      <c r="G427" s="71">
        <f t="shared" si="41"/>
        <v>106.68328</v>
      </c>
      <c r="H427" s="71">
        <f t="shared" si="42"/>
        <v>106.68328</v>
      </c>
      <c r="I427" s="71">
        <f t="shared" si="43"/>
        <v>106.68328</v>
      </c>
      <c r="J427" s="71">
        <f t="shared" si="44"/>
        <v>106.68328</v>
      </c>
      <c r="K427" s="72">
        <v>0</v>
      </c>
      <c r="M427" s="58">
        <f>VLOOKUP(D427,'TABELA DE PRECOS'!B:C,2,0)</f>
        <v>106.68328</v>
      </c>
    </row>
    <row r="428" spans="1:13" ht="15.75" customHeight="1" x14ac:dyDescent="0.25">
      <c r="A428" s="65">
        <v>57</v>
      </c>
      <c r="B428" s="84" t="s">
        <v>622</v>
      </c>
      <c r="C428" s="73">
        <v>1</v>
      </c>
      <c r="D428" s="85" t="s">
        <v>623</v>
      </c>
      <c r="E428" s="86" t="s">
        <v>131</v>
      </c>
      <c r="F428" s="85">
        <v>81897719002</v>
      </c>
      <c r="G428" s="71">
        <f t="shared" si="41"/>
        <v>266.71232000000003</v>
      </c>
      <c r="H428" s="71">
        <f t="shared" si="42"/>
        <v>266.71232000000003</v>
      </c>
      <c r="I428" s="71">
        <f t="shared" si="43"/>
        <v>266.71232000000003</v>
      </c>
      <c r="J428" s="71">
        <f t="shared" si="44"/>
        <v>266.71232000000003</v>
      </c>
      <c r="K428" s="72">
        <v>0</v>
      </c>
      <c r="M428" s="58">
        <f>VLOOKUP(D428,'TABELA DE PRECOS'!B:C,2,0)</f>
        <v>266.71232000000003</v>
      </c>
    </row>
    <row r="429" spans="1:13" ht="15.75" customHeight="1" x14ac:dyDescent="0.25">
      <c r="A429" s="65">
        <v>58</v>
      </c>
      <c r="B429" s="84" t="s">
        <v>366</v>
      </c>
      <c r="C429" s="73">
        <v>1</v>
      </c>
      <c r="D429" s="85" t="s">
        <v>367</v>
      </c>
      <c r="E429" s="86" t="s">
        <v>131</v>
      </c>
      <c r="F429" s="85">
        <v>81897719002</v>
      </c>
      <c r="G429" s="71">
        <f t="shared" si="41"/>
        <v>18.7</v>
      </c>
      <c r="H429" s="71">
        <f t="shared" si="42"/>
        <v>18.7</v>
      </c>
      <c r="I429" s="71">
        <f t="shared" si="43"/>
        <v>18.7</v>
      </c>
      <c r="J429" s="71">
        <f t="shared" si="44"/>
        <v>18.7</v>
      </c>
      <c r="K429" s="72">
        <v>0</v>
      </c>
      <c r="M429" s="58">
        <f>VLOOKUP(D429,'TABELA DE PRECOS'!B:C,2,0)</f>
        <v>18.7</v>
      </c>
    </row>
    <row r="430" spans="1:13" ht="15.75" customHeight="1" x14ac:dyDescent="0.25">
      <c r="A430" s="65">
        <v>59</v>
      </c>
      <c r="B430" s="84" t="s">
        <v>368</v>
      </c>
      <c r="C430" s="73">
        <v>1</v>
      </c>
      <c r="D430" s="85" t="s">
        <v>369</v>
      </c>
      <c r="E430" s="86" t="s">
        <v>131</v>
      </c>
      <c r="F430" s="85">
        <v>81897719002</v>
      </c>
      <c r="G430" s="71">
        <f t="shared" si="41"/>
        <v>18.22</v>
      </c>
      <c r="H430" s="71">
        <f t="shared" si="42"/>
        <v>18.22</v>
      </c>
      <c r="I430" s="71">
        <f t="shared" si="43"/>
        <v>18.22</v>
      </c>
      <c r="J430" s="71">
        <f t="shared" si="44"/>
        <v>18.22</v>
      </c>
      <c r="K430" s="72">
        <v>0</v>
      </c>
      <c r="M430" s="58">
        <f>VLOOKUP(D430,'TABELA DE PRECOS'!B:C,2,0)</f>
        <v>18.22</v>
      </c>
    </row>
    <row r="431" spans="1:13" ht="15.75" customHeight="1" x14ac:dyDescent="0.25">
      <c r="A431" s="65">
        <v>60</v>
      </c>
      <c r="B431" s="84" t="s">
        <v>624</v>
      </c>
      <c r="C431" s="73">
        <v>1</v>
      </c>
      <c r="D431" s="85" t="s">
        <v>625</v>
      </c>
      <c r="E431" s="86" t="s">
        <v>131</v>
      </c>
      <c r="F431" s="85">
        <v>81897719002</v>
      </c>
      <c r="G431" s="71">
        <f t="shared" si="41"/>
        <v>11.85736</v>
      </c>
      <c r="H431" s="71">
        <f t="shared" si="42"/>
        <v>11.85736</v>
      </c>
      <c r="I431" s="71">
        <f t="shared" si="43"/>
        <v>11.85736</v>
      </c>
      <c r="J431" s="71">
        <f t="shared" si="44"/>
        <v>11.85736</v>
      </c>
      <c r="K431" s="72">
        <v>0</v>
      </c>
      <c r="M431" s="58">
        <f>VLOOKUP(D431,'TABELA DE PRECOS'!B:C,2,0)</f>
        <v>11.85736</v>
      </c>
    </row>
    <row r="432" spans="1:13" ht="15.75" customHeight="1" x14ac:dyDescent="0.25">
      <c r="A432" s="65">
        <v>61</v>
      </c>
      <c r="B432" s="84" t="s">
        <v>626</v>
      </c>
      <c r="C432" s="73">
        <v>1</v>
      </c>
      <c r="D432" s="85" t="s">
        <v>627</v>
      </c>
      <c r="E432" s="86" t="s">
        <v>131</v>
      </c>
      <c r="F432" s="85">
        <v>81897719002</v>
      </c>
      <c r="G432" s="71">
        <f t="shared" si="41"/>
        <v>11.486559999999999</v>
      </c>
      <c r="H432" s="71">
        <f t="shared" si="42"/>
        <v>11.486559999999999</v>
      </c>
      <c r="I432" s="71">
        <f t="shared" si="43"/>
        <v>11.486559999999999</v>
      </c>
      <c r="J432" s="71">
        <f t="shared" si="44"/>
        <v>11.486559999999999</v>
      </c>
      <c r="K432" s="72">
        <v>0</v>
      </c>
      <c r="M432" s="58">
        <f>VLOOKUP(D432,'TABELA DE PRECOS'!B:C,2,0)</f>
        <v>11.486559999999999</v>
      </c>
    </row>
    <row r="433" spans="1:13" ht="15.75" customHeight="1" x14ac:dyDescent="0.25">
      <c r="A433" s="65">
        <v>62</v>
      </c>
      <c r="B433" s="84" t="s">
        <v>628</v>
      </c>
      <c r="C433" s="73">
        <v>1</v>
      </c>
      <c r="D433" s="85" t="s">
        <v>629</v>
      </c>
      <c r="E433" s="86" t="s">
        <v>131</v>
      </c>
      <c r="F433" s="85">
        <v>81897710034</v>
      </c>
      <c r="G433" s="71">
        <f t="shared" si="41"/>
        <v>26.672879999999996</v>
      </c>
      <c r="H433" s="71">
        <f t="shared" si="42"/>
        <v>26.672879999999996</v>
      </c>
      <c r="I433" s="71">
        <f t="shared" si="43"/>
        <v>26.672879999999996</v>
      </c>
      <c r="J433" s="71">
        <f t="shared" si="44"/>
        <v>26.672879999999996</v>
      </c>
      <c r="K433" s="72">
        <v>0</v>
      </c>
      <c r="M433" s="58">
        <f>VLOOKUP(D433,'TABELA DE PRECOS'!B:C,2,0)</f>
        <v>26.672879999999996</v>
      </c>
    </row>
    <row r="434" spans="1:13" ht="15.75" customHeight="1" x14ac:dyDescent="0.25">
      <c r="A434" s="65">
        <v>63</v>
      </c>
      <c r="B434" s="84" t="s">
        <v>508</v>
      </c>
      <c r="C434" s="73">
        <v>1</v>
      </c>
      <c r="D434" s="49" t="s">
        <v>509</v>
      </c>
      <c r="E434" s="86" t="s">
        <v>131</v>
      </c>
      <c r="F434" s="85">
        <v>81897710034</v>
      </c>
      <c r="G434" s="71">
        <f t="shared" si="41"/>
        <v>26.672879999999996</v>
      </c>
      <c r="H434" s="71">
        <f t="shared" si="42"/>
        <v>26.672879999999996</v>
      </c>
      <c r="I434" s="71">
        <f t="shared" si="43"/>
        <v>26.672879999999996</v>
      </c>
      <c r="J434" s="71">
        <f t="shared" si="44"/>
        <v>26.672879999999996</v>
      </c>
      <c r="K434" s="72">
        <v>0</v>
      </c>
      <c r="M434" s="58">
        <f>VLOOKUP(D434,'TABELA DE PRECOS'!B:C,2,0)</f>
        <v>26.672879999999996</v>
      </c>
    </row>
    <row r="435" spans="1:13" ht="15.75" customHeight="1" x14ac:dyDescent="0.25">
      <c r="A435" s="65">
        <v>64</v>
      </c>
      <c r="B435" s="84" t="s">
        <v>372</v>
      </c>
      <c r="C435" s="73">
        <v>1</v>
      </c>
      <c r="D435" s="85" t="s">
        <v>373</v>
      </c>
      <c r="E435" s="86" t="s">
        <v>131</v>
      </c>
      <c r="F435" s="85" t="s">
        <v>223</v>
      </c>
      <c r="G435" s="71">
        <f t="shared" si="41"/>
        <v>452.16</v>
      </c>
      <c r="H435" s="71">
        <f t="shared" si="42"/>
        <v>452.16</v>
      </c>
      <c r="I435" s="71">
        <f t="shared" si="43"/>
        <v>452.16</v>
      </c>
      <c r="J435" s="71">
        <f t="shared" si="44"/>
        <v>452.16</v>
      </c>
      <c r="K435" s="72">
        <v>0</v>
      </c>
      <c r="M435" s="58">
        <f>VLOOKUP(D435,'TABELA DE PRECOS'!B:C,2,0)</f>
        <v>452.16</v>
      </c>
    </row>
    <row r="436" spans="1:13" ht="15.75" customHeight="1" x14ac:dyDescent="0.25">
      <c r="A436" s="65">
        <v>65</v>
      </c>
      <c r="B436" s="84" t="s">
        <v>630</v>
      </c>
      <c r="C436" s="73">
        <v>1</v>
      </c>
      <c r="D436" s="85" t="s">
        <v>631</v>
      </c>
      <c r="E436" s="86" t="s">
        <v>131</v>
      </c>
      <c r="F436" s="85" t="s">
        <v>223</v>
      </c>
      <c r="G436" s="71">
        <f t="shared" si="41"/>
        <v>602.25335999999993</v>
      </c>
      <c r="H436" s="71">
        <f t="shared" si="42"/>
        <v>602.25335999999993</v>
      </c>
      <c r="I436" s="71">
        <f t="shared" si="43"/>
        <v>602.25335999999993</v>
      </c>
      <c r="J436" s="71">
        <f t="shared" si="44"/>
        <v>602.25335999999993</v>
      </c>
      <c r="K436" s="72">
        <v>0</v>
      </c>
      <c r="M436" s="58">
        <f>VLOOKUP(D436,'TABELA DE PRECOS'!B:C,2,0)</f>
        <v>602.25335999999993</v>
      </c>
    </row>
    <row r="437" spans="1:13" ht="15.75" customHeight="1" x14ac:dyDescent="0.25">
      <c r="A437" s="65">
        <v>66</v>
      </c>
      <c r="B437" s="84" t="s">
        <v>376</v>
      </c>
      <c r="C437" s="73">
        <v>1</v>
      </c>
      <c r="D437" s="85" t="s">
        <v>632</v>
      </c>
      <c r="E437" s="86" t="s">
        <v>131</v>
      </c>
      <c r="F437" s="85" t="s">
        <v>223</v>
      </c>
      <c r="G437" s="71">
        <f t="shared" si="41"/>
        <v>514.57000000000005</v>
      </c>
      <c r="H437" s="71">
        <f t="shared" si="42"/>
        <v>514.57000000000005</v>
      </c>
      <c r="I437" s="71">
        <f t="shared" si="43"/>
        <v>514.57000000000005</v>
      </c>
      <c r="J437" s="71">
        <f t="shared" si="44"/>
        <v>514.57000000000005</v>
      </c>
      <c r="K437" s="72">
        <v>0</v>
      </c>
      <c r="M437" s="58">
        <f>VLOOKUP(D437,'TABELA DE PRECOS'!B:C,2,0)</f>
        <v>514.57000000000005</v>
      </c>
    </row>
    <row r="438" spans="1:13" ht="15.75" customHeight="1" x14ac:dyDescent="0.25">
      <c r="A438" s="65">
        <v>67</v>
      </c>
      <c r="B438" s="84" t="s">
        <v>378</v>
      </c>
      <c r="C438" s="73">
        <v>2</v>
      </c>
      <c r="D438" s="85" t="s">
        <v>633</v>
      </c>
      <c r="E438" s="86" t="s">
        <v>131</v>
      </c>
      <c r="F438" s="85" t="s">
        <v>223</v>
      </c>
      <c r="G438" s="71">
        <f t="shared" si="41"/>
        <v>9.18</v>
      </c>
      <c r="H438" s="71">
        <f t="shared" si="42"/>
        <v>18.36</v>
      </c>
      <c r="I438" s="71">
        <f t="shared" si="43"/>
        <v>9.18</v>
      </c>
      <c r="J438" s="71">
        <f t="shared" si="44"/>
        <v>18.36</v>
      </c>
      <c r="K438" s="72">
        <v>0</v>
      </c>
      <c r="M438" s="58">
        <f>VLOOKUP(D438,'TABELA DE PRECOS'!B:C,2,0)</f>
        <v>9.18</v>
      </c>
    </row>
    <row r="439" spans="1:13" ht="15.75" customHeight="1" x14ac:dyDescent="0.25">
      <c r="A439" s="78"/>
      <c r="B439" s="79" t="s">
        <v>224</v>
      </c>
      <c r="C439" s="79">
        <f>SUM(C372:C438)</f>
        <v>97</v>
      </c>
      <c r="D439" s="79"/>
      <c r="E439" s="79"/>
      <c r="F439" s="79"/>
      <c r="G439" s="80"/>
      <c r="H439" s="80">
        <f>SUM(H372:H438)</f>
        <v>13780.246464000005</v>
      </c>
      <c r="I439" s="79"/>
      <c r="J439" s="80">
        <f>SUM(J372:J438)</f>
        <v>13780.246464000005</v>
      </c>
      <c r="K439" s="81"/>
      <c r="M439" s="58" t="e">
        <f>VLOOKUP(D439,'TABELA DE PRECOS'!B:C,2,0)</f>
        <v>#N/A</v>
      </c>
    </row>
    <row r="440" spans="1:13" ht="15.75" customHeight="1" x14ac:dyDescent="0.25">
      <c r="A440" s="56"/>
      <c r="B440" s="49" t="s">
        <v>15</v>
      </c>
      <c r="C440" s="57"/>
      <c r="G440" s="58"/>
      <c r="H440" s="58"/>
      <c r="I440" s="58"/>
      <c r="J440" s="58"/>
      <c r="K440" s="59"/>
      <c r="M440" s="58" t="e">
        <f>VLOOKUP(D440,'TABELA DE PRECOS'!B:C,2,0)</f>
        <v>#N/A</v>
      </c>
    </row>
    <row r="441" spans="1:13" ht="15.75" customHeight="1" x14ac:dyDescent="0.25">
      <c r="A441" s="97"/>
      <c r="B441" s="18" t="s">
        <v>634</v>
      </c>
      <c r="C441" s="57"/>
      <c r="G441" s="58"/>
      <c r="H441" s="58"/>
      <c r="I441" s="58"/>
      <c r="J441" s="58"/>
      <c r="K441" s="59"/>
      <c r="M441" s="58" t="e">
        <f>VLOOKUP(D441,'TABELA DE PRECOS'!B:C,2,0)</f>
        <v>#N/A</v>
      </c>
    </row>
    <row r="442" spans="1:13" ht="15.75" customHeight="1" x14ac:dyDescent="0.25">
      <c r="A442" s="18" t="s">
        <v>119</v>
      </c>
      <c r="B442" s="18" t="s">
        <v>120</v>
      </c>
      <c r="C442" s="18" t="s">
        <v>21</v>
      </c>
      <c r="D442" s="18" t="s">
        <v>121</v>
      </c>
      <c r="E442" s="60" t="s">
        <v>122</v>
      </c>
      <c r="F442" s="18" t="s">
        <v>123</v>
      </c>
      <c r="G442" s="61" t="s">
        <v>22</v>
      </c>
      <c r="H442" s="18" t="s">
        <v>23</v>
      </c>
      <c r="I442" s="18" t="s">
        <v>24</v>
      </c>
      <c r="J442" s="18" t="s">
        <v>25</v>
      </c>
      <c r="K442" s="62" t="s">
        <v>26</v>
      </c>
      <c r="M442" s="58" t="str">
        <f>VLOOKUP(D442,'TABELA DE PRECOS'!B:C,2,0)</f>
        <v>Valor Unit Bruto</v>
      </c>
    </row>
    <row r="443" spans="1:13" ht="15.75" customHeight="1" x14ac:dyDescent="0.25">
      <c r="A443" s="65">
        <v>1</v>
      </c>
      <c r="B443" s="84" t="s">
        <v>635</v>
      </c>
      <c r="C443" s="73">
        <v>1</v>
      </c>
      <c r="D443" s="85" t="s">
        <v>636</v>
      </c>
      <c r="E443" s="86" t="s">
        <v>131</v>
      </c>
      <c r="F443" s="85">
        <v>81897719002</v>
      </c>
      <c r="G443" s="71">
        <f t="shared" ref="G443:G532" si="45">M443</f>
        <v>144.46368000000001</v>
      </c>
      <c r="H443" s="71">
        <f t="shared" ref="H443:H532" si="46">G443*C443</f>
        <v>144.46368000000001</v>
      </c>
      <c r="I443" s="71">
        <f t="shared" ref="I443:I532" si="47">G443</f>
        <v>144.46368000000001</v>
      </c>
      <c r="J443" s="71">
        <f t="shared" ref="J443:J532" si="48">I443*C443</f>
        <v>144.46368000000001</v>
      </c>
      <c r="K443" s="72">
        <v>0</v>
      </c>
      <c r="L443" s="63"/>
      <c r="M443" s="58">
        <f>VLOOKUP(D443,'TABELA DE PRECOS'!B:C,2,0)</f>
        <v>144.46368000000001</v>
      </c>
    </row>
    <row r="444" spans="1:13" ht="15.75" customHeight="1" x14ac:dyDescent="0.25">
      <c r="A444" s="65">
        <v>2</v>
      </c>
      <c r="B444" s="84" t="s">
        <v>290</v>
      </c>
      <c r="C444" s="73">
        <v>2</v>
      </c>
      <c r="D444" s="85" t="s">
        <v>291</v>
      </c>
      <c r="E444" s="86" t="s">
        <v>131</v>
      </c>
      <c r="F444" s="85">
        <v>81897719002</v>
      </c>
      <c r="G444" s="71">
        <f t="shared" si="45"/>
        <v>16.5</v>
      </c>
      <c r="H444" s="71">
        <f t="shared" si="46"/>
        <v>33</v>
      </c>
      <c r="I444" s="71">
        <f t="shared" si="47"/>
        <v>16.5</v>
      </c>
      <c r="J444" s="71">
        <f t="shared" si="48"/>
        <v>33</v>
      </c>
      <c r="K444" s="72">
        <v>0</v>
      </c>
      <c r="M444" s="58">
        <f>VLOOKUP(D444,'TABELA DE PRECOS'!B:C,2,0)</f>
        <v>16.5</v>
      </c>
    </row>
    <row r="445" spans="1:13" ht="15.75" customHeight="1" x14ac:dyDescent="0.25">
      <c r="A445" s="65">
        <v>3</v>
      </c>
      <c r="B445" s="84" t="s">
        <v>133</v>
      </c>
      <c r="C445" s="73">
        <v>2</v>
      </c>
      <c r="D445" s="85" t="s">
        <v>134</v>
      </c>
      <c r="E445" s="86" t="s">
        <v>131</v>
      </c>
      <c r="F445" s="85">
        <v>81897719002</v>
      </c>
      <c r="G445" s="71">
        <f t="shared" si="45"/>
        <v>17.19688</v>
      </c>
      <c r="H445" s="71">
        <f t="shared" si="46"/>
        <v>34.39376</v>
      </c>
      <c r="I445" s="71">
        <f t="shared" si="47"/>
        <v>17.19688</v>
      </c>
      <c r="J445" s="71">
        <f t="shared" si="48"/>
        <v>34.39376</v>
      </c>
      <c r="K445" s="72">
        <v>0</v>
      </c>
      <c r="M445" s="58">
        <f>VLOOKUP(D445,'TABELA DE PRECOS'!B:C,2,0)</f>
        <v>17.19688</v>
      </c>
    </row>
    <row r="446" spans="1:13" ht="15.75" customHeight="1" x14ac:dyDescent="0.25">
      <c r="A446" s="65">
        <v>4</v>
      </c>
      <c r="B446" s="84" t="s">
        <v>552</v>
      </c>
      <c r="C446" s="73">
        <v>2</v>
      </c>
      <c r="D446" s="85" t="s">
        <v>553</v>
      </c>
      <c r="E446" s="86" t="s">
        <v>131</v>
      </c>
      <c r="F446" s="85">
        <v>81897719002</v>
      </c>
      <c r="G446" s="71">
        <f t="shared" si="45"/>
        <v>133.35616000000002</v>
      </c>
      <c r="H446" s="71">
        <f t="shared" si="46"/>
        <v>266.71232000000003</v>
      </c>
      <c r="I446" s="71">
        <f t="shared" si="47"/>
        <v>133.35616000000002</v>
      </c>
      <c r="J446" s="71">
        <f t="shared" si="48"/>
        <v>266.71232000000003</v>
      </c>
      <c r="K446" s="72">
        <v>0</v>
      </c>
      <c r="M446" s="58">
        <f>VLOOKUP(D446,'TABELA DE PRECOS'!B:C,2,0)</f>
        <v>133.35616000000002</v>
      </c>
    </row>
    <row r="447" spans="1:13" ht="15.75" customHeight="1" x14ac:dyDescent="0.25">
      <c r="A447" s="65">
        <v>5</v>
      </c>
      <c r="B447" s="84" t="s">
        <v>133</v>
      </c>
      <c r="C447" s="73">
        <v>2</v>
      </c>
      <c r="D447" s="85" t="s">
        <v>134</v>
      </c>
      <c r="E447" s="86" t="s">
        <v>131</v>
      </c>
      <c r="F447" s="85">
        <v>81897719002</v>
      </c>
      <c r="G447" s="71">
        <f t="shared" si="45"/>
        <v>17.19688</v>
      </c>
      <c r="H447" s="71">
        <f t="shared" si="46"/>
        <v>34.39376</v>
      </c>
      <c r="I447" s="71">
        <f t="shared" si="47"/>
        <v>17.19688</v>
      </c>
      <c r="J447" s="71">
        <f t="shared" si="48"/>
        <v>34.39376</v>
      </c>
      <c r="K447" s="72">
        <v>0</v>
      </c>
      <c r="M447" s="58">
        <f>VLOOKUP(D447,'TABELA DE PRECOS'!B:C,2,0)</f>
        <v>17.19688</v>
      </c>
    </row>
    <row r="448" spans="1:13" ht="15.75" customHeight="1" x14ac:dyDescent="0.25">
      <c r="A448" s="65">
        <v>6</v>
      </c>
      <c r="B448" s="84" t="s">
        <v>637</v>
      </c>
      <c r="C448" s="73">
        <v>1</v>
      </c>
      <c r="D448" s="85" t="s">
        <v>638</v>
      </c>
      <c r="E448" s="86" t="s">
        <v>131</v>
      </c>
      <c r="F448" s="85">
        <v>81897719002</v>
      </c>
      <c r="G448" s="71">
        <f t="shared" si="45"/>
        <v>11.11576</v>
      </c>
      <c r="H448" s="71">
        <f t="shared" si="46"/>
        <v>11.11576</v>
      </c>
      <c r="I448" s="71">
        <f t="shared" si="47"/>
        <v>11.11576</v>
      </c>
      <c r="J448" s="71">
        <f t="shared" si="48"/>
        <v>11.11576</v>
      </c>
      <c r="K448" s="72">
        <v>0</v>
      </c>
      <c r="M448" s="58">
        <f>VLOOKUP(D448,'TABELA DE PRECOS'!B:C,2,0)</f>
        <v>11.11576</v>
      </c>
    </row>
    <row r="449" spans="1:13" ht="15.75" customHeight="1" x14ac:dyDescent="0.25">
      <c r="A449" s="65">
        <v>7</v>
      </c>
      <c r="B449" s="84" t="s">
        <v>639</v>
      </c>
      <c r="C449" s="73">
        <v>1</v>
      </c>
      <c r="D449" s="85" t="s">
        <v>640</v>
      </c>
      <c r="E449" s="86" t="s">
        <v>131</v>
      </c>
      <c r="F449" s="85">
        <v>81897719002</v>
      </c>
      <c r="G449" s="71">
        <f t="shared" si="45"/>
        <v>11.11576</v>
      </c>
      <c r="H449" s="71">
        <f t="shared" si="46"/>
        <v>11.11576</v>
      </c>
      <c r="I449" s="71">
        <f t="shared" si="47"/>
        <v>11.11576</v>
      </c>
      <c r="J449" s="71">
        <f t="shared" si="48"/>
        <v>11.11576</v>
      </c>
      <c r="K449" s="72">
        <v>0</v>
      </c>
      <c r="M449" s="58">
        <f>VLOOKUP(D449,'TABELA DE PRECOS'!B:C,2,0)</f>
        <v>11.11576</v>
      </c>
    </row>
    <row r="450" spans="1:13" ht="15.75" customHeight="1" x14ac:dyDescent="0.25">
      <c r="A450" s="65">
        <v>8</v>
      </c>
      <c r="B450" s="84" t="s">
        <v>729</v>
      </c>
      <c r="C450" s="73">
        <v>1</v>
      </c>
      <c r="D450" s="85" t="s">
        <v>730</v>
      </c>
      <c r="E450" s="86" t="s">
        <v>131</v>
      </c>
      <c r="F450" s="85">
        <v>81897710023</v>
      </c>
      <c r="G450" s="71">
        <f t="shared" si="45"/>
        <v>11.12</v>
      </c>
      <c r="H450" s="71">
        <f t="shared" si="46"/>
        <v>11.12</v>
      </c>
      <c r="I450" s="71">
        <f t="shared" si="47"/>
        <v>11.12</v>
      </c>
      <c r="J450" s="71">
        <f t="shared" si="48"/>
        <v>11.12</v>
      </c>
      <c r="K450" s="72">
        <v>0</v>
      </c>
      <c r="M450" s="58">
        <f>VLOOKUP(D450,'TABELA DE PRECOS'!B:C,2,0)</f>
        <v>11.12</v>
      </c>
    </row>
    <row r="451" spans="1:13" ht="15.75" customHeight="1" x14ac:dyDescent="0.25">
      <c r="A451" s="65">
        <v>9</v>
      </c>
      <c r="B451" s="84" t="s">
        <v>641</v>
      </c>
      <c r="C451" s="73">
        <v>1</v>
      </c>
      <c r="D451" s="85" t="s">
        <v>642</v>
      </c>
      <c r="E451" s="86" t="s">
        <v>131</v>
      </c>
      <c r="F451" s="85">
        <v>81897719002</v>
      </c>
      <c r="G451" s="71">
        <f t="shared" si="45"/>
        <v>12.582479999999999</v>
      </c>
      <c r="H451" s="71">
        <f t="shared" si="46"/>
        <v>12.582479999999999</v>
      </c>
      <c r="I451" s="71">
        <f t="shared" si="47"/>
        <v>12.582479999999999</v>
      </c>
      <c r="J451" s="71">
        <f t="shared" si="48"/>
        <v>12.582479999999999</v>
      </c>
      <c r="K451" s="72">
        <v>0</v>
      </c>
      <c r="M451" s="58">
        <f>VLOOKUP(D451,'TABELA DE PRECOS'!B:C,2,0)</f>
        <v>12.582479999999999</v>
      </c>
    </row>
    <row r="452" spans="1:13" ht="15.75" customHeight="1" x14ac:dyDescent="0.25">
      <c r="A452" s="65">
        <v>10</v>
      </c>
      <c r="B452" s="84" t="s">
        <v>643</v>
      </c>
      <c r="C452" s="73">
        <v>1</v>
      </c>
      <c r="D452" s="85" t="s">
        <v>644</v>
      </c>
      <c r="E452" s="86" t="s">
        <v>131</v>
      </c>
      <c r="F452" s="85">
        <v>81897719002</v>
      </c>
      <c r="G452" s="71">
        <f t="shared" si="45"/>
        <v>13.332319999999999</v>
      </c>
      <c r="H452" s="71">
        <f t="shared" si="46"/>
        <v>13.332319999999999</v>
      </c>
      <c r="I452" s="71">
        <f t="shared" si="47"/>
        <v>13.332319999999999</v>
      </c>
      <c r="J452" s="71">
        <f t="shared" si="48"/>
        <v>13.332319999999999</v>
      </c>
      <c r="K452" s="72">
        <v>0</v>
      </c>
      <c r="M452" s="58">
        <f>VLOOKUP(D452,'TABELA DE PRECOS'!B:C,2,0)</f>
        <v>13.332319999999999</v>
      </c>
    </row>
    <row r="453" spans="1:13" ht="15.75" customHeight="1" x14ac:dyDescent="0.25">
      <c r="A453" s="65">
        <v>11</v>
      </c>
      <c r="B453" s="84" t="s">
        <v>645</v>
      </c>
      <c r="C453" s="73">
        <v>1</v>
      </c>
      <c r="D453" s="85" t="s">
        <v>646</v>
      </c>
      <c r="E453" s="86" t="s">
        <v>131</v>
      </c>
      <c r="F453" s="85">
        <v>81897719002</v>
      </c>
      <c r="G453" s="71">
        <f t="shared" si="45"/>
        <v>13.332319999999999</v>
      </c>
      <c r="H453" s="71">
        <f t="shared" si="46"/>
        <v>13.332319999999999</v>
      </c>
      <c r="I453" s="71">
        <f t="shared" si="47"/>
        <v>13.332319999999999</v>
      </c>
      <c r="J453" s="71">
        <f t="shared" si="48"/>
        <v>13.332319999999999</v>
      </c>
      <c r="K453" s="72">
        <v>0</v>
      </c>
      <c r="M453" s="58">
        <f>VLOOKUP(D453,'TABELA DE PRECOS'!B:C,2,0)</f>
        <v>13.332319999999999</v>
      </c>
    </row>
    <row r="454" spans="1:13" ht="15.75" customHeight="1" x14ac:dyDescent="0.25">
      <c r="A454" s="65">
        <v>12</v>
      </c>
      <c r="B454" s="84" t="s">
        <v>635</v>
      </c>
      <c r="C454" s="73">
        <v>1</v>
      </c>
      <c r="D454" s="85" t="s">
        <v>636</v>
      </c>
      <c r="E454" s="86" t="s">
        <v>131</v>
      </c>
      <c r="F454" s="85">
        <v>81897719002</v>
      </c>
      <c r="G454" s="71">
        <f t="shared" si="45"/>
        <v>144.46368000000001</v>
      </c>
      <c r="H454" s="71">
        <f t="shared" si="46"/>
        <v>144.46368000000001</v>
      </c>
      <c r="I454" s="71">
        <f t="shared" si="47"/>
        <v>144.46368000000001</v>
      </c>
      <c r="J454" s="71">
        <f t="shared" si="48"/>
        <v>144.46368000000001</v>
      </c>
      <c r="K454" s="72">
        <v>0</v>
      </c>
      <c r="M454" s="58">
        <f>VLOOKUP(D454,'TABELA DE PRECOS'!B:C,2,0)</f>
        <v>144.46368000000001</v>
      </c>
    </row>
    <row r="455" spans="1:13" ht="15.75" customHeight="1" x14ac:dyDescent="0.25">
      <c r="A455" s="65">
        <v>13</v>
      </c>
      <c r="B455" s="84" t="s">
        <v>647</v>
      </c>
      <c r="C455" s="73">
        <v>1</v>
      </c>
      <c r="D455" s="85" t="s">
        <v>648</v>
      </c>
      <c r="E455" s="86" t="s">
        <v>131</v>
      </c>
      <c r="F455" s="85">
        <v>81897719002</v>
      </c>
      <c r="G455" s="71">
        <f t="shared" si="45"/>
        <v>122.24039999999999</v>
      </c>
      <c r="H455" s="71">
        <f t="shared" si="46"/>
        <v>122.24039999999999</v>
      </c>
      <c r="I455" s="71">
        <f t="shared" si="47"/>
        <v>122.24039999999999</v>
      </c>
      <c r="J455" s="71">
        <f t="shared" si="48"/>
        <v>122.24039999999999</v>
      </c>
      <c r="K455" s="72">
        <v>0</v>
      </c>
      <c r="M455" s="58">
        <f>VLOOKUP(D455,'TABELA DE PRECOS'!B:C,2,0)</f>
        <v>122.24039999999999</v>
      </c>
    </row>
    <row r="456" spans="1:13" ht="15.75" customHeight="1" x14ac:dyDescent="0.25">
      <c r="A456" s="65">
        <v>14</v>
      </c>
      <c r="B456" s="84" t="s">
        <v>649</v>
      </c>
      <c r="C456" s="73">
        <v>1</v>
      </c>
      <c r="D456" s="85" t="s">
        <v>650</v>
      </c>
      <c r="E456" s="86" t="s">
        <v>131</v>
      </c>
      <c r="F456" s="85">
        <v>81897719002</v>
      </c>
      <c r="G456" s="71">
        <f t="shared" si="45"/>
        <v>133.35616000000002</v>
      </c>
      <c r="H456" s="71">
        <f t="shared" si="46"/>
        <v>133.35616000000002</v>
      </c>
      <c r="I456" s="71">
        <f t="shared" si="47"/>
        <v>133.35616000000002</v>
      </c>
      <c r="J456" s="71">
        <f t="shared" si="48"/>
        <v>133.35616000000002</v>
      </c>
      <c r="K456" s="72">
        <v>0</v>
      </c>
      <c r="M456" s="58">
        <f>VLOOKUP(D456,'TABELA DE PRECOS'!B:C,2,0)</f>
        <v>133.35616000000002</v>
      </c>
    </row>
    <row r="457" spans="1:13" ht="15.75" customHeight="1" x14ac:dyDescent="0.25">
      <c r="A457" s="65">
        <v>15</v>
      </c>
      <c r="B457" s="84" t="s">
        <v>562</v>
      </c>
      <c r="C457" s="73">
        <v>1</v>
      </c>
      <c r="D457" s="85" t="s">
        <v>563</v>
      </c>
      <c r="E457" s="86" t="s">
        <v>131</v>
      </c>
      <c r="F457" s="85">
        <v>81897719002</v>
      </c>
      <c r="G457" s="71">
        <f t="shared" si="45"/>
        <v>296.35984000000002</v>
      </c>
      <c r="H457" s="71">
        <f t="shared" si="46"/>
        <v>296.35984000000002</v>
      </c>
      <c r="I457" s="71">
        <f t="shared" si="47"/>
        <v>296.35984000000002</v>
      </c>
      <c r="J457" s="71">
        <f t="shared" si="48"/>
        <v>296.35984000000002</v>
      </c>
      <c r="K457" s="72">
        <v>0</v>
      </c>
      <c r="M457" s="58">
        <f>VLOOKUP(D457,'TABELA DE PRECOS'!B:C,2,0)</f>
        <v>296.35984000000002</v>
      </c>
    </row>
    <row r="458" spans="1:13" ht="15.75" customHeight="1" x14ac:dyDescent="0.25">
      <c r="A458" s="65">
        <v>16</v>
      </c>
      <c r="B458" s="84" t="s">
        <v>562</v>
      </c>
      <c r="C458" s="73">
        <v>1</v>
      </c>
      <c r="D458" s="85" t="s">
        <v>563</v>
      </c>
      <c r="E458" s="86" t="s">
        <v>131</v>
      </c>
      <c r="F458" s="85">
        <v>81897719002</v>
      </c>
      <c r="G458" s="71">
        <f t="shared" si="45"/>
        <v>296.35984000000002</v>
      </c>
      <c r="H458" s="71">
        <f t="shared" si="46"/>
        <v>296.35984000000002</v>
      </c>
      <c r="I458" s="71">
        <f t="shared" si="47"/>
        <v>296.35984000000002</v>
      </c>
      <c r="J458" s="71">
        <f t="shared" si="48"/>
        <v>296.35984000000002</v>
      </c>
      <c r="K458" s="72">
        <v>0</v>
      </c>
      <c r="M458" s="58">
        <f>VLOOKUP(D458,'TABELA DE PRECOS'!B:C,2,0)</f>
        <v>296.35984000000002</v>
      </c>
    </row>
    <row r="459" spans="1:13" ht="15.75" customHeight="1" x14ac:dyDescent="0.25">
      <c r="A459" s="65">
        <v>17</v>
      </c>
      <c r="B459" s="84" t="s">
        <v>651</v>
      </c>
      <c r="C459" s="73">
        <v>1</v>
      </c>
      <c r="D459" s="85" t="s">
        <v>652</v>
      </c>
      <c r="E459" s="86" t="s">
        <v>131</v>
      </c>
      <c r="F459" s="85">
        <v>81897719002</v>
      </c>
      <c r="G459" s="71">
        <f t="shared" si="45"/>
        <v>297.59584000000001</v>
      </c>
      <c r="H459" s="71">
        <f t="shared" si="46"/>
        <v>297.59584000000001</v>
      </c>
      <c r="I459" s="71">
        <f t="shared" si="47"/>
        <v>297.59584000000001</v>
      </c>
      <c r="J459" s="71">
        <f t="shared" si="48"/>
        <v>297.59584000000001</v>
      </c>
      <c r="K459" s="72">
        <v>0</v>
      </c>
      <c r="M459" s="58">
        <f>VLOOKUP(D459,'TABELA DE PRECOS'!B:C,2,0)</f>
        <v>297.59584000000001</v>
      </c>
    </row>
    <row r="460" spans="1:13" ht="15.75" customHeight="1" x14ac:dyDescent="0.25">
      <c r="A460" s="65">
        <v>18</v>
      </c>
      <c r="B460" s="84" t="s">
        <v>300</v>
      </c>
      <c r="C460" s="73">
        <v>1</v>
      </c>
      <c r="D460" s="85" t="s">
        <v>301</v>
      </c>
      <c r="E460" s="86" t="s">
        <v>131</v>
      </c>
      <c r="F460" s="85">
        <v>81897719002</v>
      </c>
      <c r="G460" s="71">
        <f t="shared" si="45"/>
        <v>9.4</v>
      </c>
      <c r="H460" s="71">
        <f t="shared" si="46"/>
        <v>9.4</v>
      </c>
      <c r="I460" s="71">
        <f t="shared" si="47"/>
        <v>9.4</v>
      </c>
      <c r="J460" s="71">
        <f t="shared" si="48"/>
        <v>9.4</v>
      </c>
      <c r="K460" s="72">
        <v>0</v>
      </c>
      <c r="M460" s="58">
        <f>VLOOKUP(D460,'TABELA DE PRECOS'!B:C,2,0)</f>
        <v>9.4</v>
      </c>
    </row>
    <row r="461" spans="1:13" ht="15.75" customHeight="1" x14ac:dyDescent="0.25">
      <c r="A461" s="65">
        <v>19</v>
      </c>
      <c r="B461" s="84" t="s">
        <v>137</v>
      </c>
      <c r="C461" s="73">
        <v>1</v>
      </c>
      <c r="D461" s="85" t="s">
        <v>138</v>
      </c>
      <c r="E461" s="86" t="s">
        <v>131</v>
      </c>
      <c r="F461" s="85">
        <v>81897719002</v>
      </c>
      <c r="G461" s="71">
        <f t="shared" si="45"/>
        <v>8.25</v>
      </c>
      <c r="H461" s="71">
        <f t="shared" si="46"/>
        <v>8.25</v>
      </c>
      <c r="I461" s="71">
        <f t="shared" si="47"/>
        <v>8.25</v>
      </c>
      <c r="J461" s="71">
        <f t="shared" si="48"/>
        <v>8.25</v>
      </c>
      <c r="K461" s="72">
        <v>0</v>
      </c>
      <c r="M461" s="58">
        <f>VLOOKUP(D461,'TABELA DE PRECOS'!B:C,2,0)</f>
        <v>8.25</v>
      </c>
    </row>
    <row r="462" spans="1:13" ht="15.75" customHeight="1" x14ac:dyDescent="0.25">
      <c r="A462" s="65">
        <v>20</v>
      </c>
      <c r="B462" s="84" t="s">
        <v>653</v>
      </c>
      <c r="C462" s="73">
        <v>1</v>
      </c>
      <c r="D462" s="85" t="s">
        <v>654</v>
      </c>
      <c r="E462" s="86" t="s">
        <v>131</v>
      </c>
      <c r="F462" s="85">
        <v>81897719002</v>
      </c>
      <c r="G462" s="71">
        <f t="shared" si="45"/>
        <v>24.448080000000001</v>
      </c>
      <c r="H462" s="71">
        <f t="shared" si="46"/>
        <v>24.448080000000001</v>
      </c>
      <c r="I462" s="71">
        <f t="shared" si="47"/>
        <v>24.448080000000001</v>
      </c>
      <c r="J462" s="71">
        <f t="shared" si="48"/>
        <v>24.448080000000001</v>
      </c>
      <c r="K462" s="72">
        <v>0</v>
      </c>
      <c r="M462" s="58">
        <f>VLOOKUP(D462,'TABELA DE PRECOS'!B:C,2,0)</f>
        <v>24.448080000000001</v>
      </c>
    </row>
    <row r="463" spans="1:13" ht="15.75" customHeight="1" x14ac:dyDescent="0.25">
      <c r="A463" s="65">
        <v>21</v>
      </c>
      <c r="B463" s="84" t="s">
        <v>304</v>
      </c>
      <c r="C463" s="73">
        <v>1</v>
      </c>
      <c r="D463" s="85" t="s">
        <v>305</v>
      </c>
      <c r="E463" s="86" t="s">
        <v>131</v>
      </c>
      <c r="F463" s="85" t="s">
        <v>223</v>
      </c>
      <c r="G463" s="71">
        <f t="shared" si="45"/>
        <v>5.2653600000000003</v>
      </c>
      <c r="H463" s="71">
        <f t="shared" si="46"/>
        <v>5.2653600000000003</v>
      </c>
      <c r="I463" s="71">
        <f t="shared" si="47"/>
        <v>5.2653600000000003</v>
      </c>
      <c r="J463" s="71">
        <f t="shared" si="48"/>
        <v>5.2653600000000003</v>
      </c>
      <c r="K463" s="72">
        <v>0</v>
      </c>
      <c r="M463" s="58">
        <f>VLOOKUP(D463,'TABELA DE PRECOS'!B:C,2,0)</f>
        <v>5.2653600000000003</v>
      </c>
    </row>
    <row r="464" spans="1:13" ht="15.75" customHeight="1" x14ac:dyDescent="0.25">
      <c r="A464" s="65">
        <v>22</v>
      </c>
      <c r="B464" s="84" t="s">
        <v>655</v>
      </c>
      <c r="C464" s="73">
        <v>1</v>
      </c>
      <c r="D464" s="85" t="s">
        <v>656</v>
      </c>
      <c r="E464" s="86" t="s">
        <v>131</v>
      </c>
      <c r="F464" s="85">
        <v>81897719002</v>
      </c>
      <c r="G464" s="71">
        <f t="shared" si="45"/>
        <v>31.114239999999999</v>
      </c>
      <c r="H464" s="71">
        <f t="shared" si="46"/>
        <v>31.114239999999999</v>
      </c>
      <c r="I464" s="71">
        <f t="shared" si="47"/>
        <v>31.114239999999999</v>
      </c>
      <c r="J464" s="71">
        <f t="shared" si="48"/>
        <v>31.114239999999999</v>
      </c>
      <c r="K464" s="72">
        <v>0</v>
      </c>
      <c r="M464" s="58">
        <f>VLOOKUP(D464,'TABELA DE PRECOS'!B:C,2,0)</f>
        <v>31.114239999999999</v>
      </c>
    </row>
    <row r="465" spans="1:13" ht="15.75" customHeight="1" x14ac:dyDescent="0.25">
      <c r="A465" s="65">
        <v>23</v>
      </c>
      <c r="B465" s="84" t="s">
        <v>657</v>
      </c>
      <c r="C465" s="73">
        <v>1</v>
      </c>
      <c r="D465" s="85" t="s">
        <v>658</v>
      </c>
      <c r="E465" s="86" t="s">
        <v>131</v>
      </c>
      <c r="F465" s="85">
        <v>81897719002</v>
      </c>
      <c r="G465" s="71">
        <f t="shared" si="45"/>
        <v>31.114239999999999</v>
      </c>
      <c r="H465" s="71">
        <f t="shared" si="46"/>
        <v>31.114239999999999</v>
      </c>
      <c r="I465" s="71">
        <f t="shared" si="47"/>
        <v>31.114239999999999</v>
      </c>
      <c r="J465" s="71">
        <f t="shared" si="48"/>
        <v>31.114239999999999</v>
      </c>
      <c r="K465" s="72">
        <v>0</v>
      </c>
      <c r="M465" s="58">
        <f>VLOOKUP(D465,'TABELA DE PRECOS'!B:C,2,0)</f>
        <v>31.114239999999999</v>
      </c>
    </row>
    <row r="466" spans="1:13" ht="15.75" customHeight="1" x14ac:dyDescent="0.25">
      <c r="A466" s="65">
        <v>24</v>
      </c>
      <c r="B466" s="84" t="s">
        <v>659</v>
      </c>
      <c r="C466" s="73">
        <v>1</v>
      </c>
      <c r="D466" s="85" t="s">
        <v>660</v>
      </c>
      <c r="E466" s="86" t="s">
        <v>131</v>
      </c>
      <c r="F466" s="85">
        <v>81897719002</v>
      </c>
      <c r="G466" s="71">
        <f t="shared" si="45"/>
        <v>31.114239999999999</v>
      </c>
      <c r="H466" s="71">
        <f t="shared" si="46"/>
        <v>31.114239999999999</v>
      </c>
      <c r="I466" s="71">
        <f t="shared" si="47"/>
        <v>31.114239999999999</v>
      </c>
      <c r="J466" s="71">
        <f t="shared" si="48"/>
        <v>31.114239999999999</v>
      </c>
      <c r="K466" s="72">
        <v>0</v>
      </c>
      <c r="M466" s="58">
        <f>VLOOKUP(D466,'TABELA DE PRECOS'!B:C,2,0)</f>
        <v>31.114239999999999</v>
      </c>
    </row>
    <row r="467" spans="1:13" ht="15.75" customHeight="1" x14ac:dyDescent="0.25">
      <c r="A467" s="65">
        <v>25</v>
      </c>
      <c r="B467" s="98" t="s">
        <v>661</v>
      </c>
      <c r="C467" s="73">
        <v>1</v>
      </c>
      <c r="D467" s="85" t="s">
        <v>662</v>
      </c>
      <c r="E467" s="86" t="s">
        <v>131</v>
      </c>
      <c r="F467" s="85">
        <v>81897719002</v>
      </c>
      <c r="G467" s="71">
        <f t="shared" si="45"/>
        <v>31.114239999999999</v>
      </c>
      <c r="H467" s="71">
        <f t="shared" si="46"/>
        <v>31.114239999999999</v>
      </c>
      <c r="I467" s="71">
        <f t="shared" si="47"/>
        <v>31.114239999999999</v>
      </c>
      <c r="J467" s="71">
        <f t="shared" si="48"/>
        <v>31.114239999999999</v>
      </c>
      <c r="K467" s="72">
        <v>0</v>
      </c>
      <c r="M467" s="58">
        <f>VLOOKUP(D467,'TABELA DE PRECOS'!B:C,2,0)</f>
        <v>31.114239999999999</v>
      </c>
    </row>
    <row r="468" spans="1:13" ht="15.75" customHeight="1" x14ac:dyDescent="0.25">
      <c r="A468" s="65">
        <v>26</v>
      </c>
      <c r="B468" s="84" t="s">
        <v>663</v>
      </c>
      <c r="C468" s="73">
        <v>1</v>
      </c>
      <c r="D468" s="85" t="s">
        <v>664</v>
      </c>
      <c r="E468" s="86" t="s">
        <v>131</v>
      </c>
      <c r="F468" s="85">
        <v>81897719002</v>
      </c>
      <c r="G468" s="71">
        <f t="shared" si="45"/>
        <v>20.38832</v>
      </c>
      <c r="H468" s="71">
        <f t="shared" si="46"/>
        <v>20.38832</v>
      </c>
      <c r="I468" s="71">
        <f t="shared" si="47"/>
        <v>20.38832</v>
      </c>
      <c r="J468" s="71">
        <f t="shared" si="48"/>
        <v>20.38832</v>
      </c>
      <c r="K468" s="72">
        <v>0</v>
      </c>
      <c r="M468" s="58">
        <f>VLOOKUP(D468,'TABELA DE PRECOS'!B:C,2,0)</f>
        <v>20.38832</v>
      </c>
    </row>
    <row r="469" spans="1:13" ht="15.75" customHeight="1" x14ac:dyDescent="0.25">
      <c r="A469" s="65">
        <v>27</v>
      </c>
      <c r="B469" s="84" t="s">
        <v>576</v>
      </c>
      <c r="C469" s="73">
        <v>1</v>
      </c>
      <c r="D469" s="85" t="s">
        <v>577</v>
      </c>
      <c r="E469" s="86" t="s">
        <v>131</v>
      </c>
      <c r="F469" s="85">
        <v>81897719002</v>
      </c>
      <c r="G469" s="71">
        <f t="shared" si="45"/>
        <v>33.339040000000004</v>
      </c>
      <c r="H469" s="71">
        <f t="shared" si="46"/>
        <v>33.339040000000004</v>
      </c>
      <c r="I469" s="71">
        <f t="shared" si="47"/>
        <v>33.339040000000004</v>
      </c>
      <c r="J469" s="71">
        <f t="shared" si="48"/>
        <v>33.339040000000004</v>
      </c>
      <c r="K469" s="72">
        <v>0</v>
      </c>
      <c r="M469" s="58">
        <f>VLOOKUP(D469,'TABELA DE PRECOS'!B:C,2,0)</f>
        <v>33.339040000000004</v>
      </c>
    </row>
    <row r="470" spans="1:13" ht="15.75" customHeight="1" x14ac:dyDescent="0.25">
      <c r="A470" s="65">
        <v>28</v>
      </c>
      <c r="B470" s="84" t="s">
        <v>665</v>
      </c>
      <c r="C470" s="73">
        <v>1</v>
      </c>
      <c r="D470" s="85" t="s">
        <v>666</v>
      </c>
      <c r="E470" s="86" t="s">
        <v>131</v>
      </c>
      <c r="F470" s="85">
        <v>81897719002</v>
      </c>
      <c r="G470" s="71">
        <f t="shared" si="45"/>
        <v>29.64752</v>
      </c>
      <c r="H470" s="71">
        <f t="shared" si="46"/>
        <v>29.64752</v>
      </c>
      <c r="I470" s="71">
        <f t="shared" si="47"/>
        <v>29.64752</v>
      </c>
      <c r="J470" s="71">
        <f t="shared" si="48"/>
        <v>29.64752</v>
      </c>
      <c r="K470" s="72">
        <v>0</v>
      </c>
      <c r="M470" s="58">
        <f>VLOOKUP(D470,'TABELA DE PRECOS'!B:C,2,0)</f>
        <v>29.64752</v>
      </c>
    </row>
    <row r="471" spans="1:13" ht="15.75" customHeight="1" x14ac:dyDescent="0.25">
      <c r="A471" s="65">
        <v>29</v>
      </c>
      <c r="B471" s="84" t="s">
        <v>667</v>
      </c>
      <c r="C471" s="73">
        <v>1</v>
      </c>
      <c r="D471" s="85" t="s">
        <v>668</v>
      </c>
      <c r="E471" s="86" t="s">
        <v>131</v>
      </c>
      <c r="F471" s="85">
        <v>81897719002</v>
      </c>
      <c r="G471" s="71">
        <f t="shared" si="45"/>
        <v>33.339040000000004</v>
      </c>
      <c r="H471" s="71">
        <f t="shared" si="46"/>
        <v>33.339040000000004</v>
      </c>
      <c r="I471" s="71">
        <f t="shared" si="47"/>
        <v>33.339040000000004</v>
      </c>
      <c r="J471" s="71">
        <f t="shared" si="48"/>
        <v>33.339040000000004</v>
      </c>
      <c r="K471" s="72">
        <v>0</v>
      </c>
      <c r="M471" s="58">
        <f>VLOOKUP(D471,'TABELA DE PRECOS'!B:C,2,0)</f>
        <v>33.339040000000004</v>
      </c>
    </row>
    <row r="472" spans="1:13" ht="15.75" customHeight="1" x14ac:dyDescent="0.25">
      <c r="A472" s="65">
        <v>30</v>
      </c>
      <c r="B472" s="84" t="s">
        <v>669</v>
      </c>
      <c r="C472" s="73">
        <v>1</v>
      </c>
      <c r="D472" s="85" t="s">
        <v>670</v>
      </c>
      <c r="E472" s="86" t="s">
        <v>131</v>
      </c>
      <c r="F472" s="85">
        <v>81897719002</v>
      </c>
      <c r="G472" s="71">
        <f t="shared" si="45"/>
        <v>29.64752</v>
      </c>
      <c r="H472" s="71">
        <f t="shared" si="46"/>
        <v>29.64752</v>
      </c>
      <c r="I472" s="71">
        <f t="shared" si="47"/>
        <v>29.64752</v>
      </c>
      <c r="J472" s="71">
        <f t="shared" si="48"/>
        <v>29.64752</v>
      </c>
      <c r="K472" s="72">
        <v>0</v>
      </c>
      <c r="M472" s="58">
        <f>VLOOKUP(D472,'TABELA DE PRECOS'!B:C,2,0)</f>
        <v>29.64752</v>
      </c>
    </row>
    <row r="473" spans="1:13" ht="15.75" customHeight="1" x14ac:dyDescent="0.25">
      <c r="A473" s="65">
        <v>31</v>
      </c>
      <c r="B473" s="84" t="s">
        <v>576</v>
      </c>
      <c r="C473" s="73">
        <v>1</v>
      </c>
      <c r="D473" s="85" t="s">
        <v>577</v>
      </c>
      <c r="E473" s="86" t="s">
        <v>131</v>
      </c>
      <c r="F473" s="85">
        <v>81897719002</v>
      </c>
      <c r="G473" s="71">
        <f t="shared" si="45"/>
        <v>33.339040000000004</v>
      </c>
      <c r="H473" s="71">
        <f t="shared" si="46"/>
        <v>33.339040000000004</v>
      </c>
      <c r="I473" s="71">
        <f t="shared" si="47"/>
        <v>33.339040000000004</v>
      </c>
      <c r="J473" s="71">
        <f t="shared" si="48"/>
        <v>33.339040000000004</v>
      </c>
      <c r="K473" s="72">
        <v>0</v>
      </c>
      <c r="M473" s="58">
        <f>VLOOKUP(D473,'TABELA DE PRECOS'!B:C,2,0)</f>
        <v>33.339040000000004</v>
      </c>
    </row>
    <row r="474" spans="1:13" ht="15.75" customHeight="1" x14ac:dyDescent="0.25">
      <c r="A474" s="65">
        <v>32</v>
      </c>
      <c r="B474" s="84" t="s">
        <v>671</v>
      </c>
      <c r="C474" s="73">
        <v>2</v>
      </c>
      <c r="D474" s="85" t="s">
        <v>672</v>
      </c>
      <c r="E474" s="86" t="s">
        <v>131</v>
      </c>
      <c r="F474" s="85">
        <v>81897719002</v>
      </c>
      <c r="G474" s="71">
        <f t="shared" si="45"/>
        <v>25.9148</v>
      </c>
      <c r="H474" s="71">
        <f t="shared" si="46"/>
        <v>51.829599999999999</v>
      </c>
      <c r="I474" s="71">
        <f t="shared" si="47"/>
        <v>25.9148</v>
      </c>
      <c r="J474" s="71">
        <f t="shared" si="48"/>
        <v>51.829599999999999</v>
      </c>
      <c r="K474" s="72">
        <v>0</v>
      </c>
      <c r="M474" s="58">
        <f>VLOOKUP(D474,'TABELA DE PRECOS'!B:C,2,0)</f>
        <v>25.9148</v>
      </c>
    </row>
    <row r="475" spans="1:13" ht="15.75" customHeight="1" x14ac:dyDescent="0.25">
      <c r="A475" s="65">
        <v>33</v>
      </c>
      <c r="B475" s="84" t="s">
        <v>637</v>
      </c>
      <c r="C475" s="73">
        <v>2</v>
      </c>
      <c r="D475" s="85" t="s">
        <v>638</v>
      </c>
      <c r="E475" s="86" t="s">
        <v>131</v>
      </c>
      <c r="F475" s="85">
        <v>81897719002</v>
      </c>
      <c r="G475" s="71">
        <f t="shared" si="45"/>
        <v>11.11576</v>
      </c>
      <c r="H475" s="71">
        <f t="shared" si="46"/>
        <v>22.23152</v>
      </c>
      <c r="I475" s="71">
        <f t="shared" si="47"/>
        <v>11.11576</v>
      </c>
      <c r="J475" s="71">
        <f t="shared" si="48"/>
        <v>22.23152</v>
      </c>
      <c r="K475" s="72">
        <v>0</v>
      </c>
      <c r="M475" s="58">
        <f>VLOOKUP(D475,'TABELA DE PRECOS'!B:C,2,0)</f>
        <v>11.11576</v>
      </c>
    </row>
    <row r="476" spans="1:13" ht="14.25" customHeight="1" x14ac:dyDescent="0.25">
      <c r="A476" s="65">
        <v>34</v>
      </c>
      <c r="B476" s="84" t="s">
        <v>673</v>
      </c>
      <c r="C476" s="73">
        <v>4</v>
      </c>
      <c r="D476" s="85" t="s">
        <v>674</v>
      </c>
      <c r="E476" s="86" t="s">
        <v>131</v>
      </c>
      <c r="F476" s="85">
        <v>81897710012</v>
      </c>
      <c r="G476" s="71">
        <f t="shared" si="45"/>
        <v>1093.69488</v>
      </c>
      <c r="H476" s="71">
        <f t="shared" si="46"/>
        <v>4374.77952</v>
      </c>
      <c r="I476" s="71">
        <f t="shared" si="47"/>
        <v>1093.69488</v>
      </c>
      <c r="J476" s="71">
        <f t="shared" si="48"/>
        <v>4374.77952</v>
      </c>
      <c r="K476" s="72">
        <v>0</v>
      </c>
      <c r="M476" s="58">
        <v>1093.69488</v>
      </c>
    </row>
    <row r="477" spans="1:13" ht="15.75" customHeight="1" x14ac:dyDescent="0.25">
      <c r="A477" s="65">
        <v>35</v>
      </c>
      <c r="B477" s="84" t="s">
        <v>675</v>
      </c>
      <c r="C477" s="73">
        <v>3</v>
      </c>
      <c r="D477" s="85" t="s">
        <v>676</v>
      </c>
      <c r="E477" s="86" t="s">
        <v>131</v>
      </c>
      <c r="F477" s="85">
        <v>81897710012</v>
      </c>
      <c r="G477" s="71">
        <f t="shared" si="45"/>
        <v>17.78192</v>
      </c>
      <c r="H477" s="71">
        <f t="shared" si="46"/>
        <v>53.345759999999999</v>
      </c>
      <c r="I477" s="71">
        <f t="shared" si="47"/>
        <v>17.78192</v>
      </c>
      <c r="J477" s="71">
        <f t="shared" si="48"/>
        <v>53.345759999999999</v>
      </c>
      <c r="K477" s="72">
        <v>0</v>
      </c>
      <c r="M477" s="58">
        <f>VLOOKUP(D477,'TABELA DE PRECOS'!B:C,2,0)</f>
        <v>17.78192</v>
      </c>
    </row>
    <row r="478" spans="1:13" ht="15.75" customHeight="1" x14ac:dyDescent="0.25">
      <c r="A478" s="65">
        <v>36</v>
      </c>
      <c r="B478" s="84" t="s">
        <v>677</v>
      </c>
      <c r="C478" s="73">
        <v>1</v>
      </c>
      <c r="D478" s="85" t="s">
        <v>678</v>
      </c>
      <c r="E478" s="86" t="s">
        <v>131</v>
      </c>
      <c r="F478" s="85">
        <v>81897719002</v>
      </c>
      <c r="G478" s="71">
        <f t="shared" si="45"/>
        <v>16.315200000000001</v>
      </c>
      <c r="H478" s="71">
        <f t="shared" si="46"/>
        <v>16.315200000000001</v>
      </c>
      <c r="I478" s="71">
        <f t="shared" si="47"/>
        <v>16.315200000000001</v>
      </c>
      <c r="J478" s="71">
        <f t="shared" si="48"/>
        <v>16.315200000000001</v>
      </c>
      <c r="K478" s="72">
        <v>0</v>
      </c>
      <c r="M478" s="58">
        <f>VLOOKUP(D478,'TABELA DE PRECOS'!B:C,2,0)</f>
        <v>16.315200000000001</v>
      </c>
    </row>
    <row r="479" spans="1:13" ht="15.75" customHeight="1" x14ac:dyDescent="0.25">
      <c r="A479" s="65">
        <v>37</v>
      </c>
      <c r="B479" s="84" t="s">
        <v>397</v>
      </c>
      <c r="C479" s="73">
        <v>2</v>
      </c>
      <c r="D479" s="85" t="s">
        <v>398</v>
      </c>
      <c r="E479" s="86" t="s">
        <v>131</v>
      </c>
      <c r="F479" s="85">
        <v>81897719002</v>
      </c>
      <c r="G479" s="71">
        <f t="shared" si="45"/>
        <v>9.19</v>
      </c>
      <c r="H479" s="71">
        <f t="shared" si="46"/>
        <v>18.38</v>
      </c>
      <c r="I479" s="71">
        <f t="shared" si="47"/>
        <v>9.19</v>
      </c>
      <c r="J479" s="71">
        <f t="shared" si="48"/>
        <v>18.38</v>
      </c>
      <c r="K479" s="72">
        <v>0</v>
      </c>
      <c r="M479" s="58">
        <f>VLOOKUP(D479,'TABELA DE PRECOS'!B:C,2,0)</f>
        <v>9.19</v>
      </c>
    </row>
    <row r="480" spans="1:13" ht="15.75" customHeight="1" x14ac:dyDescent="0.25">
      <c r="A480" s="65">
        <v>38</v>
      </c>
      <c r="B480" s="84" t="s">
        <v>399</v>
      </c>
      <c r="C480" s="73">
        <v>2</v>
      </c>
      <c r="D480" s="85" t="s">
        <v>400</v>
      </c>
      <c r="E480" s="86" t="s">
        <v>131</v>
      </c>
      <c r="F480" s="85">
        <v>81897719002</v>
      </c>
      <c r="G480" s="71">
        <f t="shared" si="45"/>
        <v>8.85</v>
      </c>
      <c r="H480" s="71">
        <f t="shared" si="46"/>
        <v>17.7</v>
      </c>
      <c r="I480" s="71">
        <f t="shared" si="47"/>
        <v>8.85</v>
      </c>
      <c r="J480" s="71">
        <f t="shared" si="48"/>
        <v>17.7</v>
      </c>
      <c r="K480" s="72">
        <v>0</v>
      </c>
      <c r="M480" s="58">
        <f>VLOOKUP(D480,'TABELA DE PRECOS'!B:C,2,0)</f>
        <v>8.85</v>
      </c>
    </row>
    <row r="481" spans="1:13" ht="15.75" customHeight="1" x14ac:dyDescent="0.25">
      <c r="A481" s="65">
        <v>39</v>
      </c>
      <c r="B481" s="84" t="s">
        <v>679</v>
      </c>
      <c r="C481" s="73">
        <v>2</v>
      </c>
      <c r="D481" s="85" t="s">
        <v>680</v>
      </c>
      <c r="E481" s="86" t="s">
        <v>131</v>
      </c>
      <c r="F481" s="85">
        <v>81897719002</v>
      </c>
      <c r="G481" s="71">
        <f t="shared" si="45"/>
        <v>10.19</v>
      </c>
      <c r="H481" s="71">
        <f t="shared" si="46"/>
        <v>20.38</v>
      </c>
      <c r="I481" s="71">
        <f t="shared" si="47"/>
        <v>10.19</v>
      </c>
      <c r="J481" s="71">
        <f t="shared" si="48"/>
        <v>20.38</v>
      </c>
      <c r="K481" s="72">
        <v>0</v>
      </c>
      <c r="M481" s="58">
        <f>VLOOKUP(D481,'TABELA DE PRECOS'!B:C,2,0)</f>
        <v>10.19</v>
      </c>
    </row>
    <row r="482" spans="1:13" ht="15.75" customHeight="1" x14ac:dyDescent="0.25">
      <c r="A482" s="65">
        <v>40</v>
      </c>
      <c r="B482" s="84" t="s">
        <v>455</v>
      </c>
      <c r="C482" s="73">
        <v>2</v>
      </c>
      <c r="D482" s="85" t="s">
        <v>456</v>
      </c>
      <c r="E482" s="86" t="s">
        <v>131</v>
      </c>
      <c r="F482" s="85">
        <v>81897719002</v>
      </c>
      <c r="G482" s="71">
        <f t="shared" si="45"/>
        <v>8.3699999999999992</v>
      </c>
      <c r="H482" s="71">
        <f t="shared" si="46"/>
        <v>16.739999999999998</v>
      </c>
      <c r="I482" s="71">
        <f t="shared" si="47"/>
        <v>8.3699999999999992</v>
      </c>
      <c r="J482" s="71">
        <f t="shared" si="48"/>
        <v>16.739999999999998</v>
      </c>
      <c r="K482" s="72">
        <v>0</v>
      </c>
      <c r="M482" s="58">
        <f>VLOOKUP(D482,'TABELA DE PRECOS'!B:C,2,0)</f>
        <v>8.3699999999999992</v>
      </c>
    </row>
    <row r="483" spans="1:13" ht="15.75" customHeight="1" x14ac:dyDescent="0.25">
      <c r="A483" s="65">
        <v>41</v>
      </c>
      <c r="B483" s="84" t="s">
        <v>681</v>
      </c>
      <c r="C483" s="73">
        <v>2</v>
      </c>
      <c r="D483" s="85" t="s">
        <v>682</v>
      </c>
      <c r="E483" s="86" t="s">
        <v>131</v>
      </c>
      <c r="F483" s="85">
        <v>81897719002</v>
      </c>
      <c r="G483" s="71">
        <f t="shared" si="45"/>
        <v>74.102320000000006</v>
      </c>
      <c r="H483" s="71">
        <f t="shared" si="46"/>
        <v>148.20464000000001</v>
      </c>
      <c r="I483" s="71">
        <f t="shared" si="47"/>
        <v>74.102320000000006</v>
      </c>
      <c r="J483" s="71">
        <f t="shared" si="48"/>
        <v>148.20464000000001</v>
      </c>
      <c r="K483" s="72">
        <v>0</v>
      </c>
      <c r="M483" s="58">
        <f>VLOOKUP(D483,'TABELA DE PRECOS'!B:C,2,0)</f>
        <v>74.102320000000006</v>
      </c>
    </row>
    <row r="484" spans="1:13" ht="15" customHeight="1" x14ac:dyDescent="0.25">
      <c r="A484" s="65">
        <v>42</v>
      </c>
      <c r="B484" s="84" t="s">
        <v>183</v>
      </c>
      <c r="C484" s="73">
        <v>1</v>
      </c>
      <c r="D484" s="85" t="s">
        <v>184</v>
      </c>
      <c r="E484" s="86" t="s">
        <v>131</v>
      </c>
      <c r="F484" s="85">
        <v>81897719002</v>
      </c>
      <c r="G484" s="71">
        <f t="shared" si="45"/>
        <v>40.79</v>
      </c>
      <c r="H484" s="71">
        <f t="shared" si="46"/>
        <v>40.79</v>
      </c>
      <c r="I484" s="71">
        <f t="shared" si="47"/>
        <v>40.79</v>
      </c>
      <c r="J484" s="71">
        <f t="shared" si="48"/>
        <v>40.79</v>
      </c>
      <c r="K484" s="72">
        <v>0</v>
      </c>
      <c r="M484" s="58">
        <f>VLOOKUP(D484,'TABELA DE PRECOS'!B:C,2,0)</f>
        <v>40.79</v>
      </c>
    </row>
    <row r="485" spans="1:13" ht="15" customHeight="1" x14ac:dyDescent="0.25">
      <c r="A485" s="65">
        <v>43</v>
      </c>
      <c r="B485" s="84" t="s">
        <v>596</v>
      </c>
      <c r="C485" s="73">
        <v>1</v>
      </c>
      <c r="D485" s="85" t="s">
        <v>597</v>
      </c>
      <c r="E485" s="86" t="s">
        <v>131</v>
      </c>
      <c r="F485" s="85">
        <v>81897719002</v>
      </c>
      <c r="G485" s="71">
        <f t="shared" si="45"/>
        <v>296.35984000000002</v>
      </c>
      <c r="H485" s="71">
        <f t="shared" si="46"/>
        <v>296.35984000000002</v>
      </c>
      <c r="I485" s="71">
        <f t="shared" si="47"/>
        <v>296.35984000000002</v>
      </c>
      <c r="J485" s="71">
        <f t="shared" si="48"/>
        <v>296.35984000000002</v>
      </c>
      <c r="K485" s="72">
        <v>0</v>
      </c>
      <c r="M485" s="58">
        <f>VLOOKUP(D485,'TABELA DE PRECOS'!B:C,2,0)</f>
        <v>296.35984000000002</v>
      </c>
    </row>
    <row r="486" spans="1:13" ht="15" customHeight="1" x14ac:dyDescent="0.25">
      <c r="A486" s="65">
        <v>44</v>
      </c>
      <c r="B486" s="84" t="s">
        <v>598</v>
      </c>
      <c r="C486" s="73">
        <v>2</v>
      </c>
      <c r="D486" s="85" t="s">
        <v>599</v>
      </c>
      <c r="E486" s="86" t="s">
        <v>131</v>
      </c>
      <c r="F486" s="85">
        <v>81897719002</v>
      </c>
      <c r="G486" s="71">
        <f t="shared" si="45"/>
        <v>296.35984000000002</v>
      </c>
      <c r="H486" s="71">
        <f t="shared" si="46"/>
        <v>592.71968000000004</v>
      </c>
      <c r="I486" s="71">
        <f t="shared" si="47"/>
        <v>296.35984000000002</v>
      </c>
      <c r="J486" s="71">
        <f t="shared" si="48"/>
        <v>592.71968000000004</v>
      </c>
      <c r="K486" s="72">
        <v>0</v>
      </c>
      <c r="M486" s="58">
        <f>VLOOKUP(D486,'TABELA DE PRECOS'!B:C,2,0)</f>
        <v>296.35984000000002</v>
      </c>
    </row>
    <row r="487" spans="1:13" ht="15" customHeight="1" x14ac:dyDescent="0.25">
      <c r="A487" s="65">
        <v>45</v>
      </c>
      <c r="B487" s="84" t="s">
        <v>185</v>
      </c>
      <c r="C487" s="73">
        <v>6</v>
      </c>
      <c r="D487" s="85" t="s">
        <v>186</v>
      </c>
      <c r="E487" s="86" t="s">
        <v>131</v>
      </c>
      <c r="F487" s="85">
        <v>81897719002</v>
      </c>
      <c r="G487" s="71">
        <f t="shared" si="45"/>
        <v>17.28</v>
      </c>
      <c r="H487" s="71">
        <f t="shared" si="46"/>
        <v>103.68</v>
      </c>
      <c r="I487" s="71">
        <f t="shared" si="47"/>
        <v>17.28</v>
      </c>
      <c r="J487" s="71">
        <f t="shared" si="48"/>
        <v>103.68</v>
      </c>
      <c r="K487" s="72">
        <v>0</v>
      </c>
      <c r="M487" s="58">
        <f>VLOOKUP(D487,'TABELA DE PRECOS'!B:C,2,0)</f>
        <v>17.28</v>
      </c>
    </row>
    <row r="488" spans="1:13" ht="15" customHeight="1" x14ac:dyDescent="0.25">
      <c r="A488" s="65">
        <v>46</v>
      </c>
      <c r="B488" s="98" t="s">
        <v>683</v>
      </c>
      <c r="C488" s="73">
        <v>1</v>
      </c>
      <c r="D488" s="85" t="s">
        <v>684</v>
      </c>
      <c r="E488" s="86" t="s">
        <v>131</v>
      </c>
      <c r="F488" s="85">
        <v>81897710021</v>
      </c>
      <c r="G488" s="71">
        <f t="shared" si="45"/>
        <v>15.54064</v>
      </c>
      <c r="H488" s="71">
        <f t="shared" si="46"/>
        <v>15.54064</v>
      </c>
      <c r="I488" s="71">
        <f t="shared" si="47"/>
        <v>15.54064</v>
      </c>
      <c r="J488" s="71">
        <f t="shared" si="48"/>
        <v>15.54064</v>
      </c>
      <c r="K488" s="72">
        <v>0</v>
      </c>
      <c r="M488" s="58">
        <f>VLOOKUP(D488,'TABELA DE PRECOS'!B:C,2,0)</f>
        <v>15.54064</v>
      </c>
    </row>
    <row r="489" spans="1:13" ht="15" customHeight="1" x14ac:dyDescent="0.25">
      <c r="A489" s="65">
        <v>47</v>
      </c>
      <c r="B489" s="98" t="s">
        <v>685</v>
      </c>
      <c r="C489" s="73">
        <v>1</v>
      </c>
      <c r="D489" s="85" t="s">
        <v>686</v>
      </c>
      <c r="E489" s="86" t="s">
        <v>131</v>
      </c>
      <c r="F489" s="85">
        <v>81897710021</v>
      </c>
      <c r="G489" s="71">
        <f t="shared" si="45"/>
        <v>16.8096</v>
      </c>
      <c r="H489" s="71">
        <f t="shared" si="46"/>
        <v>16.8096</v>
      </c>
      <c r="I489" s="71">
        <f t="shared" si="47"/>
        <v>16.8096</v>
      </c>
      <c r="J489" s="71">
        <f t="shared" si="48"/>
        <v>16.8096</v>
      </c>
      <c r="K489" s="72">
        <v>0</v>
      </c>
      <c r="M489" s="58">
        <f>VLOOKUP(D489,'TABELA DE PRECOS'!B:C,2,0)</f>
        <v>16.8096</v>
      </c>
    </row>
    <row r="490" spans="1:13" ht="15" customHeight="1" x14ac:dyDescent="0.25">
      <c r="A490" s="65">
        <v>48</v>
      </c>
      <c r="B490" s="84" t="s">
        <v>254</v>
      </c>
      <c r="C490" s="73">
        <v>5</v>
      </c>
      <c r="D490" s="85" t="s">
        <v>255</v>
      </c>
      <c r="E490" s="86" t="s">
        <v>131</v>
      </c>
      <c r="F490" s="85">
        <v>81897719002</v>
      </c>
      <c r="G490" s="71">
        <f t="shared" si="45"/>
        <v>16.68</v>
      </c>
      <c r="H490" s="71">
        <f t="shared" si="46"/>
        <v>83.4</v>
      </c>
      <c r="I490" s="71">
        <f t="shared" si="47"/>
        <v>16.68</v>
      </c>
      <c r="J490" s="71">
        <f t="shared" si="48"/>
        <v>83.4</v>
      </c>
      <c r="K490" s="72">
        <v>0</v>
      </c>
      <c r="M490" s="58">
        <f>VLOOKUP(D490,'TABELA DE PRECOS'!B:C,2,0)</f>
        <v>16.68</v>
      </c>
    </row>
    <row r="491" spans="1:13" ht="15" customHeight="1" x14ac:dyDescent="0.25">
      <c r="A491" s="65">
        <v>49</v>
      </c>
      <c r="B491" s="84" t="s">
        <v>342</v>
      </c>
      <c r="C491" s="73">
        <v>5</v>
      </c>
      <c r="D491" s="85" t="s">
        <v>343</v>
      </c>
      <c r="E491" s="86" t="s">
        <v>131</v>
      </c>
      <c r="F491" s="85">
        <v>81897719002</v>
      </c>
      <c r="G491" s="71">
        <f t="shared" si="45"/>
        <v>21.43</v>
      </c>
      <c r="H491" s="71">
        <f t="shared" si="46"/>
        <v>107.15</v>
      </c>
      <c r="I491" s="71">
        <f t="shared" si="47"/>
        <v>21.43</v>
      </c>
      <c r="J491" s="71">
        <f t="shared" si="48"/>
        <v>107.15</v>
      </c>
      <c r="K491" s="72">
        <v>0</v>
      </c>
      <c r="M491" s="58">
        <f>VLOOKUP(D491,'TABELA DE PRECOS'!B:C,2,0)</f>
        <v>21.43</v>
      </c>
    </row>
    <row r="492" spans="1:13" ht="15" customHeight="1" x14ac:dyDescent="0.25">
      <c r="A492" s="65">
        <v>50</v>
      </c>
      <c r="B492" s="84" t="s">
        <v>189</v>
      </c>
      <c r="C492" s="73">
        <v>5</v>
      </c>
      <c r="D492" s="85" t="s">
        <v>190</v>
      </c>
      <c r="E492" s="86" t="s">
        <v>131</v>
      </c>
      <c r="F492" s="85">
        <v>81897719002</v>
      </c>
      <c r="G492" s="71">
        <f t="shared" si="45"/>
        <v>16.71</v>
      </c>
      <c r="H492" s="71">
        <f t="shared" si="46"/>
        <v>83.550000000000011</v>
      </c>
      <c r="I492" s="71">
        <f t="shared" si="47"/>
        <v>16.71</v>
      </c>
      <c r="J492" s="71">
        <f t="shared" si="48"/>
        <v>83.550000000000011</v>
      </c>
      <c r="K492" s="72">
        <v>0</v>
      </c>
      <c r="M492" s="58">
        <f>VLOOKUP(D492,'TABELA DE PRECOS'!B:C,2,0)</f>
        <v>16.71</v>
      </c>
    </row>
    <row r="493" spans="1:13" ht="15" customHeight="1" x14ac:dyDescent="0.25">
      <c r="A493" s="65">
        <v>51</v>
      </c>
      <c r="B493" s="84" t="s">
        <v>344</v>
      </c>
      <c r="C493" s="73">
        <v>5</v>
      </c>
      <c r="D493" s="85" t="s">
        <v>345</v>
      </c>
      <c r="E493" s="86" t="s">
        <v>131</v>
      </c>
      <c r="F493" s="85">
        <v>81897719002</v>
      </c>
      <c r="G493" s="71">
        <f t="shared" si="45"/>
        <v>18.12</v>
      </c>
      <c r="H493" s="71">
        <f t="shared" si="46"/>
        <v>90.600000000000009</v>
      </c>
      <c r="I493" s="71">
        <f t="shared" si="47"/>
        <v>18.12</v>
      </c>
      <c r="J493" s="71">
        <f t="shared" si="48"/>
        <v>90.600000000000009</v>
      </c>
      <c r="K493" s="72">
        <v>0</v>
      </c>
      <c r="M493" s="58">
        <f>VLOOKUP(D493,'TABELA DE PRECOS'!B:C,2,0)</f>
        <v>18.12</v>
      </c>
    </row>
    <row r="494" spans="1:13" ht="15" customHeight="1" x14ac:dyDescent="0.25">
      <c r="A494" s="65">
        <v>52</v>
      </c>
      <c r="B494" s="84" t="s">
        <v>612</v>
      </c>
      <c r="C494" s="73">
        <v>1</v>
      </c>
      <c r="D494" s="85" t="s">
        <v>613</v>
      </c>
      <c r="E494" s="86" t="s">
        <v>131</v>
      </c>
      <c r="F494" s="85">
        <v>81897710011</v>
      </c>
      <c r="G494" s="71">
        <f t="shared" si="45"/>
        <v>296.35984000000002</v>
      </c>
      <c r="H494" s="71">
        <f t="shared" si="46"/>
        <v>296.35984000000002</v>
      </c>
      <c r="I494" s="71">
        <f t="shared" si="47"/>
        <v>296.35984000000002</v>
      </c>
      <c r="J494" s="71">
        <f t="shared" si="48"/>
        <v>296.35984000000002</v>
      </c>
      <c r="K494" s="72">
        <v>0</v>
      </c>
      <c r="M494" s="58">
        <f>VLOOKUP(D494,'TABELA DE PRECOS'!B:C,2,0)</f>
        <v>296.35984000000002</v>
      </c>
    </row>
    <row r="495" spans="1:13" ht="15" customHeight="1" x14ac:dyDescent="0.25">
      <c r="A495" s="65">
        <v>53</v>
      </c>
      <c r="B495" s="84" t="s">
        <v>614</v>
      </c>
      <c r="C495" s="73">
        <v>1</v>
      </c>
      <c r="D495" s="85" t="s">
        <v>615</v>
      </c>
      <c r="E495" s="86" t="s">
        <v>131</v>
      </c>
      <c r="F495" s="85">
        <v>81897710011</v>
      </c>
      <c r="G495" s="71">
        <f t="shared" si="45"/>
        <v>296.35984000000002</v>
      </c>
      <c r="H495" s="71">
        <f t="shared" si="46"/>
        <v>296.35984000000002</v>
      </c>
      <c r="I495" s="71">
        <f t="shared" si="47"/>
        <v>296.35984000000002</v>
      </c>
      <c r="J495" s="71">
        <f t="shared" si="48"/>
        <v>296.35984000000002</v>
      </c>
      <c r="K495" s="72">
        <v>0</v>
      </c>
      <c r="M495" s="58">
        <f>VLOOKUP(D495,'TABELA DE PRECOS'!B:C,2,0)</f>
        <v>296.35984000000002</v>
      </c>
    </row>
    <row r="496" spans="1:13" ht="13.5" customHeight="1" x14ac:dyDescent="0.25">
      <c r="A496" s="65">
        <v>54</v>
      </c>
      <c r="B496" s="84" t="s">
        <v>687</v>
      </c>
      <c r="C496" s="73">
        <v>20</v>
      </c>
      <c r="D496" s="85" t="s">
        <v>688</v>
      </c>
      <c r="E496" s="86" t="s">
        <v>131</v>
      </c>
      <c r="F496" s="85">
        <v>81897719002</v>
      </c>
      <c r="G496" s="71">
        <f t="shared" si="45"/>
        <v>20.75656</v>
      </c>
      <c r="H496" s="71">
        <f t="shared" si="46"/>
        <v>415.13120000000004</v>
      </c>
      <c r="I496" s="71">
        <f t="shared" si="47"/>
        <v>20.75656</v>
      </c>
      <c r="J496" s="71">
        <f t="shared" si="48"/>
        <v>415.13120000000004</v>
      </c>
      <c r="K496" s="72">
        <v>0</v>
      </c>
      <c r="M496" s="58">
        <f>VLOOKUP(D496,'TABELA DE PRECOS'!B:C,2,0)</f>
        <v>20.75656</v>
      </c>
    </row>
    <row r="497" spans="1:13" ht="13.5" customHeight="1" x14ac:dyDescent="0.25">
      <c r="A497" s="65">
        <v>55</v>
      </c>
      <c r="B497" t="s">
        <v>1631</v>
      </c>
      <c r="C497" s="82">
        <v>1</v>
      </c>
      <c r="D497" s="76" t="s">
        <v>689</v>
      </c>
      <c r="E497" s="86" t="s">
        <v>131</v>
      </c>
      <c r="F497" s="85">
        <v>81897710011</v>
      </c>
      <c r="G497" s="71">
        <f t="shared" si="45"/>
        <v>296.35984000000002</v>
      </c>
      <c r="H497" s="71">
        <f t="shared" si="46"/>
        <v>296.35984000000002</v>
      </c>
      <c r="I497" s="71">
        <f t="shared" si="47"/>
        <v>296.35984000000002</v>
      </c>
      <c r="J497" s="71">
        <f t="shared" si="48"/>
        <v>296.35984000000002</v>
      </c>
      <c r="K497" s="72">
        <v>0</v>
      </c>
      <c r="M497" s="58">
        <f>VLOOKUP(D497,'TABELA DE PRECOS'!B:C,2,0)</f>
        <v>296.35984000000002</v>
      </c>
    </row>
    <row r="498" spans="1:13" ht="13.5" customHeight="1" x14ac:dyDescent="0.25">
      <c r="A498" s="65">
        <v>56</v>
      </c>
      <c r="B498" s="84" t="s">
        <v>690</v>
      </c>
      <c r="C498" s="73">
        <v>1</v>
      </c>
      <c r="D498" s="85" t="s">
        <v>691</v>
      </c>
      <c r="E498" s="86" t="s">
        <v>131</v>
      </c>
      <c r="F498" s="85">
        <v>81897719002</v>
      </c>
      <c r="G498" s="71">
        <f t="shared" si="45"/>
        <v>9.6490400000000012</v>
      </c>
      <c r="H498" s="71">
        <f t="shared" si="46"/>
        <v>9.6490400000000012</v>
      </c>
      <c r="I498" s="71">
        <f t="shared" si="47"/>
        <v>9.6490400000000012</v>
      </c>
      <c r="J498" s="71">
        <f t="shared" si="48"/>
        <v>9.6490400000000012</v>
      </c>
      <c r="K498" s="72">
        <v>0</v>
      </c>
      <c r="M498" s="58">
        <f>VLOOKUP(D498,'TABELA DE PRECOS'!B:C,2,0)</f>
        <v>9.6490400000000012</v>
      </c>
    </row>
    <row r="499" spans="1:13" ht="13.5" customHeight="1" x14ac:dyDescent="0.25">
      <c r="A499" s="65">
        <v>57</v>
      </c>
      <c r="B499" s="99" t="s">
        <v>692</v>
      </c>
      <c r="C499" s="73">
        <v>1</v>
      </c>
      <c r="D499" s="85" t="s">
        <v>693</v>
      </c>
      <c r="E499" s="86" t="s">
        <v>131</v>
      </c>
      <c r="F499" s="85">
        <v>81897710023</v>
      </c>
      <c r="G499" s="71">
        <f t="shared" si="45"/>
        <v>10.35768</v>
      </c>
      <c r="H499" s="71">
        <f t="shared" si="46"/>
        <v>10.35768</v>
      </c>
      <c r="I499" s="71">
        <f t="shared" si="47"/>
        <v>10.35768</v>
      </c>
      <c r="J499" s="71">
        <f t="shared" si="48"/>
        <v>10.35768</v>
      </c>
      <c r="K499" s="72">
        <v>0</v>
      </c>
      <c r="M499" s="58">
        <f>VLOOKUP(D499,'TABELA DE PRECOS'!B:C,2,0)</f>
        <v>10.35768</v>
      </c>
    </row>
    <row r="500" spans="1:13" ht="13.5" customHeight="1" x14ac:dyDescent="0.25">
      <c r="A500" s="65">
        <v>58</v>
      </c>
      <c r="B500" s="84" t="s">
        <v>195</v>
      </c>
      <c r="C500" s="73">
        <v>2</v>
      </c>
      <c r="D500" s="85" t="s">
        <v>196</v>
      </c>
      <c r="E500" s="86" t="s">
        <v>131</v>
      </c>
      <c r="F500" s="85">
        <v>81897719002</v>
      </c>
      <c r="G500" s="71">
        <f t="shared" si="45"/>
        <v>9.0399999999999991</v>
      </c>
      <c r="H500" s="71">
        <f t="shared" si="46"/>
        <v>18.079999999999998</v>
      </c>
      <c r="I500" s="71">
        <f t="shared" si="47"/>
        <v>9.0399999999999991</v>
      </c>
      <c r="J500" s="71">
        <f t="shared" si="48"/>
        <v>18.079999999999998</v>
      </c>
      <c r="K500" s="72">
        <v>0</v>
      </c>
      <c r="M500" s="58">
        <f>VLOOKUP(D500,'TABELA DE PRECOS'!B:C,2,0)</f>
        <v>9.0399999999999991</v>
      </c>
    </row>
    <row r="501" spans="1:13" ht="13.5" customHeight="1" x14ac:dyDescent="0.25">
      <c r="A501" s="65">
        <v>59</v>
      </c>
      <c r="B501" s="84" t="s">
        <v>328</v>
      </c>
      <c r="C501" s="73">
        <v>2</v>
      </c>
      <c r="D501" s="85" t="s">
        <v>329</v>
      </c>
      <c r="E501" s="86" t="s">
        <v>131</v>
      </c>
      <c r="F501" s="85">
        <v>81897719002</v>
      </c>
      <c r="G501" s="71">
        <f t="shared" si="45"/>
        <v>10.92</v>
      </c>
      <c r="H501" s="71">
        <f t="shared" si="46"/>
        <v>21.84</v>
      </c>
      <c r="I501" s="71">
        <f t="shared" si="47"/>
        <v>10.92</v>
      </c>
      <c r="J501" s="71">
        <f t="shared" si="48"/>
        <v>21.84</v>
      </c>
      <c r="K501" s="72">
        <v>0</v>
      </c>
      <c r="M501" s="58">
        <f>VLOOKUP(D501,'TABELA DE PRECOS'!B:C,2,0)</f>
        <v>10.92</v>
      </c>
    </row>
    <row r="502" spans="1:13" ht="13.5" customHeight="1" x14ac:dyDescent="0.25">
      <c r="A502" s="65">
        <v>60</v>
      </c>
      <c r="B502" s="84" t="s">
        <v>694</v>
      </c>
      <c r="C502" s="73">
        <v>3</v>
      </c>
      <c r="D502" s="85" t="s">
        <v>695</v>
      </c>
      <c r="E502" s="86" t="s">
        <v>131</v>
      </c>
      <c r="F502" s="85">
        <v>81897719002</v>
      </c>
      <c r="G502" s="71">
        <f t="shared" si="45"/>
        <v>22.223279999999999</v>
      </c>
      <c r="H502" s="71">
        <f t="shared" si="46"/>
        <v>66.669839999999994</v>
      </c>
      <c r="I502" s="71">
        <f t="shared" si="47"/>
        <v>22.223279999999999</v>
      </c>
      <c r="J502" s="71">
        <f t="shared" si="48"/>
        <v>66.669839999999994</v>
      </c>
      <c r="K502" s="72">
        <v>0</v>
      </c>
      <c r="M502" s="58">
        <f>VLOOKUP(D502,'TABELA DE PRECOS'!B:C,2,0)</f>
        <v>22.223279999999999</v>
      </c>
    </row>
    <row r="503" spans="1:13" ht="13.5" customHeight="1" x14ac:dyDescent="0.25">
      <c r="A503" s="65">
        <v>61</v>
      </c>
      <c r="B503" s="84" t="s">
        <v>185</v>
      </c>
      <c r="C503" s="73">
        <v>10</v>
      </c>
      <c r="D503" s="85" t="s">
        <v>186</v>
      </c>
      <c r="E503" s="86" t="s">
        <v>131</v>
      </c>
      <c r="F503" s="85">
        <v>81897719002</v>
      </c>
      <c r="G503" s="71">
        <f t="shared" si="45"/>
        <v>17.28</v>
      </c>
      <c r="H503" s="71">
        <f t="shared" si="46"/>
        <v>172.8</v>
      </c>
      <c r="I503" s="71">
        <f t="shared" si="47"/>
        <v>17.28</v>
      </c>
      <c r="J503" s="71">
        <f t="shared" si="48"/>
        <v>172.8</v>
      </c>
      <c r="K503" s="72">
        <v>0</v>
      </c>
      <c r="M503" s="58">
        <f>VLOOKUP(D503,'TABELA DE PRECOS'!B:C,2,0)</f>
        <v>17.28</v>
      </c>
    </row>
    <row r="504" spans="1:13" ht="13.5" customHeight="1" x14ac:dyDescent="0.25">
      <c r="A504" s="65">
        <v>62</v>
      </c>
      <c r="B504" s="84" t="s">
        <v>183</v>
      </c>
      <c r="C504" s="73">
        <v>1</v>
      </c>
      <c r="D504" s="85" t="s">
        <v>184</v>
      </c>
      <c r="E504" s="86" t="s">
        <v>131</v>
      </c>
      <c r="F504" s="85">
        <v>81897719002</v>
      </c>
      <c r="G504" s="71">
        <f t="shared" si="45"/>
        <v>40.79</v>
      </c>
      <c r="H504" s="71">
        <f t="shared" si="46"/>
        <v>40.79</v>
      </c>
      <c r="I504" s="71">
        <f t="shared" si="47"/>
        <v>40.79</v>
      </c>
      <c r="J504" s="71">
        <f t="shared" si="48"/>
        <v>40.79</v>
      </c>
      <c r="K504" s="72">
        <v>0</v>
      </c>
      <c r="M504" s="58">
        <f>VLOOKUP(D504,'TABELA DE PRECOS'!B:C,2,0)</f>
        <v>40.79</v>
      </c>
    </row>
    <row r="505" spans="1:13" ht="15.75" customHeight="1" x14ac:dyDescent="0.25">
      <c r="A505" s="65">
        <v>63</v>
      </c>
      <c r="B505" s="84" t="s">
        <v>696</v>
      </c>
      <c r="C505" s="73">
        <v>5</v>
      </c>
      <c r="D505" s="85" t="s">
        <v>697</v>
      </c>
      <c r="E505" s="86" t="s">
        <v>131</v>
      </c>
      <c r="F505" s="85">
        <v>81897719002</v>
      </c>
      <c r="G505" s="71">
        <f t="shared" si="45"/>
        <v>20.006719999999998</v>
      </c>
      <c r="H505" s="71">
        <f t="shared" si="46"/>
        <v>100.03359999999999</v>
      </c>
      <c r="I505" s="71">
        <f t="shared" si="47"/>
        <v>20.006719999999998</v>
      </c>
      <c r="J505" s="71">
        <f t="shared" si="48"/>
        <v>100.03359999999999</v>
      </c>
      <c r="K505" s="72">
        <v>0</v>
      </c>
      <c r="M505" s="58">
        <f>VLOOKUP(D505,'TABELA DE PRECOS'!B:C,2,0)</f>
        <v>20.006719999999998</v>
      </c>
    </row>
    <row r="506" spans="1:13" ht="15.75" customHeight="1" x14ac:dyDescent="0.25">
      <c r="A506" s="65">
        <v>64</v>
      </c>
      <c r="B506" s="84" t="s">
        <v>698</v>
      </c>
      <c r="C506" s="73">
        <v>1</v>
      </c>
      <c r="D506" s="85" t="s">
        <v>699</v>
      </c>
      <c r="E506" s="86" t="s">
        <v>131</v>
      </c>
      <c r="F506" s="85">
        <v>81897719002</v>
      </c>
      <c r="G506" s="71">
        <f t="shared" si="45"/>
        <v>266.71232000000003</v>
      </c>
      <c r="H506" s="71">
        <f t="shared" si="46"/>
        <v>266.71232000000003</v>
      </c>
      <c r="I506" s="71">
        <f t="shared" si="47"/>
        <v>266.71232000000003</v>
      </c>
      <c r="J506" s="71">
        <f t="shared" si="48"/>
        <v>266.71232000000003</v>
      </c>
      <c r="K506" s="72">
        <v>0</v>
      </c>
      <c r="M506" s="58">
        <f>VLOOKUP(D506,'TABELA DE PRECOS'!B:C,2,0)</f>
        <v>266.71232000000003</v>
      </c>
    </row>
    <row r="507" spans="1:13" ht="15.75" customHeight="1" x14ac:dyDescent="0.25">
      <c r="A507" s="65">
        <v>65</v>
      </c>
      <c r="B507" s="84" t="s">
        <v>205</v>
      </c>
      <c r="C507" s="73">
        <v>1</v>
      </c>
      <c r="D507" s="85" t="s">
        <v>206</v>
      </c>
      <c r="E507" s="86" t="s">
        <v>131</v>
      </c>
      <c r="F507" s="85">
        <v>81897719002</v>
      </c>
      <c r="G507" s="71">
        <f t="shared" si="45"/>
        <v>18.077135999999999</v>
      </c>
      <c r="H507" s="71">
        <f t="shared" si="46"/>
        <v>18.077135999999999</v>
      </c>
      <c r="I507" s="71">
        <f t="shared" si="47"/>
        <v>18.077135999999999</v>
      </c>
      <c r="J507" s="71">
        <f t="shared" si="48"/>
        <v>18.077135999999999</v>
      </c>
      <c r="K507" s="72">
        <v>0</v>
      </c>
      <c r="M507" s="58">
        <f>VLOOKUP(D507,'TABELA DE PRECOS'!B:C,2,0)</f>
        <v>18.077135999999999</v>
      </c>
    </row>
    <row r="508" spans="1:13" ht="15.75" customHeight="1" x14ac:dyDescent="0.25">
      <c r="A508" s="65">
        <v>66</v>
      </c>
      <c r="B508" s="84" t="s">
        <v>594</v>
      </c>
      <c r="C508" s="73">
        <v>1</v>
      </c>
      <c r="D508" s="85" t="s">
        <v>595</v>
      </c>
      <c r="E508" s="86" t="s">
        <v>131</v>
      </c>
      <c r="F508" s="85">
        <v>81897719003</v>
      </c>
      <c r="G508" s="71">
        <f t="shared" si="45"/>
        <v>65.06</v>
      </c>
      <c r="H508" s="71">
        <f t="shared" si="46"/>
        <v>65.06</v>
      </c>
      <c r="I508" s="71">
        <f t="shared" si="47"/>
        <v>65.06</v>
      </c>
      <c r="J508" s="71">
        <f t="shared" si="48"/>
        <v>65.06</v>
      </c>
      <c r="K508" s="72">
        <v>0</v>
      </c>
      <c r="M508" s="58">
        <f>VLOOKUP(D508,'TABELA DE PRECOS'!B:C,2,0)</f>
        <v>65.06</v>
      </c>
    </row>
    <row r="509" spans="1:13" ht="15.75" customHeight="1" x14ac:dyDescent="0.25">
      <c r="A509" s="65">
        <v>67</v>
      </c>
      <c r="B509" s="84" t="s">
        <v>360</v>
      </c>
      <c r="C509" s="73">
        <v>2</v>
      </c>
      <c r="D509" s="85" t="s">
        <v>361</v>
      </c>
      <c r="E509" s="86" t="s">
        <v>131</v>
      </c>
      <c r="F509" s="85">
        <v>81897719002</v>
      </c>
      <c r="G509" s="71">
        <f t="shared" si="45"/>
        <v>19.477120000000003</v>
      </c>
      <c r="H509" s="71">
        <f t="shared" si="46"/>
        <v>38.954240000000006</v>
      </c>
      <c r="I509" s="71">
        <f t="shared" si="47"/>
        <v>19.477120000000003</v>
      </c>
      <c r="J509" s="71">
        <f t="shared" si="48"/>
        <v>38.954240000000006</v>
      </c>
      <c r="K509" s="72">
        <v>0</v>
      </c>
      <c r="M509" s="58">
        <f>VLOOKUP(D509,'TABELA DE PRECOS'!B:C,2,0)</f>
        <v>19.477120000000003</v>
      </c>
    </row>
    <row r="510" spans="1:13" ht="15" customHeight="1" x14ac:dyDescent="0.25">
      <c r="A510" s="65">
        <v>68</v>
      </c>
      <c r="B510" s="84" t="s">
        <v>207</v>
      </c>
      <c r="C510" s="73">
        <v>2</v>
      </c>
      <c r="D510" s="85" t="s">
        <v>208</v>
      </c>
      <c r="E510" s="86" t="s">
        <v>131</v>
      </c>
      <c r="F510" s="85">
        <v>81897719002</v>
      </c>
      <c r="G510" s="71">
        <f t="shared" si="45"/>
        <v>21.30752</v>
      </c>
      <c r="H510" s="71">
        <f t="shared" si="46"/>
        <v>42.61504</v>
      </c>
      <c r="I510" s="71">
        <f t="shared" si="47"/>
        <v>21.30752</v>
      </c>
      <c r="J510" s="71">
        <f t="shared" si="48"/>
        <v>42.61504</v>
      </c>
      <c r="K510" s="72">
        <v>0</v>
      </c>
      <c r="M510" s="58">
        <f>VLOOKUP(D510,'TABELA DE PRECOS'!B:C,2,0)</f>
        <v>21.30752</v>
      </c>
    </row>
    <row r="511" spans="1:13" ht="15" customHeight="1" x14ac:dyDescent="0.25">
      <c r="A511" s="65">
        <v>69</v>
      </c>
      <c r="B511" s="84" t="s">
        <v>700</v>
      </c>
      <c r="C511" s="73">
        <v>1</v>
      </c>
      <c r="D511" s="85" t="s">
        <v>701</v>
      </c>
      <c r="E511" s="86" t="s">
        <v>131</v>
      </c>
      <c r="F511" s="85">
        <v>81897719002</v>
      </c>
      <c r="G511" s="71">
        <f t="shared" si="45"/>
        <v>37.030560000000001</v>
      </c>
      <c r="H511" s="71">
        <f t="shared" si="46"/>
        <v>37.030560000000001</v>
      </c>
      <c r="I511" s="71">
        <f t="shared" si="47"/>
        <v>37.030560000000001</v>
      </c>
      <c r="J511" s="71">
        <f t="shared" si="48"/>
        <v>37.030560000000001</v>
      </c>
      <c r="K511" s="72">
        <v>0</v>
      </c>
      <c r="M511" s="58">
        <f>VLOOKUP(D511,'TABELA DE PRECOS'!B:C,2,0)</f>
        <v>37.030560000000001</v>
      </c>
    </row>
    <row r="512" spans="1:13" ht="15" customHeight="1" x14ac:dyDescent="0.25">
      <c r="A512" s="65">
        <v>70</v>
      </c>
      <c r="B512" s="84" t="s">
        <v>618</v>
      </c>
      <c r="C512" s="73">
        <v>1</v>
      </c>
      <c r="D512" s="85" t="s">
        <v>619</v>
      </c>
      <c r="E512" s="86" t="s">
        <v>131</v>
      </c>
      <c r="F512" s="85">
        <v>81897719002</v>
      </c>
      <c r="G512" s="71">
        <f t="shared" si="45"/>
        <v>37.030560000000001</v>
      </c>
      <c r="H512" s="71">
        <f t="shared" si="46"/>
        <v>37.030560000000001</v>
      </c>
      <c r="I512" s="71">
        <f t="shared" si="47"/>
        <v>37.030560000000001</v>
      </c>
      <c r="J512" s="71">
        <f t="shared" si="48"/>
        <v>37.030560000000001</v>
      </c>
      <c r="K512" s="72">
        <v>0</v>
      </c>
      <c r="M512" s="58">
        <f>VLOOKUP(D512,'TABELA DE PRECOS'!B:C,2,0)</f>
        <v>37.030560000000001</v>
      </c>
    </row>
    <row r="513" spans="1:13" ht="15" customHeight="1" x14ac:dyDescent="0.25">
      <c r="A513" s="65">
        <v>71</v>
      </c>
      <c r="B513" s="84" t="s">
        <v>702</v>
      </c>
      <c r="C513" s="73">
        <v>1</v>
      </c>
      <c r="D513" s="85" t="s">
        <v>703</v>
      </c>
      <c r="E513" s="86" t="s">
        <v>131</v>
      </c>
      <c r="F513" s="85">
        <v>81897710011</v>
      </c>
      <c r="G513" s="71">
        <f t="shared" si="45"/>
        <v>1204.5314399999997</v>
      </c>
      <c r="H513" s="71">
        <f t="shared" si="46"/>
        <v>1204.5314399999997</v>
      </c>
      <c r="I513" s="71">
        <f t="shared" si="47"/>
        <v>1204.5314399999997</v>
      </c>
      <c r="J513" s="71">
        <f t="shared" si="48"/>
        <v>1204.5314399999997</v>
      </c>
      <c r="K513" s="72">
        <v>0</v>
      </c>
      <c r="M513" s="58">
        <f>VLOOKUP(D513,'TABELA DE PRECOS'!B:C,2,0)</f>
        <v>1204.5314399999997</v>
      </c>
    </row>
    <row r="514" spans="1:13" ht="15" customHeight="1" x14ac:dyDescent="0.25">
      <c r="A514" s="65">
        <v>72</v>
      </c>
      <c r="B514" s="84" t="s">
        <v>704</v>
      </c>
      <c r="C514" s="73">
        <v>1</v>
      </c>
      <c r="D514" s="85" t="s">
        <v>705</v>
      </c>
      <c r="E514" s="86" t="s">
        <v>131</v>
      </c>
      <c r="F514" s="85">
        <v>81897710011</v>
      </c>
      <c r="G514" s="71">
        <f t="shared" si="45"/>
        <v>1204.5314399999997</v>
      </c>
      <c r="H514" s="71">
        <f t="shared" si="46"/>
        <v>1204.5314399999997</v>
      </c>
      <c r="I514" s="71">
        <f t="shared" si="47"/>
        <v>1204.5314399999997</v>
      </c>
      <c r="J514" s="71">
        <f t="shared" si="48"/>
        <v>1204.5314399999997</v>
      </c>
      <c r="K514" s="72">
        <v>0</v>
      </c>
      <c r="M514" s="58">
        <f>VLOOKUP(D514,'TABELA DE PRECOS'!B:C,2,0)</f>
        <v>1204.5314399999997</v>
      </c>
    </row>
    <row r="515" spans="1:13" ht="15" customHeight="1" x14ac:dyDescent="0.25">
      <c r="A515" s="65">
        <v>73</v>
      </c>
      <c r="B515" s="84" t="s">
        <v>706</v>
      </c>
      <c r="C515" s="73">
        <v>1</v>
      </c>
      <c r="D515" s="85" t="s">
        <v>707</v>
      </c>
      <c r="E515" s="86" t="s">
        <v>131</v>
      </c>
      <c r="F515" s="85">
        <v>81897710011</v>
      </c>
      <c r="G515" s="71">
        <f t="shared" si="45"/>
        <v>1204.5314399999997</v>
      </c>
      <c r="H515" s="71">
        <f t="shared" si="46"/>
        <v>1204.5314399999997</v>
      </c>
      <c r="I515" s="71">
        <f t="shared" si="47"/>
        <v>1204.5314399999997</v>
      </c>
      <c r="J515" s="71">
        <f t="shared" si="48"/>
        <v>1204.5314399999997</v>
      </c>
      <c r="K515" s="72">
        <v>0</v>
      </c>
      <c r="M515" s="58">
        <f>VLOOKUP(D515,'TABELA DE PRECOS'!B:C,2,0)</f>
        <v>1204.5314399999997</v>
      </c>
    </row>
    <row r="516" spans="1:13" ht="15" customHeight="1" x14ac:dyDescent="0.25">
      <c r="A516" s="65">
        <v>74</v>
      </c>
      <c r="B516" s="84" t="s">
        <v>708</v>
      </c>
      <c r="C516" s="73">
        <v>1</v>
      </c>
      <c r="D516" s="85" t="s">
        <v>709</v>
      </c>
      <c r="E516" s="86" t="s">
        <v>131</v>
      </c>
      <c r="F516" s="85">
        <v>81897719006</v>
      </c>
      <c r="G516" s="71">
        <f t="shared" si="45"/>
        <v>39.590000000000003</v>
      </c>
      <c r="H516" s="71">
        <f t="shared" si="46"/>
        <v>39.590000000000003</v>
      </c>
      <c r="I516" s="71">
        <f t="shared" si="47"/>
        <v>39.590000000000003</v>
      </c>
      <c r="J516" s="71">
        <f t="shared" si="48"/>
        <v>39.590000000000003</v>
      </c>
      <c r="K516" s="72">
        <v>0</v>
      </c>
      <c r="M516" s="58">
        <f>VLOOKUP(D516,'TABELA DE PRECOS'!B:C,2,0)</f>
        <v>39.590000000000003</v>
      </c>
    </row>
    <row r="517" spans="1:13" ht="15" customHeight="1" x14ac:dyDescent="0.25">
      <c r="A517" s="65">
        <v>75</v>
      </c>
      <c r="B517" s="84" t="s">
        <v>211</v>
      </c>
      <c r="C517" s="73">
        <v>1</v>
      </c>
      <c r="D517" s="85" t="s">
        <v>212</v>
      </c>
      <c r="E517" s="86" t="s">
        <v>131</v>
      </c>
      <c r="F517" s="85">
        <v>81897719002</v>
      </c>
      <c r="G517" s="71">
        <f t="shared" si="45"/>
        <v>18.84</v>
      </c>
      <c r="H517" s="71">
        <f t="shared" si="46"/>
        <v>18.84</v>
      </c>
      <c r="I517" s="71">
        <f t="shared" si="47"/>
        <v>18.84</v>
      </c>
      <c r="J517" s="71">
        <f t="shared" si="48"/>
        <v>18.84</v>
      </c>
      <c r="K517" s="72">
        <v>0</v>
      </c>
      <c r="M517" s="58">
        <f>VLOOKUP(D517,'TABELA DE PRECOS'!B:C,2,0)</f>
        <v>18.84</v>
      </c>
    </row>
    <row r="518" spans="1:13" ht="15" customHeight="1" x14ac:dyDescent="0.25">
      <c r="A518" s="65">
        <v>76</v>
      </c>
      <c r="B518" s="84" t="s">
        <v>211</v>
      </c>
      <c r="C518" s="73">
        <v>1</v>
      </c>
      <c r="D518" s="85" t="s">
        <v>212</v>
      </c>
      <c r="E518" s="86" t="s">
        <v>131</v>
      </c>
      <c r="F518" s="85">
        <v>81897719002</v>
      </c>
      <c r="G518" s="71">
        <f t="shared" si="45"/>
        <v>18.84</v>
      </c>
      <c r="H518" s="71">
        <f t="shared" si="46"/>
        <v>18.84</v>
      </c>
      <c r="I518" s="71">
        <f t="shared" si="47"/>
        <v>18.84</v>
      </c>
      <c r="J518" s="71">
        <f t="shared" si="48"/>
        <v>18.84</v>
      </c>
      <c r="K518" s="72">
        <v>0</v>
      </c>
      <c r="M518" s="58">
        <f>VLOOKUP(D518,'TABELA DE PRECOS'!B:C,2,0)</f>
        <v>18.84</v>
      </c>
    </row>
    <row r="519" spans="1:13" ht="15.75" customHeight="1" x14ac:dyDescent="0.25">
      <c r="A519" s="65">
        <v>77</v>
      </c>
      <c r="B519" s="84" t="s">
        <v>710</v>
      </c>
      <c r="C519" s="73">
        <v>1</v>
      </c>
      <c r="D519" s="85" t="s">
        <v>711</v>
      </c>
      <c r="E519" s="86" t="s">
        <v>131</v>
      </c>
      <c r="F519" s="85">
        <v>81897710017</v>
      </c>
      <c r="G519" s="71">
        <f t="shared" si="45"/>
        <v>56.064959999999999</v>
      </c>
      <c r="H519" s="71">
        <f t="shared" si="46"/>
        <v>56.064959999999999</v>
      </c>
      <c r="I519" s="71">
        <f t="shared" si="47"/>
        <v>56.064959999999999</v>
      </c>
      <c r="J519" s="71">
        <f t="shared" si="48"/>
        <v>56.064959999999999</v>
      </c>
      <c r="K519" s="72">
        <v>0</v>
      </c>
      <c r="M519" s="58">
        <f>VLOOKUP(D519,'TABELA DE PRECOS'!B:C,2,0)</f>
        <v>56.064959999999999</v>
      </c>
    </row>
    <row r="520" spans="1:13" ht="15.75" customHeight="1" x14ac:dyDescent="0.25">
      <c r="A520" s="65">
        <v>78</v>
      </c>
      <c r="B520" s="84" t="s">
        <v>448</v>
      </c>
      <c r="C520" s="73">
        <v>1</v>
      </c>
      <c r="D520" s="85" t="s">
        <v>449</v>
      </c>
      <c r="E520" s="86" t="s">
        <v>131</v>
      </c>
      <c r="F520" s="85">
        <v>81897719002</v>
      </c>
      <c r="G520" s="71">
        <f t="shared" si="45"/>
        <v>17.28</v>
      </c>
      <c r="H520" s="71">
        <f t="shared" si="46"/>
        <v>17.28</v>
      </c>
      <c r="I520" s="71">
        <f t="shared" si="47"/>
        <v>17.28</v>
      </c>
      <c r="J520" s="71">
        <f t="shared" si="48"/>
        <v>17.28</v>
      </c>
      <c r="K520" s="72">
        <v>0</v>
      </c>
      <c r="M520" s="58">
        <f>VLOOKUP(D520,'TABELA DE PRECOS'!B:C,2,0)</f>
        <v>17.28</v>
      </c>
    </row>
    <row r="521" spans="1:13" ht="15.75" customHeight="1" x14ac:dyDescent="0.25">
      <c r="A521" s="65">
        <v>79</v>
      </c>
      <c r="B521" s="84" t="s">
        <v>712</v>
      </c>
      <c r="C521" s="73">
        <v>1</v>
      </c>
      <c r="D521" s="85" t="s">
        <v>713</v>
      </c>
      <c r="E521" s="86" t="s">
        <v>131</v>
      </c>
      <c r="F521" s="85">
        <v>81897719003</v>
      </c>
      <c r="G521" s="71">
        <f t="shared" si="45"/>
        <v>125.93192000000001</v>
      </c>
      <c r="H521" s="71">
        <f t="shared" si="46"/>
        <v>125.93192000000001</v>
      </c>
      <c r="I521" s="71">
        <f t="shared" si="47"/>
        <v>125.93192000000001</v>
      </c>
      <c r="J521" s="71">
        <f t="shared" si="48"/>
        <v>125.93192000000001</v>
      </c>
      <c r="K521" s="72">
        <v>0</v>
      </c>
      <c r="M521" s="58">
        <f>VLOOKUP(D521,'TABELA DE PRECOS'!B:C,2,0)</f>
        <v>125.93192000000001</v>
      </c>
    </row>
    <row r="522" spans="1:13" ht="15.75" customHeight="1" x14ac:dyDescent="0.25">
      <c r="A522" s="65">
        <v>80</v>
      </c>
      <c r="B522" s="84" t="s">
        <v>282</v>
      </c>
      <c r="C522" s="73">
        <v>1</v>
      </c>
      <c r="D522" s="85" t="s">
        <v>283</v>
      </c>
      <c r="E522" s="86" t="s">
        <v>131</v>
      </c>
      <c r="F522" s="85">
        <v>81897719002</v>
      </c>
      <c r="G522" s="71">
        <f t="shared" si="45"/>
        <v>17.46</v>
      </c>
      <c r="H522" s="71">
        <f t="shared" si="46"/>
        <v>17.46</v>
      </c>
      <c r="I522" s="71">
        <f t="shared" si="47"/>
        <v>17.46</v>
      </c>
      <c r="J522" s="71">
        <f t="shared" si="48"/>
        <v>17.46</v>
      </c>
      <c r="K522" s="72">
        <v>0</v>
      </c>
      <c r="M522" s="58">
        <f>VLOOKUP(D522,'TABELA DE PRECOS'!B:C,2,0)</f>
        <v>17.46</v>
      </c>
    </row>
    <row r="523" spans="1:13" ht="15.75" customHeight="1" x14ac:dyDescent="0.25">
      <c r="A523" s="65">
        <v>81</v>
      </c>
      <c r="B523" s="84" t="s">
        <v>370</v>
      </c>
      <c r="C523" s="73">
        <v>2</v>
      </c>
      <c r="D523" s="85" t="s">
        <v>371</v>
      </c>
      <c r="E523" s="86" t="s">
        <v>131</v>
      </c>
      <c r="F523" s="85">
        <v>81897719002</v>
      </c>
      <c r="G523" s="71">
        <f t="shared" si="45"/>
        <v>19.41</v>
      </c>
      <c r="H523" s="71">
        <f t="shared" si="46"/>
        <v>38.82</v>
      </c>
      <c r="I523" s="71">
        <f t="shared" si="47"/>
        <v>19.41</v>
      </c>
      <c r="J523" s="71">
        <f t="shared" si="48"/>
        <v>38.82</v>
      </c>
      <c r="K523" s="72">
        <v>0</v>
      </c>
      <c r="M523" s="58">
        <f>VLOOKUP(D523,'TABELA DE PRECOS'!B:C,2,0)</f>
        <v>19.41</v>
      </c>
    </row>
    <row r="524" spans="1:13" ht="15.75" customHeight="1" x14ac:dyDescent="0.25">
      <c r="A524" s="65">
        <v>82</v>
      </c>
      <c r="B524" s="84" t="s">
        <v>425</v>
      </c>
      <c r="C524" s="73">
        <v>1</v>
      </c>
      <c r="D524" s="85" t="s">
        <v>426</v>
      </c>
      <c r="E524" s="86" t="s">
        <v>131</v>
      </c>
      <c r="F524" s="85">
        <v>81897719002</v>
      </c>
      <c r="G524" s="71">
        <f t="shared" si="45"/>
        <v>18.43</v>
      </c>
      <c r="H524" s="71">
        <f t="shared" si="46"/>
        <v>18.43</v>
      </c>
      <c r="I524" s="71">
        <f t="shared" si="47"/>
        <v>18.43</v>
      </c>
      <c r="J524" s="71">
        <f t="shared" si="48"/>
        <v>18.43</v>
      </c>
      <c r="K524" s="72">
        <v>0</v>
      </c>
      <c r="M524" s="58">
        <f>VLOOKUP(D524,'TABELA DE PRECOS'!B:C,2,0)</f>
        <v>18.43</v>
      </c>
    </row>
    <row r="525" spans="1:13" ht="15.75" customHeight="1" x14ac:dyDescent="0.25">
      <c r="A525" s="65">
        <v>83</v>
      </c>
      <c r="B525" s="84" t="s">
        <v>714</v>
      </c>
      <c r="C525" s="73">
        <v>1</v>
      </c>
      <c r="D525" s="85" t="s">
        <v>715</v>
      </c>
      <c r="E525" s="86" t="s">
        <v>131</v>
      </c>
      <c r="F525" s="85">
        <v>81897710034</v>
      </c>
      <c r="G525" s="71">
        <f t="shared" si="45"/>
        <v>26.672879999999996</v>
      </c>
      <c r="H525" s="71">
        <f t="shared" si="46"/>
        <v>26.672879999999996</v>
      </c>
      <c r="I525" s="71">
        <f t="shared" si="47"/>
        <v>26.672879999999996</v>
      </c>
      <c r="J525" s="71">
        <f t="shared" si="48"/>
        <v>26.672879999999996</v>
      </c>
      <c r="K525" s="72">
        <v>0</v>
      </c>
      <c r="M525" s="58">
        <f>VLOOKUP(D525,'TABELA DE PRECOS'!B:C,2,0)</f>
        <v>26.672879999999996</v>
      </c>
    </row>
    <row r="526" spans="1:13" ht="15.75" customHeight="1" x14ac:dyDescent="0.25">
      <c r="A526" s="65">
        <v>84</v>
      </c>
      <c r="B526" s="84" t="s">
        <v>628</v>
      </c>
      <c r="C526" s="73">
        <v>1</v>
      </c>
      <c r="D526" s="85" t="s">
        <v>629</v>
      </c>
      <c r="E526" s="86" t="s">
        <v>131</v>
      </c>
      <c r="F526" s="85">
        <v>81897710034</v>
      </c>
      <c r="G526" s="71">
        <f t="shared" si="45"/>
        <v>26.672879999999996</v>
      </c>
      <c r="H526" s="71">
        <f t="shared" si="46"/>
        <v>26.672879999999996</v>
      </c>
      <c r="I526" s="71">
        <f t="shared" si="47"/>
        <v>26.672879999999996</v>
      </c>
      <c r="J526" s="71">
        <f t="shared" si="48"/>
        <v>26.672879999999996</v>
      </c>
      <c r="K526" s="72">
        <v>0</v>
      </c>
      <c r="M526" s="58">
        <f>VLOOKUP(D526,'TABELA DE PRECOS'!B:C,2,0)</f>
        <v>26.672879999999996</v>
      </c>
    </row>
    <row r="527" spans="1:13" ht="15.75" customHeight="1" x14ac:dyDescent="0.25">
      <c r="A527" s="65">
        <v>85</v>
      </c>
      <c r="B527" s="84" t="s">
        <v>508</v>
      </c>
      <c r="C527" s="73">
        <v>1</v>
      </c>
      <c r="D527" s="85" t="s">
        <v>509</v>
      </c>
      <c r="E527" s="86" t="s">
        <v>131</v>
      </c>
      <c r="F527" s="85">
        <v>81897710034</v>
      </c>
      <c r="G527" s="71">
        <f t="shared" si="45"/>
        <v>26.672879999999996</v>
      </c>
      <c r="H527" s="71">
        <f t="shared" si="46"/>
        <v>26.672879999999996</v>
      </c>
      <c r="I527" s="71">
        <f t="shared" si="47"/>
        <v>26.672879999999996</v>
      </c>
      <c r="J527" s="71">
        <f t="shared" si="48"/>
        <v>26.672879999999996</v>
      </c>
      <c r="K527" s="72">
        <v>0</v>
      </c>
      <c r="M527" s="58">
        <f>VLOOKUP(D527,'TABELA DE PRECOS'!B:C,2,0)</f>
        <v>26.672879999999996</v>
      </c>
    </row>
    <row r="528" spans="1:13" ht="13.5" customHeight="1" x14ac:dyDescent="0.25">
      <c r="A528" s="65">
        <v>86</v>
      </c>
      <c r="B528" s="84" t="s">
        <v>716</v>
      </c>
      <c r="C528" s="73">
        <v>1</v>
      </c>
      <c r="D528" s="85" t="s">
        <v>717</v>
      </c>
      <c r="E528" s="86" t="s">
        <v>131</v>
      </c>
      <c r="F528" s="85">
        <v>81897710012</v>
      </c>
      <c r="G528" s="71">
        <f t="shared" si="45"/>
        <v>61.214960000000005</v>
      </c>
      <c r="H528" s="71">
        <f t="shared" si="46"/>
        <v>61.214960000000005</v>
      </c>
      <c r="I528" s="71">
        <f t="shared" si="47"/>
        <v>61.214960000000005</v>
      </c>
      <c r="J528" s="71">
        <f t="shared" si="48"/>
        <v>61.214960000000005</v>
      </c>
      <c r="K528" s="72">
        <v>0</v>
      </c>
      <c r="M528" s="58">
        <f>VLOOKUP(D528,'TABELA DE PRECOS'!B:C,2,0)</f>
        <v>61.214960000000005</v>
      </c>
    </row>
    <row r="529" spans="1:13" ht="15.75" customHeight="1" x14ac:dyDescent="0.25">
      <c r="A529" s="65">
        <v>87</v>
      </c>
      <c r="B529" s="84" t="s">
        <v>372</v>
      </c>
      <c r="C529" s="73">
        <v>1</v>
      </c>
      <c r="D529" s="85" t="s">
        <v>373</v>
      </c>
      <c r="E529" s="86" t="s">
        <v>131</v>
      </c>
      <c r="F529" s="85" t="s">
        <v>223</v>
      </c>
      <c r="G529" s="71">
        <f t="shared" si="45"/>
        <v>452.16</v>
      </c>
      <c r="H529" s="71">
        <f t="shared" si="46"/>
        <v>452.16</v>
      </c>
      <c r="I529" s="71">
        <f t="shared" si="47"/>
        <v>452.16</v>
      </c>
      <c r="J529" s="71">
        <f t="shared" si="48"/>
        <v>452.16</v>
      </c>
      <c r="K529" s="72">
        <v>0</v>
      </c>
      <c r="M529" s="58">
        <f>VLOOKUP(D529,'TABELA DE PRECOS'!B:C,2,0)</f>
        <v>452.16</v>
      </c>
    </row>
    <row r="530" spans="1:13" ht="15.75" customHeight="1" x14ac:dyDescent="0.25">
      <c r="A530" s="65">
        <v>88</v>
      </c>
      <c r="B530" s="84" t="s">
        <v>630</v>
      </c>
      <c r="C530" s="73">
        <v>1</v>
      </c>
      <c r="D530" s="85" t="s">
        <v>631</v>
      </c>
      <c r="E530" s="86" t="s">
        <v>131</v>
      </c>
      <c r="F530" s="85" t="s">
        <v>223</v>
      </c>
      <c r="G530" s="71">
        <f t="shared" si="45"/>
        <v>602.25335999999993</v>
      </c>
      <c r="H530" s="71">
        <f t="shared" si="46"/>
        <v>602.25335999999993</v>
      </c>
      <c r="I530" s="71">
        <f t="shared" si="47"/>
        <v>602.25335999999993</v>
      </c>
      <c r="J530" s="71">
        <f t="shared" si="48"/>
        <v>602.25335999999993</v>
      </c>
      <c r="K530" s="72">
        <v>0</v>
      </c>
      <c r="M530" s="58">
        <f>VLOOKUP(D530,'TABELA DE PRECOS'!B:C,2,0)</f>
        <v>602.25335999999993</v>
      </c>
    </row>
    <row r="531" spans="1:13" ht="15.75" customHeight="1" x14ac:dyDescent="0.25">
      <c r="A531" s="65">
        <v>89</v>
      </c>
      <c r="B531" s="84" t="s">
        <v>376</v>
      </c>
      <c r="C531" s="73">
        <v>2</v>
      </c>
      <c r="D531" s="85" t="s">
        <v>632</v>
      </c>
      <c r="E531" s="86" t="s">
        <v>131</v>
      </c>
      <c r="F531" s="85" t="s">
        <v>223</v>
      </c>
      <c r="G531" s="71">
        <f t="shared" si="45"/>
        <v>514.57000000000005</v>
      </c>
      <c r="H531" s="71">
        <f t="shared" si="46"/>
        <v>1029.1400000000001</v>
      </c>
      <c r="I531" s="71">
        <f t="shared" si="47"/>
        <v>514.57000000000005</v>
      </c>
      <c r="J531" s="71">
        <f t="shared" si="48"/>
        <v>1029.1400000000001</v>
      </c>
      <c r="K531" s="72">
        <v>0</v>
      </c>
      <c r="M531" s="58">
        <f>VLOOKUP(D531,'TABELA DE PRECOS'!B:C,2,0)</f>
        <v>514.57000000000005</v>
      </c>
    </row>
    <row r="532" spans="1:13" ht="15.75" customHeight="1" x14ac:dyDescent="0.25">
      <c r="A532" s="65">
        <v>90</v>
      </c>
      <c r="B532" s="84" t="s">
        <v>378</v>
      </c>
      <c r="C532" s="73">
        <v>4</v>
      </c>
      <c r="D532" s="85" t="s">
        <v>633</v>
      </c>
      <c r="E532" s="86" t="s">
        <v>131</v>
      </c>
      <c r="F532" s="85" t="s">
        <v>223</v>
      </c>
      <c r="G532" s="71">
        <f t="shared" si="45"/>
        <v>9.18</v>
      </c>
      <c r="H532" s="71">
        <f t="shared" si="46"/>
        <v>36.72</v>
      </c>
      <c r="I532" s="71">
        <f t="shared" si="47"/>
        <v>9.18</v>
      </c>
      <c r="J532" s="71">
        <f t="shared" si="48"/>
        <v>36.72</v>
      </c>
      <c r="K532" s="72">
        <v>0</v>
      </c>
      <c r="M532" s="58">
        <f>VLOOKUP(D532,'TABELA DE PRECOS'!B:C,2,0)</f>
        <v>9.18</v>
      </c>
    </row>
    <row r="533" spans="1:13" ht="15.75" customHeight="1" x14ac:dyDescent="0.25">
      <c r="A533" s="78"/>
      <c r="B533" s="79" t="s">
        <v>224</v>
      </c>
      <c r="C533" s="79">
        <f>SUM(C443:C532)</f>
        <v>171</v>
      </c>
      <c r="D533" s="79"/>
      <c r="E533" s="79"/>
      <c r="F533" s="79"/>
      <c r="G533" s="80"/>
      <c r="H533" s="80">
        <f>SUM(H443:H532)</f>
        <v>16874.233695999996</v>
      </c>
      <c r="I533" s="79"/>
      <c r="J533" s="80">
        <f>SUM(J443:J532)</f>
        <v>16874.233695999996</v>
      </c>
      <c r="K533" s="81"/>
      <c r="M533" s="58" t="e">
        <f>VLOOKUP(D533,'TABELA DE PRECOS'!B:C,2,0)</f>
        <v>#N/A</v>
      </c>
    </row>
    <row r="534" spans="1:13" ht="15.75" customHeight="1" x14ac:dyDescent="0.25">
      <c r="A534" s="56"/>
      <c r="B534" s="49" t="s">
        <v>15</v>
      </c>
      <c r="C534" s="57"/>
      <c r="E534" s="58"/>
      <c r="F534" s="58"/>
      <c r="G534" s="58"/>
      <c r="H534" s="58"/>
      <c r="I534" s="58"/>
      <c r="J534" s="59"/>
      <c r="M534" s="58" t="e">
        <f>VLOOKUP(D534,'TABELA DE PRECOS'!B:C,2,0)</f>
        <v>#N/A</v>
      </c>
    </row>
    <row r="535" spans="1:13" ht="15.75" customHeight="1" x14ac:dyDescent="0.25">
      <c r="A535" s="94"/>
      <c r="B535" s="18" t="s">
        <v>718</v>
      </c>
      <c r="C535" s="57"/>
      <c r="E535" s="58"/>
      <c r="F535" s="58"/>
      <c r="G535" s="58"/>
      <c r="H535" s="58"/>
      <c r="I535" s="58"/>
      <c r="J535" s="59"/>
      <c r="M535" s="58" t="e">
        <f>VLOOKUP(D535,'TABELA DE PRECOS'!B:C,2,0)</f>
        <v>#N/A</v>
      </c>
    </row>
    <row r="536" spans="1:13" ht="15.75" customHeight="1" x14ac:dyDescent="0.25">
      <c r="A536" s="18" t="s">
        <v>119</v>
      </c>
      <c r="B536" s="18" t="s">
        <v>120</v>
      </c>
      <c r="C536" s="18" t="s">
        <v>21</v>
      </c>
      <c r="D536" s="18" t="s">
        <v>121</v>
      </c>
      <c r="E536" s="60" t="s">
        <v>122</v>
      </c>
      <c r="F536" s="18" t="s">
        <v>123</v>
      </c>
      <c r="G536" s="61" t="s">
        <v>22</v>
      </c>
      <c r="H536" s="18" t="s">
        <v>23</v>
      </c>
      <c r="I536" s="18" t="s">
        <v>24</v>
      </c>
      <c r="J536" s="18" t="s">
        <v>25</v>
      </c>
      <c r="K536" s="62" t="s">
        <v>26</v>
      </c>
      <c r="M536" s="58" t="str">
        <f>VLOOKUP(D536,'TABELA DE PRECOS'!B:C,2,0)</f>
        <v>Valor Unit Bruto</v>
      </c>
    </row>
    <row r="537" spans="1:13" ht="15.75" customHeight="1" x14ac:dyDescent="0.25">
      <c r="A537" s="65">
        <v>1</v>
      </c>
      <c r="B537" s="84" t="s">
        <v>133</v>
      </c>
      <c r="C537" s="73">
        <v>2</v>
      </c>
      <c r="D537" s="85" t="s">
        <v>134</v>
      </c>
      <c r="E537" s="86" t="s">
        <v>131</v>
      </c>
      <c r="F537" s="85">
        <v>81897719002</v>
      </c>
      <c r="G537" s="71">
        <f t="shared" ref="G537:G589" si="49">M537</f>
        <v>17.19688</v>
      </c>
      <c r="H537" s="71">
        <f t="shared" ref="H537:H589" si="50">G537*C537</f>
        <v>34.39376</v>
      </c>
      <c r="I537" s="71">
        <f t="shared" ref="I537:I589" si="51">G537</f>
        <v>17.19688</v>
      </c>
      <c r="J537" s="71">
        <f t="shared" ref="J537:J589" si="52">I537*C537</f>
        <v>34.39376</v>
      </c>
      <c r="K537" s="72">
        <v>0</v>
      </c>
      <c r="L537" s="63"/>
      <c r="M537" s="58">
        <f>VLOOKUP(D537,'TABELA DE PRECOS'!B:C,2,0)</f>
        <v>17.19688</v>
      </c>
    </row>
    <row r="538" spans="1:13" ht="15.75" customHeight="1" x14ac:dyDescent="0.25">
      <c r="A538" s="65">
        <v>2</v>
      </c>
      <c r="B538" s="84" t="s">
        <v>719</v>
      </c>
      <c r="C538" s="73">
        <v>1</v>
      </c>
      <c r="D538" s="85" t="s">
        <v>720</v>
      </c>
      <c r="E538" s="86" t="s">
        <v>131</v>
      </c>
      <c r="F538" s="85">
        <v>81897719002</v>
      </c>
      <c r="G538" s="71">
        <f t="shared" si="49"/>
        <v>122.24039999999999</v>
      </c>
      <c r="H538" s="71">
        <f t="shared" si="50"/>
        <v>122.24039999999999</v>
      </c>
      <c r="I538" s="71">
        <f t="shared" si="51"/>
        <v>122.24039999999999</v>
      </c>
      <c r="J538" s="71">
        <f t="shared" si="52"/>
        <v>122.24039999999999</v>
      </c>
      <c r="K538" s="72">
        <v>0</v>
      </c>
      <c r="M538" s="58">
        <f>VLOOKUP(D538,'TABELA DE PRECOS'!B:C,2,0)</f>
        <v>122.24039999999999</v>
      </c>
    </row>
    <row r="539" spans="1:13" ht="15.75" customHeight="1" x14ac:dyDescent="0.25">
      <c r="A539" s="65">
        <v>3</v>
      </c>
      <c r="B539" s="84" t="s">
        <v>552</v>
      </c>
      <c r="C539" s="73">
        <v>2</v>
      </c>
      <c r="D539" s="85" t="s">
        <v>553</v>
      </c>
      <c r="E539" s="86" t="s">
        <v>131</v>
      </c>
      <c r="F539" s="85">
        <v>81897719002</v>
      </c>
      <c r="G539" s="71">
        <f t="shared" si="49"/>
        <v>133.35616000000002</v>
      </c>
      <c r="H539" s="71">
        <f t="shared" si="50"/>
        <v>266.71232000000003</v>
      </c>
      <c r="I539" s="71">
        <f t="shared" si="51"/>
        <v>133.35616000000002</v>
      </c>
      <c r="J539" s="71">
        <f t="shared" si="52"/>
        <v>266.71232000000003</v>
      </c>
      <c r="K539" s="72">
        <v>0</v>
      </c>
      <c r="M539" s="58">
        <f>VLOOKUP(D539,'TABELA DE PRECOS'!B:C,2,0)</f>
        <v>133.35616000000002</v>
      </c>
    </row>
    <row r="540" spans="1:13" ht="15.75" customHeight="1" x14ac:dyDescent="0.25">
      <c r="A540" s="65">
        <v>4</v>
      </c>
      <c r="B540" s="84" t="s">
        <v>300</v>
      </c>
      <c r="C540" s="73">
        <v>1</v>
      </c>
      <c r="D540" s="85" t="s">
        <v>301</v>
      </c>
      <c r="E540" s="86" t="s">
        <v>131</v>
      </c>
      <c r="F540" s="85">
        <v>81897719002</v>
      </c>
      <c r="G540" s="71">
        <f t="shared" si="49"/>
        <v>9.4</v>
      </c>
      <c r="H540" s="71">
        <f t="shared" si="50"/>
        <v>9.4</v>
      </c>
      <c r="I540" s="71">
        <f t="shared" si="51"/>
        <v>9.4</v>
      </c>
      <c r="J540" s="71">
        <f t="shared" si="52"/>
        <v>9.4</v>
      </c>
      <c r="K540" s="72">
        <v>0</v>
      </c>
      <c r="M540" s="58">
        <f>VLOOKUP(D540,'TABELA DE PRECOS'!B:C,2,0)</f>
        <v>9.4</v>
      </c>
    </row>
    <row r="541" spans="1:13" ht="15.75" customHeight="1" x14ac:dyDescent="0.25">
      <c r="A541" s="65">
        <v>5</v>
      </c>
      <c r="B541" s="84" t="s">
        <v>137</v>
      </c>
      <c r="C541" s="73">
        <v>1</v>
      </c>
      <c r="D541" s="85" t="s">
        <v>138</v>
      </c>
      <c r="E541" s="86" t="s">
        <v>131</v>
      </c>
      <c r="F541" s="85">
        <v>81897719002</v>
      </c>
      <c r="G541" s="71">
        <f t="shared" si="49"/>
        <v>8.25</v>
      </c>
      <c r="H541" s="71">
        <f t="shared" si="50"/>
        <v>8.25</v>
      </c>
      <c r="I541" s="71">
        <f t="shared" si="51"/>
        <v>8.25</v>
      </c>
      <c r="J541" s="71">
        <f t="shared" si="52"/>
        <v>8.25</v>
      </c>
      <c r="K541" s="72">
        <v>0</v>
      </c>
      <c r="M541" s="58">
        <f>VLOOKUP(D541,'TABELA DE PRECOS'!B:C,2,0)</f>
        <v>8.25</v>
      </c>
    </row>
    <row r="542" spans="1:13" ht="15.75" customHeight="1" x14ac:dyDescent="0.25">
      <c r="A542" s="65">
        <v>6</v>
      </c>
      <c r="B542" s="84" t="s">
        <v>657</v>
      </c>
      <c r="C542" s="73">
        <v>1</v>
      </c>
      <c r="D542" s="85" t="s">
        <v>658</v>
      </c>
      <c r="E542" s="86" t="s">
        <v>131</v>
      </c>
      <c r="F542" s="85">
        <v>81897719002</v>
      </c>
      <c r="G542" s="71">
        <f t="shared" si="49"/>
        <v>31.114239999999999</v>
      </c>
      <c r="H542" s="71">
        <f t="shared" si="50"/>
        <v>31.114239999999999</v>
      </c>
      <c r="I542" s="71">
        <f t="shared" si="51"/>
        <v>31.114239999999999</v>
      </c>
      <c r="J542" s="71">
        <f t="shared" si="52"/>
        <v>31.114239999999999</v>
      </c>
      <c r="K542" s="72">
        <v>0</v>
      </c>
      <c r="M542" s="58">
        <f>VLOOKUP(D542,'TABELA DE PRECOS'!B:C,2,0)</f>
        <v>31.114239999999999</v>
      </c>
    </row>
    <row r="543" spans="1:13" ht="15.75" customHeight="1" x14ac:dyDescent="0.25">
      <c r="A543" s="65">
        <v>7</v>
      </c>
      <c r="B543" s="84" t="s">
        <v>659</v>
      </c>
      <c r="C543" s="73">
        <v>1</v>
      </c>
      <c r="D543" s="85" t="s">
        <v>660</v>
      </c>
      <c r="E543" s="86" t="s">
        <v>131</v>
      </c>
      <c r="F543" s="85">
        <v>81897719002</v>
      </c>
      <c r="G543" s="71">
        <f t="shared" si="49"/>
        <v>31.114239999999999</v>
      </c>
      <c r="H543" s="71">
        <f t="shared" si="50"/>
        <v>31.114239999999999</v>
      </c>
      <c r="I543" s="71">
        <f t="shared" si="51"/>
        <v>31.114239999999999</v>
      </c>
      <c r="J543" s="71">
        <f t="shared" si="52"/>
        <v>31.114239999999999</v>
      </c>
      <c r="K543" s="72">
        <v>0</v>
      </c>
      <c r="M543" s="58">
        <f>VLOOKUP(D543,'TABELA DE PRECOS'!B:C,2,0)</f>
        <v>31.114239999999999</v>
      </c>
    </row>
    <row r="544" spans="1:13" ht="15.75" customHeight="1" x14ac:dyDescent="0.25">
      <c r="A544" s="65">
        <v>8</v>
      </c>
      <c r="B544" s="84" t="s">
        <v>721</v>
      </c>
      <c r="C544" s="73">
        <v>1</v>
      </c>
      <c r="D544" s="85" t="s">
        <v>722</v>
      </c>
      <c r="E544" s="86" t="s">
        <v>131</v>
      </c>
      <c r="F544" s="85">
        <v>81897719002</v>
      </c>
      <c r="G544" s="71">
        <f t="shared" si="49"/>
        <v>31.114239999999999</v>
      </c>
      <c r="H544" s="71">
        <f t="shared" si="50"/>
        <v>31.114239999999999</v>
      </c>
      <c r="I544" s="71">
        <f t="shared" si="51"/>
        <v>31.114239999999999</v>
      </c>
      <c r="J544" s="71">
        <f t="shared" si="52"/>
        <v>31.114239999999999</v>
      </c>
      <c r="K544" s="72">
        <v>0</v>
      </c>
      <c r="M544" s="58">
        <f>VLOOKUP(D544,'TABELA DE PRECOS'!B:C,2,0)</f>
        <v>31.114239999999999</v>
      </c>
    </row>
    <row r="545" spans="1:13" ht="15.75" customHeight="1" x14ac:dyDescent="0.25">
      <c r="A545" s="65">
        <v>9</v>
      </c>
      <c r="B545" s="84" t="s">
        <v>723</v>
      </c>
      <c r="C545" s="73">
        <v>1</v>
      </c>
      <c r="D545" s="85" t="s">
        <v>724</v>
      </c>
      <c r="E545" s="86" t="s">
        <v>131</v>
      </c>
      <c r="F545" s="85">
        <v>81897719002</v>
      </c>
      <c r="G545" s="71">
        <f t="shared" si="49"/>
        <v>23.673520000000003</v>
      </c>
      <c r="H545" s="71">
        <f t="shared" si="50"/>
        <v>23.673520000000003</v>
      </c>
      <c r="I545" s="71">
        <f t="shared" si="51"/>
        <v>23.673520000000003</v>
      </c>
      <c r="J545" s="71">
        <f t="shared" si="52"/>
        <v>23.673520000000003</v>
      </c>
      <c r="K545" s="72">
        <v>0</v>
      </c>
      <c r="M545" s="58">
        <f>VLOOKUP(D545,'TABELA DE PRECOS'!B:C,2,0)</f>
        <v>23.673520000000003</v>
      </c>
    </row>
    <row r="546" spans="1:13" ht="15.75" customHeight="1" x14ac:dyDescent="0.25">
      <c r="A546" s="65">
        <v>10</v>
      </c>
      <c r="B546" s="84" t="s">
        <v>653</v>
      </c>
      <c r="C546" s="73">
        <v>1</v>
      </c>
      <c r="D546" s="85" t="s">
        <v>654</v>
      </c>
      <c r="E546" s="86" t="s">
        <v>131</v>
      </c>
      <c r="F546" s="85">
        <v>81897719002</v>
      </c>
      <c r="G546" s="71">
        <f t="shared" si="49"/>
        <v>24.448080000000001</v>
      </c>
      <c r="H546" s="71">
        <f t="shared" si="50"/>
        <v>24.448080000000001</v>
      </c>
      <c r="I546" s="71">
        <f t="shared" si="51"/>
        <v>24.448080000000001</v>
      </c>
      <c r="J546" s="71">
        <f t="shared" si="52"/>
        <v>24.448080000000001</v>
      </c>
      <c r="K546" s="72">
        <v>0</v>
      </c>
      <c r="M546" s="58">
        <f>VLOOKUP(D546,'TABELA DE PRECOS'!B:C,2,0)</f>
        <v>24.448080000000001</v>
      </c>
    </row>
    <row r="547" spans="1:13" ht="15.75" customHeight="1" x14ac:dyDescent="0.25">
      <c r="A547" s="65">
        <v>11</v>
      </c>
      <c r="B547" s="84" t="s">
        <v>725</v>
      </c>
      <c r="C547" s="73">
        <v>1</v>
      </c>
      <c r="D547" s="85" t="s">
        <v>726</v>
      </c>
      <c r="E547" s="86" t="s">
        <v>131</v>
      </c>
      <c r="F547" s="85">
        <v>81897719002</v>
      </c>
      <c r="G547" s="71">
        <f t="shared" si="49"/>
        <v>29.64752</v>
      </c>
      <c r="H547" s="71">
        <f t="shared" si="50"/>
        <v>29.64752</v>
      </c>
      <c r="I547" s="71">
        <f t="shared" si="51"/>
        <v>29.64752</v>
      </c>
      <c r="J547" s="71">
        <f t="shared" si="52"/>
        <v>29.64752</v>
      </c>
      <c r="K547" s="72">
        <v>0</v>
      </c>
      <c r="M547" s="58">
        <f>VLOOKUP(D547,'TABELA DE PRECOS'!B:C,2,0)</f>
        <v>29.64752</v>
      </c>
    </row>
    <row r="548" spans="1:13" ht="15.75" customHeight="1" x14ac:dyDescent="0.25">
      <c r="A548" s="65">
        <v>12</v>
      </c>
      <c r="B548" s="84" t="s">
        <v>727</v>
      </c>
      <c r="C548" s="73">
        <v>1</v>
      </c>
      <c r="D548" s="85" t="s">
        <v>728</v>
      </c>
      <c r="E548" s="86" t="s">
        <v>131</v>
      </c>
      <c r="F548" s="85">
        <v>81897719002</v>
      </c>
      <c r="G548" s="71">
        <f t="shared" si="49"/>
        <v>26.672879999999996</v>
      </c>
      <c r="H548" s="71">
        <f t="shared" si="50"/>
        <v>26.672879999999996</v>
      </c>
      <c r="I548" s="71">
        <f t="shared" si="51"/>
        <v>26.672879999999996</v>
      </c>
      <c r="J548" s="71">
        <f t="shared" si="52"/>
        <v>26.672879999999996</v>
      </c>
      <c r="K548" s="72">
        <v>0</v>
      </c>
      <c r="M548" s="58">
        <f>VLOOKUP(D548,'TABELA DE PRECOS'!B:C,2,0)</f>
        <v>26.672879999999996</v>
      </c>
    </row>
    <row r="549" spans="1:13" ht="15.75" customHeight="1" x14ac:dyDescent="0.25">
      <c r="A549" s="65">
        <v>13</v>
      </c>
      <c r="B549" s="84" t="s">
        <v>667</v>
      </c>
      <c r="C549" s="73">
        <v>1</v>
      </c>
      <c r="D549" s="85" t="s">
        <v>668</v>
      </c>
      <c r="E549" s="86" t="s">
        <v>131</v>
      </c>
      <c r="F549" s="85">
        <v>81897719002</v>
      </c>
      <c r="G549" s="71">
        <f t="shared" si="49"/>
        <v>33.339040000000004</v>
      </c>
      <c r="H549" s="71">
        <f t="shared" si="50"/>
        <v>33.339040000000004</v>
      </c>
      <c r="I549" s="71">
        <f t="shared" si="51"/>
        <v>33.339040000000004</v>
      </c>
      <c r="J549" s="71">
        <f t="shared" si="52"/>
        <v>33.339040000000004</v>
      </c>
      <c r="K549" s="72">
        <v>0</v>
      </c>
      <c r="M549" s="58">
        <f>VLOOKUP(D549,'TABELA DE PRECOS'!B:C,2,0)</f>
        <v>33.339040000000004</v>
      </c>
    </row>
    <row r="550" spans="1:13" ht="15.75" customHeight="1" x14ac:dyDescent="0.25">
      <c r="A550" s="65">
        <v>14</v>
      </c>
      <c r="B550" s="84" t="s">
        <v>669</v>
      </c>
      <c r="C550" s="73">
        <v>1</v>
      </c>
      <c r="D550" s="85" t="s">
        <v>670</v>
      </c>
      <c r="E550" s="86" t="s">
        <v>131</v>
      </c>
      <c r="F550" s="85">
        <v>81897719002</v>
      </c>
      <c r="G550" s="71">
        <f t="shared" si="49"/>
        <v>29.64752</v>
      </c>
      <c r="H550" s="71">
        <f t="shared" si="50"/>
        <v>29.64752</v>
      </c>
      <c r="I550" s="71">
        <f t="shared" si="51"/>
        <v>29.64752</v>
      </c>
      <c r="J550" s="71">
        <f t="shared" si="52"/>
        <v>29.64752</v>
      </c>
      <c r="K550" s="72">
        <v>0</v>
      </c>
      <c r="M550" s="58">
        <f>VLOOKUP(D550,'TABELA DE PRECOS'!B:C,2,0)</f>
        <v>29.64752</v>
      </c>
    </row>
    <row r="551" spans="1:13" ht="15.75" customHeight="1" x14ac:dyDescent="0.25">
      <c r="A551" s="65">
        <v>15</v>
      </c>
      <c r="B551" s="84" t="s">
        <v>637</v>
      </c>
      <c r="C551" s="73">
        <v>1</v>
      </c>
      <c r="D551" s="85" t="s">
        <v>638</v>
      </c>
      <c r="E551" s="86" t="s">
        <v>131</v>
      </c>
      <c r="F551" s="85">
        <v>81897719002</v>
      </c>
      <c r="G551" s="71">
        <f t="shared" si="49"/>
        <v>11.11576</v>
      </c>
      <c r="H551" s="71">
        <f t="shared" si="50"/>
        <v>11.11576</v>
      </c>
      <c r="I551" s="71">
        <f t="shared" si="51"/>
        <v>11.11576</v>
      </c>
      <c r="J551" s="71">
        <f t="shared" si="52"/>
        <v>11.11576</v>
      </c>
      <c r="K551" s="72">
        <v>0</v>
      </c>
      <c r="M551" s="58">
        <f>VLOOKUP(D551,'TABELA DE PRECOS'!B:C,2,0)</f>
        <v>11.11576</v>
      </c>
    </row>
    <row r="552" spans="1:13" ht="15.75" customHeight="1" x14ac:dyDescent="0.25">
      <c r="A552" s="65">
        <v>16</v>
      </c>
      <c r="B552" s="66" t="s">
        <v>729</v>
      </c>
      <c r="C552" s="82">
        <v>1</v>
      </c>
      <c r="D552" s="100" t="s">
        <v>730</v>
      </c>
      <c r="E552" s="69" t="s">
        <v>131</v>
      </c>
      <c r="F552" s="76">
        <v>81897710023</v>
      </c>
      <c r="G552" s="71">
        <f t="shared" si="49"/>
        <v>11.12</v>
      </c>
      <c r="H552" s="71">
        <f t="shared" si="50"/>
        <v>11.12</v>
      </c>
      <c r="I552" s="71">
        <f t="shared" si="51"/>
        <v>11.12</v>
      </c>
      <c r="J552" s="71">
        <f t="shared" si="52"/>
        <v>11.12</v>
      </c>
      <c r="K552" s="72">
        <v>0</v>
      </c>
      <c r="M552" s="58">
        <f>VLOOKUP(D552,'TABELA DE PRECOS'!B:C,2,0)</f>
        <v>11.12</v>
      </c>
    </row>
    <row r="553" spans="1:13" ht="15.75" customHeight="1" x14ac:dyDescent="0.25">
      <c r="A553" s="65">
        <v>17</v>
      </c>
      <c r="B553" s="66" t="s">
        <v>643</v>
      </c>
      <c r="C553" s="82">
        <v>1</v>
      </c>
      <c r="D553" s="76" t="s">
        <v>644</v>
      </c>
      <c r="E553" s="69" t="s">
        <v>131</v>
      </c>
      <c r="F553" s="76">
        <v>81897719002</v>
      </c>
      <c r="G553" s="71">
        <f t="shared" si="49"/>
        <v>13.332319999999999</v>
      </c>
      <c r="H553" s="71">
        <f t="shared" si="50"/>
        <v>13.332319999999999</v>
      </c>
      <c r="I553" s="71">
        <f t="shared" si="51"/>
        <v>13.332319999999999</v>
      </c>
      <c r="J553" s="71">
        <f t="shared" si="52"/>
        <v>13.332319999999999</v>
      </c>
      <c r="K553" s="72">
        <v>0</v>
      </c>
      <c r="M553" s="58">
        <f>VLOOKUP(D553,'TABELA DE PRECOS'!B:C,2,0)</f>
        <v>13.332319999999999</v>
      </c>
    </row>
    <row r="554" spans="1:13" ht="15.75" customHeight="1" x14ac:dyDescent="0.25">
      <c r="A554" s="65">
        <v>18</v>
      </c>
      <c r="B554" s="66" t="s">
        <v>645</v>
      </c>
      <c r="C554" s="82">
        <v>1</v>
      </c>
      <c r="D554" s="76" t="s">
        <v>646</v>
      </c>
      <c r="E554" s="69" t="s">
        <v>131</v>
      </c>
      <c r="F554" s="76">
        <v>81897719002</v>
      </c>
      <c r="G554" s="71">
        <f t="shared" si="49"/>
        <v>13.332319999999999</v>
      </c>
      <c r="H554" s="71">
        <f t="shared" si="50"/>
        <v>13.332319999999999</v>
      </c>
      <c r="I554" s="71">
        <f t="shared" si="51"/>
        <v>13.332319999999999</v>
      </c>
      <c r="J554" s="71">
        <f t="shared" si="52"/>
        <v>13.332319999999999</v>
      </c>
      <c r="K554" s="72">
        <v>0</v>
      </c>
      <c r="M554" s="58">
        <f>VLOOKUP(D554,'TABELA DE PRECOS'!B:C,2,0)</f>
        <v>13.332319999999999</v>
      </c>
    </row>
    <row r="555" spans="1:13" ht="15.75" customHeight="1" x14ac:dyDescent="0.25">
      <c r="A555" s="65">
        <v>19</v>
      </c>
      <c r="B555" s="66" t="s">
        <v>731</v>
      </c>
      <c r="C555" s="82">
        <v>1</v>
      </c>
      <c r="D555" s="76" t="s">
        <v>732</v>
      </c>
      <c r="E555" s="69" t="s">
        <v>131</v>
      </c>
      <c r="F555" s="76">
        <v>81897719002</v>
      </c>
      <c r="G555" s="71">
        <f t="shared" si="49"/>
        <v>25.9148</v>
      </c>
      <c r="H555" s="71">
        <f t="shared" si="50"/>
        <v>25.9148</v>
      </c>
      <c r="I555" s="71">
        <f t="shared" si="51"/>
        <v>25.9148</v>
      </c>
      <c r="J555" s="71">
        <f t="shared" si="52"/>
        <v>25.9148</v>
      </c>
      <c r="K555" s="72">
        <v>0</v>
      </c>
      <c r="M555" s="58">
        <f>VLOOKUP(D555,'TABELA DE PRECOS'!B:C,2,0)</f>
        <v>25.9148</v>
      </c>
    </row>
    <row r="556" spans="1:13" ht="15.75" customHeight="1" x14ac:dyDescent="0.25">
      <c r="A556" s="65">
        <v>20</v>
      </c>
      <c r="B556" s="66" t="s">
        <v>576</v>
      </c>
      <c r="C556" s="82">
        <v>1</v>
      </c>
      <c r="D556" s="76" t="s">
        <v>577</v>
      </c>
      <c r="E556" s="69" t="s">
        <v>131</v>
      </c>
      <c r="F556" s="76">
        <v>81897719002</v>
      </c>
      <c r="G556" s="71">
        <f t="shared" si="49"/>
        <v>33.339040000000004</v>
      </c>
      <c r="H556" s="71">
        <f t="shared" si="50"/>
        <v>33.339040000000004</v>
      </c>
      <c r="I556" s="71">
        <f t="shared" si="51"/>
        <v>33.339040000000004</v>
      </c>
      <c r="J556" s="71">
        <f t="shared" si="52"/>
        <v>33.339040000000004</v>
      </c>
      <c r="K556" s="72">
        <v>0</v>
      </c>
      <c r="M556" s="58">
        <f>VLOOKUP(D556,'TABELA DE PRECOS'!B:C,2,0)</f>
        <v>33.339040000000004</v>
      </c>
    </row>
    <row r="557" spans="1:13" ht="15.75" customHeight="1" x14ac:dyDescent="0.25">
      <c r="A557" s="65">
        <v>21</v>
      </c>
      <c r="B557" s="66" t="s">
        <v>733</v>
      </c>
      <c r="C557" s="82">
        <v>1</v>
      </c>
      <c r="D557" s="76" t="s">
        <v>734</v>
      </c>
      <c r="E557" s="69" t="s">
        <v>131</v>
      </c>
      <c r="F557" s="76">
        <v>81897719002</v>
      </c>
      <c r="G557" s="71">
        <f t="shared" si="49"/>
        <v>20.75656</v>
      </c>
      <c r="H557" s="71">
        <f t="shared" si="50"/>
        <v>20.75656</v>
      </c>
      <c r="I557" s="71">
        <f t="shared" si="51"/>
        <v>20.75656</v>
      </c>
      <c r="J557" s="71">
        <f t="shared" si="52"/>
        <v>20.75656</v>
      </c>
      <c r="K557" s="72">
        <v>0</v>
      </c>
      <c r="M557" s="58">
        <f>VLOOKUP(D557,'TABELA DE PRECOS'!B:C,2,0)</f>
        <v>20.75656</v>
      </c>
    </row>
    <row r="558" spans="1:13" ht="15.75" customHeight="1" x14ac:dyDescent="0.25">
      <c r="A558" s="65">
        <v>22</v>
      </c>
      <c r="B558" s="66" t="s">
        <v>735</v>
      </c>
      <c r="C558" s="82">
        <v>1</v>
      </c>
      <c r="D558" s="76" t="s">
        <v>736</v>
      </c>
      <c r="E558" s="69" t="s">
        <v>131</v>
      </c>
      <c r="F558" s="76">
        <v>81897719002</v>
      </c>
      <c r="G558" s="71">
        <f t="shared" si="49"/>
        <v>222.25752000000003</v>
      </c>
      <c r="H558" s="71">
        <f t="shared" si="50"/>
        <v>222.25752000000003</v>
      </c>
      <c r="I558" s="71">
        <f t="shared" si="51"/>
        <v>222.25752000000003</v>
      </c>
      <c r="J558" s="71">
        <f t="shared" si="52"/>
        <v>222.25752000000003</v>
      </c>
      <c r="K558" s="72">
        <v>0</v>
      </c>
      <c r="M558" s="58">
        <f>VLOOKUP(D558,'TABELA DE PRECOS'!B:C,2,0)</f>
        <v>222.25752000000003</v>
      </c>
    </row>
    <row r="559" spans="1:13" ht="15.75" customHeight="1" x14ac:dyDescent="0.25">
      <c r="A559" s="65">
        <v>23</v>
      </c>
      <c r="B559" s="66" t="s">
        <v>737</v>
      </c>
      <c r="C559" s="82">
        <v>1</v>
      </c>
      <c r="D559" s="76" t="s">
        <v>738</v>
      </c>
      <c r="E559" s="69" t="s">
        <v>131</v>
      </c>
      <c r="F559" s="76">
        <v>81897719002</v>
      </c>
      <c r="G559" s="71">
        <f t="shared" si="49"/>
        <v>222.25752000000003</v>
      </c>
      <c r="H559" s="71">
        <f t="shared" si="50"/>
        <v>222.25752000000003</v>
      </c>
      <c r="I559" s="71">
        <f t="shared" si="51"/>
        <v>222.25752000000003</v>
      </c>
      <c r="J559" s="71">
        <f t="shared" si="52"/>
        <v>222.25752000000003</v>
      </c>
      <c r="K559" s="72">
        <v>0</v>
      </c>
      <c r="M559" s="58">
        <f>VLOOKUP(D559,'TABELA DE PRECOS'!B:C,2,0)</f>
        <v>222.25752000000003</v>
      </c>
    </row>
    <row r="560" spans="1:13" ht="15.75" customHeight="1" x14ac:dyDescent="0.25">
      <c r="A560" s="65">
        <v>24</v>
      </c>
      <c r="B560" s="66" t="s">
        <v>739</v>
      </c>
      <c r="C560" s="82">
        <v>1</v>
      </c>
      <c r="D560" s="76" t="s">
        <v>740</v>
      </c>
      <c r="E560" s="69" t="s">
        <v>131</v>
      </c>
      <c r="F560" s="76">
        <v>81897719002</v>
      </c>
      <c r="G560" s="71">
        <f t="shared" si="49"/>
        <v>244.48079999999999</v>
      </c>
      <c r="H560" s="71">
        <f t="shared" si="50"/>
        <v>244.48079999999999</v>
      </c>
      <c r="I560" s="71">
        <f t="shared" si="51"/>
        <v>244.48079999999999</v>
      </c>
      <c r="J560" s="71">
        <f t="shared" si="52"/>
        <v>244.48079999999999</v>
      </c>
      <c r="K560" s="72">
        <v>0</v>
      </c>
      <c r="M560" s="58">
        <f>VLOOKUP(D560,'TABELA DE PRECOS'!B:C,2,0)</f>
        <v>244.48079999999999</v>
      </c>
    </row>
    <row r="561" spans="1:13" ht="15.75" customHeight="1" x14ac:dyDescent="0.25">
      <c r="A561" s="65">
        <v>25</v>
      </c>
      <c r="B561" s="66" t="s">
        <v>741</v>
      </c>
      <c r="C561" s="82">
        <v>1</v>
      </c>
      <c r="D561" s="76" t="s">
        <v>742</v>
      </c>
      <c r="E561" s="69" t="s">
        <v>131</v>
      </c>
      <c r="F561" s="76">
        <v>81897719002</v>
      </c>
      <c r="G561" s="71">
        <f t="shared" si="49"/>
        <v>244.48079999999999</v>
      </c>
      <c r="H561" s="71">
        <f t="shared" si="50"/>
        <v>244.48079999999999</v>
      </c>
      <c r="I561" s="71">
        <f t="shared" si="51"/>
        <v>244.48079999999999</v>
      </c>
      <c r="J561" s="71">
        <f t="shared" si="52"/>
        <v>244.48079999999999</v>
      </c>
      <c r="K561" s="72">
        <v>0</v>
      </c>
      <c r="M561" s="58">
        <f>VLOOKUP(D561,'TABELA DE PRECOS'!B:C,2,0)</f>
        <v>244.48079999999999</v>
      </c>
    </row>
    <row r="562" spans="1:13" ht="15.75" customHeight="1" x14ac:dyDescent="0.25">
      <c r="A562" s="65">
        <v>26</v>
      </c>
      <c r="B562" s="66" t="s">
        <v>743</v>
      </c>
      <c r="C562" s="82">
        <v>1</v>
      </c>
      <c r="D562" s="76" t="s">
        <v>744</v>
      </c>
      <c r="E562" s="69" t="s">
        <v>131</v>
      </c>
      <c r="F562" s="76">
        <v>81897710001</v>
      </c>
      <c r="G562" s="71">
        <f t="shared" si="49"/>
        <v>258.48879999999997</v>
      </c>
      <c r="H562" s="71">
        <f t="shared" si="50"/>
        <v>258.48879999999997</v>
      </c>
      <c r="I562" s="71">
        <f t="shared" si="51"/>
        <v>258.48879999999997</v>
      </c>
      <c r="J562" s="71">
        <f t="shared" si="52"/>
        <v>258.48879999999997</v>
      </c>
      <c r="K562" s="72">
        <v>0</v>
      </c>
      <c r="M562" s="58">
        <f>VLOOKUP(D562,'TABELA DE PRECOS'!B:C,2,0)</f>
        <v>258.48879999999997</v>
      </c>
    </row>
    <row r="563" spans="1:13" ht="15.75" customHeight="1" x14ac:dyDescent="0.25">
      <c r="A563" s="65">
        <v>27</v>
      </c>
      <c r="B563" s="66" t="s">
        <v>622</v>
      </c>
      <c r="C563" s="82">
        <v>1</v>
      </c>
      <c r="D563" s="66" t="s">
        <v>623</v>
      </c>
      <c r="E563" s="69" t="s">
        <v>131</v>
      </c>
      <c r="F563" s="76">
        <v>81897719002</v>
      </c>
      <c r="G563" s="71">
        <f t="shared" si="49"/>
        <v>266.71232000000003</v>
      </c>
      <c r="H563" s="71">
        <f t="shared" si="50"/>
        <v>266.71232000000003</v>
      </c>
      <c r="I563" s="71">
        <f t="shared" si="51"/>
        <v>266.71232000000003</v>
      </c>
      <c r="J563" s="71">
        <f t="shared" si="52"/>
        <v>266.71232000000003</v>
      </c>
      <c r="K563" s="72">
        <v>0</v>
      </c>
      <c r="M563" s="58">
        <f>VLOOKUP(D563,'TABELA DE PRECOS'!B:C,2,0)</f>
        <v>266.71232000000003</v>
      </c>
    </row>
    <row r="564" spans="1:13" ht="15.75" customHeight="1" x14ac:dyDescent="0.25">
      <c r="A564" s="67">
        <v>28</v>
      </c>
      <c r="B564" s="100" t="s">
        <v>1632</v>
      </c>
      <c r="C564" s="82">
        <v>1</v>
      </c>
      <c r="D564" s="66" t="s">
        <v>745</v>
      </c>
      <c r="E564" s="69" t="s">
        <v>131</v>
      </c>
      <c r="F564" s="76">
        <v>81897710011</v>
      </c>
      <c r="G564" s="87">
        <f t="shared" si="49"/>
        <v>296.35984000000002</v>
      </c>
      <c r="H564" s="87">
        <f t="shared" si="50"/>
        <v>296.35984000000002</v>
      </c>
      <c r="I564" s="87">
        <f t="shared" si="51"/>
        <v>296.35984000000002</v>
      </c>
      <c r="J564" s="87">
        <f t="shared" si="52"/>
        <v>296.35984000000002</v>
      </c>
      <c r="K564" s="101">
        <v>0</v>
      </c>
      <c r="L564" s="100"/>
      <c r="M564" s="102">
        <f>VLOOKUP(D564,'TABELA DE PRECOS'!B:C,2,0)</f>
        <v>296.35984000000002</v>
      </c>
    </row>
    <row r="565" spans="1:13" ht="15.75" customHeight="1" x14ac:dyDescent="0.25">
      <c r="A565" s="67">
        <v>29</v>
      </c>
      <c r="B565" s="100" t="s">
        <v>1633</v>
      </c>
      <c r="C565" s="82">
        <v>1</v>
      </c>
      <c r="D565" s="66" t="s">
        <v>746</v>
      </c>
      <c r="E565" s="69" t="s">
        <v>131</v>
      </c>
      <c r="F565" s="76">
        <v>81897710011</v>
      </c>
      <c r="G565" s="87">
        <f t="shared" si="49"/>
        <v>296.35984000000002</v>
      </c>
      <c r="H565" s="87">
        <f t="shared" si="50"/>
        <v>296.35984000000002</v>
      </c>
      <c r="I565" s="87">
        <f t="shared" si="51"/>
        <v>296.35984000000002</v>
      </c>
      <c r="J565" s="87">
        <f t="shared" si="52"/>
        <v>296.35984000000002</v>
      </c>
      <c r="K565" s="101">
        <v>0</v>
      </c>
      <c r="L565" s="100"/>
      <c r="M565" s="102">
        <f>VLOOKUP(D565,'TABELA DE PRECOS'!B:C,2,0)</f>
        <v>296.35984000000002</v>
      </c>
    </row>
    <row r="566" spans="1:13" ht="15.75" customHeight="1" x14ac:dyDescent="0.25">
      <c r="A566" s="65">
        <v>30</v>
      </c>
      <c r="B566" s="84" t="s">
        <v>687</v>
      </c>
      <c r="C566" s="73">
        <v>20</v>
      </c>
      <c r="D566" s="85" t="s">
        <v>688</v>
      </c>
      <c r="E566" s="86" t="s">
        <v>131</v>
      </c>
      <c r="F566" s="85">
        <v>81897719002</v>
      </c>
      <c r="G566" s="71">
        <f t="shared" si="49"/>
        <v>20.75656</v>
      </c>
      <c r="H566" s="71">
        <f t="shared" si="50"/>
        <v>415.13120000000004</v>
      </c>
      <c r="I566" s="71">
        <f t="shared" si="51"/>
        <v>20.75656</v>
      </c>
      <c r="J566" s="71">
        <f t="shared" si="52"/>
        <v>415.13120000000004</v>
      </c>
      <c r="K566" s="72">
        <v>0</v>
      </c>
      <c r="M566" s="58">
        <f>VLOOKUP(D566,'TABELA DE PRECOS'!B:C,2,0)</f>
        <v>20.75656</v>
      </c>
    </row>
    <row r="567" spans="1:13" ht="15.75" customHeight="1" x14ac:dyDescent="0.25">
      <c r="A567" s="65">
        <v>31</v>
      </c>
      <c r="B567" s="84" t="s">
        <v>690</v>
      </c>
      <c r="C567" s="73">
        <v>1</v>
      </c>
      <c r="D567" s="85" t="s">
        <v>691</v>
      </c>
      <c r="E567" s="86" t="s">
        <v>131</v>
      </c>
      <c r="F567" s="85">
        <v>81897719002</v>
      </c>
      <c r="G567" s="71">
        <f t="shared" si="49"/>
        <v>9.6490400000000012</v>
      </c>
      <c r="H567" s="71">
        <f t="shared" si="50"/>
        <v>9.6490400000000012</v>
      </c>
      <c r="I567" s="71">
        <f t="shared" si="51"/>
        <v>9.6490400000000012</v>
      </c>
      <c r="J567" s="71">
        <f t="shared" si="52"/>
        <v>9.6490400000000012</v>
      </c>
      <c r="K567" s="72">
        <v>0</v>
      </c>
      <c r="M567" s="58">
        <f>VLOOKUP(D567,'TABELA DE PRECOS'!B:C,2,0)</f>
        <v>9.6490400000000012</v>
      </c>
    </row>
    <row r="568" spans="1:13" ht="15.75" customHeight="1" x14ac:dyDescent="0.25">
      <c r="A568" s="65">
        <v>32</v>
      </c>
      <c r="B568" s="84" t="s">
        <v>747</v>
      </c>
      <c r="C568" s="73">
        <v>1</v>
      </c>
      <c r="D568" s="85" t="s">
        <v>748</v>
      </c>
      <c r="E568" s="86" t="s">
        <v>131</v>
      </c>
      <c r="F568" s="85">
        <v>81897719002</v>
      </c>
      <c r="G568" s="71">
        <f t="shared" si="49"/>
        <v>10.35768</v>
      </c>
      <c r="H568" s="71">
        <f t="shared" si="50"/>
        <v>10.35768</v>
      </c>
      <c r="I568" s="71">
        <f t="shared" si="51"/>
        <v>10.35768</v>
      </c>
      <c r="J568" s="71">
        <f t="shared" si="52"/>
        <v>10.35768</v>
      </c>
      <c r="K568" s="72">
        <v>0</v>
      </c>
      <c r="M568" s="58">
        <f>VLOOKUP(D568,'TABELA DE PRECOS'!B:C,2,0)</f>
        <v>10.35768</v>
      </c>
    </row>
    <row r="569" spans="1:13" ht="15.75" customHeight="1" x14ac:dyDescent="0.25">
      <c r="A569" s="65">
        <v>33</v>
      </c>
      <c r="B569" s="84" t="s">
        <v>195</v>
      </c>
      <c r="C569" s="73">
        <v>2</v>
      </c>
      <c r="D569" s="85" t="s">
        <v>196</v>
      </c>
      <c r="E569" s="86" t="s">
        <v>131</v>
      </c>
      <c r="F569" s="85">
        <v>81897719002</v>
      </c>
      <c r="G569" s="71">
        <f t="shared" si="49"/>
        <v>9.0399999999999991</v>
      </c>
      <c r="H569" s="71">
        <f t="shared" si="50"/>
        <v>18.079999999999998</v>
      </c>
      <c r="I569" s="71">
        <f t="shared" si="51"/>
        <v>9.0399999999999991</v>
      </c>
      <c r="J569" s="71">
        <f t="shared" si="52"/>
        <v>18.079999999999998</v>
      </c>
      <c r="K569" s="72">
        <v>0</v>
      </c>
      <c r="M569" s="58">
        <f>VLOOKUP(D569,'TABELA DE PRECOS'!B:C,2,0)</f>
        <v>9.0399999999999991</v>
      </c>
    </row>
    <row r="570" spans="1:13" ht="15.75" customHeight="1" x14ac:dyDescent="0.25">
      <c r="A570" s="65">
        <v>34</v>
      </c>
      <c r="B570" s="84" t="s">
        <v>328</v>
      </c>
      <c r="C570" s="73">
        <v>2</v>
      </c>
      <c r="D570" s="85" t="s">
        <v>329</v>
      </c>
      <c r="E570" s="86" t="s">
        <v>131</v>
      </c>
      <c r="F570" s="85">
        <v>81897719002</v>
      </c>
      <c r="G570" s="71">
        <f t="shared" si="49"/>
        <v>10.92</v>
      </c>
      <c r="H570" s="71">
        <f t="shared" si="50"/>
        <v>21.84</v>
      </c>
      <c r="I570" s="71">
        <f t="shared" si="51"/>
        <v>10.92</v>
      </c>
      <c r="J570" s="71">
        <f t="shared" si="52"/>
        <v>21.84</v>
      </c>
      <c r="K570" s="72">
        <v>0</v>
      </c>
      <c r="M570" s="58">
        <f>VLOOKUP(D570,'TABELA DE PRECOS'!B:C,2,0)</f>
        <v>10.92</v>
      </c>
    </row>
    <row r="571" spans="1:13" ht="15.75" customHeight="1" x14ac:dyDescent="0.25">
      <c r="A571" s="65">
        <v>35</v>
      </c>
      <c r="B571" s="84" t="s">
        <v>1584</v>
      </c>
      <c r="C571" s="73">
        <v>3</v>
      </c>
      <c r="D571" s="85" t="s">
        <v>1585</v>
      </c>
      <c r="E571" s="86" t="s">
        <v>131</v>
      </c>
      <c r="F571" s="85">
        <v>81897719002</v>
      </c>
      <c r="G571" s="71">
        <f t="shared" si="49"/>
        <v>22.22</v>
      </c>
      <c r="H571" s="71">
        <f t="shared" si="50"/>
        <v>66.66</v>
      </c>
      <c r="I571" s="71">
        <f t="shared" si="51"/>
        <v>22.22</v>
      </c>
      <c r="J571" s="71">
        <f t="shared" si="52"/>
        <v>66.66</v>
      </c>
      <c r="K571" s="72">
        <v>0</v>
      </c>
      <c r="M571" s="58">
        <f>VLOOKUP(D571,'TABELA DE PRECOS'!B:C,2,0)</f>
        <v>22.22</v>
      </c>
    </row>
    <row r="572" spans="1:13" ht="15.75" customHeight="1" x14ac:dyDescent="0.25">
      <c r="A572" s="65">
        <v>36</v>
      </c>
      <c r="B572" s="84" t="s">
        <v>185</v>
      </c>
      <c r="C572" s="73">
        <v>10</v>
      </c>
      <c r="D572" s="85" t="s">
        <v>186</v>
      </c>
      <c r="E572" s="86" t="s">
        <v>131</v>
      </c>
      <c r="F572" s="85">
        <v>81897719002</v>
      </c>
      <c r="G572" s="71">
        <f t="shared" si="49"/>
        <v>17.28</v>
      </c>
      <c r="H572" s="71">
        <f t="shared" si="50"/>
        <v>172.8</v>
      </c>
      <c r="I572" s="71">
        <f t="shared" si="51"/>
        <v>17.28</v>
      </c>
      <c r="J572" s="71">
        <f t="shared" si="52"/>
        <v>172.8</v>
      </c>
      <c r="K572" s="72">
        <v>0</v>
      </c>
      <c r="M572" s="58">
        <f>VLOOKUP(D572,'TABELA DE PRECOS'!B:C,2,0)</f>
        <v>17.28</v>
      </c>
    </row>
    <row r="573" spans="1:13" ht="15.75" customHeight="1" x14ac:dyDescent="0.25">
      <c r="A573" s="65">
        <v>37</v>
      </c>
      <c r="B573" s="84" t="s">
        <v>1586</v>
      </c>
      <c r="C573" s="73">
        <v>10</v>
      </c>
      <c r="D573" s="85" t="s">
        <v>1588</v>
      </c>
      <c r="E573" s="86" t="s">
        <v>131</v>
      </c>
      <c r="F573" s="85">
        <v>81897719002</v>
      </c>
      <c r="G573" s="71">
        <v>16.52</v>
      </c>
      <c r="H573" s="71">
        <f t="shared" si="50"/>
        <v>165.2</v>
      </c>
      <c r="I573" s="71">
        <f t="shared" si="51"/>
        <v>16.52</v>
      </c>
      <c r="J573" s="71">
        <f t="shared" si="52"/>
        <v>165.2</v>
      </c>
      <c r="K573" s="72">
        <v>0</v>
      </c>
      <c r="M573" s="58">
        <f>VLOOKUP(D573,'TABELA DE PRECOS'!B:C,2,0)</f>
        <v>16.52</v>
      </c>
    </row>
    <row r="574" spans="1:13" ht="15.75" customHeight="1" x14ac:dyDescent="0.25">
      <c r="A574" s="65">
        <v>38</v>
      </c>
      <c r="B574" s="84" t="s">
        <v>1587</v>
      </c>
      <c r="C574" s="73">
        <v>10</v>
      </c>
      <c r="D574" s="85" t="s">
        <v>1589</v>
      </c>
      <c r="E574" s="86" t="s">
        <v>131</v>
      </c>
      <c r="F574" s="85">
        <v>81897719002</v>
      </c>
      <c r="G574" s="71">
        <v>15.95</v>
      </c>
      <c r="H574" s="71">
        <f t="shared" si="50"/>
        <v>159.5</v>
      </c>
      <c r="I574" s="71">
        <f t="shared" si="51"/>
        <v>15.95</v>
      </c>
      <c r="J574" s="71">
        <f t="shared" si="52"/>
        <v>159.5</v>
      </c>
      <c r="K574" s="72">
        <v>0</v>
      </c>
      <c r="M574" s="58">
        <f>VLOOKUP(D574,'TABELA DE PRECOS'!B:C,2,0)</f>
        <v>15.95</v>
      </c>
    </row>
    <row r="575" spans="1:13" ht="15.75" customHeight="1" x14ac:dyDescent="0.25">
      <c r="A575" s="65">
        <v>39</v>
      </c>
      <c r="B575" s="84" t="s">
        <v>696</v>
      </c>
      <c r="C575" s="73">
        <v>5</v>
      </c>
      <c r="D575" s="85" t="s">
        <v>697</v>
      </c>
      <c r="E575" s="86" t="s">
        <v>131</v>
      </c>
      <c r="F575" s="85">
        <v>81897719002</v>
      </c>
      <c r="G575" s="71">
        <f t="shared" si="49"/>
        <v>20.006719999999998</v>
      </c>
      <c r="H575" s="71">
        <f t="shared" si="50"/>
        <v>100.03359999999999</v>
      </c>
      <c r="I575" s="71">
        <f t="shared" si="51"/>
        <v>20.006719999999998</v>
      </c>
      <c r="J575" s="71">
        <f t="shared" si="52"/>
        <v>100.03359999999999</v>
      </c>
      <c r="K575" s="72">
        <v>0</v>
      </c>
      <c r="M575" s="58">
        <f>VLOOKUP(D575,'TABELA DE PRECOS'!B:C,2,0)</f>
        <v>20.006719999999998</v>
      </c>
    </row>
    <row r="576" spans="1:13" ht="15.75" customHeight="1" x14ac:dyDescent="0.25">
      <c r="A576" s="65">
        <v>40</v>
      </c>
      <c r="B576" s="84" t="s">
        <v>622</v>
      </c>
      <c r="C576" s="73">
        <v>1</v>
      </c>
      <c r="D576" s="85" t="s">
        <v>623</v>
      </c>
      <c r="E576" s="86" t="s">
        <v>131</v>
      </c>
      <c r="F576" s="85">
        <v>81897719002</v>
      </c>
      <c r="G576" s="71">
        <f t="shared" si="49"/>
        <v>266.71232000000003</v>
      </c>
      <c r="H576" s="71">
        <f t="shared" si="50"/>
        <v>266.71232000000003</v>
      </c>
      <c r="I576" s="71">
        <f t="shared" si="51"/>
        <v>266.71232000000003</v>
      </c>
      <c r="J576" s="71">
        <f t="shared" si="52"/>
        <v>266.71232000000003</v>
      </c>
      <c r="K576" s="72">
        <v>0</v>
      </c>
      <c r="M576" s="58">
        <f>VLOOKUP(D576,'TABELA DE PRECOS'!B:C,2,0)</f>
        <v>266.71232000000003</v>
      </c>
    </row>
    <row r="577" spans="1:13" ht="15.75" customHeight="1" x14ac:dyDescent="0.25">
      <c r="A577" s="65">
        <v>41</v>
      </c>
      <c r="B577" s="84" t="s">
        <v>360</v>
      </c>
      <c r="C577" s="73">
        <v>2</v>
      </c>
      <c r="D577" s="85" t="s">
        <v>361</v>
      </c>
      <c r="E577" s="86" t="s">
        <v>131</v>
      </c>
      <c r="F577" s="85">
        <v>81897719002</v>
      </c>
      <c r="G577" s="71">
        <f t="shared" si="49"/>
        <v>19.477120000000003</v>
      </c>
      <c r="H577" s="71">
        <f t="shared" si="50"/>
        <v>38.954240000000006</v>
      </c>
      <c r="I577" s="71">
        <f t="shared" si="51"/>
        <v>19.477120000000003</v>
      </c>
      <c r="J577" s="71">
        <f t="shared" si="52"/>
        <v>38.954240000000006</v>
      </c>
      <c r="K577" s="72">
        <v>0</v>
      </c>
      <c r="M577" s="58">
        <f>VLOOKUP(D577,'TABELA DE PRECOS'!B:C,2,0)</f>
        <v>19.477120000000003</v>
      </c>
    </row>
    <row r="578" spans="1:13" ht="15.75" customHeight="1" x14ac:dyDescent="0.25">
      <c r="A578" s="65">
        <v>42</v>
      </c>
      <c r="B578" s="84" t="s">
        <v>749</v>
      </c>
      <c r="C578" s="73">
        <v>1</v>
      </c>
      <c r="D578" s="85" t="s">
        <v>750</v>
      </c>
      <c r="E578" s="86" t="s">
        <v>131</v>
      </c>
      <c r="F578" s="85">
        <v>81897719003</v>
      </c>
      <c r="G578" s="71">
        <f t="shared" si="49"/>
        <v>100.01712000000001</v>
      </c>
      <c r="H578" s="71">
        <f t="shared" si="50"/>
        <v>100.01712000000001</v>
      </c>
      <c r="I578" s="71">
        <f t="shared" si="51"/>
        <v>100.01712000000001</v>
      </c>
      <c r="J578" s="71">
        <f t="shared" si="52"/>
        <v>100.01712000000001</v>
      </c>
      <c r="K578" s="72">
        <v>0</v>
      </c>
      <c r="M578" s="58">
        <f>VLOOKUP(D578,'TABELA DE PRECOS'!B:C,2,0)</f>
        <v>100.01712000000001</v>
      </c>
    </row>
    <row r="579" spans="1:13" ht="15.75" customHeight="1" x14ac:dyDescent="0.25">
      <c r="A579" s="65">
        <v>43</v>
      </c>
      <c r="B579" s="84" t="s">
        <v>751</v>
      </c>
      <c r="C579" s="73">
        <v>1</v>
      </c>
      <c r="D579" s="85" t="s">
        <v>752</v>
      </c>
      <c r="E579" s="86" t="s">
        <v>131</v>
      </c>
      <c r="F579" s="85">
        <v>81897719003</v>
      </c>
      <c r="G579" s="71">
        <f t="shared" si="49"/>
        <v>122.24039999999999</v>
      </c>
      <c r="H579" s="71">
        <f t="shared" si="50"/>
        <v>122.24039999999999</v>
      </c>
      <c r="I579" s="71">
        <f t="shared" si="51"/>
        <v>122.24039999999999</v>
      </c>
      <c r="J579" s="71">
        <f t="shared" si="52"/>
        <v>122.24039999999999</v>
      </c>
      <c r="K579" s="72">
        <v>0</v>
      </c>
      <c r="M579" s="58">
        <f>VLOOKUP(D579,'TABELA DE PRECOS'!B:C,2,0)</f>
        <v>122.24039999999999</v>
      </c>
    </row>
    <row r="580" spans="1:13" ht="15.75" customHeight="1" x14ac:dyDescent="0.25">
      <c r="A580" s="65">
        <v>44</v>
      </c>
      <c r="B580" s="84" t="s">
        <v>700</v>
      </c>
      <c r="C580" s="73">
        <v>1</v>
      </c>
      <c r="D580" s="85" t="s">
        <v>701</v>
      </c>
      <c r="E580" s="86" t="s">
        <v>131</v>
      </c>
      <c r="F580" s="85">
        <v>81897719002</v>
      </c>
      <c r="G580" s="71">
        <f t="shared" si="49"/>
        <v>37.030560000000001</v>
      </c>
      <c r="H580" s="71">
        <f t="shared" si="50"/>
        <v>37.030560000000001</v>
      </c>
      <c r="I580" s="71">
        <f t="shared" si="51"/>
        <v>37.030560000000001</v>
      </c>
      <c r="J580" s="71">
        <f t="shared" si="52"/>
        <v>37.030560000000001</v>
      </c>
      <c r="K580" s="72">
        <v>0</v>
      </c>
      <c r="M580" s="58">
        <f>VLOOKUP(D580,'TABELA DE PRECOS'!B:C,2,0)</f>
        <v>37.030560000000001</v>
      </c>
    </row>
    <row r="581" spans="1:13" ht="15.75" customHeight="1" x14ac:dyDescent="0.25">
      <c r="A581" s="65">
        <v>45</v>
      </c>
      <c r="B581" s="84" t="s">
        <v>753</v>
      </c>
      <c r="C581" s="73">
        <v>1</v>
      </c>
      <c r="D581" s="85" t="s">
        <v>754</v>
      </c>
      <c r="E581" s="86" t="s">
        <v>131</v>
      </c>
      <c r="F581" s="85">
        <v>81897719002</v>
      </c>
      <c r="G581" s="71">
        <f t="shared" si="49"/>
        <v>24.09376</v>
      </c>
      <c r="H581" s="71">
        <f t="shared" si="50"/>
        <v>24.09376</v>
      </c>
      <c r="I581" s="71">
        <f t="shared" si="51"/>
        <v>24.09376</v>
      </c>
      <c r="J581" s="71">
        <f t="shared" si="52"/>
        <v>24.09376</v>
      </c>
      <c r="K581" s="72">
        <v>0</v>
      </c>
      <c r="M581" s="58">
        <f>VLOOKUP(D581,'TABELA DE PRECOS'!B:C,2,0)</f>
        <v>24.09376</v>
      </c>
    </row>
    <row r="582" spans="1:13" ht="15.75" customHeight="1" x14ac:dyDescent="0.25">
      <c r="A582" s="65">
        <v>46</v>
      </c>
      <c r="B582" s="84" t="s">
        <v>370</v>
      </c>
      <c r="C582" s="73">
        <v>1</v>
      </c>
      <c r="D582" s="85" t="s">
        <v>371</v>
      </c>
      <c r="E582" s="86" t="s">
        <v>131</v>
      </c>
      <c r="F582" s="85">
        <v>81897719002</v>
      </c>
      <c r="G582" s="71">
        <f t="shared" si="49"/>
        <v>19.41</v>
      </c>
      <c r="H582" s="71">
        <f t="shared" si="50"/>
        <v>19.41</v>
      </c>
      <c r="I582" s="71">
        <f t="shared" si="51"/>
        <v>19.41</v>
      </c>
      <c r="J582" s="71">
        <f t="shared" si="52"/>
        <v>19.41</v>
      </c>
      <c r="K582" s="72">
        <v>0</v>
      </c>
      <c r="M582" s="58">
        <f>VLOOKUP(D582,'TABELA DE PRECOS'!B:C,2,0)</f>
        <v>19.41</v>
      </c>
    </row>
    <row r="583" spans="1:13" ht="15.75" customHeight="1" x14ac:dyDescent="0.25">
      <c r="A583" s="65">
        <v>47</v>
      </c>
      <c r="B583" s="84" t="s">
        <v>714</v>
      </c>
      <c r="C583" s="73">
        <v>1</v>
      </c>
      <c r="D583" s="85" t="s">
        <v>715</v>
      </c>
      <c r="E583" s="86" t="s">
        <v>131</v>
      </c>
      <c r="F583" s="85">
        <v>81897710034</v>
      </c>
      <c r="G583" s="71">
        <f t="shared" si="49"/>
        <v>26.672879999999996</v>
      </c>
      <c r="H583" s="71">
        <f t="shared" si="50"/>
        <v>26.672879999999996</v>
      </c>
      <c r="I583" s="71">
        <f t="shared" si="51"/>
        <v>26.672879999999996</v>
      </c>
      <c r="J583" s="71">
        <f t="shared" si="52"/>
        <v>26.672879999999996</v>
      </c>
      <c r="K583" s="72">
        <v>0</v>
      </c>
      <c r="M583" s="58">
        <f>VLOOKUP(D583,'TABELA DE PRECOS'!B:C,2,0)</f>
        <v>26.672879999999996</v>
      </c>
    </row>
    <row r="584" spans="1:13" ht="15.75" customHeight="1" x14ac:dyDescent="0.25">
      <c r="A584" s="65">
        <v>48</v>
      </c>
      <c r="B584" s="84" t="s">
        <v>628</v>
      </c>
      <c r="C584" s="73">
        <v>1</v>
      </c>
      <c r="D584" s="85" t="s">
        <v>629</v>
      </c>
      <c r="E584" s="86" t="s">
        <v>131</v>
      </c>
      <c r="F584" s="85">
        <v>81897710034</v>
      </c>
      <c r="G584" s="71">
        <f t="shared" si="49"/>
        <v>26.672879999999996</v>
      </c>
      <c r="H584" s="71">
        <f t="shared" si="50"/>
        <v>26.672879999999996</v>
      </c>
      <c r="I584" s="71">
        <f t="shared" si="51"/>
        <v>26.672879999999996</v>
      </c>
      <c r="J584" s="71">
        <f t="shared" si="52"/>
        <v>26.672879999999996</v>
      </c>
      <c r="K584" s="72">
        <v>0</v>
      </c>
      <c r="M584" s="58">
        <f>VLOOKUP(D584,'TABELA DE PRECOS'!B:C,2,0)</f>
        <v>26.672879999999996</v>
      </c>
    </row>
    <row r="585" spans="1:13" ht="15.75" customHeight="1" x14ac:dyDescent="0.25">
      <c r="A585" s="65">
        <v>49</v>
      </c>
      <c r="B585" s="84" t="s">
        <v>508</v>
      </c>
      <c r="C585" s="73">
        <v>1</v>
      </c>
      <c r="D585" s="85" t="s">
        <v>509</v>
      </c>
      <c r="E585" s="86" t="s">
        <v>131</v>
      </c>
      <c r="F585" s="85">
        <v>81897710034</v>
      </c>
      <c r="G585" s="71">
        <f t="shared" si="49"/>
        <v>26.672879999999996</v>
      </c>
      <c r="H585" s="71">
        <f t="shared" si="50"/>
        <v>26.672879999999996</v>
      </c>
      <c r="I585" s="71">
        <f t="shared" si="51"/>
        <v>26.672879999999996</v>
      </c>
      <c r="J585" s="71">
        <f t="shared" si="52"/>
        <v>26.672879999999996</v>
      </c>
      <c r="K585" s="72">
        <v>0</v>
      </c>
      <c r="M585" s="58">
        <f>VLOOKUP(D585,'TABELA DE PRECOS'!B:C,2,0)</f>
        <v>26.672879999999996</v>
      </c>
    </row>
    <row r="586" spans="1:13" ht="15.75" customHeight="1" x14ac:dyDescent="0.25">
      <c r="A586" s="65">
        <v>50</v>
      </c>
      <c r="B586" s="84" t="s">
        <v>755</v>
      </c>
      <c r="C586" s="73">
        <v>1</v>
      </c>
      <c r="D586" s="85" t="s">
        <v>756</v>
      </c>
      <c r="E586" s="86" t="s">
        <v>131</v>
      </c>
      <c r="F586" s="85" t="s">
        <v>223</v>
      </c>
      <c r="G586" s="71">
        <f t="shared" si="49"/>
        <v>479.64216000000005</v>
      </c>
      <c r="H586" s="71">
        <f t="shared" si="50"/>
        <v>479.64216000000005</v>
      </c>
      <c r="I586" s="71">
        <f t="shared" si="51"/>
        <v>479.64216000000005</v>
      </c>
      <c r="J586" s="71">
        <f t="shared" si="52"/>
        <v>479.64216000000005</v>
      </c>
      <c r="K586" s="72">
        <v>0</v>
      </c>
      <c r="M586" s="58">
        <f>VLOOKUP(D586,'TABELA DE PRECOS'!B:C,2,0)</f>
        <v>479.64216000000005</v>
      </c>
    </row>
    <row r="587" spans="1:13" ht="15.75" customHeight="1" x14ac:dyDescent="0.25">
      <c r="A587" s="65">
        <v>51</v>
      </c>
      <c r="B587" s="84" t="s">
        <v>630</v>
      </c>
      <c r="C587" s="73">
        <v>1</v>
      </c>
      <c r="D587" s="85" t="s">
        <v>631</v>
      </c>
      <c r="E587" s="86" t="s">
        <v>131</v>
      </c>
      <c r="F587" s="85" t="s">
        <v>223</v>
      </c>
      <c r="G587" s="71">
        <f t="shared" si="49"/>
        <v>602.25335999999993</v>
      </c>
      <c r="H587" s="71">
        <f t="shared" si="50"/>
        <v>602.25335999999993</v>
      </c>
      <c r="I587" s="71">
        <f t="shared" si="51"/>
        <v>602.25335999999993</v>
      </c>
      <c r="J587" s="71">
        <f t="shared" si="52"/>
        <v>602.25335999999993</v>
      </c>
      <c r="K587" s="72">
        <v>0</v>
      </c>
      <c r="M587" s="58">
        <f>VLOOKUP(D587,'TABELA DE PRECOS'!B:C,2,0)</f>
        <v>602.25335999999993</v>
      </c>
    </row>
    <row r="588" spans="1:13" ht="15.75" customHeight="1" x14ac:dyDescent="0.25">
      <c r="A588" s="65">
        <v>52</v>
      </c>
      <c r="B588" s="84" t="s">
        <v>376</v>
      </c>
      <c r="C588" s="73">
        <v>1</v>
      </c>
      <c r="D588" s="85" t="s">
        <v>632</v>
      </c>
      <c r="E588" s="86" t="s">
        <v>131</v>
      </c>
      <c r="F588" s="85" t="s">
        <v>223</v>
      </c>
      <c r="G588" s="71">
        <f t="shared" si="49"/>
        <v>514.57000000000005</v>
      </c>
      <c r="H588" s="71">
        <f t="shared" si="50"/>
        <v>514.57000000000005</v>
      </c>
      <c r="I588" s="71">
        <f t="shared" si="51"/>
        <v>514.57000000000005</v>
      </c>
      <c r="J588" s="71">
        <f t="shared" si="52"/>
        <v>514.57000000000005</v>
      </c>
      <c r="K588" s="72">
        <v>0</v>
      </c>
      <c r="M588" s="58">
        <f>VLOOKUP(D588,'TABELA DE PRECOS'!B:C,2,0)</f>
        <v>514.57000000000005</v>
      </c>
    </row>
    <row r="589" spans="1:13" ht="15.75" customHeight="1" x14ac:dyDescent="0.25">
      <c r="A589" s="65">
        <v>53</v>
      </c>
      <c r="B589" s="84" t="s">
        <v>378</v>
      </c>
      <c r="C589" s="73">
        <v>4</v>
      </c>
      <c r="D589" s="85" t="s">
        <v>633</v>
      </c>
      <c r="E589" s="86" t="s">
        <v>131</v>
      </c>
      <c r="F589" s="85" t="s">
        <v>223</v>
      </c>
      <c r="G589" s="71">
        <f t="shared" si="49"/>
        <v>9.18</v>
      </c>
      <c r="H589" s="71">
        <f t="shared" si="50"/>
        <v>36.72</v>
      </c>
      <c r="I589" s="71">
        <f t="shared" si="51"/>
        <v>9.18</v>
      </c>
      <c r="J589" s="71">
        <f t="shared" si="52"/>
        <v>36.72</v>
      </c>
      <c r="K589" s="72">
        <v>0</v>
      </c>
      <c r="M589" s="58">
        <f>VLOOKUP(D589,'TABELA DE PRECOS'!B:C,2,0)</f>
        <v>9.18</v>
      </c>
    </row>
    <row r="590" spans="1:13" ht="15.75" customHeight="1" x14ac:dyDescent="0.25">
      <c r="A590" s="78"/>
      <c r="B590" s="79" t="s">
        <v>224</v>
      </c>
      <c r="C590" s="79">
        <f>SUM(C537:C589)</f>
        <v>113</v>
      </c>
      <c r="D590" s="79"/>
      <c r="E590" s="79"/>
      <c r="F590" s="79"/>
      <c r="G590" s="80"/>
      <c r="H590" s="80">
        <f>SUM(H537:H589)</f>
        <v>6342.9900800000005</v>
      </c>
      <c r="I590" s="79"/>
      <c r="J590" s="80">
        <f>SUM(J537:J589)</f>
        <v>6342.9900800000005</v>
      </c>
      <c r="K590" s="81"/>
      <c r="M590" s="58" t="e">
        <f>VLOOKUP(D590,'TABELA DE PRECOS'!B:C,2,0)</f>
        <v>#N/A</v>
      </c>
    </row>
    <row r="591" spans="1:13" ht="15.75" customHeight="1" x14ac:dyDescent="0.25">
      <c r="A591" s="56"/>
      <c r="B591" s="49" t="s">
        <v>15</v>
      </c>
      <c r="C591" s="57"/>
      <c r="G591" s="58"/>
      <c r="H591" s="58"/>
      <c r="I591" s="58"/>
      <c r="J591" s="58"/>
      <c r="K591" s="59"/>
      <c r="M591" s="58" t="e">
        <f>VLOOKUP(D591,'TABELA DE PRECOS'!B:C,2,0)</f>
        <v>#N/A</v>
      </c>
    </row>
    <row r="592" spans="1:13" ht="15.75" customHeight="1" x14ac:dyDescent="0.25">
      <c r="A592" s="56"/>
      <c r="B592" s="18" t="s">
        <v>757</v>
      </c>
      <c r="C592" s="57"/>
      <c r="G592" s="58"/>
      <c r="H592" s="58"/>
      <c r="I592" s="58"/>
      <c r="J592" s="58"/>
      <c r="K592" s="59"/>
      <c r="M592" s="58" t="e">
        <f>VLOOKUP(D592,'TABELA DE PRECOS'!B:C,2,0)</f>
        <v>#N/A</v>
      </c>
    </row>
    <row r="593" spans="1:13" ht="15.75" customHeight="1" x14ac:dyDescent="0.25">
      <c r="A593" s="18" t="s">
        <v>119</v>
      </c>
      <c r="B593" s="18" t="s">
        <v>120</v>
      </c>
      <c r="C593" s="18" t="s">
        <v>21</v>
      </c>
      <c r="D593" s="18" t="s">
        <v>121</v>
      </c>
      <c r="E593" s="60" t="s">
        <v>122</v>
      </c>
      <c r="F593" s="18" t="s">
        <v>123</v>
      </c>
      <c r="G593" s="61" t="s">
        <v>22</v>
      </c>
      <c r="H593" s="18" t="s">
        <v>23</v>
      </c>
      <c r="I593" s="18" t="s">
        <v>24</v>
      </c>
      <c r="J593" s="18" t="s">
        <v>25</v>
      </c>
      <c r="K593" s="62" t="s">
        <v>26</v>
      </c>
      <c r="M593" s="58" t="str">
        <f>VLOOKUP(D593,'TABELA DE PRECOS'!B:C,2,0)</f>
        <v>Valor Unit Bruto</v>
      </c>
    </row>
    <row r="594" spans="1:13" ht="15.75" customHeight="1" x14ac:dyDescent="0.25">
      <c r="A594" s="65">
        <v>1</v>
      </c>
      <c r="B594" s="84" t="s">
        <v>133</v>
      </c>
      <c r="C594" s="73">
        <v>4</v>
      </c>
      <c r="D594" s="85" t="s">
        <v>134</v>
      </c>
      <c r="E594" s="86" t="s">
        <v>131</v>
      </c>
      <c r="F594" s="85">
        <v>81897719002</v>
      </c>
      <c r="G594" s="71">
        <f t="shared" ref="G594:G642" si="53">M594</f>
        <v>17.19688</v>
      </c>
      <c r="H594" s="71">
        <f t="shared" ref="H594:H642" si="54">G594*C594</f>
        <v>68.787520000000001</v>
      </c>
      <c r="I594" s="71">
        <f t="shared" ref="I594:I642" si="55">G594</f>
        <v>17.19688</v>
      </c>
      <c r="J594" s="71">
        <f t="shared" ref="J594:J642" si="56">I594*C594</f>
        <v>68.787520000000001</v>
      </c>
      <c r="K594" s="72">
        <v>0</v>
      </c>
      <c r="M594" s="58">
        <f>VLOOKUP(D594,'TABELA DE PRECOS'!B:C,2,0)</f>
        <v>17.19688</v>
      </c>
    </row>
    <row r="595" spans="1:13" ht="15.75" customHeight="1" x14ac:dyDescent="0.25">
      <c r="A595" s="65">
        <v>2</v>
      </c>
      <c r="B595" s="84" t="s">
        <v>292</v>
      </c>
      <c r="C595" s="73">
        <v>1</v>
      </c>
      <c r="D595" s="85" t="s">
        <v>293</v>
      </c>
      <c r="E595" s="86" t="s">
        <v>131</v>
      </c>
      <c r="F595" s="85">
        <v>81897719002</v>
      </c>
      <c r="G595" s="71">
        <f t="shared" si="53"/>
        <v>57.032640000000001</v>
      </c>
      <c r="H595" s="71">
        <f t="shared" si="54"/>
        <v>57.032640000000001</v>
      </c>
      <c r="I595" s="71">
        <f t="shared" si="55"/>
        <v>57.032640000000001</v>
      </c>
      <c r="J595" s="71">
        <f t="shared" si="56"/>
        <v>57.032640000000001</v>
      </c>
      <c r="K595" s="72">
        <v>0</v>
      </c>
      <c r="M595" s="58">
        <f>VLOOKUP(D595,'TABELA DE PRECOS'!B:C,2,0)</f>
        <v>57.032640000000001</v>
      </c>
    </row>
    <row r="596" spans="1:13" ht="15.75" customHeight="1" x14ac:dyDescent="0.25">
      <c r="A596" s="65">
        <v>3</v>
      </c>
      <c r="B596" s="84" t="s">
        <v>294</v>
      </c>
      <c r="C596" s="73">
        <v>1</v>
      </c>
      <c r="D596" s="85" t="s">
        <v>295</v>
      </c>
      <c r="E596" s="86" t="s">
        <v>131</v>
      </c>
      <c r="F596" s="85">
        <v>81897719002</v>
      </c>
      <c r="G596" s="71">
        <f t="shared" si="53"/>
        <v>58.95</v>
      </c>
      <c r="H596" s="71">
        <f t="shared" si="54"/>
        <v>58.95</v>
      </c>
      <c r="I596" s="71">
        <f t="shared" si="55"/>
        <v>58.95</v>
      </c>
      <c r="J596" s="71">
        <f t="shared" si="56"/>
        <v>58.95</v>
      </c>
      <c r="K596" s="72">
        <v>0</v>
      </c>
      <c r="M596" s="58">
        <f>VLOOKUP(D596,'TABELA DE PRECOS'!B:C,2,0)</f>
        <v>58.95</v>
      </c>
    </row>
    <row r="597" spans="1:13" ht="15.75" customHeight="1" x14ac:dyDescent="0.25">
      <c r="A597" s="65">
        <v>4</v>
      </c>
      <c r="B597" s="84" t="s">
        <v>296</v>
      </c>
      <c r="C597" s="73">
        <v>1</v>
      </c>
      <c r="D597" s="85" t="s">
        <v>297</v>
      </c>
      <c r="E597" s="86" t="s">
        <v>131</v>
      </c>
      <c r="F597" s="85">
        <v>81897719002</v>
      </c>
      <c r="G597" s="71">
        <f t="shared" si="53"/>
        <v>57.032640000000001</v>
      </c>
      <c r="H597" s="71">
        <f t="shared" si="54"/>
        <v>57.032640000000001</v>
      </c>
      <c r="I597" s="71">
        <f t="shared" si="55"/>
        <v>57.032640000000001</v>
      </c>
      <c r="J597" s="71">
        <f t="shared" si="56"/>
        <v>57.032640000000001</v>
      </c>
      <c r="K597" s="72">
        <v>0</v>
      </c>
      <c r="M597" s="58">
        <f>VLOOKUP(D597,'TABELA DE PRECOS'!B:C,2,0)</f>
        <v>57.032640000000001</v>
      </c>
    </row>
    <row r="598" spans="1:13" ht="15.75" customHeight="1" x14ac:dyDescent="0.25">
      <c r="A598" s="65">
        <v>5</v>
      </c>
      <c r="B598" s="84" t="s">
        <v>758</v>
      </c>
      <c r="C598" s="73">
        <v>2</v>
      </c>
      <c r="D598" s="85" t="s">
        <v>759</v>
      </c>
      <c r="E598" s="86" t="s">
        <v>131</v>
      </c>
      <c r="F598" s="85">
        <v>81897719002</v>
      </c>
      <c r="G598" s="71">
        <f t="shared" si="53"/>
        <v>17.798400000000001</v>
      </c>
      <c r="H598" s="71">
        <f t="shared" si="54"/>
        <v>35.596800000000002</v>
      </c>
      <c r="I598" s="71">
        <f t="shared" si="55"/>
        <v>17.798400000000001</v>
      </c>
      <c r="J598" s="71">
        <f t="shared" si="56"/>
        <v>35.596800000000002</v>
      </c>
      <c r="K598" s="72">
        <v>0</v>
      </c>
      <c r="M598" s="58">
        <f>VLOOKUP(D598,'TABELA DE PRECOS'!B:C,2,0)</f>
        <v>17.798400000000001</v>
      </c>
    </row>
    <row r="599" spans="1:13" ht="15.75" customHeight="1" x14ac:dyDescent="0.25">
      <c r="A599" s="65">
        <v>6</v>
      </c>
      <c r="B599" s="84" t="s">
        <v>300</v>
      </c>
      <c r="C599" s="73">
        <v>1</v>
      </c>
      <c r="D599" s="85" t="s">
        <v>301</v>
      </c>
      <c r="E599" s="86" t="s">
        <v>131</v>
      </c>
      <c r="F599" s="85">
        <v>81897719002</v>
      </c>
      <c r="G599" s="71">
        <f t="shared" si="53"/>
        <v>9.4</v>
      </c>
      <c r="H599" s="71">
        <f t="shared" si="54"/>
        <v>9.4</v>
      </c>
      <c r="I599" s="71">
        <f t="shared" si="55"/>
        <v>9.4</v>
      </c>
      <c r="J599" s="71">
        <f t="shared" si="56"/>
        <v>9.4</v>
      </c>
      <c r="K599" s="72">
        <v>0</v>
      </c>
      <c r="M599" s="58">
        <f>VLOOKUP(D599,'TABELA DE PRECOS'!B:C,2,0)</f>
        <v>9.4</v>
      </c>
    </row>
    <row r="600" spans="1:13" ht="15.75" customHeight="1" x14ac:dyDescent="0.25">
      <c r="A600" s="65">
        <v>7</v>
      </c>
      <c r="B600" s="84" t="s">
        <v>451</v>
      </c>
      <c r="C600" s="73">
        <v>1</v>
      </c>
      <c r="D600" s="49" t="s">
        <v>452</v>
      </c>
      <c r="E600" s="86" t="s">
        <v>131</v>
      </c>
      <c r="F600" s="85">
        <v>81897710021</v>
      </c>
      <c r="G600" s="71">
        <f t="shared" si="53"/>
        <v>6.12</v>
      </c>
      <c r="H600" s="71">
        <f t="shared" si="54"/>
        <v>6.12</v>
      </c>
      <c r="I600" s="71">
        <f t="shared" si="55"/>
        <v>6.12</v>
      </c>
      <c r="J600" s="71">
        <f t="shared" si="56"/>
        <v>6.12</v>
      </c>
      <c r="K600" s="72">
        <v>0</v>
      </c>
      <c r="M600" s="58">
        <f>VLOOKUP(D600,'TABELA DE PRECOS'!B:C,2,0)</f>
        <v>6.12</v>
      </c>
    </row>
    <row r="601" spans="1:13" ht="15.75" customHeight="1" x14ac:dyDescent="0.25">
      <c r="A601" s="65">
        <v>8</v>
      </c>
      <c r="B601" s="84" t="s">
        <v>760</v>
      </c>
      <c r="C601" s="73">
        <v>1</v>
      </c>
      <c r="D601" s="85" t="s">
        <v>761</v>
      </c>
      <c r="E601" s="86" t="s">
        <v>131</v>
      </c>
      <c r="F601" s="85">
        <v>81897719002</v>
      </c>
      <c r="G601" s="71">
        <f t="shared" si="53"/>
        <v>12.846159999999999</v>
      </c>
      <c r="H601" s="71">
        <f t="shared" si="54"/>
        <v>12.846159999999999</v>
      </c>
      <c r="I601" s="71">
        <f t="shared" si="55"/>
        <v>12.846159999999999</v>
      </c>
      <c r="J601" s="71">
        <f t="shared" si="56"/>
        <v>12.846159999999999</v>
      </c>
      <c r="K601" s="72">
        <v>0</v>
      </c>
      <c r="M601" s="58">
        <f>VLOOKUP(D601,'TABELA DE PRECOS'!B:C,2,0)</f>
        <v>12.846159999999999</v>
      </c>
    </row>
    <row r="602" spans="1:13" ht="15.75" customHeight="1" x14ac:dyDescent="0.25">
      <c r="A602" s="65">
        <v>9</v>
      </c>
      <c r="B602" s="84" t="s">
        <v>762</v>
      </c>
      <c r="C602" s="73">
        <v>1</v>
      </c>
      <c r="D602" s="85" t="s">
        <v>763</v>
      </c>
      <c r="E602" s="86" t="s">
        <v>131</v>
      </c>
      <c r="F602" s="85">
        <v>81897719002</v>
      </c>
      <c r="G602" s="71">
        <f t="shared" si="53"/>
        <v>12.846159999999999</v>
      </c>
      <c r="H602" s="71">
        <f t="shared" si="54"/>
        <v>12.846159999999999</v>
      </c>
      <c r="I602" s="71">
        <f t="shared" si="55"/>
        <v>12.846159999999999</v>
      </c>
      <c r="J602" s="71">
        <f t="shared" si="56"/>
        <v>12.846159999999999</v>
      </c>
      <c r="K602" s="72">
        <v>0</v>
      </c>
      <c r="M602" s="58">
        <f>VLOOKUP(D602,'TABELA DE PRECOS'!B:C,2,0)</f>
        <v>12.846159999999999</v>
      </c>
    </row>
    <row r="603" spans="1:13" ht="15.75" customHeight="1" x14ac:dyDescent="0.25">
      <c r="A603" s="65">
        <v>10</v>
      </c>
      <c r="B603" s="84" t="s">
        <v>310</v>
      </c>
      <c r="C603" s="73">
        <v>1</v>
      </c>
      <c r="D603" s="85" t="s">
        <v>311</v>
      </c>
      <c r="E603" s="86" t="s">
        <v>131</v>
      </c>
      <c r="F603" s="85">
        <v>81897719002</v>
      </c>
      <c r="G603" s="71">
        <f t="shared" si="53"/>
        <v>10.7</v>
      </c>
      <c r="H603" s="71">
        <f t="shared" si="54"/>
        <v>10.7</v>
      </c>
      <c r="I603" s="71">
        <f t="shared" si="55"/>
        <v>10.7</v>
      </c>
      <c r="J603" s="71">
        <f t="shared" si="56"/>
        <v>10.7</v>
      </c>
      <c r="K603" s="72">
        <v>0</v>
      </c>
      <c r="M603" s="58">
        <f>VLOOKUP(D603,'TABELA DE PRECOS'!B:C,2,0)</f>
        <v>10.7</v>
      </c>
    </row>
    <row r="604" spans="1:13" ht="15.75" customHeight="1" x14ac:dyDescent="0.25">
      <c r="A604" s="65">
        <v>11</v>
      </c>
      <c r="B604" s="84" t="s">
        <v>764</v>
      </c>
      <c r="C604" s="73">
        <v>1</v>
      </c>
      <c r="D604" s="85" t="s">
        <v>765</v>
      </c>
      <c r="E604" s="86" t="s">
        <v>131</v>
      </c>
      <c r="F604" s="85">
        <v>81897719002</v>
      </c>
      <c r="G604" s="71">
        <f t="shared" si="53"/>
        <v>13.41</v>
      </c>
      <c r="H604" s="71">
        <f t="shared" si="54"/>
        <v>13.41</v>
      </c>
      <c r="I604" s="71">
        <f t="shared" si="55"/>
        <v>13.41</v>
      </c>
      <c r="J604" s="71">
        <f t="shared" si="56"/>
        <v>13.41</v>
      </c>
      <c r="K604" s="72">
        <v>0</v>
      </c>
      <c r="M604" s="58">
        <f>VLOOKUP(D604,'TABELA DE PRECOS'!B:C,2,0)</f>
        <v>13.41</v>
      </c>
    </row>
    <row r="605" spans="1:13" ht="15.75" customHeight="1" x14ac:dyDescent="0.25">
      <c r="A605" s="65">
        <v>12</v>
      </c>
      <c r="B605" s="84" t="s">
        <v>766</v>
      </c>
      <c r="C605" s="73">
        <v>4</v>
      </c>
      <c r="D605" s="85" t="s">
        <v>767</v>
      </c>
      <c r="E605" s="86" t="s">
        <v>131</v>
      </c>
      <c r="F605" s="85">
        <v>81897719002</v>
      </c>
      <c r="G605" s="71">
        <f t="shared" si="53"/>
        <v>62.539200000000001</v>
      </c>
      <c r="H605" s="71">
        <f t="shared" si="54"/>
        <v>250.1568</v>
      </c>
      <c r="I605" s="71">
        <f t="shared" si="55"/>
        <v>62.539200000000001</v>
      </c>
      <c r="J605" s="71">
        <f t="shared" si="56"/>
        <v>250.1568</v>
      </c>
      <c r="K605" s="72">
        <v>0</v>
      </c>
      <c r="M605" s="58">
        <f>VLOOKUP(D605,'TABELA DE PRECOS'!B:C,2,0)</f>
        <v>62.539200000000001</v>
      </c>
    </row>
    <row r="606" spans="1:13" ht="15.75" customHeight="1" x14ac:dyDescent="0.25">
      <c r="A606" s="65">
        <v>13</v>
      </c>
      <c r="B606" s="84" t="s">
        <v>768</v>
      </c>
      <c r="C606" s="73">
        <v>4</v>
      </c>
      <c r="D606" s="85" t="s">
        <v>769</v>
      </c>
      <c r="E606" s="86" t="s">
        <v>131</v>
      </c>
      <c r="F606" s="85">
        <v>81897719002</v>
      </c>
      <c r="G606" s="71">
        <f t="shared" si="53"/>
        <v>83.36839999999998</v>
      </c>
      <c r="H606" s="71">
        <f t="shared" si="54"/>
        <v>333.47359999999992</v>
      </c>
      <c r="I606" s="71">
        <f t="shared" si="55"/>
        <v>83.36839999999998</v>
      </c>
      <c r="J606" s="71">
        <f t="shared" si="56"/>
        <v>333.47359999999992</v>
      </c>
      <c r="K606" s="72">
        <v>0</v>
      </c>
      <c r="M606" s="58">
        <f>VLOOKUP(D606,'TABELA DE PRECOS'!B:C,2,0)</f>
        <v>83.36839999999998</v>
      </c>
    </row>
    <row r="607" spans="1:13" ht="15.75" customHeight="1" x14ac:dyDescent="0.25">
      <c r="A607" s="65">
        <v>14</v>
      </c>
      <c r="B607" s="84" t="s">
        <v>185</v>
      </c>
      <c r="C607" s="73">
        <v>8</v>
      </c>
      <c r="D607" s="85" t="s">
        <v>186</v>
      </c>
      <c r="E607" s="86" t="s">
        <v>131</v>
      </c>
      <c r="F607" s="85">
        <v>81897719002</v>
      </c>
      <c r="G607" s="71">
        <f t="shared" si="53"/>
        <v>17.28</v>
      </c>
      <c r="H607" s="71">
        <f t="shared" si="54"/>
        <v>138.24</v>
      </c>
      <c r="I607" s="71">
        <f t="shared" si="55"/>
        <v>17.28</v>
      </c>
      <c r="J607" s="71">
        <f t="shared" si="56"/>
        <v>138.24</v>
      </c>
      <c r="K607" s="72">
        <v>0</v>
      </c>
      <c r="M607" s="58">
        <f>VLOOKUP(D607,'TABELA DE PRECOS'!B:C,2,0)</f>
        <v>17.28</v>
      </c>
    </row>
    <row r="608" spans="1:13" ht="15.75" customHeight="1" x14ac:dyDescent="0.25">
      <c r="A608" s="65">
        <v>15</v>
      </c>
      <c r="B608" s="84" t="s">
        <v>183</v>
      </c>
      <c r="C608" s="73">
        <v>1</v>
      </c>
      <c r="D608" s="85" t="s">
        <v>184</v>
      </c>
      <c r="E608" s="86" t="s">
        <v>131</v>
      </c>
      <c r="F608" s="85">
        <v>81897719002</v>
      </c>
      <c r="G608" s="71">
        <f t="shared" si="53"/>
        <v>40.79</v>
      </c>
      <c r="H608" s="71">
        <f t="shared" si="54"/>
        <v>40.79</v>
      </c>
      <c r="I608" s="71">
        <f t="shared" si="55"/>
        <v>40.79</v>
      </c>
      <c r="J608" s="71">
        <f t="shared" si="56"/>
        <v>40.79</v>
      </c>
      <c r="K608" s="72">
        <v>0</v>
      </c>
      <c r="M608" s="58">
        <f>VLOOKUP(D608,'TABELA DE PRECOS'!B:C,2,0)</f>
        <v>40.79</v>
      </c>
    </row>
    <row r="609" spans="1:13" ht="15.75" customHeight="1" x14ac:dyDescent="0.25">
      <c r="A609" s="65">
        <v>16</v>
      </c>
      <c r="B609" s="84" t="s">
        <v>320</v>
      </c>
      <c r="C609" s="73">
        <v>2</v>
      </c>
      <c r="D609" s="85" t="s">
        <v>321</v>
      </c>
      <c r="E609" s="86" t="s">
        <v>131</v>
      </c>
      <c r="F609" s="85">
        <v>81897719002</v>
      </c>
      <c r="G609" s="71">
        <f t="shared" si="53"/>
        <v>44.93</v>
      </c>
      <c r="H609" s="71">
        <f t="shared" si="54"/>
        <v>89.86</v>
      </c>
      <c r="I609" s="71">
        <f t="shared" si="55"/>
        <v>44.93</v>
      </c>
      <c r="J609" s="71">
        <f t="shared" si="56"/>
        <v>89.86</v>
      </c>
      <c r="K609" s="72">
        <v>0</v>
      </c>
      <c r="M609" s="58">
        <f>VLOOKUP(D609,'TABELA DE PRECOS'!B:C,2,0)</f>
        <v>44.93</v>
      </c>
    </row>
    <row r="610" spans="1:13" ht="15.75" customHeight="1" x14ac:dyDescent="0.25">
      <c r="A610" s="65">
        <v>17</v>
      </c>
      <c r="B610" s="66" t="s">
        <v>770</v>
      </c>
      <c r="C610" s="82">
        <v>6</v>
      </c>
      <c r="D610" s="76" t="s">
        <v>771</v>
      </c>
      <c r="E610" s="86" t="s">
        <v>131</v>
      </c>
      <c r="F610" s="85">
        <v>81897719002</v>
      </c>
      <c r="G610" s="71">
        <f t="shared" si="53"/>
        <v>9.19</v>
      </c>
      <c r="H610" s="71">
        <f t="shared" si="54"/>
        <v>55.14</v>
      </c>
      <c r="I610" s="71">
        <f t="shared" si="55"/>
        <v>9.19</v>
      </c>
      <c r="J610" s="71">
        <f t="shared" si="56"/>
        <v>55.14</v>
      </c>
      <c r="K610" s="72">
        <v>0</v>
      </c>
      <c r="M610" s="58">
        <f>VLOOKUP(D610,'TABELA DE PRECOS'!B:C,2,0)</f>
        <v>9.19</v>
      </c>
    </row>
    <row r="611" spans="1:13" ht="15.75" customHeight="1" x14ac:dyDescent="0.25">
      <c r="A611" s="65">
        <v>18</v>
      </c>
      <c r="B611" s="66" t="s">
        <v>772</v>
      </c>
      <c r="C611" s="82">
        <v>6</v>
      </c>
      <c r="D611" s="76" t="s">
        <v>773</v>
      </c>
      <c r="E611" s="86" t="s">
        <v>131</v>
      </c>
      <c r="F611" s="85">
        <v>81897719002</v>
      </c>
      <c r="G611" s="71">
        <f t="shared" si="53"/>
        <v>13.851439999999998</v>
      </c>
      <c r="H611" s="71">
        <f t="shared" si="54"/>
        <v>83.108639999999994</v>
      </c>
      <c r="I611" s="71">
        <f t="shared" si="55"/>
        <v>13.851439999999998</v>
      </c>
      <c r="J611" s="71">
        <f t="shared" si="56"/>
        <v>83.108639999999994</v>
      </c>
      <c r="K611" s="72">
        <v>0</v>
      </c>
      <c r="M611" s="58">
        <f>VLOOKUP(D611,'TABELA DE PRECOS'!B:C,2,0)</f>
        <v>13.851439999999998</v>
      </c>
    </row>
    <row r="612" spans="1:13" ht="15.75" customHeight="1" x14ac:dyDescent="0.25">
      <c r="A612" s="65">
        <v>19</v>
      </c>
      <c r="B612" s="66" t="s">
        <v>397</v>
      </c>
      <c r="C612" s="82">
        <v>1</v>
      </c>
      <c r="D612" s="76" t="s">
        <v>398</v>
      </c>
      <c r="E612" s="86" t="s">
        <v>131</v>
      </c>
      <c r="F612" s="85">
        <v>81897719002</v>
      </c>
      <c r="G612" s="71">
        <f t="shared" si="53"/>
        <v>9.19</v>
      </c>
      <c r="H612" s="71">
        <f t="shared" si="54"/>
        <v>9.19</v>
      </c>
      <c r="I612" s="71">
        <f t="shared" si="55"/>
        <v>9.19</v>
      </c>
      <c r="J612" s="71">
        <f t="shared" si="56"/>
        <v>9.19</v>
      </c>
      <c r="K612" s="72">
        <v>0</v>
      </c>
      <c r="M612" s="58">
        <f>VLOOKUP(D612,'TABELA DE PRECOS'!B:C,2,0)</f>
        <v>9.19</v>
      </c>
    </row>
    <row r="613" spans="1:13" ht="15.75" customHeight="1" x14ac:dyDescent="0.25">
      <c r="A613" s="65">
        <v>20</v>
      </c>
      <c r="B613" s="66" t="s">
        <v>774</v>
      </c>
      <c r="C613" s="82">
        <v>1</v>
      </c>
      <c r="D613" s="76" t="s">
        <v>775</v>
      </c>
      <c r="E613" s="86" t="s">
        <v>131</v>
      </c>
      <c r="F613" s="85">
        <v>81897719002</v>
      </c>
      <c r="G613" s="71">
        <f t="shared" si="53"/>
        <v>10.23</v>
      </c>
      <c r="H613" s="71">
        <f t="shared" si="54"/>
        <v>10.23</v>
      </c>
      <c r="I613" s="71">
        <f t="shared" si="55"/>
        <v>10.23</v>
      </c>
      <c r="J613" s="71">
        <f t="shared" si="56"/>
        <v>10.23</v>
      </c>
      <c r="K613" s="72">
        <v>0</v>
      </c>
      <c r="M613" s="58">
        <f>VLOOKUP(D613,'TABELA DE PRECOS'!B:C,2,0)</f>
        <v>10.23</v>
      </c>
    </row>
    <row r="614" spans="1:13" ht="15.75" customHeight="1" x14ac:dyDescent="0.25">
      <c r="A614" s="65">
        <v>21</v>
      </c>
      <c r="B614" s="66" t="s">
        <v>776</v>
      </c>
      <c r="C614" s="82">
        <v>1</v>
      </c>
      <c r="D614" s="76" t="s">
        <v>777</v>
      </c>
      <c r="E614" s="86" t="s">
        <v>131</v>
      </c>
      <c r="F614" s="85">
        <v>81897719002</v>
      </c>
      <c r="G614" s="71">
        <f t="shared" si="53"/>
        <v>12.43</v>
      </c>
      <c r="H614" s="71">
        <f t="shared" si="54"/>
        <v>12.43</v>
      </c>
      <c r="I614" s="71">
        <f t="shared" si="55"/>
        <v>12.43</v>
      </c>
      <c r="J614" s="71">
        <f t="shared" si="56"/>
        <v>12.43</v>
      </c>
      <c r="K614" s="72">
        <v>0</v>
      </c>
      <c r="M614" s="58">
        <f>VLOOKUP(D614,'TABELA DE PRECOS'!B:C,2,0)</f>
        <v>12.43</v>
      </c>
    </row>
    <row r="615" spans="1:13" ht="15.75" customHeight="1" x14ac:dyDescent="0.25">
      <c r="A615" s="65">
        <v>22</v>
      </c>
      <c r="B615" s="66" t="s">
        <v>778</v>
      </c>
      <c r="C615" s="82">
        <v>1</v>
      </c>
      <c r="D615" s="76" t="s">
        <v>779</v>
      </c>
      <c r="E615" s="86" t="s">
        <v>131</v>
      </c>
      <c r="F615" s="85">
        <v>81897719002</v>
      </c>
      <c r="G615" s="71">
        <f t="shared" si="53"/>
        <v>15.98</v>
      </c>
      <c r="H615" s="71">
        <f t="shared" si="54"/>
        <v>15.98</v>
      </c>
      <c r="I615" s="71">
        <f t="shared" si="55"/>
        <v>15.98</v>
      </c>
      <c r="J615" s="71">
        <f t="shared" si="56"/>
        <v>15.98</v>
      </c>
      <c r="K615" s="72">
        <v>0</v>
      </c>
      <c r="M615" s="58">
        <f>VLOOKUP(D615,'TABELA DE PRECOS'!B:C,2,0)</f>
        <v>15.98</v>
      </c>
    </row>
    <row r="616" spans="1:13" ht="15.75" customHeight="1" x14ac:dyDescent="0.25">
      <c r="A616" s="65">
        <v>23</v>
      </c>
      <c r="B616" s="84" t="s">
        <v>780</v>
      </c>
      <c r="C616" s="73">
        <v>2</v>
      </c>
      <c r="D616" s="85" t="s">
        <v>781</v>
      </c>
      <c r="E616" s="86" t="s">
        <v>131</v>
      </c>
      <c r="F616" s="85">
        <v>81897719002</v>
      </c>
      <c r="G616" s="71">
        <f t="shared" si="53"/>
        <v>20.764800000000001</v>
      </c>
      <c r="H616" s="71">
        <f t="shared" si="54"/>
        <v>41.529600000000002</v>
      </c>
      <c r="I616" s="71">
        <f t="shared" si="55"/>
        <v>20.764800000000001</v>
      </c>
      <c r="J616" s="71">
        <f t="shared" si="56"/>
        <v>41.529600000000002</v>
      </c>
      <c r="K616" s="72">
        <v>0</v>
      </c>
      <c r="M616" s="58">
        <f>VLOOKUP(D616,'TABELA DE PRECOS'!B:C,2,0)</f>
        <v>20.764800000000001</v>
      </c>
    </row>
    <row r="617" spans="1:13" ht="15.75" customHeight="1" x14ac:dyDescent="0.25">
      <c r="A617" s="65">
        <v>24</v>
      </c>
      <c r="B617" s="84" t="s">
        <v>195</v>
      </c>
      <c r="C617" s="73">
        <v>1</v>
      </c>
      <c r="D617" s="85" t="s">
        <v>196</v>
      </c>
      <c r="E617" s="86" t="s">
        <v>131</v>
      </c>
      <c r="F617" s="85">
        <v>81897719002</v>
      </c>
      <c r="G617" s="71">
        <f t="shared" si="53"/>
        <v>9.0399999999999991</v>
      </c>
      <c r="H617" s="71">
        <f t="shared" si="54"/>
        <v>9.0399999999999991</v>
      </c>
      <c r="I617" s="71">
        <f t="shared" si="55"/>
        <v>9.0399999999999991</v>
      </c>
      <c r="J617" s="71">
        <f t="shared" si="56"/>
        <v>9.0399999999999991</v>
      </c>
      <c r="K617" s="72">
        <v>0</v>
      </c>
      <c r="M617" s="58">
        <f>VLOOKUP(D617,'TABELA DE PRECOS'!B:C,2,0)</f>
        <v>9.0399999999999991</v>
      </c>
    </row>
    <row r="618" spans="1:13" ht="15.75" customHeight="1" x14ac:dyDescent="0.25">
      <c r="A618" s="65">
        <v>25</v>
      </c>
      <c r="B618" s="84" t="s">
        <v>782</v>
      </c>
      <c r="C618" s="73">
        <v>1</v>
      </c>
      <c r="D618" s="85" t="s">
        <v>783</v>
      </c>
      <c r="E618" s="86" t="s">
        <v>131</v>
      </c>
      <c r="F618" s="85">
        <v>81897719002</v>
      </c>
      <c r="G618" s="71">
        <f t="shared" si="53"/>
        <v>18.778959999999998</v>
      </c>
      <c r="H618" s="71">
        <f t="shared" si="54"/>
        <v>18.778959999999998</v>
      </c>
      <c r="I618" s="71">
        <f t="shared" si="55"/>
        <v>18.778959999999998</v>
      </c>
      <c r="J618" s="71">
        <f t="shared" si="56"/>
        <v>18.778959999999998</v>
      </c>
      <c r="K618" s="72">
        <v>0</v>
      </c>
      <c r="M618" s="58">
        <f>VLOOKUP(D618,'TABELA DE PRECOS'!B:C,2,0)</f>
        <v>18.778959999999998</v>
      </c>
    </row>
    <row r="619" spans="1:13" ht="15.75" customHeight="1" x14ac:dyDescent="0.25">
      <c r="A619" s="65">
        <v>26</v>
      </c>
      <c r="B619" s="84" t="s">
        <v>338</v>
      </c>
      <c r="C619" s="73">
        <v>2</v>
      </c>
      <c r="D619" s="85" t="s">
        <v>339</v>
      </c>
      <c r="E619" s="86" t="s">
        <v>131</v>
      </c>
      <c r="F619" s="85">
        <v>81897719002</v>
      </c>
      <c r="G619" s="71">
        <f t="shared" si="53"/>
        <v>26.31</v>
      </c>
      <c r="H619" s="71">
        <f t="shared" si="54"/>
        <v>52.62</v>
      </c>
      <c r="I619" s="71">
        <f t="shared" si="55"/>
        <v>26.31</v>
      </c>
      <c r="J619" s="71">
        <f t="shared" si="56"/>
        <v>52.62</v>
      </c>
      <c r="K619" s="72">
        <v>0</v>
      </c>
      <c r="M619" s="58">
        <f>VLOOKUP(D619,'TABELA DE PRECOS'!B:C,2,0)</f>
        <v>26.31</v>
      </c>
    </row>
    <row r="620" spans="1:13" ht="15.75" customHeight="1" x14ac:dyDescent="0.25">
      <c r="A620" s="65">
        <v>27</v>
      </c>
      <c r="B620" s="84" t="s">
        <v>784</v>
      </c>
      <c r="C620" s="73">
        <v>1</v>
      </c>
      <c r="D620" s="85" t="s">
        <v>785</v>
      </c>
      <c r="E620" s="86" t="s">
        <v>131</v>
      </c>
      <c r="F620" s="85">
        <v>81897719002</v>
      </c>
      <c r="G620" s="71">
        <f t="shared" si="53"/>
        <v>43.943919999999999</v>
      </c>
      <c r="H620" s="71">
        <f t="shared" si="54"/>
        <v>43.943919999999999</v>
      </c>
      <c r="I620" s="71">
        <f t="shared" si="55"/>
        <v>43.943919999999999</v>
      </c>
      <c r="J620" s="71">
        <f t="shared" si="56"/>
        <v>43.943919999999999</v>
      </c>
      <c r="K620" s="72">
        <v>0</v>
      </c>
      <c r="M620" s="58">
        <f>VLOOKUP(D620,'TABELA DE PRECOS'!B:C,2,0)</f>
        <v>43.943919999999999</v>
      </c>
    </row>
    <row r="621" spans="1:13" ht="15.75" customHeight="1" x14ac:dyDescent="0.25">
      <c r="A621" s="65">
        <v>28</v>
      </c>
      <c r="B621" s="84" t="s">
        <v>187</v>
      </c>
      <c r="C621" s="73">
        <v>4</v>
      </c>
      <c r="D621" s="85" t="s">
        <v>188</v>
      </c>
      <c r="E621" s="86" t="s">
        <v>131</v>
      </c>
      <c r="F621" s="85">
        <v>81897719002</v>
      </c>
      <c r="G621" s="71">
        <f t="shared" si="53"/>
        <v>15.95</v>
      </c>
      <c r="H621" s="71">
        <f t="shared" si="54"/>
        <v>63.8</v>
      </c>
      <c r="I621" s="71">
        <f t="shared" si="55"/>
        <v>15.95</v>
      </c>
      <c r="J621" s="71">
        <f t="shared" si="56"/>
        <v>63.8</v>
      </c>
      <c r="K621" s="72">
        <v>0</v>
      </c>
      <c r="M621" s="58">
        <f>VLOOKUP(D621,'TABELA DE PRECOS'!B:C,2,0)</f>
        <v>15.95</v>
      </c>
    </row>
    <row r="622" spans="1:13" ht="15.75" customHeight="1" x14ac:dyDescent="0.25">
      <c r="A622" s="65">
        <v>29</v>
      </c>
      <c r="B622" s="84" t="s">
        <v>419</v>
      </c>
      <c r="C622" s="73">
        <v>4</v>
      </c>
      <c r="D622" s="85" t="s">
        <v>420</v>
      </c>
      <c r="E622" s="86" t="s">
        <v>131</v>
      </c>
      <c r="F622" s="85">
        <v>81897719002</v>
      </c>
      <c r="G622" s="71">
        <f t="shared" si="53"/>
        <v>16.52</v>
      </c>
      <c r="H622" s="71">
        <f t="shared" si="54"/>
        <v>66.08</v>
      </c>
      <c r="I622" s="71">
        <f t="shared" si="55"/>
        <v>16.52</v>
      </c>
      <c r="J622" s="71">
        <f t="shared" si="56"/>
        <v>66.08</v>
      </c>
      <c r="K622" s="72">
        <v>0</v>
      </c>
      <c r="M622" s="58">
        <f>VLOOKUP(D622,'TABELA DE PRECOS'!B:C,2,0)</f>
        <v>16.52</v>
      </c>
    </row>
    <row r="623" spans="1:13" ht="15.75" customHeight="1" x14ac:dyDescent="0.25">
      <c r="A623" s="65">
        <v>30</v>
      </c>
      <c r="B623" s="84" t="s">
        <v>151</v>
      </c>
      <c r="C623" s="73">
        <v>4</v>
      </c>
      <c r="D623" s="85" t="s">
        <v>152</v>
      </c>
      <c r="E623" s="86" t="s">
        <v>131</v>
      </c>
      <c r="F623" s="85">
        <v>81897719002</v>
      </c>
      <c r="G623" s="71">
        <f t="shared" si="53"/>
        <v>38.43</v>
      </c>
      <c r="H623" s="71">
        <f t="shared" si="54"/>
        <v>153.72</v>
      </c>
      <c r="I623" s="71">
        <f t="shared" si="55"/>
        <v>38.43</v>
      </c>
      <c r="J623" s="71">
        <f t="shared" si="56"/>
        <v>153.72</v>
      </c>
      <c r="K623" s="72">
        <v>0</v>
      </c>
      <c r="M623" s="58">
        <f>VLOOKUP(D623,'TABELA DE PRECOS'!B:C,2,0)</f>
        <v>38.43</v>
      </c>
    </row>
    <row r="624" spans="1:13" ht="15.75" customHeight="1" x14ac:dyDescent="0.25">
      <c r="A624" s="65">
        <v>31</v>
      </c>
      <c r="B624" s="84" t="s">
        <v>786</v>
      </c>
      <c r="C624" s="73">
        <v>4</v>
      </c>
      <c r="D624" s="85" t="s">
        <v>787</v>
      </c>
      <c r="E624" s="86" t="s">
        <v>131</v>
      </c>
      <c r="F624" s="85">
        <v>81897719002</v>
      </c>
      <c r="G624" s="71">
        <f t="shared" si="53"/>
        <v>24.711759999999998</v>
      </c>
      <c r="H624" s="71">
        <f t="shared" si="54"/>
        <v>98.847039999999993</v>
      </c>
      <c r="I624" s="71">
        <f t="shared" si="55"/>
        <v>24.711759999999998</v>
      </c>
      <c r="J624" s="71">
        <f t="shared" si="56"/>
        <v>98.847039999999993</v>
      </c>
      <c r="K624" s="72">
        <v>0</v>
      </c>
      <c r="M624" s="58">
        <f>VLOOKUP(D624,'TABELA DE PRECOS'!B:C,2,0)</f>
        <v>24.711759999999998</v>
      </c>
    </row>
    <row r="625" spans="1:13" ht="15.75" customHeight="1" x14ac:dyDescent="0.25">
      <c r="A625" s="65">
        <v>32</v>
      </c>
      <c r="B625" s="84" t="s">
        <v>354</v>
      </c>
      <c r="C625" s="73">
        <v>4</v>
      </c>
      <c r="D625" s="85" t="s">
        <v>355</v>
      </c>
      <c r="E625" s="86" t="s">
        <v>131</v>
      </c>
      <c r="F625" s="85">
        <v>81897719002</v>
      </c>
      <c r="G625" s="71">
        <f t="shared" si="53"/>
        <v>21.09</v>
      </c>
      <c r="H625" s="71">
        <f t="shared" si="54"/>
        <v>84.36</v>
      </c>
      <c r="I625" s="71">
        <f t="shared" si="55"/>
        <v>21.09</v>
      </c>
      <c r="J625" s="71">
        <f t="shared" si="56"/>
        <v>84.36</v>
      </c>
      <c r="K625" s="72">
        <v>0</v>
      </c>
      <c r="M625" s="58">
        <f>VLOOKUP(D625,'TABELA DE PRECOS'!B:C,2,0)</f>
        <v>21.09</v>
      </c>
    </row>
    <row r="626" spans="1:13" ht="15.75" customHeight="1" x14ac:dyDescent="0.25">
      <c r="A626" s="65">
        <v>33</v>
      </c>
      <c r="B626" s="84" t="s">
        <v>356</v>
      </c>
      <c r="C626" s="73">
        <v>4</v>
      </c>
      <c r="D626" s="85" t="s">
        <v>357</v>
      </c>
      <c r="E626" s="86" t="s">
        <v>131</v>
      </c>
      <c r="F626" s="85">
        <v>81897719002</v>
      </c>
      <c r="G626" s="71">
        <f t="shared" si="53"/>
        <v>19.04</v>
      </c>
      <c r="H626" s="71">
        <f t="shared" si="54"/>
        <v>76.16</v>
      </c>
      <c r="I626" s="71">
        <f t="shared" si="55"/>
        <v>19.04</v>
      </c>
      <c r="J626" s="71">
        <f t="shared" si="56"/>
        <v>76.16</v>
      </c>
      <c r="K626" s="72">
        <v>0</v>
      </c>
      <c r="M626" s="58">
        <f>VLOOKUP(D626,'TABELA DE PRECOS'!B:C,2,0)</f>
        <v>19.04</v>
      </c>
    </row>
    <row r="627" spans="1:13" ht="15.75" customHeight="1" x14ac:dyDescent="0.25">
      <c r="A627" s="65">
        <v>34</v>
      </c>
      <c r="B627" s="84" t="s">
        <v>788</v>
      </c>
      <c r="C627" s="73">
        <v>1</v>
      </c>
      <c r="D627" s="85" t="s">
        <v>789</v>
      </c>
      <c r="E627" s="86" t="s">
        <v>131</v>
      </c>
      <c r="F627" s="85">
        <v>81897719002</v>
      </c>
      <c r="G627" s="71">
        <f t="shared" si="53"/>
        <v>35.596800000000002</v>
      </c>
      <c r="H627" s="71">
        <f t="shared" si="54"/>
        <v>35.596800000000002</v>
      </c>
      <c r="I627" s="71">
        <f t="shared" si="55"/>
        <v>35.596800000000002</v>
      </c>
      <c r="J627" s="71">
        <f t="shared" si="56"/>
        <v>35.596800000000002</v>
      </c>
      <c r="K627" s="72">
        <v>0</v>
      </c>
      <c r="M627" s="58">
        <f>VLOOKUP(D627,'TABELA DE PRECOS'!B:C,2,0)</f>
        <v>35.596800000000002</v>
      </c>
    </row>
    <row r="628" spans="1:13" ht="15.75" customHeight="1" x14ac:dyDescent="0.25">
      <c r="A628" s="65">
        <v>35</v>
      </c>
      <c r="B628" s="84" t="s">
        <v>790</v>
      </c>
      <c r="C628" s="73">
        <v>2</v>
      </c>
      <c r="D628" s="85" t="s">
        <v>791</v>
      </c>
      <c r="E628" s="86" t="s">
        <v>131</v>
      </c>
      <c r="F628" s="85">
        <v>81897719002</v>
      </c>
      <c r="G628" s="71">
        <f t="shared" si="53"/>
        <v>19.78424</v>
      </c>
      <c r="H628" s="71">
        <f t="shared" si="54"/>
        <v>39.568480000000001</v>
      </c>
      <c r="I628" s="71">
        <f t="shared" si="55"/>
        <v>19.78424</v>
      </c>
      <c r="J628" s="71">
        <f t="shared" si="56"/>
        <v>39.568480000000001</v>
      </c>
      <c r="K628" s="72">
        <v>0</v>
      </c>
      <c r="M628" s="58">
        <f>VLOOKUP(D628,'TABELA DE PRECOS'!B:C,2,0)</f>
        <v>19.78424</v>
      </c>
    </row>
    <row r="629" spans="1:13" ht="15.75" customHeight="1" x14ac:dyDescent="0.25">
      <c r="A629" s="65">
        <v>36</v>
      </c>
      <c r="B629" s="84" t="s">
        <v>792</v>
      </c>
      <c r="C629" s="73">
        <v>2</v>
      </c>
      <c r="D629" s="85" t="s">
        <v>793</v>
      </c>
      <c r="E629" s="86" t="s">
        <v>131</v>
      </c>
      <c r="F629" s="85">
        <v>81897719002</v>
      </c>
      <c r="G629" s="71">
        <f t="shared" si="53"/>
        <v>19.281599999999997</v>
      </c>
      <c r="H629" s="71">
        <f t="shared" si="54"/>
        <v>38.563199999999995</v>
      </c>
      <c r="I629" s="71">
        <f t="shared" si="55"/>
        <v>19.281599999999997</v>
      </c>
      <c r="J629" s="71">
        <f t="shared" si="56"/>
        <v>38.563199999999995</v>
      </c>
      <c r="K629" s="72">
        <v>0</v>
      </c>
      <c r="M629" s="58">
        <f>VLOOKUP(D629,'TABELA DE PRECOS'!B:C,2,0)</f>
        <v>19.281599999999997</v>
      </c>
    </row>
    <row r="630" spans="1:13" ht="15.75" customHeight="1" x14ac:dyDescent="0.25">
      <c r="A630" s="65">
        <v>37</v>
      </c>
      <c r="B630" s="84" t="s">
        <v>594</v>
      </c>
      <c r="C630" s="73">
        <v>1</v>
      </c>
      <c r="D630" s="85" t="s">
        <v>595</v>
      </c>
      <c r="E630" s="86" t="s">
        <v>131</v>
      </c>
      <c r="F630" s="85">
        <v>81897719003</v>
      </c>
      <c r="G630" s="71">
        <f t="shared" si="53"/>
        <v>65.06</v>
      </c>
      <c r="H630" s="71">
        <f t="shared" si="54"/>
        <v>65.06</v>
      </c>
      <c r="I630" s="71">
        <f t="shared" si="55"/>
        <v>65.06</v>
      </c>
      <c r="J630" s="71">
        <f t="shared" si="56"/>
        <v>65.06</v>
      </c>
      <c r="K630" s="72">
        <v>0</v>
      </c>
      <c r="M630" s="58">
        <f>VLOOKUP(D630,'TABELA DE PRECOS'!B:C,2,0)</f>
        <v>65.06</v>
      </c>
    </row>
    <row r="631" spans="1:13" ht="15.75" customHeight="1" x14ac:dyDescent="0.25">
      <c r="A631" s="65">
        <v>38</v>
      </c>
      <c r="B631" s="84" t="s">
        <v>258</v>
      </c>
      <c r="C631" s="73">
        <v>1</v>
      </c>
      <c r="D631" s="85" t="s">
        <v>259</v>
      </c>
      <c r="E631" s="86" t="s">
        <v>131</v>
      </c>
      <c r="F631" s="85">
        <v>81897719003</v>
      </c>
      <c r="G631" s="71">
        <f t="shared" si="53"/>
        <v>101.56</v>
      </c>
      <c r="H631" s="71">
        <f t="shared" si="54"/>
        <v>101.56</v>
      </c>
      <c r="I631" s="71">
        <f t="shared" si="55"/>
        <v>101.56</v>
      </c>
      <c r="J631" s="71">
        <f t="shared" si="56"/>
        <v>101.56</v>
      </c>
      <c r="K631" s="72">
        <v>0</v>
      </c>
      <c r="M631" s="58">
        <f>VLOOKUP(D631,'TABELA DE PRECOS'!B:C,2,0)</f>
        <v>101.56</v>
      </c>
    </row>
    <row r="632" spans="1:13" ht="15.75" customHeight="1" x14ac:dyDescent="0.25">
      <c r="A632" s="65">
        <v>39</v>
      </c>
      <c r="B632" s="84" t="s">
        <v>794</v>
      </c>
      <c r="C632" s="73">
        <v>1</v>
      </c>
      <c r="D632" s="85" t="s">
        <v>795</v>
      </c>
      <c r="E632" s="86" t="s">
        <v>131</v>
      </c>
      <c r="F632" s="85">
        <v>81897719003</v>
      </c>
      <c r="G632" s="71">
        <f t="shared" si="53"/>
        <v>77.709999999999994</v>
      </c>
      <c r="H632" s="71">
        <f t="shared" si="54"/>
        <v>77.709999999999994</v>
      </c>
      <c r="I632" s="71">
        <f t="shared" si="55"/>
        <v>77.709999999999994</v>
      </c>
      <c r="J632" s="71">
        <f t="shared" si="56"/>
        <v>77.709999999999994</v>
      </c>
      <c r="K632" s="72">
        <v>0</v>
      </c>
      <c r="M632" s="58">
        <f>VLOOKUP(D632,'TABELA DE PRECOS'!B:C,2,0)</f>
        <v>77.709999999999994</v>
      </c>
    </row>
    <row r="633" spans="1:13" ht="15.75" customHeight="1" x14ac:dyDescent="0.25">
      <c r="A633" s="65">
        <v>40</v>
      </c>
      <c r="B633" s="84" t="s">
        <v>796</v>
      </c>
      <c r="C633" s="73">
        <v>1</v>
      </c>
      <c r="D633" s="85" t="s">
        <v>797</v>
      </c>
      <c r="E633" s="86" t="s">
        <v>131</v>
      </c>
      <c r="F633" s="85">
        <v>81897719003</v>
      </c>
      <c r="G633" s="71">
        <f t="shared" si="53"/>
        <v>68.77</v>
      </c>
      <c r="H633" s="71">
        <f t="shared" si="54"/>
        <v>68.77</v>
      </c>
      <c r="I633" s="71">
        <f t="shared" si="55"/>
        <v>68.77</v>
      </c>
      <c r="J633" s="71">
        <f t="shared" si="56"/>
        <v>68.77</v>
      </c>
      <c r="K633" s="72">
        <v>0</v>
      </c>
      <c r="M633" s="58">
        <f>VLOOKUP(D633,'TABELA DE PRECOS'!B:C,2,0)</f>
        <v>68.77</v>
      </c>
    </row>
    <row r="634" spans="1:13" ht="15.75" customHeight="1" x14ac:dyDescent="0.25">
      <c r="A634" s="65">
        <v>41</v>
      </c>
      <c r="B634" s="84" t="s">
        <v>366</v>
      </c>
      <c r="C634" s="73">
        <v>1</v>
      </c>
      <c r="D634" s="85" t="s">
        <v>367</v>
      </c>
      <c r="E634" s="86" t="s">
        <v>131</v>
      </c>
      <c r="F634" s="85">
        <v>81897719002</v>
      </c>
      <c r="G634" s="71">
        <f t="shared" si="53"/>
        <v>18.7</v>
      </c>
      <c r="H634" s="71">
        <f t="shared" si="54"/>
        <v>18.7</v>
      </c>
      <c r="I634" s="71">
        <f t="shared" si="55"/>
        <v>18.7</v>
      </c>
      <c r="J634" s="71">
        <f t="shared" si="56"/>
        <v>18.7</v>
      </c>
      <c r="K634" s="72">
        <v>0</v>
      </c>
      <c r="M634" s="58">
        <f>VLOOKUP(D634,'TABELA DE PRECOS'!B:C,2,0)</f>
        <v>18.7</v>
      </c>
    </row>
    <row r="635" spans="1:13" ht="15.75" customHeight="1" x14ac:dyDescent="0.25">
      <c r="A635" s="65">
        <v>42</v>
      </c>
      <c r="B635" s="84" t="s">
        <v>368</v>
      </c>
      <c r="C635" s="73">
        <v>1</v>
      </c>
      <c r="D635" s="85" t="s">
        <v>369</v>
      </c>
      <c r="E635" s="86" t="s">
        <v>131</v>
      </c>
      <c r="F635" s="85">
        <v>81897719002</v>
      </c>
      <c r="G635" s="71">
        <f t="shared" si="53"/>
        <v>18.22</v>
      </c>
      <c r="H635" s="71">
        <f t="shared" si="54"/>
        <v>18.22</v>
      </c>
      <c r="I635" s="71">
        <f t="shared" si="55"/>
        <v>18.22</v>
      </c>
      <c r="J635" s="71">
        <f t="shared" si="56"/>
        <v>18.22</v>
      </c>
      <c r="K635" s="72">
        <v>0</v>
      </c>
      <c r="M635" s="58">
        <f>VLOOKUP(D635,'TABELA DE PRECOS'!B:C,2,0)</f>
        <v>18.22</v>
      </c>
    </row>
    <row r="636" spans="1:13" ht="15.75" customHeight="1" x14ac:dyDescent="0.25">
      <c r="A636" s="65">
        <v>43</v>
      </c>
      <c r="B636" s="84" t="s">
        <v>370</v>
      </c>
      <c r="C636" s="73">
        <v>1</v>
      </c>
      <c r="D636" s="85" t="s">
        <v>371</v>
      </c>
      <c r="E636" s="86" t="s">
        <v>131</v>
      </c>
      <c r="F636" s="85">
        <v>81897719002</v>
      </c>
      <c r="G636" s="71">
        <f t="shared" si="53"/>
        <v>19.41</v>
      </c>
      <c r="H636" s="71">
        <f t="shared" si="54"/>
        <v>19.41</v>
      </c>
      <c r="I636" s="71">
        <f t="shared" si="55"/>
        <v>19.41</v>
      </c>
      <c r="J636" s="71">
        <f t="shared" si="56"/>
        <v>19.41</v>
      </c>
      <c r="K636" s="72">
        <v>0</v>
      </c>
      <c r="M636" s="58">
        <f>VLOOKUP(D636,'TABELA DE PRECOS'!B:C,2,0)</f>
        <v>19.41</v>
      </c>
    </row>
    <row r="637" spans="1:13" ht="15.75" customHeight="1" x14ac:dyDescent="0.25">
      <c r="A637" s="65">
        <v>44</v>
      </c>
      <c r="B637" s="84" t="s">
        <v>215</v>
      </c>
      <c r="C637" s="73">
        <v>1</v>
      </c>
      <c r="D637" s="85" t="s">
        <v>216</v>
      </c>
      <c r="E637" s="86" t="s">
        <v>131</v>
      </c>
      <c r="F637" s="85">
        <v>81897719002</v>
      </c>
      <c r="G637" s="71">
        <f t="shared" si="53"/>
        <v>26.207999999999998</v>
      </c>
      <c r="H637" s="71">
        <f t="shared" si="54"/>
        <v>26.207999999999998</v>
      </c>
      <c r="I637" s="71">
        <f t="shared" si="55"/>
        <v>26.207999999999998</v>
      </c>
      <c r="J637" s="71">
        <f t="shared" si="56"/>
        <v>26.207999999999998</v>
      </c>
      <c r="K637" s="72">
        <v>0</v>
      </c>
      <c r="M637" s="58">
        <f>VLOOKUP(D637,'TABELA DE PRECOS'!B:C,2,0)</f>
        <v>26.207999999999998</v>
      </c>
    </row>
    <row r="638" spans="1:13" ht="15.75" customHeight="1" x14ac:dyDescent="0.25">
      <c r="A638" s="65">
        <v>45</v>
      </c>
      <c r="B638" s="84" t="s">
        <v>798</v>
      </c>
      <c r="C638" s="73">
        <v>1</v>
      </c>
      <c r="D638" s="85" t="s">
        <v>799</v>
      </c>
      <c r="E638" s="86" t="s">
        <v>131</v>
      </c>
      <c r="F638" s="85" t="s">
        <v>223</v>
      </c>
      <c r="G638" s="71">
        <f t="shared" si="53"/>
        <v>293.79720000000003</v>
      </c>
      <c r="H638" s="71">
        <f t="shared" si="54"/>
        <v>293.79720000000003</v>
      </c>
      <c r="I638" s="71">
        <f t="shared" si="55"/>
        <v>293.79720000000003</v>
      </c>
      <c r="J638" s="71">
        <f t="shared" si="56"/>
        <v>293.79720000000003</v>
      </c>
      <c r="K638" s="72">
        <v>0</v>
      </c>
      <c r="M638" s="58">
        <f>VLOOKUP(D638,'TABELA DE PRECOS'!B:C,2,0)</f>
        <v>293.79720000000003</v>
      </c>
    </row>
    <row r="639" spans="1:13" ht="15.75" customHeight="1" x14ac:dyDescent="0.25">
      <c r="A639" s="65">
        <v>46</v>
      </c>
      <c r="B639" s="84" t="s">
        <v>431</v>
      </c>
      <c r="C639" s="73">
        <v>1</v>
      </c>
      <c r="D639" s="85" t="s">
        <v>432</v>
      </c>
      <c r="E639" s="86" t="s">
        <v>131</v>
      </c>
      <c r="F639" s="85" t="s">
        <v>223</v>
      </c>
      <c r="G639" s="71">
        <f t="shared" si="53"/>
        <v>685.87</v>
      </c>
      <c r="H639" s="71">
        <f t="shared" si="54"/>
        <v>685.87</v>
      </c>
      <c r="I639" s="71">
        <f t="shared" si="55"/>
        <v>685.87</v>
      </c>
      <c r="J639" s="71">
        <f t="shared" si="56"/>
        <v>685.87</v>
      </c>
      <c r="K639" s="72">
        <v>0</v>
      </c>
      <c r="M639" s="58">
        <f>VLOOKUP(D639,'TABELA DE PRECOS'!B:C,2,0)</f>
        <v>685.87</v>
      </c>
    </row>
    <row r="640" spans="1:13" ht="15.75" customHeight="1" x14ac:dyDescent="0.25">
      <c r="A640" s="65">
        <v>47</v>
      </c>
      <c r="B640" s="84" t="s">
        <v>429</v>
      </c>
      <c r="C640" s="73">
        <v>1</v>
      </c>
      <c r="D640" s="85" t="s">
        <v>430</v>
      </c>
      <c r="E640" s="86" t="s">
        <v>131</v>
      </c>
      <c r="F640" s="85" t="s">
        <v>223</v>
      </c>
      <c r="G640" s="71">
        <f t="shared" si="53"/>
        <v>414.17980800000004</v>
      </c>
      <c r="H640" s="71">
        <f t="shared" si="54"/>
        <v>414.17980800000004</v>
      </c>
      <c r="I640" s="71">
        <f t="shared" si="55"/>
        <v>414.17980800000004</v>
      </c>
      <c r="J640" s="71">
        <f t="shared" si="56"/>
        <v>414.17980800000004</v>
      </c>
      <c r="K640" s="72">
        <v>0</v>
      </c>
      <c r="M640" s="58">
        <f>VLOOKUP(D640,'TABELA DE PRECOS'!B:C,2,0)</f>
        <v>414.17980800000004</v>
      </c>
    </row>
    <row r="641" spans="1:13" ht="15.75" customHeight="1" x14ac:dyDescent="0.25">
      <c r="A641" s="65">
        <v>48</v>
      </c>
      <c r="B641" s="84" t="s">
        <v>433</v>
      </c>
      <c r="C641" s="73">
        <v>1</v>
      </c>
      <c r="D641" s="85" t="s">
        <v>434</v>
      </c>
      <c r="E641" s="86" t="s">
        <v>131</v>
      </c>
      <c r="F641" s="85" t="s">
        <v>223</v>
      </c>
      <c r="G641" s="71">
        <f t="shared" si="53"/>
        <v>681.45791999999994</v>
      </c>
      <c r="H641" s="71">
        <f t="shared" si="54"/>
        <v>681.45791999999994</v>
      </c>
      <c r="I641" s="71">
        <f t="shared" si="55"/>
        <v>681.45791999999994</v>
      </c>
      <c r="J641" s="71">
        <f t="shared" si="56"/>
        <v>681.45791999999994</v>
      </c>
      <c r="K641" s="72">
        <v>0</v>
      </c>
      <c r="M641" s="58">
        <f>VLOOKUP(D641,'TABELA DE PRECOS'!B:C,2,0)</f>
        <v>681.45791999999994</v>
      </c>
    </row>
    <row r="642" spans="1:13" ht="15.75" customHeight="1" x14ac:dyDescent="0.25">
      <c r="A642" s="65">
        <v>49</v>
      </c>
      <c r="B642" s="84" t="s">
        <v>378</v>
      </c>
      <c r="C642" s="73">
        <v>2</v>
      </c>
      <c r="D642" s="85" t="s">
        <v>379</v>
      </c>
      <c r="E642" s="86" t="s">
        <v>131</v>
      </c>
      <c r="F642" s="85" t="s">
        <v>223</v>
      </c>
      <c r="G642" s="71">
        <f t="shared" si="53"/>
        <v>9.18</v>
      </c>
      <c r="H642" s="71">
        <f t="shared" si="54"/>
        <v>18.36</v>
      </c>
      <c r="I642" s="71">
        <f t="shared" si="55"/>
        <v>9.18</v>
      </c>
      <c r="J642" s="71">
        <f t="shared" si="56"/>
        <v>18.36</v>
      </c>
      <c r="K642" s="72">
        <v>0</v>
      </c>
      <c r="M642" s="58">
        <f>VLOOKUP(D642,'TABELA DE PRECOS'!B:C,2,0)</f>
        <v>9.18</v>
      </c>
    </row>
    <row r="643" spans="1:13" ht="15.75" customHeight="1" x14ac:dyDescent="0.25">
      <c r="A643" s="78"/>
      <c r="B643" s="79" t="s">
        <v>224</v>
      </c>
      <c r="C643" s="79">
        <f>SUM(C594:C642)</f>
        <v>100</v>
      </c>
      <c r="D643" s="79"/>
      <c r="E643" s="79"/>
      <c r="F643" s="79"/>
      <c r="G643" s="80"/>
      <c r="H643" s="80">
        <f>SUM(H594:H642)</f>
        <v>4693.2318879999984</v>
      </c>
      <c r="I643" s="79"/>
      <c r="J643" s="80">
        <f>SUM(J594:J642)</f>
        <v>4693.2318879999984</v>
      </c>
      <c r="K643" s="81"/>
      <c r="M643" s="58" t="e">
        <f>VLOOKUP(D643,'TABELA DE PRECOS'!B:C,2,0)</f>
        <v>#N/A</v>
      </c>
    </row>
    <row r="644" spans="1:13" ht="15.75" customHeight="1" x14ac:dyDescent="0.25">
      <c r="A644" s="57"/>
      <c r="B644" s="49" t="s">
        <v>15</v>
      </c>
      <c r="C644" s="57"/>
      <c r="D644" s="90"/>
      <c r="E644" s="90"/>
      <c r="F644" s="90"/>
      <c r="G644" s="58"/>
      <c r="H644" s="58"/>
      <c r="I644" s="58"/>
      <c r="J644" s="58"/>
      <c r="K644" s="59"/>
      <c r="M644" s="58" t="e">
        <f>VLOOKUP(D644,'TABELA DE PRECOS'!B:C,2,0)</f>
        <v>#N/A</v>
      </c>
    </row>
    <row r="645" spans="1:13" ht="15.75" customHeight="1" x14ac:dyDescent="0.25">
      <c r="A645" s="56"/>
      <c r="B645" s="18" t="s">
        <v>800</v>
      </c>
      <c r="C645" s="57"/>
      <c r="D645" s="90"/>
      <c r="E645" s="90"/>
      <c r="F645" s="90"/>
      <c r="G645" s="58"/>
      <c r="H645" s="58"/>
      <c r="I645" s="58"/>
      <c r="J645" s="58"/>
      <c r="K645" s="59"/>
      <c r="M645" s="58" t="e">
        <f>VLOOKUP(D645,'TABELA DE PRECOS'!B:C,2,0)</f>
        <v>#N/A</v>
      </c>
    </row>
    <row r="646" spans="1:13" ht="15.75" customHeight="1" x14ac:dyDescent="0.25">
      <c r="A646" s="18" t="s">
        <v>119</v>
      </c>
      <c r="B646" s="18" t="s">
        <v>120</v>
      </c>
      <c r="C646" s="18" t="s">
        <v>21</v>
      </c>
      <c r="D646" s="18" t="s">
        <v>121</v>
      </c>
      <c r="E646" s="60" t="s">
        <v>122</v>
      </c>
      <c r="F646" s="18" t="s">
        <v>123</v>
      </c>
      <c r="G646" s="61" t="s">
        <v>22</v>
      </c>
      <c r="H646" s="18" t="s">
        <v>23</v>
      </c>
      <c r="I646" s="18" t="s">
        <v>24</v>
      </c>
      <c r="J646" s="18" t="s">
        <v>25</v>
      </c>
      <c r="K646" s="62" t="s">
        <v>26</v>
      </c>
      <c r="M646" s="58" t="str">
        <f>VLOOKUP(D646,'TABELA DE PRECOS'!B:C,2,0)</f>
        <v>Valor Unit Bruto</v>
      </c>
    </row>
    <row r="647" spans="1:13" ht="15.75" customHeight="1" x14ac:dyDescent="0.25">
      <c r="A647" s="73">
        <v>1</v>
      </c>
      <c r="B647" s="84" t="s">
        <v>133</v>
      </c>
      <c r="C647" s="73">
        <v>1</v>
      </c>
      <c r="D647" s="85" t="s">
        <v>134</v>
      </c>
      <c r="E647" s="86" t="s">
        <v>131</v>
      </c>
      <c r="F647" s="85">
        <v>81897719002</v>
      </c>
      <c r="G647" s="71">
        <f t="shared" ref="G647:G675" si="57">M647</f>
        <v>17.19688</v>
      </c>
      <c r="H647" s="71">
        <f t="shared" ref="H647:H675" si="58">G647*C647</f>
        <v>17.19688</v>
      </c>
      <c r="I647" s="71">
        <f t="shared" ref="I647:I675" si="59">G647</f>
        <v>17.19688</v>
      </c>
      <c r="J647" s="71">
        <f t="shared" ref="J647:J675" si="60">I647*C647</f>
        <v>17.19688</v>
      </c>
      <c r="K647" s="72">
        <v>0</v>
      </c>
      <c r="L647" s="63"/>
      <c r="M647" s="58">
        <f>VLOOKUP(D647,'TABELA DE PRECOS'!B:C,2,0)</f>
        <v>17.19688</v>
      </c>
    </row>
    <row r="648" spans="1:13" ht="15.75" customHeight="1" x14ac:dyDescent="0.25">
      <c r="A648" s="65">
        <v>2</v>
      </c>
      <c r="B648" s="84" t="s">
        <v>801</v>
      </c>
      <c r="C648" s="73">
        <v>1</v>
      </c>
      <c r="D648" s="85" t="s">
        <v>802</v>
      </c>
      <c r="E648" s="86" t="s">
        <v>131</v>
      </c>
      <c r="F648" s="85">
        <v>81897719002</v>
      </c>
      <c r="G648" s="71">
        <f t="shared" si="57"/>
        <v>63.448</v>
      </c>
      <c r="H648" s="71">
        <f t="shared" si="58"/>
        <v>63.448</v>
      </c>
      <c r="I648" s="71">
        <f t="shared" si="59"/>
        <v>63.448</v>
      </c>
      <c r="J648" s="71">
        <f t="shared" si="60"/>
        <v>63.448</v>
      </c>
      <c r="K648" s="72">
        <v>0</v>
      </c>
      <c r="M648" s="58">
        <f>VLOOKUP(D648,'TABELA DE PRECOS'!B:C,2,0)</f>
        <v>63.448</v>
      </c>
    </row>
    <row r="649" spans="1:13" ht="15.75" customHeight="1" x14ac:dyDescent="0.25">
      <c r="A649" s="73">
        <v>3</v>
      </c>
      <c r="B649" s="84" t="s">
        <v>298</v>
      </c>
      <c r="C649" s="73">
        <v>2</v>
      </c>
      <c r="D649" s="85" t="s">
        <v>299</v>
      </c>
      <c r="E649" s="86" t="s">
        <v>131</v>
      </c>
      <c r="F649" s="85">
        <v>81897719002</v>
      </c>
      <c r="G649" s="71">
        <f t="shared" si="57"/>
        <v>8.3628</v>
      </c>
      <c r="H649" s="71">
        <f t="shared" si="58"/>
        <v>16.7256</v>
      </c>
      <c r="I649" s="71">
        <f t="shared" si="59"/>
        <v>8.3628</v>
      </c>
      <c r="J649" s="71">
        <f t="shared" si="60"/>
        <v>16.7256</v>
      </c>
      <c r="K649" s="72">
        <v>0</v>
      </c>
      <c r="M649" s="58">
        <f>VLOOKUP(D649,'TABELA DE PRECOS'!B:C,2,0)</f>
        <v>8.3628</v>
      </c>
    </row>
    <row r="650" spans="1:13" ht="15.75" customHeight="1" x14ac:dyDescent="0.25">
      <c r="A650" s="73">
        <v>4</v>
      </c>
      <c r="B650" s="84" t="s">
        <v>300</v>
      </c>
      <c r="C650" s="73">
        <v>1</v>
      </c>
      <c r="D650" s="85" t="s">
        <v>301</v>
      </c>
      <c r="E650" s="86" t="s">
        <v>131</v>
      </c>
      <c r="F650" s="85">
        <v>81897719002</v>
      </c>
      <c r="G650" s="71">
        <f t="shared" si="57"/>
        <v>9.4</v>
      </c>
      <c r="H650" s="71">
        <f t="shared" si="58"/>
        <v>9.4</v>
      </c>
      <c r="I650" s="71">
        <f t="shared" si="59"/>
        <v>9.4</v>
      </c>
      <c r="J650" s="71">
        <f t="shared" si="60"/>
        <v>9.4</v>
      </c>
      <c r="K650" s="72">
        <v>0</v>
      </c>
      <c r="M650" s="58">
        <f>VLOOKUP(D650,'TABELA DE PRECOS'!B:C,2,0)</f>
        <v>9.4</v>
      </c>
    </row>
    <row r="651" spans="1:13" ht="15.75" customHeight="1" x14ac:dyDescent="0.25">
      <c r="A651" s="65">
        <v>5</v>
      </c>
      <c r="B651" s="84" t="s">
        <v>137</v>
      </c>
      <c r="C651" s="73">
        <v>1</v>
      </c>
      <c r="D651" s="85" t="s">
        <v>138</v>
      </c>
      <c r="E651" s="86" t="s">
        <v>131</v>
      </c>
      <c r="F651" s="85">
        <v>81897719002</v>
      </c>
      <c r="G651" s="71">
        <f t="shared" si="57"/>
        <v>8.25</v>
      </c>
      <c r="H651" s="71">
        <f t="shared" si="58"/>
        <v>8.25</v>
      </c>
      <c r="I651" s="71">
        <f t="shared" si="59"/>
        <v>8.25</v>
      </c>
      <c r="J651" s="71">
        <f t="shared" si="60"/>
        <v>8.25</v>
      </c>
      <c r="K651" s="72">
        <v>0</v>
      </c>
      <c r="M651" s="58">
        <f>VLOOKUP(D651,'TABELA DE PRECOS'!B:C,2,0)</f>
        <v>8.25</v>
      </c>
    </row>
    <row r="652" spans="1:13" ht="15.75" customHeight="1" x14ac:dyDescent="0.25">
      <c r="A652" s="73">
        <v>6</v>
      </c>
      <c r="B652" s="84" t="s">
        <v>304</v>
      </c>
      <c r="C652" s="73">
        <v>1</v>
      </c>
      <c r="D652" s="85" t="s">
        <v>305</v>
      </c>
      <c r="E652" s="86" t="s">
        <v>131</v>
      </c>
      <c r="F652" s="85" t="s">
        <v>223</v>
      </c>
      <c r="G652" s="71">
        <f t="shared" si="57"/>
        <v>5.2653600000000003</v>
      </c>
      <c r="H652" s="71">
        <f t="shared" si="58"/>
        <v>5.2653600000000003</v>
      </c>
      <c r="I652" s="71">
        <f t="shared" si="59"/>
        <v>5.2653600000000003</v>
      </c>
      <c r="J652" s="71">
        <f t="shared" si="60"/>
        <v>5.2653600000000003</v>
      </c>
      <c r="K652" s="72">
        <v>0</v>
      </c>
      <c r="M652" s="58">
        <f>VLOOKUP(D652,'TABELA DE PRECOS'!B:C,2,0)</f>
        <v>5.2653600000000003</v>
      </c>
    </row>
    <row r="653" spans="1:13" ht="15.75" customHeight="1" x14ac:dyDescent="0.25">
      <c r="A653" s="73">
        <v>7</v>
      </c>
      <c r="B653" s="84" t="s">
        <v>151</v>
      </c>
      <c r="C653" s="73">
        <v>1</v>
      </c>
      <c r="D653" s="85" t="s">
        <v>152</v>
      </c>
      <c r="E653" s="86" t="s">
        <v>131</v>
      </c>
      <c r="F653" s="85">
        <v>81897719002</v>
      </c>
      <c r="G653" s="71">
        <f t="shared" si="57"/>
        <v>38.43</v>
      </c>
      <c r="H653" s="71">
        <f t="shared" si="58"/>
        <v>38.43</v>
      </c>
      <c r="I653" s="71">
        <f t="shared" si="59"/>
        <v>38.43</v>
      </c>
      <c r="J653" s="71">
        <f t="shared" si="60"/>
        <v>38.43</v>
      </c>
      <c r="K653" s="72">
        <v>0</v>
      </c>
      <c r="M653" s="58">
        <f>VLOOKUP(D653,'TABELA DE PRECOS'!B:C,2,0)</f>
        <v>38.43</v>
      </c>
    </row>
    <row r="654" spans="1:13" ht="15.75" customHeight="1" x14ac:dyDescent="0.25">
      <c r="A654" s="65">
        <v>8</v>
      </c>
      <c r="B654" s="84" t="s">
        <v>446</v>
      </c>
      <c r="C654" s="73">
        <v>2</v>
      </c>
      <c r="D654" s="49" t="s">
        <v>447</v>
      </c>
      <c r="E654" s="86" t="s">
        <v>131</v>
      </c>
      <c r="F654" s="85">
        <v>81897719006</v>
      </c>
      <c r="G654" s="71">
        <f t="shared" si="57"/>
        <v>34.04768</v>
      </c>
      <c r="H654" s="71">
        <f t="shared" si="58"/>
        <v>68.095359999999999</v>
      </c>
      <c r="I654" s="71">
        <f t="shared" si="59"/>
        <v>34.04768</v>
      </c>
      <c r="J654" s="71">
        <f t="shared" si="60"/>
        <v>68.095359999999999</v>
      </c>
      <c r="K654" s="72">
        <v>0</v>
      </c>
      <c r="M654" s="58">
        <f>VLOOKUP(D654,'TABELA DE PRECOS'!B:C,2,0)</f>
        <v>34.04768</v>
      </c>
    </row>
    <row r="655" spans="1:13" ht="15.75" customHeight="1" x14ac:dyDescent="0.25">
      <c r="A655" s="73">
        <v>9</v>
      </c>
      <c r="B655" s="84" t="s">
        <v>316</v>
      </c>
      <c r="C655" s="73">
        <v>2</v>
      </c>
      <c r="D655" s="85" t="s">
        <v>317</v>
      </c>
      <c r="E655" s="86" t="s">
        <v>131</v>
      </c>
      <c r="F655" s="85">
        <v>81897719002</v>
      </c>
      <c r="G655" s="71">
        <f t="shared" si="57"/>
        <v>32.450000000000003</v>
      </c>
      <c r="H655" s="71">
        <f t="shared" si="58"/>
        <v>64.900000000000006</v>
      </c>
      <c r="I655" s="71">
        <f t="shared" si="59"/>
        <v>32.450000000000003</v>
      </c>
      <c r="J655" s="71">
        <f t="shared" si="60"/>
        <v>64.900000000000006</v>
      </c>
      <c r="K655" s="72">
        <v>0</v>
      </c>
      <c r="M655" s="58">
        <f>VLOOKUP(D655,'TABELA DE PRECOS'!B:C,2,0)</f>
        <v>32.450000000000003</v>
      </c>
    </row>
    <row r="656" spans="1:13" ht="15.75" customHeight="1" x14ac:dyDescent="0.25">
      <c r="A656" s="73">
        <v>10</v>
      </c>
      <c r="B656" s="84" t="s">
        <v>803</v>
      </c>
      <c r="C656" s="73">
        <v>2</v>
      </c>
      <c r="D656" s="85" t="s">
        <v>804</v>
      </c>
      <c r="E656" s="86" t="s">
        <v>131</v>
      </c>
      <c r="F656" s="85">
        <v>81897719002</v>
      </c>
      <c r="G656" s="71">
        <f t="shared" si="57"/>
        <v>32.861120000000007</v>
      </c>
      <c r="H656" s="71">
        <f t="shared" si="58"/>
        <v>65.722240000000014</v>
      </c>
      <c r="I656" s="71">
        <f t="shared" si="59"/>
        <v>32.861120000000007</v>
      </c>
      <c r="J656" s="71">
        <f t="shared" si="60"/>
        <v>65.722240000000014</v>
      </c>
      <c r="K656" s="72">
        <v>0</v>
      </c>
      <c r="M656" s="58">
        <f>VLOOKUP(D656,'TABELA DE PRECOS'!B:C,2,0)</f>
        <v>32.861120000000007</v>
      </c>
    </row>
    <row r="657" spans="1:13" ht="15.75" customHeight="1" x14ac:dyDescent="0.25">
      <c r="A657" s="65">
        <v>11</v>
      </c>
      <c r="B657" s="84" t="s">
        <v>183</v>
      </c>
      <c r="C657" s="73">
        <v>1</v>
      </c>
      <c r="D657" s="85" t="s">
        <v>184</v>
      </c>
      <c r="E657" s="86" t="s">
        <v>131</v>
      </c>
      <c r="F657" s="85">
        <v>81897719002</v>
      </c>
      <c r="G657" s="71">
        <f t="shared" si="57"/>
        <v>40.79</v>
      </c>
      <c r="H657" s="71">
        <f t="shared" si="58"/>
        <v>40.79</v>
      </c>
      <c r="I657" s="71">
        <f t="shared" si="59"/>
        <v>40.79</v>
      </c>
      <c r="J657" s="71">
        <f t="shared" si="60"/>
        <v>40.79</v>
      </c>
      <c r="K657" s="72">
        <v>0</v>
      </c>
      <c r="M657" s="58">
        <f>VLOOKUP(D657,'TABELA DE PRECOS'!B:C,2,0)</f>
        <v>40.79</v>
      </c>
    </row>
    <row r="658" spans="1:13" ht="15.75" customHeight="1" x14ac:dyDescent="0.25">
      <c r="A658" s="73">
        <v>12</v>
      </c>
      <c r="B658" s="84" t="s">
        <v>185</v>
      </c>
      <c r="C658" s="73">
        <v>6</v>
      </c>
      <c r="D658" s="85" t="s">
        <v>186</v>
      </c>
      <c r="E658" s="86" t="s">
        <v>131</v>
      </c>
      <c r="F658" s="85">
        <v>81897719002</v>
      </c>
      <c r="G658" s="71">
        <f t="shared" si="57"/>
        <v>17.28</v>
      </c>
      <c r="H658" s="71">
        <f t="shared" si="58"/>
        <v>103.68</v>
      </c>
      <c r="I658" s="71">
        <f t="shared" si="59"/>
        <v>17.28</v>
      </c>
      <c r="J658" s="71">
        <f t="shared" si="60"/>
        <v>103.68</v>
      </c>
      <c r="K658" s="72">
        <v>0</v>
      </c>
      <c r="M658" s="58">
        <f>VLOOKUP(D658,'TABELA DE PRECOS'!B:C,2,0)</f>
        <v>17.28</v>
      </c>
    </row>
    <row r="659" spans="1:13" ht="15.75" customHeight="1" x14ac:dyDescent="0.25">
      <c r="A659" s="73">
        <v>13</v>
      </c>
      <c r="B659" s="84" t="s">
        <v>679</v>
      </c>
      <c r="C659" s="73">
        <v>2</v>
      </c>
      <c r="D659" s="85" t="s">
        <v>680</v>
      </c>
      <c r="E659" s="86" t="s">
        <v>131</v>
      </c>
      <c r="F659" s="85">
        <v>81897719002</v>
      </c>
      <c r="G659" s="71">
        <f t="shared" si="57"/>
        <v>10.19</v>
      </c>
      <c r="H659" s="71">
        <f t="shared" si="58"/>
        <v>20.38</v>
      </c>
      <c r="I659" s="71">
        <f t="shared" si="59"/>
        <v>10.19</v>
      </c>
      <c r="J659" s="71">
        <f t="shared" si="60"/>
        <v>20.38</v>
      </c>
      <c r="K659" s="72">
        <v>0</v>
      </c>
      <c r="M659" s="58">
        <f>VLOOKUP(D659,'TABELA DE PRECOS'!B:C,2,0)</f>
        <v>10.19</v>
      </c>
    </row>
    <row r="660" spans="1:13" ht="15.75" customHeight="1" x14ac:dyDescent="0.25">
      <c r="A660" s="65">
        <v>14</v>
      </c>
      <c r="B660" s="84" t="s">
        <v>403</v>
      </c>
      <c r="C660" s="73">
        <v>1</v>
      </c>
      <c r="D660" s="85" t="s">
        <v>404</v>
      </c>
      <c r="E660" s="86" t="s">
        <v>131</v>
      </c>
      <c r="F660" s="85">
        <v>81897719002</v>
      </c>
      <c r="G660" s="71">
        <f t="shared" si="57"/>
        <v>6.21</v>
      </c>
      <c r="H660" s="71">
        <f t="shared" si="58"/>
        <v>6.21</v>
      </c>
      <c r="I660" s="71">
        <f t="shared" si="59"/>
        <v>6.21</v>
      </c>
      <c r="J660" s="71">
        <f t="shared" si="60"/>
        <v>6.21</v>
      </c>
      <c r="K660" s="72">
        <v>0</v>
      </c>
      <c r="M660" s="58">
        <f>VLOOKUP(D660,'TABELA DE PRECOS'!B:C,2,0)</f>
        <v>6.21</v>
      </c>
    </row>
    <row r="661" spans="1:13" ht="15.75" customHeight="1" x14ac:dyDescent="0.25">
      <c r="A661" s="73">
        <v>15</v>
      </c>
      <c r="B661" s="84" t="s">
        <v>397</v>
      </c>
      <c r="C661" s="73">
        <v>2</v>
      </c>
      <c r="D661" s="85" t="s">
        <v>398</v>
      </c>
      <c r="E661" s="86" t="s">
        <v>131</v>
      </c>
      <c r="F661" s="85">
        <v>81897719002</v>
      </c>
      <c r="G661" s="71">
        <f t="shared" si="57"/>
        <v>9.19</v>
      </c>
      <c r="H661" s="71">
        <f t="shared" si="58"/>
        <v>18.38</v>
      </c>
      <c r="I661" s="71">
        <f t="shared" si="59"/>
        <v>9.19</v>
      </c>
      <c r="J661" s="71">
        <f t="shared" si="60"/>
        <v>18.38</v>
      </c>
      <c r="K661" s="72">
        <v>0</v>
      </c>
      <c r="M661" s="58">
        <f>VLOOKUP(D661,'TABELA DE PRECOS'!B:C,2,0)</f>
        <v>9.19</v>
      </c>
    </row>
    <row r="662" spans="1:13" ht="15.75" customHeight="1" x14ac:dyDescent="0.25">
      <c r="A662" s="73">
        <v>16</v>
      </c>
      <c r="B662" s="84" t="s">
        <v>399</v>
      </c>
      <c r="C662" s="73">
        <v>2</v>
      </c>
      <c r="D662" s="85" t="s">
        <v>400</v>
      </c>
      <c r="E662" s="86" t="s">
        <v>131</v>
      </c>
      <c r="F662" s="85">
        <v>81897719002</v>
      </c>
      <c r="G662" s="71">
        <f t="shared" si="57"/>
        <v>8.85</v>
      </c>
      <c r="H662" s="71">
        <f t="shared" si="58"/>
        <v>17.7</v>
      </c>
      <c r="I662" s="71">
        <f t="shared" si="59"/>
        <v>8.85</v>
      </c>
      <c r="J662" s="71">
        <f t="shared" si="60"/>
        <v>17.7</v>
      </c>
      <c r="K662" s="72">
        <v>0</v>
      </c>
      <c r="M662" s="58">
        <f>VLOOKUP(D662,'TABELA DE PRECOS'!B:C,2,0)</f>
        <v>8.85</v>
      </c>
    </row>
    <row r="663" spans="1:13" ht="15.75" customHeight="1" x14ac:dyDescent="0.25">
      <c r="A663" s="65">
        <v>17</v>
      </c>
      <c r="B663" s="84" t="s">
        <v>419</v>
      </c>
      <c r="C663" s="73">
        <v>2</v>
      </c>
      <c r="D663" s="85" t="s">
        <v>420</v>
      </c>
      <c r="E663" s="86" t="s">
        <v>131</v>
      </c>
      <c r="F663" s="85">
        <v>81897719002</v>
      </c>
      <c r="G663" s="71">
        <f t="shared" si="57"/>
        <v>16.52</v>
      </c>
      <c r="H663" s="71">
        <f t="shared" si="58"/>
        <v>33.04</v>
      </c>
      <c r="I663" s="71">
        <f t="shared" si="59"/>
        <v>16.52</v>
      </c>
      <c r="J663" s="71">
        <f t="shared" si="60"/>
        <v>33.04</v>
      </c>
      <c r="K663" s="72">
        <v>0</v>
      </c>
      <c r="M663" s="58">
        <f>VLOOKUP(D663,'TABELA DE PRECOS'!B:C,2,0)</f>
        <v>16.52</v>
      </c>
    </row>
    <row r="664" spans="1:13" ht="15.75" customHeight="1" x14ac:dyDescent="0.25">
      <c r="A664" s="73">
        <v>18</v>
      </c>
      <c r="B664" s="84" t="s">
        <v>187</v>
      </c>
      <c r="C664" s="73">
        <v>4</v>
      </c>
      <c r="D664" s="85" t="s">
        <v>188</v>
      </c>
      <c r="E664" s="86" t="s">
        <v>131</v>
      </c>
      <c r="F664" s="85">
        <v>81897719002</v>
      </c>
      <c r="G664" s="71">
        <f t="shared" si="57"/>
        <v>15.95</v>
      </c>
      <c r="H664" s="71">
        <f t="shared" si="58"/>
        <v>63.8</v>
      </c>
      <c r="I664" s="71">
        <f t="shared" si="59"/>
        <v>15.95</v>
      </c>
      <c r="J664" s="71">
        <f t="shared" si="60"/>
        <v>63.8</v>
      </c>
      <c r="K664" s="72">
        <v>0</v>
      </c>
      <c r="M664" s="58">
        <f>VLOOKUP(D664,'TABELA DE PRECOS'!B:C,2,0)</f>
        <v>15.95</v>
      </c>
    </row>
    <row r="665" spans="1:13" ht="15.75" customHeight="1" x14ac:dyDescent="0.25">
      <c r="A665" s="73">
        <v>19</v>
      </c>
      <c r="B665" s="84" t="s">
        <v>189</v>
      </c>
      <c r="C665" s="73">
        <v>2</v>
      </c>
      <c r="D665" s="85" t="s">
        <v>190</v>
      </c>
      <c r="E665" s="86" t="s">
        <v>131</v>
      </c>
      <c r="F665" s="85">
        <v>81897719002</v>
      </c>
      <c r="G665" s="71">
        <f t="shared" si="57"/>
        <v>16.71</v>
      </c>
      <c r="H665" s="71">
        <f t="shared" si="58"/>
        <v>33.42</v>
      </c>
      <c r="I665" s="71">
        <f t="shared" si="59"/>
        <v>16.71</v>
      </c>
      <c r="J665" s="71">
        <f t="shared" si="60"/>
        <v>33.42</v>
      </c>
      <c r="K665" s="72">
        <v>0</v>
      </c>
      <c r="M665" s="58">
        <f>VLOOKUP(D665,'TABELA DE PRECOS'!B:C,2,0)</f>
        <v>16.71</v>
      </c>
    </row>
    <row r="666" spans="1:13" ht="15.75" customHeight="1" x14ac:dyDescent="0.25">
      <c r="A666" s="65">
        <v>20</v>
      </c>
      <c r="B666" s="84" t="s">
        <v>254</v>
      </c>
      <c r="C666" s="73">
        <v>2</v>
      </c>
      <c r="D666" s="85" t="s">
        <v>255</v>
      </c>
      <c r="E666" s="86" t="s">
        <v>131</v>
      </c>
      <c r="F666" s="85">
        <v>81897719002</v>
      </c>
      <c r="G666" s="71">
        <f t="shared" si="57"/>
        <v>16.68</v>
      </c>
      <c r="H666" s="71">
        <f t="shared" si="58"/>
        <v>33.36</v>
      </c>
      <c r="I666" s="71">
        <f t="shared" si="59"/>
        <v>16.68</v>
      </c>
      <c r="J666" s="71">
        <f t="shared" si="60"/>
        <v>33.36</v>
      </c>
      <c r="K666" s="72">
        <v>0</v>
      </c>
      <c r="M666" s="58">
        <f>VLOOKUP(D666,'TABELA DE PRECOS'!B:C,2,0)</f>
        <v>16.68</v>
      </c>
    </row>
    <row r="667" spans="1:13" ht="15.75" customHeight="1" x14ac:dyDescent="0.25">
      <c r="A667" s="73">
        <v>21</v>
      </c>
      <c r="B667" s="84" t="s">
        <v>324</v>
      </c>
      <c r="C667" s="73">
        <v>2</v>
      </c>
      <c r="D667" s="85" t="s">
        <v>325</v>
      </c>
      <c r="E667" s="86" t="s">
        <v>131</v>
      </c>
      <c r="F667" s="85">
        <v>81897719002</v>
      </c>
      <c r="G667" s="71">
        <f t="shared" si="57"/>
        <v>23.7636</v>
      </c>
      <c r="H667" s="71">
        <f t="shared" si="58"/>
        <v>47.527200000000001</v>
      </c>
      <c r="I667" s="71">
        <f t="shared" si="59"/>
        <v>23.7636</v>
      </c>
      <c r="J667" s="71">
        <f t="shared" si="60"/>
        <v>47.527200000000001</v>
      </c>
      <c r="K667" s="72">
        <v>0</v>
      </c>
      <c r="M667" s="58">
        <f>VLOOKUP(D667,'TABELA DE PRECOS'!B:C,2,0)</f>
        <v>23.7636</v>
      </c>
    </row>
    <row r="668" spans="1:13" ht="15.75" customHeight="1" x14ac:dyDescent="0.25">
      <c r="A668" s="73">
        <v>22</v>
      </c>
      <c r="B668" s="84" t="s">
        <v>805</v>
      </c>
      <c r="C668" s="73">
        <v>2</v>
      </c>
      <c r="D668" s="85" t="s">
        <v>806</v>
      </c>
      <c r="E668" s="86" t="s">
        <v>131</v>
      </c>
      <c r="F668" s="85">
        <v>81897719003</v>
      </c>
      <c r="G668" s="71">
        <f t="shared" si="57"/>
        <v>101.36024</v>
      </c>
      <c r="H668" s="71">
        <f t="shared" si="58"/>
        <v>202.72048000000001</v>
      </c>
      <c r="I668" s="71">
        <f t="shared" si="59"/>
        <v>101.36024</v>
      </c>
      <c r="J668" s="71">
        <f t="shared" si="60"/>
        <v>202.72048000000001</v>
      </c>
      <c r="K668" s="72">
        <v>0</v>
      </c>
      <c r="M668" s="58">
        <f>VLOOKUP(D668,'TABELA DE PRECOS'!B:C,2,0)</f>
        <v>101.36024</v>
      </c>
    </row>
    <row r="669" spans="1:13" ht="15.75" customHeight="1" x14ac:dyDescent="0.25">
      <c r="A669" s="65">
        <v>23</v>
      </c>
      <c r="B669" s="84" t="s">
        <v>421</v>
      </c>
      <c r="C669" s="73">
        <v>1</v>
      </c>
      <c r="D669" s="85" t="s">
        <v>422</v>
      </c>
      <c r="E669" s="86" t="s">
        <v>131</v>
      </c>
      <c r="F669" s="85">
        <v>81897719002</v>
      </c>
      <c r="G669" s="71">
        <f t="shared" si="57"/>
        <v>11.13</v>
      </c>
      <c r="H669" s="71">
        <f t="shared" si="58"/>
        <v>11.13</v>
      </c>
      <c r="I669" s="71">
        <f t="shared" si="59"/>
        <v>11.13</v>
      </c>
      <c r="J669" s="71">
        <f t="shared" si="60"/>
        <v>11.13</v>
      </c>
      <c r="K669" s="72">
        <v>0</v>
      </c>
      <c r="M669" s="58">
        <f>VLOOKUP(D669,'TABELA DE PRECOS'!B:C,2,0)</f>
        <v>11.13</v>
      </c>
    </row>
    <row r="670" spans="1:13" ht="15.75" customHeight="1" x14ac:dyDescent="0.25">
      <c r="A670" s="73">
        <v>24</v>
      </c>
      <c r="B670" s="84" t="s">
        <v>807</v>
      </c>
      <c r="C670" s="73">
        <v>1</v>
      </c>
      <c r="D670" s="85" t="s">
        <v>808</v>
      </c>
      <c r="E670" s="86" t="s">
        <v>131</v>
      </c>
      <c r="F670" s="85">
        <v>81897719002</v>
      </c>
      <c r="G670" s="71">
        <f t="shared" si="57"/>
        <v>19.690000000000001</v>
      </c>
      <c r="H670" s="71">
        <f t="shared" si="58"/>
        <v>19.690000000000001</v>
      </c>
      <c r="I670" s="71">
        <f t="shared" si="59"/>
        <v>19.690000000000001</v>
      </c>
      <c r="J670" s="71">
        <f t="shared" si="60"/>
        <v>19.690000000000001</v>
      </c>
      <c r="K670" s="72">
        <v>0</v>
      </c>
      <c r="M670" s="58">
        <f>VLOOKUP(D670,'TABELA DE PRECOS'!B:C,2,0)</f>
        <v>19.690000000000001</v>
      </c>
    </row>
    <row r="671" spans="1:13" ht="15.75" customHeight="1" x14ac:dyDescent="0.25">
      <c r="A671" s="73">
        <v>25</v>
      </c>
      <c r="B671" s="84" t="s">
        <v>211</v>
      </c>
      <c r="C671" s="73">
        <v>1</v>
      </c>
      <c r="D671" s="85" t="s">
        <v>212</v>
      </c>
      <c r="E671" s="86" t="s">
        <v>131</v>
      </c>
      <c r="F671" s="85">
        <v>81897719002</v>
      </c>
      <c r="G671" s="71">
        <f t="shared" si="57"/>
        <v>18.84</v>
      </c>
      <c r="H671" s="71">
        <f t="shared" si="58"/>
        <v>18.84</v>
      </c>
      <c r="I671" s="71">
        <f t="shared" si="59"/>
        <v>18.84</v>
      </c>
      <c r="J671" s="71">
        <f t="shared" si="60"/>
        <v>18.84</v>
      </c>
      <c r="K671" s="72">
        <v>0</v>
      </c>
      <c r="M671" s="58">
        <f>VLOOKUP(D671,'TABELA DE PRECOS'!B:C,2,0)</f>
        <v>18.84</v>
      </c>
    </row>
    <row r="672" spans="1:13" ht="15.75" customHeight="1" x14ac:dyDescent="0.25">
      <c r="A672" s="65">
        <v>26</v>
      </c>
      <c r="B672" s="84" t="s">
        <v>809</v>
      </c>
      <c r="C672" s="73">
        <v>1</v>
      </c>
      <c r="D672" s="85" t="s">
        <v>810</v>
      </c>
      <c r="E672" s="86" t="s">
        <v>131</v>
      </c>
      <c r="F672" s="85" t="s">
        <v>223</v>
      </c>
      <c r="G672" s="71">
        <f t="shared" si="57"/>
        <v>452.58199999999999</v>
      </c>
      <c r="H672" s="71">
        <f t="shared" si="58"/>
        <v>452.58199999999999</v>
      </c>
      <c r="I672" s="71">
        <f t="shared" si="59"/>
        <v>452.58199999999999</v>
      </c>
      <c r="J672" s="71">
        <f t="shared" si="60"/>
        <v>452.58199999999999</v>
      </c>
      <c r="K672" s="72">
        <v>0</v>
      </c>
      <c r="M672" s="58">
        <f>VLOOKUP(D672,'TABELA DE PRECOS'!B:C,2,0)</f>
        <v>452.58199999999999</v>
      </c>
    </row>
    <row r="673" spans="1:13" ht="15.75" customHeight="1" x14ac:dyDescent="0.25">
      <c r="A673" s="73">
        <v>27</v>
      </c>
      <c r="B673" s="84" t="s">
        <v>811</v>
      </c>
      <c r="C673" s="73">
        <v>1</v>
      </c>
      <c r="D673" s="85" t="s">
        <v>812</v>
      </c>
      <c r="E673" s="86" t="s">
        <v>131</v>
      </c>
      <c r="F673" s="85" t="s">
        <v>223</v>
      </c>
      <c r="G673" s="71">
        <f t="shared" si="57"/>
        <v>593.5</v>
      </c>
      <c r="H673" s="71">
        <f t="shared" si="58"/>
        <v>593.5</v>
      </c>
      <c r="I673" s="71">
        <f t="shared" si="59"/>
        <v>593.5</v>
      </c>
      <c r="J673" s="71">
        <f t="shared" si="60"/>
        <v>593.5</v>
      </c>
      <c r="K673" s="72">
        <v>0</v>
      </c>
      <c r="M673" s="58">
        <f>VLOOKUP(D673,'TABELA DE PRECOS'!B:C,2,0)</f>
        <v>593.5</v>
      </c>
    </row>
    <row r="674" spans="1:13" ht="15.75" customHeight="1" x14ac:dyDescent="0.25">
      <c r="A674" s="73">
        <v>28</v>
      </c>
      <c r="B674" s="84" t="s">
        <v>376</v>
      </c>
      <c r="C674" s="73">
        <v>1</v>
      </c>
      <c r="D674" s="85" t="s">
        <v>377</v>
      </c>
      <c r="E674" s="86" t="s">
        <v>131</v>
      </c>
      <c r="F674" s="85" t="s">
        <v>223</v>
      </c>
      <c r="G674" s="71">
        <f t="shared" si="57"/>
        <v>514.57000000000005</v>
      </c>
      <c r="H674" s="71">
        <f t="shared" si="58"/>
        <v>514.57000000000005</v>
      </c>
      <c r="I674" s="71">
        <f t="shared" si="59"/>
        <v>514.57000000000005</v>
      </c>
      <c r="J674" s="71">
        <f t="shared" si="60"/>
        <v>514.57000000000005</v>
      </c>
      <c r="K674" s="72">
        <v>0</v>
      </c>
      <c r="M674" s="58">
        <f>VLOOKUP(D674,'TABELA DE PRECOS'!B:C,2,0)</f>
        <v>514.57000000000005</v>
      </c>
    </row>
    <row r="675" spans="1:13" ht="15.75" customHeight="1" x14ac:dyDescent="0.25">
      <c r="A675" s="65">
        <v>29</v>
      </c>
      <c r="B675" s="84" t="s">
        <v>378</v>
      </c>
      <c r="C675" s="73">
        <v>2</v>
      </c>
      <c r="D675" s="85" t="s">
        <v>379</v>
      </c>
      <c r="E675" s="86" t="s">
        <v>131</v>
      </c>
      <c r="F675" s="85" t="s">
        <v>223</v>
      </c>
      <c r="G675" s="71">
        <f t="shared" si="57"/>
        <v>9.18</v>
      </c>
      <c r="H675" s="71">
        <f t="shared" si="58"/>
        <v>18.36</v>
      </c>
      <c r="I675" s="71">
        <f t="shared" si="59"/>
        <v>9.18</v>
      </c>
      <c r="J675" s="71">
        <f t="shared" si="60"/>
        <v>18.36</v>
      </c>
      <c r="K675" s="72">
        <v>0</v>
      </c>
      <c r="M675" s="58">
        <f>VLOOKUP(D675,'TABELA DE PRECOS'!B:C,2,0)</f>
        <v>9.18</v>
      </c>
    </row>
    <row r="676" spans="1:13" ht="15.75" customHeight="1" x14ac:dyDescent="0.25">
      <c r="A676" s="78"/>
      <c r="B676" s="79" t="s">
        <v>224</v>
      </c>
      <c r="C676" s="79">
        <f>SUM(C647:C675)</f>
        <v>50</v>
      </c>
      <c r="D676" s="79"/>
      <c r="E676" s="79"/>
      <c r="F676" s="79"/>
      <c r="G676" s="80"/>
      <c r="H676" s="80">
        <f>SUM(H647:H675)</f>
        <v>2607.1131200000004</v>
      </c>
      <c r="I676" s="79"/>
      <c r="J676" s="80">
        <f>SUM(J647:J675)</f>
        <v>2607.1131200000004</v>
      </c>
      <c r="K676" s="81"/>
      <c r="M676" s="58" t="e">
        <f>VLOOKUP(D676,'TABELA DE PRECOS'!B:C,2,0)</f>
        <v>#N/A</v>
      </c>
    </row>
    <row r="677" spans="1:13" ht="15.75" customHeight="1" x14ac:dyDescent="0.25">
      <c r="A677" s="56"/>
      <c r="B677" s="49" t="s">
        <v>15</v>
      </c>
      <c r="C677" s="57"/>
      <c r="G677" s="58"/>
      <c r="H677" s="58"/>
      <c r="I677" s="58"/>
      <c r="J677" s="58"/>
      <c r="K677" s="59"/>
      <c r="M677" s="58" t="e">
        <f>VLOOKUP(D677,'TABELA DE PRECOS'!B:C,2,0)</f>
        <v>#N/A</v>
      </c>
    </row>
    <row r="678" spans="1:13" ht="15.75" customHeight="1" x14ac:dyDescent="0.25">
      <c r="A678" s="56"/>
      <c r="B678" s="18" t="s">
        <v>813</v>
      </c>
      <c r="C678" s="57"/>
      <c r="G678" s="58"/>
      <c r="H678" s="58"/>
      <c r="I678" s="58"/>
      <c r="J678" s="58"/>
      <c r="K678" s="59"/>
      <c r="M678" s="58" t="e">
        <f>VLOOKUP(D678,'TABELA DE PRECOS'!B:C,2,0)</f>
        <v>#N/A</v>
      </c>
    </row>
    <row r="679" spans="1:13" ht="15.75" customHeight="1" x14ac:dyDescent="0.25">
      <c r="A679" s="18" t="s">
        <v>119</v>
      </c>
      <c r="B679" s="18" t="s">
        <v>120</v>
      </c>
      <c r="C679" s="18" t="s">
        <v>21</v>
      </c>
      <c r="D679" s="18" t="s">
        <v>121</v>
      </c>
      <c r="E679" s="60" t="s">
        <v>122</v>
      </c>
      <c r="F679" s="18" t="s">
        <v>123</v>
      </c>
      <c r="G679" s="61" t="s">
        <v>22</v>
      </c>
      <c r="H679" s="18" t="s">
        <v>23</v>
      </c>
      <c r="I679" s="18" t="s">
        <v>24</v>
      </c>
      <c r="J679" s="18" t="s">
        <v>25</v>
      </c>
      <c r="K679" s="62" t="s">
        <v>26</v>
      </c>
      <c r="M679" s="58" t="str">
        <f>VLOOKUP(D679,'TABELA DE PRECOS'!B:C,2,0)</f>
        <v>Valor Unit Bruto</v>
      </c>
    </row>
    <row r="680" spans="1:13" ht="15.75" customHeight="1" x14ac:dyDescent="0.25">
      <c r="A680" s="65">
        <v>1</v>
      </c>
      <c r="B680" s="84" t="s">
        <v>290</v>
      </c>
      <c r="C680" s="73">
        <v>2</v>
      </c>
      <c r="D680" s="85" t="s">
        <v>291</v>
      </c>
      <c r="E680" s="86" t="s">
        <v>131</v>
      </c>
      <c r="F680" s="85">
        <v>81897719002</v>
      </c>
      <c r="G680" s="71">
        <f t="shared" ref="G680:G721" si="61">M680</f>
        <v>16.5</v>
      </c>
      <c r="H680" s="71">
        <f t="shared" ref="H680:H721" si="62">G680*C680</f>
        <v>33</v>
      </c>
      <c r="I680" s="71">
        <f t="shared" ref="I680:I721" si="63">G680</f>
        <v>16.5</v>
      </c>
      <c r="J680" s="71">
        <f t="shared" ref="J680:J721" si="64">I680*C680</f>
        <v>33</v>
      </c>
      <c r="K680" s="72">
        <v>0</v>
      </c>
      <c r="L680" s="63"/>
      <c r="M680" s="58">
        <f>VLOOKUP(D680,'TABELA DE PRECOS'!B:C,2,0)</f>
        <v>16.5</v>
      </c>
    </row>
    <row r="681" spans="1:13" ht="15.75" customHeight="1" x14ac:dyDescent="0.25">
      <c r="A681" s="65">
        <v>2</v>
      </c>
      <c r="B681" s="84" t="s">
        <v>814</v>
      </c>
      <c r="C681" s="73">
        <v>1</v>
      </c>
      <c r="D681" s="85" t="s">
        <v>815</v>
      </c>
      <c r="E681" s="86" t="s">
        <v>131</v>
      </c>
      <c r="F681" s="85">
        <v>81897719002</v>
      </c>
      <c r="G681" s="71">
        <f t="shared" si="61"/>
        <v>643.28</v>
      </c>
      <c r="H681" s="71">
        <f t="shared" si="62"/>
        <v>643.28</v>
      </c>
      <c r="I681" s="71">
        <f t="shared" si="63"/>
        <v>643.28</v>
      </c>
      <c r="J681" s="71">
        <f t="shared" si="64"/>
        <v>643.28</v>
      </c>
      <c r="K681" s="72">
        <v>0</v>
      </c>
      <c r="M681" s="58">
        <f>VLOOKUP(D681,'TABELA DE PRECOS'!B:C,2,0)</f>
        <v>643.28</v>
      </c>
    </row>
    <row r="682" spans="1:13" ht="15.75" customHeight="1" x14ac:dyDescent="0.25">
      <c r="A682" s="65">
        <v>3</v>
      </c>
      <c r="B682" s="84" t="s">
        <v>816</v>
      </c>
      <c r="C682" s="73">
        <v>1</v>
      </c>
      <c r="D682" s="85" t="s">
        <v>817</v>
      </c>
      <c r="E682" s="86" t="s">
        <v>131</v>
      </c>
      <c r="F682" s="85">
        <v>81897719002</v>
      </c>
      <c r="G682" s="71">
        <f t="shared" si="61"/>
        <v>1250.8528000000001</v>
      </c>
      <c r="H682" s="71">
        <f t="shared" si="62"/>
        <v>1250.8528000000001</v>
      </c>
      <c r="I682" s="71">
        <f t="shared" si="63"/>
        <v>1250.8528000000001</v>
      </c>
      <c r="J682" s="71">
        <f t="shared" si="64"/>
        <v>1250.8528000000001</v>
      </c>
      <c r="K682" s="72">
        <v>0</v>
      </c>
      <c r="M682" s="58">
        <f>VLOOKUP(D682,'TABELA DE PRECOS'!B:C,2,0)</f>
        <v>1250.8528000000001</v>
      </c>
    </row>
    <row r="683" spans="1:13" ht="15.75" customHeight="1" x14ac:dyDescent="0.25">
      <c r="A683" s="65">
        <v>4</v>
      </c>
      <c r="B683" s="84" t="s">
        <v>1610</v>
      </c>
      <c r="C683" s="73">
        <v>1</v>
      </c>
      <c r="D683" s="85" t="s">
        <v>819</v>
      </c>
      <c r="E683" s="86" t="s">
        <v>131</v>
      </c>
      <c r="F683" s="85">
        <v>81897719002</v>
      </c>
      <c r="G683" s="71">
        <f t="shared" si="61"/>
        <v>696.89239999999995</v>
      </c>
      <c r="H683" s="71">
        <f t="shared" si="62"/>
        <v>696.89239999999995</v>
      </c>
      <c r="I683" s="71">
        <f t="shared" si="63"/>
        <v>696.89239999999995</v>
      </c>
      <c r="J683" s="71">
        <f t="shared" si="64"/>
        <v>696.89239999999995</v>
      </c>
      <c r="K683" s="72">
        <v>0</v>
      </c>
      <c r="M683" s="58">
        <f>VLOOKUP(D683,'TABELA DE PRECOS'!B:C,2,0)</f>
        <v>696.89239999999995</v>
      </c>
    </row>
    <row r="684" spans="1:13" ht="15.75" customHeight="1" x14ac:dyDescent="0.25">
      <c r="A684" s="65">
        <v>5</v>
      </c>
      <c r="B684" s="84" t="s">
        <v>562</v>
      </c>
      <c r="C684" s="73">
        <v>1</v>
      </c>
      <c r="D684" s="85" t="s">
        <v>563</v>
      </c>
      <c r="E684" s="86" t="s">
        <v>131</v>
      </c>
      <c r="F684" s="85">
        <v>81897719002</v>
      </c>
      <c r="G684" s="71">
        <f t="shared" si="61"/>
        <v>296.35984000000002</v>
      </c>
      <c r="H684" s="71">
        <f t="shared" si="62"/>
        <v>296.35984000000002</v>
      </c>
      <c r="I684" s="71">
        <f t="shared" si="63"/>
        <v>296.35984000000002</v>
      </c>
      <c r="J684" s="71">
        <f t="shared" si="64"/>
        <v>296.35984000000002</v>
      </c>
      <c r="K684" s="72">
        <v>0</v>
      </c>
      <c r="M684" s="58">
        <f>VLOOKUP(D684,'TABELA DE PRECOS'!B:C,2,0)</f>
        <v>296.35984000000002</v>
      </c>
    </row>
    <row r="685" spans="1:13" ht="15.75" customHeight="1" x14ac:dyDescent="0.25">
      <c r="A685" s="65">
        <v>6</v>
      </c>
      <c r="B685" s="84" t="s">
        <v>137</v>
      </c>
      <c r="C685" s="73">
        <v>1</v>
      </c>
      <c r="D685" s="85" t="s">
        <v>138</v>
      </c>
      <c r="E685" s="86" t="s">
        <v>131</v>
      </c>
      <c r="F685" s="85">
        <v>81897719002</v>
      </c>
      <c r="G685" s="71">
        <f t="shared" si="61"/>
        <v>8.25</v>
      </c>
      <c r="H685" s="71">
        <f t="shared" si="62"/>
        <v>8.25</v>
      </c>
      <c r="I685" s="71">
        <f t="shared" si="63"/>
        <v>8.25</v>
      </c>
      <c r="J685" s="71">
        <f t="shared" si="64"/>
        <v>8.25</v>
      </c>
      <c r="K685" s="72">
        <v>0</v>
      </c>
      <c r="M685" s="58">
        <f>VLOOKUP(D685,'TABELA DE PRECOS'!B:C,2,0)</f>
        <v>8.25</v>
      </c>
    </row>
    <row r="686" spans="1:13" ht="15.75" customHeight="1" x14ac:dyDescent="0.25">
      <c r="A686" s="65">
        <v>7</v>
      </c>
      <c r="B686" s="84" t="s">
        <v>820</v>
      </c>
      <c r="C686" s="73">
        <v>1</v>
      </c>
      <c r="D686" s="85" t="s">
        <v>821</v>
      </c>
      <c r="E686" s="86" t="s">
        <v>131</v>
      </c>
      <c r="F686" s="85">
        <v>81897719002</v>
      </c>
      <c r="G686" s="71">
        <f t="shared" si="61"/>
        <v>134.0224</v>
      </c>
      <c r="H686" s="71">
        <f t="shared" si="62"/>
        <v>134.0224</v>
      </c>
      <c r="I686" s="71">
        <f t="shared" si="63"/>
        <v>134.0224</v>
      </c>
      <c r="J686" s="71">
        <f t="shared" si="64"/>
        <v>134.0224</v>
      </c>
      <c r="K686" s="72">
        <v>0</v>
      </c>
      <c r="M686" s="58">
        <f>VLOOKUP(D686,'TABELA DE PRECOS'!B:C,2,0)</f>
        <v>134.0224</v>
      </c>
    </row>
    <row r="687" spans="1:13" ht="15.75" customHeight="1" x14ac:dyDescent="0.25">
      <c r="A687" s="65">
        <v>8</v>
      </c>
      <c r="B687" s="84" t="s">
        <v>822</v>
      </c>
      <c r="C687" s="73">
        <v>1</v>
      </c>
      <c r="D687" s="49" t="s">
        <v>823</v>
      </c>
      <c r="E687" s="86" t="s">
        <v>131</v>
      </c>
      <c r="F687" s="85">
        <v>81897719002</v>
      </c>
      <c r="G687" s="71">
        <f t="shared" si="61"/>
        <v>178.72519999999997</v>
      </c>
      <c r="H687" s="71">
        <f t="shared" si="62"/>
        <v>178.72519999999997</v>
      </c>
      <c r="I687" s="71">
        <f t="shared" si="63"/>
        <v>178.72519999999997</v>
      </c>
      <c r="J687" s="71">
        <f t="shared" si="64"/>
        <v>178.72519999999997</v>
      </c>
      <c r="K687" s="72">
        <v>0</v>
      </c>
      <c r="M687" s="58">
        <f>VLOOKUP(D687,'TABELA DE PRECOS'!B:C,2,0)</f>
        <v>178.72519999999997</v>
      </c>
    </row>
    <row r="688" spans="1:13" ht="15.75" customHeight="1" x14ac:dyDescent="0.25">
      <c r="A688" s="65">
        <v>9</v>
      </c>
      <c r="B688" s="84" t="s">
        <v>824</v>
      </c>
      <c r="C688" s="73">
        <v>1</v>
      </c>
      <c r="D688" s="85" t="s">
        <v>825</v>
      </c>
      <c r="E688" s="86" t="s">
        <v>131</v>
      </c>
      <c r="F688" s="85">
        <v>81897719002</v>
      </c>
      <c r="G688" s="71">
        <f t="shared" si="61"/>
        <v>116.1172</v>
      </c>
      <c r="H688" s="71">
        <f t="shared" si="62"/>
        <v>116.1172</v>
      </c>
      <c r="I688" s="71">
        <f t="shared" si="63"/>
        <v>116.1172</v>
      </c>
      <c r="J688" s="71">
        <f t="shared" si="64"/>
        <v>116.1172</v>
      </c>
      <c r="K688" s="72">
        <v>0</v>
      </c>
      <c r="M688" s="58">
        <f>VLOOKUP(D688,'TABELA DE PRECOS'!B:C,2,0)</f>
        <v>116.1172</v>
      </c>
    </row>
    <row r="689" spans="1:13" ht="15.75" customHeight="1" x14ac:dyDescent="0.25">
      <c r="A689" s="65">
        <v>10</v>
      </c>
      <c r="B689" s="84" t="s">
        <v>826</v>
      </c>
      <c r="C689" s="73">
        <v>2</v>
      </c>
      <c r="D689" s="85" t="s">
        <v>827</v>
      </c>
      <c r="E689" s="86" t="s">
        <v>131</v>
      </c>
      <c r="F689" s="85">
        <v>81897719002</v>
      </c>
      <c r="G689" s="71">
        <f t="shared" si="61"/>
        <v>67.871200000000002</v>
      </c>
      <c r="H689" s="71">
        <f t="shared" si="62"/>
        <v>135.7424</v>
      </c>
      <c r="I689" s="71">
        <f t="shared" si="63"/>
        <v>67.871200000000002</v>
      </c>
      <c r="J689" s="71">
        <f t="shared" si="64"/>
        <v>135.7424</v>
      </c>
      <c r="K689" s="72">
        <v>0</v>
      </c>
      <c r="M689" s="58">
        <f>VLOOKUP(D689,'TABELA DE PRECOS'!B:C,2,0)</f>
        <v>67.871200000000002</v>
      </c>
    </row>
    <row r="690" spans="1:13" ht="15.75" customHeight="1" x14ac:dyDescent="0.25">
      <c r="A690" s="65">
        <v>11</v>
      </c>
      <c r="B690" s="84" t="s">
        <v>828</v>
      </c>
      <c r="C690" s="73">
        <v>2</v>
      </c>
      <c r="D690" s="85" t="s">
        <v>829</v>
      </c>
      <c r="E690" s="86" t="s">
        <v>131</v>
      </c>
      <c r="F690" s="85">
        <v>81897719002</v>
      </c>
      <c r="G690" s="71">
        <f t="shared" si="61"/>
        <v>80.41</v>
      </c>
      <c r="H690" s="71">
        <f t="shared" si="62"/>
        <v>160.82</v>
      </c>
      <c r="I690" s="71">
        <f t="shared" si="63"/>
        <v>80.41</v>
      </c>
      <c r="J690" s="71">
        <f t="shared" si="64"/>
        <v>160.82</v>
      </c>
      <c r="K690" s="72">
        <v>0</v>
      </c>
      <c r="M690" s="58">
        <f>VLOOKUP(D690,'TABELA DE PRECOS'!B:C,2,0)</f>
        <v>80.41</v>
      </c>
    </row>
    <row r="691" spans="1:13" ht="15.75" customHeight="1" x14ac:dyDescent="0.25">
      <c r="A691" s="65">
        <v>12</v>
      </c>
      <c r="B691" s="84" t="s">
        <v>830</v>
      </c>
      <c r="C691" s="73">
        <v>2</v>
      </c>
      <c r="D691" s="85" t="s">
        <v>831</v>
      </c>
      <c r="E691" s="86" t="s">
        <v>131</v>
      </c>
      <c r="F691" s="85">
        <v>81897719002</v>
      </c>
      <c r="G691" s="71">
        <f t="shared" si="61"/>
        <v>30.224320000000002</v>
      </c>
      <c r="H691" s="71">
        <f t="shared" si="62"/>
        <v>60.448640000000005</v>
      </c>
      <c r="I691" s="71">
        <f t="shared" si="63"/>
        <v>30.224320000000002</v>
      </c>
      <c r="J691" s="71">
        <f t="shared" si="64"/>
        <v>60.448640000000005</v>
      </c>
      <c r="K691" s="72">
        <v>0</v>
      </c>
      <c r="M691" s="58">
        <f>VLOOKUP(D691,'TABELA DE PRECOS'!B:C,2,0)</f>
        <v>30.224320000000002</v>
      </c>
    </row>
    <row r="692" spans="1:13" ht="15.75" customHeight="1" x14ac:dyDescent="0.25">
      <c r="A692" s="65">
        <v>13</v>
      </c>
      <c r="B692" s="84" t="s">
        <v>832</v>
      </c>
      <c r="C692" s="73">
        <v>2</v>
      </c>
      <c r="D692" s="49" t="s">
        <v>833</v>
      </c>
      <c r="E692" s="86" t="s">
        <v>131</v>
      </c>
      <c r="F692" s="85">
        <v>81897719006</v>
      </c>
      <c r="G692" s="71">
        <f t="shared" si="61"/>
        <v>34.04768</v>
      </c>
      <c r="H692" s="71">
        <f t="shared" si="62"/>
        <v>68.095359999999999</v>
      </c>
      <c r="I692" s="71">
        <f t="shared" si="63"/>
        <v>34.04768</v>
      </c>
      <c r="J692" s="71">
        <f t="shared" si="64"/>
        <v>68.095359999999999</v>
      </c>
      <c r="K692" s="72">
        <v>0</v>
      </c>
      <c r="M692" s="58">
        <f>VLOOKUP(D692,'TABELA DE PRECOS'!B:C,2,0)</f>
        <v>34.04768</v>
      </c>
    </row>
    <row r="693" spans="1:13" ht="15.75" customHeight="1" x14ac:dyDescent="0.25">
      <c r="A693" s="65">
        <v>14</v>
      </c>
      <c r="B693" s="66" t="s">
        <v>834</v>
      </c>
      <c r="C693" s="73">
        <v>2</v>
      </c>
      <c r="D693" s="76" t="s">
        <v>835</v>
      </c>
      <c r="E693" s="86" t="s">
        <v>131</v>
      </c>
      <c r="F693" s="76">
        <v>81897719006</v>
      </c>
      <c r="G693" s="71">
        <f t="shared" si="61"/>
        <v>38.869999999999997</v>
      </c>
      <c r="H693" s="71">
        <f t="shared" si="62"/>
        <v>77.739999999999995</v>
      </c>
      <c r="I693" s="71">
        <f t="shared" si="63"/>
        <v>38.869999999999997</v>
      </c>
      <c r="J693" s="71">
        <f t="shared" si="64"/>
        <v>77.739999999999995</v>
      </c>
      <c r="K693" s="72">
        <v>0</v>
      </c>
      <c r="M693" s="58">
        <v>38.869999999999997</v>
      </c>
    </row>
    <row r="694" spans="1:13" ht="15.75" customHeight="1" x14ac:dyDescent="0.25">
      <c r="A694" s="65">
        <v>15</v>
      </c>
      <c r="B694" s="84" t="s">
        <v>183</v>
      </c>
      <c r="C694" s="73">
        <v>1</v>
      </c>
      <c r="D694" s="85" t="s">
        <v>184</v>
      </c>
      <c r="E694" s="86" t="s">
        <v>131</v>
      </c>
      <c r="F694" s="85">
        <v>81897719002</v>
      </c>
      <c r="G694" s="71">
        <f t="shared" si="61"/>
        <v>40.79</v>
      </c>
      <c r="H694" s="71">
        <f t="shared" si="62"/>
        <v>40.79</v>
      </c>
      <c r="I694" s="71">
        <f t="shared" si="63"/>
        <v>40.79</v>
      </c>
      <c r="J694" s="71">
        <f t="shared" si="64"/>
        <v>40.79</v>
      </c>
      <c r="K694" s="72">
        <v>0</v>
      </c>
      <c r="M694" s="58">
        <f>VLOOKUP(D694,'TABELA DE PRECOS'!B:C,2,0)</f>
        <v>40.79</v>
      </c>
    </row>
    <row r="695" spans="1:13" ht="15.75" customHeight="1" x14ac:dyDescent="0.25">
      <c r="A695" s="65">
        <v>16</v>
      </c>
      <c r="B695" s="84" t="s">
        <v>679</v>
      </c>
      <c r="C695" s="73">
        <v>1</v>
      </c>
      <c r="D695" s="85" t="s">
        <v>680</v>
      </c>
      <c r="E695" s="86" t="s">
        <v>131</v>
      </c>
      <c r="F695" s="85">
        <v>81897719002</v>
      </c>
      <c r="G695" s="71">
        <f t="shared" si="61"/>
        <v>10.19</v>
      </c>
      <c r="H695" s="71">
        <f t="shared" si="62"/>
        <v>10.19</v>
      </c>
      <c r="I695" s="71">
        <f t="shared" si="63"/>
        <v>10.19</v>
      </c>
      <c r="J695" s="71">
        <f t="shared" si="64"/>
        <v>10.19</v>
      </c>
      <c r="K695" s="72">
        <v>0</v>
      </c>
      <c r="M695" s="58">
        <f>VLOOKUP(D695,'TABELA DE PRECOS'!B:C,2,0)</f>
        <v>10.19</v>
      </c>
    </row>
    <row r="696" spans="1:13" ht="15.75" customHeight="1" x14ac:dyDescent="0.25">
      <c r="A696" s="65">
        <v>17</v>
      </c>
      <c r="B696" s="84" t="s">
        <v>185</v>
      </c>
      <c r="C696" s="73">
        <v>5</v>
      </c>
      <c r="D696" s="85" t="s">
        <v>186</v>
      </c>
      <c r="E696" s="86" t="s">
        <v>131</v>
      </c>
      <c r="F696" s="85">
        <v>81897719002</v>
      </c>
      <c r="G696" s="71">
        <f t="shared" si="61"/>
        <v>17.28</v>
      </c>
      <c r="H696" s="71">
        <f t="shared" si="62"/>
        <v>86.4</v>
      </c>
      <c r="I696" s="71">
        <f t="shared" si="63"/>
        <v>17.28</v>
      </c>
      <c r="J696" s="71">
        <f t="shared" si="64"/>
        <v>86.4</v>
      </c>
      <c r="K696" s="72">
        <v>0</v>
      </c>
      <c r="M696" s="58">
        <f>VLOOKUP(D696,'TABELA DE PRECOS'!B:C,2,0)</f>
        <v>17.28</v>
      </c>
    </row>
    <row r="697" spans="1:13" ht="15.75" customHeight="1" x14ac:dyDescent="0.25">
      <c r="A697" s="65">
        <v>18</v>
      </c>
      <c r="B697" s="84" t="s">
        <v>419</v>
      </c>
      <c r="C697" s="73">
        <v>8</v>
      </c>
      <c r="D697" s="85" t="s">
        <v>420</v>
      </c>
      <c r="E697" s="86" t="s">
        <v>131</v>
      </c>
      <c r="F697" s="85">
        <v>81897719002</v>
      </c>
      <c r="G697" s="71">
        <f t="shared" si="61"/>
        <v>16.52</v>
      </c>
      <c r="H697" s="71">
        <f t="shared" si="62"/>
        <v>132.16</v>
      </c>
      <c r="I697" s="71">
        <f t="shared" si="63"/>
        <v>16.52</v>
      </c>
      <c r="J697" s="71">
        <f t="shared" si="64"/>
        <v>132.16</v>
      </c>
      <c r="K697" s="72">
        <v>0</v>
      </c>
      <c r="M697" s="58">
        <f>VLOOKUP(D697,'TABELA DE PRECOS'!B:C,2,0)</f>
        <v>16.52</v>
      </c>
    </row>
    <row r="698" spans="1:13" ht="15.75" customHeight="1" x14ac:dyDescent="0.25">
      <c r="A698" s="65">
        <v>19</v>
      </c>
      <c r="B698" s="84" t="s">
        <v>342</v>
      </c>
      <c r="C698" s="73">
        <v>10</v>
      </c>
      <c r="D698" s="85" t="s">
        <v>343</v>
      </c>
      <c r="E698" s="86" t="s">
        <v>131</v>
      </c>
      <c r="F698" s="85">
        <v>81897719002</v>
      </c>
      <c r="G698" s="71">
        <f t="shared" si="61"/>
        <v>21.43</v>
      </c>
      <c r="H698" s="71">
        <f t="shared" si="62"/>
        <v>214.3</v>
      </c>
      <c r="I698" s="71">
        <f t="shared" si="63"/>
        <v>21.43</v>
      </c>
      <c r="J698" s="71">
        <f t="shared" si="64"/>
        <v>214.3</v>
      </c>
      <c r="K698" s="72">
        <v>0</v>
      </c>
      <c r="M698" s="58">
        <f>VLOOKUP(D698,'TABELA DE PRECOS'!B:C,2,0)</f>
        <v>21.43</v>
      </c>
    </row>
    <row r="699" spans="1:13" ht="15.75" customHeight="1" x14ac:dyDescent="0.25">
      <c r="A699" s="65">
        <v>20</v>
      </c>
      <c r="B699" s="84" t="s">
        <v>324</v>
      </c>
      <c r="C699" s="73">
        <v>6</v>
      </c>
      <c r="D699" s="85" t="s">
        <v>325</v>
      </c>
      <c r="E699" s="86" t="s">
        <v>131</v>
      </c>
      <c r="F699" s="85">
        <v>81897719002</v>
      </c>
      <c r="G699" s="71">
        <f t="shared" si="61"/>
        <v>23.7636</v>
      </c>
      <c r="H699" s="71">
        <f t="shared" si="62"/>
        <v>142.58160000000001</v>
      </c>
      <c r="I699" s="71">
        <f t="shared" si="63"/>
        <v>23.7636</v>
      </c>
      <c r="J699" s="71">
        <f t="shared" si="64"/>
        <v>142.58160000000001</v>
      </c>
      <c r="K699" s="72">
        <v>0</v>
      </c>
      <c r="M699" s="58">
        <f>VLOOKUP(D699,'TABELA DE PRECOS'!B:C,2,0)</f>
        <v>23.7636</v>
      </c>
    </row>
    <row r="700" spans="1:13" ht="15.75" customHeight="1" x14ac:dyDescent="0.25">
      <c r="A700" s="65">
        <v>21</v>
      </c>
      <c r="B700" s="84" t="s">
        <v>320</v>
      </c>
      <c r="C700" s="73">
        <v>1</v>
      </c>
      <c r="D700" s="85" t="s">
        <v>321</v>
      </c>
      <c r="E700" s="86" t="s">
        <v>131</v>
      </c>
      <c r="F700" s="85">
        <v>81897719002</v>
      </c>
      <c r="G700" s="71">
        <f t="shared" si="61"/>
        <v>44.93</v>
      </c>
      <c r="H700" s="71">
        <f t="shared" si="62"/>
        <v>44.93</v>
      </c>
      <c r="I700" s="71">
        <f t="shared" si="63"/>
        <v>44.93</v>
      </c>
      <c r="J700" s="71">
        <f t="shared" si="64"/>
        <v>44.93</v>
      </c>
      <c r="K700" s="72">
        <v>0</v>
      </c>
      <c r="M700" s="58">
        <f>VLOOKUP(D700,'TABELA DE PRECOS'!B:C,2,0)</f>
        <v>44.93</v>
      </c>
    </row>
    <row r="701" spans="1:13" ht="15.75" customHeight="1" x14ac:dyDescent="0.25">
      <c r="A701" s="65">
        <v>22</v>
      </c>
      <c r="B701" s="84" t="s">
        <v>334</v>
      </c>
      <c r="C701" s="73">
        <v>1</v>
      </c>
      <c r="D701" s="85" t="s">
        <v>335</v>
      </c>
      <c r="E701" s="86" t="s">
        <v>131</v>
      </c>
      <c r="F701" s="85">
        <v>81897719002</v>
      </c>
      <c r="G701" s="71">
        <f t="shared" si="61"/>
        <v>36.11</v>
      </c>
      <c r="H701" s="71">
        <f t="shared" si="62"/>
        <v>36.11</v>
      </c>
      <c r="I701" s="71">
        <f t="shared" si="63"/>
        <v>36.11</v>
      </c>
      <c r="J701" s="71">
        <f t="shared" si="64"/>
        <v>36.11</v>
      </c>
      <c r="K701" s="72">
        <v>0</v>
      </c>
      <c r="M701" s="58">
        <f>VLOOKUP(D701,'TABELA DE PRECOS'!B:C,2,0)</f>
        <v>36.11</v>
      </c>
    </row>
    <row r="702" spans="1:13" ht="15.75" customHeight="1" x14ac:dyDescent="0.25">
      <c r="A702" s="65">
        <v>23</v>
      </c>
      <c r="B702" s="84" t="s">
        <v>836</v>
      </c>
      <c r="C702" s="73">
        <v>1</v>
      </c>
      <c r="D702" s="85" t="s">
        <v>837</v>
      </c>
      <c r="E702" s="86" t="s">
        <v>131</v>
      </c>
      <c r="F702" s="85">
        <v>81897719002</v>
      </c>
      <c r="G702" s="71">
        <f t="shared" si="61"/>
        <v>55.435599999999994</v>
      </c>
      <c r="H702" s="71">
        <f t="shared" si="62"/>
        <v>55.435599999999994</v>
      </c>
      <c r="I702" s="71">
        <f t="shared" si="63"/>
        <v>55.435599999999994</v>
      </c>
      <c r="J702" s="71">
        <f t="shared" si="64"/>
        <v>55.435599999999994</v>
      </c>
      <c r="K702" s="72">
        <v>0</v>
      </c>
      <c r="M702" s="58">
        <f>VLOOKUP(D702,'TABELA DE PRECOS'!B:C,2,0)</f>
        <v>55.435599999999994</v>
      </c>
    </row>
    <row r="703" spans="1:13" ht="15.75" customHeight="1" x14ac:dyDescent="0.25">
      <c r="A703" s="65">
        <v>24</v>
      </c>
      <c r="B703" s="84" t="s">
        <v>151</v>
      </c>
      <c r="C703" s="73">
        <v>2</v>
      </c>
      <c r="D703" s="85" t="s">
        <v>152</v>
      </c>
      <c r="E703" s="86" t="s">
        <v>131</v>
      </c>
      <c r="F703" s="85">
        <v>81897719002</v>
      </c>
      <c r="G703" s="71">
        <f t="shared" si="61"/>
        <v>38.43</v>
      </c>
      <c r="H703" s="71">
        <f t="shared" si="62"/>
        <v>76.86</v>
      </c>
      <c r="I703" s="71">
        <f t="shared" si="63"/>
        <v>38.43</v>
      </c>
      <c r="J703" s="71">
        <f t="shared" si="64"/>
        <v>76.86</v>
      </c>
      <c r="K703" s="72">
        <v>0</v>
      </c>
      <c r="M703" s="58">
        <f>VLOOKUP(D703,'TABELA DE PRECOS'!B:C,2,0)</f>
        <v>38.43</v>
      </c>
    </row>
    <row r="704" spans="1:13" ht="15.75" customHeight="1" x14ac:dyDescent="0.25">
      <c r="A704" s="65">
        <v>25</v>
      </c>
      <c r="B704" s="84" t="s">
        <v>838</v>
      </c>
      <c r="C704" s="73">
        <v>5</v>
      </c>
      <c r="D704" s="85" t="s">
        <v>839</v>
      </c>
      <c r="E704" s="86" t="s">
        <v>131</v>
      </c>
      <c r="F704" s="85">
        <v>81897719002</v>
      </c>
      <c r="G704" s="71">
        <f t="shared" si="61"/>
        <v>134.0224</v>
      </c>
      <c r="H704" s="71">
        <f t="shared" si="62"/>
        <v>670.11200000000008</v>
      </c>
      <c r="I704" s="71">
        <f t="shared" si="63"/>
        <v>134.0224</v>
      </c>
      <c r="J704" s="71">
        <f t="shared" si="64"/>
        <v>670.11200000000008</v>
      </c>
      <c r="K704" s="72">
        <v>0</v>
      </c>
      <c r="M704" s="58">
        <f>VLOOKUP(D704,'TABELA DE PRECOS'!B:C,2,0)</f>
        <v>134.0224</v>
      </c>
    </row>
    <row r="705" spans="1:13" ht="15.75" customHeight="1" x14ac:dyDescent="0.25">
      <c r="A705" s="65">
        <v>26</v>
      </c>
      <c r="B705" s="84" t="s">
        <v>840</v>
      </c>
      <c r="C705" s="73">
        <v>2</v>
      </c>
      <c r="D705" s="85" t="s">
        <v>841</v>
      </c>
      <c r="E705" s="86" t="s">
        <v>131</v>
      </c>
      <c r="F705" s="85">
        <v>81897719002</v>
      </c>
      <c r="G705" s="71">
        <f t="shared" si="61"/>
        <v>53.612399999999994</v>
      </c>
      <c r="H705" s="71">
        <f t="shared" si="62"/>
        <v>107.22479999999999</v>
      </c>
      <c r="I705" s="71">
        <f t="shared" si="63"/>
        <v>53.612399999999994</v>
      </c>
      <c r="J705" s="71">
        <f t="shared" si="64"/>
        <v>107.22479999999999</v>
      </c>
      <c r="K705" s="72">
        <v>0</v>
      </c>
      <c r="M705" s="58">
        <f>VLOOKUP(D705,'TABELA DE PRECOS'!B:C,2,0)</f>
        <v>53.612399999999994</v>
      </c>
    </row>
    <row r="706" spans="1:13" ht="15.75" customHeight="1" x14ac:dyDescent="0.25">
      <c r="A706" s="65">
        <v>27</v>
      </c>
      <c r="B706" s="84" t="s">
        <v>258</v>
      </c>
      <c r="C706" s="73">
        <v>1</v>
      </c>
      <c r="D706" s="85" t="s">
        <v>259</v>
      </c>
      <c r="E706" s="86" t="s">
        <v>131</v>
      </c>
      <c r="F706" s="85">
        <v>81897719003</v>
      </c>
      <c r="G706" s="71">
        <f t="shared" si="61"/>
        <v>101.56</v>
      </c>
      <c r="H706" s="71">
        <f t="shared" si="62"/>
        <v>101.56</v>
      </c>
      <c r="I706" s="71">
        <f t="shared" si="63"/>
        <v>101.56</v>
      </c>
      <c r="J706" s="71">
        <f t="shared" si="64"/>
        <v>101.56</v>
      </c>
      <c r="K706" s="72">
        <v>0</v>
      </c>
      <c r="M706" s="58">
        <f>VLOOKUP(D706,'TABELA DE PRECOS'!B:C,2,0)</f>
        <v>101.56</v>
      </c>
    </row>
    <row r="707" spans="1:13" ht="15.75" customHeight="1" x14ac:dyDescent="0.25">
      <c r="A707" s="65">
        <v>28</v>
      </c>
      <c r="B707" s="84" t="s">
        <v>209</v>
      </c>
      <c r="C707" s="73">
        <v>2</v>
      </c>
      <c r="D707" s="85" t="s">
        <v>210</v>
      </c>
      <c r="E707" s="86" t="s">
        <v>131</v>
      </c>
      <c r="F707" s="85">
        <v>81897719003</v>
      </c>
      <c r="G707" s="71">
        <f t="shared" si="61"/>
        <v>73.489999999999995</v>
      </c>
      <c r="H707" s="71">
        <f t="shared" si="62"/>
        <v>146.97999999999999</v>
      </c>
      <c r="I707" s="71">
        <f t="shared" si="63"/>
        <v>73.489999999999995</v>
      </c>
      <c r="J707" s="71">
        <f t="shared" si="64"/>
        <v>146.97999999999999</v>
      </c>
      <c r="K707" s="72">
        <v>0</v>
      </c>
      <c r="M707" s="58">
        <f>VLOOKUP(D707,'TABELA DE PRECOS'!B:C,2,0)</f>
        <v>73.489999999999995</v>
      </c>
    </row>
    <row r="708" spans="1:13" ht="15.75" customHeight="1" x14ac:dyDescent="0.25">
      <c r="A708" s="65">
        <v>29</v>
      </c>
      <c r="B708" s="84" t="s">
        <v>207</v>
      </c>
      <c r="C708" s="73">
        <v>1</v>
      </c>
      <c r="D708" s="85" t="s">
        <v>208</v>
      </c>
      <c r="E708" s="86" t="s">
        <v>131</v>
      </c>
      <c r="F708" s="85">
        <v>81897719002</v>
      </c>
      <c r="G708" s="71">
        <f t="shared" si="61"/>
        <v>21.30752</v>
      </c>
      <c r="H708" s="71">
        <f t="shared" si="62"/>
        <v>21.30752</v>
      </c>
      <c r="I708" s="71">
        <f t="shared" si="63"/>
        <v>21.30752</v>
      </c>
      <c r="J708" s="71">
        <f t="shared" si="64"/>
        <v>21.30752</v>
      </c>
      <c r="K708" s="72">
        <v>0</v>
      </c>
      <c r="M708" s="58">
        <f>VLOOKUP(D708,'TABELA DE PRECOS'!B:C,2,0)</f>
        <v>21.30752</v>
      </c>
    </row>
    <row r="709" spans="1:13" ht="15.75" customHeight="1" x14ac:dyDescent="0.25">
      <c r="A709" s="65">
        <v>30</v>
      </c>
      <c r="B709" s="84" t="s">
        <v>842</v>
      </c>
      <c r="C709" s="73">
        <v>1</v>
      </c>
      <c r="D709" s="85" t="s">
        <v>843</v>
      </c>
      <c r="E709" s="86" t="s">
        <v>131</v>
      </c>
      <c r="F709" s="85">
        <v>81897719002</v>
      </c>
      <c r="G709" s="71">
        <f t="shared" si="61"/>
        <v>14.56128</v>
      </c>
      <c r="H709" s="71">
        <f t="shared" si="62"/>
        <v>14.56128</v>
      </c>
      <c r="I709" s="71">
        <f t="shared" si="63"/>
        <v>14.56128</v>
      </c>
      <c r="J709" s="71">
        <f t="shared" si="64"/>
        <v>14.56128</v>
      </c>
      <c r="K709" s="72">
        <v>0</v>
      </c>
      <c r="M709" s="58">
        <f>VLOOKUP(D709,'TABELA DE PRECOS'!B:C,2,0)</f>
        <v>14.56128</v>
      </c>
    </row>
    <row r="710" spans="1:13" ht="15.75" customHeight="1" x14ac:dyDescent="0.25">
      <c r="A710" s="65">
        <v>31</v>
      </c>
      <c r="B710" s="84" t="s">
        <v>844</v>
      </c>
      <c r="C710" s="73">
        <v>2</v>
      </c>
      <c r="D710" s="85" t="s">
        <v>845</v>
      </c>
      <c r="E710" s="86" t="s">
        <v>131</v>
      </c>
      <c r="F710" s="85">
        <v>81897719002</v>
      </c>
      <c r="G710" s="71">
        <f t="shared" si="61"/>
        <v>78.586799999999997</v>
      </c>
      <c r="H710" s="71">
        <f t="shared" si="62"/>
        <v>157.17359999999999</v>
      </c>
      <c r="I710" s="71">
        <f t="shared" si="63"/>
        <v>78.586799999999997</v>
      </c>
      <c r="J710" s="71">
        <f t="shared" si="64"/>
        <v>157.17359999999999</v>
      </c>
      <c r="K710" s="72">
        <v>0</v>
      </c>
      <c r="M710" s="58">
        <f>VLOOKUP(D710,'TABELA DE PRECOS'!B:C,2,0)</f>
        <v>78.586799999999997</v>
      </c>
    </row>
    <row r="711" spans="1:13" ht="15.75" customHeight="1" x14ac:dyDescent="0.25">
      <c r="A711" s="65">
        <v>32</v>
      </c>
      <c r="B711" s="84" t="s">
        <v>846</v>
      </c>
      <c r="C711" s="73">
        <v>1</v>
      </c>
      <c r="D711" s="85" t="s">
        <v>847</v>
      </c>
      <c r="E711" s="86" t="s">
        <v>131</v>
      </c>
      <c r="F711" s="85">
        <v>81897719002</v>
      </c>
      <c r="G711" s="71">
        <f t="shared" si="61"/>
        <v>89.302400000000006</v>
      </c>
      <c r="H711" s="71">
        <f t="shared" si="62"/>
        <v>89.302400000000006</v>
      </c>
      <c r="I711" s="71">
        <f t="shared" si="63"/>
        <v>89.302400000000006</v>
      </c>
      <c r="J711" s="71">
        <f t="shared" si="64"/>
        <v>89.302400000000006</v>
      </c>
      <c r="K711" s="72">
        <v>0</v>
      </c>
      <c r="M711" s="58">
        <f>VLOOKUP(D711,'TABELA DE PRECOS'!B:C,2,0)</f>
        <v>89.302400000000006</v>
      </c>
    </row>
    <row r="712" spans="1:13" ht="15.75" customHeight="1" x14ac:dyDescent="0.25">
      <c r="A712" s="65">
        <v>33</v>
      </c>
      <c r="B712" s="84" t="s">
        <v>848</v>
      </c>
      <c r="C712" s="73">
        <v>1</v>
      </c>
      <c r="D712" s="85" t="s">
        <v>849</v>
      </c>
      <c r="E712" s="86" t="s">
        <v>131</v>
      </c>
      <c r="F712" s="85">
        <v>81897719002</v>
      </c>
      <c r="G712" s="71">
        <f t="shared" si="61"/>
        <v>20.616479999999999</v>
      </c>
      <c r="H712" s="71">
        <f t="shared" si="62"/>
        <v>20.616479999999999</v>
      </c>
      <c r="I712" s="71">
        <f t="shared" si="63"/>
        <v>20.616479999999999</v>
      </c>
      <c r="J712" s="71">
        <f t="shared" si="64"/>
        <v>20.616479999999999</v>
      </c>
      <c r="K712" s="72">
        <v>0</v>
      </c>
      <c r="M712" s="58">
        <f>VLOOKUP(D712,'TABELA DE PRECOS'!B:C,2,0)</f>
        <v>20.616479999999999</v>
      </c>
    </row>
    <row r="713" spans="1:13" ht="15.75" customHeight="1" x14ac:dyDescent="0.25">
      <c r="A713" s="65">
        <v>34</v>
      </c>
      <c r="B713" s="84" t="s">
        <v>213</v>
      </c>
      <c r="C713" s="73">
        <v>1</v>
      </c>
      <c r="D713" s="85" t="s">
        <v>214</v>
      </c>
      <c r="E713" s="86" t="s">
        <v>131</v>
      </c>
      <c r="F713" s="85">
        <v>81897719002</v>
      </c>
      <c r="G713" s="71">
        <f t="shared" si="61"/>
        <v>21.989759999999997</v>
      </c>
      <c r="H713" s="71">
        <f t="shared" si="62"/>
        <v>21.989759999999997</v>
      </c>
      <c r="I713" s="71">
        <f t="shared" si="63"/>
        <v>21.989759999999997</v>
      </c>
      <c r="J713" s="71">
        <f t="shared" si="64"/>
        <v>21.989759999999997</v>
      </c>
      <c r="K713" s="72">
        <v>0</v>
      </c>
      <c r="M713" s="58">
        <f>VLOOKUP(D713,'TABELA DE PRECOS'!B:C,2,0)</f>
        <v>21.989759999999997</v>
      </c>
    </row>
    <row r="714" spans="1:13" ht="15.75" customHeight="1" x14ac:dyDescent="0.25">
      <c r="A714" s="65">
        <v>35</v>
      </c>
      <c r="B714" s="84" t="s">
        <v>850</v>
      </c>
      <c r="C714" s="73">
        <v>1</v>
      </c>
      <c r="D714" s="85" t="s">
        <v>851</v>
      </c>
      <c r="E714" s="86" t="s">
        <v>131</v>
      </c>
      <c r="F714" s="85">
        <v>81897719002</v>
      </c>
      <c r="G714" s="71">
        <f t="shared" si="61"/>
        <v>71.517599999999987</v>
      </c>
      <c r="H714" s="71">
        <f t="shared" si="62"/>
        <v>71.517599999999987</v>
      </c>
      <c r="I714" s="71">
        <f t="shared" si="63"/>
        <v>71.517599999999987</v>
      </c>
      <c r="J714" s="71">
        <f t="shared" si="64"/>
        <v>71.517599999999987</v>
      </c>
      <c r="K714" s="72">
        <v>0</v>
      </c>
      <c r="M714" s="58">
        <f>VLOOKUP(D714,'TABELA DE PRECOS'!B:C,2,0)</f>
        <v>71.517599999999987</v>
      </c>
    </row>
    <row r="715" spans="1:13" ht="15.75" customHeight="1" x14ac:dyDescent="0.25">
      <c r="A715" s="65">
        <v>36</v>
      </c>
      <c r="B715" s="84" t="s">
        <v>852</v>
      </c>
      <c r="C715" s="73">
        <v>1</v>
      </c>
      <c r="D715" s="85" t="s">
        <v>853</v>
      </c>
      <c r="E715" s="86" t="s">
        <v>131</v>
      </c>
      <c r="F715" s="85">
        <v>81897719002</v>
      </c>
      <c r="G715" s="71">
        <f t="shared" si="61"/>
        <v>69.264399999999995</v>
      </c>
      <c r="H715" s="71">
        <f t="shared" si="62"/>
        <v>69.264399999999995</v>
      </c>
      <c r="I715" s="71">
        <f t="shared" si="63"/>
        <v>69.264399999999995</v>
      </c>
      <c r="J715" s="71">
        <f t="shared" si="64"/>
        <v>69.264399999999995</v>
      </c>
      <c r="K715" s="72">
        <v>0</v>
      </c>
      <c r="M715" s="58">
        <f>VLOOKUP(D715,'TABELA DE PRECOS'!B:C,2,0)</f>
        <v>69.264399999999995</v>
      </c>
    </row>
    <row r="716" spans="1:13" ht="15.75" customHeight="1" x14ac:dyDescent="0.25">
      <c r="A716" s="65">
        <v>37</v>
      </c>
      <c r="B716" s="84" t="s">
        <v>370</v>
      </c>
      <c r="C716" s="73">
        <v>1</v>
      </c>
      <c r="D716" s="85" t="s">
        <v>371</v>
      </c>
      <c r="E716" s="86" t="s">
        <v>131</v>
      </c>
      <c r="F716" s="85">
        <v>81897719002</v>
      </c>
      <c r="G716" s="71">
        <f t="shared" si="61"/>
        <v>19.41</v>
      </c>
      <c r="H716" s="71">
        <f t="shared" si="62"/>
        <v>19.41</v>
      </c>
      <c r="I716" s="71">
        <f t="shared" si="63"/>
        <v>19.41</v>
      </c>
      <c r="J716" s="71">
        <f t="shared" si="64"/>
        <v>19.41</v>
      </c>
      <c r="K716" s="72">
        <v>0</v>
      </c>
      <c r="M716" s="58">
        <f>VLOOKUP(D716,'TABELA DE PRECOS'!B:C,2,0)</f>
        <v>19.41</v>
      </c>
    </row>
    <row r="717" spans="1:13" ht="15.75" customHeight="1" x14ac:dyDescent="0.25">
      <c r="A717" s="65">
        <v>38</v>
      </c>
      <c r="B717" s="84" t="s">
        <v>854</v>
      </c>
      <c r="C717" s="73">
        <v>2</v>
      </c>
      <c r="D717" s="85" t="s">
        <v>855</v>
      </c>
      <c r="E717" s="86" t="s">
        <v>131</v>
      </c>
      <c r="F717" s="85">
        <v>81897719002</v>
      </c>
      <c r="G717" s="71">
        <f t="shared" si="61"/>
        <v>20.78952</v>
      </c>
      <c r="H717" s="71">
        <f t="shared" si="62"/>
        <v>41.579039999999999</v>
      </c>
      <c r="I717" s="71">
        <f t="shared" si="63"/>
        <v>20.78952</v>
      </c>
      <c r="J717" s="71">
        <f t="shared" si="64"/>
        <v>41.579039999999999</v>
      </c>
      <c r="K717" s="72">
        <v>0</v>
      </c>
      <c r="M717" s="58">
        <f>VLOOKUP(D717,'TABELA DE PRECOS'!B:C,2,0)</f>
        <v>20.78952</v>
      </c>
    </row>
    <row r="718" spans="1:13" ht="15.75" customHeight="1" x14ac:dyDescent="0.25">
      <c r="A718" s="65">
        <v>39</v>
      </c>
      <c r="B718" s="84" t="s">
        <v>372</v>
      </c>
      <c r="C718" s="73">
        <v>1</v>
      </c>
      <c r="D718" s="85" t="s">
        <v>373</v>
      </c>
      <c r="E718" s="86" t="s">
        <v>131</v>
      </c>
      <c r="F718" s="85" t="s">
        <v>223</v>
      </c>
      <c r="G718" s="71">
        <f t="shared" si="61"/>
        <v>452.16</v>
      </c>
      <c r="H718" s="71">
        <f t="shared" si="62"/>
        <v>452.16</v>
      </c>
      <c r="I718" s="71">
        <f t="shared" si="63"/>
        <v>452.16</v>
      </c>
      <c r="J718" s="71">
        <f t="shared" si="64"/>
        <v>452.16</v>
      </c>
      <c r="K718" s="72">
        <v>0</v>
      </c>
      <c r="M718" s="58">
        <f>VLOOKUP(D718,'TABELA DE PRECOS'!B:C,2,0)</f>
        <v>452.16</v>
      </c>
    </row>
    <row r="719" spans="1:13" ht="15.75" customHeight="1" x14ac:dyDescent="0.25">
      <c r="A719" s="65">
        <v>40</v>
      </c>
      <c r="B719" s="84" t="s">
        <v>374</v>
      </c>
      <c r="C719" s="73">
        <v>1</v>
      </c>
      <c r="D719" s="85" t="s">
        <v>375</v>
      </c>
      <c r="E719" s="86" t="s">
        <v>131</v>
      </c>
      <c r="F719" s="85" t="s">
        <v>223</v>
      </c>
      <c r="G719" s="71">
        <f t="shared" si="61"/>
        <v>640.15991999999994</v>
      </c>
      <c r="H719" s="71">
        <f t="shared" si="62"/>
        <v>640.15991999999994</v>
      </c>
      <c r="I719" s="71">
        <f t="shared" si="63"/>
        <v>640.15991999999994</v>
      </c>
      <c r="J719" s="71">
        <f t="shared" si="64"/>
        <v>640.15991999999994</v>
      </c>
      <c r="K719" s="72">
        <v>0</v>
      </c>
      <c r="M719" s="58">
        <f>VLOOKUP(D719,'TABELA DE PRECOS'!B:C,2,0)</f>
        <v>640.15991999999994</v>
      </c>
    </row>
    <row r="720" spans="1:13" ht="15.75" customHeight="1" x14ac:dyDescent="0.25">
      <c r="A720" s="65">
        <v>41</v>
      </c>
      <c r="B720" s="84" t="s">
        <v>376</v>
      </c>
      <c r="C720" s="73">
        <v>1</v>
      </c>
      <c r="D720" s="85" t="s">
        <v>377</v>
      </c>
      <c r="E720" s="86" t="s">
        <v>131</v>
      </c>
      <c r="F720" s="85" t="s">
        <v>223</v>
      </c>
      <c r="G720" s="71">
        <f t="shared" si="61"/>
        <v>514.57000000000005</v>
      </c>
      <c r="H720" s="71">
        <f t="shared" si="62"/>
        <v>514.57000000000005</v>
      </c>
      <c r="I720" s="71">
        <f t="shared" si="63"/>
        <v>514.57000000000005</v>
      </c>
      <c r="J720" s="71">
        <f t="shared" si="64"/>
        <v>514.57000000000005</v>
      </c>
      <c r="K720" s="72">
        <v>0</v>
      </c>
      <c r="M720" s="58">
        <f>VLOOKUP(D720,'TABELA DE PRECOS'!B:C,2,0)</f>
        <v>514.57000000000005</v>
      </c>
    </row>
    <row r="721" spans="1:13" ht="15.75" customHeight="1" x14ac:dyDescent="0.25">
      <c r="A721" s="65">
        <v>42</v>
      </c>
      <c r="B721" s="84" t="s">
        <v>378</v>
      </c>
      <c r="C721" s="73">
        <v>2</v>
      </c>
      <c r="D721" s="85" t="s">
        <v>379</v>
      </c>
      <c r="E721" s="86" t="s">
        <v>131</v>
      </c>
      <c r="F721" s="85" t="s">
        <v>223</v>
      </c>
      <c r="G721" s="71">
        <f t="shared" si="61"/>
        <v>9.18</v>
      </c>
      <c r="H721" s="71">
        <f t="shared" si="62"/>
        <v>18.36</v>
      </c>
      <c r="I721" s="71">
        <f t="shared" si="63"/>
        <v>9.18</v>
      </c>
      <c r="J721" s="71">
        <f t="shared" si="64"/>
        <v>18.36</v>
      </c>
      <c r="K721" s="72">
        <v>0</v>
      </c>
      <c r="M721" s="58">
        <f>VLOOKUP(D721,'TABELA DE PRECOS'!B:C,2,0)</f>
        <v>9.18</v>
      </c>
    </row>
    <row r="722" spans="1:13" ht="15.75" customHeight="1" x14ac:dyDescent="0.25">
      <c r="A722" s="78"/>
      <c r="B722" s="79" t="s">
        <v>224</v>
      </c>
      <c r="C722" s="79">
        <f>SUM(C680:C721)</f>
        <v>83</v>
      </c>
      <c r="D722" s="79"/>
      <c r="E722" s="79"/>
      <c r="F722" s="79"/>
      <c r="G722" s="80"/>
      <c r="H722" s="80">
        <f>SUM(H680:H721)</f>
        <v>7877.9522399999987</v>
      </c>
      <c r="I722" s="79"/>
      <c r="J722" s="80">
        <f>SUM(J680:J721)</f>
        <v>7877.9522399999987</v>
      </c>
      <c r="K722" s="81"/>
      <c r="M722" s="58" t="e">
        <f>VLOOKUP(D722,'TABELA DE PRECOS'!B:C,2,0)</f>
        <v>#N/A</v>
      </c>
    </row>
    <row r="723" spans="1:13" ht="15.75" customHeight="1" x14ac:dyDescent="0.25">
      <c r="A723" s="56"/>
      <c r="B723" s="49" t="s">
        <v>15</v>
      </c>
      <c r="C723" s="57"/>
      <c r="G723" s="58"/>
      <c r="H723" s="58"/>
      <c r="I723" s="58"/>
      <c r="J723" s="58"/>
      <c r="K723" s="59"/>
      <c r="M723" s="58" t="e">
        <f>VLOOKUP(D723,'TABELA DE PRECOS'!B:C,2,0)</f>
        <v>#N/A</v>
      </c>
    </row>
    <row r="724" spans="1:13" ht="15.75" customHeight="1" x14ac:dyDescent="0.25">
      <c r="A724" s="56"/>
      <c r="B724" s="18" t="s">
        <v>856</v>
      </c>
      <c r="C724" s="57"/>
      <c r="G724" s="58"/>
      <c r="H724" s="58"/>
      <c r="I724" s="58"/>
      <c r="J724" s="58"/>
      <c r="K724" s="59"/>
      <c r="M724" s="58" t="e">
        <f>VLOOKUP(D724,'TABELA DE PRECOS'!B:C,2,0)</f>
        <v>#N/A</v>
      </c>
    </row>
    <row r="725" spans="1:13" ht="15.75" customHeight="1" x14ac:dyDescent="0.25">
      <c r="A725" s="18" t="s">
        <v>119</v>
      </c>
      <c r="B725" s="18" t="s">
        <v>120</v>
      </c>
      <c r="C725" s="18" t="s">
        <v>21</v>
      </c>
      <c r="D725" s="18" t="s">
        <v>121</v>
      </c>
      <c r="E725" s="60" t="s">
        <v>122</v>
      </c>
      <c r="F725" s="18" t="s">
        <v>123</v>
      </c>
      <c r="G725" s="61" t="s">
        <v>22</v>
      </c>
      <c r="H725" s="18" t="s">
        <v>23</v>
      </c>
      <c r="I725" s="18" t="s">
        <v>24</v>
      </c>
      <c r="J725" s="18" t="s">
        <v>25</v>
      </c>
      <c r="K725" s="62" t="s">
        <v>26</v>
      </c>
      <c r="M725" s="58" t="str">
        <f>VLOOKUP(D725,'TABELA DE PRECOS'!B:C,2,0)</f>
        <v>Valor Unit Bruto</v>
      </c>
    </row>
    <row r="726" spans="1:13" ht="15.75" customHeight="1" x14ac:dyDescent="0.25">
      <c r="A726" s="73">
        <v>1</v>
      </c>
      <c r="B726" s="84" t="s">
        <v>290</v>
      </c>
      <c r="C726" s="73">
        <v>2</v>
      </c>
      <c r="D726" s="85" t="s">
        <v>291</v>
      </c>
      <c r="E726" s="86" t="s">
        <v>131</v>
      </c>
      <c r="F726" s="85">
        <v>81897719002</v>
      </c>
      <c r="G726" s="71">
        <f t="shared" ref="G726:G769" si="65">M726</f>
        <v>16.5</v>
      </c>
      <c r="H726" s="71">
        <f t="shared" ref="H726:H769" si="66">G726*C726</f>
        <v>33</v>
      </c>
      <c r="I726" s="71">
        <f t="shared" ref="I726:I769" si="67">G726</f>
        <v>16.5</v>
      </c>
      <c r="J726" s="71">
        <f t="shared" ref="J726:J769" si="68">I726*C726</f>
        <v>33</v>
      </c>
      <c r="K726" s="72">
        <v>0</v>
      </c>
      <c r="M726" s="58">
        <f>VLOOKUP(D726,'TABELA DE PRECOS'!B:C,2,0)</f>
        <v>16.5</v>
      </c>
    </row>
    <row r="727" spans="1:13" ht="15.75" customHeight="1" x14ac:dyDescent="0.25">
      <c r="A727" s="73">
        <v>2</v>
      </c>
      <c r="B727" s="84" t="s">
        <v>649</v>
      </c>
      <c r="C727" s="73">
        <v>2</v>
      </c>
      <c r="D727" s="85" t="s">
        <v>650</v>
      </c>
      <c r="E727" s="86" t="s">
        <v>131</v>
      </c>
      <c r="F727" s="85">
        <v>81897719002</v>
      </c>
      <c r="G727" s="71">
        <f t="shared" si="65"/>
        <v>133.35616000000002</v>
      </c>
      <c r="H727" s="71">
        <f t="shared" si="66"/>
        <v>266.71232000000003</v>
      </c>
      <c r="I727" s="71">
        <f t="shared" si="67"/>
        <v>133.35616000000002</v>
      </c>
      <c r="J727" s="71">
        <f t="shared" si="68"/>
        <v>266.71232000000003</v>
      </c>
      <c r="K727" s="72">
        <v>0</v>
      </c>
      <c r="L727" s="63"/>
      <c r="M727" s="58">
        <f>VLOOKUP(D727,'TABELA DE PRECOS'!B:C,2,0)</f>
        <v>133.35616000000002</v>
      </c>
    </row>
    <row r="728" spans="1:13" ht="15.75" customHeight="1" x14ac:dyDescent="0.25">
      <c r="A728" s="73">
        <v>3</v>
      </c>
      <c r="B728" s="84" t="s">
        <v>857</v>
      </c>
      <c r="C728" s="73">
        <v>1</v>
      </c>
      <c r="D728" s="85" t="s">
        <v>858</v>
      </c>
      <c r="E728" s="86" t="s">
        <v>131</v>
      </c>
      <c r="F728" s="85">
        <v>81897719002</v>
      </c>
      <c r="G728" s="71">
        <f t="shared" si="65"/>
        <v>651.46719999999993</v>
      </c>
      <c r="H728" s="71">
        <f t="shared" si="66"/>
        <v>651.46719999999993</v>
      </c>
      <c r="I728" s="71">
        <f t="shared" si="67"/>
        <v>651.46719999999993</v>
      </c>
      <c r="J728" s="71">
        <f t="shared" si="68"/>
        <v>651.46719999999993</v>
      </c>
      <c r="K728" s="72">
        <v>0</v>
      </c>
      <c r="M728" s="58">
        <f>VLOOKUP(D728,'TABELA DE PRECOS'!B:C,2,0)</f>
        <v>651.46719999999993</v>
      </c>
    </row>
    <row r="729" spans="1:13" ht="15.75" customHeight="1" x14ac:dyDescent="0.25">
      <c r="A729" s="73">
        <v>4</v>
      </c>
      <c r="B729" s="84" t="s">
        <v>859</v>
      </c>
      <c r="C729" s="73">
        <v>1</v>
      </c>
      <c r="D729" s="85" t="s">
        <v>860</v>
      </c>
      <c r="E729" s="86" t="s">
        <v>131</v>
      </c>
      <c r="F729" s="85">
        <v>81897719002</v>
      </c>
      <c r="G729" s="71">
        <f t="shared" si="65"/>
        <v>437.77440000000001</v>
      </c>
      <c r="H729" s="71">
        <f t="shared" si="66"/>
        <v>437.77440000000001</v>
      </c>
      <c r="I729" s="71">
        <f t="shared" si="67"/>
        <v>437.77440000000001</v>
      </c>
      <c r="J729" s="71">
        <f t="shared" si="68"/>
        <v>437.77440000000001</v>
      </c>
      <c r="K729" s="72">
        <v>0</v>
      </c>
      <c r="M729" s="58">
        <f>VLOOKUP(D729,'TABELA DE PRECOS'!B:C,2,0)</f>
        <v>437.77440000000001</v>
      </c>
    </row>
    <row r="730" spans="1:13" ht="15.75" customHeight="1" x14ac:dyDescent="0.25">
      <c r="A730" s="73">
        <v>5</v>
      </c>
      <c r="B730" s="84" t="s">
        <v>294</v>
      </c>
      <c r="C730" s="73">
        <v>2</v>
      </c>
      <c r="D730" s="85" t="s">
        <v>295</v>
      </c>
      <c r="E730" s="86" t="s">
        <v>131</v>
      </c>
      <c r="F730" s="85">
        <v>81897719002</v>
      </c>
      <c r="G730" s="71">
        <f t="shared" si="65"/>
        <v>58.95</v>
      </c>
      <c r="H730" s="71">
        <f t="shared" si="66"/>
        <v>117.9</v>
      </c>
      <c r="I730" s="71">
        <f t="shared" si="67"/>
        <v>58.95</v>
      </c>
      <c r="J730" s="71">
        <f t="shared" si="68"/>
        <v>117.9</v>
      </c>
      <c r="K730" s="72">
        <v>0</v>
      </c>
      <c r="M730" s="58">
        <f>VLOOKUP(D730,'TABELA DE PRECOS'!B:C,2,0)</f>
        <v>58.95</v>
      </c>
    </row>
    <row r="731" spans="1:13" ht="15.75" customHeight="1" x14ac:dyDescent="0.25">
      <c r="A731" s="73">
        <v>6</v>
      </c>
      <c r="B731" s="84" t="s">
        <v>861</v>
      </c>
      <c r="C731" s="73">
        <v>1</v>
      </c>
      <c r="D731" s="49" t="s">
        <v>862</v>
      </c>
      <c r="E731" s="86" t="s">
        <v>131</v>
      </c>
      <c r="F731" s="76">
        <v>81897710017</v>
      </c>
      <c r="G731" s="71">
        <f t="shared" si="65"/>
        <v>119.29631999999998</v>
      </c>
      <c r="H731" s="71">
        <f t="shared" si="66"/>
        <v>119.29631999999998</v>
      </c>
      <c r="I731" s="71">
        <f t="shared" si="67"/>
        <v>119.29631999999998</v>
      </c>
      <c r="J731" s="71">
        <f t="shared" si="68"/>
        <v>119.29631999999998</v>
      </c>
      <c r="K731" s="72">
        <v>0</v>
      </c>
      <c r="M731" s="58">
        <f>VLOOKUP(D731,'TABELA DE PRECOS'!B:C,2,0)</f>
        <v>119.29631999999998</v>
      </c>
    </row>
    <row r="732" spans="1:13" ht="15.75" customHeight="1" x14ac:dyDescent="0.25">
      <c r="A732" s="73">
        <v>7</v>
      </c>
      <c r="B732" s="84" t="s">
        <v>566</v>
      </c>
      <c r="C732" s="73">
        <v>2</v>
      </c>
      <c r="D732" s="85" t="s">
        <v>567</v>
      </c>
      <c r="E732" s="86" t="s">
        <v>131</v>
      </c>
      <c r="F732" s="85">
        <v>81897719002</v>
      </c>
      <c r="G732" s="71">
        <f t="shared" si="65"/>
        <v>10.4404</v>
      </c>
      <c r="H732" s="71">
        <f t="shared" si="66"/>
        <v>20.880800000000001</v>
      </c>
      <c r="I732" s="71">
        <f t="shared" si="67"/>
        <v>10.4404</v>
      </c>
      <c r="J732" s="71">
        <f t="shared" si="68"/>
        <v>20.880800000000001</v>
      </c>
      <c r="K732" s="72">
        <v>0</v>
      </c>
      <c r="M732" s="58">
        <f>VLOOKUP(D732,'TABELA DE PRECOS'!B:C,2,0)</f>
        <v>10.4404</v>
      </c>
    </row>
    <row r="733" spans="1:13" ht="15.75" customHeight="1" x14ac:dyDescent="0.25">
      <c r="A733" s="73">
        <v>8</v>
      </c>
      <c r="B733" s="84" t="s">
        <v>451</v>
      </c>
      <c r="C733" s="73">
        <v>2</v>
      </c>
      <c r="D733" s="49" t="s">
        <v>452</v>
      </c>
      <c r="E733" s="86" t="s">
        <v>131</v>
      </c>
      <c r="F733" s="85">
        <v>81897710021</v>
      </c>
      <c r="G733" s="71">
        <f t="shared" si="65"/>
        <v>6.12</v>
      </c>
      <c r="H733" s="71">
        <f t="shared" si="66"/>
        <v>12.24</v>
      </c>
      <c r="I733" s="71">
        <f t="shared" si="67"/>
        <v>6.12</v>
      </c>
      <c r="J733" s="71">
        <f t="shared" si="68"/>
        <v>12.24</v>
      </c>
      <c r="K733" s="72">
        <v>0</v>
      </c>
      <c r="M733" s="58">
        <f>VLOOKUP(D733,'TABELA DE PRECOS'!B:C,2,0)</f>
        <v>6.12</v>
      </c>
    </row>
    <row r="734" spans="1:13" ht="15.75" customHeight="1" x14ac:dyDescent="0.25">
      <c r="A734" s="73">
        <v>9</v>
      </c>
      <c r="B734" s="84" t="s">
        <v>863</v>
      </c>
      <c r="C734" s="73">
        <v>1</v>
      </c>
      <c r="D734" s="85" t="s">
        <v>864</v>
      </c>
      <c r="E734" s="86" t="s">
        <v>131</v>
      </c>
      <c r="F734" s="85">
        <v>81897719002</v>
      </c>
      <c r="G734" s="71">
        <f t="shared" si="65"/>
        <v>38.409999999999997</v>
      </c>
      <c r="H734" s="71">
        <f t="shared" si="66"/>
        <v>38.409999999999997</v>
      </c>
      <c r="I734" s="71">
        <f t="shared" si="67"/>
        <v>38.409999999999997</v>
      </c>
      <c r="J734" s="71">
        <f t="shared" si="68"/>
        <v>38.409999999999997</v>
      </c>
      <c r="K734" s="72">
        <v>0</v>
      </c>
      <c r="M734" s="58">
        <f>VLOOKUP(D734,'TABELA DE PRECOS'!B:C,2,0)</f>
        <v>38.409999999999997</v>
      </c>
    </row>
    <row r="735" spans="1:13" ht="15.75" customHeight="1" x14ac:dyDescent="0.25">
      <c r="A735" s="73">
        <v>10</v>
      </c>
      <c r="B735" s="84" t="s">
        <v>397</v>
      </c>
      <c r="C735" s="73">
        <v>1</v>
      </c>
      <c r="D735" s="85" t="s">
        <v>398</v>
      </c>
      <c r="E735" s="86" t="s">
        <v>131</v>
      </c>
      <c r="F735" s="85">
        <v>81897719002</v>
      </c>
      <c r="G735" s="71">
        <f t="shared" si="65"/>
        <v>9.19</v>
      </c>
      <c r="H735" s="71">
        <f t="shared" si="66"/>
        <v>9.19</v>
      </c>
      <c r="I735" s="71">
        <f t="shared" si="67"/>
        <v>9.19</v>
      </c>
      <c r="J735" s="71">
        <f t="shared" si="68"/>
        <v>9.19</v>
      </c>
      <c r="K735" s="72">
        <v>0</v>
      </c>
      <c r="M735" s="58">
        <f>VLOOKUP(D735,'TABELA DE PRECOS'!B:C,2,0)</f>
        <v>9.19</v>
      </c>
    </row>
    <row r="736" spans="1:13" ht="15.75" customHeight="1" x14ac:dyDescent="0.25">
      <c r="A736" s="73">
        <v>11</v>
      </c>
      <c r="B736" s="84" t="s">
        <v>399</v>
      </c>
      <c r="C736" s="73">
        <v>1</v>
      </c>
      <c r="D736" s="85" t="s">
        <v>400</v>
      </c>
      <c r="E736" s="86" t="s">
        <v>131</v>
      </c>
      <c r="F736" s="85">
        <v>81897719002</v>
      </c>
      <c r="G736" s="71">
        <f t="shared" si="65"/>
        <v>8.85</v>
      </c>
      <c r="H736" s="71">
        <f t="shared" si="66"/>
        <v>8.85</v>
      </c>
      <c r="I736" s="71">
        <f t="shared" si="67"/>
        <v>8.85</v>
      </c>
      <c r="J736" s="71">
        <f t="shared" si="68"/>
        <v>8.85</v>
      </c>
      <c r="K736" s="72">
        <v>0</v>
      </c>
      <c r="M736" s="58">
        <f>VLOOKUP(D736,'TABELA DE PRECOS'!B:C,2,0)</f>
        <v>8.85</v>
      </c>
    </row>
    <row r="737" spans="1:13" ht="15.75" customHeight="1" x14ac:dyDescent="0.25">
      <c r="A737" s="73">
        <v>12</v>
      </c>
      <c r="B737" s="84" t="s">
        <v>195</v>
      </c>
      <c r="C737" s="73">
        <v>2</v>
      </c>
      <c r="D737" s="85" t="s">
        <v>196</v>
      </c>
      <c r="E737" s="86" t="s">
        <v>131</v>
      </c>
      <c r="F737" s="85">
        <v>81897719002</v>
      </c>
      <c r="G737" s="71">
        <f t="shared" si="65"/>
        <v>9.0399999999999991</v>
      </c>
      <c r="H737" s="71">
        <f t="shared" si="66"/>
        <v>18.079999999999998</v>
      </c>
      <c r="I737" s="71">
        <f t="shared" si="67"/>
        <v>9.0399999999999991</v>
      </c>
      <c r="J737" s="71">
        <f t="shared" si="68"/>
        <v>18.079999999999998</v>
      </c>
      <c r="K737" s="72">
        <v>0</v>
      </c>
      <c r="M737" s="58">
        <f>VLOOKUP(D737,'TABELA DE PRECOS'!B:C,2,0)</f>
        <v>9.0399999999999991</v>
      </c>
    </row>
    <row r="738" spans="1:13" ht="15.75" customHeight="1" x14ac:dyDescent="0.25">
      <c r="A738" s="73">
        <v>13</v>
      </c>
      <c r="B738" s="84" t="s">
        <v>679</v>
      </c>
      <c r="C738" s="73">
        <v>2</v>
      </c>
      <c r="D738" s="85" t="s">
        <v>680</v>
      </c>
      <c r="E738" s="86" t="s">
        <v>131</v>
      </c>
      <c r="F738" s="85">
        <v>81897719002</v>
      </c>
      <c r="G738" s="71">
        <f t="shared" si="65"/>
        <v>10.19</v>
      </c>
      <c r="H738" s="71">
        <f t="shared" si="66"/>
        <v>20.38</v>
      </c>
      <c r="I738" s="71">
        <f t="shared" si="67"/>
        <v>10.19</v>
      </c>
      <c r="J738" s="71">
        <f t="shared" si="68"/>
        <v>20.38</v>
      </c>
      <c r="K738" s="72">
        <v>0</v>
      </c>
      <c r="M738" s="58">
        <f>VLOOKUP(D738,'TABELA DE PRECOS'!B:C,2,0)</f>
        <v>10.19</v>
      </c>
    </row>
    <row r="739" spans="1:13" ht="15.75" customHeight="1" x14ac:dyDescent="0.25">
      <c r="A739" s="73">
        <v>14</v>
      </c>
      <c r="B739" s="84" t="s">
        <v>455</v>
      </c>
      <c r="C739" s="73">
        <v>2</v>
      </c>
      <c r="D739" s="85" t="s">
        <v>456</v>
      </c>
      <c r="E739" s="86" t="s">
        <v>131</v>
      </c>
      <c r="F739" s="85">
        <v>81897719002</v>
      </c>
      <c r="G739" s="71">
        <f t="shared" si="65"/>
        <v>8.3699999999999992</v>
      </c>
      <c r="H739" s="71">
        <f t="shared" si="66"/>
        <v>16.739999999999998</v>
      </c>
      <c r="I739" s="71">
        <f t="shared" si="67"/>
        <v>8.3699999999999992</v>
      </c>
      <c r="J739" s="71">
        <f t="shared" si="68"/>
        <v>16.739999999999998</v>
      </c>
      <c r="K739" s="72">
        <v>0</v>
      </c>
      <c r="M739" s="58">
        <f>VLOOKUP(D739,'TABELA DE PRECOS'!B:C,2,0)</f>
        <v>8.3699999999999992</v>
      </c>
    </row>
    <row r="740" spans="1:13" ht="15.75" customHeight="1" x14ac:dyDescent="0.25">
      <c r="A740" s="73">
        <v>15</v>
      </c>
      <c r="B740" s="84" t="s">
        <v>328</v>
      </c>
      <c r="C740" s="73">
        <v>2</v>
      </c>
      <c r="D740" s="85" t="s">
        <v>329</v>
      </c>
      <c r="E740" s="86" t="s">
        <v>131</v>
      </c>
      <c r="F740" s="85">
        <v>81897719002</v>
      </c>
      <c r="G740" s="71">
        <f t="shared" si="65"/>
        <v>10.92</v>
      </c>
      <c r="H740" s="71">
        <f t="shared" si="66"/>
        <v>21.84</v>
      </c>
      <c r="I740" s="71">
        <f t="shared" si="67"/>
        <v>10.92</v>
      </c>
      <c r="J740" s="71">
        <f t="shared" si="68"/>
        <v>21.84</v>
      </c>
      <c r="K740" s="72">
        <v>0</v>
      </c>
      <c r="M740" s="58">
        <f>VLOOKUP(D740,'TABELA DE PRECOS'!B:C,2,0)</f>
        <v>10.92</v>
      </c>
    </row>
    <row r="741" spans="1:13" ht="15.75" customHeight="1" x14ac:dyDescent="0.25">
      <c r="A741" s="73">
        <v>16</v>
      </c>
      <c r="B741" s="84" t="s">
        <v>766</v>
      </c>
      <c r="C741" s="73">
        <v>2</v>
      </c>
      <c r="D741" s="85" t="s">
        <v>767</v>
      </c>
      <c r="E741" s="86" t="s">
        <v>131</v>
      </c>
      <c r="F741" s="85">
        <v>81897719002</v>
      </c>
      <c r="G741" s="71">
        <f t="shared" si="65"/>
        <v>62.539200000000001</v>
      </c>
      <c r="H741" s="71">
        <f t="shared" si="66"/>
        <v>125.0784</v>
      </c>
      <c r="I741" s="71">
        <f t="shared" si="67"/>
        <v>62.539200000000001</v>
      </c>
      <c r="J741" s="71">
        <f t="shared" si="68"/>
        <v>125.0784</v>
      </c>
      <c r="K741" s="72">
        <v>0</v>
      </c>
      <c r="M741" s="58">
        <f>VLOOKUP(D741,'TABELA DE PRECOS'!B:C,2,0)</f>
        <v>62.539200000000001</v>
      </c>
    </row>
    <row r="742" spans="1:13" ht="15.75" customHeight="1" x14ac:dyDescent="0.25">
      <c r="A742" s="73">
        <v>17</v>
      </c>
      <c r="B742" s="84" t="s">
        <v>768</v>
      </c>
      <c r="C742" s="73">
        <v>2</v>
      </c>
      <c r="D742" s="85" t="s">
        <v>769</v>
      </c>
      <c r="E742" s="86" t="s">
        <v>131</v>
      </c>
      <c r="F742" s="85">
        <v>81897719002</v>
      </c>
      <c r="G742" s="71">
        <f t="shared" si="65"/>
        <v>83.36839999999998</v>
      </c>
      <c r="H742" s="71">
        <f t="shared" si="66"/>
        <v>166.73679999999996</v>
      </c>
      <c r="I742" s="71">
        <f t="shared" si="67"/>
        <v>83.36839999999998</v>
      </c>
      <c r="J742" s="71">
        <f t="shared" si="68"/>
        <v>166.73679999999996</v>
      </c>
      <c r="K742" s="72">
        <v>0</v>
      </c>
      <c r="M742" s="58">
        <f>VLOOKUP(D742,'TABELA DE PRECOS'!B:C,2,0)</f>
        <v>83.36839999999998</v>
      </c>
    </row>
    <row r="743" spans="1:13" ht="15.75" customHeight="1" x14ac:dyDescent="0.25">
      <c r="A743" s="73">
        <v>18</v>
      </c>
      <c r="B743" s="84" t="s">
        <v>185</v>
      </c>
      <c r="C743" s="73">
        <v>6</v>
      </c>
      <c r="D743" s="85" t="s">
        <v>186</v>
      </c>
      <c r="E743" s="86" t="s">
        <v>131</v>
      </c>
      <c r="F743" s="85">
        <v>81897719002</v>
      </c>
      <c r="G743" s="71">
        <f t="shared" si="65"/>
        <v>17.28</v>
      </c>
      <c r="H743" s="71">
        <f t="shared" si="66"/>
        <v>103.68</v>
      </c>
      <c r="I743" s="71">
        <f t="shared" si="67"/>
        <v>17.28</v>
      </c>
      <c r="J743" s="71">
        <f t="shared" si="68"/>
        <v>103.68</v>
      </c>
      <c r="K743" s="72">
        <v>0</v>
      </c>
      <c r="M743" s="58">
        <f>VLOOKUP(D743,'TABELA DE PRECOS'!B:C,2,0)</f>
        <v>17.28</v>
      </c>
    </row>
    <row r="744" spans="1:13" ht="15.75" customHeight="1" x14ac:dyDescent="0.25">
      <c r="A744" s="73">
        <v>19</v>
      </c>
      <c r="B744" s="84" t="s">
        <v>183</v>
      </c>
      <c r="C744" s="73">
        <v>1</v>
      </c>
      <c r="D744" s="85" t="s">
        <v>184</v>
      </c>
      <c r="E744" s="86" t="s">
        <v>131</v>
      </c>
      <c r="F744" s="85">
        <v>81897719002</v>
      </c>
      <c r="G744" s="71">
        <f t="shared" si="65"/>
        <v>40.79</v>
      </c>
      <c r="H744" s="71">
        <f t="shared" si="66"/>
        <v>40.79</v>
      </c>
      <c r="I744" s="71">
        <f t="shared" si="67"/>
        <v>40.79</v>
      </c>
      <c r="J744" s="71">
        <f t="shared" si="68"/>
        <v>40.79</v>
      </c>
      <c r="K744" s="72">
        <v>0</v>
      </c>
      <c r="M744" s="58">
        <f>VLOOKUP(D744,'TABELA DE PRECOS'!B:C,2,0)</f>
        <v>40.79</v>
      </c>
    </row>
    <row r="745" spans="1:13" ht="15.75" customHeight="1" x14ac:dyDescent="0.25">
      <c r="A745" s="73">
        <v>20</v>
      </c>
      <c r="B745" s="84" t="s">
        <v>320</v>
      </c>
      <c r="C745" s="73">
        <v>1</v>
      </c>
      <c r="D745" s="85" t="s">
        <v>321</v>
      </c>
      <c r="E745" s="86" t="s">
        <v>131</v>
      </c>
      <c r="F745" s="85">
        <v>81897719002</v>
      </c>
      <c r="G745" s="71">
        <f t="shared" si="65"/>
        <v>44.93</v>
      </c>
      <c r="H745" s="71">
        <f t="shared" si="66"/>
        <v>44.93</v>
      </c>
      <c r="I745" s="71">
        <f t="shared" si="67"/>
        <v>44.93</v>
      </c>
      <c r="J745" s="71">
        <f t="shared" si="68"/>
        <v>44.93</v>
      </c>
      <c r="K745" s="72">
        <v>0</v>
      </c>
      <c r="M745" s="58">
        <f>VLOOKUP(D745,'TABELA DE PRECOS'!B:C,2,0)</f>
        <v>44.93</v>
      </c>
    </row>
    <row r="746" spans="1:13" ht="15.75" customHeight="1" x14ac:dyDescent="0.25">
      <c r="A746" s="73">
        <v>21</v>
      </c>
      <c r="B746" s="84" t="s">
        <v>865</v>
      </c>
      <c r="C746" s="73">
        <v>2</v>
      </c>
      <c r="D746" s="85" t="s">
        <v>866</v>
      </c>
      <c r="E746" s="86" t="s">
        <v>131</v>
      </c>
      <c r="F746" s="85">
        <v>81897719002</v>
      </c>
      <c r="G746" s="71">
        <f t="shared" si="65"/>
        <v>60.475199999999987</v>
      </c>
      <c r="H746" s="71">
        <f t="shared" si="66"/>
        <v>120.95039999999997</v>
      </c>
      <c r="I746" s="71">
        <f t="shared" si="67"/>
        <v>60.475199999999987</v>
      </c>
      <c r="J746" s="71">
        <f t="shared" si="68"/>
        <v>120.95039999999997</v>
      </c>
      <c r="K746" s="72">
        <v>0</v>
      </c>
      <c r="M746" s="58">
        <f>VLOOKUP(D746,'TABELA DE PRECOS'!B:C,2,0)</f>
        <v>60.475199999999987</v>
      </c>
    </row>
    <row r="747" spans="1:13" ht="15.75" customHeight="1" x14ac:dyDescent="0.25">
      <c r="A747" s="73">
        <v>22</v>
      </c>
      <c r="B747" s="84" t="s">
        <v>867</v>
      </c>
      <c r="C747" s="73">
        <v>1</v>
      </c>
      <c r="D747" s="85" t="s">
        <v>868</v>
      </c>
      <c r="E747" s="86" t="s">
        <v>131</v>
      </c>
      <c r="F747" s="85">
        <v>81897719002</v>
      </c>
      <c r="G747" s="71">
        <f t="shared" si="65"/>
        <v>37.5304</v>
      </c>
      <c r="H747" s="71">
        <f t="shared" si="66"/>
        <v>37.5304</v>
      </c>
      <c r="I747" s="71">
        <f t="shared" si="67"/>
        <v>37.5304</v>
      </c>
      <c r="J747" s="71">
        <f t="shared" si="68"/>
        <v>37.5304</v>
      </c>
      <c r="K747" s="72">
        <v>0</v>
      </c>
      <c r="M747" s="58">
        <f>VLOOKUP(D747,'TABELA DE PRECOS'!B:C,2,0)</f>
        <v>37.5304</v>
      </c>
    </row>
    <row r="748" spans="1:13" ht="15.75" customHeight="1" x14ac:dyDescent="0.25">
      <c r="A748" s="73">
        <v>23</v>
      </c>
      <c r="B748" s="84" t="s">
        <v>187</v>
      </c>
      <c r="C748" s="73">
        <v>6</v>
      </c>
      <c r="D748" s="85" t="s">
        <v>188</v>
      </c>
      <c r="E748" s="86" t="s">
        <v>131</v>
      </c>
      <c r="F748" s="85">
        <v>81897719002</v>
      </c>
      <c r="G748" s="71">
        <f t="shared" si="65"/>
        <v>15.95</v>
      </c>
      <c r="H748" s="71">
        <f t="shared" si="66"/>
        <v>95.699999999999989</v>
      </c>
      <c r="I748" s="71">
        <f t="shared" si="67"/>
        <v>15.95</v>
      </c>
      <c r="J748" s="71">
        <f t="shared" si="68"/>
        <v>95.699999999999989</v>
      </c>
      <c r="K748" s="72">
        <v>0</v>
      </c>
      <c r="M748" s="58">
        <f>VLOOKUP(D748,'TABELA DE PRECOS'!B:C,2,0)</f>
        <v>15.95</v>
      </c>
    </row>
    <row r="749" spans="1:13" ht="15.75" customHeight="1" x14ac:dyDescent="0.25">
      <c r="A749" s="73">
        <v>24</v>
      </c>
      <c r="B749" s="84" t="s">
        <v>419</v>
      </c>
      <c r="C749" s="73">
        <v>6</v>
      </c>
      <c r="D749" s="85" t="s">
        <v>420</v>
      </c>
      <c r="E749" s="86" t="s">
        <v>131</v>
      </c>
      <c r="F749" s="85">
        <v>81897719002</v>
      </c>
      <c r="G749" s="71">
        <f t="shared" si="65"/>
        <v>16.52</v>
      </c>
      <c r="H749" s="71">
        <f t="shared" si="66"/>
        <v>99.12</v>
      </c>
      <c r="I749" s="71">
        <f t="shared" si="67"/>
        <v>16.52</v>
      </c>
      <c r="J749" s="71">
        <f t="shared" si="68"/>
        <v>99.12</v>
      </c>
      <c r="K749" s="72">
        <v>0</v>
      </c>
      <c r="M749" s="58">
        <f>VLOOKUP(D749,'TABELA DE PRECOS'!B:C,2,0)</f>
        <v>16.52</v>
      </c>
    </row>
    <row r="750" spans="1:13" ht="15.75" customHeight="1" x14ac:dyDescent="0.25">
      <c r="A750" s="73">
        <v>25</v>
      </c>
      <c r="B750" s="84" t="s">
        <v>254</v>
      </c>
      <c r="C750" s="73">
        <v>6</v>
      </c>
      <c r="D750" s="85" t="s">
        <v>255</v>
      </c>
      <c r="E750" s="86" t="s">
        <v>131</v>
      </c>
      <c r="F750" s="85">
        <v>81897719002</v>
      </c>
      <c r="G750" s="71">
        <f t="shared" si="65"/>
        <v>16.68</v>
      </c>
      <c r="H750" s="71">
        <f t="shared" si="66"/>
        <v>100.08</v>
      </c>
      <c r="I750" s="71">
        <f t="shared" si="67"/>
        <v>16.68</v>
      </c>
      <c r="J750" s="71">
        <f t="shared" si="68"/>
        <v>100.08</v>
      </c>
      <c r="K750" s="72">
        <v>0</v>
      </c>
      <c r="M750" s="58">
        <f>VLOOKUP(D750,'TABELA DE PRECOS'!B:C,2,0)</f>
        <v>16.68</v>
      </c>
    </row>
    <row r="751" spans="1:13" ht="15.75" customHeight="1" x14ac:dyDescent="0.25">
      <c r="A751" s="73">
        <v>26</v>
      </c>
      <c r="B751" s="84" t="s">
        <v>189</v>
      </c>
      <c r="C751" s="73">
        <v>6</v>
      </c>
      <c r="D751" s="85" t="s">
        <v>190</v>
      </c>
      <c r="E751" s="86" t="s">
        <v>131</v>
      </c>
      <c r="F751" s="85">
        <v>81897719002</v>
      </c>
      <c r="G751" s="71">
        <f t="shared" si="65"/>
        <v>16.71</v>
      </c>
      <c r="H751" s="71">
        <f t="shared" si="66"/>
        <v>100.26</v>
      </c>
      <c r="I751" s="71">
        <f t="shared" si="67"/>
        <v>16.71</v>
      </c>
      <c r="J751" s="71">
        <f t="shared" si="68"/>
        <v>100.26</v>
      </c>
      <c r="K751" s="72">
        <v>0</v>
      </c>
      <c r="M751" s="58">
        <f>VLOOKUP(D751,'TABELA DE PRECOS'!B:C,2,0)</f>
        <v>16.71</v>
      </c>
    </row>
    <row r="752" spans="1:13" ht="15.75" customHeight="1" x14ac:dyDescent="0.25">
      <c r="A752" s="73">
        <v>27</v>
      </c>
      <c r="B752" s="84" t="s">
        <v>869</v>
      </c>
      <c r="C752" s="73">
        <v>2</v>
      </c>
      <c r="D752" s="85" t="s">
        <v>870</v>
      </c>
      <c r="E752" s="86" t="s">
        <v>131</v>
      </c>
      <c r="F752" s="85">
        <v>81897719002</v>
      </c>
      <c r="G752" s="71">
        <f t="shared" si="65"/>
        <v>16.86</v>
      </c>
      <c r="H752" s="71">
        <f t="shared" si="66"/>
        <v>33.72</v>
      </c>
      <c r="I752" s="71">
        <f t="shared" si="67"/>
        <v>16.86</v>
      </c>
      <c r="J752" s="71">
        <f t="shared" si="68"/>
        <v>33.72</v>
      </c>
      <c r="K752" s="72">
        <v>0</v>
      </c>
      <c r="M752" s="58">
        <f>VLOOKUP(D752,'TABELA DE PRECOS'!B:C,2,0)</f>
        <v>16.86</v>
      </c>
    </row>
    <row r="753" spans="1:13" ht="15.75" customHeight="1" x14ac:dyDescent="0.25">
      <c r="A753" s="73">
        <v>28</v>
      </c>
      <c r="B753" s="84" t="s">
        <v>457</v>
      </c>
      <c r="C753" s="73">
        <v>2</v>
      </c>
      <c r="D753" s="85" t="s">
        <v>458</v>
      </c>
      <c r="E753" s="86" t="s">
        <v>131</v>
      </c>
      <c r="F753" s="85">
        <v>81897719002</v>
      </c>
      <c r="G753" s="71">
        <f t="shared" si="65"/>
        <v>15.81</v>
      </c>
      <c r="H753" s="71">
        <f t="shared" si="66"/>
        <v>31.62</v>
      </c>
      <c r="I753" s="71">
        <f t="shared" si="67"/>
        <v>15.81</v>
      </c>
      <c r="J753" s="71">
        <f t="shared" si="68"/>
        <v>31.62</v>
      </c>
      <c r="K753" s="72">
        <v>0</v>
      </c>
      <c r="M753" s="58">
        <f>VLOOKUP(D753,'TABELA DE PRECOS'!B:C,2,0)</f>
        <v>15.81</v>
      </c>
    </row>
    <row r="754" spans="1:13" ht="15.75" customHeight="1" x14ac:dyDescent="0.25">
      <c r="A754" s="73">
        <v>29</v>
      </c>
      <c r="B754" s="84" t="s">
        <v>871</v>
      </c>
      <c r="C754" s="73">
        <v>1</v>
      </c>
      <c r="D754" s="85" t="s">
        <v>872</v>
      </c>
      <c r="E754" s="86" t="s">
        <v>131</v>
      </c>
      <c r="F754" s="85">
        <v>81897719002</v>
      </c>
      <c r="G754" s="71">
        <f t="shared" si="65"/>
        <v>26.075199999999999</v>
      </c>
      <c r="H754" s="71">
        <f t="shared" si="66"/>
        <v>26.075199999999999</v>
      </c>
      <c r="I754" s="71">
        <f t="shared" si="67"/>
        <v>26.075199999999999</v>
      </c>
      <c r="J754" s="71">
        <f t="shared" si="68"/>
        <v>26.075199999999999</v>
      </c>
      <c r="K754" s="72">
        <v>0</v>
      </c>
      <c r="M754" s="58">
        <f>VLOOKUP(D754,'TABELA DE PRECOS'!B:C,2,0)</f>
        <v>26.075199999999999</v>
      </c>
    </row>
    <row r="755" spans="1:13" ht="15.75" customHeight="1" x14ac:dyDescent="0.25">
      <c r="A755" s="73">
        <v>30</v>
      </c>
      <c r="B755" s="84" t="s">
        <v>873</v>
      </c>
      <c r="C755" s="73">
        <v>2</v>
      </c>
      <c r="D755" s="85" t="s">
        <v>874</v>
      </c>
      <c r="E755" s="86" t="s">
        <v>131</v>
      </c>
      <c r="F755" s="85">
        <v>81897719002</v>
      </c>
      <c r="G755" s="71">
        <f t="shared" si="65"/>
        <v>28.54</v>
      </c>
      <c r="H755" s="71">
        <f t="shared" si="66"/>
        <v>57.08</v>
      </c>
      <c r="I755" s="71">
        <f t="shared" si="67"/>
        <v>28.54</v>
      </c>
      <c r="J755" s="71">
        <f t="shared" si="68"/>
        <v>57.08</v>
      </c>
      <c r="K755" s="72">
        <v>0</v>
      </c>
      <c r="M755" s="58">
        <f>VLOOKUP(D755,'TABELA DE PRECOS'!B:C,2,0)</f>
        <v>28.54</v>
      </c>
    </row>
    <row r="756" spans="1:13" ht="15.75" customHeight="1" x14ac:dyDescent="0.25">
      <c r="A756" s="73">
        <v>31</v>
      </c>
      <c r="B756" s="84" t="s">
        <v>875</v>
      </c>
      <c r="C756" s="73">
        <v>2</v>
      </c>
      <c r="D756" s="85" t="s">
        <v>876</v>
      </c>
      <c r="E756" s="86" t="s">
        <v>131</v>
      </c>
      <c r="F756" s="85">
        <v>81897719002</v>
      </c>
      <c r="G756" s="71">
        <f t="shared" si="65"/>
        <v>52.098799999999997</v>
      </c>
      <c r="H756" s="71">
        <f t="shared" si="66"/>
        <v>104.19759999999999</v>
      </c>
      <c r="I756" s="71">
        <f t="shared" si="67"/>
        <v>52.098799999999997</v>
      </c>
      <c r="J756" s="71">
        <f t="shared" si="68"/>
        <v>104.19759999999999</v>
      </c>
      <c r="K756" s="72">
        <v>0</v>
      </c>
      <c r="M756" s="58">
        <f>VLOOKUP(D756,'TABELA DE PRECOS'!B:C,2,0)</f>
        <v>52.098799999999997</v>
      </c>
    </row>
    <row r="757" spans="1:13" ht="15.75" customHeight="1" x14ac:dyDescent="0.25">
      <c r="A757" s="73">
        <v>32</v>
      </c>
      <c r="B757" s="84" t="s">
        <v>360</v>
      </c>
      <c r="C757" s="73">
        <v>2</v>
      </c>
      <c r="D757" s="85" t="s">
        <v>361</v>
      </c>
      <c r="E757" s="86" t="s">
        <v>131</v>
      </c>
      <c r="F757" s="85">
        <v>81897719002</v>
      </c>
      <c r="G757" s="71">
        <f t="shared" si="65"/>
        <v>19.477120000000003</v>
      </c>
      <c r="H757" s="71">
        <f t="shared" si="66"/>
        <v>38.954240000000006</v>
      </c>
      <c r="I757" s="71">
        <f t="shared" si="67"/>
        <v>19.477120000000003</v>
      </c>
      <c r="J757" s="71">
        <f t="shared" si="68"/>
        <v>38.954240000000006</v>
      </c>
      <c r="K757" s="72">
        <v>0</v>
      </c>
      <c r="M757" s="58">
        <f>VLOOKUP(D757,'TABELA DE PRECOS'!B:C,2,0)</f>
        <v>19.477120000000003</v>
      </c>
    </row>
    <row r="758" spans="1:13" ht="15.75" customHeight="1" x14ac:dyDescent="0.25">
      <c r="A758" s="73">
        <v>33</v>
      </c>
      <c r="B758" s="84" t="s">
        <v>207</v>
      </c>
      <c r="C758" s="73">
        <v>2</v>
      </c>
      <c r="D758" s="85" t="s">
        <v>208</v>
      </c>
      <c r="E758" s="86" t="s">
        <v>131</v>
      </c>
      <c r="F758" s="85">
        <v>81897719002</v>
      </c>
      <c r="G758" s="71">
        <f t="shared" si="65"/>
        <v>21.30752</v>
      </c>
      <c r="H758" s="71">
        <f t="shared" si="66"/>
        <v>42.61504</v>
      </c>
      <c r="I758" s="71">
        <f t="shared" si="67"/>
        <v>21.30752</v>
      </c>
      <c r="J758" s="71">
        <f t="shared" si="68"/>
        <v>42.61504</v>
      </c>
      <c r="K758" s="72">
        <v>0</v>
      </c>
      <c r="M758" s="58">
        <f>VLOOKUP(D758,'TABELA DE PRECOS'!B:C,2,0)</f>
        <v>21.30752</v>
      </c>
    </row>
    <row r="759" spans="1:13" ht="15.75" customHeight="1" x14ac:dyDescent="0.25">
      <c r="A759" s="73">
        <v>34</v>
      </c>
      <c r="B759" s="84" t="s">
        <v>211</v>
      </c>
      <c r="C759" s="73">
        <v>1</v>
      </c>
      <c r="D759" s="85" t="s">
        <v>212</v>
      </c>
      <c r="E759" s="86" t="s">
        <v>131</v>
      </c>
      <c r="F759" s="85">
        <v>81897719002</v>
      </c>
      <c r="G759" s="71">
        <f t="shared" si="65"/>
        <v>18.84</v>
      </c>
      <c r="H759" s="71">
        <f t="shared" si="66"/>
        <v>18.84</v>
      </c>
      <c r="I759" s="71">
        <f t="shared" si="67"/>
        <v>18.84</v>
      </c>
      <c r="J759" s="71">
        <f t="shared" si="68"/>
        <v>18.84</v>
      </c>
      <c r="K759" s="72">
        <v>0</v>
      </c>
      <c r="M759" s="58">
        <f>VLOOKUP(D759,'TABELA DE PRECOS'!B:C,2,0)</f>
        <v>18.84</v>
      </c>
    </row>
    <row r="760" spans="1:13" ht="15.75" customHeight="1" x14ac:dyDescent="0.25">
      <c r="A760" s="73">
        <v>35</v>
      </c>
      <c r="B760" s="84" t="s">
        <v>877</v>
      </c>
      <c r="C760" s="73">
        <v>1</v>
      </c>
      <c r="D760" s="85" t="s">
        <v>878</v>
      </c>
      <c r="E760" s="86" t="s">
        <v>131</v>
      </c>
      <c r="F760" s="85">
        <v>81897719002</v>
      </c>
      <c r="G760" s="71">
        <f t="shared" si="65"/>
        <v>23.5124</v>
      </c>
      <c r="H760" s="71">
        <f t="shared" si="66"/>
        <v>23.5124</v>
      </c>
      <c r="I760" s="71">
        <f t="shared" si="67"/>
        <v>23.5124</v>
      </c>
      <c r="J760" s="71">
        <f t="shared" si="68"/>
        <v>23.5124</v>
      </c>
      <c r="K760" s="72">
        <v>0</v>
      </c>
      <c r="M760" s="58">
        <f>VLOOKUP(D760,'TABELA DE PRECOS'!B:C,2,0)</f>
        <v>23.5124</v>
      </c>
    </row>
    <row r="761" spans="1:13" ht="15.75" customHeight="1" x14ac:dyDescent="0.25">
      <c r="A761" s="73">
        <v>36</v>
      </c>
      <c r="B761" s="84" t="s">
        <v>1327</v>
      </c>
      <c r="C761" s="73">
        <v>1</v>
      </c>
      <c r="D761" s="85" t="s">
        <v>424</v>
      </c>
      <c r="E761" s="86" t="s">
        <v>131</v>
      </c>
      <c r="F761" s="85">
        <v>81897719002</v>
      </c>
      <c r="G761" s="71">
        <f t="shared" si="65"/>
        <v>14.63</v>
      </c>
      <c r="H761" s="71">
        <f t="shared" si="66"/>
        <v>14.63</v>
      </c>
      <c r="I761" s="71">
        <f t="shared" si="67"/>
        <v>14.63</v>
      </c>
      <c r="J761" s="71">
        <f t="shared" si="68"/>
        <v>14.63</v>
      </c>
      <c r="K761" s="72">
        <v>0</v>
      </c>
      <c r="M761" s="58">
        <f>VLOOKUP(D761,'TABELA DE PRECOS'!B:C,2,0)</f>
        <v>14.63</v>
      </c>
    </row>
    <row r="762" spans="1:13" ht="15.75" customHeight="1" x14ac:dyDescent="0.25">
      <c r="A762" s="73">
        <v>37</v>
      </c>
      <c r="B762" s="84" t="s">
        <v>1590</v>
      </c>
      <c r="C762" s="73">
        <v>1</v>
      </c>
      <c r="D762" s="85" t="s">
        <v>428</v>
      </c>
      <c r="E762" s="86" t="s">
        <v>131</v>
      </c>
      <c r="F762" s="85">
        <v>81897719002</v>
      </c>
      <c r="G762" s="71">
        <f t="shared" si="65"/>
        <v>16.02</v>
      </c>
      <c r="H762" s="71">
        <f t="shared" si="66"/>
        <v>16.02</v>
      </c>
      <c r="I762" s="71">
        <f t="shared" si="67"/>
        <v>16.02</v>
      </c>
      <c r="J762" s="71">
        <f t="shared" si="68"/>
        <v>16.02</v>
      </c>
      <c r="K762" s="72">
        <v>0</v>
      </c>
      <c r="M762" s="58">
        <f>VLOOKUP(D762,'TABELA DE PRECOS'!B:C,2,0)</f>
        <v>16.02</v>
      </c>
    </row>
    <row r="763" spans="1:13" ht="15.75" customHeight="1" x14ac:dyDescent="0.25">
      <c r="A763" s="73">
        <v>38</v>
      </c>
      <c r="B763" s="84" t="s">
        <v>879</v>
      </c>
      <c r="C763" s="73">
        <v>1</v>
      </c>
      <c r="D763" s="85" t="s">
        <v>880</v>
      </c>
      <c r="E763" s="86" t="s">
        <v>131</v>
      </c>
      <c r="F763" s="85">
        <v>81897719003</v>
      </c>
      <c r="G763" s="71">
        <f t="shared" si="65"/>
        <v>212.62639999999999</v>
      </c>
      <c r="H763" s="71">
        <f t="shared" si="66"/>
        <v>212.62639999999999</v>
      </c>
      <c r="I763" s="71">
        <f t="shared" si="67"/>
        <v>212.62639999999999</v>
      </c>
      <c r="J763" s="71">
        <f t="shared" si="68"/>
        <v>212.62639999999999</v>
      </c>
      <c r="K763" s="72">
        <v>0</v>
      </c>
      <c r="M763" s="58">
        <f>VLOOKUP(D763,'TABELA DE PRECOS'!B:C,2,0)</f>
        <v>212.62639999999999</v>
      </c>
    </row>
    <row r="764" spans="1:13" ht="15.75" customHeight="1" x14ac:dyDescent="0.25">
      <c r="A764" s="73">
        <v>39</v>
      </c>
      <c r="B764" s="84" t="s">
        <v>881</v>
      </c>
      <c r="C764" s="73">
        <v>1</v>
      </c>
      <c r="D764" s="85" t="s">
        <v>882</v>
      </c>
      <c r="E764" s="86" t="s">
        <v>131</v>
      </c>
      <c r="F764" s="85">
        <v>81897710034</v>
      </c>
      <c r="G764" s="71">
        <f t="shared" si="65"/>
        <v>39.453119999999998</v>
      </c>
      <c r="H764" s="71">
        <f t="shared" si="66"/>
        <v>39.453119999999998</v>
      </c>
      <c r="I764" s="71">
        <f t="shared" si="67"/>
        <v>39.453119999999998</v>
      </c>
      <c r="J764" s="71">
        <f t="shared" si="68"/>
        <v>39.453119999999998</v>
      </c>
      <c r="K764" s="72">
        <v>0</v>
      </c>
      <c r="M764" s="58">
        <f>VLOOKUP(D764,'TABELA DE PRECOS'!B:C,2,0)</f>
        <v>39.453119999999998</v>
      </c>
    </row>
    <row r="765" spans="1:13" ht="15.75" customHeight="1" x14ac:dyDescent="0.25">
      <c r="A765" s="73">
        <v>40</v>
      </c>
      <c r="B765" s="84" t="s">
        <v>883</v>
      </c>
      <c r="C765" s="73">
        <v>1</v>
      </c>
      <c r="D765" s="103" t="s">
        <v>884</v>
      </c>
      <c r="E765" s="86" t="s">
        <v>131</v>
      </c>
      <c r="F765" s="85">
        <v>81897710012</v>
      </c>
      <c r="G765" s="71">
        <f t="shared" si="65"/>
        <v>343.10559999999998</v>
      </c>
      <c r="H765" s="71">
        <f t="shared" si="66"/>
        <v>343.10559999999998</v>
      </c>
      <c r="I765" s="71">
        <f t="shared" si="67"/>
        <v>343.10559999999998</v>
      </c>
      <c r="J765" s="71">
        <f t="shared" si="68"/>
        <v>343.10559999999998</v>
      </c>
      <c r="K765" s="72">
        <v>0</v>
      </c>
      <c r="M765" s="58">
        <f>VLOOKUP(D765,'TABELA DE PRECOS'!B:C,2,0)</f>
        <v>343.10559999999998</v>
      </c>
    </row>
    <row r="766" spans="1:13" ht="15.75" customHeight="1" x14ac:dyDescent="0.25">
      <c r="A766" s="73">
        <v>41</v>
      </c>
      <c r="B766" s="84" t="s">
        <v>372</v>
      </c>
      <c r="C766" s="73">
        <v>1</v>
      </c>
      <c r="D766" s="85" t="s">
        <v>373</v>
      </c>
      <c r="E766" s="86" t="s">
        <v>131</v>
      </c>
      <c r="F766" s="85" t="s">
        <v>223</v>
      </c>
      <c r="G766" s="71">
        <f t="shared" si="65"/>
        <v>452.16</v>
      </c>
      <c r="H766" s="71">
        <f t="shared" si="66"/>
        <v>452.16</v>
      </c>
      <c r="I766" s="71">
        <f t="shared" si="67"/>
        <v>452.16</v>
      </c>
      <c r="J766" s="71">
        <f t="shared" si="68"/>
        <v>452.16</v>
      </c>
      <c r="K766" s="72">
        <v>0</v>
      </c>
      <c r="M766" s="58">
        <f>VLOOKUP(D766,'TABELA DE PRECOS'!B:C,2,0)</f>
        <v>452.16</v>
      </c>
    </row>
    <row r="767" spans="1:13" ht="15.75" customHeight="1" x14ac:dyDescent="0.25">
      <c r="A767" s="73">
        <v>42</v>
      </c>
      <c r="B767" s="84" t="s">
        <v>374</v>
      </c>
      <c r="C767" s="73">
        <v>1</v>
      </c>
      <c r="D767" s="85" t="s">
        <v>375</v>
      </c>
      <c r="E767" s="86" t="s">
        <v>131</v>
      </c>
      <c r="F767" s="85" t="s">
        <v>223</v>
      </c>
      <c r="G767" s="71">
        <f t="shared" si="65"/>
        <v>640.15991999999994</v>
      </c>
      <c r="H767" s="71">
        <f t="shared" si="66"/>
        <v>640.15991999999994</v>
      </c>
      <c r="I767" s="71">
        <f t="shared" si="67"/>
        <v>640.15991999999994</v>
      </c>
      <c r="J767" s="71">
        <f t="shared" si="68"/>
        <v>640.15991999999994</v>
      </c>
      <c r="K767" s="72">
        <v>0</v>
      </c>
      <c r="M767" s="58">
        <f>VLOOKUP(D767,'TABELA DE PRECOS'!B:C,2,0)</f>
        <v>640.15991999999994</v>
      </c>
    </row>
    <row r="768" spans="1:13" ht="15.75" customHeight="1" x14ac:dyDescent="0.25">
      <c r="A768" s="73">
        <v>43</v>
      </c>
      <c r="B768" s="84" t="s">
        <v>376</v>
      </c>
      <c r="C768" s="73">
        <v>1</v>
      </c>
      <c r="D768" s="85" t="s">
        <v>377</v>
      </c>
      <c r="E768" s="86" t="s">
        <v>131</v>
      </c>
      <c r="F768" s="85" t="s">
        <v>223</v>
      </c>
      <c r="G768" s="71">
        <f t="shared" si="65"/>
        <v>514.57000000000005</v>
      </c>
      <c r="H768" s="71">
        <f t="shared" si="66"/>
        <v>514.57000000000005</v>
      </c>
      <c r="I768" s="71">
        <f t="shared" si="67"/>
        <v>514.57000000000005</v>
      </c>
      <c r="J768" s="71">
        <f t="shared" si="68"/>
        <v>514.57000000000005</v>
      </c>
      <c r="K768" s="72">
        <v>0</v>
      </c>
      <c r="M768" s="58">
        <f>VLOOKUP(D768,'TABELA DE PRECOS'!B:C,2,0)</f>
        <v>514.57000000000005</v>
      </c>
    </row>
    <row r="769" spans="1:13" ht="15.75" customHeight="1" x14ac:dyDescent="0.25">
      <c r="A769" s="73">
        <v>44</v>
      </c>
      <c r="B769" s="84" t="s">
        <v>378</v>
      </c>
      <c r="C769" s="73">
        <v>2</v>
      </c>
      <c r="D769" s="85" t="s">
        <v>379</v>
      </c>
      <c r="E769" s="86" t="s">
        <v>131</v>
      </c>
      <c r="F769" s="85" t="s">
        <v>223</v>
      </c>
      <c r="G769" s="71">
        <f t="shared" si="65"/>
        <v>9.18</v>
      </c>
      <c r="H769" s="71">
        <f t="shared" si="66"/>
        <v>18.36</v>
      </c>
      <c r="I769" s="71">
        <f t="shared" si="67"/>
        <v>9.18</v>
      </c>
      <c r="J769" s="71">
        <f t="shared" si="68"/>
        <v>18.36</v>
      </c>
      <c r="K769" s="72">
        <v>0</v>
      </c>
      <c r="M769" s="58">
        <f>VLOOKUP(D769,'TABELA DE PRECOS'!B:C,2,0)</f>
        <v>9.18</v>
      </c>
    </row>
    <row r="770" spans="1:13" ht="15.75" customHeight="1" x14ac:dyDescent="0.25">
      <c r="A770" s="78"/>
      <c r="B770" s="79" t="s">
        <v>224</v>
      </c>
      <c r="C770" s="79">
        <f>SUM(C726:C769)</f>
        <v>88</v>
      </c>
      <c r="D770" s="79"/>
      <c r="E770" s="79"/>
      <c r="F770" s="79"/>
      <c r="G770" s="80"/>
      <c r="H770" s="80">
        <f>SUM(H726:H769)</f>
        <v>5455.3165599999993</v>
      </c>
      <c r="I770" s="79"/>
      <c r="J770" s="80">
        <f>SUM(J726:J769)</f>
        <v>5455.3165599999993</v>
      </c>
      <c r="K770" s="81"/>
      <c r="M770" s="58" t="e">
        <f>VLOOKUP(D770,'TABELA DE PRECOS'!B:C,2,0)</f>
        <v>#N/A</v>
      </c>
    </row>
    <row r="771" spans="1:13" ht="15.75" customHeight="1" x14ac:dyDescent="0.25">
      <c r="A771" s="56"/>
      <c r="B771" s="49" t="s">
        <v>15</v>
      </c>
      <c r="C771" s="57"/>
      <c r="G771" s="58"/>
      <c r="H771" s="58"/>
      <c r="I771" s="58"/>
      <c r="J771" s="58"/>
      <c r="K771" s="59"/>
      <c r="M771" s="58" t="e">
        <f>VLOOKUP(D771,'TABELA DE PRECOS'!B:C,2,0)</f>
        <v>#N/A</v>
      </c>
    </row>
    <row r="772" spans="1:13" ht="15.75" customHeight="1" x14ac:dyDescent="0.25">
      <c r="A772" s="56"/>
      <c r="B772" s="18" t="s">
        <v>885</v>
      </c>
      <c r="C772" s="57"/>
      <c r="G772" s="58"/>
      <c r="H772" s="58"/>
      <c r="I772" s="58"/>
      <c r="J772" s="58"/>
      <c r="K772" s="59"/>
      <c r="M772" s="58" t="e">
        <f>VLOOKUP(D772,'TABELA DE PRECOS'!B:C,2,0)</f>
        <v>#N/A</v>
      </c>
    </row>
    <row r="773" spans="1:13" ht="15.75" customHeight="1" x14ac:dyDescent="0.25">
      <c r="A773" s="18" t="s">
        <v>119</v>
      </c>
      <c r="B773" s="18" t="s">
        <v>120</v>
      </c>
      <c r="C773" s="18" t="s">
        <v>21</v>
      </c>
      <c r="D773" s="18" t="s">
        <v>121</v>
      </c>
      <c r="E773" s="60" t="s">
        <v>122</v>
      </c>
      <c r="F773" s="18" t="s">
        <v>123</v>
      </c>
      <c r="G773" s="61" t="s">
        <v>22</v>
      </c>
      <c r="H773" s="18" t="s">
        <v>23</v>
      </c>
      <c r="I773" s="18" t="s">
        <v>24</v>
      </c>
      <c r="J773" s="18" t="s">
        <v>25</v>
      </c>
      <c r="K773" s="62" t="s">
        <v>26</v>
      </c>
      <c r="M773" s="58" t="str">
        <f>VLOOKUP(D773,'TABELA DE PRECOS'!B:C,2,0)</f>
        <v>Valor Unit Bruto</v>
      </c>
    </row>
    <row r="774" spans="1:13" ht="15.75" customHeight="1" x14ac:dyDescent="0.25">
      <c r="A774" s="65">
        <v>1</v>
      </c>
      <c r="B774" s="84" t="s">
        <v>886</v>
      </c>
      <c r="C774" s="73">
        <v>1</v>
      </c>
      <c r="D774" s="85" t="s">
        <v>887</v>
      </c>
      <c r="E774" s="86" t="s">
        <v>131</v>
      </c>
      <c r="F774" s="85">
        <v>81897719002</v>
      </c>
      <c r="G774" s="71">
        <f t="shared" ref="G774:G805" si="69">M774</f>
        <v>48.47</v>
      </c>
      <c r="H774" s="71">
        <f t="shared" ref="H774:H805" si="70">G774*C774</f>
        <v>48.47</v>
      </c>
      <c r="I774" s="71">
        <f t="shared" ref="I774:I805" si="71">G774</f>
        <v>48.47</v>
      </c>
      <c r="J774" s="71">
        <f t="shared" ref="J774:J805" si="72">I774*C774</f>
        <v>48.47</v>
      </c>
      <c r="K774" s="72">
        <v>0</v>
      </c>
      <c r="M774" s="58">
        <f>VLOOKUP(D774,'TABELA DE PRECOS'!B:C,2,0)</f>
        <v>48.47</v>
      </c>
    </row>
    <row r="775" spans="1:13" ht="15.75" customHeight="1" x14ac:dyDescent="0.25">
      <c r="A775" s="65">
        <v>2</v>
      </c>
      <c r="B775" s="84" t="s">
        <v>888</v>
      </c>
      <c r="C775" s="73">
        <v>1</v>
      </c>
      <c r="D775" s="85" t="s">
        <v>889</v>
      </c>
      <c r="E775" s="86" t="s">
        <v>131</v>
      </c>
      <c r="F775" s="85">
        <v>81897719002</v>
      </c>
      <c r="G775" s="71">
        <f t="shared" si="69"/>
        <v>48.47</v>
      </c>
      <c r="H775" s="71">
        <f t="shared" si="70"/>
        <v>48.47</v>
      </c>
      <c r="I775" s="71">
        <f t="shared" si="71"/>
        <v>48.47</v>
      </c>
      <c r="J775" s="71">
        <f t="shared" si="72"/>
        <v>48.47</v>
      </c>
      <c r="K775" s="72">
        <v>0</v>
      </c>
      <c r="M775" s="58">
        <f>VLOOKUP(D775,'TABELA DE PRECOS'!B:C,2,0)</f>
        <v>48.47</v>
      </c>
    </row>
    <row r="776" spans="1:13" ht="15.75" customHeight="1" x14ac:dyDescent="0.25">
      <c r="A776" s="65">
        <v>3</v>
      </c>
      <c r="B776" s="84" t="s">
        <v>890</v>
      </c>
      <c r="C776" s="73">
        <v>1</v>
      </c>
      <c r="D776" s="85" t="s">
        <v>891</v>
      </c>
      <c r="E776" s="86" t="s">
        <v>131</v>
      </c>
      <c r="F776" s="85">
        <v>81897719002</v>
      </c>
      <c r="G776" s="71">
        <f t="shared" si="69"/>
        <v>54.54</v>
      </c>
      <c r="H776" s="71">
        <f t="shared" si="70"/>
        <v>54.54</v>
      </c>
      <c r="I776" s="71">
        <f t="shared" si="71"/>
        <v>54.54</v>
      </c>
      <c r="J776" s="71">
        <f t="shared" si="72"/>
        <v>54.54</v>
      </c>
      <c r="K776" s="72">
        <v>0</v>
      </c>
      <c r="L776" s="63"/>
      <c r="M776" s="58">
        <f>VLOOKUP(D776,'TABELA DE PRECOS'!B:C,2,0)</f>
        <v>54.54</v>
      </c>
    </row>
    <row r="777" spans="1:13" ht="15.75" customHeight="1" x14ac:dyDescent="0.25">
      <c r="A777" s="65">
        <v>4</v>
      </c>
      <c r="B777" s="66" t="s">
        <v>892</v>
      </c>
      <c r="C777" s="82">
        <v>1</v>
      </c>
      <c r="D777" s="76" t="s">
        <v>893</v>
      </c>
      <c r="E777" s="69" t="s">
        <v>131</v>
      </c>
      <c r="F777" s="76">
        <v>81897719006</v>
      </c>
      <c r="G777" s="71">
        <f t="shared" si="69"/>
        <v>26.65</v>
      </c>
      <c r="H777" s="71">
        <f t="shared" si="70"/>
        <v>26.65</v>
      </c>
      <c r="I777" s="71">
        <f t="shared" si="71"/>
        <v>26.65</v>
      </c>
      <c r="J777" s="71">
        <f t="shared" si="72"/>
        <v>26.65</v>
      </c>
      <c r="K777" s="72">
        <v>0</v>
      </c>
      <c r="M777" s="58">
        <f>VLOOKUP(D777,'TABELA DE PRECOS'!B:C,2,0)</f>
        <v>26.65</v>
      </c>
    </row>
    <row r="778" spans="1:13" ht="15.75" customHeight="1" x14ac:dyDescent="0.25">
      <c r="A778" s="65">
        <v>5</v>
      </c>
      <c r="B778" s="66" t="s">
        <v>894</v>
      </c>
      <c r="C778" s="82">
        <v>1</v>
      </c>
      <c r="D778" s="76" t="s">
        <v>895</v>
      </c>
      <c r="E778" s="69" t="s">
        <v>131</v>
      </c>
      <c r="F778" s="76">
        <v>81897719006</v>
      </c>
      <c r="G778" s="71">
        <f t="shared" si="69"/>
        <v>26.65</v>
      </c>
      <c r="H778" s="71">
        <f t="shared" si="70"/>
        <v>26.65</v>
      </c>
      <c r="I778" s="71">
        <f t="shared" si="71"/>
        <v>26.65</v>
      </c>
      <c r="J778" s="71">
        <f t="shared" si="72"/>
        <v>26.65</v>
      </c>
      <c r="K778" s="72">
        <v>0</v>
      </c>
      <c r="M778" s="58">
        <f>VLOOKUP(D778,'TABELA DE PRECOS'!B:C,2,0)</f>
        <v>26.65</v>
      </c>
    </row>
    <row r="779" spans="1:13" ht="15.75" customHeight="1" x14ac:dyDescent="0.25">
      <c r="A779" s="65">
        <v>6</v>
      </c>
      <c r="B779" s="66" t="s">
        <v>896</v>
      </c>
      <c r="C779" s="82">
        <v>1</v>
      </c>
      <c r="D779" s="76" t="s">
        <v>897</v>
      </c>
      <c r="E779" s="69" t="s">
        <v>131</v>
      </c>
      <c r="F779" s="76">
        <v>81897719002</v>
      </c>
      <c r="G779" s="71">
        <f t="shared" si="69"/>
        <v>26.65</v>
      </c>
      <c r="H779" s="71">
        <f t="shared" si="70"/>
        <v>26.65</v>
      </c>
      <c r="I779" s="71">
        <f t="shared" si="71"/>
        <v>26.65</v>
      </c>
      <c r="J779" s="71">
        <f t="shared" si="72"/>
        <v>26.65</v>
      </c>
      <c r="K779" s="72">
        <v>0</v>
      </c>
      <c r="M779" s="58">
        <f>VLOOKUP(D779,'TABELA DE PRECOS'!B:C,2,0)</f>
        <v>26.65</v>
      </c>
    </row>
    <row r="780" spans="1:13" ht="15.75" customHeight="1" x14ac:dyDescent="0.25">
      <c r="A780" s="65">
        <v>7</v>
      </c>
      <c r="B780" s="66" t="s">
        <v>898</v>
      </c>
      <c r="C780" s="82">
        <v>1</v>
      </c>
      <c r="D780" s="76" t="s">
        <v>899</v>
      </c>
      <c r="E780" s="69" t="s">
        <v>131</v>
      </c>
      <c r="F780" s="76">
        <v>81897719006</v>
      </c>
      <c r="G780" s="71">
        <f t="shared" si="69"/>
        <v>26.65</v>
      </c>
      <c r="H780" s="71">
        <f t="shared" si="70"/>
        <v>26.65</v>
      </c>
      <c r="I780" s="71">
        <f t="shared" si="71"/>
        <v>26.65</v>
      </c>
      <c r="J780" s="71">
        <f t="shared" si="72"/>
        <v>26.65</v>
      </c>
      <c r="K780" s="72">
        <v>0</v>
      </c>
      <c r="M780" s="58">
        <f>VLOOKUP(D780,'TABELA DE PRECOS'!B:C,2,0)</f>
        <v>26.65</v>
      </c>
    </row>
    <row r="781" spans="1:13" ht="15.75" customHeight="1" x14ac:dyDescent="0.25">
      <c r="A781" s="65">
        <v>8</v>
      </c>
      <c r="B781" s="66" t="s">
        <v>900</v>
      </c>
      <c r="C781" s="82">
        <v>1</v>
      </c>
      <c r="D781" s="76" t="s">
        <v>901</v>
      </c>
      <c r="E781" s="69" t="s">
        <v>131</v>
      </c>
      <c r="F781" s="76">
        <v>81897719006</v>
      </c>
      <c r="G781" s="71">
        <f t="shared" si="69"/>
        <v>26.65</v>
      </c>
      <c r="H781" s="71">
        <f t="shared" si="70"/>
        <v>26.65</v>
      </c>
      <c r="I781" s="71">
        <f t="shared" si="71"/>
        <v>26.65</v>
      </c>
      <c r="J781" s="71">
        <f t="shared" si="72"/>
        <v>26.65</v>
      </c>
      <c r="K781" s="72">
        <v>0</v>
      </c>
      <c r="M781" s="58">
        <f>VLOOKUP(D781,'TABELA DE PRECOS'!B:C,2,0)</f>
        <v>26.65</v>
      </c>
    </row>
    <row r="782" spans="1:13" ht="15.75" customHeight="1" x14ac:dyDescent="0.25">
      <c r="A782" s="65">
        <v>9</v>
      </c>
      <c r="B782" s="66" t="s">
        <v>902</v>
      </c>
      <c r="C782" s="82">
        <v>1</v>
      </c>
      <c r="D782" s="76" t="s">
        <v>903</v>
      </c>
      <c r="E782" s="69" t="s">
        <v>131</v>
      </c>
      <c r="F782" s="76">
        <v>81897710021</v>
      </c>
      <c r="G782" s="71">
        <f t="shared" si="69"/>
        <v>30.29</v>
      </c>
      <c r="H782" s="71">
        <f t="shared" si="70"/>
        <v>30.29</v>
      </c>
      <c r="I782" s="71">
        <f t="shared" si="71"/>
        <v>30.29</v>
      </c>
      <c r="J782" s="71">
        <f t="shared" si="72"/>
        <v>30.29</v>
      </c>
      <c r="K782" s="72">
        <v>0</v>
      </c>
      <c r="M782" s="58">
        <f>VLOOKUP(D782,'TABELA DE PRECOS'!B:C,2,0)</f>
        <v>30.29</v>
      </c>
    </row>
    <row r="783" spans="1:13" ht="15.75" customHeight="1" x14ac:dyDescent="0.25">
      <c r="A783" s="65">
        <v>10</v>
      </c>
      <c r="B783" s="84" t="s">
        <v>904</v>
      </c>
      <c r="C783" s="73">
        <v>1</v>
      </c>
      <c r="D783" s="85" t="s">
        <v>905</v>
      </c>
      <c r="E783" s="86" t="s">
        <v>131</v>
      </c>
      <c r="F783" s="85">
        <v>81897710021</v>
      </c>
      <c r="G783" s="71">
        <f t="shared" si="69"/>
        <v>30.29</v>
      </c>
      <c r="H783" s="71">
        <f t="shared" si="70"/>
        <v>30.29</v>
      </c>
      <c r="I783" s="71">
        <f t="shared" si="71"/>
        <v>30.29</v>
      </c>
      <c r="J783" s="71">
        <f t="shared" si="72"/>
        <v>30.29</v>
      </c>
      <c r="K783" s="72">
        <v>0</v>
      </c>
      <c r="M783" s="58">
        <f>VLOOKUP(D783,'TABELA DE PRECOS'!B:C,2,0)</f>
        <v>30.29</v>
      </c>
    </row>
    <row r="784" spans="1:13" ht="15.75" customHeight="1" x14ac:dyDescent="0.25">
      <c r="A784" s="65">
        <v>11</v>
      </c>
      <c r="B784" s="84" t="s">
        <v>906</v>
      </c>
      <c r="C784" s="73">
        <v>1</v>
      </c>
      <c r="D784" s="85" t="s">
        <v>907</v>
      </c>
      <c r="E784" s="86" t="s">
        <v>131</v>
      </c>
      <c r="F784" s="85">
        <v>81897710021</v>
      </c>
      <c r="G784" s="71">
        <f t="shared" si="69"/>
        <v>30.29</v>
      </c>
      <c r="H784" s="71">
        <f t="shared" si="70"/>
        <v>30.29</v>
      </c>
      <c r="I784" s="71">
        <f t="shared" si="71"/>
        <v>30.29</v>
      </c>
      <c r="J784" s="71">
        <f t="shared" si="72"/>
        <v>30.29</v>
      </c>
      <c r="K784" s="72">
        <v>0</v>
      </c>
      <c r="M784" s="58">
        <f>VLOOKUP(D784,'TABELA DE PRECOS'!B:C,2,0)</f>
        <v>30.29</v>
      </c>
    </row>
    <row r="785" spans="1:13" ht="15.75" customHeight="1" x14ac:dyDescent="0.25">
      <c r="A785" s="65">
        <v>12</v>
      </c>
      <c r="B785" s="84" t="s">
        <v>908</v>
      </c>
      <c r="C785" s="73">
        <v>1</v>
      </c>
      <c r="D785" s="85" t="s">
        <v>909</v>
      </c>
      <c r="E785" s="86" t="s">
        <v>131</v>
      </c>
      <c r="F785" s="85">
        <v>81897710021</v>
      </c>
      <c r="G785" s="71">
        <f t="shared" si="69"/>
        <v>30.29</v>
      </c>
      <c r="H785" s="71">
        <f t="shared" si="70"/>
        <v>30.29</v>
      </c>
      <c r="I785" s="71">
        <f t="shared" si="71"/>
        <v>30.29</v>
      </c>
      <c r="J785" s="71">
        <f t="shared" si="72"/>
        <v>30.29</v>
      </c>
      <c r="K785" s="72">
        <v>0</v>
      </c>
      <c r="M785" s="58">
        <f>VLOOKUP(D785,'TABELA DE PRECOS'!B:C,2,0)</f>
        <v>30.29</v>
      </c>
    </row>
    <row r="786" spans="1:13" ht="15.75" customHeight="1" x14ac:dyDescent="0.25">
      <c r="A786" s="65">
        <v>13</v>
      </c>
      <c r="B786" s="84" t="s">
        <v>910</v>
      </c>
      <c r="C786" s="73">
        <v>1</v>
      </c>
      <c r="D786" s="85" t="s">
        <v>911</v>
      </c>
      <c r="E786" s="86" t="s">
        <v>131</v>
      </c>
      <c r="F786" s="85">
        <v>81897719002</v>
      </c>
      <c r="G786" s="71">
        <f t="shared" si="69"/>
        <v>46.65</v>
      </c>
      <c r="H786" s="71">
        <f t="shared" si="70"/>
        <v>46.65</v>
      </c>
      <c r="I786" s="71">
        <f t="shared" si="71"/>
        <v>46.65</v>
      </c>
      <c r="J786" s="71">
        <f t="shared" si="72"/>
        <v>46.65</v>
      </c>
      <c r="K786" s="72">
        <v>0</v>
      </c>
      <c r="M786" s="58">
        <f>VLOOKUP(D786,'TABELA DE PRECOS'!B:C,2,0)</f>
        <v>46.65</v>
      </c>
    </row>
    <row r="787" spans="1:13" ht="15.75" customHeight="1" x14ac:dyDescent="0.25">
      <c r="A787" s="65">
        <v>14</v>
      </c>
      <c r="B787" s="84" t="s">
        <v>912</v>
      </c>
      <c r="C787" s="73">
        <v>2</v>
      </c>
      <c r="D787" s="85" t="s">
        <v>913</v>
      </c>
      <c r="E787" s="86" t="s">
        <v>131</v>
      </c>
      <c r="F787" s="85">
        <v>81897719002</v>
      </c>
      <c r="G787" s="71">
        <f t="shared" si="69"/>
        <v>36.36</v>
      </c>
      <c r="H787" s="71">
        <f t="shared" si="70"/>
        <v>72.72</v>
      </c>
      <c r="I787" s="71">
        <f t="shared" si="71"/>
        <v>36.36</v>
      </c>
      <c r="J787" s="71">
        <f t="shared" si="72"/>
        <v>72.72</v>
      </c>
      <c r="K787" s="72">
        <v>0</v>
      </c>
      <c r="M787" s="58">
        <f>VLOOKUP(D787,'TABELA DE PRECOS'!B:C,2,0)</f>
        <v>36.36</v>
      </c>
    </row>
    <row r="788" spans="1:13" ht="15.75" customHeight="1" x14ac:dyDescent="0.25">
      <c r="A788" s="65">
        <v>15</v>
      </c>
      <c r="B788" s="84" t="s">
        <v>914</v>
      </c>
      <c r="C788" s="73">
        <v>1</v>
      </c>
      <c r="D788" s="85" t="s">
        <v>915</v>
      </c>
      <c r="E788" s="86" t="s">
        <v>131</v>
      </c>
      <c r="F788" s="85">
        <v>81897719002</v>
      </c>
      <c r="G788" s="71">
        <f t="shared" si="69"/>
        <v>26.65</v>
      </c>
      <c r="H788" s="71">
        <f t="shared" si="70"/>
        <v>26.65</v>
      </c>
      <c r="I788" s="71">
        <f t="shared" si="71"/>
        <v>26.65</v>
      </c>
      <c r="J788" s="71">
        <f t="shared" si="72"/>
        <v>26.65</v>
      </c>
      <c r="K788" s="72">
        <v>0</v>
      </c>
      <c r="M788" s="58">
        <f>VLOOKUP(D788,'TABELA DE PRECOS'!B:C,2,0)</f>
        <v>26.65</v>
      </c>
    </row>
    <row r="789" spans="1:13" ht="15.75" customHeight="1" x14ac:dyDescent="0.25">
      <c r="A789" s="65">
        <v>16</v>
      </c>
      <c r="B789" s="84" t="s">
        <v>916</v>
      </c>
      <c r="C789" s="73">
        <v>1</v>
      </c>
      <c r="D789" s="85" t="s">
        <v>917</v>
      </c>
      <c r="E789" s="86" t="s">
        <v>131</v>
      </c>
      <c r="F789" s="85">
        <v>81897719002</v>
      </c>
      <c r="G789" s="71">
        <f t="shared" si="69"/>
        <v>36.36</v>
      </c>
      <c r="H789" s="71">
        <f t="shared" si="70"/>
        <v>36.36</v>
      </c>
      <c r="I789" s="71">
        <f t="shared" si="71"/>
        <v>36.36</v>
      </c>
      <c r="J789" s="71">
        <f t="shared" si="72"/>
        <v>36.36</v>
      </c>
      <c r="K789" s="72">
        <v>0</v>
      </c>
      <c r="M789" s="58">
        <f>VLOOKUP(D789,'TABELA DE PRECOS'!B:C,2,0)</f>
        <v>36.36</v>
      </c>
    </row>
    <row r="790" spans="1:13" ht="15.75" customHeight="1" x14ac:dyDescent="0.25">
      <c r="A790" s="65">
        <v>17</v>
      </c>
      <c r="B790" s="84" t="s">
        <v>918</v>
      </c>
      <c r="C790" s="73">
        <v>1</v>
      </c>
      <c r="D790" s="85" t="s">
        <v>919</v>
      </c>
      <c r="E790" s="86" t="s">
        <v>131</v>
      </c>
      <c r="F790" s="85">
        <v>81897719002</v>
      </c>
      <c r="G790" s="71">
        <f t="shared" si="69"/>
        <v>35.74</v>
      </c>
      <c r="H790" s="71">
        <f t="shared" si="70"/>
        <v>35.74</v>
      </c>
      <c r="I790" s="71">
        <f t="shared" si="71"/>
        <v>35.74</v>
      </c>
      <c r="J790" s="71">
        <f t="shared" si="72"/>
        <v>35.74</v>
      </c>
      <c r="K790" s="72">
        <v>0</v>
      </c>
      <c r="M790" s="58">
        <f>VLOOKUP(D790,'TABELA DE PRECOS'!B:C,2,0)</f>
        <v>35.74</v>
      </c>
    </row>
    <row r="791" spans="1:13" ht="15.75" customHeight="1" x14ac:dyDescent="0.25">
      <c r="A791" s="65">
        <v>18</v>
      </c>
      <c r="B791" s="84" t="s">
        <v>920</v>
      </c>
      <c r="C791" s="73">
        <v>1</v>
      </c>
      <c r="D791" s="85" t="s">
        <v>921</v>
      </c>
      <c r="E791" s="86" t="s">
        <v>131</v>
      </c>
      <c r="F791" s="85">
        <v>81897719002</v>
      </c>
      <c r="G791" s="71">
        <f t="shared" si="69"/>
        <v>36.36</v>
      </c>
      <c r="H791" s="71">
        <f t="shared" si="70"/>
        <v>36.36</v>
      </c>
      <c r="I791" s="71">
        <f t="shared" si="71"/>
        <v>36.36</v>
      </c>
      <c r="J791" s="71">
        <f t="shared" si="72"/>
        <v>36.36</v>
      </c>
      <c r="K791" s="72">
        <v>0</v>
      </c>
      <c r="M791" s="58">
        <f>VLOOKUP(D791,'TABELA DE PRECOS'!B:C,2,0)</f>
        <v>36.36</v>
      </c>
    </row>
    <row r="792" spans="1:13" ht="15.75" customHeight="1" x14ac:dyDescent="0.25">
      <c r="A792" s="65">
        <v>19</v>
      </c>
      <c r="B792" s="84" t="s">
        <v>243</v>
      </c>
      <c r="C792" s="73">
        <v>1</v>
      </c>
      <c r="D792" s="85" t="s">
        <v>244</v>
      </c>
      <c r="E792" s="86" t="s">
        <v>131</v>
      </c>
      <c r="F792" s="85">
        <v>81897719002</v>
      </c>
      <c r="G792" s="71">
        <f t="shared" si="69"/>
        <v>35.74</v>
      </c>
      <c r="H792" s="71">
        <f t="shared" si="70"/>
        <v>35.74</v>
      </c>
      <c r="I792" s="71">
        <f t="shared" si="71"/>
        <v>35.74</v>
      </c>
      <c r="J792" s="71">
        <f t="shared" si="72"/>
        <v>35.74</v>
      </c>
      <c r="K792" s="72">
        <v>0</v>
      </c>
      <c r="M792" s="58">
        <f>VLOOKUP(D792,'TABELA DE PRECOS'!B:C,2,0)</f>
        <v>35.74</v>
      </c>
    </row>
    <row r="793" spans="1:13" ht="15.75" customHeight="1" x14ac:dyDescent="0.25">
      <c r="A793" s="65">
        <v>20</v>
      </c>
      <c r="B793" s="84" t="s">
        <v>338</v>
      </c>
      <c r="C793" s="73">
        <v>1</v>
      </c>
      <c r="D793" s="85" t="s">
        <v>339</v>
      </c>
      <c r="E793" s="86" t="s">
        <v>131</v>
      </c>
      <c r="F793" s="85">
        <v>81897719002</v>
      </c>
      <c r="G793" s="71">
        <f t="shared" si="69"/>
        <v>26.31</v>
      </c>
      <c r="H793" s="71">
        <f t="shared" si="70"/>
        <v>26.31</v>
      </c>
      <c r="I793" s="71">
        <f t="shared" si="71"/>
        <v>26.31</v>
      </c>
      <c r="J793" s="71">
        <f t="shared" si="72"/>
        <v>26.31</v>
      </c>
      <c r="K793" s="72">
        <v>0</v>
      </c>
      <c r="M793" s="58">
        <f>VLOOKUP(D793,'TABELA DE PRECOS'!B:C,2,0)</f>
        <v>26.31</v>
      </c>
    </row>
    <row r="794" spans="1:13" ht="15.75" customHeight="1" x14ac:dyDescent="0.25">
      <c r="A794" s="65">
        <v>21</v>
      </c>
      <c r="B794" s="84" t="s">
        <v>254</v>
      </c>
      <c r="C794" s="73">
        <v>2</v>
      </c>
      <c r="D794" s="85" t="s">
        <v>255</v>
      </c>
      <c r="E794" s="86" t="s">
        <v>131</v>
      </c>
      <c r="F794" s="85">
        <v>81897719002</v>
      </c>
      <c r="G794" s="71">
        <f t="shared" si="69"/>
        <v>16.68</v>
      </c>
      <c r="H794" s="71">
        <f t="shared" si="70"/>
        <v>33.36</v>
      </c>
      <c r="I794" s="71">
        <f t="shared" si="71"/>
        <v>16.68</v>
      </c>
      <c r="J794" s="71">
        <f t="shared" si="72"/>
        <v>33.36</v>
      </c>
      <c r="K794" s="72">
        <v>0</v>
      </c>
      <c r="M794" s="58">
        <f>VLOOKUP(D794,'TABELA DE PRECOS'!B:C,2,0)</f>
        <v>16.68</v>
      </c>
    </row>
    <row r="795" spans="1:13" ht="15.75" customHeight="1" x14ac:dyDescent="0.25">
      <c r="A795" s="65">
        <v>22</v>
      </c>
      <c r="B795" s="84" t="s">
        <v>914</v>
      </c>
      <c r="C795" s="73">
        <v>1</v>
      </c>
      <c r="D795" s="85" t="s">
        <v>915</v>
      </c>
      <c r="E795" s="86" t="s">
        <v>131</v>
      </c>
      <c r="F795" s="85">
        <v>81897719002</v>
      </c>
      <c r="G795" s="71">
        <f t="shared" si="69"/>
        <v>26.65</v>
      </c>
      <c r="H795" s="71">
        <f t="shared" si="70"/>
        <v>26.65</v>
      </c>
      <c r="I795" s="71">
        <f t="shared" si="71"/>
        <v>26.65</v>
      </c>
      <c r="J795" s="71">
        <f t="shared" si="72"/>
        <v>26.65</v>
      </c>
      <c r="K795" s="72">
        <v>0</v>
      </c>
      <c r="M795" s="58">
        <f>VLOOKUP(D795,'TABELA DE PRECOS'!B:C,2,0)</f>
        <v>26.65</v>
      </c>
    </row>
    <row r="796" spans="1:13" ht="15.75" customHeight="1" x14ac:dyDescent="0.25">
      <c r="A796" s="65">
        <v>23</v>
      </c>
      <c r="B796" s="84" t="s">
        <v>792</v>
      </c>
      <c r="C796" s="73">
        <v>1</v>
      </c>
      <c r="D796" s="85" t="s">
        <v>793</v>
      </c>
      <c r="E796" s="86" t="s">
        <v>131</v>
      </c>
      <c r="F796" s="85">
        <v>81897719002</v>
      </c>
      <c r="G796" s="71">
        <f t="shared" si="69"/>
        <v>19.281599999999997</v>
      </c>
      <c r="H796" s="71">
        <f t="shared" si="70"/>
        <v>19.281599999999997</v>
      </c>
      <c r="I796" s="71">
        <f t="shared" si="71"/>
        <v>19.281599999999997</v>
      </c>
      <c r="J796" s="71">
        <f t="shared" si="72"/>
        <v>19.281599999999997</v>
      </c>
      <c r="K796" s="72">
        <v>0</v>
      </c>
      <c r="M796" s="58">
        <f>VLOOKUP(D796,'TABELA DE PRECOS'!B:C,2,0)</f>
        <v>19.281599999999997</v>
      </c>
    </row>
    <row r="797" spans="1:13" ht="15.75" customHeight="1" x14ac:dyDescent="0.25">
      <c r="A797" s="65">
        <v>24</v>
      </c>
      <c r="B797" s="84" t="s">
        <v>207</v>
      </c>
      <c r="C797" s="73">
        <v>1</v>
      </c>
      <c r="D797" s="85" t="s">
        <v>208</v>
      </c>
      <c r="E797" s="86" t="s">
        <v>131</v>
      </c>
      <c r="F797" s="85">
        <v>81897719002</v>
      </c>
      <c r="G797" s="71">
        <f t="shared" si="69"/>
        <v>21.30752</v>
      </c>
      <c r="H797" s="71">
        <f t="shared" si="70"/>
        <v>21.30752</v>
      </c>
      <c r="I797" s="71">
        <f t="shared" si="71"/>
        <v>21.30752</v>
      </c>
      <c r="J797" s="71">
        <f t="shared" si="72"/>
        <v>21.30752</v>
      </c>
      <c r="K797" s="72">
        <v>0</v>
      </c>
      <c r="M797" s="58">
        <f>VLOOKUP(D797,'TABELA DE PRECOS'!B:C,2,0)</f>
        <v>21.30752</v>
      </c>
    </row>
    <row r="798" spans="1:13" ht="15.75" customHeight="1" x14ac:dyDescent="0.25">
      <c r="A798" s="65">
        <v>25</v>
      </c>
      <c r="B798" s="84" t="s">
        <v>362</v>
      </c>
      <c r="C798" s="73">
        <v>1</v>
      </c>
      <c r="D798" s="85" t="s">
        <v>363</v>
      </c>
      <c r="E798" s="86" t="s">
        <v>131</v>
      </c>
      <c r="F798" s="85">
        <v>81897719002</v>
      </c>
      <c r="G798" s="71">
        <f t="shared" si="69"/>
        <v>22.5472</v>
      </c>
      <c r="H798" s="71">
        <f t="shared" si="70"/>
        <v>22.5472</v>
      </c>
      <c r="I798" s="71">
        <f t="shared" si="71"/>
        <v>22.5472</v>
      </c>
      <c r="J798" s="71">
        <f t="shared" si="72"/>
        <v>22.5472</v>
      </c>
      <c r="K798" s="72">
        <v>0</v>
      </c>
      <c r="M798" s="58">
        <f>VLOOKUP(D798,'TABELA DE PRECOS'!B:C,2,0)</f>
        <v>22.5472</v>
      </c>
    </row>
    <row r="799" spans="1:13" ht="15.75" customHeight="1" x14ac:dyDescent="0.25">
      <c r="A799" s="65">
        <v>26</v>
      </c>
      <c r="B799" s="84" t="s">
        <v>922</v>
      </c>
      <c r="C799" s="73">
        <v>1</v>
      </c>
      <c r="D799" s="85" t="s">
        <v>923</v>
      </c>
      <c r="E799" s="86" t="s">
        <v>131</v>
      </c>
      <c r="F799" s="85">
        <v>81897719002</v>
      </c>
      <c r="G799" s="71">
        <f t="shared" si="69"/>
        <v>36.36</v>
      </c>
      <c r="H799" s="71">
        <f t="shared" si="70"/>
        <v>36.36</v>
      </c>
      <c r="I799" s="71">
        <f t="shared" si="71"/>
        <v>36.36</v>
      </c>
      <c r="J799" s="71">
        <f t="shared" si="72"/>
        <v>36.36</v>
      </c>
      <c r="K799" s="72">
        <v>0</v>
      </c>
      <c r="M799" s="58">
        <f>VLOOKUP(D799,'TABELA DE PRECOS'!B:C,2,0)</f>
        <v>36.36</v>
      </c>
    </row>
    <row r="800" spans="1:13" ht="15.75" customHeight="1" x14ac:dyDescent="0.25">
      <c r="A800" s="65">
        <v>27</v>
      </c>
      <c r="B800" s="84" t="s">
        <v>366</v>
      </c>
      <c r="C800" s="73">
        <v>1</v>
      </c>
      <c r="D800" s="85" t="s">
        <v>367</v>
      </c>
      <c r="E800" s="86" t="s">
        <v>131</v>
      </c>
      <c r="F800" s="85">
        <v>81897719002</v>
      </c>
      <c r="G800" s="71">
        <f t="shared" si="69"/>
        <v>18.7</v>
      </c>
      <c r="H800" s="71">
        <f t="shared" si="70"/>
        <v>18.7</v>
      </c>
      <c r="I800" s="71">
        <f t="shared" si="71"/>
        <v>18.7</v>
      </c>
      <c r="J800" s="71">
        <f t="shared" si="72"/>
        <v>18.7</v>
      </c>
      <c r="K800" s="72">
        <v>0</v>
      </c>
      <c r="M800" s="58">
        <f>VLOOKUP(D800,'TABELA DE PRECOS'!B:C,2,0)</f>
        <v>18.7</v>
      </c>
    </row>
    <row r="801" spans="1:13" ht="15.75" customHeight="1" x14ac:dyDescent="0.25">
      <c r="A801" s="65">
        <v>28</v>
      </c>
      <c r="B801" s="84" t="s">
        <v>370</v>
      </c>
      <c r="C801" s="73">
        <v>1</v>
      </c>
      <c r="D801" s="85" t="s">
        <v>371</v>
      </c>
      <c r="E801" s="86" t="s">
        <v>131</v>
      </c>
      <c r="F801" s="85">
        <v>81897719002</v>
      </c>
      <c r="G801" s="71">
        <f t="shared" si="69"/>
        <v>19.41</v>
      </c>
      <c r="H801" s="71">
        <f t="shared" si="70"/>
        <v>19.41</v>
      </c>
      <c r="I801" s="71">
        <f t="shared" si="71"/>
        <v>19.41</v>
      </c>
      <c r="J801" s="71">
        <f t="shared" si="72"/>
        <v>19.41</v>
      </c>
      <c r="K801" s="72">
        <v>0</v>
      </c>
      <c r="M801" s="58">
        <f>VLOOKUP(D801,'TABELA DE PRECOS'!B:C,2,0)</f>
        <v>19.41</v>
      </c>
    </row>
    <row r="802" spans="1:13" ht="15.75" customHeight="1" x14ac:dyDescent="0.25">
      <c r="A802" s="65">
        <v>29</v>
      </c>
      <c r="B802" s="84" t="s">
        <v>372</v>
      </c>
      <c r="C802" s="73">
        <v>1</v>
      </c>
      <c r="D802" s="85" t="s">
        <v>373</v>
      </c>
      <c r="E802" s="86" t="s">
        <v>131</v>
      </c>
      <c r="F802" s="85" t="s">
        <v>223</v>
      </c>
      <c r="G802" s="71">
        <f t="shared" si="69"/>
        <v>452.16</v>
      </c>
      <c r="H802" s="71">
        <f t="shared" si="70"/>
        <v>452.16</v>
      </c>
      <c r="I802" s="71">
        <f t="shared" si="71"/>
        <v>452.16</v>
      </c>
      <c r="J802" s="71">
        <f t="shared" si="72"/>
        <v>452.16</v>
      </c>
      <c r="K802" s="72">
        <v>0</v>
      </c>
      <c r="M802" s="58">
        <f>VLOOKUP(D802,'TABELA DE PRECOS'!B:C,2,0)</f>
        <v>452.16</v>
      </c>
    </row>
    <row r="803" spans="1:13" ht="15.75" customHeight="1" x14ac:dyDescent="0.25">
      <c r="A803" s="65">
        <v>30</v>
      </c>
      <c r="B803" s="84" t="s">
        <v>811</v>
      </c>
      <c r="C803" s="73">
        <v>1</v>
      </c>
      <c r="D803" s="85" t="s">
        <v>812</v>
      </c>
      <c r="E803" s="86" t="s">
        <v>131</v>
      </c>
      <c r="F803" s="85" t="s">
        <v>223</v>
      </c>
      <c r="G803" s="71">
        <f t="shared" si="69"/>
        <v>593.5</v>
      </c>
      <c r="H803" s="71">
        <f t="shared" si="70"/>
        <v>593.5</v>
      </c>
      <c r="I803" s="71">
        <f t="shared" si="71"/>
        <v>593.5</v>
      </c>
      <c r="J803" s="71">
        <f t="shared" si="72"/>
        <v>593.5</v>
      </c>
      <c r="K803" s="72">
        <v>0</v>
      </c>
      <c r="M803" s="58">
        <f>VLOOKUP(D803,'TABELA DE PRECOS'!B:C,2,0)</f>
        <v>593.5</v>
      </c>
    </row>
    <row r="804" spans="1:13" ht="15.75" customHeight="1" x14ac:dyDescent="0.25">
      <c r="A804" s="65">
        <v>31</v>
      </c>
      <c r="B804" s="84" t="s">
        <v>376</v>
      </c>
      <c r="C804" s="73">
        <v>1</v>
      </c>
      <c r="D804" s="85" t="s">
        <v>377</v>
      </c>
      <c r="E804" s="86" t="s">
        <v>131</v>
      </c>
      <c r="F804" s="85" t="s">
        <v>223</v>
      </c>
      <c r="G804" s="71">
        <f t="shared" si="69"/>
        <v>514.57000000000005</v>
      </c>
      <c r="H804" s="71">
        <f t="shared" si="70"/>
        <v>514.57000000000005</v>
      </c>
      <c r="I804" s="71">
        <f t="shared" si="71"/>
        <v>514.57000000000005</v>
      </c>
      <c r="J804" s="71">
        <f t="shared" si="72"/>
        <v>514.57000000000005</v>
      </c>
      <c r="K804" s="72">
        <v>0</v>
      </c>
      <c r="M804" s="58">
        <f>VLOOKUP(D804,'TABELA DE PRECOS'!B:C,2,0)</f>
        <v>514.57000000000005</v>
      </c>
    </row>
    <row r="805" spans="1:13" ht="15.75" customHeight="1" x14ac:dyDescent="0.25">
      <c r="A805" s="65">
        <v>32</v>
      </c>
      <c r="B805" s="84" t="s">
        <v>378</v>
      </c>
      <c r="C805" s="73">
        <v>2</v>
      </c>
      <c r="D805" s="85" t="s">
        <v>379</v>
      </c>
      <c r="E805" s="86" t="s">
        <v>131</v>
      </c>
      <c r="F805" s="85" t="s">
        <v>223</v>
      </c>
      <c r="G805" s="71">
        <f t="shared" si="69"/>
        <v>9.18</v>
      </c>
      <c r="H805" s="71">
        <f t="shared" si="70"/>
        <v>18.36</v>
      </c>
      <c r="I805" s="71">
        <f t="shared" si="71"/>
        <v>9.18</v>
      </c>
      <c r="J805" s="71">
        <f t="shared" si="72"/>
        <v>18.36</v>
      </c>
      <c r="K805" s="72">
        <v>0</v>
      </c>
      <c r="M805" s="58">
        <f>VLOOKUP(D805,'TABELA DE PRECOS'!B:C,2,0)</f>
        <v>9.18</v>
      </c>
    </row>
    <row r="806" spans="1:13" ht="15.75" customHeight="1" x14ac:dyDescent="0.25">
      <c r="A806" s="78"/>
      <c r="B806" s="79" t="s">
        <v>224</v>
      </c>
      <c r="C806" s="79">
        <f>SUM(C774:C805)</f>
        <v>35</v>
      </c>
      <c r="D806" s="79"/>
      <c r="E806" s="79"/>
      <c r="F806" s="79"/>
      <c r="G806" s="80"/>
      <c r="H806" s="80">
        <f>SUM(H774:H805)</f>
        <v>2498.6263200000003</v>
      </c>
      <c r="I806" s="79"/>
      <c r="J806" s="80">
        <f>SUM(J774:J805)</f>
        <v>2498.6263200000003</v>
      </c>
      <c r="K806" s="81"/>
      <c r="M806" s="58" t="e">
        <f>VLOOKUP(D806,'TABELA DE PRECOS'!B:C,2,0)</f>
        <v>#N/A</v>
      </c>
    </row>
    <row r="807" spans="1:13" ht="15.75" customHeight="1" x14ac:dyDescent="0.25">
      <c r="A807" s="56"/>
      <c r="B807" s="49" t="s">
        <v>15</v>
      </c>
      <c r="C807" s="57"/>
      <c r="G807" s="58"/>
      <c r="H807" s="58"/>
      <c r="I807" s="58"/>
      <c r="J807" s="58"/>
      <c r="K807" s="59"/>
      <c r="M807" s="58" t="e">
        <f>VLOOKUP(D807,'TABELA DE PRECOS'!B:C,2,0)</f>
        <v>#N/A</v>
      </c>
    </row>
    <row r="808" spans="1:13" ht="15.75" customHeight="1" x14ac:dyDescent="0.25">
      <c r="A808" s="56"/>
      <c r="B808" s="18" t="s">
        <v>924</v>
      </c>
      <c r="C808" s="57"/>
      <c r="G808" s="58"/>
      <c r="H808" s="58"/>
      <c r="I808" s="58"/>
      <c r="J808" s="58"/>
      <c r="K808" s="59"/>
      <c r="M808" s="58" t="e">
        <f>VLOOKUP(D808,'TABELA DE PRECOS'!B:C,2,0)</f>
        <v>#N/A</v>
      </c>
    </row>
    <row r="809" spans="1:13" ht="15.75" customHeight="1" x14ac:dyDescent="0.25">
      <c r="A809" s="18" t="s">
        <v>119</v>
      </c>
      <c r="B809" s="18" t="s">
        <v>120</v>
      </c>
      <c r="C809" s="18" t="s">
        <v>21</v>
      </c>
      <c r="D809" s="18" t="s">
        <v>121</v>
      </c>
      <c r="E809" s="60" t="s">
        <v>122</v>
      </c>
      <c r="F809" s="18" t="s">
        <v>123</v>
      </c>
      <c r="G809" s="61" t="s">
        <v>22</v>
      </c>
      <c r="H809" s="18" t="s">
        <v>23</v>
      </c>
      <c r="I809" s="18" t="s">
        <v>24</v>
      </c>
      <c r="J809" s="18" t="s">
        <v>25</v>
      </c>
      <c r="K809" s="62" t="s">
        <v>26</v>
      </c>
      <c r="M809" s="58" t="str">
        <f>VLOOKUP(D809,'TABELA DE PRECOS'!B:C,2,0)</f>
        <v>Valor Unit Bruto</v>
      </c>
    </row>
    <row r="810" spans="1:13" ht="15.75" customHeight="1" x14ac:dyDescent="0.25">
      <c r="A810" s="65">
        <v>1</v>
      </c>
      <c r="B810" s="84" t="s">
        <v>925</v>
      </c>
      <c r="C810" s="73">
        <v>1</v>
      </c>
      <c r="D810" s="85" t="s">
        <v>926</v>
      </c>
      <c r="E810" s="86" t="s">
        <v>131</v>
      </c>
      <c r="F810" s="85">
        <v>81897719002</v>
      </c>
      <c r="G810" s="71">
        <f t="shared" ref="G810:G842" si="73">M810</f>
        <v>216</v>
      </c>
      <c r="H810" s="71">
        <f t="shared" ref="H810:H842" si="74">G810*C810</f>
        <v>216</v>
      </c>
      <c r="I810" s="71">
        <f t="shared" ref="I810:I842" si="75">G810</f>
        <v>216</v>
      </c>
      <c r="J810" s="71">
        <f t="shared" ref="J810:J842" si="76">I810*C810</f>
        <v>216</v>
      </c>
      <c r="K810" s="72">
        <v>0</v>
      </c>
      <c r="M810" s="58">
        <f>VLOOKUP(D810,'TABELA DE PRECOS'!B:C,2,0)</f>
        <v>216</v>
      </c>
    </row>
    <row r="811" spans="1:13" ht="15.75" customHeight="1" x14ac:dyDescent="0.25">
      <c r="A811" s="65">
        <v>2</v>
      </c>
      <c r="B811" s="84" t="s">
        <v>927</v>
      </c>
      <c r="C811" s="73">
        <v>2</v>
      </c>
      <c r="D811" s="85" t="s">
        <v>928</v>
      </c>
      <c r="E811" s="86" t="s">
        <v>131</v>
      </c>
      <c r="F811" s="85">
        <v>81897719002</v>
      </c>
      <c r="G811" s="71">
        <f t="shared" si="73"/>
        <v>63.2</v>
      </c>
      <c r="H811" s="71">
        <f t="shared" si="74"/>
        <v>126.4</v>
      </c>
      <c r="I811" s="71">
        <f t="shared" si="75"/>
        <v>63.2</v>
      </c>
      <c r="J811" s="71">
        <f t="shared" si="76"/>
        <v>126.4</v>
      </c>
      <c r="K811" s="72">
        <v>0</v>
      </c>
      <c r="M811" s="58">
        <f>VLOOKUP(D811,'TABELA DE PRECOS'!B:C,2,0)</f>
        <v>63.2</v>
      </c>
    </row>
    <row r="812" spans="1:13" ht="15.75" customHeight="1" x14ac:dyDescent="0.25">
      <c r="A812" s="65">
        <v>3</v>
      </c>
      <c r="B812" s="104" t="s">
        <v>1636</v>
      </c>
      <c r="C812" s="82">
        <v>3</v>
      </c>
      <c r="D812" s="76">
        <v>10639</v>
      </c>
      <c r="E812" s="69" t="s">
        <v>439</v>
      </c>
      <c r="F812" s="85">
        <v>81087610003</v>
      </c>
      <c r="G812" s="71">
        <f t="shared" si="73"/>
        <v>11.99</v>
      </c>
      <c r="H812" s="71">
        <f t="shared" si="74"/>
        <v>35.97</v>
      </c>
      <c r="I812" s="71">
        <f t="shared" si="75"/>
        <v>11.99</v>
      </c>
      <c r="J812" s="71">
        <f t="shared" si="76"/>
        <v>35.97</v>
      </c>
      <c r="K812" s="72">
        <v>0</v>
      </c>
      <c r="M812" s="58">
        <f>VLOOKUP(D812,'TABELA DE PRECOS'!B:C,2,0)</f>
        <v>11.99</v>
      </c>
    </row>
    <row r="813" spans="1:13" ht="15.75" customHeight="1" x14ac:dyDescent="0.25">
      <c r="A813" s="65">
        <v>4</v>
      </c>
      <c r="B813" s="104" t="s">
        <v>1637</v>
      </c>
      <c r="C813" s="82">
        <v>3</v>
      </c>
      <c r="D813" s="76">
        <v>10641</v>
      </c>
      <c r="E813" s="69" t="s">
        <v>439</v>
      </c>
      <c r="F813" s="85">
        <v>81087610003</v>
      </c>
      <c r="G813" s="71">
        <f t="shared" si="73"/>
        <v>15.59</v>
      </c>
      <c r="H813" s="71">
        <f t="shared" si="74"/>
        <v>46.769999999999996</v>
      </c>
      <c r="I813" s="71">
        <f t="shared" si="75"/>
        <v>15.59</v>
      </c>
      <c r="J813" s="71">
        <f t="shared" si="76"/>
        <v>46.769999999999996</v>
      </c>
      <c r="K813" s="72">
        <v>0</v>
      </c>
      <c r="L813" s="63"/>
      <c r="M813" s="58">
        <f>VLOOKUP(D813,'TABELA DE PRECOS'!B:C,2,0)</f>
        <v>15.59</v>
      </c>
    </row>
    <row r="814" spans="1:13" ht="15.75" customHeight="1" x14ac:dyDescent="0.25">
      <c r="A814" s="65">
        <v>5</v>
      </c>
      <c r="B814" s="104" t="s">
        <v>1638</v>
      </c>
      <c r="C814" s="82">
        <v>3</v>
      </c>
      <c r="D814" s="76">
        <v>10645</v>
      </c>
      <c r="E814" s="69" t="s">
        <v>439</v>
      </c>
      <c r="F814" s="85">
        <v>81087610003</v>
      </c>
      <c r="G814" s="71">
        <f t="shared" si="73"/>
        <v>19.190000000000001</v>
      </c>
      <c r="H814" s="71">
        <f t="shared" si="74"/>
        <v>57.570000000000007</v>
      </c>
      <c r="I814" s="71">
        <f t="shared" si="75"/>
        <v>19.190000000000001</v>
      </c>
      <c r="J814" s="71">
        <f t="shared" si="76"/>
        <v>57.570000000000007</v>
      </c>
      <c r="K814" s="72">
        <v>0</v>
      </c>
      <c r="M814" s="58">
        <f>VLOOKUP(D814,'TABELA DE PRECOS'!B:C,2,0)</f>
        <v>19.190000000000001</v>
      </c>
    </row>
    <row r="815" spans="1:13" ht="15.75" customHeight="1" x14ac:dyDescent="0.25">
      <c r="A815" s="65">
        <v>6</v>
      </c>
      <c r="B815" s="66" t="s">
        <v>863</v>
      </c>
      <c r="C815" s="82">
        <v>1</v>
      </c>
      <c r="D815" s="76" t="s">
        <v>864</v>
      </c>
      <c r="E815" s="69" t="s">
        <v>131</v>
      </c>
      <c r="F815" s="85">
        <v>81897719002</v>
      </c>
      <c r="G815" s="71">
        <f t="shared" si="73"/>
        <v>38.409999999999997</v>
      </c>
      <c r="H815" s="71">
        <f t="shared" si="74"/>
        <v>38.409999999999997</v>
      </c>
      <c r="I815" s="71">
        <f t="shared" si="75"/>
        <v>38.409999999999997</v>
      </c>
      <c r="J815" s="71">
        <f t="shared" si="76"/>
        <v>38.409999999999997</v>
      </c>
      <c r="K815" s="72">
        <v>0</v>
      </c>
      <c r="M815" s="58">
        <f>VLOOKUP(D815,'TABELA DE PRECOS'!B:C,2,0)</f>
        <v>38.409999999999997</v>
      </c>
    </row>
    <row r="816" spans="1:13" ht="15.75" customHeight="1" x14ac:dyDescent="0.25">
      <c r="A816" s="65">
        <v>7</v>
      </c>
      <c r="B816" s="66" t="s">
        <v>476</v>
      </c>
      <c r="C816" s="82">
        <v>1</v>
      </c>
      <c r="D816" s="76" t="s">
        <v>477</v>
      </c>
      <c r="E816" s="69" t="s">
        <v>131</v>
      </c>
      <c r="F816" s="85">
        <v>81897719002</v>
      </c>
      <c r="G816" s="71">
        <f t="shared" si="73"/>
        <v>14.56128</v>
      </c>
      <c r="H816" s="71">
        <f t="shared" si="74"/>
        <v>14.56128</v>
      </c>
      <c r="I816" s="71">
        <f t="shared" si="75"/>
        <v>14.56128</v>
      </c>
      <c r="J816" s="71">
        <f t="shared" si="76"/>
        <v>14.56128</v>
      </c>
      <c r="K816" s="72">
        <v>0</v>
      </c>
      <c r="M816" s="58">
        <f>VLOOKUP(D816,'TABELA DE PRECOS'!B:C,2,0)</f>
        <v>14.56128</v>
      </c>
    </row>
    <row r="817" spans="1:13" ht="15.75" customHeight="1" x14ac:dyDescent="0.25">
      <c r="A817" s="65">
        <v>8</v>
      </c>
      <c r="B817" s="66" t="s">
        <v>330</v>
      </c>
      <c r="C817" s="82">
        <v>2</v>
      </c>
      <c r="D817" s="76" t="s">
        <v>331</v>
      </c>
      <c r="E817" s="69" t="s">
        <v>131</v>
      </c>
      <c r="F817" s="85">
        <v>81897719002</v>
      </c>
      <c r="G817" s="71">
        <f t="shared" si="73"/>
        <v>11.41</v>
      </c>
      <c r="H817" s="71">
        <f t="shared" si="74"/>
        <v>22.82</v>
      </c>
      <c r="I817" s="71">
        <f t="shared" si="75"/>
        <v>11.41</v>
      </c>
      <c r="J817" s="71">
        <f t="shared" si="76"/>
        <v>22.82</v>
      </c>
      <c r="K817" s="72">
        <v>0</v>
      </c>
      <c r="M817" s="58">
        <f>VLOOKUP(D817,'TABELA DE PRECOS'!B:C,2,0)</f>
        <v>11.41</v>
      </c>
    </row>
    <row r="818" spans="1:13" ht="15.75" customHeight="1" x14ac:dyDescent="0.25">
      <c r="A818" s="65">
        <v>9</v>
      </c>
      <c r="B818" s="66" t="s">
        <v>929</v>
      </c>
      <c r="C818" s="82">
        <v>6</v>
      </c>
      <c r="D818" s="76" t="s">
        <v>337</v>
      </c>
      <c r="E818" s="69" t="s">
        <v>131</v>
      </c>
      <c r="F818" s="85">
        <v>81897719002</v>
      </c>
      <c r="G818" s="71">
        <f t="shared" si="73"/>
        <v>34.79</v>
      </c>
      <c r="H818" s="71">
        <f t="shared" si="74"/>
        <v>208.74</v>
      </c>
      <c r="I818" s="71">
        <f t="shared" si="75"/>
        <v>34.79</v>
      </c>
      <c r="J818" s="71">
        <f t="shared" si="76"/>
        <v>208.74</v>
      </c>
      <c r="K818" s="72">
        <v>0</v>
      </c>
      <c r="M818" s="58">
        <f>VLOOKUP(D818,'TABELA DE PRECOS'!B:C,2,0)</f>
        <v>34.79</v>
      </c>
    </row>
    <row r="819" spans="1:13" ht="15.75" customHeight="1" x14ac:dyDescent="0.25">
      <c r="A819" s="65">
        <v>10</v>
      </c>
      <c r="B819" s="84" t="s">
        <v>930</v>
      </c>
      <c r="C819" s="73">
        <v>1</v>
      </c>
      <c r="D819" s="85" t="s">
        <v>931</v>
      </c>
      <c r="E819" s="86" t="s">
        <v>131</v>
      </c>
      <c r="F819" s="85">
        <v>81897719002</v>
      </c>
      <c r="G819" s="71">
        <f t="shared" si="73"/>
        <v>27</v>
      </c>
      <c r="H819" s="71">
        <f t="shared" si="74"/>
        <v>27</v>
      </c>
      <c r="I819" s="71">
        <f t="shared" si="75"/>
        <v>27</v>
      </c>
      <c r="J819" s="71">
        <f t="shared" si="76"/>
        <v>27</v>
      </c>
      <c r="K819" s="72">
        <v>0</v>
      </c>
      <c r="M819" s="58">
        <f>VLOOKUP(D819,'TABELA DE PRECOS'!B:C,2,0)</f>
        <v>27</v>
      </c>
    </row>
    <row r="820" spans="1:13" ht="15.75" customHeight="1" x14ac:dyDescent="0.25">
      <c r="A820" s="65">
        <v>11</v>
      </c>
      <c r="B820" s="84" t="s">
        <v>338</v>
      </c>
      <c r="C820" s="73">
        <v>1</v>
      </c>
      <c r="D820" s="85" t="s">
        <v>339</v>
      </c>
      <c r="E820" s="86" t="s">
        <v>131</v>
      </c>
      <c r="F820" s="85">
        <v>81897719002</v>
      </c>
      <c r="G820" s="71">
        <f t="shared" si="73"/>
        <v>26.31</v>
      </c>
      <c r="H820" s="71">
        <f t="shared" si="74"/>
        <v>26.31</v>
      </c>
      <c r="I820" s="71">
        <f t="shared" si="75"/>
        <v>26.31</v>
      </c>
      <c r="J820" s="71">
        <f t="shared" si="76"/>
        <v>26.31</v>
      </c>
      <c r="K820" s="72">
        <v>0</v>
      </c>
      <c r="M820" s="58">
        <f>VLOOKUP(D820,'TABELA DE PRECOS'!B:C,2,0)</f>
        <v>26.31</v>
      </c>
    </row>
    <row r="821" spans="1:13" ht="15.75" customHeight="1" x14ac:dyDescent="0.25">
      <c r="A821" s="65">
        <v>12</v>
      </c>
      <c r="B821" s="84" t="s">
        <v>342</v>
      </c>
      <c r="C821" s="73">
        <v>6</v>
      </c>
      <c r="D821" s="85" t="s">
        <v>343</v>
      </c>
      <c r="E821" s="86" t="s">
        <v>131</v>
      </c>
      <c r="F821" s="85">
        <v>81897719002</v>
      </c>
      <c r="G821" s="71">
        <f t="shared" si="73"/>
        <v>21.43</v>
      </c>
      <c r="H821" s="71">
        <f t="shared" si="74"/>
        <v>128.57999999999998</v>
      </c>
      <c r="I821" s="71">
        <f t="shared" si="75"/>
        <v>21.43</v>
      </c>
      <c r="J821" s="71">
        <f t="shared" si="76"/>
        <v>128.57999999999998</v>
      </c>
      <c r="K821" s="72">
        <v>0</v>
      </c>
      <c r="M821" s="58">
        <f>VLOOKUP(D821,'TABELA DE PRECOS'!B:C,2,0)</f>
        <v>21.43</v>
      </c>
    </row>
    <row r="822" spans="1:13" ht="15.75" customHeight="1" x14ac:dyDescent="0.25">
      <c r="A822" s="65">
        <v>13</v>
      </c>
      <c r="B822" s="84" t="s">
        <v>344</v>
      </c>
      <c r="C822" s="73">
        <v>6</v>
      </c>
      <c r="D822" s="85" t="s">
        <v>345</v>
      </c>
      <c r="E822" s="86" t="s">
        <v>131</v>
      </c>
      <c r="F822" s="85">
        <v>81897719002</v>
      </c>
      <c r="G822" s="71">
        <f t="shared" si="73"/>
        <v>18.12</v>
      </c>
      <c r="H822" s="71">
        <f t="shared" si="74"/>
        <v>108.72</v>
      </c>
      <c r="I822" s="71">
        <f t="shared" si="75"/>
        <v>18.12</v>
      </c>
      <c r="J822" s="71">
        <f t="shared" si="76"/>
        <v>108.72</v>
      </c>
      <c r="K822" s="72">
        <v>0</v>
      </c>
      <c r="M822" s="58">
        <f>VLOOKUP(D822,'TABELA DE PRECOS'!B:C,2,0)</f>
        <v>18.12</v>
      </c>
    </row>
    <row r="823" spans="1:13" ht="15.75" customHeight="1" x14ac:dyDescent="0.25">
      <c r="A823" s="65">
        <v>14</v>
      </c>
      <c r="B823" s="84" t="s">
        <v>193</v>
      </c>
      <c r="C823" s="73">
        <v>6</v>
      </c>
      <c r="D823" s="85" t="s">
        <v>194</v>
      </c>
      <c r="E823" s="86" t="s">
        <v>131</v>
      </c>
      <c r="F823" s="85">
        <v>81897719002</v>
      </c>
      <c r="G823" s="71">
        <f t="shared" si="73"/>
        <v>24.34432</v>
      </c>
      <c r="H823" s="71">
        <f t="shared" si="74"/>
        <v>146.06592000000001</v>
      </c>
      <c r="I823" s="71">
        <f t="shared" si="75"/>
        <v>24.34432</v>
      </c>
      <c r="J823" s="71">
        <f t="shared" si="76"/>
        <v>146.06592000000001</v>
      </c>
      <c r="K823" s="72">
        <v>0</v>
      </c>
      <c r="M823" s="58">
        <f>VLOOKUP(D823,'TABELA DE PRECOS'!B:C,2,0)</f>
        <v>24.34432</v>
      </c>
    </row>
    <row r="824" spans="1:13" ht="15.75" customHeight="1" x14ac:dyDescent="0.25">
      <c r="A824" s="65">
        <v>15</v>
      </c>
      <c r="B824" s="84" t="s">
        <v>354</v>
      </c>
      <c r="C824" s="73">
        <v>4</v>
      </c>
      <c r="D824" s="85" t="s">
        <v>355</v>
      </c>
      <c r="E824" s="86" t="s">
        <v>131</v>
      </c>
      <c r="F824" s="85">
        <v>81897719002</v>
      </c>
      <c r="G824" s="71">
        <f t="shared" si="73"/>
        <v>21.09</v>
      </c>
      <c r="H824" s="71">
        <f t="shared" si="74"/>
        <v>84.36</v>
      </c>
      <c r="I824" s="71">
        <f t="shared" si="75"/>
        <v>21.09</v>
      </c>
      <c r="J824" s="71">
        <f t="shared" si="76"/>
        <v>84.36</v>
      </c>
      <c r="K824" s="72">
        <v>0</v>
      </c>
      <c r="M824" s="58">
        <f>VLOOKUP(D824,'TABELA DE PRECOS'!B:C,2,0)</f>
        <v>21.09</v>
      </c>
    </row>
    <row r="825" spans="1:13" ht="15.75" customHeight="1" x14ac:dyDescent="0.25">
      <c r="A825" s="65">
        <v>16</v>
      </c>
      <c r="B825" s="84" t="s">
        <v>356</v>
      </c>
      <c r="C825" s="73">
        <v>4</v>
      </c>
      <c r="D825" s="85" t="s">
        <v>357</v>
      </c>
      <c r="E825" s="86" t="s">
        <v>131</v>
      </c>
      <c r="F825" s="85">
        <v>81897719002</v>
      </c>
      <c r="G825" s="71">
        <f t="shared" si="73"/>
        <v>19.04</v>
      </c>
      <c r="H825" s="71">
        <f t="shared" si="74"/>
        <v>76.16</v>
      </c>
      <c r="I825" s="71">
        <f t="shared" si="75"/>
        <v>19.04</v>
      </c>
      <c r="J825" s="71">
        <f t="shared" si="76"/>
        <v>76.16</v>
      </c>
      <c r="K825" s="72">
        <v>0</v>
      </c>
      <c r="M825" s="58">
        <f>VLOOKUP(D825,'TABELA DE PRECOS'!B:C,2,0)</f>
        <v>19.04</v>
      </c>
    </row>
    <row r="826" spans="1:13" ht="15.75" customHeight="1" x14ac:dyDescent="0.25">
      <c r="A826" s="65">
        <v>17</v>
      </c>
      <c r="B826" s="84" t="s">
        <v>932</v>
      </c>
      <c r="C826" s="73">
        <v>4</v>
      </c>
      <c r="D826" s="85" t="s">
        <v>933</v>
      </c>
      <c r="E826" s="86" t="s">
        <v>131</v>
      </c>
      <c r="F826" s="85">
        <v>81897719002</v>
      </c>
      <c r="G826" s="71">
        <f t="shared" si="73"/>
        <v>21.6</v>
      </c>
      <c r="H826" s="71">
        <f t="shared" si="74"/>
        <v>86.4</v>
      </c>
      <c r="I826" s="71">
        <f t="shared" si="75"/>
        <v>21.6</v>
      </c>
      <c r="J826" s="71">
        <f t="shared" si="76"/>
        <v>86.4</v>
      </c>
      <c r="K826" s="72">
        <v>0</v>
      </c>
      <c r="M826" s="58">
        <f>VLOOKUP(D826,'TABELA DE PRECOS'!B:C,2,0)</f>
        <v>21.6</v>
      </c>
    </row>
    <row r="827" spans="1:13" ht="15.75" customHeight="1" x14ac:dyDescent="0.25">
      <c r="A827" s="65">
        <v>18</v>
      </c>
      <c r="B827" s="84" t="s">
        <v>914</v>
      </c>
      <c r="C827" s="73">
        <v>1</v>
      </c>
      <c r="D827" s="85" t="s">
        <v>915</v>
      </c>
      <c r="E827" s="86" t="s">
        <v>131</v>
      </c>
      <c r="F827" s="85">
        <v>81897719002</v>
      </c>
      <c r="G827" s="71">
        <f t="shared" si="73"/>
        <v>26.65</v>
      </c>
      <c r="H827" s="71">
        <f t="shared" si="74"/>
        <v>26.65</v>
      </c>
      <c r="I827" s="71">
        <f t="shared" si="75"/>
        <v>26.65</v>
      </c>
      <c r="J827" s="71">
        <f t="shared" si="76"/>
        <v>26.65</v>
      </c>
      <c r="K827" s="72">
        <v>0</v>
      </c>
      <c r="M827" s="58">
        <f>VLOOKUP(D827,'TABELA DE PRECOS'!B:C,2,0)</f>
        <v>26.65</v>
      </c>
    </row>
    <row r="828" spans="1:13" ht="15.75" customHeight="1" x14ac:dyDescent="0.25">
      <c r="A828" s="65">
        <v>19</v>
      </c>
      <c r="B828" s="84" t="s">
        <v>326</v>
      </c>
      <c r="C828" s="73">
        <v>2</v>
      </c>
      <c r="D828" s="85" t="s">
        <v>327</v>
      </c>
      <c r="E828" s="86" t="s">
        <v>131</v>
      </c>
      <c r="F828" s="85">
        <v>81897719002</v>
      </c>
      <c r="G828" s="71">
        <f t="shared" si="73"/>
        <v>24.01</v>
      </c>
      <c r="H828" s="71">
        <f t="shared" si="74"/>
        <v>48.02</v>
      </c>
      <c r="I828" s="71">
        <f t="shared" si="75"/>
        <v>24.01</v>
      </c>
      <c r="J828" s="71">
        <f t="shared" si="76"/>
        <v>48.02</v>
      </c>
      <c r="K828" s="72">
        <v>0</v>
      </c>
      <c r="M828" s="58">
        <f>VLOOKUP(D828,'TABELA DE PRECOS'!B:C,2,0)</f>
        <v>24.01</v>
      </c>
    </row>
    <row r="829" spans="1:13" ht="15.75" customHeight="1" x14ac:dyDescent="0.25">
      <c r="A829" s="65">
        <v>20</v>
      </c>
      <c r="B829" s="84" t="s">
        <v>324</v>
      </c>
      <c r="C829" s="73">
        <v>2</v>
      </c>
      <c r="D829" s="85" t="s">
        <v>325</v>
      </c>
      <c r="E829" s="86" t="s">
        <v>131</v>
      </c>
      <c r="F829" s="85">
        <v>81897719002</v>
      </c>
      <c r="G829" s="71">
        <f t="shared" si="73"/>
        <v>23.7636</v>
      </c>
      <c r="H829" s="71">
        <f t="shared" si="74"/>
        <v>47.527200000000001</v>
      </c>
      <c r="I829" s="71">
        <f t="shared" si="75"/>
        <v>23.7636</v>
      </c>
      <c r="J829" s="71">
        <f t="shared" si="76"/>
        <v>47.527200000000001</v>
      </c>
      <c r="K829" s="72">
        <v>0</v>
      </c>
      <c r="M829" s="58">
        <f>VLOOKUP(D829,'TABELA DE PRECOS'!B:C,2,0)</f>
        <v>23.7636</v>
      </c>
    </row>
    <row r="830" spans="1:13" ht="15.75" customHeight="1" x14ac:dyDescent="0.25">
      <c r="A830" s="65">
        <v>21</v>
      </c>
      <c r="B830" s="84" t="s">
        <v>181</v>
      </c>
      <c r="C830" s="73">
        <v>2</v>
      </c>
      <c r="D830" s="85" t="s">
        <v>182</v>
      </c>
      <c r="E830" s="86" t="s">
        <v>131</v>
      </c>
      <c r="F830" s="85">
        <v>81897719002</v>
      </c>
      <c r="G830" s="71">
        <f t="shared" si="73"/>
        <v>29.989999999999995</v>
      </c>
      <c r="H830" s="71">
        <f t="shared" si="74"/>
        <v>59.97999999999999</v>
      </c>
      <c r="I830" s="71">
        <f t="shared" si="75"/>
        <v>29.989999999999995</v>
      </c>
      <c r="J830" s="71">
        <f t="shared" si="76"/>
        <v>59.97999999999999</v>
      </c>
      <c r="K830" s="72">
        <v>0</v>
      </c>
      <c r="M830" s="58">
        <f>VLOOKUP(D830,'TABELA DE PRECOS'!B:C,2,0)</f>
        <v>29.989999999999995</v>
      </c>
    </row>
    <row r="831" spans="1:13" ht="15.75" customHeight="1" x14ac:dyDescent="0.25">
      <c r="A831" s="65">
        <v>22</v>
      </c>
      <c r="B831" s="84" t="s">
        <v>207</v>
      </c>
      <c r="C831" s="73">
        <v>2</v>
      </c>
      <c r="D831" s="85" t="s">
        <v>208</v>
      </c>
      <c r="E831" s="86" t="s">
        <v>131</v>
      </c>
      <c r="F831" s="85">
        <v>81897719002</v>
      </c>
      <c r="G831" s="71">
        <f t="shared" si="73"/>
        <v>21.30752</v>
      </c>
      <c r="H831" s="71">
        <f t="shared" si="74"/>
        <v>42.61504</v>
      </c>
      <c r="I831" s="71">
        <f t="shared" si="75"/>
        <v>21.30752</v>
      </c>
      <c r="J831" s="71">
        <f t="shared" si="76"/>
        <v>42.61504</v>
      </c>
      <c r="K831" s="72">
        <v>0</v>
      </c>
      <c r="M831" s="58">
        <f>VLOOKUP(D831,'TABELA DE PRECOS'!B:C,2,0)</f>
        <v>21.30752</v>
      </c>
    </row>
    <row r="832" spans="1:13" ht="15.75" customHeight="1" x14ac:dyDescent="0.25">
      <c r="A832" s="65">
        <v>23</v>
      </c>
      <c r="B832" s="84" t="s">
        <v>934</v>
      </c>
      <c r="C832" s="73">
        <v>1</v>
      </c>
      <c r="D832" s="85" t="s">
        <v>935</v>
      </c>
      <c r="E832" s="86" t="s">
        <v>131</v>
      </c>
      <c r="F832" s="85">
        <v>81897719002</v>
      </c>
      <c r="G832" s="71">
        <f t="shared" si="73"/>
        <v>36</v>
      </c>
      <c r="H832" s="71">
        <f t="shared" si="74"/>
        <v>36</v>
      </c>
      <c r="I832" s="71">
        <f t="shared" si="75"/>
        <v>36</v>
      </c>
      <c r="J832" s="71">
        <f t="shared" si="76"/>
        <v>36</v>
      </c>
      <c r="K832" s="72">
        <v>0</v>
      </c>
      <c r="M832" s="58">
        <f>VLOOKUP(D832,'TABELA DE PRECOS'!B:C,2,0)</f>
        <v>36</v>
      </c>
    </row>
    <row r="833" spans="1:13" ht="15.75" customHeight="1" x14ac:dyDescent="0.25">
      <c r="A833" s="65">
        <v>24</v>
      </c>
      <c r="B833" t="s">
        <v>1634</v>
      </c>
      <c r="C833" s="73">
        <v>1</v>
      </c>
      <c r="D833" s="85" t="s">
        <v>937</v>
      </c>
      <c r="E833" s="86" t="s">
        <v>131</v>
      </c>
      <c r="F833" s="85">
        <v>81897719002</v>
      </c>
      <c r="G833" s="71">
        <f t="shared" si="73"/>
        <v>38.64</v>
      </c>
      <c r="H833" s="71">
        <f t="shared" si="74"/>
        <v>38.64</v>
      </c>
      <c r="I833" s="71">
        <f t="shared" si="75"/>
        <v>38.64</v>
      </c>
      <c r="J833" s="71">
        <f t="shared" si="76"/>
        <v>38.64</v>
      </c>
      <c r="K833" s="72">
        <v>0</v>
      </c>
      <c r="M833" s="58">
        <f>VLOOKUP(D833,'TABELA DE PRECOS'!B:C,2,0)</f>
        <v>38.64</v>
      </c>
    </row>
    <row r="834" spans="1:13" ht="15.75" customHeight="1" x14ac:dyDescent="0.25">
      <c r="A834" s="65">
        <v>25</v>
      </c>
      <c r="B834" s="84" t="s">
        <v>938</v>
      </c>
      <c r="C834" s="73">
        <v>1</v>
      </c>
      <c r="D834" s="85" t="s">
        <v>939</v>
      </c>
      <c r="E834" s="86" t="s">
        <v>131</v>
      </c>
      <c r="F834" s="85">
        <v>81897719002</v>
      </c>
      <c r="G834" s="71">
        <f t="shared" si="73"/>
        <v>63</v>
      </c>
      <c r="H834" s="71">
        <f t="shared" si="74"/>
        <v>63</v>
      </c>
      <c r="I834" s="71">
        <f t="shared" si="75"/>
        <v>63</v>
      </c>
      <c r="J834" s="71">
        <f t="shared" si="76"/>
        <v>63</v>
      </c>
      <c r="K834" s="72">
        <v>0</v>
      </c>
      <c r="M834" s="58">
        <f>VLOOKUP(D834,'TABELA DE PRECOS'!B:C,2,0)</f>
        <v>63</v>
      </c>
    </row>
    <row r="835" spans="1:13" ht="15.75" customHeight="1" x14ac:dyDescent="0.25">
      <c r="A835" s="65">
        <v>26</v>
      </c>
      <c r="B835" t="s">
        <v>1635</v>
      </c>
      <c r="C835" s="73">
        <v>1</v>
      </c>
      <c r="D835" s="85" t="s">
        <v>941</v>
      </c>
      <c r="E835" s="86" t="s">
        <v>131</v>
      </c>
      <c r="F835" s="85">
        <v>81897719002</v>
      </c>
      <c r="G835" s="71">
        <f t="shared" si="73"/>
        <v>24.01</v>
      </c>
      <c r="H835" s="71">
        <f t="shared" si="74"/>
        <v>24.01</v>
      </c>
      <c r="I835" s="71">
        <f t="shared" si="75"/>
        <v>24.01</v>
      </c>
      <c r="J835" s="71">
        <f t="shared" si="76"/>
        <v>24.01</v>
      </c>
      <c r="K835" s="72">
        <v>0</v>
      </c>
      <c r="M835" s="58">
        <f>VLOOKUP(D835,'TABELA DE PRECOS'!B:C,2,0)</f>
        <v>24.01</v>
      </c>
    </row>
    <row r="836" spans="1:13" ht="15.75" customHeight="1" x14ac:dyDescent="0.25">
      <c r="A836" s="65">
        <v>27</v>
      </c>
      <c r="B836" s="84" t="s">
        <v>942</v>
      </c>
      <c r="C836" s="73">
        <v>1</v>
      </c>
      <c r="D836" s="85" t="s">
        <v>943</v>
      </c>
      <c r="E836" s="86" t="s">
        <v>131</v>
      </c>
      <c r="F836" s="85">
        <v>81897719002</v>
      </c>
      <c r="G836" s="71">
        <f t="shared" si="73"/>
        <v>24.01</v>
      </c>
      <c r="H836" s="71">
        <f t="shared" si="74"/>
        <v>24.01</v>
      </c>
      <c r="I836" s="71">
        <f t="shared" si="75"/>
        <v>24.01</v>
      </c>
      <c r="J836" s="71">
        <f t="shared" si="76"/>
        <v>24.01</v>
      </c>
      <c r="K836" s="72">
        <v>0</v>
      </c>
      <c r="M836" s="58">
        <f>VLOOKUP(D836,'TABELA DE PRECOS'!B:C,2,0)</f>
        <v>24.01</v>
      </c>
    </row>
    <row r="837" spans="1:13" ht="15.75" customHeight="1" x14ac:dyDescent="0.25">
      <c r="A837" s="65">
        <v>28</v>
      </c>
      <c r="B837" s="84" t="s">
        <v>448</v>
      </c>
      <c r="C837" s="73">
        <v>1</v>
      </c>
      <c r="D837" s="85" t="s">
        <v>449</v>
      </c>
      <c r="E837" s="86" t="s">
        <v>131</v>
      </c>
      <c r="F837" s="85">
        <v>81897719002</v>
      </c>
      <c r="G837" s="71">
        <f t="shared" si="73"/>
        <v>17.28</v>
      </c>
      <c r="H837" s="71">
        <f t="shared" si="74"/>
        <v>17.28</v>
      </c>
      <c r="I837" s="71">
        <f t="shared" si="75"/>
        <v>17.28</v>
      </c>
      <c r="J837" s="71">
        <f t="shared" si="76"/>
        <v>17.28</v>
      </c>
      <c r="K837" s="72">
        <v>0</v>
      </c>
      <c r="M837" s="58">
        <f>VLOOKUP(D837,'TABELA DE PRECOS'!B:C,2,0)</f>
        <v>17.28</v>
      </c>
    </row>
    <row r="838" spans="1:13" ht="15.75" customHeight="1" x14ac:dyDescent="0.25">
      <c r="A838" s="65">
        <v>29</v>
      </c>
      <c r="B838" s="84" t="s">
        <v>944</v>
      </c>
      <c r="C838" s="73">
        <v>1</v>
      </c>
      <c r="D838" s="85" t="s">
        <v>945</v>
      </c>
      <c r="E838" s="86" t="s">
        <v>131</v>
      </c>
      <c r="F838" s="85">
        <v>81897719002</v>
      </c>
      <c r="G838" s="71">
        <f t="shared" si="73"/>
        <v>18.760000000000002</v>
      </c>
      <c r="H838" s="71">
        <f t="shared" si="74"/>
        <v>18.760000000000002</v>
      </c>
      <c r="I838" s="71">
        <f t="shared" si="75"/>
        <v>18.760000000000002</v>
      </c>
      <c r="J838" s="71">
        <f t="shared" si="76"/>
        <v>18.760000000000002</v>
      </c>
      <c r="K838" s="72">
        <v>0</v>
      </c>
      <c r="M838" s="58">
        <f>VLOOKUP(D838,'TABELA DE PRECOS'!B:C,2,0)</f>
        <v>18.760000000000002</v>
      </c>
    </row>
    <row r="839" spans="1:13" ht="15.75" customHeight="1" x14ac:dyDescent="0.25">
      <c r="A839" s="65">
        <v>30</v>
      </c>
      <c r="B839" s="84" t="s">
        <v>372</v>
      </c>
      <c r="C839" s="73">
        <v>1</v>
      </c>
      <c r="D839" s="85" t="s">
        <v>373</v>
      </c>
      <c r="E839" s="86" t="s">
        <v>131</v>
      </c>
      <c r="F839" s="76" t="s">
        <v>223</v>
      </c>
      <c r="G839" s="71">
        <f t="shared" si="73"/>
        <v>452.16</v>
      </c>
      <c r="H839" s="71">
        <f t="shared" si="74"/>
        <v>452.16</v>
      </c>
      <c r="I839" s="71">
        <f t="shared" si="75"/>
        <v>452.16</v>
      </c>
      <c r="J839" s="71">
        <f t="shared" si="76"/>
        <v>452.16</v>
      </c>
      <c r="K839" s="72">
        <v>0</v>
      </c>
      <c r="M839" s="58">
        <f>VLOOKUP(D839,'TABELA DE PRECOS'!B:C,2,0)</f>
        <v>452.16</v>
      </c>
    </row>
    <row r="840" spans="1:13" ht="15.75" customHeight="1" x14ac:dyDescent="0.25">
      <c r="A840" s="65">
        <v>31</v>
      </c>
      <c r="B840" s="84" t="s">
        <v>374</v>
      </c>
      <c r="C840" s="73">
        <v>1</v>
      </c>
      <c r="D840" s="85" t="s">
        <v>375</v>
      </c>
      <c r="E840" s="86" t="s">
        <v>131</v>
      </c>
      <c r="F840" s="85" t="s">
        <v>223</v>
      </c>
      <c r="G840" s="71">
        <f t="shared" si="73"/>
        <v>640.15991999999994</v>
      </c>
      <c r="H840" s="71">
        <f t="shared" si="74"/>
        <v>640.15991999999994</v>
      </c>
      <c r="I840" s="71">
        <f t="shared" si="75"/>
        <v>640.15991999999994</v>
      </c>
      <c r="J840" s="71">
        <f t="shared" si="76"/>
        <v>640.15991999999994</v>
      </c>
      <c r="K840" s="72">
        <v>0</v>
      </c>
      <c r="M840" s="58">
        <f>VLOOKUP(D840,'TABELA DE PRECOS'!B:C,2,0)</f>
        <v>640.15991999999994</v>
      </c>
    </row>
    <row r="841" spans="1:13" ht="15.75" customHeight="1" x14ac:dyDescent="0.25">
      <c r="A841" s="65">
        <v>32</v>
      </c>
      <c r="B841" s="84" t="s">
        <v>376</v>
      </c>
      <c r="C841" s="73">
        <v>1</v>
      </c>
      <c r="D841" s="85" t="s">
        <v>377</v>
      </c>
      <c r="E841" s="86" t="s">
        <v>131</v>
      </c>
      <c r="F841" s="85" t="s">
        <v>223</v>
      </c>
      <c r="G841" s="71">
        <f t="shared" si="73"/>
        <v>514.57000000000005</v>
      </c>
      <c r="H841" s="71">
        <f t="shared" si="74"/>
        <v>514.57000000000005</v>
      </c>
      <c r="I841" s="71">
        <f t="shared" si="75"/>
        <v>514.57000000000005</v>
      </c>
      <c r="J841" s="71">
        <f t="shared" si="76"/>
        <v>514.57000000000005</v>
      </c>
      <c r="K841" s="72">
        <v>0</v>
      </c>
      <c r="M841" s="58">
        <f>VLOOKUP(D841,'TABELA DE PRECOS'!B:C,2,0)</f>
        <v>514.57000000000005</v>
      </c>
    </row>
    <row r="842" spans="1:13" ht="14.25" customHeight="1" x14ac:dyDescent="0.25">
      <c r="A842" s="65">
        <v>33</v>
      </c>
      <c r="B842" s="84" t="s">
        <v>378</v>
      </c>
      <c r="C842" s="73">
        <v>2</v>
      </c>
      <c r="D842" s="85" t="s">
        <v>379</v>
      </c>
      <c r="E842" s="86" t="s">
        <v>131</v>
      </c>
      <c r="F842" s="85" t="s">
        <v>223</v>
      </c>
      <c r="G842" s="71">
        <f t="shared" si="73"/>
        <v>9.18</v>
      </c>
      <c r="H842" s="71">
        <f t="shared" si="74"/>
        <v>18.36</v>
      </c>
      <c r="I842" s="71">
        <f t="shared" si="75"/>
        <v>9.18</v>
      </c>
      <c r="J842" s="71">
        <f t="shared" si="76"/>
        <v>18.36</v>
      </c>
      <c r="K842" s="72">
        <v>0</v>
      </c>
      <c r="M842" s="58">
        <f>VLOOKUP(D842,'TABELA DE PRECOS'!B:C,2,0)</f>
        <v>9.18</v>
      </c>
    </row>
    <row r="843" spans="1:13" ht="15.75" customHeight="1" x14ac:dyDescent="0.25">
      <c r="A843" s="78"/>
      <c r="B843" s="79" t="s">
        <v>224</v>
      </c>
      <c r="C843" s="79">
        <f>SUM(C810:C842)</f>
        <v>75</v>
      </c>
      <c r="D843" s="79"/>
      <c r="E843" s="79"/>
      <c r="F843" s="79"/>
      <c r="G843" s="80"/>
      <c r="H843" s="80">
        <f>SUM(H810:H842)</f>
        <v>3522.5793600000006</v>
      </c>
      <c r="I843" s="79"/>
      <c r="J843" s="80">
        <f>SUM(J810:J842)</f>
        <v>3522.5793600000006</v>
      </c>
      <c r="K843" s="81"/>
      <c r="M843" s="58" t="e">
        <f>VLOOKUP(D843,'TABELA DE PRECOS'!B:C,2,0)</f>
        <v>#N/A</v>
      </c>
    </row>
    <row r="844" spans="1:13" ht="14.25" customHeight="1" x14ac:dyDescent="0.25">
      <c r="A844" s="56"/>
      <c r="B844" s="49" t="s">
        <v>15</v>
      </c>
      <c r="C844" s="57"/>
      <c r="G844" s="58"/>
      <c r="H844" s="58"/>
      <c r="I844" s="58"/>
      <c r="J844" s="58"/>
      <c r="K844" s="59"/>
      <c r="M844" s="58" t="e">
        <f>VLOOKUP(D844,'TABELA DE PRECOS'!B:C,2,0)</f>
        <v>#N/A</v>
      </c>
    </row>
    <row r="845" spans="1:13" ht="15.75" customHeight="1" x14ac:dyDescent="0.25">
      <c r="A845" s="56"/>
      <c r="B845" s="18" t="s">
        <v>946</v>
      </c>
      <c r="C845" s="57"/>
      <c r="G845" s="58"/>
      <c r="H845" s="58"/>
      <c r="I845" s="58"/>
      <c r="J845" s="58"/>
      <c r="K845" s="59"/>
      <c r="M845" s="58" t="e">
        <f>VLOOKUP(D845,'TABELA DE PRECOS'!B:C,2,0)</f>
        <v>#N/A</v>
      </c>
    </row>
    <row r="846" spans="1:13" ht="15.75" customHeight="1" x14ac:dyDescent="0.25">
      <c r="A846" s="18" t="s">
        <v>119</v>
      </c>
      <c r="B846" s="18" t="s">
        <v>120</v>
      </c>
      <c r="C846" s="18" t="s">
        <v>21</v>
      </c>
      <c r="D846" s="18" t="s">
        <v>121</v>
      </c>
      <c r="E846" s="60" t="s">
        <v>122</v>
      </c>
      <c r="F846" s="18" t="s">
        <v>123</v>
      </c>
      <c r="G846" s="61" t="s">
        <v>22</v>
      </c>
      <c r="H846" s="18" t="s">
        <v>23</v>
      </c>
      <c r="I846" s="18" t="s">
        <v>24</v>
      </c>
      <c r="J846" s="18" t="s">
        <v>25</v>
      </c>
      <c r="K846" s="62" t="s">
        <v>26</v>
      </c>
      <c r="M846" s="58" t="str">
        <f>VLOOKUP(D846,'TABELA DE PRECOS'!B:C,2,0)</f>
        <v>Valor Unit Bruto</v>
      </c>
    </row>
    <row r="847" spans="1:13" ht="15.75" customHeight="1" x14ac:dyDescent="0.25">
      <c r="A847" s="65">
        <v>1</v>
      </c>
      <c r="B847" s="66" t="s">
        <v>938</v>
      </c>
      <c r="C847" s="82">
        <v>1</v>
      </c>
      <c r="D847" s="76" t="s">
        <v>939</v>
      </c>
      <c r="E847" s="69" t="s">
        <v>131</v>
      </c>
      <c r="F847" s="76">
        <v>81897719002</v>
      </c>
      <c r="G847" s="71">
        <f t="shared" ref="G847:G871" si="77">M847</f>
        <v>63</v>
      </c>
      <c r="H847" s="71">
        <f t="shared" ref="H847:H871" si="78">G847*C847</f>
        <v>63</v>
      </c>
      <c r="I847" s="71">
        <f t="shared" ref="I847:I871" si="79">G847</f>
        <v>63</v>
      </c>
      <c r="J847" s="71">
        <f t="shared" ref="J847:J871" si="80">I847*C847</f>
        <v>63</v>
      </c>
      <c r="K847" s="72">
        <v>0</v>
      </c>
      <c r="M847" s="58">
        <f>VLOOKUP(D847,'TABELA DE PRECOS'!B:C,2,0)</f>
        <v>63</v>
      </c>
    </row>
    <row r="848" spans="1:13" ht="15.75" customHeight="1" x14ac:dyDescent="0.25">
      <c r="A848" s="65">
        <v>2</v>
      </c>
      <c r="B848" s="66" t="s">
        <v>133</v>
      </c>
      <c r="C848" s="82">
        <v>2</v>
      </c>
      <c r="D848" s="76" t="s">
        <v>134</v>
      </c>
      <c r="E848" s="69" t="s">
        <v>131</v>
      </c>
      <c r="F848" s="76">
        <v>81897719002</v>
      </c>
      <c r="G848" s="71">
        <f t="shared" si="77"/>
        <v>17.19688</v>
      </c>
      <c r="H848" s="71">
        <f t="shared" si="78"/>
        <v>34.39376</v>
      </c>
      <c r="I848" s="71">
        <f t="shared" si="79"/>
        <v>17.19688</v>
      </c>
      <c r="J848" s="71">
        <f t="shared" si="80"/>
        <v>34.39376</v>
      </c>
      <c r="K848" s="72">
        <v>0</v>
      </c>
      <c r="M848" s="58">
        <f>VLOOKUP(D848,'TABELA DE PRECOS'!B:C,2,0)</f>
        <v>17.19688</v>
      </c>
    </row>
    <row r="849" spans="1:13" ht="15.75" customHeight="1" x14ac:dyDescent="0.25">
      <c r="A849" s="65">
        <v>3</v>
      </c>
      <c r="B849" s="66" t="s">
        <v>296</v>
      </c>
      <c r="C849" s="82">
        <v>1</v>
      </c>
      <c r="D849" s="76" t="s">
        <v>297</v>
      </c>
      <c r="E849" s="69" t="s">
        <v>131</v>
      </c>
      <c r="F849" s="76">
        <v>81897719002</v>
      </c>
      <c r="G849" s="71">
        <f t="shared" si="77"/>
        <v>57.032640000000001</v>
      </c>
      <c r="H849" s="71">
        <f t="shared" si="78"/>
        <v>57.032640000000001</v>
      </c>
      <c r="I849" s="71">
        <f t="shared" si="79"/>
        <v>57.032640000000001</v>
      </c>
      <c r="J849" s="71">
        <f t="shared" si="80"/>
        <v>57.032640000000001</v>
      </c>
      <c r="K849" s="72">
        <v>0</v>
      </c>
      <c r="M849" s="58">
        <f>VLOOKUP(D849,'TABELA DE PRECOS'!B:C,2,0)</f>
        <v>57.032640000000001</v>
      </c>
    </row>
    <row r="850" spans="1:13" ht="15.75" customHeight="1" x14ac:dyDescent="0.25">
      <c r="A850" s="65">
        <v>4</v>
      </c>
      <c r="B850" s="66" t="s">
        <v>925</v>
      </c>
      <c r="C850" s="82">
        <v>1</v>
      </c>
      <c r="D850" s="76" t="s">
        <v>926</v>
      </c>
      <c r="E850" s="69" t="s">
        <v>131</v>
      </c>
      <c r="F850" s="76">
        <v>81897719002</v>
      </c>
      <c r="G850" s="71">
        <f t="shared" si="77"/>
        <v>216</v>
      </c>
      <c r="H850" s="71">
        <f t="shared" si="78"/>
        <v>216</v>
      </c>
      <c r="I850" s="71">
        <f t="shared" si="79"/>
        <v>216</v>
      </c>
      <c r="J850" s="71">
        <f t="shared" si="80"/>
        <v>216</v>
      </c>
      <c r="K850" s="72">
        <v>0</v>
      </c>
      <c r="M850" s="58">
        <f>VLOOKUP(D850,'TABELA DE PRECOS'!B:C,2,0)</f>
        <v>216</v>
      </c>
    </row>
    <row r="851" spans="1:13" ht="15.75" customHeight="1" x14ac:dyDescent="0.25">
      <c r="A851" s="65">
        <v>5</v>
      </c>
      <c r="B851" s="66" t="s">
        <v>304</v>
      </c>
      <c r="C851" s="82">
        <v>1</v>
      </c>
      <c r="D851" s="76" t="s">
        <v>305</v>
      </c>
      <c r="E851" s="69" t="s">
        <v>131</v>
      </c>
      <c r="F851" s="76" t="s">
        <v>223</v>
      </c>
      <c r="G851" s="71">
        <f t="shared" si="77"/>
        <v>5.2653600000000003</v>
      </c>
      <c r="H851" s="71">
        <f t="shared" si="78"/>
        <v>5.2653600000000003</v>
      </c>
      <c r="I851" s="71">
        <f t="shared" si="79"/>
        <v>5.2653600000000003</v>
      </c>
      <c r="J851" s="71">
        <f t="shared" si="80"/>
        <v>5.2653600000000003</v>
      </c>
      <c r="K851" s="72">
        <v>0</v>
      </c>
      <c r="L851" s="63"/>
      <c r="M851" s="58">
        <f>VLOOKUP(D851,'TABELA DE PRECOS'!B:C,2,0)</f>
        <v>5.2653600000000003</v>
      </c>
    </row>
    <row r="852" spans="1:13" ht="15.75" customHeight="1" x14ac:dyDescent="0.25">
      <c r="A852" s="65">
        <v>6</v>
      </c>
      <c r="B852" s="66" t="s">
        <v>183</v>
      </c>
      <c r="C852" s="82">
        <v>1</v>
      </c>
      <c r="D852" s="76" t="s">
        <v>184</v>
      </c>
      <c r="E852" s="69" t="s">
        <v>131</v>
      </c>
      <c r="F852" s="76">
        <v>81897719002</v>
      </c>
      <c r="G852" s="71">
        <f t="shared" si="77"/>
        <v>40.79</v>
      </c>
      <c r="H852" s="71">
        <f t="shared" si="78"/>
        <v>40.79</v>
      </c>
      <c r="I852" s="71">
        <f t="shared" si="79"/>
        <v>40.79</v>
      </c>
      <c r="J852" s="71">
        <f t="shared" si="80"/>
        <v>40.79</v>
      </c>
      <c r="K852" s="72">
        <v>0</v>
      </c>
      <c r="M852" s="58">
        <f>VLOOKUP(D852,'TABELA DE PRECOS'!B:C,2,0)</f>
        <v>40.79</v>
      </c>
    </row>
    <row r="853" spans="1:13" ht="15.75" customHeight="1" x14ac:dyDescent="0.25">
      <c r="A853" s="65">
        <v>7</v>
      </c>
      <c r="B853" s="66" t="s">
        <v>679</v>
      </c>
      <c r="C853" s="82">
        <v>1</v>
      </c>
      <c r="D853" s="76" t="s">
        <v>680</v>
      </c>
      <c r="E853" s="69" t="s">
        <v>131</v>
      </c>
      <c r="F853" s="76">
        <v>81897719002</v>
      </c>
      <c r="G853" s="71">
        <f t="shared" si="77"/>
        <v>10.19</v>
      </c>
      <c r="H853" s="71">
        <f t="shared" si="78"/>
        <v>10.19</v>
      </c>
      <c r="I853" s="71">
        <f t="shared" si="79"/>
        <v>10.19</v>
      </c>
      <c r="J853" s="71">
        <f t="shared" si="80"/>
        <v>10.19</v>
      </c>
      <c r="K853" s="72">
        <v>0</v>
      </c>
      <c r="M853" s="58">
        <f>VLOOKUP(D853,'TABELA DE PRECOS'!B:C,2,0)</f>
        <v>10.19</v>
      </c>
    </row>
    <row r="854" spans="1:13" ht="15.75" customHeight="1" x14ac:dyDescent="0.25">
      <c r="A854" s="65">
        <v>8</v>
      </c>
      <c r="B854" s="66" t="s">
        <v>455</v>
      </c>
      <c r="C854" s="82">
        <v>1</v>
      </c>
      <c r="D854" s="76" t="s">
        <v>456</v>
      </c>
      <c r="E854" s="69" t="s">
        <v>131</v>
      </c>
      <c r="F854" s="76">
        <v>81897719002</v>
      </c>
      <c r="G854" s="71">
        <f t="shared" si="77"/>
        <v>8.3699999999999992</v>
      </c>
      <c r="H854" s="71">
        <f t="shared" si="78"/>
        <v>8.3699999999999992</v>
      </c>
      <c r="I854" s="71">
        <f t="shared" si="79"/>
        <v>8.3699999999999992</v>
      </c>
      <c r="J854" s="71">
        <f t="shared" si="80"/>
        <v>8.3699999999999992</v>
      </c>
      <c r="K854" s="72">
        <v>0</v>
      </c>
      <c r="M854" s="58">
        <f>VLOOKUP(D854,'TABELA DE PRECOS'!B:C,2,0)</f>
        <v>8.3699999999999992</v>
      </c>
    </row>
    <row r="855" spans="1:13" ht="15.75" customHeight="1" x14ac:dyDescent="0.25">
      <c r="A855" s="65">
        <v>9</v>
      </c>
      <c r="B855" s="66" t="s">
        <v>338</v>
      </c>
      <c r="C855" s="82">
        <v>1</v>
      </c>
      <c r="D855" s="76" t="s">
        <v>339</v>
      </c>
      <c r="E855" s="69" t="s">
        <v>131</v>
      </c>
      <c r="F855" s="76">
        <v>81897719002</v>
      </c>
      <c r="G855" s="71">
        <f t="shared" si="77"/>
        <v>26.31</v>
      </c>
      <c r="H855" s="71">
        <f t="shared" si="78"/>
        <v>26.31</v>
      </c>
      <c r="I855" s="71">
        <f t="shared" si="79"/>
        <v>26.31</v>
      </c>
      <c r="J855" s="71">
        <f t="shared" si="80"/>
        <v>26.31</v>
      </c>
      <c r="K855" s="72">
        <v>0</v>
      </c>
      <c r="M855" s="58">
        <f>VLOOKUP(D855,'TABELA DE PRECOS'!B:C,2,0)</f>
        <v>26.31</v>
      </c>
    </row>
    <row r="856" spans="1:13" ht="15.75" customHeight="1" x14ac:dyDescent="0.25">
      <c r="A856" s="65">
        <v>10</v>
      </c>
      <c r="B856" s="66" t="s">
        <v>324</v>
      </c>
      <c r="C856" s="82">
        <v>6</v>
      </c>
      <c r="D856" s="76" t="s">
        <v>325</v>
      </c>
      <c r="E856" s="69" t="s">
        <v>131</v>
      </c>
      <c r="F856" s="76">
        <v>81897719002</v>
      </c>
      <c r="G856" s="71">
        <f t="shared" si="77"/>
        <v>23.7636</v>
      </c>
      <c r="H856" s="71">
        <f t="shared" si="78"/>
        <v>142.58160000000001</v>
      </c>
      <c r="I856" s="71">
        <f t="shared" si="79"/>
        <v>23.7636</v>
      </c>
      <c r="J856" s="71">
        <f t="shared" si="80"/>
        <v>142.58160000000001</v>
      </c>
      <c r="K856" s="72">
        <v>0</v>
      </c>
      <c r="M856" s="58">
        <f>VLOOKUP(D856,'TABELA DE PRECOS'!B:C,2,0)</f>
        <v>23.7636</v>
      </c>
    </row>
    <row r="857" spans="1:13" ht="15.75" customHeight="1" x14ac:dyDescent="0.25">
      <c r="A857" s="65">
        <v>11</v>
      </c>
      <c r="B857" s="66" t="s">
        <v>185</v>
      </c>
      <c r="C857" s="82">
        <v>4</v>
      </c>
      <c r="D857" s="76" t="s">
        <v>186</v>
      </c>
      <c r="E857" s="69" t="s">
        <v>131</v>
      </c>
      <c r="F857" s="76">
        <v>81897719002</v>
      </c>
      <c r="G857" s="71">
        <f t="shared" si="77"/>
        <v>17.28</v>
      </c>
      <c r="H857" s="71">
        <f t="shared" si="78"/>
        <v>69.12</v>
      </c>
      <c r="I857" s="71">
        <f t="shared" si="79"/>
        <v>17.28</v>
      </c>
      <c r="J857" s="71">
        <f t="shared" si="80"/>
        <v>69.12</v>
      </c>
      <c r="K857" s="72">
        <v>0</v>
      </c>
      <c r="M857" s="58">
        <f>VLOOKUP(D857,'TABELA DE PRECOS'!B:C,2,0)</f>
        <v>17.28</v>
      </c>
    </row>
    <row r="858" spans="1:13" ht="14.25" customHeight="1" x14ac:dyDescent="0.25">
      <c r="A858" s="65">
        <v>12</v>
      </c>
      <c r="B858" s="66" t="s">
        <v>342</v>
      </c>
      <c r="C858" s="82">
        <v>4</v>
      </c>
      <c r="D858" s="76" t="s">
        <v>343</v>
      </c>
      <c r="E858" s="69" t="s">
        <v>131</v>
      </c>
      <c r="F858" s="76">
        <v>81897719002</v>
      </c>
      <c r="G858" s="71">
        <f t="shared" si="77"/>
        <v>21.43</v>
      </c>
      <c r="H858" s="71">
        <f t="shared" si="78"/>
        <v>85.72</v>
      </c>
      <c r="I858" s="71">
        <f t="shared" si="79"/>
        <v>21.43</v>
      </c>
      <c r="J858" s="71">
        <f t="shared" si="80"/>
        <v>85.72</v>
      </c>
      <c r="K858" s="72">
        <v>0</v>
      </c>
      <c r="M858" s="58">
        <f>VLOOKUP(D858,'TABELA DE PRECOS'!B:C,2,0)</f>
        <v>21.43</v>
      </c>
    </row>
    <row r="859" spans="1:13" ht="15.75" customHeight="1" x14ac:dyDescent="0.25">
      <c r="A859" s="65">
        <v>13</v>
      </c>
      <c r="B859" s="66" t="s">
        <v>344</v>
      </c>
      <c r="C859" s="82">
        <v>4</v>
      </c>
      <c r="D859" s="76" t="s">
        <v>345</v>
      </c>
      <c r="E859" s="69" t="s">
        <v>131</v>
      </c>
      <c r="F859" s="76">
        <v>81897719002</v>
      </c>
      <c r="G859" s="71">
        <f t="shared" si="77"/>
        <v>18.12</v>
      </c>
      <c r="H859" s="71">
        <f t="shared" si="78"/>
        <v>72.48</v>
      </c>
      <c r="I859" s="71">
        <f t="shared" si="79"/>
        <v>18.12</v>
      </c>
      <c r="J859" s="71">
        <f t="shared" si="80"/>
        <v>72.48</v>
      </c>
      <c r="K859" s="72">
        <v>0</v>
      </c>
      <c r="M859" s="58">
        <f>VLOOKUP(D859,'TABELA DE PRECOS'!B:C,2,0)</f>
        <v>18.12</v>
      </c>
    </row>
    <row r="860" spans="1:13" ht="15.75" customHeight="1" x14ac:dyDescent="0.25">
      <c r="A860" s="65">
        <v>14</v>
      </c>
      <c r="B860" s="66" t="s">
        <v>352</v>
      </c>
      <c r="C860" s="82">
        <v>4</v>
      </c>
      <c r="D860" s="76" t="s">
        <v>353</v>
      </c>
      <c r="E860" s="69" t="s">
        <v>131</v>
      </c>
      <c r="F860" s="76">
        <v>81897719002</v>
      </c>
      <c r="G860" s="71">
        <f t="shared" si="77"/>
        <v>18.77</v>
      </c>
      <c r="H860" s="71">
        <f t="shared" si="78"/>
        <v>75.08</v>
      </c>
      <c r="I860" s="71">
        <f t="shared" si="79"/>
        <v>18.77</v>
      </c>
      <c r="J860" s="71">
        <f t="shared" si="80"/>
        <v>75.08</v>
      </c>
      <c r="K860" s="72">
        <v>0</v>
      </c>
      <c r="M860" s="58">
        <f>VLOOKUP(D860,'TABELA DE PRECOS'!B:C,2,0)</f>
        <v>18.77</v>
      </c>
    </row>
    <row r="861" spans="1:13" ht="15.75" customHeight="1" x14ac:dyDescent="0.25">
      <c r="A861" s="65">
        <v>15</v>
      </c>
      <c r="B861" s="66" t="s">
        <v>326</v>
      </c>
      <c r="C861" s="82">
        <v>2</v>
      </c>
      <c r="D861" s="76" t="s">
        <v>327</v>
      </c>
      <c r="E861" s="69" t="s">
        <v>131</v>
      </c>
      <c r="F861" s="76">
        <v>81897719002</v>
      </c>
      <c r="G861" s="71">
        <f t="shared" si="77"/>
        <v>24.01</v>
      </c>
      <c r="H861" s="71">
        <f t="shared" si="78"/>
        <v>48.02</v>
      </c>
      <c r="I861" s="71">
        <f t="shared" si="79"/>
        <v>24.01</v>
      </c>
      <c r="J861" s="71">
        <f t="shared" si="80"/>
        <v>48.02</v>
      </c>
      <c r="K861" s="72">
        <v>0</v>
      </c>
      <c r="M861" s="58">
        <f>VLOOKUP(D861,'TABELA DE PRECOS'!B:C,2,0)</f>
        <v>24.01</v>
      </c>
    </row>
    <row r="862" spans="1:13" ht="15.75" customHeight="1" x14ac:dyDescent="0.25">
      <c r="A862" s="65">
        <v>16</v>
      </c>
      <c r="B862" s="66" t="s">
        <v>324</v>
      </c>
      <c r="C862" s="82">
        <v>2</v>
      </c>
      <c r="D862" s="76" t="s">
        <v>325</v>
      </c>
      <c r="E862" s="69" t="s">
        <v>131</v>
      </c>
      <c r="F862" s="76">
        <v>81897719002</v>
      </c>
      <c r="G862" s="71">
        <f t="shared" si="77"/>
        <v>23.7636</v>
      </c>
      <c r="H862" s="71">
        <f t="shared" si="78"/>
        <v>47.527200000000001</v>
      </c>
      <c r="I862" s="71">
        <f t="shared" si="79"/>
        <v>23.7636</v>
      </c>
      <c r="J862" s="71">
        <f t="shared" si="80"/>
        <v>47.527200000000001</v>
      </c>
      <c r="K862" s="72">
        <v>0</v>
      </c>
      <c r="M862" s="58">
        <f>VLOOKUP(D862,'TABELA DE PRECOS'!B:C,2,0)</f>
        <v>23.7636</v>
      </c>
    </row>
    <row r="863" spans="1:13" ht="15.75" customHeight="1" x14ac:dyDescent="0.25">
      <c r="A863" s="65">
        <v>17</v>
      </c>
      <c r="B863" s="66" t="s">
        <v>181</v>
      </c>
      <c r="C863" s="82">
        <v>2</v>
      </c>
      <c r="D863" s="76" t="s">
        <v>182</v>
      </c>
      <c r="E863" s="69" t="s">
        <v>131</v>
      </c>
      <c r="F863" s="76">
        <v>81897719002</v>
      </c>
      <c r="G863" s="71">
        <f t="shared" si="77"/>
        <v>29.989999999999995</v>
      </c>
      <c r="H863" s="71">
        <f t="shared" si="78"/>
        <v>59.97999999999999</v>
      </c>
      <c r="I863" s="71">
        <f t="shared" si="79"/>
        <v>29.989999999999995</v>
      </c>
      <c r="J863" s="71">
        <f t="shared" si="80"/>
        <v>59.97999999999999</v>
      </c>
      <c r="K863" s="72">
        <v>0</v>
      </c>
      <c r="M863" s="58">
        <f>VLOOKUP(D863,'TABELA DE PRECOS'!B:C,2,0)</f>
        <v>29.989999999999995</v>
      </c>
    </row>
    <row r="864" spans="1:13" ht="15.75" customHeight="1" x14ac:dyDescent="0.25">
      <c r="A864" s="65">
        <v>18</v>
      </c>
      <c r="B864" s="66" t="s">
        <v>207</v>
      </c>
      <c r="C864" s="82">
        <v>2</v>
      </c>
      <c r="D864" s="66" t="s">
        <v>208</v>
      </c>
      <c r="E864" s="69" t="s">
        <v>131</v>
      </c>
      <c r="F864" s="76">
        <v>81897719002</v>
      </c>
      <c r="G864" s="71">
        <f t="shared" si="77"/>
        <v>21.30752</v>
      </c>
      <c r="H864" s="71">
        <f t="shared" si="78"/>
        <v>42.61504</v>
      </c>
      <c r="I864" s="71">
        <f t="shared" si="79"/>
        <v>21.30752</v>
      </c>
      <c r="J864" s="71">
        <f t="shared" si="80"/>
        <v>42.61504</v>
      </c>
      <c r="K864" s="72">
        <v>0</v>
      </c>
      <c r="M864" s="58">
        <f>VLOOKUP(D864,'TABELA DE PRECOS'!B:C,2,0)</f>
        <v>21.30752</v>
      </c>
    </row>
    <row r="865" spans="1:13" ht="15.75" customHeight="1" x14ac:dyDescent="0.25">
      <c r="A865" s="65">
        <v>19</v>
      </c>
      <c r="B865" s="84" t="s">
        <v>366</v>
      </c>
      <c r="C865" s="73">
        <v>1</v>
      </c>
      <c r="D865" s="85" t="s">
        <v>367</v>
      </c>
      <c r="E865" s="86" t="s">
        <v>131</v>
      </c>
      <c r="F865" s="85">
        <v>81897719002</v>
      </c>
      <c r="G865" s="71">
        <f t="shared" si="77"/>
        <v>18.7</v>
      </c>
      <c r="H865" s="71">
        <f t="shared" si="78"/>
        <v>18.7</v>
      </c>
      <c r="I865" s="71">
        <f t="shared" si="79"/>
        <v>18.7</v>
      </c>
      <c r="J865" s="71">
        <f t="shared" si="80"/>
        <v>18.7</v>
      </c>
      <c r="K865" s="72">
        <v>0</v>
      </c>
      <c r="M865" s="58">
        <f>VLOOKUP(D865,'TABELA DE PRECOS'!B:C,2,0)</f>
        <v>18.7</v>
      </c>
    </row>
    <row r="866" spans="1:13" ht="15.75" customHeight="1" x14ac:dyDescent="0.25">
      <c r="A866" s="65">
        <v>20</v>
      </c>
      <c r="B866" s="84" t="s">
        <v>368</v>
      </c>
      <c r="C866" s="73">
        <v>1</v>
      </c>
      <c r="D866" s="85" t="s">
        <v>369</v>
      </c>
      <c r="E866" s="86" t="s">
        <v>131</v>
      </c>
      <c r="F866" s="85">
        <v>81897719002</v>
      </c>
      <c r="G866" s="71">
        <f t="shared" si="77"/>
        <v>18.22</v>
      </c>
      <c r="H866" s="71">
        <f t="shared" si="78"/>
        <v>18.22</v>
      </c>
      <c r="I866" s="71">
        <f t="shared" si="79"/>
        <v>18.22</v>
      </c>
      <c r="J866" s="71">
        <f t="shared" si="80"/>
        <v>18.22</v>
      </c>
      <c r="K866" s="72">
        <v>0</v>
      </c>
      <c r="M866" s="58">
        <f>VLOOKUP(D866,'TABELA DE PRECOS'!B:C,2,0)</f>
        <v>18.22</v>
      </c>
    </row>
    <row r="867" spans="1:13" ht="15.75" customHeight="1" x14ac:dyDescent="0.25">
      <c r="A867" s="65">
        <v>21</v>
      </c>
      <c r="B867" s="84" t="s">
        <v>448</v>
      </c>
      <c r="C867" s="73">
        <v>1</v>
      </c>
      <c r="D867" s="85" t="s">
        <v>449</v>
      </c>
      <c r="E867" s="86" t="s">
        <v>131</v>
      </c>
      <c r="F867" s="85">
        <v>81897719002</v>
      </c>
      <c r="G867" s="71">
        <f t="shared" si="77"/>
        <v>17.28</v>
      </c>
      <c r="H867" s="71">
        <f t="shared" si="78"/>
        <v>17.28</v>
      </c>
      <c r="I867" s="71">
        <f t="shared" si="79"/>
        <v>17.28</v>
      </c>
      <c r="J867" s="71">
        <f t="shared" si="80"/>
        <v>17.28</v>
      </c>
      <c r="K867" s="72">
        <v>0</v>
      </c>
      <c r="M867" s="58">
        <f>VLOOKUP(D867,'TABELA DE PRECOS'!B:C,2,0)</f>
        <v>17.28</v>
      </c>
    </row>
    <row r="868" spans="1:13" ht="15.75" customHeight="1" x14ac:dyDescent="0.25">
      <c r="A868" s="65">
        <v>22</v>
      </c>
      <c r="B868" s="84" t="s">
        <v>372</v>
      </c>
      <c r="C868" s="73">
        <v>1</v>
      </c>
      <c r="D868" s="85" t="s">
        <v>373</v>
      </c>
      <c r="E868" s="86" t="s">
        <v>131</v>
      </c>
      <c r="F868" s="85" t="s">
        <v>223</v>
      </c>
      <c r="G868" s="71">
        <f t="shared" si="77"/>
        <v>452.16</v>
      </c>
      <c r="H868" s="71">
        <f t="shared" si="78"/>
        <v>452.16</v>
      </c>
      <c r="I868" s="71">
        <f t="shared" si="79"/>
        <v>452.16</v>
      </c>
      <c r="J868" s="71">
        <f t="shared" si="80"/>
        <v>452.16</v>
      </c>
      <c r="K868" s="72">
        <v>0</v>
      </c>
      <c r="M868" s="58">
        <f>VLOOKUP(D868,'TABELA DE PRECOS'!B:C,2,0)</f>
        <v>452.16</v>
      </c>
    </row>
    <row r="869" spans="1:13" ht="15.75" customHeight="1" x14ac:dyDescent="0.25">
      <c r="A869" s="65">
        <v>23</v>
      </c>
      <c r="B869" s="84" t="s">
        <v>374</v>
      </c>
      <c r="C869" s="73">
        <v>1</v>
      </c>
      <c r="D869" s="85" t="s">
        <v>375</v>
      </c>
      <c r="E869" s="86" t="s">
        <v>131</v>
      </c>
      <c r="F869" s="85" t="s">
        <v>223</v>
      </c>
      <c r="G869" s="71">
        <f t="shared" si="77"/>
        <v>640.15991999999994</v>
      </c>
      <c r="H869" s="71">
        <f t="shared" si="78"/>
        <v>640.15991999999994</v>
      </c>
      <c r="I869" s="71">
        <f t="shared" si="79"/>
        <v>640.15991999999994</v>
      </c>
      <c r="J869" s="71">
        <f t="shared" si="80"/>
        <v>640.15991999999994</v>
      </c>
      <c r="K869" s="72">
        <v>0</v>
      </c>
      <c r="M869" s="58">
        <f>VLOOKUP(D869,'TABELA DE PRECOS'!B:C,2,0)</f>
        <v>640.15991999999994</v>
      </c>
    </row>
    <row r="870" spans="1:13" ht="15.75" customHeight="1" x14ac:dyDescent="0.25">
      <c r="A870" s="65">
        <v>24</v>
      </c>
      <c r="B870" s="84" t="s">
        <v>376</v>
      </c>
      <c r="C870" s="73">
        <v>1</v>
      </c>
      <c r="D870" s="85" t="s">
        <v>377</v>
      </c>
      <c r="E870" s="86" t="s">
        <v>131</v>
      </c>
      <c r="F870" s="85" t="s">
        <v>223</v>
      </c>
      <c r="G870" s="71">
        <f t="shared" si="77"/>
        <v>514.57000000000005</v>
      </c>
      <c r="H870" s="71">
        <f t="shared" si="78"/>
        <v>514.57000000000005</v>
      </c>
      <c r="I870" s="71">
        <f t="shared" si="79"/>
        <v>514.57000000000005</v>
      </c>
      <c r="J870" s="71">
        <f t="shared" si="80"/>
        <v>514.57000000000005</v>
      </c>
      <c r="K870" s="72">
        <v>0</v>
      </c>
      <c r="M870" s="58">
        <f>VLOOKUP(D870,'TABELA DE PRECOS'!B:C,2,0)</f>
        <v>514.57000000000005</v>
      </c>
    </row>
    <row r="871" spans="1:13" ht="15.75" customHeight="1" x14ac:dyDescent="0.25">
      <c r="A871" s="65">
        <v>25</v>
      </c>
      <c r="B871" s="84" t="s">
        <v>378</v>
      </c>
      <c r="C871" s="73">
        <v>2</v>
      </c>
      <c r="D871" s="85" t="s">
        <v>379</v>
      </c>
      <c r="E871" s="86" t="s">
        <v>131</v>
      </c>
      <c r="F871" s="85" t="s">
        <v>223</v>
      </c>
      <c r="G871" s="71">
        <f t="shared" si="77"/>
        <v>9.18</v>
      </c>
      <c r="H871" s="71">
        <f t="shared" si="78"/>
        <v>18.36</v>
      </c>
      <c r="I871" s="71">
        <f t="shared" si="79"/>
        <v>9.18</v>
      </c>
      <c r="J871" s="71">
        <f t="shared" si="80"/>
        <v>18.36</v>
      </c>
      <c r="K871" s="72">
        <v>0</v>
      </c>
      <c r="M871" s="58">
        <f>VLOOKUP(D871,'TABELA DE PRECOS'!B:C,2,0)</f>
        <v>9.18</v>
      </c>
    </row>
    <row r="872" spans="1:13" ht="15.75" customHeight="1" x14ac:dyDescent="0.25">
      <c r="A872" s="78"/>
      <c r="B872" s="79" t="s">
        <v>224</v>
      </c>
      <c r="C872" s="79">
        <f>SUM(C847:C871)</f>
        <v>48</v>
      </c>
      <c r="D872" s="79"/>
      <c r="E872" s="79"/>
      <c r="F872" s="79"/>
      <c r="G872" s="80"/>
      <c r="H872" s="80">
        <f>SUM(H847:H871)</f>
        <v>2783.9255200000002</v>
      </c>
      <c r="I872" s="79"/>
      <c r="J872" s="80">
        <f>SUM(J847:J871)</f>
        <v>2783.9255200000002</v>
      </c>
      <c r="K872" s="81"/>
      <c r="M872" s="58" t="e">
        <f>VLOOKUP(D872,'TABELA DE PRECOS'!B:C,2,0)</f>
        <v>#N/A</v>
      </c>
    </row>
    <row r="873" spans="1:13" ht="15.75" customHeight="1" x14ac:dyDescent="0.25">
      <c r="A873" s="56"/>
      <c r="B873" s="49" t="s">
        <v>15</v>
      </c>
      <c r="C873" s="57"/>
      <c r="G873" s="58"/>
      <c r="H873" s="58"/>
      <c r="I873" s="58"/>
      <c r="J873" s="58"/>
      <c r="K873" s="59"/>
      <c r="M873" s="58" t="e">
        <f>VLOOKUP(D873,'TABELA DE PRECOS'!B:C,2,0)</f>
        <v>#N/A</v>
      </c>
    </row>
    <row r="874" spans="1:13" ht="15.75" customHeight="1" x14ac:dyDescent="0.25">
      <c r="A874" s="56"/>
      <c r="B874" s="18" t="s">
        <v>947</v>
      </c>
      <c r="C874" s="57"/>
      <c r="G874" s="58"/>
      <c r="H874" s="58"/>
      <c r="I874" s="58"/>
      <c r="J874" s="58"/>
      <c r="K874" s="59"/>
      <c r="M874" s="58" t="e">
        <f>VLOOKUP(D874,'TABELA DE PRECOS'!B:C,2,0)</f>
        <v>#N/A</v>
      </c>
    </row>
    <row r="875" spans="1:13" ht="15.75" customHeight="1" x14ac:dyDescent="0.25">
      <c r="A875" s="18" t="s">
        <v>119</v>
      </c>
      <c r="B875" s="18" t="s">
        <v>120</v>
      </c>
      <c r="C875" s="18" t="s">
        <v>21</v>
      </c>
      <c r="D875" s="18" t="s">
        <v>121</v>
      </c>
      <c r="E875" s="60" t="s">
        <v>122</v>
      </c>
      <c r="F875" s="18" t="s">
        <v>123</v>
      </c>
      <c r="G875" s="61" t="s">
        <v>22</v>
      </c>
      <c r="H875" s="18" t="s">
        <v>23</v>
      </c>
      <c r="I875" s="18" t="s">
        <v>24</v>
      </c>
      <c r="J875" s="18" t="s">
        <v>25</v>
      </c>
      <c r="K875" s="62" t="s">
        <v>26</v>
      </c>
      <c r="M875" s="58" t="str">
        <f>VLOOKUP(D875,'TABELA DE PRECOS'!B:C,2,0)</f>
        <v>Valor Unit Bruto</v>
      </c>
    </row>
    <row r="876" spans="1:13" ht="15.75" customHeight="1" x14ac:dyDescent="0.25">
      <c r="A876" s="65">
        <v>1</v>
      </c>
      <c r="B876" s="66" t="s">
        <v>948</v>
      </c>
      <c r="C876" s="82">
        <v>1</v>
      </c>
      <c r="D876" s="76" t="s">
        <v>949</v>
      </c>
      <c r="E876" s="69" t="s">
        <v>131</v>
      </c>
      <c r="F876" s="76">
        <v>81897719002</v>
      </c>
      <c r="G876" s="71">
        <f t="shared" ref="G876:G954" si="81">M876</f>
        <v>22.552880000000002</v>
      </c>
      <c r="H876" s="71">
        <f t="shared" ref="H876:H954" si="82">G876*C876</f>
        <v>22.552880000000002</v>
      </c>
      <c r="I876" s="71">
        <f t="shared" ref="I876:I954" si="83">G876</f>
        <v>22.552880000000002</v>
      </c>
      <c r="J876" s="71">
        <f t="shared" ref="J876:J954" si="84">I876*C876</f>
        <v>22.552880000000002</v>
      </c>
      <c r="K876" s="72">
        <v>0</v>
      </c>
      <c r="M876" s="58">
        <f>VLOOKUP(D876,'TABELA DE PRECOS'!B:C,2,0)</f>
        <v>22.552880000000002</v>
      </c>
    </row>
    <row r="877" spans="1:13" ht="15.75" customHeight="1" x14ac:dyDescent="0.25">
      <c r="A877" s="65">
        <v>2</v>
      </c>
      <c r="B877" s="66" t="s">
        <v>950</v>
      </c>
      <c r="C877" s="82">
        <v>1</v>
      </c>
      <c r="D877" s="76" t="s">
        <v>951</v>
      </c>
      <c r="E877" s="69" t="s">
        <v>131</v>
      </c>
      <c r="F877" s="76">
        <v>81897719002</v>
      </c>
      <c r="G877" s="71">
        <f t="shared" si="81"/>
        <v>92.996639999999999</v>
      </c>
      <c r="H877" s="71">
        <f t="shared" si="82"/>
        <v>92.996639999999999</v>
      </c>
      <c r="I877" s="71">
        <f t="shared" si="83"/>
        <v>92.996639999999999</v>
      </c>
      <c r="J877" s="71">
        <f t="shared" si="84"/>
        <v>92.996639999999999</v>
      </c>
      <c r="K877" s="72">
        <v>0</v>
      </c>
      <c r="M877" s="58">
        <f>VLOOKUP(D877,'TABELA DE PRECOS'!B:C,2,0)</f>
        <v>92.996639999999999</v>
      </c>
    </row>
    <row r="878" spans="1:13" ht="15.75" customHeight="1" x14ac:dyDescent="0.25">
      <c r="A878" s="65">
        <v>3</v>
      </c>
      <c r="B878" s="66" t="s">
        <v>952</v>
      </c>
      <c r="C878" s="82">
        <v>1</v>
      </c>
      <c r="D878" s="76" t="s">
        <v>953</v>
      </c>
      <c r="E878" s="69" t="s">
        <v>131</v>
      </c>
      <c r="F878" s="76">
        <v>81897719002</v>
      </c>
      <c r="G878" s="71">
        <f t="shared" si="81"/>
        <v>20.28688</v>
      </c>
      <c r="H878" s="71">
        <f t="shared" si="82"/>
        <v>20.28688</v>
      </c>
      <c r="I878" s="71">
        <f t="shared" si="83"/>
        <v>20.28688</v>
      </c>
      <c r="J878" s="71">
        <f t="shared" si="84"/>
        <v>20.28688</v>
      </c>
      <c r="K878" s="72">
        <v>0</v>
      </c>
      <c r="M878" s="58">
        <f>VLOOKUP(D878,'TABELA DE PRECOS'!B:C,2,0)</f>
        <v>20.28688</v>
      </c>
    </row>
    <row r="879" spans="1:13" ht="15.75" customHeight="1" x14ac:dyDescent="0.25">
      <c r="A879" s="65">
        <v>4</v>
      </c>
      <c r="B879" s="66" t="s">
        <v>954</v>
      </c>
      <c r="C879" s="82">
        <v>1</v>
      </c>
      <c r="D879" s="76" t="s">
        <v>955</v>
      </c>
      <c r="E879" s="69" t="s">
        <v>131</v>
      </c>
      <c r="F879" s="76">
        <v>81897719002</v>
      </c>
      <c r="G879" s="71">
        <f t="shared" si="81"/>
        <v>6.7650400000000008</v>
      </c>
      <c r="H879" s="71">
        <f t="shared" si="82"/>
        <v>6.7650400000000008</v>
      </c>
      <c r="I879" s="71">
        <f t="shared" si="83"/>
        <v>6.7650400000000008</v>
      </c>
      <c r="J879" s="71">
        <f t="shared" si="84"/>
        <v>6.7650400000000008</v>
      </c>
      <c r="K879" s="72">
        <v>0</v>
      </c>
      <c r="M879" s="58">
        <f>VLOOKUP(D879,'TABELA DE PRECOS'!B:C,2,0)</f>
        <v>6.7650400000000008</v>
      </c>
    </row>
    <row r="880" spans="1:13" ht="15.75" customHeight="1" x14ac:dyDescent="0.25">
      <c r="A880" s="65">
        <v>5</v>
      </c>
      <c r="B880" s="66" t="s">
        <v>133</v>
      </c>
      <c r="C880" s="82">
        <v>1</v>
      </c>
      <c r="D880" s="76" t="s">
        <v>134</v>
      </c>
      <c r="E880" s="69" t="s">
        <v>131</v>
      </c>
      <c r="F880" s="76">
        <v>81897719002</v>
      </c>
      <c r="G880" s="71">
        <f t="shared" si="81"/>
        <v>17.19688</v>
      </c>
      <c r="H880" s="71">
        <f t="shared" si="82"/>
        <v>17.19688</v>
      </c>
      <c r="I880" s="71">
        <f t="shared" si="83"/>
        <v>17.19688</v>
      </c>
      <c r="J880" s="71">
        <f t="shared" si="84"/>
        <v>17.19688</v>
      </c>
      <c r="K880" s="72">
        <v>0</v>
      </c>
      <c r="M880" s="58">
        <f>VLOOKUP(D880,'TABELA DE PRECOS'!B:C,2,0)</f>
        <v>17.19688</v>
      </c>
    </row>
    <row r="881" spans="1:13" ht="15.75" customHeight="1" x14ac:dyDescent="0.25">
      <c r="A881" s="65">
        <v>6</v>
      </c>
      <c r="B881" s="66" t="s">
        <v>133</v>
      </c>
      <c r="C881" s="82">
        <v>1</v>
      </c>
      <c r="D881" s="76" t="s">
        <v>134</v>
      </c>
      <c r="E881" s="69" t="s">
        <v>131</v>
      </c>
      <c r="F881" s="76">
        <v>81897719002</v>
      </c>
      <c r="G881" s="71">
        <f t="shared" si="81"/>
        <v>17.19688</v>
      </c>
      <c r="H881" s="71">
        <f t="shared" si="82"/>
        <v>17.19688</v>
      </c>
      <c r="I881" s="71">
        <f t="shared" si="83"/>
        <v>17.19688</v>
      </c>
      <c r="J881" s="71">
        <f t="shared" si="84"/>
        <v>17.19688</v>
      </c>
      <c r="K881" s="72">
        <v>0</v>
      </c>
      <c r="L881" s="63"/>
      <c r="M881" s="58">
        <f>VLOOKUP(D881,'TABELA DE PRECOS'!B:C,2,0)</f>
        <v>17.19688</v>
      </c>
    </row>
    <row r="882" spans="1:13" ht="15.75" customHeight="1" x14ac:dyDescent="0.25">
      <c r="A882" s="65">
        <v>7</v>
      </c>
      <c r="B882" s="66" t="s">
        <v>956</v>
      </c>
      <c r="C882" s="82">
        <v>1</v>
      </c>
      <c r="D882" s="76" t="s">
        <v>957</v>
      </c>
      <c r="E882" s="69" t="s">
        <v>126</v>
      </c>
      <c r="F882" s="76">
        <v>10301950027</v>
      </c>
      <c r="G882" s="71">
        <f t="shared" si="81"/>
        <v>110.17704000000001</v>
      </c>
      <c r="H882" s="71">
        <f t="shared" si="82"/>
        <v>110.17704000000001</v>
      </c>
      <c r="I882" s="71">
        <f t="shared" si="83"/>
        <v>110.17704000000001</v>
      </c>
      <c r="J882" s="71">
        <f t="shared" si="84"/>
        <v>110.17704000000001</v>
      </c>
      <c r="K882" s="72">
        <v>0</v>
      </c>
      <c r="M882" s="58">
        <f>VLOOKUP(D882,'TABELA DE PRECOS'!B:C,2,0)</f>
        <v>110.17704000000001</v>
      </c>
    </row>
    <row r="883" spans="1:13" ht="15.75" customHeight="1" x14ac:dyDescent="0.25">
      <c r="A883" s="65">
        <v>8</v>
      </c>
      <c r="B883" s="66" t="s">
        <v>958</v>
      </c>
      <c r="C883" s="82">
        <v>1</v>
      </c>
      <c r="D883" s="66" t="s">
        <v>959</v>
      </c>
      <c r="E883" s="69" t="s">
        <v>131</v>
      </c>
      <c r="F883" s="76">
        <v>81897719002</v>
      </c>
      <c r="G883" s="71">
        <f t="shared" si="81"/>
        <v>16.908480000000001</v>
      </c>
      <c r="H883" s="71">
        <f t="shared" si="82"/>
        <v>16.908480000000001</v>
      </c>
      <c r="I883" s="71">
        <f t="shared" si="83"/>
        <v>16.908480000000001</v>
      </c>
      <c r="J883" s="71">
        <f t="shared" si="84"/>
        <v>16.908480000000001</v>
      </c>
      <c r="K883" s="72">
        <v>0</v>
      </c>
      <c r="M883" s="58">
        <f>VLOOKUP(D883,'TABELA DE PRECOS'!B:C,2,0)</f>
        <v>16.908480000000001</v>
      </c>
    </row>
    <row r="884" spans="1:13" ht="15.75" customHeight="1" x14ac:dyDescent="0.25">
      <c r="A884" s="65">
        <v>9</v>
      </c>
      <c r="B884" s="66" t="s">
        <v>960</v>
      </c>
      <c r="C884" s="82">
        <v>1</v>
      </c>
      <c r="D884" s="66" t="s">
        <v>961</v>
      </c>
      <c r="E884" s="69" t="s">
        <v>131</v>
      </c>
      <c r="F884" s="76">
        <v>81897719002</v>
      </c>
      <c r="G884" s="71">
        <f t="shared" si="81"/>
        <v>13.530080000000002</v>
      </c>
      <c r="H884" s="71">
        <f t="shared" si="82"/>
        <v>13.530080000000002</v>
      </c>
      <c r="I884" s="71">
        <f t="shared" si="83"/>
        <v>13.530080000000002</v>
      </c>
      <c r="J884" s="71">
        <f t="shared" si="84"/>
        <v>13.530080000000002</v>
      </c>
      <c r="K884" s="72">
        <v>0</v>
      </c>
      <c r="M884" s="58">
        <f>VLOOKUP(D884,'TABELA DE PRECOS'!B:C,2,0)</f>
        <v>13.530080000000002</v>
      </c>
    </row>
    <row r="885" spans="1:13" ht="15.75" customHeight="1" x14ac:dyDescent="0.25">
      <c r="A885" s="65">
        <v>10</v>
      </c>
      <c r="B885" s="66" t="s">
        <v>962</v>
      </c>
      <c r="C885" s="82">
        <v>2</v>
      </c>
      <c r="D885" s="76" t="s">
        <v>963</v>
      </c>
      <c r="E885" s="69" t="s">
        <v>131</v>
      </c>
      <c r="F885" s="76">
        <v>81897719002</v>
      </c>
      <c r="G885" s="71">
        <f t="shared" si="81"/>
        <v>25.362720000000003</v>
      </c>
      <c r="H885" s="71">
        <f t="shared" si="82"/>
        <v>50.725440000000006</v>
      </c>
      <c r="I885" s="71">
        <f t="shared" si="83"/>
        <v>25.362720000000003</v>
      </c>
      <c r="J885" s="71">
        <f t="shared" si="84"/>
        <v>50.725440000000006</v>
      </c>
      <c r="K885" s="72">
        <v>0</v>
      </c>
      <c r="M885" s="58">
        <f>VLOOKUP(D885,'TABELA DE PRECOS'!B:C,2,0)</f>
        <v>25.362720000000003</v>
      </c>
    </row>
    <row r="886" spans="1:13" ht="15.75" customHeight="1" x14ac:dyDescent="0.25">
      <c r="A886" s="65">
        <v>11</v>
      </c>
      <c r="B886" s="66" t="s">
        <v>964</v>
      </c>
      <c r="C886" s="82">
        <v>2</v>
      </c>
      <c r="D886" s="76" t="s">
        <v>965</v>
      </c>
      <c r="E886" s="69" t="s">
        <v>131</v>
      </c>
      <c r="F886" s="76">
        <v>81897719002</v>
      </c>
      <c r="G886" s="71">
        <f t="shared" si="81"/>
        <v>25.362720000000003</v>
      </c>
      <c r="H886" s="71">
        <f t="shared" si="82"/>
        <v>50.725440000000006</v>
      </c>
      <c r="I886" s="71">
        <f t="shared" si="83"/>
        <v>25.362720000000003</v>
      </c>
      <c r="J886" s="71">
        <f t="shared" si="84"/>
        <v>50.725440000000006</v>
      </c>
      <c r="K886" s="72">
        <v>0</v>
      </c>
      <c r="M886" s="58">
        <f>VLOOKUP(D886,'TABELA DE PRECOS'!B:C,2,0)</f>
        <v>25.362720000000003</v>
      </c>
    </row>
    <row r="887" spans="1:13" ht="15.75" customHeight="1" x14ac:dyDescent="0.25">
      <c r="A887" s="65">
        <v>12</v>
      </c>
      <c r="B887" s="66" t="s">
        <v>966</v>
      </c>
      <c r="C887" s="82">
        <v>2</v>
      </c>
      <c r="D887" s="76" t="s">
        <v>967</v>
      </c>
      <c r="E887" s="69" t="s">
        <v>131</v>
      </c>
      <c r="F887" s="76">
        <v>81897719002</v>
      </c>
      <c r="G887" s="71">
        <f t="shared" si="81"/>
        <v>33.816960000000002</v>
      </c>
      <c r="H887" s="71">
        <f t="shared" si="82"/>
        <v>67.633920000000003</v>
      </c>
      <c r="I887" s="71">
        <f t="shared" si="83"/>
        <v>33.816960000000002</v>
      </c>
      <c r="J887" s="71">
        <f t="shared" si="84"/>
        <v>67.633920000000003</v>
      </c>
      <c r="K887" s="72">
        <v>0</v>
      </c>
      <c r="M887" s="58">
        <f>VLOOKUP(D887,'TABELA DE PRECOS'!B:C,2,0)</f>
        <v>33.816960000000002</v>
      </c>
    </row>
    <row r="888" spans="1:13" ht="15.75" customHeight="1" x14ac:dyDescent="0.25">
      <c r="A888" s="65">
        <v>13</v>
      </c>
      <c r="B888" s="66" t="s">
        <v>968</v>
      </c>
      <c r="C888" s="82">
        <v>2</v>
      </c>
      <c r="D888" s="76" t="s">
        <v>969</v>
      </c>
      <c r="E888" s="69" t="s">
        <v>131</v>
      </c>
      <c r="F888" s="76">
        <v>81897719002</v>
      </c>
      <c r="G888" s="71">
        <f t="shared" si="81"/>
        <v>33.816960000000002</v>
      </c>
      <c r="H888" s="71">
        <f t="shared" si="82"/>
        <v>67.633920000000003</v>
      </c>
      <c r="I888" s="71">
        <f t="shared" si="83"/>
        <v>33.816960000000002</v>
      </c>
      <c r="J888" s="71">
        <f t="shared" si="84"/>
        <v>67.633920000000003</v>
      </c>
      <c r="K888" s="72">
        <v>0</v>
      </c>
      <c r="M888" s="58">
        <f>VLOOKUP(D888,'TABELA DE PRECOS'!B:C,2,0)</f>
        <v>33.816960000000002</v>
      </c>
    </row>
    <row r="889" spans="1:13" ht="15.75" customHeight="1" x14ac:dyDescent="0.25">
      <c r="A889" s="65">
        <v>14</v>
      </c>
      <c r="B889" s="66" t="s">
        <v>970</v>
      </c>
      <c r="C889" s="82">
        <v>1</v>
      </c>
      <c r="D889" s="76" t="s">
        <v>971</v>
      </c>
      <c r="E889" s="69" t="s">
        <v>131</v>
      </c>
      <c r="F889" s="76">
        <v>81897719002</v>
      </c>
      <c r="G889" s="71">
        <f t="shared" si="81"/>
        <v>24.785920000000001</v>
      </c>
      <c r="H889" s="71">
        <f t="shared" si="82"/>
        <v>24.785920000000001</v>
      </c>
      <c r="I889" s="71">
        <f t="shared" si="83"/>
        <v>24.785920000000001</v>
      </c>
      <c r="J889" s="71">
        <f t="shared" si="84"/>
        <v>24.785920000000001</v>
      </c>
      <c r="K889" s="72">
        <v>0</v>
      </c>
      <c r="M889" s="58">
        <f>VLOOKUP(D889,'TABELA DE PRECOS'!B:C,2,0)</f>
        <v>24.785920000000001</v>
      </c>
    </row>
    <row r="890" spans="1:13" ht="15.75" customHeight="1" x14ac:dyDescent="0.25">
      <c r="A890" s="65">
        <v>15</v>
      </c>
      <c r="B890" s="66" t="s">
        <v>972</v>
      </c>
      <c r="C890" s="82">
        <v>1</v>
      </c>
      <c r="D890" s="76" t="s">
        <v>973</v>
      </c>
      <c r="E890" s="69" t="s">
        <v>131</v>
      </c>
      <c r="F890" s="76">
        <v>81897719002</v>
      </c>
      <c r="G890" s="71">
        <f t="shared" si="81"/>
        <v>10.720239999999999</v>
      </c>
      <c r="H890" s="71">
        <f t="shared" si="82"/>
        <v>10.720239999999999</v>
      </c>
      <c r="I890" s="71">
        <f t="shared" si="83"/>
        <v>10.720239999999999</v>
      </c>
      <c r="J890" s="71">
        <f t="shared" si="84"/>
        <v>10.720239999999999</v>
      </c>
      <c r="K890" s="72">
        <v>0</v>
      </c>
      <c r="M890" s="58">
        <f>VLOOKUP(D890,'TABELA DE PRECOS'!B:C,2,0)</f>
        <v>10.720239999999999</v>
      </c>
    </row>
    <row r="891" spans="1:13" ht="15.75" customHeight="1" x14ac:dyDescent="0.25">
      <c r="A891" s="65">
        <v>16</v>
      </c>
      <c r="B891" s="66" t="s">
        <v>974</v>
      </c>
      <c r="C891" s="82">
        <v>1</v>
      </c>
      <c r="D891" s="76" t="s">
        <v>975</v>
      </c>
      <c r="E891" s="69" t="s">
        <v>131</v>
      </c>
      <c r="F891" s="76">
        <v>81897719002</v>
      </c>
      <c r="G891" s="71">
        <f t="shared" si="81"/>
        <v>12.40944</v>
      </c>
      <c r="H891" s="71">
        <f t="shared" si="82"/>
        <v>12.40944</v>
      </c>
      <c r="I891" s="71">
        <f t="shared" si="83"/>
        <v>12.40944</v>
      </c>
      <c r="J891" s="71">
        <f t="shared" si="84"/>
        <v>12.40944</v>
      </c>
      <c r="K891" s="72">
        <v>0</v>
      </c>
      <c r="M891" s="58">
        <f>VLOOKUP(D891,'TABELA DE PRECOS'!B:C,2,0)</f>
        <v>12.40944</v>
      </c>
    </row>
    <row r="892" spans="1:13" ht="15.75" customHeight="1" x14ac:dyDescent="0.25">
      <c r="A892" s="65">
        <v>17</v>
      </c>
      <c r="B892" s="66" t="s">
        <v>974</v>
      </c>
      <c r="C892" s="82">
        <v>3</v>
      </c>
      <c r="D892" s="76" t="s">
        <v>975</v>
      </c>
      <c r="E892" s="69" t="s">
        <v>131</v>
      </c>
      <c r="F892" s="76">
        <v>81897719002</v>
      </c>
      <c r="G892" s="71">
        <f t="shared" si="81"/>
        <v>12.40944</v>
      </c>
      <c r="H892" s="71">
        <f t="shared" si="82"/>
        <v>37.228319999999997</v>
      </c>
      <c r="I892" s="71">
        <f t="shared" si="83"/>
        <v>12.40944</v>
      </c>
      <c r="J892" s="71">
        <f t="shared" si="84"/>
        <v>37.228319999999997</v>
      </c>
      <c r="K892" s="72">
        <v>0</v>
      </c>
      <c r="M892" s="58">
        <f>VLOOKUP(D892,'TABELA DE PRECOS'!B:C,2,0)</f>
        <v>12.40944</v>
      </c>
    </row>
    <row r="893" spans="1:13" ht="15.75" customHeight="1" x14ac:dyDescent="0.25">
      <c r="A893" s="65">
        <v>18</v>
      </c>
      <c r="B893" s="66" t="s">
        <v>976</v>
      </c>
      <c r="C893" s="82">
        <v>1</v>
      </c>
      <c r="D893" s="75" t="s">
        <v>977</v>
      </c>
      <c r="E893" s="69" t="s">
        <v>126</v>
      </c>
      <c r="F893" s="76">
        <v>10301950042</v>
      </c>
      <c r="G893" s="71">
        <f t="shared" si="81"/>
        <v>89.239199999999997</v>
      </c>
      <c r="H893" s="71">
        <f t="shared" si="82"/>
        <v>89.239199999999997</v>
      </c>
      <c r="I893" s="71">
        <f t="shared" si="83"/>
        <v>89.239199999999997</v>
      </c>
      <c r="J893" s="71">
        <f t="shared" si="84"/>
        <v>89.239199999999997</v>
      </c>
      <c r="K893" s="72">
        <v>0</v>
      </c>
      <c r="M893" s="58">
        <f>VLOOKUP(D893,'TABELA DE PRECOS'!B:C,2,0)</f>
        <v>89.239199999999997</v>
      </c>
    </row>
    <row r="894" spans="1:13" ht="15.75" customHeight="1" x14ac:dyDescent="0.25">
      <c r="A894" s="65">
        <v>19</v>
      </c>
      <c r="B894" s="66" t="s">
        <v>978</v>
      </c>
      <c r="C894" s="82">
        <v>1</v>
      </c>
      <c r="D894" s="76" t="s">
        <v>979</v>
      </c>
      <c r="E894" s="69" t="s">
        <v>131</v>
      </c>
      <c r="F894" s="76">
        <v>81897719002</v>
      </c>
      <c r="G894" s="71">
        <f t="shared" si="81"/>
        <v>50.725440000000006</v>
      </c>
      <c r="H894" s="71">
        <f t="shared" si="82"/>
        <v>50.725440000000006</v>
      </c>
      <c r="I894" s="71">
        <f t="shared" si="83"/>
        <v>50.725440000000006</v>
      </c>
      <c r="J894" s="71">
        <f t="shared" si="84"/>
        <v>50.725440000000006</v>
      </c>
      <c r="K894" s="72">
        <v>0</v>
      </c>
      <c r="M894" s="58">
        <f>VLOOKUP(D894,'TABELA DE PRECOS'!B:C,2,0)</f>
        <v>50.725440000000006</v>
      </c>
    </row>
    <row r="895" spans="1:13" ht="15.75" customHeight="1" x14ac:dyDescent="0.25">
      <c r="A895" s="65">
        <v>20</v>
      </c>
      <c r="B895" s="66" t="s">
        <v>300</v>
      </c>
      <c r="C895" s="82">
        <v>3</v>
      </c>
      <c r="D895" s="76" t="s">
        <v>301</v>
      </c>
      <c r="E895" s="69" t="s">
        <v>131</v>
      </c>
      <c r="F895" s="76">
        <v>81897719002</v>
      </c>
      <c r="G895" s="71">
        <f t="shared" si="81"/>
        <v>9.4</v>
      </c>
      <c r="H895" s="71">
        <f t="shared" si="82"/>
        <v>28.200000000000003</v>
      </c>
      <c r="I895" s="71">
        <f t="shared" si="83"/>
        <v>9.4</v>
      </c>
      <c r="J895" s="71">
        <f t="shared" si="84"/>
        <v>28.200000000000003</v>
      </c>
      <c r="K895" s="72">
        <v>0</v>
      </c>
      <c r="M895" s="58">
        <f>VLOOKUP(D895,'TABELA DE PRECOS'!B:C,2,0)</f>
        <v>9.4</v>
      </c>
    </row>
    <row r="896" spans="1:13" ht="15.75" customHeight="1" x14ac:dyDescent="0.25">
      <c r="A896" s="65">
        <v>21</v>
      </c>
      <c r="B896" s="66" t="s">
        <v>628</v>
      </c>
      <c r="C896" s="82">
        <v>1</v>
      </c>
      <c r="D896" s="76" t="s">
        <v>629</v>
      </c>
      <c r="E896" s="69" t="s">
        <v>131</v>
      </c>
      <c r="F896" s="76">
        <v>81897710034</v>
      </c>
      <c r="G896" s="71">
        <f t="shared" si="81"/>
        <v>26.672879999999996</v>
      </c>
      <c r="H896" s="71">
        <f t="shared" si="82"/>
        <v>26.672879999999996</v>
      </c>
      <c r="I896" s="71">
        <f t="shared" si="83"/>
        <v>26.672879999999996</v>
      </c>
      <c r="J896" s="71">
        <f t="shared" si="84"/>
        <v>26.672879999999996</v>
      </c>
      <c r="K896" s="72">
        <v>0</v>
      </c>
      <c r="M896" s="58">
        <f>VLOOKUP(D896,'TABELA DE PRECOS'!B:C,2,0)</f>
        <v>26.672879999999996</v>
      </c>
    </row>
    <row r="897" spans="1:13" ht="15.75" customHeight="1" x14ac:dyDescent="0.25">
      <c r="A897" s="65">
        <v>22</v>
      </c>
      <c r="B897" s="66" t="s">
        <v>508</v>
      </c>
      <c r="C897" s="82">
        <v>1</v>
      </c>
      <c r="D897" s="76" t="s">
        <v>509</v>
      </c>
      <c r="E897" s="69" t="s">
        <v>131</v>
      </c>
      <c r="F897" s="76">
        <v>81897710034</v>
      </c>
      <c r="G897" s="71">
        <f t="shared" si="81"/>
        <v>26.672879999999996</v>
      </c>
      <c r="H897" s="71">
        <f t="shared" si="82"/>
        <v>26.672879999999996</v>
      </c>
      <c r="I897" s="71">
        <f t="shared" si="83"/>
        <v>26.672879999999996</v>
      </c>
      <c r="J897" s="71">
        <f t="shared" si="84"/>
        <v>26.672879999999996</v>
      </c>
      <c r="K897" s="72">
        <v>0</v>
      </c>
      <c r="M897" s="58">
        <f>VLOOKUP(D897,'TABELA DE PRECOS'!B:C,2,0)</f>
        <v>26.672879999999996</v>
      </c>
    </row>
    <row r="898" spans="1:13" ht="15.75" customHeight="1" x14ac:dyDescent="0.25">
      <c r="A898" s="65">
        <v>23</v>
      </c>
      <c r="B898" s="66" t="s">
        <v>980</v>
      </c>
      <c r="C898" s="82">
        <v>1</v>
      </c>
      <c r="D898" s="76" t="s">
        <v>981</v>
      </c>
      <c r="E898" s="69" t="s">
        <v>131</v>
      </c>
      <c r="F898" s="76">
        <v>81897719006</v>
      </c>
      <c r="G898" s="71">
        <f t="shared" si="81"/>
        <v>56.369839999999996</v>
      </c>
      <c r="H898" s="71">
        <f t="shared" si="82"/>
        <v>56.369839999999996</v>
      </c>
      <c r="I898" s="71">
        <f t="shared" si="83"/>
        <v>56.369839999999996</v>
      </c>
      <c r="J898" s="71">
        <f t="shared" si="84"/>
        <v>56.369839999999996</v>
      </c>
      <c r="K898" s="72">
        <v>0</v>
      </c>
      <c r="M898" s="58">
        <f>VLOOKUP(D898,'TABELA DE PRECOS'!B:C,2,0)</f>
        <v>56.369839999999996</v>
      </c>
    </row>
    <row r="899" spans="1:13" ht="15.75" customHeight="1" x14ac:dyDescent="0.25">
      <c r="A899" s="65">
        <v>24</v>
      </c>
      <c r="B899" s="66" t="s">
        <v>982</v>
      </c>
      <c r="C899" s="82">
        <v>1</v>
      </c>
      <c r="D899" s="66" t="s">
        <v>983</v>
      </c>
      <c r="E899" s="69" t="s">
        <v>126</v>
      </c>
      <c r="F899" s="76">
        <v>10301950024</v>
      </c>
      <c r="G899" s="71">
        <f t="shared" si="81"/>
        <v>43.037520000000001</v>
      </c>
      <c r="H899" s="71">
        <f t="shared" si="82"/>
        <v>43.037520000000001</v>
      </c>
      <c r="I899" s="71">
        <f t="shared" si="83"/>
        <v>43.037520000000001</v>
      </c>
      <c r="J899" s="71">
        <f t="shared" si="84"/>
        <v>43.037520000000001</v>
      </c>
      <c r="K899" s="72">
        <v>0</v>
      </c>
      <c r="M899" s="58">
        <f>VLOOKUP(D899,'TABELA DE PRECOS'!B:C,2,0)</f>
        <v>43.037520000000001</v>
      </c>
    </row>
    <row r="900" spans="1:13" ht="15.75" customHeight="1" x14ac:dyDescent="0.25">
      <c r="A900" s="65">
        <v>25</v>
      </c>
      <c r="B900" s="66" t="s">
        <v>984</v>
      </c>
      <c r="C900" s="82">
        <v>1</v>
      </c>
      <c r="D900" s="76" t="s">
        <v>985</v>
      </c>
      <c r="E900" s="69" t="s">
        <v>131</v>
      </c>
      <c r="F900" s="76">
        <v>81897719002</v>
      </c>
      <c r="G900" s="71">
        <f t="shared" si="81"/>
        <v>45.081040000000002</v>
      </c>
      <c r="H900" s="71">
        <f t="shared" si="82"/>
        <v>45.081040000000002</v>
      </c>
      <c r="I900" s="71">
        <f t="shared" si="83"/>
        <v>45.081040000000002</v>
      </c>
      <c r="J900" s="71">
        <f t="shared" si="84"/>
        <v>45.081040000000002</v>
      </c>
      <c r="K900" s="72">
        <v>0</v>
      </c>
      <c r="M900" s="58">
        <f>VLOOKUP(D900,'TABELA DE PRECOS'!B:C,2,0)</f>
        <v>45.081040000000002</v>
      </c>
    </row>
    <row r="901" spans="1:13" ht="15.75" customHeight="1" x14ac:dyDescent="0.25">
      <c r="A901" s="65">
        <v>26</v>
      </c>
      <c r="B901" s="66" t="s">
        <v>986</v>
      </c>
      <c r="C901" s="82">
        <v>1</v>
      </c>
      <c r="D901" s="76" t="s">
        <v>987</v>
      </c>
      <c r="E901" s="69" t="s">
        <v>131</v>
      </c>
      <c r="F901" s="76">
        <v>81897719002</v>
      </c>
      <c r="G901" s="71">
        <f t="shared" si="81"/>
        <v>20.863679999999999</v>
      </c>
      <c r="H901" s="71">
        <f t="shared" si="82"/>
        <v>20.863679999999999</v>
      </c>
      <c r="I901" s="71">
        <f t="shared" si="83"/>
        <v>20.863679999999999</v>
      </c>
      <c r="J901" s="71">
        <f t="shared" si="84"/>
        <v>20.863679999999999</v>
      </c>
      <c r="K901" s="72">
        <v>0</v>
      </c>
      <c r="M901" s="58">
        <f>VLOOKUP(D901,'TABELA DE PRECOS'!B:C,2,0)</f>
        <v>20.863679999999999</v>
      </c>
    </row>
    <row r="902" spans="1:13" ht="15.75" customHeight="1" x14ac:dyDescent="0.25">
      <c r="A902" s="65">
        <v>27</v>
      </c>
      <c r="B902" s="66" t="s">
        <v>1591</v>
      </c>
      <c r="C902" s="82">
        <v>1</v>
      </c>
      <c r="D902" s="66" t="s">
        <v>989</v>
      </c>
      <c r="E902" s="69" t="s">
        <v>126</v>
      </c>
      <c r="F902" s="76">
        <v>10301950024</v>
      </c>
      <c r="G902" s="71">
        <f t="shared" si="81"/>
        <v>43.037520000000001</v>
      </c>
      <c r="H902" s="71">
        <f t="shared" si="82"/>
        <v>43.037520000000001</v>
      </c>
      <c r="I902" s="71">
        <f t="shared" si="83"/>
        <v>43.037520000000001</v>
      </c>
      <c r="J902" s="71">
        <f t="shared" si="84"/>
        <v>43.037520000000001</v>
      </c>
      <c r="K902" s="72">
        <v>0</v>
      </c>
      <c r="M902" s="58">
        <f>VLOOKUP(D902,'TABELA DE PRECOS'!B:C,2,0)</f>
        <v>43.037520000000001</v>
      </c>
    </row>
    <row r="903" spans="1:13" ht="15.75" customHeight="1" x14ac:dyDescent="0.25">
      <c r="A903" s="65">
        <v>28</v>
      </c>
      <c r="B903" s="66" t="s">
        <v>1592</v>
      </c>
      <c r="C903" s="82">
        <v>1</v>
      </c>
      <c r="D903" s="66" t="s">
        <v>991</v>
      </c>
      <c r="E903" s="69" t="s">
        <v>126</v>
      </c>
      <c r="F903" s="76">
        <v>10301950024</v>
      </c>
      <c r="G903" s="71">
        <f t="shared" si="81"/>
        <v>46.481839999999998</v>
      </c>
      <c r="H903" s="71">
        <f t="shared" si="82"/>
        <v>46.481839999999998</v>
      </c>
      <c r="I903" s="71">
        <f t="shared" si="83"/>
        <v>46.481839999999998</v>
      </c>
      <c r="J903" s="71">
        <f t="shared" si="84"/>
        <v>46.481839999999998</v>
      </c>
      <c r="K903" s="72">
        <v>0</v>
      </c>
      <c r="M903" s="58">
        <f>VLOOKUP(D903,'TABELA DE PRECOS'!B:C,2,0)</f>
        <v>46.481839999999998</v>
      </c>
    </row>
    <row r="904" spans="1:13" ht="15.75" customHeight="1" x14ac:dyDescent="0.25">
      <c r="A904" s="65">
        <v>29</v>
      </c>
      <c r="B904" s="66" t="s">
        <v>1593</v>
      </c>
      <c r="C904" s="82">
        <v>1</v>
      </c>
      <c r="D904" s="66" t="s">
        <v>993</v>
      </c>
      <c r="E904" s="69" t="s">
        <v>126</v>
      </c>
      <c r="F904" s="76">
        <v>10301950024</v>
      </c>
      <c r="G904" s="71">
        <f t="shared" si="81"/>
        <v>46.481839999999998</v>
      </c>
      <c r="H904" s="71">
        <f t="shared" si="82"/>
        <v>46.481839999999998</v>
      </c>
      <c r="I904" s="71">
        <f t="shared" si="83"/>
        <v>46.481839999999998</v>
      </c>
      <c r="J904" s="71">
        <f t="shared" si="84"/>
        <v>46.481839999999998</v>
      </c>
      <c r="K904" s="72">
        <v>0</v>
      </c>
      <c r="M904" s="58">
        <f>VLOOKUP(D904,'TABELA DE PRECOS'!B:C,2,0)</f>
        <v>46.481839999999998</v>
      </c>
    </row>
    <row r="905" spans="1:13" ht="15.75" customHeight="1" x14ac:dyDescent="0.25">
      <c r="A905" s="65">
        <v>30</v>
      </c>
      <c r="B905" s="66" t="s">
        <v>1594</v>
      </c>
      <c r="C905" s="82">
        <v>1</v>
      </c>
      <c r="D905" s="66" t="s">
        <v>995</v>
      </c>
      <c r="E905" s="69" t="s">
        <v>126</v>
      </c>
      <c r="F905" s="76">
        <v>10301950024</v>
      </c>
      <c r="G905" s="71">
        <f t="shared" si="81"/>
        <v>46.481839999999998</v>
      </c>
      <c r="H905" s="71">
        <f t="shared" si="82"/>
        <v>46.481839999999998</v>
      </c>
      <c r="I905" s="71">
        <f t="shared" si="83"/>
        <v>46.481839999999998</v>
      </c>
      <c r="J905" s="71">
        <f t="shared" si="84"/>
        <v>46.481839999999998</v>
      </c>
      <c r="K905" s="72">
        <v>0</v>
      </c>
      <c r="M905" s="58">
        <f>VLOOKUP(D905,'TABELA DE PRECOS'!B:C,2,0)</f>
        <v>46.481839999999998</v>
      </c>
    </row>
    <row r="906" spans="1:13" ht="15.75" customHeight="1" x14ac:dyDescent="0.25">
      <c r="A906" s="65">
        <v>31</v>
      </c>
      <c r="B906" s="66" t="s">
        <v>1595</v>
      </c>
      <c r="C906" s="82">
        <v>1</v>
      </c>
      <c r="D906" s="66" t="s">
        <v>997</v>
      </c>
      <c r="E906" s="69" t="s">
        <v>126</v>
      </c>
      <c r="F906" s="76">
        <v>10301950024</v>
      </c>
      <c r="G906" s="71">
        <f t="shared" si="81"/>
        <v>46.481839999999998</v>
      </c>
      <c r="H906" s="71">
        <f t="shared" si="82"/>
        <v>46.481839999999998</v>
      </c>
      <c r="I906" s="71">
        <f t="shared" si="83"/>
        <v>46.481839999999998</v>
      </c>
      <c r="J906" s="71">
        <f t="shared" si="84"/>
        <v>46.481839999999998</v>
      </c>
      <c r="K906" s="72">
        <v>0</v>
      </c>
      <c r="M906" s="58">
        <f>VLOOKUP(D906,'TABELA DE PRECOS'!B:C,2,0)</f>
        <v>46.481839999999998</v>
      </c>
    </row>
    <row r="907" spans="1:13" ht="15.75" customHeight="1" x14ac:dyDescent="0.25">
      <c r="A907" s="65">
        <v>32</v>
      </c>
      <c r="B907" s="66" t="s">
        <v>1596</v>
      </c>
      <c r="C907" s="82">
        <v>1</v>
      </c>
      <c r="D907" s="66" t="s">
        <v>999</v>
      </c>
      <c r="E907" s="69" t="s">
        <v>126</v>
      </c>
      <c r="F907" s="76">
        <v>10301950024</v>
      </c>
      <c r="G907" s="71">
        <f t="shared" si="81"/>
        <v>46.481839999999998</v>
      </c>
      <c r="H907" s="71">
        <f t="shared" si="82"/>
        <v>46.481839999999998</v>
      </c>
      <c r="I907" s="71">
        <f t="shared" si="83"/>
        <v>46.481839999999998</v>
      </c>
      <c r="J907" s="71">
        <f t="shared" si="84"/>
        <v>46.481839999999998</v>
      </c>
      <c r="K907" s="72">
        <v>0</v>
      </c>
      <c r="M907" s="58">
        <f>VLOOKUP(D907,'TABELA DE PRECOS'!B:C,2,0)</f>
        <v>46.481839999999998</v>
      </c>
    </row>
    <row r="908" spans="1:13" ht="15.75" customHeight="1" x14ac:dyDescent="0.25">
      <c r="A908" s="65">
        <v>33</v>
      </c>
      <c r="B908" s="66" t="s">
        <v>1597</v>
      </c>
      <c r="C908" s="82">
        <v>1</v>
      </c>
      <c r="D908" s="66" t="s">
        <v>1001</v>
      </c>
      <c r="E908" s="69" t="s">
        <v>126</v>
      </c>
      <c r="F908" s="76">
        <v>10301950024</v>
      </c>
      <c r="G908" s="71">
        <f t="shared" si="81"/>
        <v>46.481839999999998</v>
      </c>
      <c r="H908" s="71">
        <f t="shared" si="82"/>
        <v>46.481839999999998</v>
      </c>
      <c r="I908" s="71">
        <f t="shared" si="83"/>
        <v>46.481839999999998</v>
      </c>
      <c r="J908" s="71">
        <f t="shared" si="84"/>
        <v>46.481839999999998</v>
      </c>
      <c r="K908" s="72">
        <v>0</v>
      </c>
      <c r="M908" s="58">
        <f>VLOOKUP(D908,'TABELA DE PRECOS'!B:C,2,0)</f>
        <v>46.481839999999998</v>
      </c>
    </row>
    <row r="909" spans="1:13" ht="15.75" customHeight="1" x14ac:dyDescent="0.25">
      <c r="A909" s="65">
        <v>34</v>
      </c>
      <c r="B909" s="66" t="s">
        <v>1002</v>
      </c>
      <c r="C909" s="82">
        <v>1</v>
      </c>
      <c r="D909" s="76" t="s">
        <v>1003</v>
      </c>
      <c r="E909" s="69" t="s">
        <v>131</v>
      </c>
      <c r="F909" s="76">
        <v>81897719002</v>
      </c>
      <c r="G909" s="71">
        <f t="shared" si="81"/>
        <v>56.369839999999996</v>
      </c>
      <c r="H909" s="71">
        <f t="shared" si="82"/>
        <v>56.369839999999996</v>
      </c>
      <c r="I909" s="71">
        <f t="shared" si="83"/>
        <v>56.369839999999996</v>
      </c>
      <c r="J909" s="71">
        <f t="shared" si="84"/>
        <v>56.369839999999996</v>
      </c>
      <c r="K909" s="72">
        <v>0</v>
      </c>
      <c r="M909" s="58">
        <f>VLOOKUP(D909,'TABELA DE PRECOS'!B:C,2,0)</f>
        <v>56.369839999999996</v>
      </c>
    </row>
    <row r="910" spans="1:13" ht="15.75" customHeight="1" x14ac:dyDescent="0.25">
      <c r="A910" s="65">
        <v>35</v>
      </c>
      <c r="B910" s="66" t="s">
        <v>1598</v>
      </c>
      <c r="C910" s="82">
        <v>2</v>
      </c>
      <c r="D910" s="66" t="s">
        <v>1005</v>
      </c>
      <c r="E910" s="69" t="s">
        <v>126</v>
      </c>
      <c r="F910" s="76">
        <v>10301950024</v>
      </c>
      <c r="G910" s="71">
        <f t="shared" si="81"/>
        <v>183.38944000000001</v>
      </c>
      <c r="H910" s="71">
        <f t="shared" si="82"/>
        <v>366.77888000000002</v>
      </c>
      <c r="I910" s="71">
        <f t="shared" si="83"/>
        <v>183.38944000000001</v>
      </c>
      <c r="J910" s="71">
        <f t="shared" si="84"/>
        <v>366.77888000000002</v>
      </c>
      <c r="K910" s="72">
        <v>0</v>
      </c>
      <c r="M910" s="58">
        <f>VLOOKUP(D910,'TABELA DE PRECOS'!B:C,2,0)</f>
        <v>183.38944000000001</v>
      </c>
    </row>
    <row r="911" spans="1:13" ht="15.75" customHeight="1" x14ac:dyDescent="0.25">
      <c r="A911" s="65">
        <v>36</v>
      </c>
      <c r="B911" s="66" t="s">
        <v>723</v>
      </c>
      <c r="C911" s="82">
        <v>1</v>
      </c>
      <c r="D911" s="76" t="s">
        <v>724</v>
      </c>
      <c r="E911" s="69" t="s">
        <v>131</v>
      </c>
      <c r="F911" s="76">
        <v>81897719002</v>
      </c>
      <c r="G911" s="71">
        <f t="shared" si="81"/>
        <v>23.673520000000003</v>
      </c>
      <c r="H911" s="71">
        <f t="shared" si="82"/>
        <v>23.673520000000003</v>
      </c>
      <c r="I911" s="71">
        <f t="shared" si="83"/>
        <v>23.673520000000003</v>
      </c>
      <c r="J911" s="71">
        <f t="shared" si="84"/>
        <v>23.673520000000003</v>
      </c>
      <c r="K911" s="72">
        <v>0</v>
      </c>
      <c r="M911" s="58">
        <f>VLOOKUP(D911,'TABELA DE PRECOS'!B:C,2,0)</f>
        <v>23.673520000000003</v>
      </c>
    </row>
    <row r="912" spans="1:13" ht="15.75" customHeight="1" x14ac:dyDescent="0.25">
      <c r="A912" s="65">
        <v>37</v>
      </c>
      <c r="B912" s="66" t="s">
        <v>1006</v>
      </c>
      <c r="C912" s="82">
        <v>1</v>
      </c>
      <c r="D912" s="76" t="s">
        <v>1007</v>
      </c>
      <c r="E912" s="69" t="s">
        <v>131</v>
      </c>
      <c r="F912" s="76">
        <v>81897719002</v>
      </c>
      <c r="G912" s="71">
        <f t="shared" si="81"/>
        <v>23.673520000000003</v>
      </c>
      <c r="H912" s="71">
        <f t="shared" si="82"/>
        <v>23.673520000000003</v>
      </c>
      <c r="I912" s="71">
        <f t="shared" si="83"/>
        <v>23.673520000000003</v>
      </c>
      <c r="J912" s="71">
        <f t="shared" si="84"/>
        <v>23.673520000000003</v>
      </c>
      <c r="K912" s="72">
        <v>0</v>
      </c>
      <c r="M912" s="58">
        <f>VLOOKUP(D912,'TABELA DE PRECOS'!B:C,2,0)</f>
        <v>23.673520000000003</v>
      </c>
    </row>
    <row r="913" spans="1:13" ht="15.75" customHeight="1" x14ac:dyDescent="0.25">
      <c r="A913" s="65">
        <v>38</v>
      </c>
      <c r="B913" s="66" t="s">
        <v>1599</v>
      </c>
      <c r="C913" s="82">
        <v>1</v>
      </c>
      <c r="D913" s="66" t="s">
        <v>1009</v>
      </c>
      <c r="E913" s="69" t="s">
        <v>126</v>
      </c>
      <c r="F913" s="76">
        <v>10301950024</v>
      </c>
      <c r="G913" s="71">
        <f t="shared" si="81"/>
        <v>31.550959999999996</v>
      </c>
      <c r="H913" s="71">
        <f t="shared" si="82"/>
        <v>31.550959999999996</v>
      </c>
      <c r="I913" s="71">
        <f t="shared" si="83"/>
        <v>31.550959999999996</v>
      </c>
      <c r="J913" s="71">
        <f t="shared" si="84"/>
        <v>31.550959999999996</v>
      </c>
      <c r="K913" s="72">
        <v>0</v>
      </c>
      <c r="M913" s="58">
        <f>VLOOKUP(D913,'TABELA DE PRECOS'!B:C,2,0)</f>
        <v>31.550959999999996</v>
      </c>
    </row>
    <row r="914" spans="1:13" ht="15.75" customHeight="1" x14ac:dyDescent="0.25">
      <c r="A914" s="65">
        <v>39</v>
      </c>
      <c r="B914" s="66" t="s">
        <v>1010</v>
      </c>
      <c r="C914" s="82">
        <v>1</v>
      </c>
      <c r="D914" s="66" t="s">
        <v>1011</v>
      </c>
      <c r="E914" s="69" t="s">
        <v>126</v>
      </c>
      <c r="F914" s="76">
        <v>10301950024</v>
      </c>
      <c r="G914" s="71">
        <f t="shared" si="81"/>
        <v>31.550959999999996</v>
      </c>
      <c r="H914" s="71">
        <f t="shared" si="82"/>
        <v>31.550959999999996</v>
      </c>
      <c r="I914" s="71">
        <f t="shared" si="83"/>
        <v>31.550959999999996</v>
      </c>
      <c r="J914" s="71">
        <f t="shared" si="84"/>
        <v>31.550959999999996</v>
      </c>
      <c r="K914" s="72">
        <v>0</v>
      </c>
      <c r="M914" s="58">
        <f>VLOOKUP(D914,'TABELA DE PRECOS'!B:C,2,0)</f>
        <v>31.550959999999996</v>
      </c>
    </row>
    <row r="915" spans="1:13" ht="15.75" customHeight="1" x14ac:dyDescent="0.25">
      <c r="A915" s="65">
        <v>40</v>
      </c>
      <c r="B915" s="66" t="s">
        <v>1600</v>
      </c>
      <c r="C915" s="82">
        <v>2</v>
      </c>
      <c r="D915" s="66" t="s">
        <v>1013</v>
      </c>
      <c r="E915" s="69" t="s">
        <v>126</v>
      </c>
      <c r="F915" s="76">
        <v>10301950024</v>
      </c>
      <c r="G915" s="71">
        <f t="shared" si="81"/>
        <v>100.23</v>
      </c>
      <c r="H915" s="71">
        <f t="shared" si="82"/>
        <v>200.46</v>
      </c>
      <c r="I915" s="71">
        <f t="shared" si="83"/>
        <v>100.23</v>
      </c>
      <c r="J915" s="71">
        <f t="shared" si="84"/>
        <v>200.46</v>
      </c>
      <c r="K915" s="72">
        <v>0</v>
      </c>
      <c r="M915" s="58">
        <f>VLOOKUP(D915,'TABELA DE PRECOS'!B:C,2,0)</f>
        <v>100.23</v>
      </c>
    </row>
    <row r="916" spans="1:13" ht="15.75" customHeight="1" x14ac:dyDescent="0.25">
      <c r="A916" s="65">
        <v>41</v>
      </c>
      <c r="B916" s="66" t="s">
        <v>1601</v>
      </c>
      <c r="C916" s="82">
        <v>2</v>
      </c>
      <c r="D916" s="75" t="s">
        <v>1015</v>
      </c>
      <c r="E916" s="69" t="s">
        <v>126</v>
      </c>
      <c r="F916" s="76">
        <v>10301950024</v>
      </c>
      <c r="G916" s="71">
        <f t="shared" si="81"/>
        <v>17.724240000000002</v>
      </c>
      <c r="H916" s="71">
        <f t="shared" si="82"/>
        <v>35.448480000000004</v>
      </c>
      <c r="I916" s="71">
        <f t="shared" si="83"/>
        <v>17.724240000000002</v>
      </c>
      <c r="J916" s="71">
        <f t="shared" si="84"/>
        <v>35.448480000000004</v>
      </c>
      <c r="K916" s="72">
        <v>0</v>
      </c>
      <c r="M916" s="58">
        <f>VLOOKUP(D916,'TABELA DE PRECOS'!B:C,2,0)</f>
        <v>17.724240000000002</v>
      </c>
    </row>
    <row r="917" spans="1:13" ht="15.75" customHeight="1" x14ac:dyDescent="0.25">
      <c r="A917" s="65">
        <v>42</v>
      </c>
      <c r="B917" s="66" t="s">
        <v>1016</v>
      </c>
      <c r="C917" s="82">
        <v>1</v>
      </c>
      <c r="D917" s="76" t="s">
        <v>1017</v>
      </c>
      <c r="E917" s="69" t="s">
        <v>131</v>
      </c>
      <c r="F917" s="76">
        <v>81897719002</v>
      </c>
      <c r="G917" s="71">
        <f t="shared" si="81"/>
        <v>19.670000000000002</v>
      </c>
      <c r="H917" s="71">
        <f t="shared" si="82"/>
        <v>19.670000000000002</v>
      </c>
      <c r="I917" s="71">
        <f t="shared" si="83"/>
        <v>19.670000000000002</v>
      </c>
      <c r="J917" s="71">
        <f t="shared" si="84"/>
        <v>19.670000000000002</v>
      </c>
      <c r="K917" s="72">
        <v>0</v>
      </c>
      <c r="M917" s="58">
        <f>VLOOKUP(D917,'TABELA DE PRECOS'!B:C,2,0)</f>
        <v>19.670000000000002</v>
      </c>
    </row>
    <row r="918" spans="1:13" ht="15.75" customHeight="1" x14ac:dyDescent="0.25">
      <c r="A918" s="65">
        <v>43</v>
      </c>
      <c r="B918" s="66" t="s">
        <v>578</v>
      </c>
      <c r="C918" s="82">
        <v>2</v>
      </c>
      <c r="D918" s="76" t="s">
        <v>579</v>
      </c>
      <c r="E918" s="69" t="s">
        <v>131</v>
      </c>
      <c r="F918" s="76">
        <v>81897719002</v>
      </c>
      <c r="G918" s="71">
        <f t="shared" si="81"/>
        <v>17.474799999999998</v>
      </c>
      <c r="H918" s="71">
        <f t="shared" si="82"/>
        <v>34.949599999999997</v>
      </c>
      <c r="I918" s="71">
        <f t="shared" si="83"/>
        <v>17.474799999999998</v>
      </c>
      <c r="J918" s="71">
        <f t="shared" si="84"/>
        <v>34.949599999999997</v>
      </c>
      <c r="K918" s="72">
        <v>0</v>
      </c>
      <c r="M918" s="58">
        <f>VLOOKUP(D918,'TABELA DE PRECOS'!B:C,2,0)</f>
        <v>17.474799999999998</v>
      </c>
    </row>
    <row r="919" spans="1:13" ht="15.75" customHeight="1" x14ac:dyDescent="0.25">
      <c r="A919" s="65">
        <v>44</v>
      </c>
      <c r="B919" s="66" t="s">
        <v>1602</v>
      </c>
      <c r="C919" s="82">
        <v>1</v>
      </c>
      <c r="D919" s="76" t="s">
        <v>1019</v>
      </c>
      <c r="E919" s="69" t="s">
        <v>126</v>
      </c>
      <c r="F919" s="76">
        <v>10301950027</v>
      </c>
      <c r="G919" s="71">
        <f t="shared" si="81"/>
        <v>58.850080000000005</v>
      </c>
      <c r="H919" s="71">
        <f t="shared" si="82"/>
        <v>58.850080000000005</v>
      </c>
      <c r="I919" s="71">
        <f t="shared" si="83"/>
        <v>58.850080000000005</v>
      </c>
      <c r="J919" s="71">
        <f t="shared" si="84"/>
        <v>58.850080000000005</v>
      </c>
      <c r="K919" s="72">
        <v>0</v>
      </c>
      <c r="M919" s="58">
        <f>VLOOKUP(D919,'TABELA DE PRECOS'!B:C,2,0)</f>
        <v>58.850080000000005</v>
      </c>
    </row>
    <row r="920" spans="1:13" ht="15.75" customHeight="1" x14ac:dyDescent="0.25">
      <c r="A920" s="65">
        <v>45</v>
      </c>
      <c r="B920" s="66" t="s">
        <v>1611</v>
      </c>
      <c r="C920" s="82">
        <v>2</v>
      </c>
      <c r="D920" s="75" t="s">
        <v>1021</v>
      </c>
      <c r="E920" s="69" t="s">
        <v>126</v>
      </c>
      <c r="F920" s="76">
        <v>10301950027</v>
      </c>
      <c r="G920" s="71">
        <f t="shared" si="81"/>
        <v>58.850080000000005</v>
      </c>
      <c r="H920" s="71">
        <f t="shared" si="82"/>
        <v>117.70016000000001</v>
      </c>
      <c r="I920" s="71">
        <f t="shared" si="83"/>
        <v>58.850080000000005</v>
      </c>
      <c r="J920" s="71">
        <f t="shared" si="84"/>
        <v>117.70016000000001</v>
      </c>
      <c r="K920" s="72">
        <v>0</v>
      </c>
      <c r="M920" s="58">
        <f>VLOOKUP(D920,'TABELA DE PRECOS'!B:C,2,0)</f>
        <v>58.850080000000005</v>
      </c>
    </row>
    <row r="921" spans="1:13" ht="15.75" customHeight="1" x14ac:dyDescent="0.25">
      <c r="A921" s="65">
        <v>46</v>
      </c>
      <c r="B921" s="66" t="s">
        <v>1022</v>
      </c>
      <c r="C921" s="82">
        <v>1</v>
      </c>
      <c r="D921" s="66" t="s">
        <v>1023</v>
      </c>
      <c r="E921" s="69" t="s">
        <v>126</v>
      </c>
      <c r="F921" s="76">
        <v>10301950027</v>
      </c>
      <c r="G921" s="71">
        <f t="shared" si="81"/>
        <v>66.043599999999998</v>
      </c>
      <c r="H921" s="71">
        <f t="shared" si="82"/>
        <v>66.043599999999998</v>
      </c>
      <c r="I921" s="71">
        <f t="shared" si="83"/>
        <v>66.043599999999998</v>
      </c>
      <c r="J921" s="71">
        <f t="shared" si="84"/>
        <v>66.043599999999998</v>
      </c>
      <c r="K921" s="72">
        <v>0</v>
      </c>
      <c r="M921" s="58">
        <f>VLOOKUP(D921,'TABELA DE PRECOS'!B:C,2,0)</f>
        <v>66.043599999999998</v>
      </c>
    </row>
    <row r="922" spans="1:13" ht="15.75" customHeight="1" x14ac:dyDescent="0.25">
      <c r="A922" s="65">
        <v>47</v>
      </c>
      <c r="B922" s="66" t="s">
        <v>1603</v>
      </c>
      <c r="C922" s="82">
        <v>1</v>
      </c>
      <c r="D922" s="66" t="s">
        <v>1025</v>
      </c>
      <c r="E922" s="69" t="s">
        <v>126</v>
      </c>
      <c r="F922" s="76">
        <v>10301950027</v>
      </c>
      <c r="G922" s="71">
        <f t="shared" si="81"/>
        <v>72.973439999999997</v>
      </c>
      <c r="H922" s="71">
        <f t="shared" si="82"/>
        <v>72.973439999999997</v>
      </c>
      <c r="I922" s="71">
        <f t="shared" si="83"/>
        <v>72.973439999999997</v>
      </c>
      <c r="J922" s="71">
        <f t="shared" si="84"/>
        <v>72.973439999999997</v>
      </c>
      <c r="K922" s="72">
        <v>0</v>
      </c>
      <c r="M922" s="58">
        <f>VLOOKUP(D922,'TABELA DE PRECOS'!B:C,2,0)</f>
        <v>72.973439999999997</v>
      </c>
    </row>
    <row r="923" spans="1:13" ht="15.75" customHeight="1" x14ac:dyDescent="0.25">
      <c r="A923" s="65">
        <v>48</v>
      </c>
      <c r="B923" s="66" t="s">
        <v>1604</v>
      </c>
      <c r="C923" s="82">
        <v>1</v>
      </c>
      <c r="D923" s="66" t="s">
        <v>1027</v>
      </c>
      <c r="E923" s="69" t="s">
        <v>126</v>
      </c>
      <c r="F923" s="76">
        <v>10301950027</v>
      </c>
      <c r="G923" s="71">
        <f t="shared" si="81"/>
        <v>75.404240000000001</v>
      </c>
      <c r="H923" s="71">
        <f t="shared" si="82"/>
        <v>75.404240000000001</v>
      </c>
      <c r="I923" s="71">
        <f t="shared" si="83"/>
        <v>75.404240000000001</v>
      </c>
      <c r="J923" s="71">
        <f t="shared" si="84"/>
        <v>75.404240000000001</v>
      </c>
      <c r="K923" s="72">
        <v>0</v>
      </c>
      <c r="M923" s="58">
        <f>VLOOKUP(D923,'TABELA DE PRECOS'!B:C,2,0)</f>
        <v>75.404240000000001</v>
      </c>
    </row>
    <row r="924" spans="1:13" ht="15.75" customHeight="1" x14ac:dyDescent="0.25">
      <c r="A924" s="65">
        <v>49</v>
      </c>
      <c r="B924" s="66" t="s">
        <v>1605</v>
      </c>
      <c r="C924" s="82">
        <v>2</v>
      </c>
      <c r="D924" s="66" t="s">
        <v>1029</v>
      </c>
      <c r="E924" s="69" t="s">
        <v>126</v>
      </c>
      <c r="F924" s="76">
        <v>10301950027</v>
      </c>
      <c r="G924" s="71">
        <f t="shared" si="81"/>
        <v>28.642240000000001</v>
      </c>
      <c r="H924" s="71">
        <f t="shared" si="82"/>
        <v>57.284480000000002</v>
      </c>
      <c r="I924" s="71">
        <f t="shared" si="83"/>
        <v>28.642240000000001</v>
      </c>
      <c r="J924" s="71">
        <f t="shared" si="84"/>
        <v>57.284480000000002</v>
      </c>
      <c r="K924" s="72">
        <v>0</v>
      </c>
      <c r="M924" s="58">
        <f>VLOOKUP(D924,'TABELA DE PRECOS'!B:C,2,0)</f>
        <v>28.642240000000001</v>
      </c>
    </row>
    <row r="925" spans="1:13" ht="15.75" customHeight="1" x14ac:dyDescent="0.25">
      <c r="A925" s="65">
        <v>50</v>
      </c>
      <c r="B925" s="66" t="s">
        <v>1030</v>
      </c>
      <c r="C925" s="82">
        <v>2</v>
      </c>
      <c r="D925" s="66" t="s">
        <v>1031</v>
      </c>
      <c r="E925" s="69" t="s">
        <v>126</v>
      </c>
      <c r="F925" s="76">
        <v>10301950027</v>
      </c>
      <c r="G925" s="71">
        <f t="shared" si="81"/>
        <v>68.869920000000008</v>
      </c>
      <c r="H925" s="71">
        <f t="shared" si="82"/>
        <v>137.73984000000002</v>
      </c>
      <c r="I925" s="71">
        <f t="shared" si="83"/>
        <v>68.869920000000008</v>
      </c>
      <c r="J925" s="71">
        <f t="shared" si="84"/>
        <v>137.73984000000002</v>
      </c>
      <c r="K925" s="72">
        <v>0</v>
      </c>
      <c r="M925" s="58">
        <f>VLOOKUP(D925,'TABELA DE PRECOS'!B:C,2,0)</f>
        <v>68.869920000000008</v>
      </c>
    </row>
    <row r="926" spans="1:13" ht="15.75" customHeight="1" x14ac:dyDescent="0.25">
      <c r="A926" s="65">
        <v>51</v>
      </c>
      <c r="B926" s="66" t="s">
        <v>1032</v>
      </c>
      <c r="C926" s="82">
        <v>1</v>
      </c>
      <c r="D926" s="76" t="s">
        <v>1033</v>
      </c>
      <c r="E926" s="69" t="s">
        <v>131</v>
      </c>
      <c r="F926" s="76">
        <v>81897719002</v>
      </c>
      <c r="G926" s="71">
        <f t="shared" si="81"/>
        <v>8.4542400000000004</v>
      </c>
      <c r="H926" s="71">
        <f t="shared" si="82"/>
        <v>8.4542400000000004</v>
      </c>
      <c r="I926" s="71">
        <f t="shared" si="83"/>
        <v>8.4542400000000004</v>
      </c>
      <c r="J926" s="71">
        <f t="shared" si="84"/>
        <v>8.4542400000000004</v>
      </c>
      <c r="K926" s="72">
        <v>0</v>
      </c>
      <c r="M926" s="58">
        <f>VLOOKUP(D926,'TABELA DE PRECOS'!B:C,2,0)</f>
        <v>8.4542400000000004</v>
      </c>
    </row>
    <row r="927" spans="1:13" ht="15.75" customHeight="1" x14ac:dyDescent="0.25">
      <c r="A927" s="65">
        <v>52</v>
      </c>
      <c r="B927" s="66" t="s">
        <v>729</v>
      </c>
      <c r="C927" s="82">
        <v>1</v>
      </c>
      <c r="D927" s="100" t="s">
        <v>730</v>
      </c>
      <c r="E927" s="69" t="s">
        <v>131</v>
      </c>
      <c r="F927" s="76">
        <v>81897710023</v>
      </c>
      <c r="G927" s="71">
        <f t="shared" si="81"/>
        <v>11.12</v>
      </c>
      <c r="H927" s="71">
        <f t="shared" si="82"/>
        <v>11.12</v>
      </c>
      <c r="I927" s="71">
        <f t="shared" si="83"/>
        <v>11.12</v>
      </c>
      <c r="J927" s="71">
        <f t="shared" si="84"/>
        <v>11.12</v>
      </c>
      <c r="K927" s="72">
        <v>0</v>
      </c>
      <c r="M927" s="58">
        <f>VLOOKUP(D927,'TABELA DE PRECOS'!B:C,2,0)</f>
        <v>11.12</v>
      </c>
    </row>
    <row r="928" spans="1:13" ht="15.75" customHeight="1" x14ac:dyDescent="0.25">
      <c r="A928" s="65">
        <v>53</v>
      </c>
      <c r="B928" s="66" t="s">
        <v>1034</v>
      </c>
      <c r="C928" s="82">
        <v>1</v>
      </c>
      <c r="D928" s="66" t="s">
        <v>1035</v>
      </c>
      <c r="E928" s="69" t="s">
        <v>126</v>
      </c>
      <c r="F928" s="76">
        <v>10301950027</v>
      </c>
      <c r="G928" s="71">
        <f t="shared" si="81"/>
        <v>88.283360000000002</v>
      </c>
      <c r="H928" s="71">
        <f t="shared" si="82"/>
        <v>88.283360000000002</v>
      </c>
      <c r="I928" s="71">
        <f t="shared" si="83"/>
        <v>88.283360000000002</v>
      </c>
      <c r="J928" s="71">
        <f t="shared" si="84"/>
        <v>88.283360000000002</v>
      </c>
      <c r="K928" s="72">
        <v>0</v>
      </c>
      <c r="M928" s="58">
        <f>VLOOKUP(D928,'TABELA DE PRECOS'!B:C,2,0)</f>
        <v>88.283360000000002</v>
      </c>
    </row>
    <row r="929" spans="1:13" ht="15.75" customHeight="1" x14ac:dyDescent="0.25">
      <c r="A929" s="65">
        <v>54</v>
      </c>
      <c r="B929" s="66" t="s">
        <v>1036</v>
      </c>
      <c r="C929" s="82">
        <v>1</v>
      </c>
      <c r="D929" s="76" t="s">
        <v>1037</v>
      </c>
      <c r="E929" s="69" t="s">
        <v>131</v>
      </c>
      <c r="F929" s="76">
        <v>81897719003</v>
      </c>
      <c r="G929" s="71">
        <f t="shared" si="81"/>
        <v>135.91792000000001</v>
      </c>
      <c r="H929" s="71">
        <f t="shared" si="82"/>
        <v>135.91792000000001</v>
      </c>
      <c r="I929" s="71">
        <f t="shared" si="83"/>
        <v>135.91792000000001</v>
      </c>
      <c r="J929" s="71">
        <f t="shared" si="84"/>
        <v>135.91792000000001</v>
      </c>
      <c r="K929" s="72">
        <v>0</v>
      </c>
      <c r="M929" s="58">
        <f>VLOOKUP(D929,'TABELA DE PRECOS'!B:C,2,0)</f>
        <v>135.91792000000001</v>
      </c>
    </row>
    <row r="930" spans="1:13" ht="15.75" customHeight="1" x14ac:dyDescent="0.25">
      <c r="A930" s="65">
        <v>55</v>
      </c>
      <c r="B930" s="84" t="s">
        <v>1606</v>
      </c>
      <c r="C930" s="73">
        <v>1</v>
      </c>
      <c r="D930" s="84" t="s">
        <v>1039</v>
      </c>
      <c r="E930" s="86" t="s">
        <v>126</v>
      </c>
      <c r="F930" s="85">
        <v>10301950042</v>
      </c>
      <c r="G930" s="71">
        <f t="shared" si="81"/>
        <v>130.95007999999999</v>
      </c>
      <c r="H930" s="71">
        <f t="shared" si="82"/>
        <v>130.95007999999999</v>
      </c>
      <c r="I930" s="71">
        <f t="shared" si="83"/>
        <v>130.95007999999999</v>
      </c>
      <c r="J930" s="71">
        <f t="shared" si="84"/>
        <v>130.95007999999999</v>
      </c>
      <c r="K930" s="72">
        <v>0</v>
      </c>
      <c r="M930" s="58">
        <f>VLOOKUP(D930,'TABELA DE PRECOS'!B:C,2,0)</f>
        <v>130.95007999999999</v>
      </c>
    </row>
    <row r="931" spans="1:13" ht="15.75" customHeight="1" x14ac:dyDescent="0.25">
      <c r="A931" s="65">
        <v>56</v>
      </c>
      <c r="B931" s="84" t="s">
        <v>1040</v>
      </c>
      <c r="C931" s="73">
        <v>1</v>
      </c>
      <c r="D931" s="85" t="s">
        <v>1041</v>
      </c>
      <c r="E931" s="86" t="s">
        <v>131</v>
      </c>
      <c r="F931" s="85">
        <v>81897719002</v>
      </c>
      <c r="G931" s="71">
        <f t="shared" si="81"/>
        <v>67.633920000000003</v>
      </c>
      <c r="H931" s="71">
        <f t="shared" si="82"/>
        <v>67.633920000000003</v>
      </c>
      <c r="I931" s="71">
        <f t="shared" si="83"/>
        <v>67.633920000000003</v>
      </c>
      <c r="J931" s="71">
        <f t="shared" si="84"/>
        <v>67.633920000000003</v>
      </c>
      <c r="K931" s="72">
        <v>0</v>
      </c>
      <c r="M931" s="58">
        <f>VLOOKUP(D931,'TABELA DE PRECOS'!B:C,2,0)</f>
        <v>67.633920000000003</v>
      </c>
    </row>
    <row r="932" spans="1:13" ht="15.75" customHeight="1" x14ac:dyDescent="0.25">
      <c r="A932" s="65">
        <v>57</v>
      </c>
      <c r="B932" s="84" t="s">
        <v>1042</v>
      </c>
      <c r="C932" s="73">
        <v>1</v>
      </c>
      <c r="D932" s="85" t="s">
        <v>1043</v>
      </c>
      <c r="E932" s="86" t="s">
        <v>131</v>
      </c>
      <c r="F932" s="85">
        <v>81897719002</v>
      </c>
      <c r="G932" s="71">
        <f t="shared" si="81"/>
        <v>74.975760000000008</v>
      </c>
      <c r="H932" s="71">
        <f t="shared" si="82"/>
        <v>74.975760000000008</v>
      </c>
      <c r="I932" s="71">
        <f t="shared" si="83"/>
        <v>74.975760000000008</v>
      </c>
      <c r="J932" s="71">
        <f t="shared" si="84"/>
        <v>74.975760000000008</v>
      </c>
      <c r="K932" s="72">
        <v>0</v>
      </c>
      <c r="M932" s="58">
        <f>VLOOKUP(D932,'TABELA DE PRECOS'!B:C,2,0)</f>
        <v>74.975760000000008</v>
      </c>
    </row>
    <row r="933" spans="1:13" ht="15.75" customHeight="1" x14ac:dyDescent="0.25">
      <c r="A933" s="65">
        <v>58</v>
      </c>
      <c r="B933" s="84" t="s">
        <v>1044</v>
      </c>
      <c r="C933" s="73">
        <v>2</v>
      </c>
      <c r="D933" s="84" t="s">
        <v>1045</v>
      </c>
      <c r="E933" s="86" t="s">
        <v>126</v>
      </c>
      <c r="F933" s="85">
        <v>10301950024</v>
      </c>
      <c r="G933" s="71">
        <f t="shared" si="81"/>
        <v>297.03552000000002</v>
      </c>
      <c r="H933" s="71">
        <f t="shared" si="82"/>
        <v>594.07104000000004</v>
      </c>
      <c r="I933" s="71">
        <f t="shared" si="83"/>
        <v>297.03552000000002</v>
      </c>
      <c r="J933" s="71">
        <f t="shared" si="84"/>
        <v>594.07104000000004</v>
      </c>
      <c r="K933" s="72">
        <v>0</v>
      </c>
      <c r="M933" s="58">
        <f>VLOOKUP(D933,'TABELA DE PRECOS'!B:C,2,0)</f>
        <v>297.03552000000002</v>
      </c>
    </row>
    <row r="934" spans="1:13" ht="15.75" customHeight="1" x14ac:dyDescent="0.25">
      <c r="A934" s="65">
        <v>59</v>
      </c>
      <c r="B934" s="84" t="s">
        <v>1046</v>
      </c>
      <c r="C934" s="73">
        <v>1</v>
      </c>
      <c r="D934" s="49" t="s">
        <v>1047</v>
      </c>
      <c r="E934" s="86" t="s">
        <v>131</v>
      </c>
      <c r="F934" s="85">
        <v>81897710009</v>
      </c>
      <c r="G934" s="71">
        <f t="shared" si="81"/>
        <v>290.89671999999996</v>
      </c>
      <c r="H934" s="71">
        <f t="shared" si="82"/>
        <v>290.89671999999996</v>
      </c>
      <c r="I934" s="71">
        <f t="shared" si="83"/>
        <v>290.89671999999996</v>
      </c>
      <c r="J934" s="71">
        <f t="shared" si="84"/>
        <v>290.89671999999996</v>
      </c>
      <c r="K934" s="72">
        <v>0</v>
      </c>
      <c r="M934" s="58">
        <f>VLOOKUP(D934,'TABELA DE PRECOS'!B:C,2,0)</f>
        <v>290.89671999999996</v>
      </c>
    </row>
    <row r="935" spans="1:13" ht="15.75" customHeight="1" x14ac:dyDescent="0.25">
      <c r="A935" s="65">
        <v>60</v>
      </c>
      <c r="B935" s="84" t="s">
        <v>397</v>
      </c>
      <c r="C935" s="73">
        <v>1</v>
      </c>
      <c r="D935" s="85" t="s">
        <v>398</v>
      </c>
      <c r="E935" s="86" t="s">
        <v>131</v>
      </c>
      <c r="F935" s="85">
        <v>81897719002</v>
      </c>
      <c r="G935" s="71">
        <f t="shared" si="81"/>
        <v>9.19</v>
      </c>
      <c r="H935" s="71">
        <f t="shared" si="82"/>
        <v>9.19</v>
      </c>
      <c r="I935" s="71">
        <f t="shared" si="83"/>
        <v>9.19</v>
      </c>
      <c r="J935" s="71">
        <f t="shared" si="84"/>
        <v>9.19</v>
      </c>
      <c r="K935" s="72">
        <v>0</v>
      </c>
      <c r="M935" s="58">
        <f>VLOOKUP(D935,'TABELA DE PRECOS'!B:C,2,0)</f>
        <v>9.19</v>
      </c>
    </row>
    <row r="936" spans="1:13" ht="15.75" customHeight="1" x14ac:dyDescent="0.25">
      <c r="A936" s="65">
        <v>61</v>
      </c>
      <c r="B936" s="84" t="s">
        <v>399</v>
      </c>
      <c r="C936" s="73">
        <v>1</v>
      </c>
      <c r="D936" s="85" t="s">
        <v>400</v>
      </c>
      <c r="E936" s="86" t="s">
        <v>131</v>
      </c>
      <c r="F936" s="85">
        <v>81897719002</v>
      </c>
      <c r="G936" s="71">
        <f t="shared" si="81"/>
        <v>8.85</v>
      </c>
      <c r="H936" s="71">
        <f t="shared" si="82"/>
        <v>8.85</v>
      </c>
      <c r="I936" s="71">
        <f t="shared" si="83"/>
        <v>8.85</v>
      </c>
      <c r="J936" s="71">
        <f t="shared" si="84"/>
        <v>8.85</v>
      </c>
      <c r="K936" s="72">
        <v>0</v>
      </c>
      <c r="M936" s="58">
        <f>VLOOKUP(D936,'TABELA DE PRECOS'!B:C,2,0)</f>
        <v>8.85</v>
      </c>
    </row>
    <row r="937" spans="1:13" ht="15.75" customHeight="1" x14ac:dyDescent="0.25">
      <c r="A937" s="65">
        <v>62</v>
      </c>
      <c r="B937" s="84" t="s">
        <v>195</v>
      </c>
      <c r="C937" s="73">
        <v>1</v>
      </c>
      <c r="D937" s="85" t="s">
        <v>196</v>
      </c>
      <c r="E937" s="86" t="s">
        <v>131</v>
      </c>
      <c r="F937" s="85">
        <v>81897719002</v>
      </c>
      <c r="G937" s="71">
        <f t="shared" si="81"/>
        <v>9.0399999999999991</v>
      </c>
      <c r="H937" s="71">
        <f t="shared" si="82"/>
        <v>9.0399999999999991</v>
      </c>
      <c r="I937" s="71">
        <f t="shared" si="83"/>
        <v>9.0399999999999991</v>
      </c>
      <c r="J937" s="71">
        <f t="shared" si="84"/>
        <v>9.0399999999999991</v>
      </c>
      <c r="K937" s="72">
        <v>0</v>
      </c>
      <c r="M937" s="58">
        <f>VLOOKUP(D937,'TABELA DE PRECOS'!B:C,2,0)</f>
        <v>9.0399999999999991</v>
      </c>
    </row>
    <row r="938" spans="1:13" ht="15.75" customHeight="1" x14ac:dyDescent="0.25">
      <c r="A938" s="65">
        <v>63</v>
      </c>
      <c r="B938" s="84" t="s">
        <v>310</v>
      </c>
      <c r="C938" s="73">
        <v>1</v>
      </c>
      <c r="D938" s="85" t="s">
        <v>311</v>
      </c>
      <c r="E938" s="86" t="s">
        <v>131</v>
      </c>
      <c r="F938" s="85">
        <v>81897719002</v>
      </c>
      <c r="G938" s="71">
        <f t="shared" si="81"/>
        <v>10.7</v>
      </c>
      <c r="H938" s="71">
        <f t="shared" si="82"/>
        <v>10.7</v>
      </c>
      <c r="I938" s="71">
        <f t="shared" si="83"/>
        <v>10.7</v>
      </c>
      <c r="J938" s="71">
        <f t="shared" si="84"/>
        <v>10.7</v>
      </c>
      <c r="K938" s="72">
        <v>0</v>
      </c>
      <c r="M938" s="58">
        <f>VLOOKUP(D938,'TABELA DE PRECOS'!B:C,2,0)</f>
        <v>10.7</v>
      </c>
    </row>
    <row r="939" spans="1:13" ht="15.75" customHeight="1" x14ac:dyDescent="0.25">
      <c r="A939" s="65">
        <v>64</v>
      </c>
      <c r="B939" s="84" t="s">
        <v>1048</v>
      </c>
      <c r="C939" s="73">
        <v>2</v>
      </c>
      <c r="D939" s="49" t="s">
        <v>1049</v>
      </c>
      <c r="E939" s="86" t="s">
        <v>126</v>
      </c>
      <c r="F939" s="85">
        <v>10301950027</v>
      </c>
      <c r="G939" s="71">
        <f t="shared" si="81"/>
        <v>39.461359999999999</v>
      </c>
      <c r="H939" s="71">
        <f t="shared" si="82"/>
        <v>78.922719999999998</v>
      </c>
      <c r="I939" s="71">
        <f t="shared" si="83"/>
        <v>39.461359999999999</v>
      </c>
      <c r="J939" s="71">
        <f t="shared" si="84"/>
        <v>78.922719999999998</v>
      </c>
      <c r="K939" s="72">
        <v>0</v>
      </c>
      <c r="M939" s="58">
        <f>VLOOKUP(D939,'TABELA DE PRECOS'!B:C,2,0)</f>
        <v>39.461359999999999</v>
      </c>
    </row>
    <row r="940" spans="1:13" ht="15.75" customHeight="1" x14ac:dyDescent="0.25">
      <c r="A940" s="65">
        <v>65</v>
      </c>
      <c r="B940" s="84" t="s">
        <v>185</v>
      </c>
      <c r="C940" s="73">
        <v>6</v>
      </c>
      <c r="D940" s="85" t="s">
        <v>186</v>
      </c>
      <c r="E940" s="86" t="s">
        <v>131</v>
      </c>
      <c r="F940" s="85">
        <v>81897719002</v>
      </c>
      <c r="G940" s="71">
        <f t="shared" si="81"/>
        <v>17.28</v>
      </c>
      <c r="H940" s="71">
        <f t="shared" si="82"/>
        <v>103.68</v>
      </c>
      <c r="I940" s="71">
        <f t="shared" si="83"/>
        <v>17.28</v>
      </c>
      <c r="J940" s="71">
        <f t="shared" si="84"/>
        <v>103.68</v>
      </c>
      <c r="K940" s="72">
        <v>0</v>
      </c>
      <c r="M940" s="58">
        <f>VLOOKUP(D940,'TABELA DE PRECOS'!B:C,2,0)</f>
        <v>17.28</v>
      </c>
    </row>
    <row r="941" spans="1:13" ht="15.75" customHeight="1" x14ac:dyDescent="0.25">
      <c r="A941" s="65">
        <v>66</v>
      </c>
      <c r="B941" s="84" t="s">
        <v>254</v>
      </c>
      <c r="C941" s="73">
        <v>4</v>
      </c>
      <c r="D941" s="85" t="s">
        <v>255</v>
      </c>
      <c r="E941" s="86" t="s">
        <v>131</v>
      </c>
      <c r="F941" s="85">
        <v>81897719002</v>
      </c>
      <c r="G941" s="71">
        <f t="shared" si="81"/>
        <v>16.68</v>
      </c>
      <c r="H941" s="71">
        <f t="shared" si="82"/>
        <v>66.72</v>
      </c>
      <c r="I941" s="71">
        <f t="shared" si="83"/>
        <v>16.68</v>
      </c>
      <c r="J941" s="71">
        <f t="shared" si="84"/>
        <v>66.72</v>
      </c>
      <c r="K941" s="72">
        <v>0</v>
      </c>
      <c r="M941" s="58">
        <f>VLOOKUP(D941,'TABELA DE PRECOS'!B:C,2,0)</f>
        <v>16.68</v>
      </c>
    </row>
    <row r="942" spans="1:13" ht="15.75" customHeight="1" x14ac:dyDescent="0.25">
      <c r="A942" s="65">
        <v>67</v>
      </c>
      <c r="B942" s="84" t="s">
        <v>1607</v>
      </c>
      <c r="C942" s="73">
        <v>1</v>
      </c>
      <c r="D942" s="84" t="s">
        <v>1051</v>
      </c>
      <c r="E942" s="86" t="s">
        <v>126</v>
      </c>
      <c r="F942" s="85">
        <v>10301950026</v>
      </c>
      <c r="G942" s="71">
        <f t="shared" si="81"/>
        <v>137.74807999999999</v>
      </c>
      <c r="H942" s="71">
        <f t="shared" si="82"/>
        <v>137.74807999999999</v>
      </c>
      <c r="I942" s="71">
        <f t="shared" si="83"/>
        <v>137.74807999999999</v>
      </c>
      <c r="J942" s="71">
        <f t="shared" si="84"/>
        <v>137.74807999999999</v>
      </c>
      <c r="K942" s="72">
        <v>0</v>
      </c>
      <c r="M942" s="58">
        <f>VLOOKUP(D942,'TABELA DE PRECOS'!B:C,2,0)</f>
        <v>137.74807999999999</v>
      </c>
    </row>
    <row r="943" spans="1:13" ht="15.75" customHeight="1" x14ac:dyDescent="0.25">
      <c r="A943" s="65">
        <v>68</v>
      </c>
      <c r="B943" s="84" t="s">
        <v>1052</v>
      </c>
      <c r="C943" s="73">
        <v>1</v>
      </c>
      <c r="D943" s="85" t="s">
        <v>1053</v>
      </c>
      <c r="E943" s="86" t="s">
        <v>131</v>
      </c>
      <c r="F943" s="85">
        <v>81897719002</v>
      </c>
      <c r="G943" s="71">
        <f t="shared" si="81"/>
        <v>145.61279999999999</v>
      </c>
      <c r="H943" s="71">
        <f t="shared" si="82"/>
        <v>145.61279999999999</v>
      </c>
      <c r="I943" s="71">
        <f t="shared" si="83"/>
        <v>145.61279999999999</v>
      </c>
      <c r="J943" s="71">
        <f t="shared" si="84"/>
        <v>145.61279999999999</v>
      </c>
      <c r="K943" s="72">
        <v>0</v>
      </c>
      <c r="M943" s="58">
        <f>VLOOKUP(D943,'TABELA DE PRECOS'!B:C,2,0)</f>
        <v>145.61279999999999</v>
      </c>
    </row>
    <row r="944" spans="1:13" ht="15.75" customHeight="1" x14ac:dyDescent="0.25">
      <c r="A944" s="65">
        <v>69</v>
      </c>
      <c r="B944" s="84" t="s">
        <v>1054</v>
      </c>
      <c r="C944" s="73">
        <v>2</v>
      </c>
      <c r="D944" s="85" t="s">
        <v>1055</v>
      </c>
      <c r="E944" s="86" t="s">
        <v>131</v>
      </c>
      <c r="F944" s="85">
        <v>81897719003</v>
      </c>
      <c r="G944" s="71">
        <f t="shared" si="81"/>
        <v>70.443759999999997</v>
      </c>
      <c r="H944" s="71">
        <f t="shared" si="82"/>
        <v>140.88751999999999</v>
      </c>
      <c r="I944" s="71">
        <f t="shared" si="83"/>
        <v>70.443759999999997</v>
      </c>
      <c r="J944" s="71">
        <f t="shared" si="84"/>
        <v>140.88751999999999</v>
      </c>
      <c r="K944" s="72">
        <v>0</v>
      </c>
      <c r="M944" s="58">
        <f>VLOOKUP(D944,'TABELA DE PRECOS'!B:C,2,0)</f>
        <v>70.443759999999997</v>
      </c>
    </row>
    <row r="945" spans="1:13" ht="15.75" customHeight="1" x14ac:dyDescent="0.25">
      <c r="A945" s="65">
        <v>70</v>
      </c>
      <c r="B945" s="84" t="s">
        <v>1056</v>
      </c>
      <c r="C945" s="73">
        <v>2</v>
      </c>
      <c r="D945" s="85" t="s">
        <v>1057</v>
      </c>
      <c r="E945" s="86" t="s">
        <v>131</v>
      </c>
      <c r="F945" s="85">
        <v>81897719003</v>
      </c>
      <c r="G945" s="71">
        <f t="shared" si="81"/>
        <v>118.35936</v>
      </c>
      <c r="H945" s="71">
        <f t="shared" si="82"/>
        <v>236.71871999999999</v>
      </c>
      <c r="I945" s="71">
        <f t="shared" si="83"/>
        <v>118.35936</v>
      </c>
      <c r="J945" s="71">
        <f t="shared" si="84"/>
        <v>236.71871999999999</v>
      </c>
      <c r="K945" s="72">
        <v>0</v>
      </c>
      <c r="M945" s="58">
        <f>VLOOKUP(D945,'TABELA DE PRECOS'!B:C,2,0)</f>
        <v>118.35936</v>
      </c>
    </row>
    <row r="946" spans="1:13" ht="15.75" customHeight="1" x14ac:dyDescent="0.25">
      <c r="A946" s="65">
        <v>71</v>
      </c>
      <c r="B946" s="84" t="s">
        <v>751</v>
      </c>
      <c r="C946" s="73">
        <v>1</v>
      </c>
      <c r="D946" s="85" t="s">
        <v>752</v>
      </c>
      <c r="E946" s="86" t="s">
        <v>131</v>
      </c>
      <c r="F946" s="85">
        <v>81897719003</v>
      </c>
      <c r="G946" s="71">
        <f t="shared" si="81"/>
        <v>122.24039999999999</v>
      </c>
      <c r="H946" s="71">
        <f t="shared" si="82"/>
        <v>122.24039999999999</v>
      </c>
      <c r="I946" s="71">
        <f t="shared" si="83"/>
        <v>122.24039999999999</v>
      </c>
      <c r="J946" s="71">
        <f t="shared" si="84"/>
        <v>122.24039999999999</v>
      </c>
      <c r="K946" s="72">
        <v>0</v>
      </c>
      <c r="M946" s="58">
        <f>VLOOKUP(D946,'TABELA DE PRECOS'!B:C,2,0)</f>
        <v>122.24039999999999</v>
      </c>
    </row>
    <row r="947" spans="1:13" ht="15.75" customHeight="1" x14ac:dyDescent="0.25">
      <c r="A947" s="65">
        <v>72</v>
      </c>
      <c r="B947" s="84" t="s">
        <v>421</v>
      </c>
      <c r="C947" s="73">
        <v>2</v>
      </c>
      <c r="D947" s="85" t="s">
        <v>422</v>
      </c>
      <c r="E947" s="86" t="s">
        <v>131</v>
      </c>
      <c r="F947" s="85">
        <v>81897719002</v>
      </c>
      <c r="G947" s="71">
        <f t="shared" si="81"/>
        <v>11.13</v>
      </c>
      <c r="H947" s="71">
        <f t="shared" si="82"/>
        <v>22.26</v>
      </c>
      <c r="I947" s="71">
        <f t="shared" si="83"/>
        <v>11.13</v>
      </c>
      <c r="J947" s="71">
        <f t="shared" si="84"/>
        <v>22.26</v>
      </c>
      <c r="K947" s="72">
        <v>0</v>
      </c>
      <c r="M947" s="58">
        <f>VLOOKUP(D947,'TABELA DE PRECOS'!B:C,2,0)</f>
        <v>11.13</v>
      </c>
    </row>
    <row r="948" spans="1:13" ht="15.75" customHeight="1" x14ac:dyDescent="0.25">
      <c r="A948" s="65">
        <v>73</v>
      </c>
      <c r="B948" s="84" t="s">
        <v>459</v>
      </c>
      <c r="C948" s="73">
        <v>2</v>
      </c>
      <c r="D948" s="85" t="s">
        <v>460</v>
      </c>
      <c r="E948" s="86" t="s">
        <v>131</v>
      </c>
      <c r="F948" s="85">
        <v>81897719002</v>
      </c>
      <c r="G948" s="71">
        <f t="shared" si="81"/>
        <v>12.17216</v>
      </c>
      <c r="H948" s="71">
        <f t="shared" si="82"/>
        <v>24.34432</v>
      </c>
      <c r="I948" s="71">
        <f t="shared" si="83"/>
        <v>12.17216</v>
      </c>
      <c r="J948" s="71">
        <f t="shared" si="84"/>
        <v>24.34432</v>
      </c>
      <c r="K948" s="72">
        <v>0</v>
      </c>
      <c r="M948" s="58">
        <f>VLOOKUP(D948,'TABELA DE PRECOS'!B:C,2,0)</f>
        <v>12.17216</v>
      </c>
    </row>
    <row r="949" spans="1:13" ht="15.75" customHeight="1" x14ac:dyDescent="0.25">
      <c r="A949" s="65">
        <v>74</v>
      </c>
      <c r="B949" s="84" t="s">
        <v>370</v>
      </c>
      <c r="C949" s="73">
        <v>2</v>
      </c>
      <c r="D949" s="85" t="s">
        <v>371</v>
      </c>
      <c r="E949" s="86" t="s">
        <v>131</v>
      </c>
      <c r="F949" s="85">
        <v>81897719002</v>
      </c>
      <c r="G949" s="71">
        <f t="shared" si="81"/>
        <v>19.41</v>
      </c>
      <c r="H949" s="71">
        <f t="shared" si="82"/>
        <v>38.82</v>
      </c>
      <c r="I949" s="71">
        <f t="shared" si="83"/>
        <v>19.41</v>
      </c>
      <c r="J949" s="71">
        <f t="shared" si="84"/>
        <v>38.82</v>
      </c>
      <c r="K949" s="72">
        <v>0</v>
      </c>
      <c r="M949" s="58">
        <f>VLOOKUP(D949,'TABELA DE PRECOS'!B:C,2,0)</f>
        <v>19.41</v>
      </c>
    </row>
    <row r="950" spans="1:13" ht="15.75" customHeight="1" x14ac:dyDescent="0.25">
      <c r="A950" s="65">
        <v>75</v>
      </c>
      <c r="B950" s="84" t="s">
        <v>1058</v>
      </c>
      <c r="C950" s="73">
        <v>1</v>
      </c>
      <c r="D950" s="85" t="s">
        <v>1059</v>
      </c>
      <c r="E950" s="86" t="s">
        <v>131</v>
      </c>
      <c r="F950" s="85">
        <v>81897719002</v>
      </c>
      <c r="G950" s="71">
        <f t="shared" si="81"/>
        <v>27.933599999999998</v>
      </c>
      <c r="H950" s="71">
        <f t="shared" si="82"/>
        <v>27.933599999999998</v>
      </c>
      <c r="I950" s="71">
        <f t="shared" si="83"/>
        <v>27.933599999999998</v>
      </c>
      <c r="J950" s="71">
        <f t="shared" si="84"/>
        <v>27.933599999999998</v>
      </c>
      <c r="K950" s="72">
        <v>0</v>
      </c>
      <c r="M950" s="58">
        <f>VLOOKUP(D950,'TABELA DE PRECOS'!B:C,2,0)</f>
        <v>27.933599999999998</v>
      </c>
    </row>
    <row r="951" spans="1:13" ht="15.75" customHeight="1" x14ac:dyDescent="0.25">
      <c r="A951" s="65">
        <v>76</v>
      </c>
      <c r="B951" s="84" t="s">
        <v>372</v>
      </c>
      <c r="C951" s="73">
        <v>2</v>
      </c>
      <c r="D951" s="85" t="s">
        <v>373</v>
      </c>
      <c r="E951" s="86" t="s">
        <v>131</v>
      </c>
      <c r="F951" s="85" t="s">
        <v>223</v>
      </c>
      <c r="G951" s="71">
        <f t="shared" si="81"/>
        <v>452.16</v>
      </c>
      <c r="H951" s="71">
        <f t="shared" si="82"/>
        <v>904.32</v>
      </c>
      <c r="I951" s="71">
        <f t="shared" si="83"/>
        <v>452.16</v>
      </c>
      <c r="J951" s="71">
        <f t="shared" si="84"/>
        <v>904.32</v>
      </c>
      <c r="K951" s="72">
        <v>0</v>
      </c>
      <c r="M951" s="58">
        <f>VLOOKUP(D951,'TABELA DE PRECOS'!B:C,2,0)</f>
        <v>452.16</v>
      </c>
    </row>
    <row r="952" spans="1:13" ht="15.75" customHeight="1" x14ac:dyDescent="0.25">
      <c r="A952" s="65">
        <v>77</v>
      </c>
      <c r="B952" s="84" t="s">
        <v>630</v>
      </c>
      <c r="C952" s="73">
        <v>2</v>
      </c>
      <c r="D952" s="85" t="s">
        <v>631</v>
      </c>
      <c r="E952" s="86" t="s">
        <v>131</v>
      </c>
      <c r="F952" s="85" t="s">
        <v>223</v>
      </c>
      <c r="G952" s="71">
        <f t="shared" si="81"/>
        <v>602.25335999999993</v>
      </c>
      <c r="H952" s="71">
        <f t="shared" si="82"/>
        <v>1204.5067199999999</v>
      </c>
      <c r="I952" s="71">
        <f t="shared" si="83"/>
        <v>602.25335999999993</v>
      </c>
      <c r="J952" s="71">
        <f t="shared" si="84"/>
        <v>1204.5067199999999</v>
      </c>
      <c r="K952" s="72">
        <v>0</v>
      </c>
      <c r="M952" s="58">
        <f>VLOOKUP(D952,'TABELA DE PRECOS'!B:C,2,0)</f>
        <v>602.25335999999993</v>
      </c>
    </row>
    <row r="953" spans="1:13" ht="15.75" customHeight="1" x14ac:dyDescent="0.25">
      <c r="A953" s="65">
        <v>78</v>
      </c>
      <c r="B953" s="84" t="s">
        <v>376</v>
      </c>
      <c r="C953" s="73">
        <v>2</v>
      </c>
      <c r="D953" s="85" t="s">
        <v>1060</v>
      </c>
      <c r="E953" s="86" t="s">
        <v>131</v>
      </c>
      <c r="F953" s="85" t="s">
        <v>223</v>
      </c>
      <c r="G953" s="71">
        <f t="shared" si="81"/>
        <v>514.57000000000005</v>
      </c>
      <c r="H953" s="71">
        <f t="shared" si="82"/>
        <v>1029.1400000000001</v>
      </c>
      <c r="I953" s="71">
        <f t="shared" si="83"/>
        <v>514.57000000000005</v>
      </c>
      <c r="J953" s="71">
        <f t="shared" si="84"/>
        <v>1029.1400000000001</v>
      </c>
      <c r="K953" s="72">
        <v>0</v>
      </c>
      <c r="M953" s="58">
        <f>VLOOKUP(D953,'TABELA DE PRECOS'!B:C,2,0)</f>
        <v>514.57000000000005</v>
      </c>
    </row>
    <row r="954" spans="1:13" ht="15.75" customHeight="1" x14ac:dyDescent="0.25">
      <c r="A954" s="65">
        <v>79</v>
      </c>
      <c r="B954" s="84" t="s">
        <v>378</v>
      </c>
      <c r="C954" s="73">
        <v>4</v>
      </c>
      <c r="D954" s="85" t="s">
        <v>1061</v>
      </c>
      <c r="E954" s="86" t="s">
        <v>131</v>
      </c>
      <c r="F954" s="85" t="s">
        <v>223</v>
      </c>
      <c r="G954" s="71">
        <f t="shared" si="81"/>
        <v>9.18</v>
      </c>
      <c r="H954" s="71">
        <f t="shared" si="82"/>
        <v>36.72</v>
      </c>
      <c r="I954" s="71">
        <f t="shared" si="83"/>
        <v>9.18</v>
      </c>
      <c r="J954" s="71">
        <f t="shared" si="84"/>
        <v>36.72</v>
      </c>
      <c r="K954" s="72">
        <v>0</v>
      </c>
      <c r="M954" s="58">
        <f>VLOOKUP(D954,'TABELA DE PRECOS'!B:C,2,0)</f>
        <v>9.18</v>
      </c>
    </row>
    <row r="955" spans="1:13" ht="15.75" customHeight="1" x14ac:dyDescent="0.25">
      <c r="A955" s="78"/>
      <c r="B955" s="79" t="s">
        <v>224</v>
      </c>
      <c r="C955" s="79">
        <f>SUM(C876:C954)</f>
        <v>115</v>
      </c>
      <c r="D955" s="79"/>
      <c r="E955" s="79"/>
      <c r="F955" s="79"/>
      <c r="G955" s="80"/>
      <c r="H955" s="80">
        <f>SUM(H876:H954)</f>
        <v>8519.0439999999981</v>
      </c>
      <c r="I955" s="79"/>
      <c r="J955" s="80">
        <f>SUM(J876:J954)</f>
        <v>8519.0439999999981</v>
      </c>
      <c r="K955" s="81"/>
      <c r="M955" s="58" t="e">
        <f>VLOOKUP(D955,'TABELA DE PRECOS'!B:C,2,0)</f>
        <v>#N/A</v>
      </c>
    </row>
    <row r="956" spans="1:13" ht="15.75" customHeight="1" x14ac:dyDescent="0.25">
      <c r="A956" s="56"/>
      <c r="B956" s="49" t="s">
        <v>15</v>
      </c>
      <c r="C956" s="57"/>
      <c r="G956" s="58"/>
      <c r="H956" s="58"/>
      <c r="I956" s="58"/>
      <c r="J956" s="58"/>
      <c r="K956" s="59"/>
      <c r="M956" s="58" t="e">
        <f>VLOOKUP(D956,'TABELA DE PRECOS'!B:C,2,0)</f>
        <v>#N/A</v>
      </c>
    </row>
    <row r="957" spans="1:13" ht="15.75" customHeight="1" x14ac:dyDescent="0.25">
      <c r="A957" s="56"/>
      <c r="B957" s="18" t="s">
        <v>1062</v>
      </c>
      <c r="C957" s="57"/>
      <c r="G957" s="58"/>
      <c r="H957" s="58"/>
      <c r="I957" s="58"/>
      <c r="J957" s="58"/>
      <c r="K957" s="59"/>
      <c r="M957" s="58" t="e">
        <f>VLOOKUP(D957,'TABELA DE PRECOS'!B:C,2,0)</f>
        <v>#N/A</v>
      </c>
    </row>
    <row r="958" spans="1:13" ht="15.75" customHeight="1" x14ac:dyDescent="0.25">
      <c r="A958" s="18" t="s">
        <v>119</v>
      </c>
      <c r="B958" s="18" t="s">
        <v>120</v>
      </c>
      <c r="C958" s="18" t="s">
        <v>21</v>
      </c>
      <c r="D958" s="18" t="s">
        <v>121</v>
      </c>
      <c r="E958" s="60" t="s">
        <v>122</v>
      </c>
      <c r="F958" s="18" t="s">
        <v>123</v>
      </c>
      <c r="G958" s="61" t="s">
        <v>22</v>
      </c>
      <c r="H958" s="18" t="s">
        <v>23</v>
      </c>
      <c r="I958" s="18" t="s">
        <v>24</v>
      </c>
      <c r="J958" s="18" t="s">
        <v>25</v>
      </c>
      <c r="K958" s="62" t="s">
        <v>26</v>
      </c>
      <c r="M958" s="58" t="str">
        <f>VLOOKUP(D958,'TABELA DE PRECOS'!B:C,2,0)</f>
        <v>Valor Unit Bruto</v>
      </c>
    </row>
    <row r="959" spans="1:13" ht="14.25" customHeight="1" x14ac:dyDescent="0.25">
      <c r="A959" s="65">
        <v>1</v>
      </c>
      <c r="B959" s="66" t="s">
        <v>956</v>
      </c>
      <c r="C959" s="82">
        <v>1</v>
      </c>
      <c r="D959" s="76" t="s">
        <v>957</v>
      </c>
      <c r="E959" s="69" t="s">
        <v>126</v>
      </c>
      <c r="F959" s="76">
        <v>10301950027</v>
      </c>
      <c r="G959" s="71">
        <f t="shared" ref="G959:G968" si="85">M959</f>
        <v>110.17704000000001</v>
      </c>
      <c r="H959" s="71">
        <f t="shared" ref="H959:H1000" si="86">G959*C959</f>
        <v>110.17704000000001</v>
      </c>
      <c r="I959" s="71">
        <f t="shared" ref="I959:I1000" si="87">G959</f>
        <v>110.17704000000001</v>
      </c>
      <c r="J959" s="71">
        <f t="shared" ref="J959:J1000" si="88">I959*C959</f>
        <v>110.17704000000001</v>
      </c>
      <c r="K959" s="72">
        <v>0</v>
      </c>
      <c r="M959" s="58">
        <f>VLOOKUP(D959,'TABELA DE PRECOS'!B:C,2,0)</f>
        <v>110.17704000000001</v>
      </c>
    </row>
    <row r="960" spans="1:13" ht="14.25" customHeight="1" x14ac:dyDescent="0.25">
      <c r="A960" s="65">
        <v>2</v>
      </c>
      <c r="B960" s="66" t="s">
        <v>1063</v>
      </c>
      <c r="C960" s="82">
        <v>1</v>
      </c>
      <c r="D960" s="76" t="s">
        <v>1064</v>
      </c>
      <c r="E960" s="69" t="s">
        <v>131</v>
      </c>
      <c r="F960" s="76">
        <v>81897719002</v>
      </c>
      <c r="G960" s="71">
        <f t="shared" si="85"/>
        <v>79.384160000000008</v>
      </c>
      <c r="H960" s="71">
        <f t="shared" si="86"/>
        <v>79.384160000000008</v>
      </c>
      <c r="I960" s="71">
        <f t="shared" si="87"/>
        <v>79.384160000000008</v>
      </c>
      <c r="J960" s="71">
        <f t="shared" si="88"/>
        <v>79.384160000000008</v>
      </c>
      <c r="K960" s="72">
        <v>0</v>
      </c>
      <c r="M960" s="58">
        <f>VLOOKUP(D960,'TABELA DE PRECOS'!B:C,2,0)</f>
        <v>79.384160000000008</v>
      </c>
    </row>
    <row r="961" spans="1:13" ht="14.25" customHeight="1" x14ac:dyDescent="0.25">
      <c r="A961" s="65">
        <v>3</v>
      </c>
      <c r="B961" s="66" t="s">
        <v>1065</v>
      </c>
      <c r="C961" s="82">
        <v>1</v>
      </c>
      <c r="D961" s="76" t="s">
        <v>1066</v>
      </c>
      <c r="E961" s="69" t="s">
        <v>131</v>
      </c>
      <c r="F961" s="76">
        <v>81897719002</v>
      </c>
      <c r="G961" s="71">
        <f t="shared" si="85"/>
        <v>45.081040000000002</v>
      </c>
      <c r="H961" s="71">
        <f t="shared" si="86"/>
        <v>45.081040000000002</v>
      </c>
      <c r="I961" s="71">
        <f t="shared" si="87"/>
        <v>45.081040000000002</v>
      </c>
      <c r="J961" s="71">
        <f t="shared" si="88"/>
        <v>45.081040000000002</v>
      </c>
      <c r="K961" s="72">
        <v>0</v>
      </c>
      <c r="M961" s="58">
        <f>VLOOKUP(D961,'TABELA DE PRECOS'!B:C,2,0)</f>
        <v>45.081040000000002</v>
      </c>
    </row>
    <row r="962" spans="1:13" ht="15.75" customHeight="1" x14ac:dyDescent="0.25">
      <c r="A962" s="65">
        <v>4</v>
      </c>
      <c r="B962" s="66" t="s">
        <v>300</v>
      </c>
      <c r="C962" s="82">
        <v>1</v>
      </c>
      <c r="D962" s="76" t="s">
        <v>301</v>
      </c>
      <c r="E962" s="69" t="s">
        <v>131</v>
      </c>
      <c r="F962" s="76">
        <v>81897719002</v>
      </c>
      <c r="G962" s="71">
        <f t="shared" si="85"/>
        <v>9.4</v>
      </c>
      <c r="H962" s="71">
        <f t="shared" si="86"/>
        <v>9.4</v>
      </c>
      <c r="I962" s="71">
        <f t="shared" si="87"/>
        <v>9.4</v>
      </c>
      <c r="J962" s="71">
        <f t="shared" si="88"/>
        <v>9.4</v>
      </c>
      <c r="K962" s="72">
        <v>0</v>
      </c>
      <c r="M962" s="58">
        <f>VLOOKUP(D962,'TABELA DE PRECOS'!B:C,2,0)</f>
        <v>9.4</v>
      </c>
    </row>
    <row r="963" spans="1:13" ht="15.75" customHeight="1" x14ac:dyDescent="0.25">
      <c r="A963" s="65">
        <v>5</v>
      </c>
      <c r="B963" s="66" t="s">
        <v>984</v>
      </c>
      <c r="C963" s="82">
        <v>1</v>
      </c>
      <c r="D963" s="76" t="s">
        <v>985</v>
      </c>
      <c r="E963" s="69" t="s">
        <v>131</v>
      </c>
      <c r="F963" s="76">
        <v>81897719002</v>
      </c>
      <c r="G963" s="71">
        <f t="shared" si="85"/>
        <v>45.081040000000002</v>
      </c>
      <c r="H963" s="71">
        <f t="shared" si="86"/>
        <v>45.081040000000002</v>
      </c>
      <c r="I963" s="71">
        <f t="shared" si="87"/>
        <v>45.081040000000002</v>
      </c>
      <c r="J963" s="71">
        <f t="shared" si="88"/>
        <v>45.081040000000002</v>
      </c>
      <c r="K963" s="72">
        <v>0</v>
      </c>
      <c r="M963" s="58">
        <f>VLOOKUP(D963,'TABELA DE PRECOS'!B:C,2,0)</f>
        <v>45.081040000000002</v>
      </c>
    </row>
    <row r="964" spans="1:13" ht="15.75" customHeight="1" x14ac:dyDescent="0.25">
      <c r="A964" s="65">
        <v>6</v>
      </c>
      <c r="B964" s="66" t="s">
        <v>986</v>
      </c>
      <c r="C964" s="82">
        <v>1</v>
      </c>
      <c r="D964" s="76" t="s">
        <v>987</v>
      </c>
      <c r="E964" s="69" t="s">
        <v>131</v>
      </c>
      <c r="F964" s="76">
        <v>81897719002</v>
      </c>
      <c r="G964" s="71">
        <f t="shared" si="85"/>
        <v>20.863679999999999</v>
      </c>
      <c r="H964" s="71">
        <f t="shared" si="86"/>
        <v>20.863679999999999</v>
      </c>
      <c r="I964" s="71">
        <f t="shared" si="87"/>
        <v>20.863679999999999</v>
      </c>
      <c r="J964" s="71">
        <f t="shared" si="88"/>
        <v>20.863679999999999</v>
      </c>
      <c r="K964" s="72">
        <v>0</v>
      </c>
      <c r="M964" s="58">
        <f>VLOOKUP(D964,'TABELA DE PRECOS'!B:C,2,0)</f>
        <v>20.863679999999999</v>
      </c>
    </row>
    <row r="965" spans="1:13" ht="15.75" customHeight="1" x14ac:dyDescent="0.25">
      <c r="A965" s="65">
        <v>7</v>
      </c>
      <c r="B965" s="66" t="s">
        <v>1067</v>
      </c>
      <c r="C965" s="82">
        <v>1</v>
      </c>
      <c r="D965" s="76" t="s">
        <v>1068</v>
      </c>
      <c r="E965" s="69" t="s">
        <v>131</v>
      </c>
      <c r="F965" s="76">
        <v>81897719002</v>
      </c>
      <c r="G965" s="71">
        <f t="shared" si="85"/>
        <v>44.537199999999991</v>
      </c>
      <c r="H965" s="71">
        <f t="shared" si="86"/>
        <v>44.537199999999991</v>
      </c>
      <c r="I965" s="71">
        <f t="shared" si="87"/>
        <v>44.537199999999991</v>
      </c>
      <c r="J965" s="71">
        <f t="shared" si="88"/>
        <v>44.537199999999991</v>
      </c>
      <c r="K965" s="72">
        <v>0</v>
      </c>
      <c r="L965" s="63"/>
      <c r="M965" s="58">
        <f>VLOOKUP(D965,'TABELA DE PRECOS'!B:C,2,0)</f>
        <v>44.537199999999991</v>
      </c>
    </row>
    <row r="966" spans="1:13" ht="15.75" customHeight="1" x14ac:dyDescent="0.25">
      <c r="A966" s="65">
        <v>8</v>
      </c>
      <c r="B966" s="66" t="s">
        <v>1608</v>
      </c>
      <c r="C966" s="82">
        <v>1</v>
      </c>
      <c r="D966" s="75" t="s">
        <v>1070</v>
      </c>
      <c r="E966" s="69" t="s">
        <v>126</v>
      </c>
      <c r="F966" s="76">
        <v>10301950024</v>
      </c>
      <c r="G966" s="71">
        <f t="shared" si="85"/>
        <v>90.738880000000009</v>
      </c>
      <c r="H966" s="71">
        <f t="shared" si="86"/>
        <v>90.738880000000009</v>
      </c>
      <c r="I966" s="71">
        <f t="shared" si="87"/>
        <v>90.738880000000009</v>
      </c>
      <c r="J966" s="71">
        <f t="shared" si="88"/>
        <v>90.738880000000009</v>
      </c>
      <c r="K966" s="72">
        <v>0</v>
      </c>
      <c r="M966" s="58">
        <f>VLOOKUP(D966,'TABELA DE PRECOS'!B:C,2,0)</f>
        <v>90.738880000000009</v>
      </c>
    </row>
    <row r="967" spans="1:13" ht="15.75" customHeight="1" x14ac:dyDescent="0.25">
      <c r="A967" s="65">
        <v>9</v>
      </c>
      <c r="B967" s="66" t="s">
        <v>1010</v>
      </c>
      <c r="C967" s="82">
        <v>1</v>
      </c>
      <c r="D967" s="66" t="s">
        <v>1011</v>
      </c>
      <c r="E967" s="69" t="s">
        <v>126</v>
      </c>
      <c r="F967" s="76">
        <v>10301950024</v>
      </c>
      <c r="G967" s="71">
        <f t="shared" si="85"/>
        <v>31.550959999999996</v>
      </c>
      <c r="H967" s="71">
        <f t="shared" si="86"/>
        <v>31.550959999999996</v>
      </c>
      <c r="I967" s="71">
        <f t="shared" si="87"/>
        <v>31.550959999999996</v>
      </c>
      <c r="J967" s="71">
        <f t="shared" si="88"/>
        <v>31.550959999999996</v>
      </c>
      <c r="K967" s="72">
        <v>0</v>
      </c>
      <c r="M967" s="58">
        <f>VLOOKUP(D967,'TABELA DE PRECOS'!B:C,2,0)</f>
        <v>31.550959999999996</v>
      </c>
    </row>
    <row r="968" spans="1:13" ht="15.75" customHeight="1" x14ac:dyDescent="0.25">
      <c r="A968" s="65">
        <v>10</v>
      </c>
      <c r="B968" s="66" t="s">
        <v>1016</v>
      </c>
      <c r="C968" s="82">
        <v>1</v>
      </c>
      <c r="D968" s="76" t="s">
        <v>1017</v>
      </c>
      <c r="E968" s="69" t="s">
        <v>131</v>
      </c>
      <c r="F968" s="76">
        <v>81897719002</v>
      </c>
      <c r="G968" s="71">
        <f t="shared" si="85"/>
        <v>19.670000000000002</v>
      </c>
      <c r="H968" s="71">
        <f t="shared" si="86"/>
        <v>19.670000000000002</v>
      </c>
      <c r="I968" s="71">
        <f t="shared" si="87"/>
        <v>19.670000000000002</v>
      </c>
      <c r="J968" s="71">
        <f t="shared" si="88"/>
        <v>19.670000000000002</v>
      </c>
      <c r="K968" s="72">
        <v>0</v>
      </c>
      <c r="M968" s="58">
        <f>VLOOKUP(D968,'TABELA DE PRECOS'!B:C,2,0)</f>
        <v>19.670000000000002</v>
      </c>
    </row>
    <row r="969" spans="1:13" ht="15.75" customHeight="1" x14ac:dyDescent="0.25">
      <c r="A969" s="65">
        <v>11</v>
      </c>
      <c r="B969" s="66" t="s">
        <v>1071</v>
      </c>
      <c r="C969" s="82">
        <v>1</v>
      </c>
      <c r="D969" s="76" t="s">
        <v>1072</v>
      </c>
      <c r="E969" s="69" t="s">
        <v>131</v>
      </c>
      <c r="F969" s="76">
        <v>81897710012</v>
      </c>
      <c r="G969" s="71">
        <v>58.85</v>
      </c>
      <c r="H969" s="71">
        <f t="shared" si="86"/>
        <v>58.85</v>
      </c>
      <c r="I969" s="71">
        <f t="shared" si="87"/>
        <v>58.85</v>
      </c>
      <c r="J969" s="71">
        <f t="shared" si="88"/>
        <v>58.85</v>
      </c>
      <c r="K969" s="72">
        <v>0</v>
      </c>
      <c r="M969" s="58">
        <f>VLOOKUP(D969,'TABELA DE PRECOS'!B:C,2,0)</f>
        <v>58.85</v>
      </c>
    </row>
    <row r="970" spans="1:13" ht="15.75" customHeight="1" x14ac:dyDescent="0.25">
      <c r="A970" s="65">
        <v>12</v>
      </c>
      <c r="B970" s="66" t="s">
        <v>1073</v>
      </c>
      <c r="C970" s="82">
        <v>1</v>
      </c>
      <c r="D970" s="76" t="s">
        <v>1074</v>
      </c>
      <c r="E970" s="69" t="s">
        <v>126</v>
      </c>
      <c r="F970" s="76">
        <v>10301950027</v>
      </c>
      <c r="G970" s="71">
        <f t="shared" ref="G970:G1000" si="89">M970</f>
        <v>42.88</v>
      </c>
      <c r="H970" s="71">
        <f t="shared" si="86"/>
        <v>42.88</v>
      </c>
      <c r="I970" s="71">
        <f t="shared" si="87"/>
        <v>42.88</v>
      </c>
      <c r="J970" s="71">
        <f t="shared" si="88"/>
        <v>42.88</v>
      </c>
      <c r="K970" s="72">
        <v>0</v>
      </c>
      <c r="M970" s="58">
        <f>VLOOKUP(D970,'TABELA DE PRECOS'!B:C,2,0)</f>
        <v>42.88</v>
      </c>
    </row>
    <row r="971" spans="1:13" ht="15.75" customHeight="1" x14ac:dyDescent="0.25">
      <c r="A971" s="65">
        <v>13</v>
      </c>
      <c r="B971" s="84" t="s">
        <v>1075</v>
      </c>
      <c r="C971" s="73">
        <v>1</v>
      </c>
      <c r="D971" s="85" t="s">
        <v>1076</v>
      </c>
      <c r="E971" s="86" t="s">
        <v>131</v>
      </c>
      <c r="F971" s="88">
        <v>81897719002</v>
      </c>
      <c r="G971" s="71">
        <f t="shared" si="89"/>
        <v>24.423359999999999</v>
      </c>
      <c r="H971" s="71">
        <f t="shared" si="86"/>
        <v>24.423359999999999</v>
      </c>
      <c r="I971" s="71">
        <f t="shared" si="87"/>
        <v>24.423359999999999</v>
      </c>
      <c r="J971" s="71">
        <f t="shared" si="88"/>
        <v>24.423359999999999</v>
      </c>
      <c r="K971" s="72">
        <v>0</v>
      </c>
      <c r="M971" s="58">
        <f>VLOOKUP(D971,'TABELA DE PRECOS'!B:C,2,0)</f>
        <v>24.423359999999999</v>
      </c>
    </row>
    <row r="972" spans="1:13" ht="15.75" customHeight="1" x14ac:dyDescent="0.25">
      <c r="A972" s="65">
        <v>14</v>
      </c>
      <c r="B972" s="84" t="s">
        <v>1077</v>
      </c>
      <c r="C972" s="73">
        <v>1</v>
      </c>
      <c r="D972" s="85" t="s">
        <v>1078</v>
      </c>
      <c r="E972" s="86" t="s">
        <v>131</v>
      </c>
      <c r="F972" s="88">
        <v>81897719002</v>
      </c>
      <c r="G972" s="71">
        <f t="shared" si="89"/>
        <v>24.423359999999999</v>
      </c>
      <c r="H972" s="71">
        <f t="shared" si="86"/>
        <v>24.423359999999999</v>
      </c>
      <c r="I972" s="71">
        <f t="shared" si="87"/>
        <v>24.423359999999999</v>
      </c>
      <c r="J972" s="71">
        <f t="shared" si="88"/>
        <v>24.423359999999999</v>
      </c>
      <c r="K972" s="72">
        <v>0</v>
      </c>
      <c r="M972" s="58">
        <f>VLOOKUP(D972,'TABELA DE PRECOS'!B:C,2,0)</f>
        <v>24.423359999999999</v>
      </c>
    </row>
    <row r="973" spans="1:13" ht="15.75" customHeight="1" x14ac:dyDescent="0.25">
      <c r="A973" s="65">
        <v>15</v>
      </c>
      <c r="B973" s="84" t="s">
        <v>1079</v>
      </c>
      <c r="C973" s="73">
        <v>1</v>
      </c>
      <c r="D973" s="85" t="s">
        <v>1080</v>
      </c>
      <c r="E973" s="86" t="s">
        <v>131</v>
      </c>
      <c r="F973" s="88">
        <v>81897719002</v>
      </c>
      <c r="G973" s="71">
        <f t="shared" si="89"/>
        <v>24.423359999999999</v>
      </c>
      <c r="H973" s="71">
        <f t="shared" si="86"/>
        <v>24.423359999999999</v>
      </c>
      <c r="I973" s="71">
        <f t="shared" si="87"/>
        <v>24.423359999999999</v>
      </c>
      <c r="J973" s="71">
        <f t="shared" si="88"/>
        <v>24.423359999999999</v>
      </c>
      <c r="K973" s="72">
        <v>0</v>
      </c>
      <c r="M973" s="58">
        <f>VLOOKUP(D973,'TABELA DE PRECOS'!B:C,2,0)</f>
        <v>24.423359999999999</v>
      </c>
    </row>
    <row r="974" spans="1:13" ht="15.75" customHeight="1" x14ac:dyDescent="0.25">
      <c r="A974" s="65">
        <v>16</v>
      </c>
      <c r="B974" s="84" t="s">
        <v>1081</v>
      </c>
      <c r="C974" s="73">
        <v>1</v>
      </c>
      <c r="D974" s="85" t="s">
        <v>1082</v>
      </c>
      <c r="E974" s="86" t="s">
        <v>131</v>
      </c>
      <c r="F974" s="88">
        <v>81897719002</v>
      </c>
      <c r="G974" s="71">
        <f t="shared" si="89"/>
        <v>24.423359999999999</v>
      </c>
      <c r="H974" s="71">
        <f t="shared" si="86"/>
        <v>24.423359999999999</v>
      </c>
      <c r="I974" s="71">
        <f t="shared" si="87"/>
        <v>24.423359999999999</v>
      </c>
      <c r="J974" s="71">
        <f t="shared" si="88"/>
        <v>24.423359999999999</v>
      </c>
      <c r="K974" s="72">
        <v>0</v>
      </c>
      <c r="M974" s="58">
        <f>VLOOKUP(D974,'TABELA DE PRECOS'!B:C,2,0)</f>
        <v>24.423359999999999</v>
      </c>
    </row>
    <row r="975" spans="1:13" ht="15.75" customHeight="1" x14ac:dyDescent="0.25">
      <c r="A975" s="65">
        <v>17</v>
      </c>
      <c r="B975" s="84" t="s">
        <v>1083</v>
      </c>
      <c r="C975" s="73">
        <v>1</v>
      </c>
      <c r="D975" s="85" t="s">
        <v>1084</v>
      </c>
      <c r="E975" s="86" t="s">
        <v>131</v>
      </c>
      <c r="F975" s="88">
        <v>81897719002</v>
      </c>
      <c r="G975" s="71">
        <f t="shared" si="89"/>
        <v>24.423359999999999</v>
      </c>
      <c r="H975" s="71">
        <f t="shared" si="86"/>
        <v>24.423359999999999</v>
      </c>
      <c r="I975" s="71">
        <f t="shared" si="87"/>
        <v>24.423359999999999</v>
      </c>
      <c r="J975" s="71">
        <f t="shared" si="88"/>
        <v>24.423359999999999</v>
      </c>
      <c r="K975" s="72">
        <v>0</v>
      </c>
      <c r="M975" s="58">
        <f>VLOOKUP(D975,'TABELA DE PRECOS'!B:C,2,0)</f>
        <v>24.423359999999999</v>
      </c>
    </row>
    <row r="976" spans="1:13" ht="15.75" customHeight="1" x14ac:dyDescent="0.25">
      <c r="A976" s="65">
        <v>18</v>
      </c>
      <c r="B976" s="84" t="s">
        <v>1085</v>
      </c>
      <c r="C976" s="73">
        <v>1</v>
      </c>
      <c r="D976" s="85" t="s">
        <v>1086</v>
      </c>
      <c r="E976" s="86" t="s">
        <v>131</v>
      </c>
      <c r="F976" s="88">
        <v>81897719002</v>
      </c>
      <c r="G976" s="71">
        <f t="shared" si="89"/>
        <v>24.423359999999999</v>
      </c>
      <c r="H976" s="71">
        <f t="shared" si="86"/>
        <v>24.423359999999999</v>
      </c>
      <c r="I976" s="71">
        <f t="shared" si="87"/>
        <v>24.423359999999999</v>
      </c>
      <c r="J976" s="71">
        <f t="shared" si="88"/>
        <v>24.423359999999999</v>
      </c>
      <c r="K976" s="72">
        <v>0</v>
      </c>
      <c r="M976" s="58">
        <f>VLOOKUP(D976,'TABELA DE PRECOS'!B:C,2,0)</f>
        <v>24.423359999999999</v>
      </c>
    </row>
    <row r="977" spans="1:13" ht="15.75" customHeight="1" x14ac:dyDescent="0.25">
      <c r="A977" s="65">
        <v>19</v>
      </c>
      <c r="B977" s="84" t="s">
        <v>1612</v>
      </c>
      <c r="C977" s="73">
        <v>1</v>
      </c>
      <c r="D977" s="85" t="s">
        <v>1088</v>
      </c>
      <c r="E977" s="86" t="s">
        <v>131</v>
      </c>
      <c r="F977" s="88">
        <v>81897719002</v>
      </c>
      <c r="G977" s="71">
        <f t="shared" si="89"/>
        <v>61.058399999999992</v>
      </c>
      <c r="H977" s="71">
        <f t="shared" si="86"/>
        <v>61.058399999999992</v>
      </c>
      <c r="I977" s="71">
        <f t="shared" si="87"/>
        <v>61.058399999999992</v>
      </c>
      <c r="J977" s="71">
        <f t="shared" si="88"/>
        <v>61.058399999999992</v>
      </c>
      <c r="K977" s="72">
        <v>0</v>
      </c>
      <c r="M977" s="58">
        <f>VLOOKUP(D977,'TABELA DE PRECOS'!B:C,2,0)</f>
        <v>61.058399999999992</v>
      </c>
    </row>
    <row r="978" spans="1:13" ht="15.75" customHeight="1" x14ac:dyDescent="0.25">
      <c r="A978" s="65">
        <v>20</v>
      </c>
      <c r="B978" s="84" t="s">
        <v>1613</v>
      </c>
      <c r="C978" s="73">
        <v>1</v>
      </c>
      <c r="D978" s="85" t="s">
        <v>1090</v>
      </c>
      <c r="E978" s="86" t="s">
        <v>131</v>
      </c>
      <c r="F978" s="88">
        <v>81897719002</v>
      </c>
      <c r="G978" s="71">
        <f t="shared" si="89"/>
        <v>56.369839999999996</v>
      </c>
      <c r="H978" s="71">
        <f t="shared" si="86"/>
        <v>56.369839999999996</v>
      </c>
      <c r="I978" s="71">
        <f t="shared" si="87"/>
        <v>56.369839999999996</v>
      </c>
      <c r="J978" s="71">
        <f t="shared" si="88"/>
        <v>56.369839999999996</v>
      </c>
      <c r="K978" s="72">
        <v>0</v>
      </c>
      <c r="M978" s="58">
        <f>VLOOKUP(D978,'TABELA DE PRECOS'!B:C,2,0)</f>
        <v>56.369839999999996</v>
      </c>
    </row>
    <row r="979" spans="1:13" ht="15.75" customHeight="1" x14ac:dyDescent="0.25">
      <c r="A979" s="65">
        <v>21</v>
      </c>
      <c r="B979" s="84" t="s">
        <v>1614</v>
      </c>
      <c r="C979" s="73">
        <v>1</v>
      </c>
      <c r="D979" s="85" t="s">
        <v>1092</v>
      </c>
      <c r="E979" s="86" t="s">
        <v>131</v>
      </c>
      <c r="F979" s="88">
        <v>81897719002</v>
      </c>
      <c r="G979" s="71">
        <f t="shared" si="89"/>
        <v>61.058399999999992</v>
      </c>
      <c r="H979" s="71">
        <f t="shared" si="86"/>
        <v>61.058399999999992</v>
      </c>
      <c r="I979" s="71">
        <f t="shared" si="87"/>
        <v>61.058399999999992</v>
      </c>
      <c r="J979" s="71">
        <f t="shared" si="88"/>
        <v>61.058399999999992</v>
      </c>
      <c r="K979" s="72">
        <v>0</v>
      </c>
      <c r="M979" s="58">
        <f>VLOOKUP(D979,'TABELA DE PRECOS'!B:C,2,0)</f>
        <v>61.058399999999992</v>
      </c>
    </row>
    <row r="980" spans="1:13" ht="15.75" customHeight="1" x14ac:dyDescent="0.25">
      <c r="A980" s="65">
        <v>22</v>
      </c>
      <c r="B980" s="84" t="s">
        <v>1615</v>
      </c>
      <c r="C980" s="73">
        <v>1</v>
      </c>
      <c r="D980" s="85" t="s">
        <v>1094</v>
      </c>
      <c r="E980" s="86" t="s">
        <v>131</v>
      </c>
      <c r="F980" s="88">
        <v>81897719002</v>
      </c>
      <c r="G980" s="71">
        <f t="shared" si="89"/>
        <v>61.058399999999992</v>
      </c>
      <c r="H980" s="71">
        <f t="shared" si="86"/>
        <v>61.058399999999992</v>
      </c>
      <c r="I980" s="71">
        <f t="shared" si="87"/>
        <v>61.058399999999992</v>
      </c>
      <c r="J980" s="71">
        <f t="shared" si="88"/>
        <v>61.058399999999992</v>
      </c>
      <c r="K980" s="72">
        <v>0</v>
      </c>
      <c r="M980" s="58">
        <f>VLOOKUP(D980,'TABELA DE PRECOS'!B:C,2,0)</f>
        <v>61.058399999999992</v>
      </c>
    </row>
    <row r="981" spans="1:13" ht="15.75" customHeight="1" x14ac:dyDescent="0.25">
      <c r="A981" s="65">
        <v>23</v>
      </c>
      <c r="B981" s="84" t="s">
        <v>1616</v>
      </c>
      <c r="C981" s="73">
        <v>1</v>
      </c>
      <c r="D981" s="85" t="s">
        <v>1096</v>
      </c>
      <c r="E981" s="86" t="s">
        <v>131</v>
      </c>
      <c r="F981" s="88">
        <v>81897719002</v>
      </c>
      <c r="G981" s="71">
        <f t="shared" si="89"/>
        <v>61.058399999999992</v>
      </c>
      <c r="H981" s="71">
        <f t="shared" si="86"/>
        <v>61.058399999999992</v>
      </c>
      <c r="I981" s="71">
        <f t="shared" si="87"/>
        <v>61.058399999999992</v>
      </c>
      <c r="J981" s="71">
        <f t="shared" si="88"/>
        <v>61.058399999999992</v>
      </c>
      <c r="K981" s="72">
        <v>0</v>
      </c>
      <c r="M981" s="58">
        <f>VLOOKUP(D981,'TABELA DE PRECOS'!B:C,2,0)</f>
        <v>61.058399999999992</v>
      </c>
    </row>
    <row r="982" spans="1:13" ht="15.75" customHeight="1" x14ac:dyDescent="0.25">
      <c r="A982" s="65">
        <v>24</v>
      </c>
      <c r="B982" s="84" t="s">
        <v>1617</v>
      </c>
      <c r="C982" s="73">
        <v>1</v>
      </c>
      <c r="D982" s="85" t="s">
        <v>1098</v>
      </c>
      <c r="E982" s="86" t="s">
        <v>131</v>
      </c>
      <c r="F982" s="88">
        <v>81897719002</v>
      </c>
      <c r="G982" s="71">
        <f t="shared" si="89"/>
        <v>61.058399999999992</v>
      </c>
      <c r="H982" s="71">
        <f t="shared" si="86"/>
        <v>61.058399999999992</v>
      </c>
      <c r="I982" s="71">
        <f t="shared" si="87"/>
        <v>61.058399999999992</v>
      </c>
      <c r="J982" s="71">
        <f t="shared" si="88"/>
        <v>61.058399999999992</v>
      </c>
      <c r="K982" s="72">
        <v>0</v>
      </c>
      <c r="M982" s="58">
        <f>VLOOKUP(D982,'TABELA DE PRECOS'!B:C,2,0)</f>
        <v>61.058399999999992</v>
      </c>
    </row>
    <row r="983" spans="1:13" ht="15.75" customHeight="1" x14ac:dyDescent="0.25">
      <c r="A983" s="65">
        <v>25</v>
      </c>
      <c r="B983" s="84" t="s">
        <v>1618</v>
      </c>
      <c r="C983" s="73">
        <v>1</v>
      </c>
      <c r="D983" s="85" t="s">
        <v>1100</v>
      </c>
      <c r="E983" s="86" t="s">
        <v>131</v>
      </c>
      <c r="F983" s="88">
        <v>81897719002</v>
      </c>
      <c r="G983" s="71">
        <f t="shared" si="89"/>
        <v>61.058399999999992</v>
      </c>
      <c r="H983" s="71">
        <f t="shared" si="86"/>
        <v>61.058399999999992</v>
      </c>
      <c r="I983" s="71">
        <f t="shared" si="87"/>
        <v>61.058399999999992</v>
      </c>
      <c r="J983" s="71">
        <f t="shared" si="88"/>
        <v>61.058399999999992</v>
      </c>
      <c r="K983" s="72">
        <v>0</v>
      </c>
      <c r="M983" s="58">
        <f>VLOOKUP(D983,'TABELA DE PRECOS'!B:C,2,0)</f>
        <v>61.058399999999992</v>
      </c>
    </row>
    <row r="984" spans="1:13" ht="15.75" customHeight="1" x14ac:dyDescent="0.25">
      <c r="A984" s="65">
        <v>26</v>
      </c>
      <c r="B984" s="84" t="s">
        <v>1619</v>
      </c>
      <c r="C984" s="73">
        <v>1</v>
      </c>
      <c r="D984" s="85" t="s">
        <v>1102</v>
      </c>
      <c r="E984" s="86" t="s">
        <v>131</v>
      </c>
      <c r="F984" s="88">
        <v>81897719002</v>
      </c>
      <c r="G984" s="71">
        <f t="shared" si="89"/>
        <v>61.058399999999992</v>
      </c>
      <c r="H984" s="71">
        <f t="shared" si="86"/>
        <v>61.058399999999992</v>
      </c>
      <c r="I984" s="71">
        <f t="shared" si="87"/>
        <v>61.058399999999992</v>
      </c>
      <c r="J984" s="71">
        <f t="shared" si="88"/>
        <v>61.058399999999992</v>
      </c>
      <c r="K984" s="72">
        <v>0</v>
      </c>
      <c r="M984" s="58">
        <f>VLOOKUP(D984,'TABELA DE PRECOS'!B:C,2,0)</f>
        <v>61.058399999999992</v>
      </c>
    </row>
    <row r="985" spans="1:13" ht="15.75" customHeight="1" x14ac:dyDescent="0.25">
      <c r="A985" s="65">
        <v>27</v>
      </c>
      <c r="B985" s="84" t="s">
        <v>1609</v>
      </c>
      <c r="C985" s="73">
        <v>1</v>
      </c>
      <c r="D985" s="84" t="s">
        <v>1104</v>
      </c>
      <c r="E985" s="86" t="s">
        <v>126</v>
      </c>
      <c r="F985" s="85">
        <v>10301950042</v>
      </c>
      <c r="G985" s="71">
        <f t="shared" si="89"/>
        <v>38.662080000000003</v>
      </c>
      <c r="H985" s="71">
        <f t="shared" si="86"/>
        <v>38.662080000000003</v>
      </c>
      <c r="I985" s="71">
        <f t="shared" si="87"/>
        <v>38.662080000000003</v>
      </c>
      <c r="J985" s="71">
        <f t="shared" si="88"/>
        <v>38.662080000000003</v>
      </c>
      <c r="K985" s="72">
        <v>0</v>
      </c>
      <c r="M985" s="58">
        <f>VLOOKUP(D985,'TABELA DE PRECOS'!B:C,2,0)</f>
        <v>38.662080000000003</v>
      </c>
    </row>
    <row r="986" spans="1:13" ht="15.75" customHeight="1" x14ac:dyDescent="0.25">
      <c r="A986" s="65">
        <v>28</v>
      </c>
      <c r="B986" s="100" t="s">
        <v>1105</v>
      </c>
      <c r="C986" s="82">
        <v>1</v>
      </c>
      <c r="D986" s="100" t="s">
        <v>1106</v>
      </c>
      <c r="E986" s="69" t="s">
        <v>126</v>
      </c>
      <c r="F986" s="76">
        <v>10301950043</v>
      </c>
      <c r="G986" s="71">
        <f t="shared" si="89"/>
        <v>79.59</v>
      </c>
      <c r="H986" s="71">
        <f t="shared" si="86"/>
        <v>79.59</v>
      </c>
      <c r="I986" s="71">
        <f t="shared" si="87"/>
        <v>79.59</v>
      </c>
      <c r="J986" s="71">
        <f t="shared" si="88"/>
        <v>79.59</v>
      </c>
      <c r="K986" s="72">
        <v>0</v>
      </c>
      <c r="M986" s="58">
        <f>VLOOKUP(D986,'TABELA DE PRECOS'!B:C,2,0)</f>
        <v>79.59</v>
      </c>
    </row>
    <row r="987" spans="1:13" ht="15.75" customHeight="1" x14ac:dyDescent="0.25">
      <c r="A987" s="65">
        <v>29</v>
      </c>
      <c r="B987" s="84" t="s">
        <v>195</v>
      </c>
      <c r="C987" s="73">
        <v>1</v>
      </c>
      <c r="D987" s="85" t="s">
        <v>196</v>
      </c>
      <c r="E987" s="86" t="s">
        <v>131</v>
      </c>
      <c r="F987" s="85">
        <v>81897719002</v>
      </c>
      <c r="G987" s="71">
        <f t="shared" si="89"/>
        <v>9.0399999999999991</v>
      </c>
      <c r="H987" s="71">
        <f t="shared" si="86"/>
        <v>9.0399999999999991</v>
      </c>
      <c r="I987" s="71">
        <f t="shared" si="87"/>
        <v>9.0399999999999991</v>
      </c>
      <c r="J987" s="71">
        <f t="shared" si="88"/>
        <v>9.0399999999999991</v>
      </c>
      <c r="K987" s="72">
        <v>0</v>
      </c>
      <c r="M987" s="58">
        <f>VLOOKUP(D987,'TABELA DE PRECOS'!B:C,2,0)</f>
        <v>9.0399999999999991</v>
      </c>
    </row>
    <row r="988" spans="1:13" ht="15.75" customHeight="1" x14ac:dyDescent="0.25">
      <c r="A988" s="65">
        <v>30</v>
      </c>
      <c r="B988" s="84" t="s">
        <v>310</v>
      </c>
      <c r="C988" s="73">
        <v>1</v>
      </c>
      <c r="D988" s="85" t="s">
        <v>311</v>
      </c>
      <c r="E988" s="86" t="s">
        <v>131</v>
      </c>
      <c r="F988" s="85">
        <v>81897719002</v>
      </c>
      <c r="G988" s="71">
        <f t="shared" si="89"/>
        <v>10.7</v>
      </c>
      <c r="H988" s="71">
        <f t="shared" si="86"/>
        <v>10.7</v>
      </c>
      <c r="I988" s="71">
        <f t="shared" si="87"/>
        <v>10.7</v>
      </c>
      <c r="J988" s="71">
        <f t="shared" si="88"/>
        <v>10.7</v>
      </c>
      <c r="K988" s="72">
        <v>0</v>
      </c>
      <c r="M988" s="58">
        <f>VLOOKUP(D988,'TABELA DE PRECOS'!B:C,2,0)</f>
        <v>10.7</v>
      </c>
    </row>
    <row r="989" spans="1:13" ht="15.75" customHeight="1" x14ac:dyDescent="0.25">
      <c r="A989" s="65">
        <v>31</v>
      </c>
      <c r="B989" s="84" t="s">
        <v>1107</v>
      </c>
      <c r="C989" s="73">
        <v>1</v>
      </c>
      <c r="D989" s="85" t="s">
        <v>1108</v>
      </c>
      <c r="E989" s="86" t="s">
        <v>131</v>
      </c>
      <c r="F989" s="85">
        <v>81897719002</v>
      </c>
      <c r="G989" s="71">
        <f t="shared" si="89"/>
        <v>28.172559999999997</v>
      </c>
      <c r="H989" s="71">
        <f t="shared" si="86"/>
        <v>28.172559999999997</v>
      </c>
      <c r="I989" s="71">
        <f t="shared" si="87"/>
        <v>28.172559999999997</v>
      </c>
      <c r="J989" s="71">
        <f t="shared" si="88"/>
        <v>28.172559999999997</v>
      </c>
      <c r="K989" s="72">
        <v>0</v>
      </c>
      <c r="M989" s="58">
        <f>VLOOKUP(D989,'TABELA DE PRECOS'!B:C,2,0)</f>
        <v>28.172559999999997</v>
      </c>
    </row>
    <row r="990" spans="1:13" ht="15.75" customHeight="1" x14ac:dyDescent="0.25">
      <c r="A990" s="65">
        <v>32</v>
      </c>
      <c r="B990" s="84" t="s">
        <v>324</v>
      </c>
      <c r="C990" s="73">
        <v>1</v>
      </c>
      <c r="D990" s="85" t="s">
        <v>325</v>
      </c>
      <c r="E990" s="86" t="s">
        <v>131</v>
      </c>
      <c r="F990" s="85">
        <v>81897719002</v>
      </c>
      <c r="G990" s="71">
        <f t="shared" si="89"/>
        <v>23.7636</v>
      </c>
      <c r="H990" s="71">
        <f t="shared" si="86"/>
        <v>23.7636</v>
      </c>
      <c r="I990" s="71">
        <f t="shared" si="87"/>
        <v>23.7636</v>
      </c>
      <c r="J990" s="71">
        <f t="shared" si="88"/>
        <v>23.7636</v>
      </c>
      <c r="K990" s="72">
        <v>0</v>
      </c>
      <c r="M990" s="58">
        <f>VLOOKUP(D990,'TABELA DE PRECOS'!B:C,2,0)</f>
        <v>23.7636</v>
      </c>
    </row>
    <row r="991" spans="1:13" ht="15.75" customHeight="1" x14ac:dyDescent="0.25">
      <c r="A991" s="65">
        <v>33</v>
      </c>
      <c r="B991" s="84" t="s">
        <v>1109</v>
      </c>
      <c r="C991" s="73">
        <v>2</v>
      </c>
      <c r="D991" s="85" t="s">
        <v>1110</v>
      </c>
      <c r="E991" s="86" t="s">
        <v>131</v>
      </c>
      <c r="F991" s="85">
        <v>81897719002</v>
      </c>
      <c r="G991" s="71">
        <f t="shared" si="89"/>
        <v>11.64776</v>
      </c>
      <c r="H991" s="71">
        <f t="shared" si="86"/>
        <v>23.29552</v>
      </c>
      <c r="I991" s="71">
        <f t="shared" si="87"/>
        <v>11.64776</v>
      </c>
      <c r="J991" s="71">
        <f t="shared" si="88"/>
        <v>23.29552</v>
      </c>
      <c r="K991" s="72">
        <v>0</v>
      </c>
      <c r="M991" s="58">
        <f>VLOOKUP(D991,'TABELA DE PRECOS'!B:C,2,0)</f>
        <v>11.64776</v>
      </c>
    </row>
    <row r="992" spans="1:13" ht="15.75" customHeight="1" x14ac:dyDescent="0.25">
      <c r="A992" s="65">
        <v>34</v>
      </c>
      <c r="B992" s="84" t="s">
        <v>187</v>
      </c>
      <c r="C992" s="73">
        <v>1</v>
      </c>
      <c r="D992" s="85" t="s">
        <v>188</v>
      </c>
      <c r="E992" s="86" t="s">
        <v>131</v>
      </c>
      <c r="F992" s="85">
        <v>81897719002</v>
      </c>
      <c r="G992" s="71">
        <f t="shared" si="89"/>
        <v>15.95</v>
      </c>
      <c r="H992" s="71">
        <f t="shared" si="86"/>
        <v>15.95</v>
      </c>
      <c r="I992" s="71">
        <f t="shared" si="87"/>
        <v>15.95</v>
      </c>
      <c r="J992" s="71">
        <f t="shared" si="88"/>
        <v>15.95</v>
      </c>
      <c r="K992" s="72">
        <v>0</v>
      </c>
      <c r="M992" s="58">
        <f>VLOOKUP(D992,'TABELA DE PRECOS'!B:C,2,0)</f>
        <v>15.95</v>
      </c>
    </row>
    <row r="993" spans="1:13" ht="15.75" customHeight="1" x14ac:dyDescent="0.25">
      <c r="A993" s="65">
        <v>35</v>
      </c>
      <c r="B993" s="84" t="s">
        <v>419</v>
      </c>
      <c r="C993" s="73">
        <v>1</v>
      </c>
      <c r="D993" s="85" t="s">
        <v>420</v>
      </c>
      <c r="E993" s="86" t="s">
        <v>131</v>
      </c>
      <c r="F993" s="85">
        <v>81897719002</v>
      </c>
      <c r="G993" s="71">
        <f t="shared" si="89"/>
        <v>16.52</v>
      </c>
      <c r="H993" s="71">
        <f t="shared" si="86"/>
        <v>16.52</v>
      </c>
      <c r="I993" s="71">
        <f t="shared" si="87"/>
        <v>16.52</v>
      </c>
      <c r="J993" s="71">
        <f t="shared" si="88"/>
        <v>16.52</v>
      </c>
      <c r="K993" s="72">
        <v>0</v>
      </c>
      <c r="M993" s="58">
        <f>VLOOKUP(D993,'TABELA DE PRECOS'!B:C,2,0)</f>
        <v>16.52</v>
      </c>
    </row>
    <row r="994" spans="1:13" ht="15.75" customHeight="1" x14ac:dyDescent="0.25">
      <c r="A994" s="65">
        <v>36</v>
      </c>
      <c r="B994" s="84" t="s">
        <v>203</v>
      </c>
      <c r="C994" s="73">
        <v>1</v>
      </c>
      <c r="D994" s="85" t="s">
        <v>204</v>
      </c>
      <c r="E994" s="86" t="s">
        <v>131</v>
      </c>
      <c r="F994" s="85">
        <v>81897719003</v>
      </c>
      <c r="G994" s="71">
        <f t="shared" si="89"/>
        <v>70.994559999999993</v>
      </c>
      <c r="H994" s="71">
        <f t="shared" si="86"/>
        <v>70.994559999999993</v>
      </c>
      <c r="I994" s="71">
        <f t="shared" si="87"/>
        <v>70.994559999999993</v>
      </c>
      <c r="J994" s="71">
        <f t="shared" si="88"/>
        <v>70.994559999999993</v>
      </c>
      <c r="K994" s="72">
        <v>0</v>
      </c>
      <c r="M994" s="58">
        <f>VLOOKUP(D994,'TABELA DE PRECOS'!B:C,2,0)</f>
        <v>70.994559999999993</v>
      </c>
    </row>
    <row r="995" spans="1:13" ht="15.75" customHeight="1" x14ac:dyDescent="0.25">
      <c r="A995" s="65">
        <v>37</v>
      </c>
      <c r="B995" s="84" t="s">
        <v>421</v>
      </c>
      <c r="C995" s="73">
        <v>1</v>
      </c>
      <c r="D995" s="85" t="s">
        <v>422</v>
      </c>
      <c r="E995" s="86" t="s">
        <v>131</v>
      </c>
      <c r="F995" s="85">
        <v>81897719002</v>
      </c>
      <c r="G995" s="71">
        <f t="shared" si="89"/>
        <v>11.13</v>
      </c>
      <c r="H995" s="71">
        <f t="shared" si="86"/>
        <v>11.13</v>
      </c>
      <c r="I995" s="71">
        <f t="shared" si="87"/>
        <v>11.13</v>
      </c>
      <c r="J995" s="71">
        <f t="shared" si="88"/>
        <v>11.13</v>
      </c>
      <c r="K995" s="72">
        <v>0</v>
      </c>
      <c r="M995" s="58">
        <f>VLOOKUP(D995,'TABELA DE PRECOS'!B:C,2,0)</f>
        <v>11.13</v>
      </c>
    </row>
    <row r="996" spans="1:13" ht="15.75" customHeight="1" x14ac:dyDescent="0.25">
      <c r="A996" s="65">
        <v>38</v>
      </c>
      <c r="B996" s="84" t="s">
        <v>1111</v>
      </c>
      <c r="C996" s="73">
        <v>1</v>
      </c>
      <c r="D996" s="85" t="s">
        <v>1112</v>
      </c>
      <c r="E996" s="86" t="s">
        <v>131</v>
      </c>
      <c r="F996" s="85">
        <v>81897719002</v>
      </c>
      <c r="G996" s="71">
        <f t="shared" si="89"/>
        <v>12.714319999999999</v>
      </c>
      <c r="H996" s="71">
        <f t="shared" si="86"/>
        <v>12.714319999999999</v>
      </c>
      <c r="I996" s="71">
        <f t="shared" si="87"/>
        <v>12.714319999999999</v>
      </c>
      <c r="J996" s="71">
        <f t="shared" si="88"/>
        <v>12.714319999999999</v>
      </c>
      <c r="K996" s="72">
        <v>0</v>
      </c>
      <c r="M996" s="58">
        <f>VLOOKUP(D996,'TABELA DE PRECOS'!B:C,2,0)</f>
        <v>12.714319999999999</v>
      </c>
    </row>
    <row r="997" spans="1:13" ht="15.75" customHeight="1" x14ac:dyDescent="0.25">
      <c r="A997" s="65">
        <v>39</v>
      </c>
      <c r="B997" s="84" t="s">
        <v>534</v>
      </c>
      <c r="C997" s="73">
        <v>1</v>
      </c>
      <c r="D997" s="85" t="s">
        <v>535</v>
      </c>
      <c r="E997" s="86" t="s">
        <v>131</v>
      </c>
      <c r="F997" s="85" t="s">
        <v>223</v>
      </c>
      <c r="G997" s="71">
        <f t="shared" si="89"/>
        <v>334.76</v>
      </c>
      <c r="H997" s="71">
        <f t="shared" si="86"/>
        <v>334.76</v>
      </c>
      <c r="I997" s="71">
        <f t="shared" si="87"/>
        <v>334.76</v>
      </c>
      <c r="J997" s="71">
        <f t="shared" si="88"/>
        <v>334.76</v>
      </c>
      <c r="K997" s="72">
        <v>0</v>
      </c>
      <c r="M997" s="58">
        <f>VLOOKUP(D997,'TABELA DE PRECOS'!B:C,2,0)</f>
        <v>334.76</v>
      </c>
    </row>
    <row r="998" spans="1:13" ht="15.75" customHeight="1" x14ac:dyDescent="0.25">
      <c r="A998" s="65">
        <v>40</v>
      </c>
      <c r="B998" s="84" t="s">
        <v>536</v>
      </c>
      <c r="C998" s="73">
        <v>1</v>
      </c>
      <c r="D998" s="85" t="s">
        <v>537</v>
      </c>
      <c r="E998" s="86" t="s">
        <v>131</v>
      </c>
      <c r="F998" s="85" t="s">
        <v>223</v>
      </c>
      <c r="G998" s="71">
        <f t="shared" si="89"/>
        <v>355.78</v>
      </c>
      <c r="H998" s="71">
        <f t="shared" si="86"/>
        <v>355.78</v>
      </c>
      <c r="I998" s="71">
        <f t="shared" si="87"/>
        <v>355.78</v>
      </c>
      <c r="J998" s="71">
        <f t="shared" si="88"/>
        <v>355.78</v>
      </c>
      <c r="K998" s="72">
        <v>0</v>
      </c>
      <c r="M998" s="58">
        <f>VLOOKUP(D998,'TABELA DE PRECOS'!B:C,2,0)</f>
        <v>355.78</v>
      </c>
    </row>
    <row r="999" spans="1:13" ht="15.75" customHeight="1" x14ac:dyDescent="0.25">
      <c r="A999" s="65">
        <v>41</v>
      </c>
      <c r="B999" s="84" t="s">
        <v>496</v>
      </c>
      <c r="C999" s="73">
        <v>1</v>
      </c>
      <c r="D999" s="85" t="s">
        <v>1113</v>
      </c>
      <c r="E999" s="86" t="s">
        <v>131</v>
      </c>
      <c r="F999" s="85" t="s">
        <v>223</v>
      </c>
      <c r="G999" s="71">
        <f t="shared" si="89"/>
        <v>414.94</v>
      </c>
      <c r="H999" s="71">
        <f t="shared" si="86"/>
        <v>414.94</v>
      </c>
      <c r="I999" s="71">
        <f t="shared" si="87"/>
        <v>414.94</v>
      </c>
      <c r="J999" s="71">
        <f t="shared" si="88"/>
        <v>414.94</v>
      </c>
      <c r="K999" s="72">
        <v>0</v>
      </c>
      <c r="M999" s="58">
        <f>VLOOKUP(D999,'TABELA DE PRECOS'!B:C,2,0)</f>
        <v>414.94</v>
      </c>
    </row>
    <row r="1000" spans="1:13" ht="15.75" customHeight="1" x14ac:dyDescent="0.25">
      <c r="A1000" s="65">
        <v>42</v>
      </c>
      <c r="B1000" s="84" t="s">
        <v>378</v>
      </c>
      <c r="C1000" s="73">
        <v>2</v>
      </c>
      <c r="D1000" s="85" t="s">
        <v>1061</v>
      </c>
      <c r="E1000" s="86" t="s">
        <v>131</v>
      </c>
      <c r="F1000" s="85" t="s">
        <v>223</v>
      </c>
      <c r="G1000" s="71">
        <f t="shared" si="89"/>
        <v>9.18</v>
      </c>
      <c r="H1000" s="71">
        <f t="shared" si="86"/>
        <v>18.36</v>
      </c>
      <c r="I1000" s="71">
        <f t="shared" si="87"/>
        <v>9.18</v>
      </c>
      <c r="J1000" s="71">
        <f t="shared" si="88"/>
        <v>18.36</v>
      </c>
      <c r="K1000" s="72">
        <v>0</v>
      </c>
      <c r="M1000" s="58">
        <f>VLOOKUP(D1000,'TABELA DE PRECOS'!B:C,2,0)</f>
        <v>9.18</v>
      </c>
    </row>
    <row r="1001" spans="1:13" ht="15.75" customHeight="1" x14ac:dyDescent="0.25">
      <c r="A1001" s="78"/>
      <c r="B1001" s="79" t="s">
        <v>224</v>
      </c>
      <c r="C1001" s="79">
        <f>SUM(C959:C1000)</f>
        <v>44</v>
      </c>
      <c r="D1001" s="79"/>
      <c r="E1001" s="79"/>
      <c r="F1001" s="79"/>
      <c r="G1001" s="80"/>
      <c r="H1001" s="80">
        <f>SUM(H959:H1000)</f>
        <v>2692.9054399999995</v>
      </c>
      <c r="I1001" s="79"/>
      <c r="J1001" s="80">
        <f>SUM(J959:J1000)</f>
        <v>2692.9054399999995</v>
      </c>
      <c r="K1001" s="81"/>
      <c r="M1001" s="58" t="e">
        <f>VLOOKUP(D1001,'TABELA DE PRECOS'!B:C,2,0)</f>
        <v>#N/A</v>
      </c>
    </row>
    <row r="1002" spans="1:13" ht="15.75" customHeight="1" x14ac:dyDescent="0.25">
      <c r="A1002" s="56"/>
      <c r="B1002" s="49" t="s">
        <v>15</v>
      </c>
      <c r="C1002" s="57"/>
      <c r="G1002" s="58"/>
      <c r="H1002" s="58"/>
      <c r="I1002" s="58"/>
      <c r="J1002" s="58"/>
      <c r="K1002" s="59"/>
      <c r="M1002" s="58" t="e">
        <f>VLOOKUP(D1002,'TABELA DE PRECOS'!B:C,2,0)</f>
        <v>#N/A</v>
      </c>
    </row>
    <row r="1003" spans="1:13" ht="15.75" customHeight="1" x14ac:dyDescent="0.25">
      <c r="A1003" s="56"/>
      <c r="B1003" s="18" t="s">
        <v>1114</v>
      </c>
      <c r="C1003" s="57"/>
      <c r="G1003" s="58"/>
      <c r="H1003" s="58"/>
      <c r="I1003" s="58"/>
      <c r="J1003" s="58"/>
      <c r="K1003" s="59"/>
      <c r="M1003" s="58" t="e">
        <f>VLOOKUP(D1003,'TABELA DE PRECOS'!B:C,2,0)</f>
        <v>#N/A</v>
      </c>
    </row>
    <row r="1004" spans="1:13" ht="15.75" customHeight="1" x14ac:dyDescent="0.25">
      <c r="A1004" s="18" t="s">
        <v>119</v>
      </c>
      <c r="B1004" s="18" t="s">
        <v>120</v>
      </c>
      <c r="C1004" s="18" t="s">
        <v>21</v>
      </c>
      <c r="D1004" s="18" t="s">
        <v>121</v>
      </c>
      <c r="E1004" s="60" t="s">
        <v>122</v>
      </c>
      <c r="F1004" s="18" t="s">
        <v>123</v>
      </c>
      <c r="G1004" s="61" t="s">
        <v>22</v>
      </c>
      <c r="H1004" s="18" t="s">
        <v>23</v>
      </c>
      <c r="I1004" s="18" t="s">
        <v>24</v>
      </c>
      <c r="J1004" s="18" t="s">
        <v>25</v>
      </c>
      <c r="K1004" s="62" t="s">
        <v>26</v>
      </c>
      <c r="M1004" s="58" t="str">
        <f>VLOOKUP(D1004,'TABELA DE PRECOS'!B:C,2,0)</f>
        <v>Valor Unit Bruto</v>
      </c>
    </row>
    <row r="1005" spans="1:13" ht="15.75" customHeight="1" x14ac:dyDescent="0.25">
      <c r="A1005" s="65">
        <v>1</v>
      </c>
      <c r="B1005" s="84" t="s">
        <v>451</v>
      </c>
      <c r="C1005" s="73">
        <v>1</v>
      </c>
      <c r="D1005" s="84" t="s">
        <v>452</v>
      </c>
      <c r="E1005" s="86" t="s">
        <v>131</v>
      </c>
      <c r="F1005" s="85">
        <v>81897710021</v>
      </c>
      <c r="G1005" s="71">
        <f t="shared" ref="G1005:G1025" si="90">M1005</f>
        <v>6.12</v>
      </c>
      <c r="H1005" s="71">
        <f t="shared" ref="H1005:H1025" si="91">G1005*C1005</f>
        <v>6.12</v>
      </c>
      <c r="I1005" s="71">
        <f t="shared" ref="I1005:I1025" si="92">G1005</f>
        <v>6.12</v>
      </c>
      <c r="J1005" s="71">
        <f t="shared" ref="J1005:J1025" si="93">I1005*C1005</f>
        <v>6.12</v>
      </c>
      <c r="K1005" s="72">
        <v>0</v>
      </c>
      <c r="M1005" s="58">
        <f>VLOOKUP(D1005,'TABELA DE PRECOS'!B:C,2,0)</f>
        <v>6.12</v>
      </c>
    </row>
    <row r="1006" spans="1:13" ht="15.75" customHeight="1" x14ac:dyDescent="0.25">
      <c r="A1006" s="65">
        <v>2</v>
      </c>
      <c r="B1006" s="84" t="s">
        <v>300</v>
      </c>
      <c r="C1006" s="73">
        <v>1</v>
      </c>
      <c r="D1006" s="85" t="s">
        <v>301</v>
      </c>
      <c r="E1006" s="86" t="s">
        <v>131</v>
      </c>
      <c r="F1006" s="85">
        <v>81897719002</v>
      </c>
      <c r="G1006" s="71">
        <f t="shared" si="90"/>
        <v>9.4</v>
      </c>
      <c r="H1006" s="71">
        <f t="shared" si="91"/>
        <v>9.4</v>
      </c>
      <c r="I1006" s="71">
        <f t="shared" si="92"/>
        <v>9.4</v>
      </c>
      <c r="J1006" s="71">
        <f t="shared" si="93"/>
        <v>9.4</v>
      </c>
      <c r="K1006" s="72">
        <v>0</v>
      </c>
      <c r="M1006" s="58">
        <f>VLOOKUP(D1006,'TABELA DE PRECOS'!B:C,2,0)</f>
        <v>9.4</v>
      </c>
    </row>
    <row r="1007" spans="1:13" ht="15.75" customHeight="1" x14ac:dyDescent="0.25">
      <c r="A1007" s="65">
        <v>3</v>
      </c>
      <c r="B1007" s="84" t="s">
        <v>324</v>
      </c>
      <c r="C1007" s="73">
        <v>2</v>
      </c>
      <c r="D1007" s="85" t="s">
        <v>325</v>
      </c>
      <c r="E1007" s="86" t="s">
        <v>131</v>
      </c>
      <c r="F1007" s="85">
        <v>81897719002</v>
      </c>
      <c r="G1007" s="71">
        <f t="shared" si="90"/>
        <v>23.7636</v>
      </c>
      <c r="H1007" s="71">
        <f t="shared" si="91"/>
        <v>47.527200000000001</v>
      </c>
      <c r="I1007" s="71">
        <f t="shared" si="92"/>
        <v>23.7636</v>
      </c>
      <c r="J1007" s="71">
        <f t="shared" si="93"/>
        <v>47.527200000000001</v>
      </c>
      <c r="K1007" s="72">
        <v>0</v>
      </c>
      <c r="M1007" s="58">
        <f>VLOOKUP(D1007,'TABELA DE PRECOS'!B:C,2,0)</f>
        <v>23.7636</v>
      </c>
    </row>
    <row r="1008" spans="1:13" ht="15.75" customHeight="1" x14ac:dyDescent="0.25">
      <c r="A1008" s="65">
        <v>4</v>
      </c>
      <c r="B1008" s="84" t="s">
        <v>419</v>
      </c>
      <c r="C1008" s="73">
        <v>4</v>
      </c>
      <c r="D1008" s="85" t="s">
        <v>420</v>
      </c>
      <c r="E1008" s="86" t="s">
        <v>131</v>
      </c>
      <c r="F1008" s="85">
        <v>81897719002</v>
      </c>
      <c r="G1008" s="71">
        <f t="shared" si="90"/>
        <v>16.52</v>
      </c>
      <c r="H1008" s="71">
        <f t="shared" si="91"/>
        <v>66.08</v>
      </c>
      <c r="I1008" s="71">
        <f t="shared" si="92"/>
        <v>16.52</v>
      </c>
      <c r="J1008" s="71">
        <f t="shared" si="93"/>
        <v>66.08</v>
      </c>
      <c r="K1008" s="72">
        <v>0</v>
      </c>
      <c r="M1008" s="58">
        <f>VLOOKUP(D1008,'TABELA DE PRECOS'!B:C,2,0)</f>
        <v>16.52</v>
      </c>
    </row>
    <row r="1009" spans="1:13" ht="15.75" customHeight="1" x14ac:dyDescent="0.25">
      <c r="A1009" s="65">
        <v>5</v>
      </c>
      <c r="B1009" s="84" t="s">
        <v>187</v>
      </c>
      <c r="C1009" s="73">
        <v>6</v>
      </c>
      <c r="D1009" s="85" t="s">
        <v>188</v>
      </c>
      <c r="E1009" s="86" t="s">
        <v>131</v>
      </c>
      <c r="F1009" s="85">
        <v>81897719002</v>
      </c>
      <c r="G1009" s="71">
        <f t="shared" si="90"/>
        <v>15.95</v>
      </c>
      <c r="H1009" s="71">
        <f t="shared" si="91"/>
        <v>95.699999999999989</v>
      </c>
      <c r="I1009" s="71">
        <f t="shared" si="92"/>
        <v>15.95</v>
      </c>
      <c r="J1009" s="71">
        <f t="shared" si="93"/>
        <v>95.699999999999989</v>
      </c>
      <c r="K1009" s="72">
        <v>0</v>
      </c>
      <c r="M1009" s="58">
        <f>VLOOKUP(D1009,'TABELA DE PRECOS'!B:C,2,0)</f>
        <v>15.95</v>
      </c>
    </row>
    <row r="1010" spans="1:13" ht="15.75" customHeight="1" x14ac:dyDescent="0.25">
      <c r="A1010" s="65">
        <v>6</v>
      </c>
      <c r="B1010" s="84" t="s">
        <v>254</v>
      </c>
      <c r="C1010" s="73">
        <v>6</v>
      </c>
      <c r="D1010" s="85" t="s">
        <v>255</v>
      </c>
      <c r="E1010" s="86" t="s">
        <v>131</v>
      </c>
      <c r="F1010" s="85">
        <v>81897719002</v>
      </c>
      <c r="G1010" s="71">
        <f t="shared" si="90"/>
        <v>16.68</v>
      </c>
      <c r="H1010" s="71">
        <f t="shared" si="91"/>
        <v>100.08</v>
      </c>
      <c r="I1010" s="71">
        <f t="shared" si="92"/>
        <v>16.68</v>
      </c>
      <c r="J1010" s="71">
        <f t="shared" si="93"/>
        <v>100.08</v>
      </c>
      <c r="K1010" s="72">
        <v>0</v>
      </c>
      <c r="M1010" s="58">
        <f>VLOOKUP(D1010,'TABELA DE PRECOS'!B:C,2,0)</f>
        <v>16.68</v>
      </c>
    </row>
    <row r="1011" spans="1:13" ht="15.75" customHeight="1" x14ac:dyDescent="0.25">
      <c r="A1011" s="65">
        <v>7</v>
      </c>
      <c r="B1011" s="84" t="s">
        <v>183</v>
      </c>
      <c r="C1011" s="73">
        <v>1</v>
      </c>
      <c r="D1011" s="85" t="s">
        <v>184</v>
      </c>
      <c r="E1011" s="86" t="s">
        <v>131</v>
      </c>
      <c r="F1011" s="85">
        <v>81897719002</v>
      </c>
      <c r="G1011" s="71">
        <f t="shared" si="90"/>
        <v>40.79</v>
      </c>
      <c r="H1011" s="71">
        <f t="shared" si="91"/>
        <v>40.79</v>
      </c>
      <c r="I1011" s="71">
        <f t="shared" si="92"/>
        <v>40.79</v>
      </c>
      <c r="J1011" s="71">
        <f t="shared" si="93"/>
        <v>40.79</v>
      </c>
      <c r="K1011" s="72">
        <v>0</v>
      </c>
      <c r="L1011" s="63"/>
      <c r="M1011" s="58">
        <f>VLOOKUP(D1011,'TABELA DE PRECOS'!B:C,2,0)</f>
        <v>40.79</v>
      </c>
    </row>
    <row r="1012" spans="1:13" ht="15.75" customHeight="1" x14ac:dyDescent="0.25">
      <c r="A1012" s="65">
        <v>8</v>
      </c>
      <c r="B1012" s="84" t="s">
        <v>399</v>
      </c>
      <c r="C1012" s="73">
        <v>2</v>
      </c>
      <c r="D1012" s="85" t="s">
        <v>400</v>
      </c>
      <c r="E1012" s="86" t="s">
        <v>131</v>
      </c>
      <c r="F1012" s="85">
        <v>81897719002</v>
      </c>
      <c r="G1012" s="71">
        <f t="shared" si="90"/>
        <v>8.85</v>
      </c>
      <c r="H1012" s="71">
        <f t="shared" si="91"/>
        <v>17.7</v>
      </c>
      <c r="I1012" s="71">
        <f t="shared" si="92"/>
        <v>8.85</v>
      </c>
      <c r="J1012" s="71">
        <f t="shared" si="93"/>
        <v>17.7</v>
      </c>
      <c r="K1012" s="72">
        <v>0</v>
      </c>
      <c r="L1012" s="63"/>
      <c r="M1012" s="58">
        <f>VLOOKUP(D1012,'TABELA DE PRECOS'!B:C,2,0)</f>
        <v>8.85</v>
      </c>
    </row>
    <row r="1013" spans="1:13" ht="15.75" customHeight="1" x14ac:dyDescent="0.25">
      <c r="A1013" s="65">
        <v>9</v>
      </c>
      <c r="B1013" s="84" t="s">
        <v>397</v>
      </c>
      <c r="C1013" s="73">
        <v>2</v>
      </c>
      <c r="D1013" s="85" t="s">
        <v>398</v>
      </c>
      <c r="E1013" s="86" t="s">
        <v>131</v>
      </c>
      <c r="F1013" s="85">
        <v>81897719002</v>
      </c>
      <c r="G1013" s="71">
        <f t="shared" si="90"/>
        <v>9.19</v>
      </c>
      <c r="H1013" s="71">
        <f t="shared" si="91"/>
        <v>18.38</v>
      </c>
      <c r="I1013" s="71">
        <f t="shared" si="92"/>
        <v>9.19</v>
      </c>
      <c r="J1013" s="71">
        <f t="shared" si="93"/>
        <v>18.38</v>
      </c>
      <c r="K1013" s="72">
        <v>0</v>
      </c>
      <c r="M1013" s="58">
        <f>VLOOKUP(D1013,'TABELA DE PRECOS'!B:C,2,0)</f>
        <v>9.19</v>
      </c>
    </row>
    <row r="1014" spans="1:13" ht="15.75" customHeight="1" x14ac:dyDescent="0.25">
      <c r="A1014" s="65">
        <v>10</v>
      </c>
      <c r="B1014" s="84" t="s">
        <v>679</v>
      </c>
      <c r="C1014" s="73">
        <v>1</v>
      </c>
      <c r="D1014" s="85" t="s">
        <v>680</v>
      </c>
      <c r="E1014" s="86" t="s">
        <v>131</v>
      </c>
      <c r="F1014" s="85">
        <v>81897719002</v>
      </c>
      <c r="G1014" s="71">
        <f t="shared" si="90"/>
        <v>10.19</v>
      </c>
      <c r="H1014" s="71">
        <f t="shared" si="91"/>
        <v>10.19</v>
      </c>
      <c r="I1014" s="71">
        <f t="shared" si="92"/>
        <v>10.19</v>
      </c>
      <c r="J1014" s="71">
        <f t="shared" si="93"/>
        <v>10.19</v>
      </c>
      <c r="K1014" s="72">
        <v>0</v>
      </c>
      <c r="M1014" s="58">
        <f>VLOOKUP(D1014,'TABELA DE PRECOS'!B:C,2,0)</f>
        <v>10.19</v>
      </c>
    </row>
    <row r="1015" spans="1:13" ht="15.75" customHeight="1" x14ac:dyDescent="0.25">
      <c r="A1015" s="65">
        <v>11</v>
      </c>
      <c r="B1015" s="84" t="s">
        <v>455</v>
      </c>
      <c r="C1015" s="73">
        <v>1</v>
      </c>
      <c r="D1015" s="85" t="s">
        <v>456</v>
      </c>
      <c r="E1015" s="86" t="s">
        <v>131</v>
      </c>
      <c r="F1015" s="85">
        <v>81897719002</v>
      </c>
      <c r="G1015" s="71">
        <f t="shared" si="90"/>
        <v>8.3699999999999992</v>
      </c>
      <c r="H1015" s="71">
        <f t="shared" si="91"/>
        <v>8.3699999999999992</v>
      </c>
      <c r="I1015" s="71">
        <f t="shared" si="92"/>
        <v>8.3699999999999992</v>
      </c>
      <c r="J1015" s="71">
        <f t="shared" si="93"/>
        <v>8.3699999999999992</v>
      </c>
      <c r="K1015" s="72">
        <v>0</v>
      </c>
      <c r="M1015" s="58">
        <f>VLOOKUP(D1015,'TABELA DE PRECOS'!B:C,2,0)</f>
        <v>8.3699999999999992</v>
      </c>
    </row>
    <row r="1016" spans="1:13" ht="15.75" customHeight="1" x14ac:dyDescent="0.25">
      <c r="A1016" s="65">
        <v>12</v>
      </c>
      <c r="B1016" s="84" t="s">
        <v>1115</v>
      </c>
      <c r="C1016" s="73">
        <v>2</v>
      </c>
      <c r="D1016" s="85" t="s">
        <v>1116</v>
      </c>
      <c r="E1016" s="86" t="s">
        <v>131</v>
      </c>
      <c r="F1016" s="85">
        <v>81897719002</v>
      </c>
      <c r="G1016" s="71">
        <f t="shared" si="90"/>
        <v>21.193280000000001</v>
      </c>
      <c r="H1016" s="71">
        <f t="shared" si="91"/>
        <v>42.386560000000003</v>
      </c>
      <c r="I1016" s="71">
        <f t="shared" si="92"/>
        <v>21.193280000000001</v>
      </c>
      <c r="J1016" s="71">
        <f t="shared" si="93"/>
        <v>42.386560000000003</v>
      </c>
      <c r="K1016" s="72">
        <v>0</v>
      </c>
      <c r="M1016" s="58">
        <f>VLOOKUP(D1016,'TABELA DE PRECOS'!B:C,2,0)</f>
        <v>21.193280000000001</v>
      </c>
    </row>
    <row r="1017" spans="1:13" ht="15.75" customHeight="1" x14ac:dyDescent="0.25">
      <c r="A1017" s="65">
        <v>13</v>
      </c>
      <c r="B1017" s="84" t="s">
        <v>360</v>
      </c>
      <c r="C1017" s="73">
        <v>1</v>
      </c>
      <c r="D1017" s="85" t="s">
        <v>361</v>
      </c>
      <c r="E1017" s="86" t="s">
        <v>131</v>
      </c>
      <c r="F1017" s="85">
        <v>81897719002</v>
      </c>
      <c r="G1017" s="71">
        <f t="shared" si="90"/>
        <v>19.477120000000003</v>
      </c>
      <c r="H1017" s="71">
        <f t="shared" si="91"/>
        <v>19.477120000000003</v>
      </c>
      <c r="I1017" s="71">
        <f t="shared" si="92"/>
        <v>19.477120000000003</v>
      </c>
      <c r="J1017" s="71">
        <f t="shared" si="93"/>
        <v>19.477120000000003</v>
      </c>
      <c r="K1017" s="72">
        <v>0</v>
      </c>
      <c r="M1017" s="58">
        <f>VLOOKUP(D1017,'TABELA DE PRECOS'!B:C,2,0)</f>
        <v>19.477120000000003</v>
      </c>
    </row>
    <row r="1018" spans="1:13" ht="15.75" customHeight="1" x14ac:dyDescent="0.25">
      <c r="A1018" s="65">
        <v>14</v>
      </c>
      <c r="B1018" s="84" t="s">
        <v>1117</v>
      </c>
      <c r="C1018" s="73">
        <v>1</v>
      </c>
      <c r="D1018" s="85" t="s">
        <v>1118</v>
      </c>
      <c r="E1018" s="86" t="s">
        <v>131</v>
      </c>
      <c r="F1018" s="85">
        <v>81897719002</v>
      </c>
      <c r="G1018" s="71">
        <f t="shared" si="90"/>
        <v>20.830719999999999</v>
      </c>
      <c r="H1018" s="71">
        <f t="shared" si="91"/>
        <v>20.830719999999999</v>
      </c>
      <c r="I1018" s="71">
        <f t="shared" si="92"/>
        <v>20.830719999999999</v>
      </c>
      <c r="J1018" s="71">
        <f t="shared" si="93"/>
        <v>20.830719999999999</v>
      </c>
      <c r="K1018" s="72">
        <v>0</v>
      </c>
      <c r="M1018" s="58">
        <f>VLOOKUP(D1018,'TABELA DE PRECOS'!B:C,2,0)</f>
        <v>20.830719999999999</v>
      </c>
    </row>
    <row r="1019" spans="1:13" ht="15.75" customHeight="1" x14ac:dyDescent="0.25">
      <c r="A1019" s="65">
        <v>15</v>
      </c>
      <c r="B1019" s="84" t="s">
        <v>1119</v>
      </c>
      <c r="C1019" s="73">
        <v>1</v>
      </c>
      <c r="D1019" s="85" t="s">
        <v>1120</v>
      </c>
      <c r="E1019" s="86" t="s">
        <v>131</v>
      </c>
      <c r="F1019" s="85">
        <v>81897719002</v>
      </c>
      <c r="G1019" s="71">
        <f t="shared" si="90"/>
        <v>26.458639999999999</v>
      </c>
      <c r="H1019" s="71">
        <f t="shared" si="91"/>
        <v>26.458639999999999</v>
      </c>
      <c r="I1019" s="71">
        <f t="shared" si="92"/>
        <v>26.458639999999999</v>
      </c>
      <c r="J1019" s="71">
        <f t="shared" si="93"/>
        <v>26.458639999999999</v>
      </c>
      <c r="K1019" s="72">
        <v>0</v>
      </c>
      <c r="M1019" s="58">
        <f>VLOOKUP(D1019,'TABELA DE PRECOS'!B:C,2,0)</f>
        <v>26.458639999999999</v>
      </c>
    </row>
    <row r="1020" spans="1:13" ht="15.75" customHeight="1" x14ac:dyDescent="0.25">
      <c r="A1020" s="65">
        <v>16</v>
      </c>
      <c r="B1020" s="84" t="s">
        <v>1121</v>
      </c>
      <c r="C1020" s="73">
        <v>2</v>
      </c>
      <c r="D1020" s="85" t="s">
        <v>1122</v>
      </c>
      <c r="E1020" s="86" t="s">
        <v>131</v>
      </c>
      <c r="F1020" s="85">
        <v>81897719002</v>
      </c>
      <c r="G1020" s="71">
        <f t="shared" si="90"/>
        <v>25.502799999999997</v>
      </c>
      <c r="H1020" s="71">
        <f t="shared" si="91"/>
        <v>51.005599999999994</v>
      </c>
      <c r="I1020" s="71">
        <f t="shared" si="92"/>
        <v>25.502799999999997</v>
      </c>
      <c r="J1020" s="71">
        <f t="shared" si="93"/>
        <v>51.005599999999994</v>
      </c>
      <c r="K1020" s="72">
        <v>0</v>
      </c>
      <c r="M1020" s="58">
        <f>VLOOKUP(D1020,'TABELA DE PRECOS'!B:C,2,0)</f>
        <v>25.502799999999997</v>
      </c>
    </row>
    <row r="1021" spans="1:13" ht="15.75" customHeight="1" x14ac:dyDescent="0.25">
      <c r="A1021" s="65">
        <v>17</v>
      </c>
      <c r="B1021" s="84" t="s">
        <v>1123</v>
      </c>
      <c r="C1021" s="73">
        <v>1</v>
      </c>
      <c r="D1021" s="85" t="s">
        <v>1124</v>
      </c>
      <c r="E1021" s="86" t="s">
        <v>131</v>
      </c>
      <c r="F1021" s="85">
        <v>81897719002</v>
      </c>
      <c r="G1021" s="71">
        <f t="shared" si="90"/>
        <v>4.944</v>
      </c>
      <c r="H1021" s="71">
        <f t="shared" si="91"/>
        <v>4.944</v>
      </c>
      <c r="I1021" s="71">
        <f t="shared" si="92"/>
        <v>4.944</v>
      </c>
      <c r="J1021" s="71">
        <f t="shared" si="93"/>
        <v>4.944</v>
      </c>
      <c r="K1021" s="72">
        <v>0</v>
      </c>
      <c r="M1021" s="58">
        <f>VLOOKUP(D1021,'TABELA DE PRECOS'!B:C,2,0)</f>
        <v>4.944</v>
      </c>
    </row>
    <row r="1022" spans="1:13" ht="15.75" customHeight="1" x14ac:dyDescent="0.25">
      <c r="A1022" s="65">
        <v>18</v>
      </c>
      <c r="B1022" s="84" t="s">
        <v>1125</v>
      </c>
      <c r="C1022" s="73">
        <v>1</v>
      </c>
      <c r="D1022" s="85" t="s">
        <v>1126</v>
      </c>
      <c r="E1022" s="86" t="s">
        <v>131</v>
      </c>
      <c r="F1022" s="85" t="s">
        <v>223</v>
      </c>
      <c r="G1022" s="71">
        <f t="shared" si="90"/>
        <v>393.80944</v>
      </c>
      <c r="H1022" s="71">
        <f t="shared" si="91"/>
        <v>393.80944</v>
      </c>
      <c r="I1022" s="71">
        <f t="shared" si="92"/>
        <v>393.80944</v>
      </c>
      <c r="J1022" s="71">
        <f t="shared" si="93"/>
        <v>393.80944</v>
      </c>
      <c r="K1022" s="72">
        <v>0</v>
      </c>
      <c r="M1022" s="58">
        <f>VLOOKUP(D1022,'TABELA DE PRECOS'!B:C,2,0)</f>
        <v>393.80944</v>
      </c>
    </row>
    <row r="1023" spans="1:13" ht="15.75" customHeight="1" x14ac:dyDescent="0.25">
      <c r="A1023" s="65">
        <v>19</v>
      </c>
      <c r="B1023" s="84" t="s">
        <v>534</v>
      </c>
      <c r="C1023" s="73">
        <v>1</v>
      </c>
      <c r="D1023" s="85" t="s">
        <v>535</v>
      </c>
      <c r="E1023" s="86" t="s">
        <v>131</v>
      </c>
      <c r="F1023" s="85" t="s">
        <v>223</v>
      </c>
      <c r="G1023" s="71">
        <f t="shared" si="90"/>
        <v>334.76</v>
      </c>
      <c r="H1023" s="71">
        <f t="shared" si="91"/>
        <v>334.76</v>
      </c>
      <c r="I1023" s="71">
        <f t="shared" si="92"/>
        <v>334.76</v>
      </c>
      <c r="J1023" s="71">
        <f t="shared" si="93"/>
        <v>334.76</v>
      </c>
      <c r="K1023" s="72">
        <v>0</v>
      </c>
      <c r="M1023" s="58">
        <f>VLOOKUP(D1023,'TABELA DE PRECOS'!B:C,2,0)</f>
        <v>334.76</v>
      </c>
    </row>
    <row r="1024" spans="1:13" ht="15.75" customHeight="1" x14ac:dyDescent="0.25">
      <c r="A1024" s="65">
        <v>20</v>
      </c>
      <c r="B1024" s="84" t="s">
        <v>496</v>
      </c>
      <c r="C1024" s="73">
        <v>1</v>
      </c>
      <c r="D1024" s="85" t="s">
        <v>1127</v>
      </c>
      <c r="E1024" s="86" t="s">
        <v>131</v>
      </c>
      <c r="F1024" s="85" t="s">
        <v>223</v>
      </c>
      <c r="G1024" s="71">
        <f t="shared" si="90"/>
        <v>414.94</v>
      </c>
      <c r="H1024" s="71">
        <f t="shared" si="91"/>
        <v>414.94</v>
      </c>
      <c r="I1024" s="71">
        <f t="shared" si="92"/>
        <v>414.94</v>
      </c>
      <c r="J1024" s="71">
        <f t="shared" si="93"/>
        <v>414.94</v>
      </c>
      <c r="K1024" s="72">
        <v>0</v>
      </c>
      <c r="M1024" s="58">
        <f>VLOOKUP(D1024,'TABELA DE PRECOS'!B:C,2,0)</f>
        <v>414.94</v>
      </c>
    </row>
    <row r="1025" spans="1:13" ht="15.75" customHeight="1" x14ac:dyDescent="0.25">
      <c r="A1025" s="65">
        <v>21</v>
      </c>
      <c r="B1025" s="84" t="s">
        <v>378</v>
      </c>
      <c r="C1025" s="73">
        <v>2</v>
      </c>
      <c r="D1025" s="85" t="s">
        <v>379</v>
      </c>
      <c r="E1025" s="86" t="s">
        <v>131</v>
      </c>
      <c r="F1025" s="85" t="s">
        <v>223</v>
      </c>
      <c r="G1025" s="71">
        <f t="shared" si="90"/>
        <v>9.18</v>
      </c>
      <c r="H1025" s="71">
        <f t="shared" si="91"/>
        <v>18.36</v>
      </c>
      <c r="I1025" s="71">
        <f t="shared" si="92"/>
        <v>9.18</v>
      </c>
      <c r="J1025" s="71">
        <f t="shared" si="93"/>
        <v>18.36</v>
      </c>
      <c r="K1025" s="72">
        <v>0</v>
      </c>
      <c r="M1025" s="58">
        <f>VLOOKUP(D1025,'TABELA DE PRECOS'!B:C,2,0)</f>
        <v>9.18</v>
      </c>
    </row>
    <row r="1026" spans="1:13" ht="15.75" customHeight="1" x14ac:dyDescent="0.25">
      <c r="A1026" s="78"/>
      <c r="B1026" s="79" t="s">
        <v>224</v>
      </c>
      <c r="C1026" s="79">
        <f>SUM(C1005:C1025)</f>
        <v>40</v>
      </c>
      <c r="D1026" s="79"/>
      <c r="E1026" s="79"/>
      <c r="F1026" s="79"/>
      <c r="G1026" s="80"/>
      <c r="H1026" s="80">
        <f>SUM(H1005:H1025)</f>
        <v>1747.3092799999997</v>
      </c>
      <c r="I1026" s="79"/>
      <c r="J1026" s="80">
        <f>SUM(J1005:J1025)</f>
        <v>1747.3092799999997</v>
      </c>
      <c r="K1026" s="81"/>
      <c r="M1026" s="58" t="e">
        <f>VLOOKUP(D1026,'TABELA DE PRECOS'!B:C,2,0)</f>
        <v>#N/A</v>
      </c>
    </row>
    <row r="1027" spans="1:13" ht="15.75" customHeight="1" x14ac:dyDescent="0.25">
      <c r="A1027" s="56"/>
      <c r="B1027" s="49" t="s">
        <v>15</v>
      </c>
      <c r="C1027" s="57"/>
      <c r="G1027" s="58"/>
      <c r="H1027" s="58"/>
      <c r="I1027" s="58"/>
      <c r="J1027" s="58"/>
      <c r="K1027" s="59"/>
      <c r="M1027" s="58" t="e">
        <f>VLOOKUP(D1027,'TABELA DE PRECOS'!B:C,2,0)</f>
        <v>#N/A</v>
      </c>
    </row>
    <row r="1028" spans="1:13" ht="15.75" customHeight="1" x14ac:dyDescent="0.25">
      <c r="A1028" s="105"/>
      <c r="B1028" s="18" t="s">
        <v>1128</v>
      </c>
      <c r="C1028" s="57"/>
      <c r="D1028" s="90"/>
      <c r="E1028" s="90"/>
      <c r="F1028" s="90"/>
      <c r="G1028" s="58"/>
      <c r="H1028" s="58"/>
      <c r="I1028" s="58"/>
      <c r="J1028" s="58"/>
      <c r="K1028" s="59"/>
      <c r="M1028" s="58" t="e">
        <f>VLOOKUP(D1028,'TABELA DE PRECOS'!B:C,2,0)</f>
        <v>#N/A</v>
      </c>
    </row>
    <row r="1029" spans="1:13" ht="15.75" customHeight="1" x14ac:dyDescent="0.25">
      <c r="A1029" s="18" t="s">
        <v>119</v>
      </c>
      <c r="B1029" s="18" t="s">
        <v>120</v>
      </c>
      <c r="C1029" s="18" t="s">
        <v>21</v>
      </c>
      <c r="D1029" s="18" t="s">
        <v>121</v>
      </c>
      <c r="E1029" s="60" t="s">
        <v>122</v>
      </c>
      <c r="F1029" s="18" t="s">
        <v>123</v>
      </c>
      <c r="G1029" s="61" t="s">
        <v>22</v>
      </c>
      <c r="H1029" s="18" t="s">
        <v>23</v>
      </c>
      <c r="I1029" s="18" t="s">
        <v>24</v>
      </c>
      <c r="J1029" s="18" t="s">
        <v>25</v>
      </c>
      <c r="K1029" s="62" t="s">
        <v>26</v>
      </c>
      <c r="M1029" s="58" t="str">
        <f>VLOOKUP(D1029,'TABELA DE PRECOS'!B:C,2,0)</f>
        <v>Valor Unit Bruto</v>
      </c>
    </row>
    <row r="1030" spans="1:13" ht="15.75" customHeight="1" x14ac:dyDescent="0.25">
      <c r="A1030" s="65">
        <v>1</v>
      </c>
      <c r="B1030" s="84" t="s">
        <v>1129</v>
      </c>
      <c r="C1030" s="73">
        <v>4</v>
      </c>
      <c r="D1030" s="49" t="s">
        <v>1130</v>
      </c>
      <c r="E1030" s="86" t="s">
        <v>131</v>
      </c>
      <c r="F1030" s="85">
        <v>81897710023</v>
      </c>
      <c r="G1030" s="71">
        <f t="shared" ref="G1030:G1062" si="94">M1030</f>
        <v>23.492239999999999</v>
      </c>
      <c r="H1030" s="71">
        <f t="shared" ref="H1030:H1062" si="95">G1030*C1030</f>
        <v>93.968959999999996</v>
      </c>
      <c r="I1030" s="71">
        <f t="shared" ref="I1030:I1062" si="96">G1030</f>
        <v>23.492239999999999</v>
      </c>
      <c r="J1030" s="71">
        <f t="shared" ref="J1030:J1062" si="97">I1030*C1030</f>
        <v>93.968959999999996</v>
      </c>
      <c r="K1030" s="72">
        <v>0</v>
      </c>
      <c r="M1030" s="58">
        <f>VLOOKUP(D1030,'TABELA DE PRECOS'!B:C,2,0)</f>
        <v>23.492239999999999</v>
      </c>
    </row>
    <row r="1031" spans="1:13" ht="15.75" customHeight="1" x14ac:dyDescent="0.25">
      <c r="A1031" s="65">
        <v>2</v>
      </c>
      <c r="B1031" s="84" t="s">
        <v>1131</v>
      </c>
      <c r="C1031" s="73">
        <v>1</v>
      </c>
      <c r="D1031" s="84" t="s">
        <v>1132</v>
      </c>
      <c r="E1031" s="86" t="s">
        <v>131</v>
      </c>
      <c r="F1031" s="85">
        <v>81897719006</v>
      </c>
      <c r="G1031" s="71">
        <f t="shared" si="94"/>
        <v>150.02000000000001</v>
      </c>
      <c r="H1031" s="71">
        <f t="shared" si="95"/>
        <v>150.02000000000001</v>
      </c>
      <c r="I1031" s="71">
        <f t="shared" si="96"/>
        <v>150.02000000000001</v>
      </c>
      <c r="J1031" s="71">
        <f t="shared" si="97"/>
        <v>150.02000000000001</v>
      </c>
      <c r="K1031" s="72">
        <v>0</v>
      </c>
      <c r="M1031" s="58">
        <f>VLOOKUP(D1031,'TABELA DE PRECOS'!B:C,2,0)</f>
        <v>150.02000000000001</v>
      </c>
    </row>
    <row r="1032" spans="1:13" ht="15.75" customHeight="1" x14ac:dyDescent="0.25">
      <c r="A1032" s="65">
        <v>3</v>
      </c>
      <c r="B1032" s="84" t="s">
        <v>296</v>
      </c>
      <c r="C1032" s="73">
        <v>1</v>
      </c>
      <c r="D1032" s="85" t="s">
        <v>297</v>
      </c>
      <c r="E1032" s="86" t="s">
        <v>131</v>
      </c>
      <c r="F1032" s="85">
        <v>81897719002</v>
      </c>
      <c r="G1032" s="71">
        <f t="shared" si="94"/>
        <v>57.032640000000001</v>
      </c>
      <c r="H1032" s="71">
        <f t="shared" si="95"/>
        <v>57.032640000000001</v>
      </c>
      <c r="I1032" s="71">
        <f t="shared" si="96"/>
        <v>57.032640000000001</v>
      </c>
      <c r="J1032" s="71">
        <f t="shared" si="97"/>
        <v>57.032640000000001</v>
      </c>
      <c r="K1032" s="72">
        <v>0</v>
      </c>
      <c r="M1032" s="58">
        <f>VLOOKUP(D1032,'TABELA DE PRECOS'!B:C,2,0)</f>
        <v>57.032640000000001</v>
      </c>
    </row>
    <row r="1033" spans="1:13" ht="15.75" customHeight="1" x14ac:dyDescent="0.25">
      <c r="A1033" s="65">
        <v>4</v>
      </c>
      <c r="B1033" s="84" t="s">
        <v>334</v>
      </c>
      <c r="C1033" s="73">
        <v>1</v>
      </c>
      <c r="D1033" s="49" t="s">
        <v>335</v>
      </c>
      <c r="E1033" s="86" t="s">
        <v>131</v>
      </c>
      <c r="F1033" s="85">
        <v>81897719002</v>
      </c>
      <c r="G1033" s="71">
        <f t="shared" si="94"/>
        <v>36.11</v>
      </c>
      <c r="H1033" s="71">
        <f t="shared" si="95"/>
        <v>36.11</v>
      </c>
      <c r="I1033" s="71">
        <f t="shared" si="96"/>
        <v>36.11</v>
      </c>
      <c r="J1033" s="71">
        <f t="shared" si="97"/>
        <v>36.11</v>
      </c>
      <c r="K1033" s="72">
        <v>0</v>
      </c>
      <c r="M1033" s="58">
        <f>VLOOKUP(D1033,'TABELA DE PRECOS'!B:C,2,0)</f>
        <v>36.11</v>
      </c>
    </row>
    <row r="1034" spans="1:13" ht="15.75" customHeight="1" x14ac:dyDescent="0.25">
      <c r="A1034" s="65">
        <v>5</v>
      </c>
      <c r="B1034" s="84" t="s">
        <v>1133</v>
      </c>
      <c r="C1034" s="73">
        <v>1</v>
      </c>
      <c r="D1034" s="85" t="s">
        <v>1134</v>
      </c>
      <c r="E1034" s="86" t="s">
        <v>131</v>
      </c>
      <c r="F1034" s="85">
        <v>81897719006</v>
      </c>
      <c r="G1034" s="71">
        <f t="shared" si="94"/>
        <v>30.965920000000001</v>
      </c>
      <c r="H1034" s="71">
        <f t="shared" si="95"/>
        <v>30.965920000000001</v>
      </c>
      <c r="I1034" s="71">
        <f t="shared" si="96"/>
        <v>30.965920000000001</v>
      </c>
      <c r="J1034" s="71">
        <f t="shared" si="97"/>
        <v>30.965920000000001</v>
      </c>
      <c r="K1034" s="72">
        <v>0</v>
      </c>
      <c r="M1034" s="58">
        <f>VLOOKUP(D1034,'TABELA DE PRECOS'!B:C,2,0)</f>
        <v>30.965920000000001</v>
      </c>
    </row>
    <row r="1035" spans="1:13" ht="15.75" customHeight="1" x14ac:dyDescent="0.25">
      <c r="A1035" s="65">
        <v>6</v>
      </c>
      <c r="B1035" s="84" t="s">
        <v>1135</v>
      </c>
      <c r="C1035" s="73">
        <v>1</v>
      </c>
      <c r="D1035" s="84" t="s">
        <v>1136</v>
      </c>
      <c r="E1035" s="86" t="s">
        <v>131</v>
      </c>
      <c r="F1035" s="85">
        <v>81897719006</v>
      </c>
      <c r="G1035" s="71">
        <f t="shared" si="94"/>
        <v>35.143599999999999</v>
      </c>
      <c r="H1035" s="71">
        <f t="shared" si="95"/>
        <v>35.143599999999999</v>
      </c>
      <c r="I1035" s="71">
        <f t="shared" si="96"/>
        <v>35.143599999999999</v>
      </c>
      <c r="J1035" s="71">
        <f t="shared" si="97"/>
        <v>35.143599999999999</v>
      </c>
      <c r="K1035" s="72">
        <v>0</v>
      </c>
      <c r="M1035" s="58">
        <f>VLOOKUP(D1035,'TABELA DE PRECOS'!B:C,2,0)</f>
        <v>35.143599999999999</v>
      </c>
    </row>
    <row r="1036" spans="1:13" ht="15.75" customHeight="1" x14ac:dyDescent="0.25">
      <c r="A1036" s="65">
        <v>7</v>
      </c>
      <c r="B1036" s="84" t="s">
        <v>1137</v>
      </c>
      <c r="C1036" s="73">
        <v>1</v>
      </c>
      <c r="D1036" s="84" t="s">
        <v>1138</v>
      </c>
      <c r="E1036" s="86" t="s">
        <v>131</v>
      </c>
      <c r="F1036" s="85">
        <v>81897719006</v>
      </c>
      <c r="G1036" s="71">
        <f t="shared" si="94"/>
        <v>35.143599999999999</v>
      </c>
      <c r="H1036" s="71">
        <f t="shared" si="95"/>
        <v>35.143599999999999</v>
      </c>
      <c r="I1036" s="71">
        <f t="shared" si="96"/>
        <v>35.143599999999999</v>
      </c>
      <c r="J1036" s="71">
        <f t="shared" si="97"/>
        <v>35.143599999999999</v>
      </c>
      <c r="K1036" s="72">
        <v>0</v>
      </c>
      <c r="M1036" s="58">
        <f>VLOOKUP(D1036,'TABELA DE PRECOS'!B:C,2,0)</f>
        <v>35.143599999999999</v>
      </c>
    </row>
    <row r="1037" spans="1:13" ht="15.75" customHeight="1" x14ac:dyDescent="0.25">
      <c r="A1037" s="65">
        <v>8</v>
      </c>
      <c r="B1037" s="84" t="s">
        <v>446</v>
      </c>
      <c r="C1037" s="73">
        <v>2</v>
      </c>
      <c r="D1037" s="84" t="s">
        <v>447</v>
      </c>
      <c r="E1037" s="86" t="s">
        <v>131</v>
      </c>
      <c r="F1037" s="85">
        <v>81897719006</v>
      </c>
      <c r="G1037" s="71">
        <f t="shared" si="94"/>
        <v>34.04768</v>
      </c>
      <c r="H1037" s="71">
        <f t="shared" si="95"/>
        <v>68.095359999999999</v>
      </c>
      <c r="I1037" s="71">
        <f t="shared" si="96"/>
        <v>34.04768</v>
      </c>
      <c r="J1037" s="71">
        <f t="shared" si="97"/>
        <v>68.095359999999999</v>
      </c>
      <c r="K1037" s="72">
        <v>0</v>
      </c>
      <c r="M1037" s="58">
        <f>VLOOKUP(D1037,'TABELA DE PRECOS'!B:C,2,0)</f>
        <v>34.04768</v>
      </c>
    </row>
    <row r="1038" spans="1:13" ht="15.75" customHeight="1" x14ac:dyDescent="0.25">
      <c r="A1038" s="65">
        <v>9</v>
      </c>
      <c r="B1038" s="84" t="s">
        <v>832</v>
      </c>
      <c r="C1038" s="73">
        <v>2</v>
      </c>
      <c r="D1038" s="84" t="s">
        <v>833</v>
      </c>
      <c r="E1038" s="86" t="s">
        <v>131</v>
      </c>
      <c r="F1038" s="85">
        <v>81897719006</v>
      </c>
      <c r="G1038" s="71">
        <f t="shared" si="94"/>
        <v>34.04768</v>
      </c>
      <c r="H1038" s="71">
        <f t="shared" si="95"/>
        <v>68.095359999999999</v>
      </c>
      <c r="I1038" s="71">
        <f t="shared" si="96"/>
        <v>34.04768</v>
      </c>
      <c r="J1038" s="71">
        <f t="shared" si="97"/>
        <v>68.095359999999999</v>
      </c>
      <c r="K1038" s="72">
        <v>0</v>
      </c>
      <c r="L1038" s="63"/>
      <c r="M1038" s="58">
        <f>VLOOKUP(D1038,'TABELA DE PRECOS'!B:C,2,0)</f>
        <v>34.04768</v>
      </c>
    </row>
    <row r="1039" spans="1:13" ht="15.75" customHeight="1" x14ac:dyDescent="0.25">
      <c r="A1039" s="65">
        <v>10</v>
      </c>
      <c r="B1039" s="84" t="s">
        <v>1139</v>
      </c>
      <c r="C1039" s="73">
        <v>4</v>
      </c>
      <c r="D1039" s="85" t="s">
        <v>1140</v>
      </c>
      <c r="E1039" s="86" t="s">
        <v>131</v>
      </c>
      <c r="F1039" s="85">
        <v>81897719002</v>
      </c>
      <c r="G1039" s="71">
        <f t="shared" si="94"/>
        <v>19.578240000000001</v>
      </c>
      <c r="H1039" s="71">
        <f t="shared" si="95"/>
        <v>78.312960000000004</v>
      </c>
      <c r="I1039" s="71">
        <f t="shared" si="96"/>
        <v>19.578240000000001</v>
      </c>
      <c r="J1039" s="71">
        <f t="shared" si="97"/>
        <v>78.312960000000004</v>
      </c>
      <c r="K1039" s="72">
        <v>0</v>
      </c>
      <c r="M1039" s="58">
        <f>VLOOKUP(D1039,'TABELA DE PRECOS'!B:C,2,0)</f>
        <v>19.578240000000001</v>
      </c>
    </row>
    <row r="1040" spans="1:13" ht="15.75" customHeight="1" x14ac:dyDescent="0.25">
      <c r="A1040" s="65">
        <v>11</v>
      </c>
      <c r="B1040" s="84" t="s">
        <v>1141</v>
      </c>
      <c r="C1040" s="73">
        <v>4</v>
      </c>
      <c r="D1040" s="85" t="s">
        <v>1142</v>
      </c>
      <c r="E1040" s="86" t="s">
        <v>131</v>
      </c>
      <c r="F1040" s="85">
        <v>81897719002</v>
      </c>
      <c r="G1040" s="71">
        <f t="shared" si="94"/>
        <v>14.683680000000001</v>
      </c>
      <c r="H1040" s="71">
        <f t="shared" si="95"/>
        <v>58.734720000000003</v>
      </c>
      <c r="I1040" s="71">
        <f t="shared" si="96"/>
        <v>14.683680000000001</v>
      </c>
      <c r="J1040" s="71">
        <f t="shared" si="97"/>
        <v>58.734720000000003</v>
      </c>
      <c r="K1040" s="72">
        <v>0</v>
      </c>
      <c r="M1040" s="58">
        <f>VLOOKUP(D1040,'TABELA DE PRECOS'!B:C,2,0)</f>
        <v>14.683680000000001</v>
      </c>
    </row>
    <row r="1041" spans="1:13" ht="15.75" customHeight="1" x14ac:dyDescent="0.25">
      <c r="A1041" s="65">
        <v>12</v>
      </c>
      <c r="B1041" s="84" t="s">
        <v>1143</v>
      </c>
      <c r="C1041" s="73">
        <v>4</v>
      </c>
      <c r="D1041" s="85" t="s">
        <v>1144</v>
      </c>
      <c r="E1041" s="86" t="s">
        <v>131</v>
      </c>
      <c r="F1041" s="85">
        <v>81897719002</v>
      </c>
      <c r="G1041" s="71">
        <f t="shared" si="94"/>
        <v>16.30696</v>
      </c>
      <c r="H1041" s="71">
        <f t="shared" si="95"/>
        <v>65.22784</v>
      </c>
      <c r="I1041" s="71">
        <f t="shared" si="96"/>
        <v>16.30696</v>
      </c>
      <c r="J1041" s="71">
        <f t="shared" si="97"/>
        <v>65.22784</v>
      </c>
      <c r="K1041" s="72">
        <v>0</v>
      </c>
      <c r="M1041" s="58">
        <f>VLOOKUP(D1041,'TABELA DE PRECOS'!B:C,2,0)</f>
        <v>16.30696</v>
      </c>
    </row>
    <row r="1042" spans="1:13" ht="15.75" customHeight="1" x14ac:dyDescent="0.25">
      <c r="A1042" s="65">
        <v>13</v>
      </c>
      <c r="B1042" s="84" t="s">
        <v>1145</v>
      </c>
      <c r="C1042" s="73">
        <v>5</v>
      </c>
      <c r="D1042" s="85" t="s">
        <v>1146</v>
      </c>
      <c r="E1042" s="86" t="s">
        <v>131</v>
      </c>
      <c r="F1042" s="85">
        <v>81897719002</v>
      </c>
      <c r="G1042" s="71">
        <f t="shared" si="94"/>
        <v>16.6448</v>
      </c>
      <c r="H1042" s="71">
        <f t="shared" si="95"/>
        <v>83.224000000000004</v>
      </c>
      <c r="I1042" s="71">
        <f t="shared" si="96"/>
        <v>16.6448</v>
      </c>
      <c r="J1042" s="71">
        <f t="shared" si="97"/>
        <v>83.224000000000004</v>
      </c>
      <c r="K1042" s="72">
        <v>0</v>
      </c>
      <c r="M1042" s="58">
        <f>VLOOKUP(D1042,'TABELA DE PRECOS'!B:C,2,0)</f>
        <v>16.6448</v>
      </c>
    </row>
    <row r="1043" spans="1:13" ht="15.75" customHeight="1" x14ac:dyDescent="0.25">
      <c r="A1043" s="65">
        <v>14</v>
      </c>
      <c r="B1043" s="84" t="s">
        <v>419</v>
      </c>
      <c r="C1043" s="73">
        <v>5</v>
      </c>
      <c r="D1043" s="85" t="s">
        <v>420</v>
      </c>
      <c r="E1043" s="86" t="s">
        <v>131</v>
      </c>
      <c r="F1043" s="85">
        <v>81897719002</v>
      </c>
      <c r="G1043" s="71">
        <f t="shared" si="94"/>
        <v>16.52</v>
      </c>
      <c r="H1043" s="71">
        <f t="shared" si="95"/>
        <v>82.6</v>
      </c>
      <c r="I1043" s="71">
        <f t="shared" si="96"/>
        <v>16.52</v>
      </c>
      <c r="J1043" s="71">
        <f t="shared" si="97"/>
        <v>82.6</v>
      </c>
      <c r="K1043" s="72">
        <v>0</v>
      </c>
      <c r="M1043" s="58">
        <f>VLOOKUP(D1043,'TABELA DE PRECOS'!B:C,2,0)</f>
        <v>16.52</v>
      </c>
    </row>
    <row r="1044" spans="1:13" ht="15.75" customHeight="1" x14ac:dyDescent="0.25">
      <c r="A1044" s="65">
        <v>15</v>
      </c>
      <c r="B1044" s="84" t="s">
        <v>187</v>
      </c>
      <c r="C1044" s="73">
        <v>5</v>
      </c>
      <c r="D1044" s="85" t="s">
        <v>188</v>
      </c>
      <c r="E1044" s="86" t="s">
        <v>131</v>
      </c>
      <c r="F1044" s="85">
        <v>81897719002</v>
      </c>
      <c r="G1044" s="71">
        <f t="shared" si="94"/>
        <v>15.95</v>
      </c>
      <c r="H1044" s="71">
        <f t="shared" si="95"/>
        <v>79.75</v>
      </c>
      <c r="I1044" s="71">
        <f t="shared" si="96"/>
        <v>15.95</v>
      </c>
      <c r="J1044" s="71">
        <f t="shared" si="97"/>
        <v>79.75</v>
      </c>
      <c r="K1044" s="72">
        <v>0</v>
      </c>
      <c r="M1044" s="58">
        <f>VLOOKUP(D1044,'TABELA DE PRECOS'!B:C,2,0)</f>
        <v>15.95</v>
      </c>
    </row>
    <row r="1045" spans="1:13" ht="15.75" customHeight="1" x14ac:dyDescent="0.25">
      <c r="A1045" s="65">
        <v>16</v>
      </c>
      <c r="B1045" s="84" t="s">
        <v>1147</v>
      </c>
      <c r="C1045" s="73">
        <v>4</v>
      </c>
      <c r="D1045" s="85" t="s">
        <v>1148</v>
      </c>
      <c r="E1045" s="86" t="s">
        <v>131</v>
      </c>
      <c r="F1045" s="85">
        <v>81897719003</v>
      </c>
      <c r="G1045" s="71">
        <f t="shared" si="94"/>
        <v>88.734719999999996</v>
      </c>
      <c r="H1045" s="71">
        <f t="shared" si="95"/>
        <v>354.93887999999998</v>
      </c>
      <c r="I1045" s="71">
        <f t="shared" si="96"/>
        <v>88.734719999999996</v>
      </c>
      <c r="J1045" s="71">
        <f t="shared" si="97"/>
        <v>354.93887999999998</v>
      </c>
      <c r="K1045" s="72">
        <v>0</v>
      </c>
      <c r="M1045" s="58">
        <f>VLOOKUP(D1045,'TABELA DE PRECOS'!B:C,2,0)</f>
        <v>88.734719999999996</v>
      </c>
    </row>
    <row r="1046" spans="1:13" ht="15.75" customHeight="1" x14ac:dyDescent="0.25">
      <c r="A1046" s="65">
        <v>17</v>
      </c>
      <c r="B1046" s="84" t="s">
        <v>1149</v>
      </c>
      <c r="C1046" s="73">
        <v>4</v>
      </c>
      <c r="D1046" s="85" t="s">
        <v>1150</v>
      </c>
      <c r="E1046" s="86" t="s">
        <v>131</v>
      </c>
      <c r="F1046" s="85">
        <v>81897719003</v>
      </c>
      <c r="G1046" s="71">
        <f t="shared" si="94"/>
        <v>62.006</v>
      </c>
      <c r="H1046" s="71">
        <f t="shared" si="95"/>
        <v>248.024</v>
      </c>
      <c r="I1046" s="71">
        <f t="shared" si="96"/>
        <v>62.006</v>
      </c>
      <c r="J1046" s="71">
        <f t="shared" si="97"/>
        <v>248.024</v>
      </c>
      <c r="K1046" s="72">
        <v>0</v>
      </c>
      <c r="M1046" s="58">
        <f>VLOOKUP(D1046,'TABELA DE PRECOS'!B:C,2,0)</f>
        <v>62.006</v>
      </c>
    </row>
    <row r="1047" spans="1:13" ht="15.75" customHeight="1" x14ac:dyDescent="0.25">
      <c r="A1047" s="65">
        <v>18</v>
      </c>
      <c r="B1047" s="84" t="s">
        <v>794</v>
      </c>
      <c r="C1047" s="73">
        <v>4</v>
      </c>
      <c r="D1047" s="85" t="s">
        <v>795</v>
      </c>
      <c r="E1047" s="86" t="s">
        <v>131</v>
      </c>
      <c r="F1047" s="85">
        <v>81897719003</v>
      </c>
      <c r="G1047" s="71">
        <f t="shared" si="94"/>
        <v>77.709999999999994</v>
      </c>
      <c r="H1047" s="71">
        <f t="shared" si="95"/>
        <v>310.83999999999997</v>
      </c>
      <c r="I1047" s="71">
        <f t="shared" si="96"/>
        <v>77.709999999999994</v>
      </c>
      <c r="J1047" s="71">
        <f t="shared" si="97"/>
        <v>310.83999999999997</v>
      </c>
      <c r="K1047" s="72">
        <v>0</v>
      </c>
      <c r="M1047" s="58">
        <f>VLOOKUP(D1047,'TABELA DE PRECOS'!B:C,2,0)</f>
        <v>77.709999999999994</v>
      </c>
    </row>
    <row r="1048" spans="1:13" ht="15.75" customHeight="1" x14ac:dyDescent="0.25">
      <c r="A1048" s="65">
        <v>19</v>
      </c>
      <c r="B1048" s="84" t="s">
        <v>1147</v>
      </c>
      <c r="C1048" s="73">
        <v>1</v>
      </c>
      <c r="D1048" s="85" t="s">
        <v>1148</v>
      </c>
      <c r="E1048" s="86" t="s">
        <v>131</v>
      </c>
      <c r="F1048" s="85">
        <v>81897719003</v>
      </c>
      <c r="G1048" s="71">
        <f t="shared" si="94"/>
        <v>88.734719999999996</v>
      </c>
      <c r="H1048" s="71">
        <f t="shared" si="95"/>
        <v>88.734719999999996</v>
      </c>
      <c r="I1048" s="71">
        <f t="shared" si="96"/>
        <v>88.734719999999996</v>
      </c>
      <c r="J1048" s="71">
        <f t="shared" si="97"/>
        <v>88.734719999999996</v>
      </c>
      <c r="K1048" s="72">
        <v>0</v>
      </c>
      <c r="M1048" s="58">
        <f>VLOOKUP(D1048,'TABELA DE PRECOS'!B:C,2,0)</f>
        <v>88.734719999999996</v>
      </c>
    </row>
    <row r="1049" spans="1:13" ht="15.75" customHeight="1" x14ac:dyDescent="0.25">
      <c r="A1049" s="65">
        <v>20</v>
      </c>
      <c r="B1049" s="84" t="s">
        <v>1151</v>
      </c>
      <c r="C1049" s="73">
        <v>1</v>
      </c>
      <c r="D1049" s="84" t="s">
        <v>1152</v>
      </c>
      <c r="E1049" s="86" t="s">
        <v>131</v>
      </c>
      <c r="F1049" s="85">
        <v>81897710043</v>
      </c>
      <c r="G1049" s="71">
        <f t="shared" si="94"/>
        <v>62.006</v>
      </c>
      <c r="H1049" s="71">
        <f t="shared" si="95"/>
        <v>62.006</v>
      </c>
      <c r="I1049" s="71">
        <f t="shared" si="96"/>
        <v>62.006</v>
      </c>
      <c r="J1049" s="71">
        <f t="shared" si="97"/>
        <v>62.006</v>
      </c>
      <c r="K1049" s="72">
        <v>0</v>
      </c>
      <c r="M1049" s="58">
        <f>VLOOKUP(D1049,'TABELA DE PRECOS'!B:C,2,0)</f>
        <v>62.006</v>
      </c>
    </row>
    <row r="1050" spans="1:13" ht="15.75" customHeight="1" x14ac:dyDescent="0.25">
      <c r="A1050" s="65">
        <v>21</v>
      </c>
      <c r="B1050" s="84" t="s">
        <v>1153</v>
      </c>
      <c r="C1050" s="73">
        <v>4</v>
      </c>
      <c r="D1050" s="84" t="s">
        <v>1154</v>
      </c>
      <c r="E1050" s="86" t="s">
        <v>131</v>
      </c>
      <c r="F1050" s="85">
        <v>81897719003</v>
      </c>
      <c r="G1050" s="71">
        <f t="shared" si="94"/>
        <v>60.852399999999996</v>
      </c>
      <c r="H1050" s="71">
        <f t="shared" si="95"/>
        <v>243.40959999999998</v>
      </c>
      <c r="I1050" s="71">
        <f t="shared" si="96"/>
        <v>60.852399999999996</v>
      </c>
      <c r="J1050" s="71">
        <f t="shared" si="97"/>
        <v>243.40959999999998</v>
      </c>
      <c r="K1050" s="72">
        <v>0</v>
      </c>
      <c r="M1050" s="58">
        <f>VLOOKUP(D1050,'TABELA DE PRECOS'!B:C,2,0)</f>
        <v>60.852399999999996</v>
      </c>
    </row>
    <row r="1051" spans="1:13" ht="15.75" customHeight="1" x14ac:dyDescent="0.25">
      <c r="A1051" s="65">
        <v>22</v>
      </c>
      <c r="B1051" s="84" t="s">
        <v>1155</v>
      </c>
      <c r="C1051" s="73">
        <v>4</v>
      </c>
      <c r="D1051" s="84" t="s">
        <v>1156</v>
      </c>
      <c r="E1051" s="86" t="s">
        <v>131</v>
      </c>
      <c r="F1051" s="85">
        <v>81897710019</v>
      </c>
      <c r="G1051" s="71">
        <f t="shared" si="94"/>
        <v>60.852399999999996</v>
      </c>
      <c r="H1051" s="71">
        <f t="shared" si="95"/>
        <v>243.40959999999998</v>
      </c>
      <c r="I1051" s="71">
        <f t="shared" si="96"/>
        <v>60.852399999999996</v>
      </c>
      <c r="J1051" s="71">
        <f t="shared" si="97"/>
        <v>243.40959999999998</v>
      </c>
      <c r="K1051" s="72">
        <v>0</v>
      </c>
      <c r="M1051" s="58">
        <f>VLOOKUP(D1051,'TABELA DE PRECOS'!B:C,2,0)</f>
        <v>60.852399999999996</v>
      </c>
    </row>
    <row r="1052" spans="1:13" ht="15.75" customHeight="1" x14ac:dyDescent="0.25">
      <c r="A1052" s="65">
        <v>23</v>
      </c>
      <c r="B1052" s="84" t="s">
        <v>1157</v>
      </c>
      <c r="C1052" s="73">
        <v>4</v>
      </c>
      <c r="D1052" s="85" t="s">
        <v>1158</v>
      </c>
      <c r="E1052" s="86" t="s">
        <v>131</v>
      </c>
      <c r="F1052" s="85">
        <v>81897719003</v>
      </c>
      <c r="G1052" s="71">
        <f t="shared" si="94"/>
        <v>55.463439999999999</v>
      </c>
      <c r="H1052" s="71">
        <f t="shared" si="95"/>
        <v>221.85375999999999</v>
      </c>
      <c r="I1052" s="71">
        <f t="shared" si="96"/>
        <v>55.463439999999999</v>
      </c>
      <c r="J1052" s="71">
        <f t="shared" si="97"/>
        <v>221.85375999999999</v>
      </c>
      <c r="K1052" s="72">
        <v>0</v>
      </c>
      <c r="M1052" s="58">
        <f>VLOOKUP(D1052,'TABELA DE PRECOS'!B:C,2,0)</f>
        <v>55.463439999999999</v>
      </c>
    </row>
    <row r="1053" spans="1:13" ht="15.75" customHeight="1" x14ac:dyDescent="0.25">
      <c r="A1053" s="65">
        <v>24</v>
      </c>
      <c r="B1053" s="84" t="s">
        <v>1159</v>
      </c>
      <c r="C1053" s="73">
        <v>4</v>
      </c>
      <c r="D1053" s="49" t="s">
        <v>1160</v>
      </c>
      <c r="E1053" s="86" t="s">
        <v>131</v>
      </c>
      <c r="F1053" s="85">
        <v>81897719003</v>
      </c>
      <c r="G1053" s="71">
        <f t="shared" si="94"/>
        <v>65.977679999999992</v>
      </c>
      <c r="H1053" s="71">
        <f t="shared" si="95"/>
        <v>263.91071999999997</v>
      </c>
      <c r="I1053" s="71">
        <f t="shared" si="96"/>
        <v>65.977679999999992</v>
      </c>
      <c r="J1053" s="71">
        <f t="shared" si="97"/>
        <v>263.91071999999997</v>
      </c>
      <c r="K1053" s="72">
        <v>0</v>
      </c>
      <c r="M1053" s="58">
        <f>VLOOKUP(D1053,'TABELA DE PRECOS'!B:C,2,0)</f>
        <v>65.977679999999992</v>
      </c>
    </row>
    <row r="1054" spans="1:13" ht="15.75" customHeight="1" x14ac:dyDescent="0.25">
      <c r="A1054" s="65">
        <v>25</v>
      </c>
      <c r="B1054" s="84" t="s">
        <v>219</v>
      </c>
      <c r="C1054" s="73">
        <v>5</v>
      </c>
      <c r="D1054" s="85" t="s">
        <v>220</v>
      </c>
      <c r="E1054" s="86" t="s">
        <v>131</v>
      </c>
      <c r="F1054" s="85">
        <v>81897719002</v>
      </c>
      <c r="G1054" s="71">
        <f t="shared" si="94"/>
        <v>17.363840000000003</v>
      </c>
      <c r="H1054" s="71">
        <f t="shared" si="95"/>
        <v>86.819200000000023</v>
      </c>
      <c r="I1054" s="71">
        <f t="shared" si="96"/>
        <v>17.363840000000003</v>
      </c>
      <c r="J1054" s="71">
        <f t="shared" si="97"/>
        <v>86.819200000000023</v>
      </c>
      <c r="K1054" s="72">
        <v>0</v>
      </c>
      <c r="M1054" s="58">
        <f>VLOOKUP(D1054,'TABELA DE PRECOS'!B:C,2,0)</f>
        <v>17.363840000000003</v>
      </c>
    </row>
    <row r="1055" spans="1:13" ht="15.75" customHeight="1" x14ac:dyDescent="0.25">
      <c r="A1055" s="65">
        <v>26</v>
      </c>
      <c r="B1055" s="84" t="s">
        <v>854</v>
      </c>
      <c r="C1055" s="73">
        <v>1</v>
      </c>
      <c r="D1055" s="85" t="s">
        <v>855</v>
      </c>
      <c r="E1055" s="86" t="s">
        <v>131</v>
      </c>
      <c r="F1055" s="85">
        <v>81897719002</v>
      </c>
      <c r="G1055" s="71">
        <f t="shared" si="94"/>
        <v>20.78952</v>
      </c>
      <c r="H1055" s="71">
        <f t="shared" si="95"/>
        <v>20.78952</v>
      </c>
      <c r="I1055" s="71">
        <f t="shared" si="96"/>
        <v>20.78952</v>
      </c>
      <c r="J1055" s="71">
        <f t="shared" si="97"/>
        <v>20.78952</v>
      </c>
      <c r="K1055" s="72">
        <v>0</v>
      </c>
      <c r="M1055" s="58">
        <f>VLOOKUP(D1055,'TABELA DE PRECOS'!B:C,2,0)</f>
        <v>20.78952</v>
      </c>
    </row>
    <row r="1056" spans="1:13" ht="15.75" customHeight="1" x14ac:dyDescent="0.25">
      <c r="A1056" s="65">
        <v>27</v>
      </c>
      <c r="B1056" s="84" t="s">
        <v>1161</v>
      </c>
      <c r="C1056" s="73">
        <v>1</v>
      </c>
      <c r="D1056" s="85" t="s">
        <v>1162</v>
      </c>
      <c r="E1056" s="86" t="s">
        <v>131</v>
      </c>
      <c r="F1056" s="85">
        <v>81897719002</v>
      </c>
      <c r="G1056" s="71">
        <f t="shared" si="94"/>
        <v>20.402239999999999</v>
      </c>
      <c r="H1056" s="71">
        <f t="shared" si="95"/>
        <v>20.402239999999999</v>
      </c>
      <c r="I1056" s="71">
        <f t="shared" si="96"/>
        <v>20.402239999999999</v>
      </c>
      <c r="J1056" s="71">
        <f t="shared" si="97"/>
        <v>20.402239999999999</v>
      </c>
      <c r="K1056" s="72">
        <v>0</v>
      </c>
      <c r="M1056" s="58">
        <f>VLOOKUP(D1056,'TABELA DE PRECOS'!B:C,2,0)</f>
        <v>20.402239999999999</v>
      </c>
    </row>
    <row r="1057" spans="1:13" ht="15.75" customHeight="1" x14ac:dyDescent="0.25">
      <c r="A1057" s="65">
        <v>28</v>
      </c>
      <c r="B1057" s="84" t="s">
        <v>1163</v>
      </c>
      <c r="C1057" s="73">
        <v>1</v>
      </c>
      <c r="D1057" s="84" t="s">
        <v>1164</v>
      </c>
      <c r="E1057" s="86" t="s">
        <v>131</v>
      </c>
      <c r="F1057" s="85">
        <v>81897719003</v>
      </c>
      <c r="G1057" s="71">
        <f t="shared" si="94"/>
        <v>75.791520000000006</v>
      </c>
      <c r="H1057" s="71">
        <f t="shared" si="95"/>
        <v>75.791520000000006</v>
      </c>
      <c r="I1057" s="71">
        <f t="shared" si="96"/>
        <v>75.791520000000006</v>
      </c>
      <c r="J1057" s="71">
        <f t="shared" si="97"/>
        <v>75.791520000000006</v>
      </c>
      <c r="K1057" s="72">
        <v>0</v>
      </c>
      <c r="M1057" s="58">
        <f>VLOOKUP(D1057,'TABELA DE PRECOS'!B:C,2,0)</f>
        <v>75.791520000000006</v>
      </c>
    </row>
    <row r="1058" spans="1:13" ht="15.75" customHeight="1" x14ac:dyDescent="0.25">
      <c r="A1058" s="65">
        <v>29</v>
      </c>
      <c r="B1058" s="84" t="s">
        <v>1165</v>
      </c>
      <c r="C1058" s="73">
        <v>1</v>
      </c>
      <c r="D1058" s="84" t="s">
        <v>1166</v>
      </c>
      <c r="E1058" s="86" t="s">
        <v>131</v>
      </c>
      <c r="F1058" s="85">
        <v>81897710043</v>
      </c>
      <c r="G1058" s="71">
        <f t="shared" si="94"/>
        <v>76.805039999999991</v>
      </c>
      <c r="H1058" s="71">
        <f t="shared" si="95"/>
        <v>76.805039999999991</v>
      </c>
      <c r="I1058" s="71">
        <f t="shared" si="96"/>
        <v>76.805039999999991</v>
      </c>
      <c r="J1058" s="71">
        <f t="shared" si="97"/>
        <v>76.805039999999991</v>
      </c>
      <c r="K1058" s="72">
        <v>0</v>
      </c>
      <c r="M1058" s="58">
        <f>VLOOKUP(D1058,'TABELA DE PRECOS'!B:C,2,0)</f>
        <v>76.805039999999991</v>
      </c>
    </row>
    <row r="1059" spans="1:13" ht="15.75" customHeight="1" x14ac:dyDescent="0.25">
      <c r="A1059" s="65">
        <v>30</v>
      </c>
      <c r="B1059" s="84" t="s">
        <v>372</v>
      </c>
      <c r="C1059" s="73">
        <v>1</v>
      </c>
      <c r="D1059" s="85" t="s">
        <v>373</v>
      </c>
      <c r="E1059" s="86" t="s">
        <v>131</v>
      </c>
      <c r="F1059" s="85" t="s">
        <v>223</v>
      </c>
      <c r="G1059" s="71">
        <f t="shared" si="94"/>
        <v>452.16</v>
      </c>
      <c r="H1059" s="71">
        <f t="shared" si="95"/>
        <v>452.16</v>
      </c>
      <c r="I1059" s="71">
        <f t="shared" si="96"/>
        <v>452.16</v>
      </c>
      <c r="J1059" s="71">
        <f t="shared" si="97"/>
        <v>452.16</v>
      </c>
      <c r="K1059" s="72">
        <v>0</v>
      </c>
      <c r="M1059" s="58">
        <f>VLOOKUP(D1059,'TABELA DE PRECOS'!B:C,2,0)</f>
        <v>452.16</v>
      </c>
    </row>
    <row r="1060" spans="1:13" ht="15.75" customHeight="1" x14ac:dyDescent="0.25">
      <c r="A1060" s="65">
        <v>31</v>
      </c>
      <c r="B1060" s="84" t="s">
        <v>374</v>
      </c>
      <c r="C1060" s="73">
        <v>1</v>
      </c>
      <c r="D1060" s="85" t="s">
        <v>375</v>
      </c>
      <c r="E1060" s="86" t="s">
        <v>131</v>
      </c>
      <c r="F1060" s="85" t="s">
        <v>223</v>
      </c>
      <c r="G1060" s="71">
        <f t="shared" si="94"/>
        <v>640.15991999999994</v>
      </c>
      <c r="H1060" s="71">
        <f t="shared" si="95"/>
        <v>640.15991999999994</v>
      </c>
      <c r="I1060" s="71">
        <f t="shared" si="96"/>
        <v>640.15991999999994</v>
      </c>
      <c r="J1060" s="71">
        <f t="shared" si="97"/>
        <v>640.15991999999994</v>
      </c>
      <c r="K1060" s="72">
        <v>0</v>
      </c>
      <c r="M1060" s="58">
        <f>VLOOKUP(D1060,'TABELA DE PRECOS'!B:C,2,0)</f>
        <v>640.15991999999994</v>
      </c>
    </row>
    <row r="1061" spans="1:13" ht="15.75" customHeight="1" x14ac:dyDescent="0.25">
      <c r="A1061" s="65">
        <v>32</v>
      </c>
      <c r="B1061" s="84" t="s">
        <v>376</v>
      </c>
      <c r="C1061" s="73">
        <v>1</v>
      </c>
      <c r="D1061" s="85" t="s">
        <v>377</v>
      </c>
      <c r="E1061" s="86" t="s">
        <v>131</v>
      </c>
      <c r="F1061" s="85" t="s">
        <v>223</v>
      </c>
      <c r="G1061" s="71">
        <f t="shared" si="94"/>
        <v>514.57000000000005</v>
      </c>
      <c r="H1061" s="71">
        <f t="shared" si="95"/>
        <v>514.57000000000005</v>
      </c>
      <c r="I1061" s="71">
        <f t="shared" si="96"/>
        <v>514.57000000000005</v>
      </c>
      <c r="J1061" s="71">
        <f t="shared" si="97"/>
        <v>514.57000000000005</v>
      </c>
      <c r="K1061" s="72">
        <v>0</v>
      </c>
      <c r="M1061" s="58">
        <f>VLOOKUP(D1061,'TABELA DE PRECOS'!B:C,2,0)</f>
        <v>514.57000000000005</v>
      </c>
    </row>
    <row r="1062" spans="1:13" ht="15.75" customHeight="1" x14ac:dyDescent="0.25">
      <c r="A1062" s="65">
        <v>33</v>
      </c>
      <c r="B1062" s="84" t="s">
        <v>378</v>
      </c>
      <c r="C1062" s="73">
        <v>2</v>
      </c>
      <c r="D1062" s="85" t="s">
        <v>379</v>
      </c>
      <c r="E1062" s="86" t="s">
        <v>131</v>
      </c>
      <c r="F1062" s="85" t="s">
        <v>223</v>
      </c>
      <c r="G1062" s="71">
        <f t="shared" si="94"/>
        <v>9.18</v>
      </c>
      <c r="H1062" s="71">
        <f t="shared" si="95"/>
        <v>18.36</v>
      </c>
      <c r="I1062" s="71">
        <f t="shared" si="96"/>
        <v>9.18</v>
      </c>
      <c r="J1062" s="71">
        <f t="shared" si="97"/>
        <v>18.36</v>
      </c>
      <c r="K1062" s="72">
        <v>0</v>
      </c>
      <c r="M1062" s="58">
        <f>VLOOKUP(D1062,'TABELA DE PRECOS'!B:C,2,0)</f>
        <v>9.18</v>
      </c>
    </row>
    <row r="1063" spans="1:13" ht="15.75" customHeight="1" x14ac:dyDescent="0.25">
      <c r="A1063" s="78"/>
      <c r="B1063" s="79" t="s">
        <v>224</v>
      </c>
      <c r="C1063" s="79">
        <f>SUM(C1030:C1062)</f>
        <v>85</v>
      </c>
      <c r="D1063" s="79"/>
      <c r="E1063" s="79"/>
      <c r="F1063" s="79"/>
      <c r="G1063" s="80"/>
      <c r="H1063" s="80">
        <f>SUM(H1030:H1062)</f>
        <v>4965.4096799999988</v>
      </c>
      <c r="I1063" s="79"/>
      <c r="J1063" s="80">
        <f>SUM(J1030:J1062)</f>
        <v>4965.4096799999988</v>
      </c>
      <c r="K1063" s="81"/>
      <c r="M1063" s="58" t="e">
        <f>VLOOKUP(D1063,'TABELA DE PRECOS'!B:C,2,0)</f>
        <v>#N/A</v>
      </c>
    </row>
    <row r="1064" spans="1:13" ht="15.75" customHeight="1" x14ac:dyDescent="0.25">
      <c r="A1064" s="56"/>
      <c r="B1064" s="49" t="s">
        <v>15</v>
      </c>
      <c r="C1064" s="57"/>
      <c r="G1064" s="58"/>
      <c r="H1064" s="58"/>
      <c r="I1064" s="58"/>
      <c r="J1064" s="58"/>
      <c r="K1064" s="59"/>
      <c r="M1064" s="58" t="e">
        <f>VLOOKUP(D1064,'TABELA DE PRECOS'!B:C,2,0)</f>
        <v>#N/A</v>
      </c>
    </row>
    <row r="1065" spans="1:13" ht="15.75" customHeight="1" x14ac:dyDescent="0.25">
      <c r="A1065" s="56"/>
      <c r="B1065" s="18" t="s">
        <v>1167</v>
      </c>
      <c r="C1065" s="57"/>
      <c r="G1065" s="58"/>
      <c r="H1065" s="58"/>
      <c r="I1065" s="58"/>
      <c r="J1065" s="58"/>
      <c r="K1065" s="59"/>
      <c r="M1065" s="58" t="e">
        <f>VLOOKUP(D1065,'TABELA DE PRECOS'!B:C,2,0)</f>
        <v>#N/A</v>
      </c>
    </row>
    <row r="1066" spans="1:13" ht="15.75" customHeight="1" x14ac:dyDescent="0.25">
      <c r="A1066" s="18" t="s">
        <v>119</v>
      </c>
      <c r="B1066" s="18" t="s">
        <v>120</v>
      </c>
      <c r="C1066" s="18" t="s">
        <v>21</v>
      </c>
      <c r="D1066" s="18" t="s">
        <v>121</v>
      </c>
      <c r="E1066" s="60" t="s">
        <v>122</v>
      </c>
      <c r="F1066" s="18" t="s">
        <v>123</v>
      </c>
      <c r="G1066" s="61" t="s">
        <v>22</v>
      </c>
      <c r="H1066" s="18" t="s">
        <v>23</v>
      </c>
      <c r="I1066" s="18" t="s">
        <v>24</v>
      </c>
      <c r="J1066" s="18" t="s">
        <v>25</v>
      </c>
      <c r="K1066" s="62" t="s">
        <v>26</v>
      </c>
      <c r="M1066" s="58" t="str">
        <f>VLOOKUP(D1066,'TABELA DE PRECOS'!B:C,2,0)</f>
        <v>Valor Unit Bruto</v>
      </c>
    </row>
    <row r="1067" spans="1:13" ht="15.75" customHeight="1" x14ac:dyDescent="0.25">
      <c r="A1067" s="65">
        <v>1</v>
      </c>
      <c r="B1067" s="66" t="s">
        <v>1168</v>
      </c>
      <c r="C1067" s="82">
        <v>2</v>
      </c>
      <c r="D1067" s="76" t="s">
        <v>1169</v>
      </c>
      <c r="E1067" s="69" t="s">
        <v>131</v>
      </c>
      <c r="F1067" s="76">
        <v>81897719002</v>
      </c>
      <c r="G1067" s="71">
        <f t="shared" ref="G1067:G1094" si="98">M1067</f>
        <v>247.54</v>
      </c>
      <c r="H1067" s="71">
        <f t="shared" ref="H1067:H1104" si="99">G1067*C1067</f>
        <v>495.08</v>
      </c>
      <c r="I1067" s="71">
        <f t="shared" ref="I1067:I1104" si="100">G1067</f>
        <v>247.54</v>
      </c>
      <c r="J1067" s="71">
        <f t="shared" ref="J1067:J1104" si="101">I1067*C1067</f>
        <v>495.08</v>
      </c>
      <c r="K1067" s="72">
        <v>0</v>
      </c>
      <c r="M1067" s="58">
        <f>VLOOKUP(D1067,'TABELA DE PRECOS'!B:C,2,0)</f>
        <v>247.54</v>
      </c>
    </row>
    <row r="1068" spans="1:13" ht="15.75" customHeight="1" x14ac:dyDescent="0.25">
      <c r="A1068" s="65">
        <v>2</v>
      </c>
      <c r="B1068" s="66" t="s">
        <v>1170</v>
      </c>
      <c r="C1068" s="82">
        <v>2</v>
      </c>
      <c r="D1068" s="106" t="s">
        <v>1171</v>
      </c>
      <c r="E1068" s="69" t="s">
        <v>131</v>
      </c>
      <c r="F1068" s="76">
        <v>81897719006</v>
      </c>
      <c r="G1068" s="71">
        <f t="shared" si="98"/>
        <v>32.880000000000003</v>
      </c>
      <c r="H1068" s="71">
        <f t="shared" si="99"/>
        <v>65.760000000000005</v>
      </c>
      <c r="I1068" s="71">
        <f t="shared" si="100"/>
        <v>32.880000000000003</v>
      </c>
      <c r="J1068" s="71">
        <f t="shared" si="101"/>
        <v>65.760000000000005</v>
      </c>
      <c r="K1068" s="72">
        <v>0</v>
      </c>
      <c r="M1068" s="58">
        <v>32.880000000000003</v>
      </c>
    </row>
    <row r="1069" spans="1:13" ht="15.75" customHeight="1" x14ac:dyDescent="0.25">
      <c r="A1069" s="65">
        <v>3</v>
      </c>
      <c r="B1069" s="66" t="s">
        <v>954</v>
      </c>
      <c r="C1069" s="82">
        <v>1</v>
      </c>
      <c r="D1069" s="76" t="s">
        <v>955</v>
      </c>
      <c r="E1069" s="69" t="s">
        <v>131</v>
      </c>
      <c r="F1069" s="76">
        <v>81897719002</v>
      </c>
      <c r="G1069" s="71">
        <f t="shared" si="98"/>
        <v>6.7650400000000008</v>
      </c>
      <c r="H1069" s="71">
        <f t="shared" si="99"/>
        <v>6.7650400000000008</v>
      </c>
      <c r="I1069" s="71">
        <f t="shared" si="100"/>
        <v>6.7650400000000008</v>
      </c>
      <c r="J1069" s="71">
        <f t="shared" si="101"/>
        <v>6.7650400000000008</v>
      </c>
      <c r="K1069" s="72">
        <v>0</v>
      </c>
      <c r="M1069" s="58">
        <f>VLOOKUP(D1069,'TABELA DE PRECOS'!B:C,2,0)</f>
        <v>6.7650400000000008</v>
      </c>
    </row>
    <row r="1070" spans="1:13" ht="15.75" customHeight="1" x14ac:dyDescent="0.25">
      <c r="A1070" s="65">
        <v>4</v>
      </c>
      <c r="B1070" s="66" t="s">
        <v>290</v>
      </c>
      <c r="C1070" s="82">
        <v>2</v>
      </c>
      <c r="D1070" s="76" t="s">
        <v>291</v>
      </c>
      <c r="E1070" s="69" t="s">
        <v>131</v>
      </c>
      <c r="F1070" s="76">
        <v>81897719002</v>
      </c>
      <c r="G1070" s="71">
        <f t="shared" si="98"/>
        <v>16.5</v>
      </c>
      <c r="H1070" s="71">
        <f t="shared" si="99"/>
        <v>33</v>
      </c>
      <c r="I1070" s="71">
        <f t="shared" si="100"/>
        <v>16.5</v>
      </c>
      <c r="J1070" s="71">
        <f t="shared" si="101"/>
        <v>33</v>
      </c>
      <c r="K1070" s="72">
        <v>0</v>
      </c>
      <c r="M1070" s="58">
        <f>VLOOKUP(D1070,'TABELA DE PRECOS'!B:C,2,0)</f>
        <v>16.5</v>
      </c>
    </row>
    <row r="1071" spans="1:13" ht="15.75" customHeight="1" x14ac:dyDescent="0.25">
      <c r="A1071" s="65">
        <v>5</v>
      </c>
      <c r="B1071" s="66" t="s">
        <v>1172</v>
      </c>
      <c r="C1071" s="82">
        <v>2</v>
      </c>
      <c r="D1071" s="76" t="s">
        <v>1173</v>
      </c>
      <c r="E1071" s="69" t="s">
        <v>131</v>
      </c>
      <c r="F1071" s="76">
        <v>81897719002</v>
      </c>
      <c r="G1071" s="71">
        <f t="shared" si="98"/>
        <v>26.318559999999998</v>
      </c>
      <c r="H1071" s="71">
        <f t="shared" si="99"/>
        <v>52.637119999999996</v>
      </c>
      <c r="I1071" s="71">
        <f t="shared" si="100"/>
        <v>26.318559999999998</v>
      </c>
      <c r="J1071" s="71">
        <f t="shared" si="101"/>
        <v>52.637119999999996</v>
      </c>
      <c r="K1071" s="72">
        <v>0</v>
      </c>
      <c r="M1071" s="58">
        <f>VLOOKUP(D1071,'TABELA DE PRECOS'!B:C,2,0)</f>
        <v>26.318559999999998</v>
      </c>
    </row>
    <row r="1072" spans="1:13" ht="15.75" customHeight="1" x14ac:dyDescent="0.25">
      <c r="A1072" s="65">
        <v>6</v>
      </c>
      <c r="B1072" s="66" t="s">
        <v>300</v>
      </c>
      <c r="C1072" s="82">
        <v>1</v>
      </c>
      <c r="D1072" s="76" t="s">
        <v>301</v>
      </c>
      <c r="E1072" s="69" t="s">
        <v>131</v>
      </c>
      <c r="F1072" s="76">
        <v>81897719002</v>
      </c>
      <c r="G1072" s="71">
        <f t="shared" si="98"/>
        <v>9.4</v>
      </c>
      <c r="H1072" s="71">
        <f t="shared" si="99"/>
        <v>9.4</v>
      </c>
      <c r="I1072" s="71">
        <f t="shared" si="100"/>
        <v>9.4</v>
      </c>
      <c r="J1072" s="71">
        <f t="shared" si="101"/>
        <v>9.4</v>
      </c>
      <c r="K1072" s="72">
        <v>0</v>
      </c>
      <c r="M1072" s="58">
        <f>VLOOKUP(D1072,'TABELA DE PRECOS'!B:C,2,0)</f>
        <v>9.4</v>
      </c>
    </row>
    <row r="1073" spans="1:13" ht="15.75" customHeight="1" x14ac:dyDescent="0.25">
      <c r="A1073" s="65">
        <v>7</v>
      </c>
      <c r="B1073" s="66" t="s">
        <v>451</v>
      </c>
      <c r="C1073" s="82">
        <v>1</v>
      </c>
      <c r="D1073" s="75" t="s">
        <v>452</v>
      </c>
      <c r="E1073" s="69" t="s">
        <v>131</v>
      </c>
      <c r="F1073" s="76">
        <v>81897710021</v>
      </c>
      <c r="G1073" s="71">
        <f t="shared" si="98"/>
        <v>6.12</v>
      </c>
      <c r="H1073" s="71">
        <f t="shared" si="99"/>
        <v>6.12</v>
      </c>
      <c r="I1073" s="71">
        <f t="shared" si="100"/>
        <v>6.12</v>
      </c>
      <c r="J1073" s="71">
        <f t="shared" si="101"/>
        <v>6.12</v>
      </c>
      <c r="K1073" s="72">
        <v>0</v>
      </c>
      <c r="M1073" s="58">
        <f>VLOOKUP(D1073,'TABELA DE PRECOS'!B:C,2,0)</f>
        <v>6.12</v>
      </c>
    </row>
    <row r="1074" spans="1:13" ht="15.75" customHeight="1" x14ac:dyDescent="0.25">
      <c r="A1074" s="65">
        <v>8</v>
      </c>
      <c r="B1074" s="66" t="s">
        <v>1174</v>
      </c>
      <c r="C1074" s="82">
        <v>2</v>
      </c>
      <c r="D1074" s="66" t="s">
        <v>1175</v>
      </c>
      <c r="E1074" s="69" t="s">
        <v>126</v>
      </c>
      <c r="F1074" s="76">
        <v>10301950027</v>
      </c>
      <c r="G1074" s="71">
        <f t="shared" si="98"/>
        <v>367.15791999999999</v>
      </c>
      <c r="H1074" s="71">
        <f t="shared" si="99"/>
        <v>734.31583999999998</v>
      </c>
      <c r="I1074" s="71">
        <f t="shared" si="100"/>
        <v>367.15791999999999</v>
      </c>
      <c r="J1074" s="71">
        <f t="shared" si="101"/>
        <v>734.31583999999998</v>
      </c>
      <c r="K1074" s="72">
        <v>0</v>
      </c>
      <c r="M1074" s="58">
        <f>VLOOKUP(D1074,'TABELA DE PRECOS'!B:C,2,0)</f>
        <v>367.15791999999999</v>
      </c>
    </row>
    <row r="1075" spans="1:13" ht="15.75" customHeight="1" x14ac:dyDescent="0.25">
      <c r="A1075" s="65">
        <v>9</v>
      </c>
      <c r="B1075" s="66" t="s">
        <v>310</v>
      </c>
      <c r="C1075" s="82">
        <v>1</v>
      </c>
      <c r="D1075" s="76" t="s">
        <v>311</v>
      </c>
      <c r="E1075" s="69" t="s">
        <v>131</v>
      </c>
      <c r="F1075" s="76">
        <v>81897719002</v>
      </c>
      <c r="G1075" s="71">
        <f t="shared" si="98"/>
        <v>10.7</v>
      </c>
      <c r="H1075" s="71">
        <f t="shared" si="99"/>
        <v>10.7</v>
      </c>
      <c r="I1075" s="71">
        <f t="shared" si="100"/>
        <v>10.7</v>
      </c>
      <c r="J1075" s="71">
        <f t="shared" si="101"/>
        <v>10.7</v>
      </c>
      <c r="K1075" s="72">
        <v>0</v>
      </c>
      <c r="L1075" s="63"/>
      <c r="M1075" s="58">
        <f>VLOOKUP(D1075,'TABELA DE PRECOS'!B:C,2,0)</f>
        <v>10.7</v>
      </c>
    </row>
    <row r="1076" spans="1:13" ht="15.75" customHeight="1" x14ac:dyDescent="0.25">
      <c r="A1076" s="65">
        <v>10</v>
      </c>
      <c r="B1076" s="66" t="s">
        <v>415</v>
      </c>
      <c r="C1076" s="82">
        <v>2</v>
      </c>
      <c r="D1076" s="76" t="s">
        <v>416</v>
      </c>
      <c r="E1076" s="69" t="s">
        <v>131</v>
      </c>
      <c r="F1076" s="76">
        <v>81897719002</v>
      </c>
      <c r="G1076" s="71">
        <f t="shared" si="98"/>
        <v>16.752624000000001</v>
      </c>
      <c r="H1076" s="71">
        <f t="shared" si="99"/>
        <v>33.505248000000002</v>
      </c>
      <c r="I1076" s="71">
        <f t="shared" si="100"/>
        <v>16.752624000000001</v>
      </c>
      <c r="J1076" s="71">
        <f t="shared" si="101"/>
        <v>33.505248000000002</v>
      </c>
      <c r="K1076" s="72">
        <v>0</v>
      </c>
      <c r="M1076" s="58">
        <f>VLOOKUP(D1076,'TABELA DE PRECOS'!B:C,2,0)</f>
        <v>16.752624000000001</v>
      </c>
    </row>
    <row r="1077" spans="1:13" ht="15.75" customHeight="1" x14ac:dyDescent="0.25">
      <c r="A1077" s="65">
        <v>11</v>
      </c>
      <c r="B1077" s="66" t="s">
        <v>185</v>
      </c>
      <c r="C1077" s="82">
        <v>10</v>
      </c>
      <c r="D1077" s="76" t="s">
        <v>186</v>
      </c>
      <c r="E1077" s="69" t="s">
        <v>131</v>
      </c>
      <c r="F1077" s="76">
        <v>81897719002</v>
      </c>
      <c r="G1077" s="71">
        <f t="shared" si="98"/>
        <v>17.28</v>
      </c>
      <c r="H1077" s="71">
        <f t="shared" si="99"/>
        <v>172.8</v>
      </c>
      <c r="I1077" s="71">
        <f t="shared" si="100"/>
        <v>17.28</v>
      </c>
      <c r="J1077" s="71">
        <f t="shared" si="101"/>
        <v>172.8</v>
      </c>
      <c r="K1077" s="72">
        <v>0</v>
      </c>
      <c r="M1077" s="58">
        <f>VLOOKUP(D1077,'TABELA DE PRECOS'!B:C,2,0)</f>
        <v>17.28</v>
      </c>
    </row>
    <row r="1078" spans="1:13" ht="15.75" customHeight="1" x14ac:dyDescent="0.25">
      <c r="A1078" s="65">
        <v>12</v>
      </c>
      <c r="B1078" s="66" t="s">
        <v>183</v>
      </c>
      <c r="C1078" s="82">
        <v>1</v>
      </c>
      <c r="D1078" s="76" t="s">
        <v>184</v>
      </c>
      <c r="E1078" s="69" t="s">
        <v>131</v>
      </c>
      <c r="F1078" s="76">
        <v>81897719002</v>
      </c>
      <c r="G1078" s="71">
        <f t="shared" si="98"/>
        <v>40.79</v>
      </c>
      <c r="H1078" s="71">
        <f t="shared" si="99"/>
        <v>40.79</v>
      </c>
      <c r="I1078" s="71">
        <f t="shared" si="100"/>
        <v>40.79</v>
      </c>
      <c r="J1078" s="71">
        <f t="shared" si="101"/>
        <v>40.79</v>
      </c>
      <c r="K1078" s="72">
        <v>0</v>
      </c>
      <c r="M1078" s="58">
        <f>VLOOKUP(D1078,'TABELA DE PRECOS'!B:C,2,0)</f>
        <v>40.79</v>
      </c>
    </row>
    <row r="1079" spans="1:13" ht="15.75" customHeight="1" x14ac:dyDescent="0.25">
      <c r="A1079" s="65">
        <v>13</v>
      </c>
      <c r="B1079" s="66" t="s">
        <v>324</v>
      </c>
      <c r="C1079" s="82">
        <v>2</v>
      </c>
      <c r="D1079" s="76" t="s">
        <v>325</v>
      </c>
      <c r="E1079" s="69" t="s">
        <v>131</v>
      </c>
      <c r="F1079" s="76">
        <v>81897719002</v>
      </c>
      <c r="G1079" s="71">
        <f t="shared" si="98"/>
        <v>23.7636</v>
      </c>
      <c r="H1079" s="71">
        <f t="shared" si="99"/>
        <v>47.527200000000001</v>
      </c>
      <c r="I1079" s="71">
        <f t="shared" si="100"/>
        <v>23.7636</v>
      </c>
      <c r="J1079" s="71">
        <f t="shared" si="101"/>
        <v>47.527200000000001</v>
      </c>
      <c r="K1079" s="72">
        <v>0</v>
      </c>
      <c r="M1079" s="58">
        <f>VLOOKUP(D1079,'TABELA DE PRECOS'!B:C,2,0)</f>
        <v>23.7636</v>
      </c>
    </row>
    <row r="1080" spans="1:13" ht="15.75" customHeight="1" x14ac:dyDescent="0.25">
      <c r="A1080" s="65">
        <v>14</v>
      </c>
      <c r="B1080" s="66" t="s">
        <v>1176</v>
      </c>
      <c r="C1080" s="82">
        <v>3</v>
      </c>
      <c r="D1080" s="76" t="s">
        <v>1177</v>
      </c>
      <c r="E1080" s="69" t="s">
        <v>131</v>
      </c>
      <c r="F1080" s="76">
        <v>81897719003</v>
      </c>
      <c r="G1080" s="71">
        <f t="shared" si="98"/>
        <v>8.85</v>
      </c>
      <c r="H1080" s="71">
        <f t="shared" si="99"/>
        <v>26.549999999999997</v>
      </c>
      <c r="I1080" s="71">
        <f t="shared" si="100"/>
        <v>8.85</v>
      </c>
      <c r="J1080" s="71">
        <f t="shared" si="101"/>
        <v>26.549999999999997</v>
      </c>
      <c r="K1080" s="72">
        <v>0</v>
      </c>
      <c r="M1080" s="58">
        <f>VLOOKUP(D1080,'TABELA DE PRECOS'!B:C,2,0)</f>
        <v>8.85</v>
      </c>
    </row>
    <row r="1081" spans="1:13" ht="15.75" customHeight="1" x14ac:dyDescent="0.25">
      <c r="A1081" s="65">
        <v>15</v>
      </c>
      <c r="B1081" s="66" t="s">
        <v>403</v>
      </c>
      <c r="C1081" s="82">
        <v>2</v>
      </c>
      <c r="D1081" s="76" t="s">
        <v>404</v>
      </c>
      <c r="E1081" s="69" t="s">
        <v>131</v>
      </c>
      <c r="F1081" s="76">
        <v>81897719002</v>
      </c>
      <c r="G1081" s="71">
        <f t="shared" si="98"/>
        <v>6.21</v>
      </c>
      <c r="H1081" s="71">
        <f t="shared" si="99"/>
        <v>12.42</v>
      </c>
      <c r="I1081" s="71">
        <f t="shared" si="100"/>
        <v>6.21</v>
      </c>
      <c r="J1081" s="71">
        <f t="shared" si="101"/>
        <v>12.42</v>
      </c>
      <c r="K1081" s="72">
        <v>0</v>
      </c>
      <c r="M1081" s="58">
        <f>VLOOKUP(D1081,'TABELA DE PRECOS'!B:C,2,0)</f>
        <v>6.21</v>
      </c>
    </row>
    <row r="1082" spans="1:13" ht="15.75" customHeight="1" x14ac:dyDescent="0.25">
      <c r="A1082" s="65">
        <v>16</v>
      </c>
      <c r="B1082" s="66" t="s">
        <v>455</v>
      </c>
      <c r="C1082" s="82">
        <v>1</v>
      </c>
      <c r="D1082" s="76" t="s">
        <v>456</v>
      </c>
      <c r="E1082" s="69" t="s">
        <v>131</v>
      </c>
      <c r="F1082" s="76">
        <v>81897719002</v>
      </c>
      <c r="G1082" s="71">
        <f t="shared" si="98"/>
        <v>8.3699999999999992</v>
      </c>
      <c r="H1082" s="71">
        <f t="shared" si="99"/>
        <v>8.3699999999999992</v>
      </c>
      <c r="I1082" s="71">
        <f t="shared" si="100"/>
        <v>8.3699999999999992</v>
      </c>
      <c r="J1082" s="71">
        <f t="shared" si="101"/>
        <v>8.3699999999999992</v>
      </c>
      <c r="K1082" s="72">
        <v>0</v>
      </c>
      <c r="M1082" s="58">
        <f>VLOOKUP(D1082,'TABELA DE PRECOS'!B:C,2,0)</f>
        <v>8.3699999999999992</v>
      </c>
    </row>
    <row r="1083" spans="1:13" ht="15.75" customHeight="1" x14ac:dyDescent="0.25">
      <c r="A1083" s="65">
        <v>17</v>
      </c>
      <c r="B1083" s="84" t="s">
        <v>399</v>
      </c>
      <c r="C1083" s="73">
        <v>1</v>
      </c>
      <c r="D1083" s="85" t="s">
        <v>400</v>
      </c>
      <c r="E1083" s="86" t="s">
        <v>131</v>
      </c>
      <c r="F1083" s="85">
        <v>81897719002</v>
      </c>
      <c r="G1083" s="71">
        <f t="shared" si="98"/>
        <v>8.85</v>
      </c>
      <c r="H1083" s="71">
        <f t="shared" si="99"/>
        <v>8.85</v>
      </c>
      <c r="I1083" s="71">
        <f t="shared" si="100"/>
        <v>8.85</v>
      </c>
      <c r="J1083" s="71">
        <f t="shared" si="101"/>
        <v>8.85</v>
      </c>
      <c r="K1083" s="72">
        <v>0</v>
      </c>
      <c r="M1083" s="58">
        <f>VLOOKUP(D1083,'TABELA DE PRECOS'!B:C,2,0)</f>
        <v>8.85</v>
      </c>
    </row>
    <row r="1084" spans="1:13" ht="15.75" customHeight="1" x14ac:dyDescent="0.25">
      <c r="A1084" s="65">
        <v>18</v>
      </c>
      <c r="B1084" s="84" t="s">
        <v>679</v>
      </c>
      <c r="C1084" s="73">
        <v>2</v>
      </c>
      <c r="D1084" s="85" t="s">
        <v>680</v>
      </c>
      <c r="E1084" s="86" t="s">
        <v>131</v>
      </c>
      <c r="F1084" s="85">
        <v>81897719002</v>
      </c>
      <c r="G1084" s="71">
        <f t="shared" si="98"/>
        <v>10.19</v>
      </c>
      <c r="H1084" s="71">
        <f t="shared" si="99"/>
        <v>20.38</v>
      </c>
      <c r="I1084" s="71">
        <f t="shared" si="100"/>
        <v>10.19</v>
      </c>
      <c r="J1084" s="71">
        <f t="shared" si="101"/>
        <v>20.38</v>
      </c>
      <c r="K1084" s="72">
        <v>0</v>
      </c>
      <c r="M1084" s="58">
        <f>VLOOKUP(D1084,'TABELA DE PRECOS'!B:C,2,0)</f>
        <v>10.19</v>
      </c>
    </row>
    <row r="1085" spans="1:13" ht="15.75" customHeight="1" x14ac:dyDescent="0.25">
      <c r="A1085" s="65">
        <v>19</v>
      </c>
      <c r="B1085" s="84" t="s">
        <v>187</v>
      </c>
      <c r="C1085" s="73">
        <v>6</v>
      </c>
      <c r="D1085" s="85" t="s">
        <v>188</v>
      </c>
      <c r="E1085" s="86" t="s">
        <v>131</v>
      </c>
      <c r="F1085" s="85">
        <v>81897719002</v>
      </c>
      <c r="G1085" s="71">
        <f t="shared" si="98"/>
        <v>15.95</v>
      </c>
      <c r="H1085" s="71">
        <f t="shared" si="99"/>
        <v>95.699999999999989</v>
      </c>
      <c r="I1085" s="71">
        <f t="shared" si="100"/>
        <v>15.95</v>
      </c>
      <c r="J1085" s="71">
        <f t="shared" si="101"/>
        <v>95.699999999999989</v>
      </c>
      <c r="K1085" s="72">
        <v>0</v>
      </c>
      <c r="M1085" s="58">
        <f>VLOOKUP(D1085,'TABELA DE PRECOS'!B:C,2,0)</f>
        <v>15.95</v>
      </c>
    </row>
    <row r="1086" spans="1:13" ht="15.75" customHeight="1" x14ac:dyDescent="0.25">
      <c r="A1086" s="65">
        <v>20</v>
      </c>
      <c r="B1086" s="84" t="s">
        <v>419</v>
      </c>
      <c r="C1086" s="73">
        <v>6</v>
      </c>
      <c r="D1086" s="85" t="s">
        <v>420</v>
      </c>
      <c r="E1086" s="86" t="s">
        <v>131</v>
      </c>
      <c r="F1086" s="85">
        <v>81897719002</v>
      </c>
      <c r="G1086" s="71">
        <f t="shared" si="98"/>
        <v>16.52</v>
      </c>
      <c r="H1086" s="71">
        <f t="shared" si="99"/>
        <v>99.12</v>
      </c>
      <c r="I1086" s="71">
        <f t="shared" si="100"/>
        <v>16.52</v>
      </c>
      <c r="J1086" s="71">
        <f t="shared" si="101"/>
        <v>99.12</v>
      </c>
      <c r="K1086" s="72">
        <v>0</v>
      </c>
      <c r="M1086" s="58">
        <f>VLOOKUP(D1086,'TABELA DE PRECOS'!B:C,2,0)</f>
        <v>16.52</v>
      </c>
    </row>
    <row r="1087" spans="1:13" ht="15.75" customHeight="1" x14ac:dyDescent="0.25">
      <c r="A1087" s="65">
        <v>21</v>
      </c>
      <c r="B1087" s="84" t="s">
        <v>254</v>
      </c>
      <c r="C1087" s="73">
        <v>10</v>
      </c>
      <c r="D1087" s="85" t="s">
        <v>255</v>
      </c>
      <c r="E1087" s="86" t="s">
        <v>131</v>
      </c>
      <c r="F1087" s="85">
        <v>81897719002</v>
      </c>
      <c r="G1087" s="71">
        <f t="shared" si="98"/>
        <v>16.68</v>
      </c>
      <c r="H1087" s="71">
        <f t="shared" si="99"/>
        <v>166.8</v>
      </c>
      <c r="I1087" s="71">
        <f t="shared" si="100"/>
        <v>16.68</v>
      </c>
      <c r="J1087" s="71">
        <f t="shared" si="101"/>
        <v>166.8</v>
      </c>
      <c r="K1087" s="72">
        <v>0</v>
      </c>
      <c r="M1087" s="58">
        <f>VLOOKUP(D1087,'TABELA DE PRECOS'!B:C,2,0)</f>
        <v>16.68</v>
      </c>
    </row>
    <row r="1088" spans="1:13" ht="15.75" customHeight="1" x14ac:dyDescent="0.25">
      <c r="A1088" s="65">
        <v>22</v>
      </c>
      <c r="B1088" s="84" t="s">
        <v>344</v>
      </c>
      <c r="C1088" s="73">
        <v>8</v>
      </c>
      <c r="D1088" s="85" t="s">
        <v>345</v>
      </c>
      <c r="E1088" s="86" t="s">
        <v>131</v>
      </c>
      <c r="F1088" s="85">
        <v>81897719002</v>
      </c>
      <c r="G1088" s="71">
        <f t="shared" si="98"/>
        <v>18.12</v>
      </c>
      <c r="H1088" s="71">
        <f t="shared" si="99"/>
        <v>144.96</v>
      </c>
      <c r="I1088" s="71">
        <f t="shared" si="100"/>
        <v>18.12</v>
      </c>
      <c r="J1088" s="71">
        <f t="shared" si="101"/>
        <v>144.96</v>
      </c>
      <c r="K1088" s="72">
        <v>0</v>
      </c>
      <c r="M1088" s="58">
        <f>VLOOKUP(D1088,'TABELA DE PRECOS'!B:C,2,0)</f>
        <v>18.12</v>
      </c>
    </row>
    <row r="1089" spans="1:13" ht="15.75" customHeight="1" x14ac:dyDescent="0.25">
      <c r="A1089" s="65">
        <v>23</v>
      </c>
      <c r="B1089" s="84" t="s">
        <v>193</v>
      </c>
      <c r="C1089" s="73">
        <v>1</v>
      </c>
      <c r="D1089" s="85" t="s">
        <v>194</v>
      </c>
      <c r="E1089" s="86" t="s">
        <v>131</v>
      </c>
      <c r="F1089" s="85">
        <v>81897719002</v>
      </c>
      <c r="G1089" s="71">
        <f t="shared" si="98"/>
        <v>24.34432</v>
      </c>
      <c r="H1089" s="71">
        <f t="shared" si="99"/>
        <v>24.34432</v>
      </c>
      <c r="I1089" s="71">
        <f t="shared" si="100"/>
        <v>24.34432</v>
      </c>
      <c r="J1089" s="71">
        <f t="shared" si="101"/>
        <v>24.34432</v>
      </c>
      <c r="K1089" s="72">
        <v>0</v>
      </c>
      <c r="M1089" s="58">
        <f>VLOOKUP(D1089,'TABELA DE PRECOS'!B:C,2,0)</f>
        <v>24.34432</v>
      </c>
    </row>
    <row r="1090" spans="1:13" ht="15.75" customHeight="1" x14ac:dyDescent="0.25">
      <c r="A1090" s="65">
        <v>24</v>
      </c>
      <c r="B1090" s="84" t="s">
        <v>350</v>
      </c>
      <c r="C1090" s="73">
        <v>1</v>
      </c>
      <c r="D1090" s="85" t="s">
        <v>351</v>
      </c>
      <c r="E1090" s="86" t="s">
        <v>131</v>
      </c>
      <c r="F1090" s="85">
        <v>81897719002</v>
      </c>
      <c r="G1090" s="71">
        <f t="shared" si="98"/>
        <v>18.89472</v>
      </c>
      <c r="H1090" s="71">
        <f t="shared" si="99"/>
        <v>18.89472</v>
      </c>
      <c r="I1090" s="71">
        <f t="shared" si="100"/>
        <v>18.89472</v>
      </c>
      <c r="J1090" s="71">
        <f t="shared" si="101"/>
        <v>18.89472</v>
      </c>
      <c r="K1090" s="72">
        <v>0</v>
      </c>
      <c r="M1090" s="58">
        <f>VLOOKUP(D1090,'TABELA DE PRECOS'!B:C,2,0)</f>
        <v>18.89472</v>
      </c>
    </row>
    <row r="1091" spans="1:13" ht="15.75" customHeight="1" x14ac:dyDescent="0.25">
      <c r="A1091" s="65">
        <v>25</v>
      </c>
      <c r="B1091" s="84" t="s">
        <v>352</v>
      </c>
      <c r="C1091" s="73">
        <v>1</v>
      </c>
      <c r="D1091" s="85" t="s">
        <v>353</v>
      </c>
      <c r="E1091" s="86" t="s">
        <v>131</v>
      </c>
      <c r="F1091" s="85">
        <v>81897719002</v>
      </c>
      <c r="G1091" s="71">
        <f t="shared" si="98"/>
        <v>18.77</v>
      </c>
      <c r="H1091" s="71">
        <f t="shared" si="99"/>
        <v>18.77</v>
      </c>
      <c r="I1091" s="71">
        <f t="shared" si="100"/>
        <v>18.77</v>
      </c>
      <c r="J1091" s="71">
        <f t="shared" si="101"/>
        <v>18.77</v>
      </c>
      <c r="K1091" s="72">
        <v>0</v>
      </c>
      <c r="M1091" s="58">
        <f>VLOOKUP(D1091,'TABELA DE PRECOS'!B:C,2,0)</f>
        <v>18.77</v>
      </c>
    </row>
    <row r="1092" spans="1:13" ht="15.75" customHeight="1" x14ac:dyDescent="0.25">
      <c r="A1092" s="65">
        <v>26</v>
      </c>
      <c r="B1092" s="84" t="s">
        <v>803</v>
      </c>
      <c r="C1092" s="73">
        <v>2</v>
      </c>
      <c r="D1092" s="85" t="s">
        <v>804</v>
      </c>
      <c r="E1092" s="86" t="s">
        <v>131</v>
      </c>
      <c r="F1092" s="85">
        <v>81897719002</v>
      </c>
      <c r="G1092" s="71">
        <f t="shared" si="98"/>
        <v>32.861120000000007</v>
      </c>
      <c r="H1092" s="71">
        <f t="shared" si="99"/>
        <v>65.722240000000014</v>
      </c>
      <c r="I1092" s="71">
        <f t="shared" si="100"/>
        <v>32.861120000000007</v>
      </c>
      <c r="J1092" s="71">
        <f t="shared" si="101"/>
        <v>65.722240000000014</v>
      </c>
      <c r="K1092" s="72">
        <v>0</v>
      </c>
      <c r="M1092" s="58">
        <f>VLOOKUP(D1092,'TABELA DE PRECOS'!B:C,2,0)</f>
        <v>32.861120000000007</v>
      </c>
    </row>
    <row r="1093" spans="1:13" ht="15.75" customHeight="1" x14ac:dyDescent="0.25">
      <c r="A1093" s="65">
        <v>27</v>
      </c>
      <c r="B1093" s="84" t="s">
        <v>594</v>
      </c>
      <c r="C1093" s="73">
        <v>1</v>
      </c>
      <c r="D1093" s="85" t="s">
        <v>595</v>
      </c>
      <c r="E1093" s="86" t="s">
        <v>131</v>
      </c>
      <c r="F1093" s="85">
        <v>81897719003</v>
      </c>
      <c r="G1093" s="71">
        <f t="shared" si="98"/>
        <v>65.06</v>
      </c>
      <c r="H1093" s="71">
        <f t="shared" si="99"/>
        <v>65.06</v>
      </c>
      <c r="I1093" s="71">
        <f t="shared" si="100"/>
        <v>65.06</v>
      </c>
      <c r="J1093" s="71">
        <f t="shared" si="101"/>
        <v>65.06</v>
      </c>
      <c r="K1093" s="72">
        <v>0</v>
      </c>
      <c r="M1093" s="58">
        <f>VLOOKUP(D1093,'TABELA DE PRECOS'!B:C,2,0)</f>
        <v>65.06</v>
      </c>
    </row>
    <row r="1094" spans="1:13" ht="15.75" customHeight="1" x14ac:dyDescent="0.25">
      <c r="A1094" s="65">
        <v>28</v>
      </c>
      <c r="B1094" s="84" t="s">
        <v>796</v>
      </c>
      <c r="C1094" s="73">
        <v>1</v>
      </c>
      <c r="D1094" s="85" t="s">
        <v>797</v>
      </c>
      <c r="E1094" s="86" t="s">
        <v>131</v>
      </c>
      <c r="F1094" s="85">
        <v>81897719003</v>
      </c>
      <c r="G1094" s="71">
        <f t="shared" si="98"/>
        <v>68.77</v>
      </c>
      <c r="H1094" s="71">
        <f t="shared" si="99"/>
        <v>68.77</v>
      </c>
      <c r="I1094" s="71">
        <f t="shared" si="100"/>
        <v>68.77</v>
      </c>
      <c r="J1094" s="71">
        <f t="shared" si="101"/>
        <v>68.77</v>
      </c>
      <c r="K1094" s="72">
        <v>0</v>
      </c>
      <c r="M1094" s="58">
        <f>VLOOKUP(D1094,'TABELA DE PRECOS'!B:C,2,0)</f>
        <v>68.77</v>
      </c>
    </row>
    <row r="1095" spans="1:13" ht="15.75" customHeight="1" x14ac:dyDescent="0.25">
      <c r="A1095" s="65">
        <v>29</v>
      </c>
      <c r="B1095" s="66" t="s">
        <v>1178</v>
      </c>
      <c r="C1095" s="82">
        <v>1</v>
      </c>
      <c r="D1095" s="76" t="s">
        <v>1179</v>
      </c>
      <c r="E1095" s="69" t="s">
        <v>131</v>
      </c>
      <c r="F1095" s="76">
        <v>81897710019</v>
      </c>
      <c r="G1095" s="71">
        <v>59.18</v>
      </c>
      <c r="H1095" s="71">
        <f t="shared" si="99"/>
        <v>59.18</v>
      </c>
      <c r="I1095" s="71">
        <f t="shared" si="100"/>
        <v>59.18</v>
      </c>
      <c r="J1095" s="71">
        <f t="shared" si="101"/>
        <v>59.18</v>
      </c>
      <c r="K1095" s="72">
        <v>0</v>
      </c>
      <c r="M1095" s="58">
        <f>VLOOKUP(D1095,'TABELA DE PRECOS'!B:C,2,0)</f>
        <v>59.18</v>
      </c>
    </row>
    <row r="1096" spans="1:13" ht="15.75" customHeight="1" x14ac:dyDescent="0.25">
      <c r="A1096" s="65">
        <v>30</v>
      </c>
      <c r="B1096" s="84" t="s">
        <v>368</v>
      </c>
      <c r="C1096" s="73">
        <v>1</v>
      </c>
      <c r="D1096" s="85" t="s">
        <v>369</v>
      </c>
      <c r="E1096" s="86" t="s">
        <v>131</v>
      </c>
      <c r="F1096" s="85">
        <v>81897719002</v>
      </c>
      <c r="G1096" s="71">
        <f t="shared" ref="G1096:G1104" si="102">M1096</f>
        <v>18.22</v>
      </c>
      <c r="H1096" s="71">
        <f t="shared" si="99"/>
        <v>18.22</v>
      </c>
      <c r="I1096" s="71">
        <f t="shared" si="100"/>
        <v>18.22</v>
      </c>
      <c r="J1096" s="71">
        <f t="shared" si="101"/>
        <v>18.22</v>
      </c>
      <c r="K1096" s="72">
        <v>0</v>
      </c>
      <c r="M1096" s="58">
        <f>VLOOKUP(D1096,'TABELA DE PRECOS'!B:C,2,0)</f>
        <v>18.22</v>
      </c>
    </row>
    <row r="1097" spans="1:13" ht="15.75" customHeight="1" x14ac:dyDescent="0.25">
      <c r="A1097" s="65">
        <v>31</v>
      </c>
      <c r="B1097" s="84" t="s">
        <v>282</v>
      </c>
      <c r="C1097" s="73">
        <v>1</v>
      </c>
      <c r="D1097" s="85" t="s">
        <v>283</v>
      </c>
      <c r="E1097" s="86" t="s">
        <v>131</v>
      </c>
      <c r="F1097" s="85">
        <v>81897719002</v>
      </c>
      <c r="G1097" s="71">
        <f t="shared" si="102"/>
        <v>17.46</v>
      </c>
      <c r="H1097" s="71">
        <f t="shared" si="99"/>
        <v>17.46</v>
      </c>
      <c r="I1097" s="71">
        <f t="shared" si="100"/>
        <v>17.46</v>
      </c>
      <c r="J1097" s="71">
        <f t="shared" si="101"/>
        <v>17.46</v>
      </c>
      <c r="K1097" s="72">
        <v>0</v>
      </c>
      <c r="M1097" s="58">
        <f>VLOOKUP(D1097,'TABELA DE PRECOS'!B:C,2,0)</f>
        <v>17.46</v>
      </c>
    </row>
    <row r="1098" spans="1:13" ht="15.75" customHeight="1" x14ac:dyDescent="0.25">
      <c r="A1098" s="65">
        <v>32</v>
      </c>
      <c r="B1098" s="84" t="s">
        <v>425</v>
      </c>
      <c r="C1098" s="73">
        <v>1</v>
      </c>
      <c r="D1098" s="85" t="s">
        <v>426</v>
      </c>
      <c r="E1098" s="86" t="s">
        <v>131</v>
      </c>
      <c r="F1098" s="85">
        <v>81897719002</v>
      </c>
      <c r="G1098" s="71">
        <f t="shared" si="102"/>
        <v>18.43</v>
      </c>
      <c r="H1098" s="71">
        <f t="shared" si="99"/>
        <v>18.43</v>
      </c>
      <c r="I1098" s="71">
        <f t="shared" si="100"/>
        <v>18.43</v>
      </c>
      <c r="J1098" s="71">
        <f t="shared" si="101"/>
        <v>18.43</v>
      </c>
      <c r="K1098" s="72">
        <v>0</v>
      </c>
      <c r="M1098" s="58">
        <f>VLOOKUP(D1098,'TABELA DE PRECOS'!B:C,2,0)</f>
        <v>18.43</v>
      </c>
    </row>
    <row r="1099" spans="1:13" ht="15.75" customHeight="1" x14ac:dyDescent="0.25">
      <c r="A1099" s="65">
        <v>33</v>
      </c>
      <c r="B1099" s="84" t="s">
        <v>488</v>
      </c>
      <c r="C1099" s="73">
        <v>1</v>
      </c>
      <c r="D1099" s="85" t="s">
        <v>489</v>
      </c>
      <c r="E1099" s="86" t="s">
        <v>131</v>
      </c>
      <c r="F1099" s="85">
        <v>81897719002</v>
      </c>
      <c r="G1099" s="71">
        <f t="shared" si="102"/>
        <v>11.81</v>
      </c>
      <c r="H1099" s="71">
        <f t="shared" si="99"/>
        <v>11.81</v>
      </c>
      <c r="I1099" s="71">
        <f t="shared" si="100"/>
        <v>11.81</v>
      </c>
      <c r="J1099" s="71">
        <f t="shared" si="101"/>
        <v>11.81</v>
      </c>
      <c r="K1099" s="72">
        <v>0</v>
      </c>
      <c r="M1099" s="58">
        <f>VLOOKUP(D1099,'TABELA DE PRECOS'!B:C,2,0)</f>
        <v>11.81</v>
      </c>
    </row>
    <row r="1100" spans="1:13" ht="15.75" customHeight="1" x14ac:dyDescent="0.25">
      <c r="A1100" s="65">
        <v>34</v>
      </c>
      <c r="B1100" s="84" t="s">
        <v>881</v>
      </c>
      <c r="C1100" s="73">
        <v>1</v>
      </c>
      <c r="D1100" s="85" t="s">
        <v>882</v>
      </c>
      <c r="E1100" s="86" t="s">
        <v>131</v>
      </c>
      <c r="F1100" s="85">
        <v>81897710034</v>
      </c>
      <c r="G1100" s="71">
        <f t="shared" si="102"/>
        <v>39.453119999999998</v>
      </c>
      <c r="H1100" s="71">
        <f t="shared" si="99"/>
        <v>39.453119999999998</v>
      </c>
      <c r="I1100" s="71">
        <f t="shared" si="100"/>
        <v>39.453119999999998</v>
      </c>
      <c r="J1100" s="71">
        <f t="shared" si="101"/>
        <v>39.453119999999998</v>
      </c>
      <c r="K1100" s="72">
        <v>0</v>
      </c>
      <c r="M1100" s="58">
        <f>VLOOKUP(D1100,'TABELA DE PRECOS'!B:C,2,0)</f>
        <v>39.453119999999998</v>
      </c>
    </row>
    <row r="1101" spans="1:13" ht="15.75" customHeight="1" x14ac:dyDescent="0.25">
      <c r="A1101" s="65">
        <v>35</v>
      </c>
      <c r="B1101" s="84" t="s">
        <v>372</v>
      </c>
      <c r="C1101" s="73">
        <v>1</v>
      </c>
      <c r="D1101" s="85" t="s">
        <v>373</v>
      </c>
      <c r="E1101" s="86" t="s">
        <v>131</v>
      </c>
      <c r="F1101" s="85" t="s">
        <v>223</v>
      </c>
      <c r="G1101" s="71">
        <f t="shared" si="102"/>
        <v>452.16</v>
      </c>
      <c r="H1101" s="71">
        <f t="shared" si="99"/>
        <v>452.16</v>
      </c>
      <c r="I1101" s="71">
        <f t="shared" si="100"/>
        <v>452.16</v>
      </c>
      <c r="J1101" s="71">
        <f t="shared" si="101"/>
        <v>452.16</v>
      </c>
      <c r="K1101" s="72">
        <v>0</v>
      </c>
      <c r="M1101" s="58">
        <f>VLOOKUP(D1101,'TABELA DE PRECOS'!B:C,2,0)</f>
        <v>452.16</v>
      </c>
    </row>
    <row r="1102" spans="1:13" ht="15.75" customHeight="1" x14ac:dyDescent="0.25">
      <c r="A1102" s="65">
        <v>36</v>
      </c>
      <c r="B1102" s="84" t="s">
        <v>374</v>
      </c>
      <c r="C1102" s="73">
        <v>1</v>
      </c>
      <c r="D1102" s="85" t="s">
        <v>375</v>
      </c>
      <c r="E1102" s="86" t="s">
        <v>131</v>
      </c>
      <c r="F1102" s="85" t="s">
        <v>223</v>
      </c>
      <c r="G1102" s="71">
        <f t="shared" si="102"/>
        <v>640.15991999999994</v>
      </c>
      <c r="H1102" s="71">
        <f t="shared" si="99"/>
        <v>640.15991999999994</v>
      </c>
      <c r="I1102" s="71">
        <f t="shared" si="100"/>
        <v>640.15991999999994</v>
      </c>
      <c r="J1102" s="71">
        <f t="shared" si="101"/>
        <v>640.15991999999994</v>
      </c>
      <c r="K1102" s="72">
        <v>0</v>
      </c>
      <c r="M1102" s="58">
        <f>VLOOKUP(D1102,'TABELA DE PRECOS'!B:C,2,0)</f>
        <v>640.15991999999994</v>
      </c>
    </row>
    <row r="1103" spans="1:13" ht="15.75" customHeight="1" x14ac:dyDescent="0.25">
      <c r="A1103" s="65">
        <v>37</v>
      </c>
      <c r="B1103" s="84" t="s">
        <v>376</v>
      </c>
      <c r="C1103" s="73">
        <v>1</v>
      </c>
      <c r="D1103" s="85" t="s">
        <v>377</v>
      </c>
      <c r="E1103" s="86" t="s">
        <v>131</v>
      </c>
      <c r="F1103" s="85" t="s">
        <v>223</v>
      </c>
      <c r="G1103" s="71">
        <f t="shared" si="102"/>
        <v>514.57000000000005</v>
      </c>
      <c r="H1103" s="71">
        <f t="shared" si="99"/>
        <v>514.57000000000005</v>
      </c>
      <c r="I1103" s="71">
        <f t="shared" si="100"/>
        <v>514.57000000000005</v>
      </c>
      <c r="J1103" s="71">
        <f t="shared" si="101"/>
        <v>514.57000000000005</v>
      </c>
      <c r="K1103" s="72">
        <v>0</v>
      </c>
      <c r="M1103" s="58">
        <f>VLOOKUP(D1103,'TABELA DE PRECOS'!B:C,2,0)</f>
        <v>514.57000000000005</v>
      </c>
    </row>
    <row r="1104" spans="1:13" ht="15.75" customHeight="1" x14ac:dyDescent="0.25">
      <c r="A1104" s="65">
        <v>38</v>
      </c>
      <c r="B1104" s="84" t="s">
        <v>378</v>
      </c>
      <c r="C1104" s="73">
        <v>2</v>
      </c>
      <c r="D1104" s="85" t="s">
        <v>379</v>
      </c>
      <c r="E1104" s="86" t="s">
        <v>131</v>
      </c>
      <c r="F1104" s="85" t="s">
        <v>223</v>
      </c>
      <c r="G1104" s="71">
        <f t="shared" si="102"/>
        <v>9.18</v>
      </c>
      <c r="H1104" s="71">
        <f t="shared" si="99"/>
        <v>18.36</v>
      </c>
      <c r="I1104" s="71">
        <f t="shared" si="100"/>
        <v>9.18</v>
      </c>
      <c r="J1104" s="71">
        <f t="shared" si="101"/>
        <v>18.36</v>
      </c>
      <c r="K1104" s="72">
        <v>0</v>
      </c>
      <c r="M1104" s="58">
        <f>VLOOKUP(D1104,'TABELA DE PRECOS'!B:C,2,0)</f>
        <v>9.18</v>
      </c>
    </row>
    <row r="1105" spans="1:13" ht="15.75" customHeight="1" x14ac:dyDescent="0.25">
      <c r="A1105" s="78"/>
      <c r="B1105" s="79" t="s">
        <v>224</v>
      </c>
      <c r="C1105" s="79">
        <f>SUM(C1067:C1104)</f>
        <v>86</v>
      </c>
      <c r="D1105" s="79"/>
      <c r="E1105" s="79"/>
      <c r="F1105" s="79"/>
      <c r="G1105" s="80"/>
      <c r="H1105" s="80">
        <f>SUM(H1067:H1104)</f>
        <v>4342.9147679999987</v>
      </c>
      <c r="I1105" s="79"/>
      <c r="J1105" s="80">
        <f>SUM(J1067:J1104)</f>
        <v>4342.9147679999987</v>
      </c>
      <c r="K1105" s="81"/>
      <c r="M1105" s="58" t="e">
        <f>VLOOKUP(D1105,'TABELA DE PRECOS'!B:C,2,0)</f>
        <v>#N/A</v>
      </c>
    </row>
    <row r="1106" spans="1:13" ht="15.75" customHeight="1" x14ac:dyDescent="0.25">
      <c r="A1106" s="56"/>
      <c r="B1106" s="49" t="s">
        <v>15</v>
      </c>
      <c r="C1106" s="57"/>
      <c r="G1106" s="58"/>
      <c r="H1106" s="58"/>
      <c r="I1106" s="58"/>
      <c r="J1106" s="58"/>
      <c r="K1106" s="59"/>
      <c r="M1106" s="58" t="e">
        <f>VLOOKUP(D1106,'TABELA DE PRECOS'!B:C,2,0)</f>
        <v>#N/A</v>
      </c>
    </row>
    <row r="1107" spans="1:13" ht="15.75" customHeight="1" x14ac:dyDescent="0.25">
      <c r="A1107" s="56"/>
      <c r="B1107" s="18" t="s">
        <v>1180</v>
      </c>
      <c r="C1107" s="57"/>
      <c r="G1107" s="58"/>
      <c r="H1107" s="58"/>
      <c r="I1107" s="58"/>
      <c r="J1107" s="58"/>
      <c r="K1107" s="59"/>
      <c r="M1107" s="58" t="e">
        <f>VLOOKUP(D1107,'TABELA DE PRECOS'!B:C,2,0)</f>
        <v>#N/A</v>
      </c>
    </row>
    <row r="1108" spans="1:13" ht="15.75" customHeight="1" x14ac:dyDescent="0.25">
      <c r="A1108" s="18" t="s">
        <v>119</v>
      </c>
      <c r="B1108" s="18" t="s">
        <v>120</v>
      </c>
      <c r="C1108" s="18" t="s">
        <v>21</v>
      </c>
      <c r="D1108" s="18" t="s">
        <v>121</v>
      </c>
      <c r="E1108" s="60" t="s">
        <v>122</v>
      </c>
      <c r="F1108" s="18" t="s">
        <v>123</v>
      </c>
      <c r="G1108" s="61" t="s">
        <v>22</v>
      </c>
      <c r="H1108" s="18" t="s">
        <v>23</v>
      </c>
      <c r="I1108" s="18" t="s">
        <v>24</v>
      </c>
      <c r="J1108" s="18" t="s">
        <v>25</v>
      </c>
      <c r="K1108" s="62" t="s">
        <v>26</v>
      </c>
      <c r="M1108" s="58" t="str">
        <f>VLOOKUP(D1108,'TABELA DE PRECOS'!B:C,2,0)</f>
        <v>Valor Unit Bruto</v>
      </c>
    </row>
    <row r="1109" spans="1:13" ht="15.75" customHeight="1" x14ac:dyDescent="0.25">
      <c r="A1109" s="65">
        <v>1</v>
      </c>
      <c r="B1109" s="84" t="s">
        <v>133</v>
      </c>
      <c r="C1109" s="73">
        <v>2</v>
      </c>
      <c r="D1109" s="85" t="s">
        <v>134</v>
      </c>
      <c r="E1109" s="86" t="s">
        <v>131</v>
      </c>
      <c r="F1109" s="85">
        <v>81897719002</v>
      </c>
      <c r="G1109" s="71">
        <f t="shared" ref="G1109:G1174" si="103">M1109</f>
        <v>17.19688</v>
      </c>
      <c r="H1109" s="71">
        <f t="shared" ref="H1109:H1174" si="104">G1109*C1109</f>
        <v>34.39376</v>
      </c>
      <c r="I1109" s="71">
        <f t="shared" ref="I1109:I1174" si="105">G1109</f>
        <v>17.19688</v>
      </c>
      <c r="J1109" s="71">
        <f t="shared" ref="J1109:J1174" si="106">I1109*C1109</f>
        <v>34.39376</v>
      </c>
      <c r="K1109" s="72">
        <v>0</v>
      </c>
      <c r="M1109" s="58">
        <f>VLOOKUP(D1109,'TABELA DE PRECOS'!B:C,2,0)</f>
        <v>17.19688</v>
      </c>
    </row>
    <row r="1110" spans="1:13" ht="15.75" customHeight="1" x14ac:dyDescent="0.25">
      <c r="A1110" s="65">
        <v>2</v>
      </c>
      <c r="B1110" s="84" t="s">
        <v>1181</v>
      </c>
      <c r="C1110" s="73">
        <v>2</v>
      </c>
      <c r="D1110" s="85" t="s">
        <v>1182</v>
      </c>
      <c r="E1110" s="86" t="s">
        <v>131</v>
      </c>
      <c r="F1110" s="85">
        <v>81897710021</v>
      </c>
      <c r="G1110" s="71">
        <f t="shared" si="103"/>
        <v>17.19688</v>
      </c>
      <c r="H1110" s="71">
        <f t="shared" si="104"/>
        <v>34.39376</v>
      </c>
      <c r="I1110" s="71">
        <f t="shared" si="105"/>
        <v>17.19688</v>
      </c>
      <c r="J1110" s="71">
        <f t="shared" si="106"/>
        <v>34.39376</v>
      </c>
      <c r="K1110" s="72">
        <v>0</v>
      </c>
      <c r="M1110" s="58">
        <f>VLOOKUP(D1110,'TABELA DE PRECOS'!B:C,2,0)</f>
        <v>17.19688</v>
      </c>
    </row>
    <row r="1111" spans="1:13" ht="15.75" customHeight="1" x14ac:dyDescent="0.25">
      <c r="A1111" s="65">
        <v>3</v>
      </c>
      <c r="B1111" s="84" t="s">
        <v>1183</v>
      </c>
      <c r="C1111" s="73">
        <v>2</v>
      </c>
      <c r="D1111" s="85" t="s">
        <v>1184</v>
      </c>
      <c r="E1111" s="86" t="s">
        <v>131</v>
      </c>
      <c r="F1111" s="85">
        <v>81897719002</v>
      </c>
      <c r="G1111" s="71">
        <f t="shared" si="103"/>
        <v>123.69888</v>
      </c>
      <c r="H1111" s="71">
        <f t="shared" si="104"/>
        <v>247.39776000000001</v>
      </c>
      <c r="I1111" s="71">
        <f t="shared" si="105"/>
        <v>123.69888</v>
      </c>
      <c r="J1111" s="71">
        <f t="shared" si="106"/>
        <v>247.39776000000001</v>
      </c>
      <c r="K1111" s="72">
        <v>0</v>
      </c>
      <c r="M1111" s="58">
        <f>VLOOKUP(D1111,'TABELA DE PRECOS'!B:C,2,0)</f>
        <v>123.69888</v>
      </c>
    </row>
    <row r="1112" spans="1:13" ht="15.75" customHeight="1" x14ac:dyDescent="0.25">
      <c r="A1112" s="65">
        <v>4</v>
      </c>
      <c r="B1112" s="84" t="s">
        <v>649</v>
      </c>
      <c r="C1112" s="73">
        <v>2</v>
      </c>
      <c r="D1112" s="85" t="s">
        <v>650</v>
      </c>
      <c r="E1112" s="86" t="s">
        <v>131</v>
      </c>
      <c r="F1112" s="85">
        <v>81897719002</v>
      </c>
      <c r="G1112" s="71">
        <f t="shared" si="103"/>
        <v>133.35616000000002</v>
      </c>
      <c r="H1112" s="71">
        <f t="shared" si="104"/>
        <v>266.71232000000003</v>
      </c>
      <c r="I1112" s="71">
        <f t="shared" si="105"/>
        <v>133.35616000000002</v>
      </c>
      <c r="J1112" s="71">
        <f t="shared" si="106"/>
        <v>266.71232000000003</v>
      </c>
      <c r="K1112" s="72">
        <v>0</v>
      </c>
      <c r="M1112" s="58">
        <f>VLOOKUP(D1112,'TABELA DE PRECOS'!B:C,2,0)</f>
        <v>133.35616000000002</v>
      </c>
    </row>
    <row r="1113" spans="1:13" ht="15.75" customHeight="1" x14ac:dyDescent="0.25">
      <c r="A1113" s="65">
        <v>5</v>
      </c>
      <c r="B1113" s="84" t="s">
        <v>294</v>
      </c>
      <c r="C1113" s="73">
        <v>2</v>
      </c>
      <c r="D1113" s="85" t="s">
        <v>295</v>
      </c>
      <c r="E1113" s="86" t="s">
        <v>131</v>
      </c>
      <c r="F1113" s="85">
        <v>81897719002</v>
      </c>
      <c r="G1113" s="71">
        <f t="shared" si="103"/>
        <v>58.95</v>
      </c>
      <c r="H1113" s="71">
        <f t="shared" si="104"/>
        <v>117.9</v>
      </c>
      <c r="I1113" s="71">
        <f t="shared" si="105"/>
        <v>58.95</v>
      </c>
      <c r="J1113" s="71">
        <f t="shared" si="106"/>
        <v>117.9</v>
      </c>
      <c r="K1113" s="72">
        <v>0</v>
      </c>
      <c r="M1113" s="58">
        <f>VLOOKUP(D1113,'TABELA DE PRECOS'!B:C,2,0)</f>
        <v>58.95</v>
      </c>
    </row>
    <row r="1114" spans="1:13" ht="15.75" customHeight="1" x14ac:dyDescent="0.25">
      <c r="A1114" s="65">
        <v>6</v>
      </c>
      <c r="B1114" s="84" t="s">
        <v>161</v>
      </c>
      <c r="C1114" s="73">
        <v>2</v>
      </c>
      <c r="D1114" s="85" t="s">
        <v>162</v>
      </c>
      <c r="E1114" s="86" t="s">
        <v>131</v>
      </c>
      <c r="F1114" s="85">
        <v>81897719002</v>
      </c>
      <c r="G1114" s="71">
        <f t="shared" si="103"/>
        <v>152.13952</v>
      </c>
      <c r="H1114" s="71">
        <f t="shared" si="104"/>
        <v>304.27904000000001</v>
      </c>
      <c r="I1114" s="71">
        <f t="shared" si="105"/>
        <v>152.13952</v>
      </c>
      <c r="J1114" s="71">
        <f t="shared" si="106"/>
        <v>304.27904000000001</v>
      </c>
      <c r="K1114" s="72">
        <v>0</v>
      </c>
      <c r="M1114" s="58">
        <f>VLOOKUP(D1114,'TABELA DE PRECOS'!B:C,2,0)</f>
        <v>152.13952</v>
      </c>
    </row>
    <row r="1115" spans="1:13" ht="15.75" customHeight="1" x14ac:dyDescent="0.25">
      <c r="A1115" s="65">
        <v>7</v>
      </c>
      <c r="B1115" s="84" t="s">
        <v>1185</v>
      </c>
      <c r="C1115" s="73">
        <v>2</v>
      </c>
      <c r="D1115" s="85" t="s">
        <v>1186</v>
      </c>
      <c r="E1115" s="86" t="s">
        <v>131</v>
      </c>
      <c r="F1115" s="85">
        <v>81897719002</v>
      </c>
      <c r="G1115" s="71">
        <f t="shared" si="103"/>
        <v>127.11848000000001</v>
      </c>
      <c r="H1115" s="71">
        <f t="shared" si="104"/>
        <v>254.23696000000001</v>
      </c>
      <c r="I1115" s="71">
        <f t="shared" si="105"/>
        <v>127.11848000000001</v>
      </c>
      <c r="J1115" s="71">
        <f t="shared" si="106"/>
        <v>254.23696000000001</v>
      </c>
      <c r="K1115" s="72">
        <v>0</v>
      </c>
      <c r="M1115" s="58">
        <f>VLOOKUP(D1115,'TABELA DE PRECOS'!B:C,2,0)</f>
        <v>127.11848000000001</v>
      </c>
    </row>
    <row r="1116" spans="1:13" ht="15.75" customHeight="1" x14ac:dyDescent="0.25">
      <c r="A1116" s="65">
        <v>8</v>
      </c>
      <c r="B1116" s="84" t="s">
        <v>1187</v>
      </c>
      <c r="C1116" s="73">
        <v>1</v>
      </c>
      <c r="D1116" s="85" t="s">
        <v>1188</v>
      </c>
      <c r="E1116" s="86" t="s">
        <v>131</v>
      </c>
      <c r="F1116" s="85">
        <v>81897719002</v>
      </c>
      <c r="G1116" s="71">
        <f t="shared" si="103"/>
        <v>164.93183999999999</v>
      </c>
      <c r="H1116" s="71">
        <f t="shared" si="104"/>
        <v>164.93183999999999</v>
      </c>
      <c r="I1116" s="71">
        <f t="shared" si="105"/>
        <v>164.93183999999999</v>
      </c>
      <c r="J1116" s="71">
        <f t="shared" si="106"/>
        <v>164.93183999999999</v>
      </c>
      <c r="K1116" s="72">
        <v>0</v>
      </c>
      <c r="M1116" s="58">
        <f>VLOOKUP(D1116,'TABELA DE PRECOS'!B:C,2,0)</f>
        <v>164.93183999999999</v>
      </c>
    </row>
    <row r="1117" spans="1:13" ht="15.75" customHeight="1" x14ac:dyDescent="0.25">
      <c r="A1117" s="65">
        <v>9</v>
      </c>
      <c r="B1117" s="84" t="s">
        <v>1189</v>
      </c>
      <c r="C1117" s="73">
        <v>1</v>
      </c>
      <c r="D1117" s="85" t="s">
        <v>1190</v>
      </c>
      <c r="E1117" s="86" t="s">
        <v>131</v>
      </c>
      <c r="F1117" s="85">
        <v>81897719002</v>
      </c>
      <c r="G1117" s="71">
        <f t="shared" si="103"/>
        <v>185.54832000000002</v>
      </c>
      <c r="H1117" s="71">
        <f t="shared" si="104"/>
        <v>185.54832000000002</v>
      </c>
      <c r="I1117" s="71">
        <f t="shared" si="105"/>
        <v>185.54832000000002</v>
      </c>
      <c r="J1117" s="71">
        <f t="shared" si="106"/>
        <v>185.54832000000002</v>
      </c>
      <c r="K1117" s="72">
        <v>0</v>
      </c>
      <c r="M1117" s="58">
        <f>VLOOKUP(D1117,'TABELA DE PRECOS'!B:C,2,0)</f>
        <v>185.54832000000002</v>
      </c>
    </row>
    <row r="1118" spans="1:13" ht="15.75" customHeight="1" x14ac:dyDescent="0.25">
      <c r="A1118" s="65">
        <v>10</v>
      </c>
      <c r="B1118" s="84" t="s">
        <v>302</v>
      </c>
      <c r="C1118" s="73">
        <v>1</v>
      </c>
      <c r="D1118" s="85" t="s">
        <v>303</v>
      </c>
      <c r="E1118" s="86" t="s">
        <v>131</v>
      </c>
      <c r="F1118" s="85">
        <v>81897719002</v>
      </c>
      <c r="G1118" s="71">
        <f t="shared" si="103"/>
        <v>154.62360000000001</v>
      </c>
      <c r="H1118" s="71">
        <f t="shared" si="104"/>
        <v>154.62360000000001</v>
      </c>
      <c r="I1118" s="71">
        <f t="shared" si="105"/>
        <v>154.62360000000001</v>
      </c>
      <c r="J1118" s="71">
        <f t="shared" si="106"/>
        <v>154.62360000000001</v>
      </c>
      <c r="K1118" s="72">
        <v>0</v>
      </c>
      <c r="M1118" s="58">
        <f>VLOOKUP(D1118,'TABELA DE PRECOS'!B:C,2,0)</f>
        <v>154.62360000000001</v>
      </c>
    </row>
    <row r="1119" spans="1:13" ht="15.75" customHeight="1" x14ac:dyDescent="0.25">
      <c r="A1119" s="65">
        <v>11</v>
      </c>
      <c r="B1119" s="66" t="s">
        <v>1191</v>
      </c>
      <c r="C1119" s="82">
        <v>1</v>
      </c>
      <c r="D1119" s="66" t="s">
        <v>1192</v>
      </c>
      <c r="E1119" s="86" t="s">
        <v>131</v>
      </c>
      <c r="F1119" s="76">
        <v>81897710009</v>
      </c>
      <c r="G1119" s="71">
        <f t="shared" si="103"/>
        <v>695.69496000000004</v>
      </c>
      <c r="H1119" s="71">
        <f t="shared" si="104"/>
        <v>695.69496000000004</v>
      </c>
      <c r="I1119" s="71">
        <f t="shared" si="105"/>
        <v>695.69496000000004</v>
      </c>
      <c r="J1119" s="71">
        <f t="shared" si="106"/>
        <v>695.69496000000004</v>
      </c>
      <c r="K1119" s="72">
        <v>0</v>
      </c>
      <c r="L1119" s="63"/>
      <c r="M1119" s="58">
        <f>VLOOKUP(D1119,'TABELA DE PRECOS'!B:C,2,0)</f>
        <v>695.69496000000004</v>
      </c>
    </row>
    <row r="1120" spans="1:13" ht="15.75" customHeight="1" x14ac:dyDescent="0.25">
      <c r="A1120" s="65">
        <v>12</v>
      </c>
      <c r="B1120" s="66" t="s">
        <v>1193</v>
      </c>
      <c r="C1120" s="82">
        <v>2</v>
      </c>
      <c r="D1120" s="76" t="s">
        <v>1194</v>
      </c>
      <c r="E1120" s="86" t="s">
        <v>131</v>
      </c>
      <c r="F1120" s="76">
        <v>81897719002</v>
      </c>
      <c r="G1120" s="71">
        <f t="shared" si="103"/>
        <v>68.738080000000011</v>
      </c>
      <c r="H1120" s="71">
        <f t="shared" si="104"/>
        <v>137.47616000000002</v>
      </c>
      <c r="I1120" s="71">
        <f t="shared" si="105"/>
        <v>68.738080000000011</v>
      </c>
      <c r="J1120" s="71">
        <f t="shared" si="106"/>
        <v>137.47616000000002</v>
      </c>
      <c r="K1120" s="72">
        <v>0</v>
      </c>
      <c r="M1120" s="58">
        <f>VLOOKUP(D1120,'TABELA DE PRECOS'!B:C,2,0)</f>
        <v>68.738080000000011</v>
      </c>
    </row>
    <row r="1121" spans="1:13" ht="15.75" customHeight="1" x14ac:dyDescent="0.25">
      <c r="A1121" s="65">
        <v>13</v>
      </c>
      <c r="B1121" s="66" t="s">
        <v>1195</v>
      </c>
      <c r="C1121" s="82">
        <v>2</v>
      </c>
      <c r="D1121" s="76" t="s">
        <v>1196</v>
      </c>
      <c r="E1121" s="86" t="s">
        <v>131</v>
      </c>
      <c r="F1121" s="85">
        <v>81897719002</v>
      </c>
      <c r="G1121" s="71">
        <f t="shared" si="103"/>
        <v>68.738080000000011</v>
      </c>
      <c r="H1121" s="71">
        <f t="shared" si="104"/>
        <v>137.47616000000002</v>
      </c>
      <c r="I1121" s="71">
        <f t="shared" si="105"/>
        <v>68.738080000000011</v>
      </c>
      <c r="J1121" s="71">
        <f t="shared" si="106"/>
        <v>137.47616000000002</v>
      </c>
      <c r="K1121" s="72">
        <v>0</v>
      </c>
      <c r="M1121" s="58">
        <f>VLOOKUP(D1121,'TABELA DE PRECOS'!B:C,2,0)</f>
        <v>68.738080000000011</v>
      </c>
    </row>
    <row r="1122" spans="1:13" ht="15.75" customHeight="1" x14ac:dyDescent="0.25">
      <c r="A1122" s="65">
        <v>14</v>
      </c>
      <c r="B1122" s="66" t="s">
        <v>1197</v>
      </c>
      <c r="C1122" s="82">
        <v>2</v>
      </c>
      <c r="D1122" s="76" t="s">
        <v>1198</v>
      </c>
      <c r="E1122" s="86" t="s">
        <v>131</v>
      </c>
      <c r="F1122" s="85">
        <v>81897719002</v>
      </c>
      <c r="G1122" s="71">
        <f t="shared" si="103"/>
        <v>68.738080000000011</v>
      </c>
      <c r="H1122" s="71">
        <f t="shared" si="104"/>
        <v>137.47616000000002</v>
      </c>
      <c r="I1122" s="71">
        <f t="shared" si="105"/>
        <v>68.738080000000011</v>
      </c>
      <c r="J1122" s="71">
        <f t="shared" si="106"/>
        <v>137.47616000000002</v>
      </c>
      <c r="K1122" s="72">
        <v>0</v>
      </c>
      <c r="M1122" s="58">
        <f>VLOOKUP(D1122,'TABELA DE PRECOS'!B:C,2,0)</f>
        <v>68.738080000000011</v>
      </c>
    </row>
    <row r="1123" spans="1:13" ht="15.75" customHeight="1" x14ac:dyDescent="0.25">
      <c r="A1123" s="65">
        <v>15</v>
      </c>
      <c r="B1123" s="66" t="s">
        <v>304</v>
      </c>
      <c r="C1123" s="82">
        <v>1</v>
      </c>
      <c r="D1123" s="76" t="s">
        <v>305</v>
      </c>
      <c r="E1123" s="86" t="s">
        <v>131</v>
      </c>
      <c r="F1123" s="85" t="s">
        <v>223</v>
      </c>
      <c r="G1123" s="71">
        <f t="shared" si="103"/>
        <v>5.2653600000000003</v>
      </c>
      <c r="H1123" s="71">
        <f t="shared" si="104"/>
        <v>5.2653600000000003</v>
      </c>
      <c r="I1123" s="71">
        <f t="shared" si="105"/>
        <v>5.2653600000000003</v>
      </c>
      <c r="J1123" s="71">
        <f t="shared" si="106"/>
        <v>5.2653600000000003</v>
      </c>
      <c r="K1123" s="72">
        <v>0</v>
      </c>
      <c r="M1123" s="58">
        <f>VLOOKUP(D1123,'TABELA DE PRECOS'!B:C,2,0)</f>
        <v>5.2653600000000003</v>
      </c>
    </row>
    <row r="1124" spans="1:13" ht="15.75" customHeight="1" x14ac:dyDescent="0.25">
      <c r="A1124" s="65">
        <v>16</v>
      </c>
      <c r="B1124" s="66" t="s">
        <v>863</v>
      </c>
      <c r="C1124" s="82">
        <v>1</v>
      </c>
      <c r="D1124" s="76" t="s">
        <v>864</v>
      </c>
      <c r="E1124" s="86" t="s">
        <v>131</v>
      </c>
      <c r="F1124" s="85">
        <v>81897719002</v>
      </c>
      <c r="G1124" s="71">
        <f t="shared" si="103"/>
        <v>38.409999999999997</v>
      </c>
      <c r="H1124" s="71">
        <f t="shared" si="104"/>
        <v>38.409999999999997</v>
      </c>
      <c r="I1124" s="71">
        <f t="shared" si="105"/>
        <v>38.409999999999997</v>
      </c>
      <c r="J1124" s="71">
        <f t="shared" si="106"/>
        <v>38.409999999999997</v>
      </c>
      <c r="K1124" s="72">
        <v>0</v>
      </c>
      <c r="M1124" s="58">
        <f>VLOOKUP(D1124,'TABELA DE PRECOS'!B:C,2,0)</f>
        <v>38.409999999999997</v>
      </c>
    </row>
    <row r="1125" spans="1:13" ht="15.75" customHeight="1" x14ac:dyDescent="0.25">
      <c r="A1125" s="65">
        <v>17</v>
      </c>
      <c r="B1125" s="66" t="s">
        <v>397</v>
      </c>
      <c r="C1125" s="82">
        <v>1</v>
      </c>
      <c r="D1125" s="76" t="s">
        <v>398</v>
      </c>
      <c r="E1125" s="86" t="s">
        <v>131</v>
      </c>
      <c r="F1125" s="85">
        <v>81897719002</v>
      </c>
      <c r="G1125" s="71">
        <f t="shared" si="103"/>
        <v>9.19</v>
      </c>
      <c r="H1125" s="71">
        <f t="shared" si="104"/>
        <v>9.19</v>
      </c>
      <c r="I1125" s="71">
        <f t="shared" si="105"/>
        <v>9.19</v>
      </c>
      <c r="J1125" s="71">
        <f t="shared" si="106"/>
        <v>9.19</v>
      </c>
      <c r="K1125" s="72">
        <v>0</v>
      </c>
      <c r="M1125" s="58">
        <f>VLOOKUP(D1125,'TABELA DE PRECOS'!B:C,2,0)</f>
        <v>9.19</v>
      </c>
    </row>
    <row r="1126" spans="1:13" ht="15.75" customHeight="1" x14ac:dyDescent="0.25">
      <c r="A1126" s="65">
        <v>18</v>
      </c>
      <c r="B1126" s="66" t="s">
        <v>1199</v>
      </c>
      <c r="C1126" s="82">
        <v>2</v>
      </c>
      <c r="D1126" s="76" t="s">
        <v>1200</v>
      </c>
      <c r="E1126" s="86" t="s">
        <v>131</v>
      </c>
      <c r="F1126" s="85">
        <v>81897719002</v>
      </c>
      <c r="G1126" s="71">
        <f t="shared" si="103"/>
        <v>46.720799999999997</v>
      </c>
      <c r="H1126" s="71">
        <f t="shared" si="104"/>
        <v>93.441599999999994</v>
      </c>
      <c r="I1126" s="71">
        <f t="shared" si="105"/>
        <v>46.720799999999997</v>
      </c>
      <c r="J1126" s="71">
        <f t="shared" si="106"/>
        <v>93.441599999999994</v>
      </c>
      <c r="K1126" s="72">
        <v>0</v>
      </c>
      <c r="M1126" s="58">
        <f>VLOOKUP(D1126,'TABELA DE PRECOS'!B:C,2,0)</f>
        <v>46.720799999999997</v>
      </c>
    </row>
    <row r="1127" spans="1:13" ht="15.75" customHeight="1" x14ac:dyDescent="0.25">
      <c r="A1127" s="65">
        <v>19</v>
      </c>
      <c r="B1127" s="66" t="s">
        <v>1201</v>
      </c>
      <c r="C1127" s="82">
        <v>2</v>
      </c>
      <c r="D1127" s="76" t="s">
        <v>1202</v>
      </c>
      <c r="E1127" s="86" t="s">
        <v>131</v>
      </c>
      <c r="F1127" s="85">
        <v>81897719002</v>
      </c>
      <c r="G1127" s="71">
        <f t="shared" si="103"/>
        <v>46.720799999999997</v>
      </c>
      <c r="H1127" s="71">
        <f t="shared" si="104"/>
        <v>93.441599999999994</v>
      </c>
      <c r="I1127" s="71">
        <f t="shared" si="105"/>
        <v>46.720799999999997</v>
      </c>
      <c r="J1127" s="71">
        <f t="shared" si="106"/>
        <v>93.441599999999994</v>
      </c>
      <c r="K1127" s="72">
        <v>0</v>
      </c>
      <c r="M1127" s="58">
        <f>VLOOKUP(D1127,'TABELA DE PRECOS'!B:C,2,0)</f>
        <v>46.720799999999997</v>
      </c>
    </row>
    <row r="1128" spans="1:13" ht="15.75" customHeight="1" x14ac:dyDescent="0.25">
      <c r="A1128" s="65">
        <v>20</v>
      </c>
      <c r="B1128" s="66" t="s">
        <v>195</v>
      </c>
      <c r="C1128" s="82">
        <v>1</v>
      </c>
      <c r="D1128" s="76" t="s">
        <v>196</v>
      </c>
      <c r="E1128" s="86" t="s">
        <v>131</v>
      </c>
      <c r="F1128" s="85">
        <v>81897719002</v>
      </c>
      <c r="G1128" s="71">
        <f t="shared" si="103"/>
        <v>9.0399999999999991</v>
      </c>
      <c r="H1128" s="71">
        <f t="shared" si="104"/>
        <v>9.0399999999999991</v>
      </c>
      <c r="I1128" s="71">
        <f t="shared" si="105"/>
        <v>9.0399999999999991</v>
      </c>
      <c r="J1128" s="71">
        <f t="shared" si="106"/>
        <v>9.0399999999999991</v>
      </c>
      <c r="K1128" s="72">
        <v>0</v>
      </c>
      <c r="M1128" s="58">
        <f>VLOOKUP(D1128,'TABELA DE PRECOS'!B:C,2,0)</f>
        <v>9.0399999999999991</v>
      </c>
    </row>
    <row r="1129" spans="1:13" ht="15.75" customHeight="1" x14ac:dyDescent="0.25">
      <c r="A1129" s="65">
        <v>21</v>
      </c>
      <c r="B1129" s="66" t="s">
        <v>332</v>
      </c>
      <c r="C1129" s="82">
        <v>1</v>
      </c>
      <c r="D1129" s="76" t="s">
        <v>333</v>
      </c>
      <c r="E1129" s="86" t="s">
        <v>131</v>
      </c>
      <c r="F1129" s="85">
        <v>81897719002</v>
      </c>
      <c r="G1129" s="71">
        <f t="shared" si="103"/>
        <v>17.19688</v>
      </c>
      <c r="H1129" s="71">
        <f t="shared" si="104"/>
        <v>17.19688</v>
      </c>
      <c r="I1129" s="71">
        <f t="shared" si="105"/>
        <v>17.19688</v>
      </c>
      <c r="J1129" s="71">
        <f t="shared" si="106"/>
        <v>17.19688</v>
      </c>
      <c r="K1129" s="72">
        <v>0</v>
      </c>
      <c r="M1129" s="58">
        <f>VLOOKUP(D1129,'TABELA DE PRECOS'!B:C,2,0)</f>
        <v>17.19688</v>
      </c>
    </row>
    <row r="1130" spans="1:13" ht="15.75" customHeight="1" x14ac:dyDescent="0.25">
      <c r="A1130" s="65">
        <v>22</v>
      </c>
      <c r="B1130" s="66" t="s">
        <v>399</v>
      </c>
      <c r="C1130" s="82">
        <v>1</v>
      </c>
      <c r="D1130" s="76" t="s">
        <v>400</v>
      </c>
      <c r="E1130" s="86" t="s">
        <v>131</v>
      </c>
      <c r="F1130" s="85">
        <v>81897719002</v>
      </c>
      <c r="G1130" s="71">
        <f t="shared" si="103"/>
        <v>8.85</v>
      </c>
      <c r="H1130" s="71">
        <f t="shared" si="104"/>
        <v>8.85</v>
      </c>
      <c r="I1130" s="71">
        <f t="shared" si="105"/>
        <v>8.85</v>
      </c>
      <c r="J1130" s="71">
        <f t="shared" si="106"/>
        <v>8.85</v>
      </c>
      <c r="K1130" s="72">
        <v>0</v>
      </c>
      <c r="M1130" s="58">
        <f>VLOOKUP(D1130,'TABELA DE PRECOS'!B:C,2,0)</f>
        <v>8.85</v>
      </c>
    </row>
    <row r="1131" spans="1:13" ht="15.75" customHeight="1" x14ac:dyDescent="0.25">
      <c r="A1131" s="65">
        <v>23</v>
      </c>
      <c r="B1131" s="66" t="s">
        <v>183</v>
      </c>
      <c r="C1131" s="82">
        <v>1</v>
      </c>
      <c r="D1131" s="76" t="s">
        <v>184</v>
      </c>
      <c r="E1131" s="86" t="s">
        <v>131</v>
      </c>
      <c r="F1131" s="85">
        <v>81897719002</v>
      </c>
      <c r="G1131" s="71">
        <f t="shared" si="103"/>
        <v>40.79</v>
      </c>
      <c r="H1131" s="71">
        <f t="shared" si="104"/>
        <v>40.79</v>
      </c>
      <c r="I1131" s="71">
        <f t="shared" si="105"/>
        <v>40.79</v>
      </c>
      <c r="J1131" s="71">
        <f t="shared" si="106"/>
        <v>40.79</v>
      </c>
      <c r="K1131" s="72">
        <v>0</v>
      </c>
      <c r="M1131" s="58">
        <f>VLOOKUP(D1131,'TABELA DE PRECOS'!B:C,2,0)</f>
        <v>40.79</v>
      </c>
    </row>
    <row r="1132" spans="1:13" ht="15.75" customHeight="1" x14ac:dyDescent="0.25">
      <c r="A1132" s="65">
        <v>24</v>
      </c>
      <c r="B1132" s="66" t="s">
        <v>679</v>
      </c>
      <c r="C1132" s="82">
        <v>1</v>
      </c>
      <c r="D1132" s="76" t="s">
        <v>680</v>
      </c>
      <c r="E1132" s="86" t="s">
        <v>131</v>
      </c>
      <c r="F1132" s="85">
        <v>81897719002</v>
      </c>
      <c r="G1132" s="71">
        <f t="shared" si="103"/>
        <v>10.19</v>
      </c>
      <c r="H1132" s="71">
        <f t="shared" si="104"/>
        <v>10.19</v>
      </c>
      <c r="I1132" s="71">
        <f t="shared" si="105"/>
        <v>10.19</v>
      </c>
      <c r="J1132" s="71">
        <f t="shared" si="106"/>
        <v>10.19</v>
      </c>
      <c r="K1132" s="72">
        <v>0</v>
      </c>
      <c r="M1132" s="58">
        <f>VLOOKUP(D1132,'TABELA DE PRECOS'!B:C,2,0)</f>
        <v>10.19</v>
      </c>
    </row>
    <row r="1133" spans="1:13" ht="15.75" customHeight="1" x14ac:dyDescent="0.25">
      <c r="A1133" s="65">
        <v>25</v>
      </c>
      <c r="B1133" s="66" t="s">
        <v>764</v>
      </c>
      <c r="C1133" s="82">
        <v>1</v>
      </c>
      <c r="D1133" s="76" t="s">
        <v>765</v>
      </c>
      <c r="E1133" s="86" t="s">
        <v>131</v>
      </c>
      <c r="F1133" s="85">
        <v>81897719002</v>
      </c>
      <c r="G1133" s="71">
        <f t="shared" si="103"/>
        <v>13.41</v>
      </c>
      <c r="H1133" s="71">
        <f t="shared" si="104"/>
        <v>13.41</v>
      </c>
      <c r="I1133" s="71">
        <f t="shared" si="105"/>
        <v>13.41</v>
      </c>
      <c r="J1133" s="71">
        <f t="shared" si="106"/>
        <v>13.41</v>
      </c>
      <c r="K1133" s="72">
        <v>0</v>
      </c>
      <c r="M1133" s="58">
        <f>VLOOKUP(D1133,'TABELA DE PRECOS'!B:C,2,0)</f>
        <v>13.41</v>
      </c>
    </row>
    <row r="1134" spans="1:13" ht="15.75" customHeight="1" x14ac:dyDescent="0.25">
      <c r="A1134" s="65">
        <v>26</v>
      </c>
      <c r="B1134" s="66" t="s">
        <v>328</v>
      </c>
      <c r="C1134" s="82">
        <v>1</v>
      </c>
      <c r="D1134" s="76" t="s">
        <v>329</v>
      </c>
      <c r="E1134" s="86" t="s">
        <v>131</v>
      </c>
      <c r="F1134" s="85">
        <v>81897719002</v>
      </c>
      <c r="G1134" s="71">
        <f t="shared" si="103"/>
        <v>10.92</v>
      </c>
      <c r="H1134" s="71">
        <f t="shared" si="104"/>
        <v>10.92</v>
      </c>
      <c r="I1134" s="71">
        <f t="shared" si="105"/>
        <v>10.92</v>
      </c>
      <c r="J1134" s="71">
        <f t="shared" si="106"/>
        <v>10.92</v>
      </c>
      <c r="K1134" s="72">
        <v>0</v>
      </c>
      <c r="M1134" s="58">
        <f>VLOOKUP(D1134,'TABELA DE PRECOS'!B:C,2,0)</f>
        <v>10.92</v>
      </c>
    </row>
    <row r="1135" spans="1:13" ht="15.75" customHeight="1" x14ac:dyDescent="0.25">
      <c r="A1135" s="65">
        <v>27</v>
      </c>
      <c r="B1135" s="66" t="s">
        <v>1203</v>
      </c>
      <c r="C1135" s="82">
        <v>1</v>
      </c>
      <c r="D1135" s="76" t="s">
        <v>1204</v>
      </c>
      <c r="E1135" s="86" t="s">
        <v>131</v>
      </c>
      <c r="F1135" s="85">
        <v>81897719002</v>
      </c>
      <c r="G1135" s="71">
        <f t="shared" si="103"/>
        <v>41.232959999999999</v>
      </c>
      <c r="H1135" s="71">
        <f t="shared" si="104"/>
        <v>41.232959999999999</v>
      </c>
      <c r="I1135" s="71">
        <f t="shared" si="105"/>
        <v>41.232959999999999</v>
      </c>
      <c r="J1135" s="71">
        <f t="shared" si="106"/>
        <v>41.232959999999999</v>
      </c>
      <c r="K1135" s="72">
        <v>0</v>
      </c>
      <c r="M1135" s="58">
        <f>VLOOKUP(D1135,'TABELA DE PRECOS'!B:C,2,0)</f>
        <v>41.232959999999999</v>
      </c>
    </row>
    <row r="1136" spans="1:13" ht="15.75" customHeight="1" x14ac:dyDescent="0.25">
      <c r="A1136" s="65">
        <v>28</v>
      </c>
      <c r="B1136" s="66" t="s">
        <v>830</v>
      </c>
      <c r="C1136" s="82">
        <v>1</v>
      </c>
      <c r="D1136" s="76" t="s">
        <v>831</v>
      </c>
      <c r="E1136" s="86" t="s">
        <v>131</v>
      </c>
      <c r="F1136" s="85">
        <v>81897719002</v>
      </c>
      <c r="G1136" s="71">
        <f t="shared" si="103"/>
        <v>30.224320000000002</v>
      </c>
      <c r="H1136" s="71">
        <f t="shared" si="104"/>
        <v>30.224320000000002</v>
      </c>
      <c r="I1136" s="71">
        <f t="shared" si="105"/>
        <v>30.224320000000002</v>
      </c>
      <c r="J1136" s="71">
        <f t="shared" si="106"/>
        <v>30.224320000000002</v>
      </c>
      <c r="K1136" s="72">
        <v>0</v>
      </c>
      <c r="M1136" s="58">
        <f>VLOOKUP(D1136,'TABELA DE PRECOS'!B:C,2,0)</f>
        <v>30.224320000000002</v>
      </c>
    </row>
    <row r="1137" spans="1:13" ht="15" customHeight="1" x14ac:dyDescent="0.25">
      <c r="A1137" s="65">
        <v>29</v>
      </c>
      <c r="B1137" s="66" t="s">
        <v>185</v>
      </c>
      <c r="C1137" s="82">
        <v>6</v>
      </c>
      <c r="D1137" s="76" t="s">
        <v>186</v>
      </c>
      <c r="E1137" s="86" t="s">
        <v>131</v>
      </c>
      <c r="F1137" s="85">
        <v>81897719002</v>
      </c>
      <c r="G1137" s="71">
        <f t="shared" si="103"/>
        <v>17.28</v>
      </c>
      <c r="H1137" s="71">
        <f t="shared" si="104"/>
        <v>103.68</v>
      </c>
      <c r="I1137" s="71">
        <f t="shared" si="105"/>
        <v>17.28</v>
      </c>
      <c r="J1137" s="71">
        <f t="shared" si="106"/>
        <v>103.68</v>
      </c>
      <c r="K1137" s="72">
        <v>0</v>
      </c>
      <c r="M1137" s="58">
        <f>VLOOKUP(D1137,'TABELA DE PRECOS'!B:C,2,0)</f>
        <v>17.28</v>
      </c>
    </row>
    <row r="1138" spans="1:13" ht="15.75" customHeight="1" x14ac:dyDescent="0.25">
      <c r="A1138" s="65">
        <v>30</v>
      </c>
      <c r="B1138" s="66" t="s">
        <v>314</v>
      </c>
      <c r="C1138" s="82">
        <v>2</v>
      </c>
      <c r="D1138" s="76" t="s">
        <v>315</v>
      </c>
      <c r="E1138" s="86" t="s">
        <v>131</v>
      </c>
      <c r="F1138" s="85">
        <v>81897719002</v>
      </c>
      <c r="G1138" s="71">
        <f t="shared" si="103"/>
        <v>55.459440000000001</v>
      </c>
      <c r="H1138" s="71">
        <f t="shared" si="104"/>
        <v>110.91888</v>
      </c>
      <c r="I1138" s="71">
        <f t="shared" si="105"/>
        <v>55.459440000000001</v>
      </c>
      <c r="J1138" s="71">
        <f t="shared" si="106"/>
        <v>110.91888</v>
      </c>
      <c r="K1138" s="72">
        <v>0</v>
      </c>
      <c r="M1138" s="58">
        <f>VLOOKUP(D1138,'TABELA DE PRECOS'!B:C,2,0)</f>
        <v>55.459440000000001</v>
      </c>
    </row>
    <row r="1139" spans="1:13" ht="15.75" customHeight="1" x14ac:dyDescent="0.25">
      <c r="A1139" s="65">
        <v>31</v>
      </c>
      <c r="B1139" s="66" t="s">
        <v>187</v>
      </c>
      <c r="C1139" s="82">
        <v>6</v>
      </c>
      <c r="D1139" s="76" t="s">
        <v>188</v>
      </c>
      <c r="E1139" s="86" t="s">
        <v>131</v>
      </c>
      <c r="F1139" s="85">
        <v>81897719002</v>
      </c>
      <c r="G1139" s="71">
        <f t="shared" si="103"/>
        <v>15.95</v>
      </c>
      <c r="H1139" s="71">
        <f t="shared" si="104"/>
        <v>95.699999999999989</v>
      </c>
      <c r="I1139" s="71">
        <f t="shared" si="105"/>
        <v>15.95</v>
      </c>
      <c r="J1139" s="71">
        <f t="shared" si="106"/>
        <v>95.699999999999989</v>
      </c>
      <c r="K1139" s="72">
        <v>0</v>
      </c>
      <c r="M1139" s="58">
        <f>VLOOKUP(D1139,'TABELA DE PRECOS'!B:C,2,0)</f>
        <v>15.95</v>
      </c>
    </row>
    <row r="1140" spans="1:13" ht="15.75" customHeight="1" x14ac:dyDescent="0.25">
      <c r="A1140" s="65">
        <v>32</v>
      </c>
      <c r="B1140" s="66" t="s">
        <v>419</v>
      </c>
      <c r="C1140" s="82">
        <v>10</v>
      </c>
      <c r="D1140" s="76" t="s">
        <v>420</v>
      </c>
      <c r="E1140" s="86" t="s">
        <v>131</v>
      </c>
      <c r="F1140" s="85">
        <v>81897719002</v>
      </c>
      <c r="G1140" s="71">
        <f t="shared" si="103"/>
        <v>16.52</v>
      </c>
      <c r="H1140" s="71">
        <f t="shared" si="104"/>
        <v>165.2</v>
      </c>
      <c r="I1140" s="71">
        <f t="shared" si="105"/>
        <v>16.52</v>
      </c>
      <c r="J1140" s="71">
        <f t="shared" si="106"/>
        <v>165.2</v>
      </c>
      <c r="K1140" s="72">
        <v>0</v>
      </c>
      <c r="M1140" s="58">
        <f>VLOOKUP(D1140,'TABELA DE PRECOS'!B:C,2,0)</f>
        <v>16.52</v>
      </c>
    </row>
    <row r="1141" spans="1:13" ht="15.75" customHeight="1" x14ac:dyDescent="0.25">
      <c r="A1141" s="65">
        <v>33</v>
      </c>
      <c r="B1141" s="66" t="s">
        <v>342</v>
      </c>
      <c r="C1141" s="82">
        <v>6</v>
      </c>
      <c r="D1141" s="76" t="s">
        <v>343</v>
      </c>
      <c r="E1141" s="86" t="s">
        <v>131</v>
      </c>
      <c r="F1141" s="85">
        <v>81897719002</v>
      </c>
      <c r="G1141" s="71">
        <f t="shared" si="103"/>
        <v>21.43</v>
      </c>
      <c r="H1141" s="71">
        <f t="shared" si="104"/>
        <v>128.57999999999998</v>
      </c>
      <c r="I1141" s="71">
        <f t="shared" si="105"/>
        <v>21.43</v>
      </c>
      <c r="J1141" s="71">
        <f t="shared" si="106"/>
        <v>128.57999999999998</v>
      </c>
      <c r="K1141" s="72">
        <v>0</v>
      </c>
      <c r="M1141" s="58">
        <f>VLOOKUP(D1141,'TABELA DE PRECOS'!B:C,2,0)</f>
        <v>21.43</v>
      </c>
    </row>
    <row r="1142" spans="1:13" ht="15.75" customHeight="1" x14ac:dyDescent="0.25">
      <c r="A1142" s="65">
        <v>34</v>
      </c>
      <c r="B1142" s="66" t="s">
        <v>324</v>
      </c>
      <c r="C1142" s="82">
        <v>4</v>
      </c>
      <c r="D1142" s="76" t="s">
        <v>325</v>
      </c>
      <c r="E1142" s="86" t="s">
        <v>131</v>
      </c>
      <c r="F1142" s="85">
        <v>81897719002</v>
      </c>
      <c r="G1142" s="71">
        <f t="shared" si="103"/>
        <v>23.7636</v>
      </c>
      <c r="H1142" s="71">
        <f t="shared" si="104"/>
        <v>95.054400000000001</v>
      </c>
      <c r="I1142" s="71">
        <f t="shared" si="105"/>
        <v>23.7636</v>
      </c>
      <c r="J1142" s="71">
        <f t="shared" si="106"/>
        <v>95.054400000000001</v>
      </c>
      <c r="K1142" s="72">
        <v>0</v>
      </c>
      <c r="M1142" s="58">
        <f>VLOOKUP(D1142,'TABELA DE PRECOS'!B:C,2,0)</f>
        <v>23.7636</v>
      </c>
    </row>
    <row r="1143" spans="1:13" ht="15.75" customHeight="1" x14ac:dyDescent="0.25">
      <c r="A1143" s="65">
        <v>35</v>
      </c>
      <c r="B1143" s="66" t="s">
        <v>350</v>
      </c>
      <c r="C1143" s="82">
        <v>4</v>
      </c>
      <c r="D1143" s="76" t="s">
        <v>351</v>
      </c>
      <c r="E1143" s="86" t="s">
        <v>131</v>
      </c>
      <c r="F1143" s="85">
        <v>81897719002</v>
      </c>
      <c r="G1143" s="71">
        <f t="shared" si="103"/>
        <v>18.89472</v>
      </c>
      <c r="H1143" s="71">
        <f t="shared" si="104"/>
        <v>75.578879999999998</v>
      </c>
      <c r="I1143" s="71">
        <f t="shared" si="105"/>
        <v>18.89472</v>
      </c>
      <c r="J1143" s="71">
        <f t="shared" si="106"/>
        <v>75.578879999999998</v>
      </c>
      <c r="K1143" s="72">
        <v>0</v>
      </c>
      <c r="M1143" s="58">
        <f>VLOOKUP(D1143,'TABELA DE PRECOS'!B:C,2,0)</f>
        <v>18.89472</v>
      </c>
    </row>
    <row r="1144" spans="1:13" ht="15.75" customHeight="1" x14ac:dyDescent="0.25">
      <c r="A1144" s="65">
        <v>36</v>
      </c>
      <c r="B1144" s="66" t="s">
        <v>193</v>
      </c>
      <c r="C1144" s="82">
        <v>3</v>
      </c>
      <c r="D1144" s="76" t="s">
        <v>194</v>
      </c>
      <c r="E1144" s="86" t="s">
        <v>131</v>
      </c>
      <c r="F1144" s="85">
        <v>81897719002</v>
      </c>
      <c r="G1144" s="71">
        <f t="shared" si="103"/>
        <v>24.34432</v>
      </c>
      <c r="H1144" s="71">
        <f t="shared" si="104"/>
        <v>73.032960000000003</v>
      </c>
      <c r="I1144" s="71">
        <f t="shared" si="105"/>
        <v>24.34432</v>
      </c>
      <c r="J1144" s="71">
        <f t="shared" si="106"/>
        <v>73.032960000000003</v>
      </c>
      <c r="K1144" s="72">
        <v>0</v>
      </c>
      <c r="M1144" s="58">
        <f>VLOOKUP(D1144,'TABELA DE PRECOS'!B:C,2,0)</f>
        <v>24.34432</v>
      </c>
    </row>
    <row r="1145" spans="1:13" ht="15.75" customHeight="1" x14ac:dyDescent="0.25">
      <c r="A1145" s="65">
        <v>37</v>
      </c>
      <c r="B1145" s="66" t="s">
        <v>153</v>
      </c>
      <c r="C1145" s="82">
        <v>2</v>
      </c>
      <c r="D1145" s="76" t="s">
        <v>154</v>
      </c>
      <c r="E1145" s="86" t="s">
        <v>131</v>
      </c>
      <c r="F1145" s="85">
        <v>81897719002</v>
      </c>
      <c r="G1145" s="71">
        <f t="shared" si="103"/>
        <v>17.19688</v>
      </c>
      <c r="H1145" s="71">
        <f t="shared" si="104"/>
        <v>34.39376</v>
      </c>
      <c r="I1145" s="71">
        <f t="shared" si="105"/>
        <v>17.19688</v>
      </c>
      <c r="J1145" s="71">
        <f t="shared" si="106"/>
        <v>34.39376</v>
      </c>
      <c r="K1145" s="72">
        <v>0</v>
      </c>
      <c r="M1145" s="58">
        <f>VLOOKUP(D1145,'TABELA DE PRECOS'!B:C,2,0)</f>
        <v>17.19688</v>
      </c>
    </row>
    <row r="1146" spans="1:13" ht="15.75" customHeight="1" x14ac:dyDescent="0.25">
      <c r="A1146" s="65">
        <v>38</v>
      </c>
      <c r="B1146" s="66" t="s">
        <v>1205</v>
      </c>
      <c r="C1146" s="82">
        <v>2</v>
      </c>
      <c r="D1146" s="76" t="s">
        <v>1206</v>
      </c>
      <c r="E1146" s="86" t="s">
        <v>131</v>
      </c>
      <c r="F1146" s="85">
        <v>81897719002</v>
      </c>
      <c r="G1146" s="71">
        <f t="shared" si="103"/>
        <v>27.505120000000002</v>
      </c>
      <c r="H1146" s="71">
        <f t="shared" si="104"/>
        <v>55.010240000000003</v>
      </c>
      <c r="I1146" s="71">
        <f t="shared" si="105"/>
        <v>27.505120000000002</v>
      </c>
      <c r="J1146" s="71">
        <f t="shared" si="106"/>
        <v>55.010240000000003</v>
      </c>
      <c r="K1146" s="72">
        <v>0</v>
      </c>
      <c r="M1146" s="58">
        <f>VLOOKUP(D1146,'TABELA DE PRECOS'!B:C,2,0)</f>
        <v>27.505120000000002</v>
      </c>
    </row>
    <row r="1147" spans="1:13" ht="15.75" customHeight="1" x14ac:dyDescent="0.25">
      <c r="A1147" s="65">
        <v>39</v>
      </c>
      <c r="B1147" s="66" t="s">
        <v>770</v>
      </c>
      <c r="C1147" s="82">
        <v>2</v>
      </c>
      <c r="D1147" s="76" t="s">
        <v>771</v>
      </c>
      <c r="E1147" s="86" t="s">
        <v>131</v>
      </c>
      <c r="F1147" s="85">
        <v>81897719002</v>
      </c>
      <c r="G1147" s="71">
        <f t="shared" si="103"/>
        <v>9.19</v>
      </c>
      <c r="H1147" s="71">
        <f t="shared" si="104"/>
        <v>18.38</v>
      </c>
      <c r="I1147" s="71">
        <f t="shared" si="105"/>
        <v>9.19</v>
      </c>
      <c r="J1147" s="71">
        <f t="shared" si="106"/>
        <v>18.38</v>
      </c>
      <c r="K1147" s="72">
        <v>0</v>
      </c>
      <c r="M1147" s="58">
        <f>VLOOKUP(D1147,'TABELA DE PRECOS'!B:C,2,0)</f>
        <v>9.19</v>
      </c>
    </row>
    <row r="1148" spans="1:13" ht="15.75" customHeight="1" x14ac:dyDescent="0.25">
      <c r="A1148" s="65">
        <v>40</v>
      </c>
      <c r="B1148" s="66" t="s">
        <v>344</v>
      </c>
      <c r="C1148" s="82">
        <v>6</v>
      </c>
      <c r="D1148" s="76" t="s">
        <v>345</v>
      </c>
      <c r="E1148" s="86" t="s">
        <v>131</v>
      </c>
      <c r="F1148" s="85">
        <v>81897719002</v>
      </c>
      <c r="G1148" s="71">
        <f t="shared" si="103"/>
        <v>18.12</v>
      </c>
      <c r="H1148" s="71">
        <f t="shared" si="104"/>
        <v>108.72</v>
      </c>
      <c r="I1148" s="71">
        <f t="shared" si="105"/>
        <v>18.12</v>
      </c>
      <c r="J1148" s="71">
        <f t="shared" si="106"/>
        <v>108.72</v>
      </c>
      <c r="K1148" s="72">
        <v>0</v>
      </c>
      <c r="M1148" s="58">
        <f>VLOOKUP(D1148,'TABELA DE PRECOS'!B:C,2,0)</f>
        <v>18.12</v>
      </c>
    </row>
    <row r="1149" spans="1:13" ht="15.75" customHeight="1" x14ac:dyDescent="0.25">
      <c r="A1149" s="65">
        <v>41</v>
      </c>
      <c r="B1149" s="66" t="s">
        <v>1207</v>
      </c>
      <c r="C1149" s="82">
        <v>2</v>
      </c>
      <c r="D1149" s="76" t="s">
        <v>1208</v>
      </c>
      <c r="E1149" s="86" t="s">
        <v>131</v>
      </c>
      <c r="F1149" s="85">
        <v>81897719002</v>
      </c>
      <c r="G1149" s="71">
        <f t="shared" si="103"/>
        <v>41.232959999999999</v>
      </c>
      <c r="H1149" s="71">
        <f t="shared" si="104"/>
        <v>82.465919999999997</v>
      </c>
      <c r="I1149" s="71">
        <f t="shared" si="105"/>
        <v>41.232959999999999</v>
      </c>
      <c r="J1149" s="71">
        <f t="shared" si="106"/>
        <v>82.465919999999997</v>
      </c>
      <c r="K1149" s="72">
        <v>0</v>
      </c>
      <c r="M1149" s="58">
        <f>VLOOKUP(D1149,'TABELA DE PRECOS'!B:C,2,0)</f>
        <v>41.232959999999999</v>
      </c>
    </row>
    <row r="1150" spans="1:13" ht="15.75" customHeight="1" x14ac:dyDescent="0.25">
      <c r="A1150" s="65">
        <v>42</v>
      </c>
      <c r="B1150" t="s">
        <v>1639</v>
      </c>
      <c r="C1150" s="82">
        <v>2</v>
      </c>
      <c r="D1150" s="76" t="s">
        <v>1210</v>
      </c>
      <c r="E1150" s="86" t="s">
        <v>131</v>
      </c>
      <c r="F1150" s="85">
        <v>81897710023</v>
      </c>
      <c r="G1150" s="71">
        <f t="shared" si="103"/>
        <v>39.979999999999997</v>
      </c>
      <c r="H1150" s="71">
        <f t="shared" si="104"/>
        <v>79.959999999999994</v>
      </c>
      <c r="I1150" s="71">
        <f t="shared" si="105"/>
        <v>39.979999999999997</v>
      </c>
      <c r="J1150" s="71">
        <f t="shared" si="106"/>
        <v>79.959999999999994</v>
      </c>
      <c r="K1150" s="72">
        <v>0</v>
      </c>
      <c r="M1150" s="58">
        <f>VLOOKUP(D1150,'TABELA DE PRECOS'!B:C,2,0)</f>
        <v>39.979999999999997</v>
      </c>
    </row>
    <row r="1151" spans="1:13" ht="15.75" customHeight="1" x14ac:dyDescent="0.25">
      <c r="A1151" s="65">
        <v>43</v>
      </c>
      <c r="B1151" s="66" t="s">
        <v>1211</v>
      </c>
      <c r="C1151" s="82">
        <v>10</v>
      </c>
      <c r="D1151" s="76" t="s">
        <v>1212</v>
      </c>
      <c r="E1151" s="86" t="s">
        <v>131</v>
      </c>
      <c r="F1151" s="85">
        <v>81897719002</v>
      </c>
      <c r="G1151" s="71">
        <f t="shared" si="103"/>
        <v>32.984720000000003</v>
      </c>
      <c r="H1151" s="71">
        <f t="shared" si="104"/>
        <v>329.84720000000004</v>
      </c>
      <c r="I1151" s="71">
        <f t="shared" si="105"/>
        <v>32.984720000000003</v>
      </c>
      <c r="J1151" s="71">
        <f t="shared" si="106"/>
        <v>329.84720000000004</v>
      </c>
      <c r="K1151" s="72">
        <v>0</v>
      </c>
      <c r="M1151" s="58">
        <f>VLOOKUP(D1151,'TABELA DE PRECOS'!B:C,2,0)</f>
        <v>32.984720000000003</v>
      </c>
    </row>
    <row r="1152" spans="1:13" ht="15.75" customHeight="1" x14ac:dyDescent="0.25">
      <c r="A1152" s="65">
        <v>44</v>
      </c>
      <c r="B1152" s="66" t="s">
        <v>1213</v>
      </c>
      <c r="C1152" s="82">
        <v>1</v>
      </c>
      <c r="D1152" s="76" t="s">
        <v>1214</v>
      </c>
      <c r="E1152" s="86" t="s">
        <v>131</v>
      </c>
      <c r="F1152" s="85">
        <v>81897719002</v>
      </c>
      <c r="G1152" s="71">
        <f t="shared" si="103"/>
        <v>94.648320000000012</v>
      </c>
      <c r="H1152" s="71">
        <f t="shared" si="104"/>
        <v>94.648320000000012</v>
      </c>
      <c r="I1152" s="71">
        <f t="shared" si="105"/>
        <v>94.648320000000012</v>
      </c>
      <c r="J1152" s="71">
        <f t="shared" si="106"/>
        <v>94.648320000000012</v>
      </c>
      <c r="K1152" s="72">
        <v>0</v>
      </c>
      <c r="M1152" s="58">
        <f>VLOOKUP(D1152,'TABELA DE PRECOS'!B:C,2,0)</f>
        <v>94.648320000000012</v>
      </c>
    </row>
    <row r="1153" spans="1:13" ht="15.75" customHeight="1" x14ac:dyDescent="0.25">
      <c r="A1153" s="65">
        <v>45</v>
      </c>
      <c r="B1153" s="66" t="s">
        <v>203</v>
      </c>
      <c r="C1153" s="82">
        <v>1</v>
      </c>
      <c r="D1153" s="76" t="s">
        <v>204</v>
      </c>
      <c r="E1153" s="86" t="s">
        <v>131</v>
      </c>
      <c r="F1153" s="85">
        <v>81897719003</v>
      </c>
      <c r="G1153" s="71">
        <f t="shared" si="103"/>
        <v>70.994559999999993</v>
      </c>
      <c r="H1153" s="71">
        <f t="shared" si="104"/>
        <v>70.994559999999993</v>
      </c>
      <c r="I1153" s="71">
        <f t="shared" si="105"/>
        <v>70.994559999999993</v>
      </c>
      <c r="J1153" s="71">
        <f t="shared" si="106"/>
        <v>70.994559999999993</v>
      </c>
      <c r="K1153" s="72">
        <v>0</v>
      </c>
      <c r="M1153" s="58">
        <f>VLOOKUP(D1153,'TABELA DE PRECOS'!B:C,2,0)</f>
        <v>70.994559999999993</v>
      </c>
    </row>
    <row r="1154" spans="1:13" ht="15.75" customHeight="1" x14ac:dyDescent="0.25">
      <c r="A1154" s="65">
        <v>46</v>
      </c>
      <c r="B1154" s="66" t="s">
        <v>209</v>
      </c>
      <c r="C1154" s="82">
        <v>1</v>
      </c>
      <c r="D1154" s="76" t="s">
        <v>210</v>
      </c>
      <c r="E1154" s="86" t="s">
        <v>131</v>
      </c>
      <c r="F1154" s="85">
        <v>81897719003</v>
      </c>
      <c r="G1154" s="71">
        <f t="shared" si="103"/>
        <v>73.489999999999995</v>
      </c>
      <c r="H1154" s="71">
        <f t="shared" si="104"/>
        <v>73.489999999999995</v>
      </c>
      <c r="I1154" s="71">
        <f t="shared" si="105"/>
        <v>73.489999999999995</v>
      </c>
      <c r="J1154" s="71">
        <f t="shared" si="106"/>
        <v>73.489999999999995</v>
      </c>
      <c r="K1154" s="72">
        <v>0</v>
      </c>
      <c r="M1154" s="58">
        <f>VLOOKUP(D1154,'TABELA DE PRECOS'!B:C,2,0)</f>
        <v>73.489999999999995</v>
      </c>
    </row>
    <row r="1155" spans="1:13" ht="15.75" customHeight="1" x14ac:dyDescent="0.25">
      <c r="A1155" s="65">
        <v>47</v>
      </c>
      <c r="B1155" s="66" t="s">
        <v>796</v>
      </c>
      <c r="C1155" s="82">
        <v>1</v>
      </c>
      <c r="D1155" s="76" t="s">
        <v>797</v>
      </c>
      <c r="E1155" s="86" t="s">
        <v>131</v>
      </c>
      <c r="F1155" s="85">
        <v>81897719003</v>
      </c>
      <c r="G1155" s="71">
        <f t="shared" si="103"/>
        <v>68.77</v>
      </c>
      <c r="H1155" s="71">
        <f t="shared" si="104"/>
        <v>68.77</v>
      </c>
      <c r="I1155" s="71">
        <f t="shared" si="105"/>
        <v>68.77</v>
      </c>
      <c r="J1155" s="71">
        <f t="shared" si="106"/>
        <v>68.77</v>
      </c>
      <c r="K1155" s="72">
        <v>0</v>
      </c>
      <c r="M1155" s="58">
        <f>VLOOKUP(D1155,'TABELA DE PRECOS'!B:C,2,0)</f>
        <v>68.77</v>
      </c>
    </row>
    <row r="1156" spans="1:13" ht="15.75" customHeight="1" x14ac:dyDescent="0.25">
      <c r="A1156" s="65">
        <v>48</v>
      </c>
      <c r="B1156" s="66" t="s">
        <v>258</v>
      </c>
      <c r="C1156" s="82">
        <v>1</v>
      </c>
      <c r="D1156" s="76" t="s">
        <v>259</v>
      </c>
      <c r="E1156" s="86" t="s">
        <v>131</v>
      </c>
      <c r="F1156" s="85">
        <v>81897719003</v>
      </c>
      <c r="G1156" s="71">
        <f t="shared" si="103"/>
        <v>101.56</v>
      </c>
      <c r="H1156" s="71">
        <f t="shared" si="104"/>
        <v>101.56</v>
      </c>
      <c r="I1156" s="71">
        <f t="shared" si="105"/>
        <v>101.56</v>
      </c>
      <c r="J1156" s="71">
        <f t="shared" si="106"/>
        <v>101.56</v>
      </c>
      <c r="K1156" s="72">
        <v>0</v>
      </c>
      <c r="M1156" s="58">
        <f>VLOOKUP(D1156,'TABELA DE PRECOS'!B:C,2,0)</f>
        <v>101.56</v>
      </c>
    </row>
    <row r="1157" spans="1:13" ht="15.75" customHeight="1" x14ac:dyDescent="0.25">
      <c r="A1157" s="65">
        <v>49</v>
      </c>
      <c r="B1157" t="s">
        <v>1640</v>
      </c>
      <c r="C1157" s="82">
        <v>4</v>
      </c>
      <c r="D1157" s="76" t="s">
        <v>1216</v>
      </c>
      <c r="E1157" s="86" t="s">
        <v>131</v>
      </c>
      <c r="F1157" s="85">
        <v>81897719002</v>
      </c>
      <c r="G1157" s="71">
        <f t="shared" si="103"/>
        <v>38.67</v>
      </c>
      <c r="H1157" s="71">
        <f t="shared" si="104"/>
        <v>154.68</v>
      </c>
      <c r="I1157" s="71">
        <f t="shared" si="105"/>
        <v>38.67</v>
      </c>
      <c r="J1157" s="71">
        <f t="shared" si="106"/>
        <v>154.68</v>
      </c>
      <c r="K1157" s="72">
        <v>0</v>
      </c>
      <c r="M1157" s="58">
        <f>VLOOKUP(D1157,'TABELA DE PRECOS'!B:C,2,0)</f>
        <v>38.67</v>
      </c>
    </row>
    <row r="1158" spans="1:13" ht="15.75" customHeight="1" x14ac:dyDescent="0.25">
      <c r="A1158" s="65">
        <v>50</v>
      </c>
      <c r="B1158" s="84" t="s">
        <v>366</v>
      </c>
      <c r="C1158" s="73">
        <v>1</v>
      </c>
      <c r="D1158" s="85" t="s">
        <v>367</v>
      </c>
      <c r="E1158" s="86" t="s">
        <v>131</v>
      </c>
      <c r="F1158" s="85">
        <v>81897719002</v>
      </c>
      <c r="G1158" s="71">
        <f t="shared" si="103"/>
        <v>18.7</v>
      </c>
      <c r="H1158" s="71">
        <f t="shared" si="104"/>
        <v>18.7</v>
      </c>
      <c r="I1158" s="71">
        <f t="shared" si="105"/>
        <v>18.7</v>
      </c>
      <c r="J1158" s="71">
        <f t="shared" si="106"/>
        <v>18.7</v>
      </c>
      <c r="K1158" s="72">
        <v>0</v>
      </c>
      <c r="M1158" s="58">
        <f>VLOOKUP(D1158,'TABELA DE PRECOS'!B:C,2,0)</f>
        <v>18.7</v>
      </c>
    </row>
    <row r="1159" spans="1:13" ht="15.75" customHeight="1" x14ac:dyDescent="0.25">
      <c r="A1159" s="65">
        <v>51</v>
      </c>
      <c r="B1159" s="84" t="s">
        <v>368</v>
      </c>
      <c r="C1159" s="73">
        <v>1</v>
      </c>
      <c r="D1159" s="85" t="s">
        <v>369</v>
      </c>
      <c r="E1159" s="86" t="s">
        <v>131</v>
      </c>
      <c r="F1159" s="85">
        <v>81897719002</v>
      </c>
      <c r="G1159" s="71">
        <f t="shared" si="103"/>
        <v>18.22</v>
      </c>
      <c r="H1159" s="71">
        <f t="shared" si="104"/>
        <v>18.22</v>
      </c>
      <c r="I1159" s="71">
        <f t="shared" si="105"/>
        <v>18.22</v>
      </c>
      <c r="J1159" s="71">
        <f t="shared" si="106"/>
        <v>18.22</v>
      </c>
      <c r="K1159" s="72">
        <v>0</v>
      </c>
      <c r="M1159" s="58">
        <f>VLOOKUP(D1159,'TABELA DE PRECOS'!B:C,2,0)</f>
        <v>18.22</v>
      </c>
    </row>
    <row r="1160" spans="1:13" ht="15.75" customHeight="1" x14ac:dyDescent="0.25">
      <c r="A1160" s="65">
        <v>52</v>
      </c>
      <c r="B1160" s="84" t="s">
        <v>532</v>
      </c>
      <c r="C1160" s="73">
        <v>1</v>
      </c>
      <c r="D1160" s="85" t="s">
        <v>533</v>
      </c>
      <c r="E1160" s="86" t="s">
        <v>131</v>
      </c>
      <c r="F1160" s="85">
        <v>81897719002</v>
      </c>
      <c r="G1160" s="71">
        <f t="shared" si="103"/>
        <v>19.84</v>
      </c>
      <c r="H1160" s="71">
        <f t="shared" si="104"/>
        <v>19.84</v>
      </c>
      <c r="I1160" s="71">
        <f t="shared" si="105"/>
        <v>19.84</v>
      </c>
      <c r="J1160" s="71">
        <f t="shared" si="106"/>
        <v>19.84</v>
      </c>
      <c r="K1160" s="72">
        <v>0</v>
      </c>
      <c r="M1160" s="58">
        <f>VLOOKUP(D1160,'TABELA DE PRECOS'!B:C,2,0)</f>
        <v>19.84</v>
      </c>
    </row>
    <row r="1161" spans="1:13" ht="15.75" customHeight="1" x14ac:dyDescent="0.25">
      <c r="A1161" s="65">
        <v>53</v>
      </c>
      <c r="B1161" s="84" t="s">
        <v>370</v>
      </c>
      <c r="C1161" s="73">
        <v>1</v>
      </c>
      <c r="D1161" s="85" t="s">
        <v>371</v>
      </c>
      <c r="E1161" s="86" t="s">
        <v>131</v>
      </c>
      <c r="F1161" s="85">
        <v>81897719002</v>
      </c>
      <c r="G1161" s="71">
        <f t="shared" si="103"/>
        <v>19.41</v>
      </c>
      <c r="H1161" s="71">
        <f t="shared" si="104"/>
        <v>19.41</v>
      </c>
      <c r="I1161" s="71">
        <f t="shared" si="105"/>
        <v>19.41</v>
      </c>
      <c r="J1161" s="71">
        <f t="shared" si="106"/>
        <v>19.41</v>
      </c>
      <c r="K1161" s="72">
        <v>0</v>
      </c>
      <c r="M1161" s="58">
        <f>VLOOKUP(D1161,'TABELA DE PRECOS'!B:C,2,0)</f>
        <v>19.41</v>
      </c>
    </row>
    <row r="1162" spans="1:13" ht="15.75" customHeight="1" x14ac:dyDescent="0.25">
      <c r="A1162" s="65">
        <v>54</v>
      </c>
      <c r="B1162" s="84" t="s">
        <v>215</v>
      </c>
      <c r="C1162" s="73">
        <v>1</v>
      </c>
      <c r="D1162" s="85" t="s">
        <v>216</v>
      </c>
      <c r="E1162" s="86" t="s">
        <v>131</v>
      </c>
      <c r="F1162" s="85">
        <v>81897719002</v>
      </c>
      <c r="G1162" s="71">
        <f t="shared" si="103"/>
        <v>26.207999999999998</v>
      </c>
      <c r="H1162" s="71">
        <f t="shared" si="104"/>
        <v>26.207999999999998</v>
      </c>
      <c r="I1162" s="71">
        <f t="shared" si="105"/>
        <v>26.207999999999998</v>
      </c>
      <c r="J1162" s="71">
        <f t="shared" si="106"/>
        <v>26.207999999999998</v>
      </c>
      <c r="K1162" s="72">
        <v>0</v>
      </c>
      <c r="M1162" s="58">
        <f>VLOOKUP(D1162,'TABELA DE PRECOS'!B:C,2,0)</f>
        <v>26.207999999999998</v>
      </c>
    </row>
    <row r="1163" spans="1:13" ht="15.75" customHeight="1" x14ac:dyDescent="0.25">
      <c r="A1163" s="65">
        <v>55</v>
      </c>
      <c r="B1163" s="84" t="s">
        <v>1217</v>
      </c>
      <c r="C1163" s="73">
        <v>1</v>
      </c>
      <c r="D1163" s="85" t="s">
        <v>1218</v>
      </c>
      <c r="E1163" s="86" t="s">
        <v>131</v>
      </c>
      <c r="F1163" s="85">
        <v>81897719002</v>
      </c>
      <c r="G1163" s="71">
        <f t="shared" si="103"/>
        <v>42.963360000000002</v>
      </c>
      <c r="H1163" s="71">
        <f t="shared" si="104"/>
        <v>42.963360000000002</v>
      </c>
      <c r="I1163" s="71">
        <f t="shared" si="105"/>
        <v>42.963360000000002</v>
      </c>
      <c r="J1163" s="71">
        <f t="shared" si="106"/>
        <v>42.963360000000002</v>
      </c>
      <c r="K1163" s="72">
        <v>0</v>
      </c>
      <c r="M1163" s="58">
        <f>VLOOKUP(D1163,'TABELA DE PRECOS'!B:C,2,0)</f>
        <v>42.963360000000002</v>
      </c>
    </row>
    <row r="1164" spans="1:13" ht="15.75" customHeight="1" x14ac:dyDescent="0.25">
      <c r="A1164" s="65">
        <v>56</v>
      </c>
      <c r="B1164" s="84" t="s">
        <v>1219</v>
      </c>
      <c r="C1164" s="73">
        <v>1</v>
      </c>
      <c r="D1164" s="85" t="s">
        <v>1220</v>
      </c>
      <c r="E1164" s="86" t="s">
        <v>131</v>
      </c>
      <c r="F1164" s="85">
        <v>81897719002</v>
      </c>
      <c r="G1164" s="71">
        <f t="shared" si="103"/>
        <v>34.344320000000003</v>
      </c>
      <c r="H1164" s="71">
        <f t="shared" si="104"/>
        <v>34.344320000000003</v>
      </c>
      <c r="I1164" s="71">
        <f t="shared" si="105"/>
        <v>34.344320000000003</v>
      </c>
      <c r="J1164" s="71">
        <f t="shared" si="106"/>
        <v>34.344320000000003</v>
      </c>
      <c r="K1164" s="72">
        <v>0</v>
      </c>
      <c r="M1164" s="58">
        <f>VLOOKUP(D1164,'TABELA DE PRECOS'!B:C,2,0)</f>
        <v>34.344320000000003</v>
      </c>
    </row>
    <row r="1165" spans="1:13" ht="15.75" customHeight="1" x14ac:dyDescent="0.25">
      <c r="A1165" s="65">
        <v>57</v>
      </c>
      <c r="B1165" s="84" t="s">
        <v>1221</v>
      </c>
      <c r="C1165" s="73">
        <v>1</v>
      </c>
      <c r="D1165" s="85" t="s">
        <v>1222</v>
      </c>
      <c r="E1165" s="86" t="s">
        <v>131</v>
      </c>
      <c r="F1165" s="85">
        <v>81897719002</v>
      </c>
      <c r="G1165" s="71">
        <f t="shared" si="103"/>
        <v>42.963360000000002</v>
      </c>
      <c r="H1165" s="71">
        <f t="shared" si="104"/>
        <v>42.963360000000002</v>
      </c>
      <c r="I1165" s="71">
        <f t="shared" si="105"/>
        <v>42.963360000000002</v>
      </c>
      <c r="J1165" s="71">
        <f t="shared" si="106"/>
        <v>42.963360000000002</v>
      </c>
      <c r="K1165" s="72">
        <v>0</v>
      </c>
      <c r="M1165" s="58">
        <f>VLOOKUP(D1165,'TABELA DE PRECOS'!B:C,2,0)</f>
        <v>42.963360000000002</v>
      </c>
    </row>
    <row r="1166" spans="1:13" ht="15.75" customHeight="1" x14ac:dyDescent="0.25">
      <c r="A1166" s="65">
        <v>58</v>
      </c>
      <c r="B1166" s="84" t="s">
        <v>1223</v>
      </c>
      <c r="C1166" s="73">
        <v>1</v>
      </c>
      <c r="D1166" s="85" t="s">
        <v>1224</v>
      </c>
      <c r="E1166" s="86" t="s">
        <v>131</v>
      </c>
      <c r="F1166" s="85">
        <v>81897710017</v>
      </c>
      <c r="G1166" s="71">
        <f t="shared" si="103"/>
        <v>34.344320000000003</v>
      </c>
      <c r="H1166" s="71">
        <f t="shared" si="104"/>
        <v>34.344320000000003</v>
      </c>
      <c r="I1166" s="71">
        <f t="shared" si="105"/>
        <v>34.344320000000003</v>
      </c>
      <c r="J1166" s="71">
        <f t="shared" si="106"/>
        <v>34.344320000000003</v>
      </c>
      <c r="K1166" s="72">
        <v>0</v>
      </c>
      <c r="M1166" s="58">
        <f>VLOOKUP(D1166,'TABELA DE PRECOS'!B:C,2,0)</f>
        <v>34.344320000000003</v>
      </c>
    </row>
    <row r="1167" spans="1:13" ht="15.75" customHeight="1" x14ac:dyDescent="0.25">
      <c r="A1167" s="65">
        <v>59</v>
      </c>
      <c r="B1167" s="84" t="s">
        <v>459</v>
      </c>
      <c r="C1167" s="73">
        <v>1</v>
      </c>
      <c r="D1167" s="85" t="s">
        <v>460</v>
      </c>
      <c r="E1167" s="86" t="s">
        <v>131</v>
      </c>
      <c r="F1167" s="85">
        <v>81897719002</v>
      </c>
      <c r="G1167" s="71">
        <f t="shared" si="103"/>
        <v>12.17216</v>
      </c>
      <c r="H1167" s="71">
        <f t="shared" si="104"/>
        <v>12.17216</v>
      </c>
      <c r="I1167" s="71">
        <f t="shared" si="105"/>
        <v>12.17216</v>
      </c>
      <c r="J1167" s="71">
        <f t="shared" si="106"/>
        <v>12.17216</v>
      </c>
      <c r="K1167" s="72">
        <v>0</v>
      </c>
      <c r="M1167" s="58">
        <f>VLOOKUP(D1167,'TABELA DE PRECOS'!B:C,2,0)</f>
        <v>12.17216</v>
      </c>
    </row>
    <row r="1168" spans="1:13" ht="15.75" customHeight="1" x14ac:dyDescent="0.25">
      <c r="A1168" s="65">
        <v>60</v>
      </c>
      <c r="B1168" s="84" t="s">
        <v>421</v>
      </c>
      <c r="C1168" s="73">
        <v>1</v>
      </c>
      <c r="D1168" s="85" t="s">
        <v>422</v>
      </c>
      <c r="E1168" s="86" t="s">
        <v>131</v>
      </c>
      <c r="F1168" s="85">
        <v>81897719002</v>
      </c>
      <c r="G1168" s="71">
        <f t="shared" si="103"/>
        <v>11.13</v>
      </c>
      <c r="H1168" s="71">
        <f t="shared" si="104"/>
        <v>11.13</v>
      </c>
      <c r="I1168" s="71">
        <f t="shared" si="105"/>
        <v>11.13</v>
      </c>
      <c r="J1168" s="71">
        <f t="shared" si="106"/>
        <v>11.13</v>
      </c>
      <c r="K1168" s="72">
        <v>0</v>
      </c>
      <c r="M1168" s="58">
        <f>VLOOKUP(D1168,'TABELA DE PRECOS'!B:C,2,0)</f>
        <v>11.13</v>
      </c>
    </row>
    <row r="1169" spans="1:13" ht="15.75" customHeight="1" x14ac:dyDescent="0.25">
      <c r="A1169" s="65">
        <v>61</v>
      </c>
      <c r="B1169" s="84" t="s">
        <v>448</v>
      </c>
      <c r="C1169" s="73">
        <v>1</v>
      </c>
      <c r="D1169" s="85" t="s">
        <v>449</v>
      </c>
      <c r="E1169" s="86" t="s">
        <v>131</v>
      </c>
      <c r="F1169" s="85">
        <v>81897719002</v>
      </c>
      <c r="G1169" s="71">
        <f t="shared" si="103"/>
        <v>17.28</v>
      </c>
      <c r="H1169" s="71">
        <f t="shared" si="104"/>
        <v>17.28</v>
      </c>
      <c r="I1169" s="71">
        <f t="shared" si="105"/>
        <v>17.28</v>
      </c>
      <c r="J1169" s="71">
        <f t="shared" si="106"/>
        <v>17.28</v>
      </c>
      <c r="K1169" s="72">
        <v>0</v>
      </c>
      <c r="M1169" s="58">
        <f>VLOOKUP(D1169,'TABELA DE PRECOS'!B:C,2,0)</f>
        <v>17.28</v>
      </c>
    </row>
    <row r="1170" spans="1:13" ht="15.75" customHeight="1" x14ac:dyDescent="0.25">
      <c r="A1170" s="65">
        <v>62</v>
      </c>
      <c r="B1170" s="84" t="s">
        <v>532</v>
      </c>
      <c r="C1170" s="73">
        <v>1</v>
      </c>
      <c r="D1170" s="85" t="s">
        <v>533</v>
      </c>
      <c r="E1170" s="86" t="s">
        <v>131</v>
      </c>
      <c r="F1170" s="85">
        <v>81897719002</v>
      </c>
      <c r="G1170" s="71">
        <f t="shared" si="103"/>
        <v>19.84</v>
      </c>
      <c r="H1170" s="71">
        <f t="shared" si="104"/>
        <v>19.84</v>
      </c>
      <c r="I1170" s="71">
        <f t="shared" si="105"/>
        <v>19.84</v>
      </c>
      <c r="J1170" s="71">
        <f t="shared" si="106"/>
        <v>19.84</v>
      </c>
      <c r="K1170" s="72">
        <v>0</v>
      </c>
      <c r="M1170" s="58">
        <f>VLOOKUP(D1170,'TABELA DE PRECOS'!B:C,2,0)</f>
        <v>19.84</v>
      </c>
    </row>
    <row r="1171" spans="1:13" ht="15.75" customHeight="1" x14ac:dyDescent="0.25">
      <c r="A1171" s="65">
        <v>63</v>
      </c>
      <c r="B1171" s="84" t="s">
        <v>372</v>
      </c>
      <c r="C1171" s="73">
        <v>1</v>
      </c>
      <c r="D1171" s="85" t="s">
        <v>373</v>
      </c>
      <c r="E1171" s="86" t="s">
        <v>131</v>
      </c>
      <c r="F1171" s="85" t="s">
        <v>223</v>
      </c>
      <c r="G1171" s="71">
        <f t="shared" si="103"/>
        <v>452.16</v>
      </c>
      <c r="H1171" s="71">
        <f t="shared" si="104"/>
        <v>452.16</v>
      </c>
      <c r="I1171" s="71">
        <f t="shared" si="105"/>
        <v>452.16</v>
      </c>
      <c r="J1171" s="71">
        <f t="shared" si="106"/>
        <v>452.16</v>
      </c>
      <c r="K1171" s="72">
        <v>0</v>
      </c>
      <c r="M1171" s="58">
        <f>VLOOKUP(D1171,'TABELA DE PRECOS'!B:C,2,0)</f>
        <v>452.16</v>
      </c>
    </row>
    <row r="1172" spans="1:13" ht="15.75" customHeight="1" x14ac:dyDescent="0.25">
      <c r="A1172" s="65">
        <v>64</v>
      </c>
      <c r="B1172" s="84" t="s">
        <v>374</v>
      </c>
      <c r="C1172" s="73">
        <v>1</v>
      </c>
      <c r="D1172" s="85" t="s">
        <v>375</v>
      </c>
      <c r="E1172" s="86" t="s">
        <v>131</v>
      </c>
      <c r="F1172" s="85" t="s">
        <v>223</v>
      </c>
      <c r="G1172" s="71">
        <f t="shared" si="103"/>
        <v>640.15991999999994</v>
      </c>
      <c r="H1172" s="71">
        <f t="shared" si="104"/>
        <v>640.15991999999994</v>
      </c>
      <c r="I1172" s="71">
        <f t="shared" si="105"/>
        <v>640.15991999999994</v>
      </c>
      <c r="J1172" s="71">
        <f t="shared" si="106"/>
        <v>640.15991999999994</v>
      </c>
      <c r="K1172" s="72">
        <v>0</v>
      </c>
      <c r="M1172" s="58">
        <f>VLOOKUP(D1172,'TABELA DE PRECOS'!B:C,2,0)</f>
        <v>640.15991999999994</v>
      </c>
    </row>
    <row r="1173" spans="1:13" ht="15.75" customHeight="1" x14ac:dyDescent="0.25">
      <c r="A1173" s="65">
        <v>65</v>
      </c>
      <c r="B1173" s="84" t="s">
        <v>376</v>
      </c>
      <c r="C1173" s="73">
        <v>1</v>
      </c>
      <c r="D1173" s="85" t="s">
        <v>1225</v>
      </c>
      <c r="E1173" s="86" t="s">
        <v>131</v>
      </c>
      <c r="F1173" s="85" t="s">
        <v>223</v>
      </c>
      <c r="G1173" s="71">
        <f t="shared" si="103"/>
        <v>514.57000000000005</v>
      </c>
      <c r="H1173" s="71">
        <f t="shared" si="104"/>
        <v>514.57000000000005</v>
      </c>
      <c r="I1173" s="71">
        <f t="shared" si="105"/>
        <v>514.57000000000005</v>
      </c>
      <c r="J1173" s="71">
        <f t="shared" si="106"/>
        <v>514.57000000000005</v>
      </c>
      <c r="K1173" s="72">
        <v>0</v>
      </c>
      <c r="M1173" s="58">
        <f>VLOOKUP(D1173,'TABELA DE PRECOS'!B:C,2,0)</f>
        <v>514.57000000000005</v>
      </c>
    </row>
    <row r="1174" spans="1:13" ht="15.75" customHeight="1" x14ac:dyDescent="0.25">
      <c r="A1174" s="65">
        <v>66</v>
      </c>
      <c r="B1174" s="84" t="s">
        <v>378</v>
      </c>
      <c r="C1174" s="73">
        <v>2</v>
      </c>
      <c r="D1174" s="85" t="s">
        <v>1226</v>
      </c>
      <c r="E1174" s="86" t="s">
        <v>131</v>
      </c>
      <c r="F1174" s="85" t="s">
        <v>223</v>
      </c>
      <c r="G1174" s="71">
        <f t="shared" si="103"/>
        <v>9.18</v>
      </c>
      <c r="H1174" s="71">
        <f t="shared" si="104"/>
        <v>18.36</v>
      </c>
      <c r="I1174" s="71">
        <f t="shared" si="105"/>
        <v>9.18</v>
      </c>
      <c r="J1174" s="71">
        <f t="shared" si="106"/>
        <v>18.36</v>
      </c>
      <c r="K1174" s="72">
        <v>0</v>
      </c>
      <c r="M1174" s="58">
        <f>VLOOKUP(D1174,'TABELA DE PRECOS'!B:C,2,0)</f>
        <v>9.18</v>
      </c>
    </row>
    <row r="1175" spans="1:13" ht="15.75" customHeight="1" x14ac:dyDescent="0.25">
      <c r="A1175" s="78"/>
      <c r="B1175" s="79" t="s">
        <v>224</v>
      </c>
      <c r="C1175" s="79">
        <f>SUM(C1109:C1174)</f>
        <v>134</v>
      </c>
      <c r="D1175" s="79"/>
      <c r="E1175" s="79"/>
      <c r="F1175" s="79"/>
      <c r="G1175" s="80"/>
      <c r="H1175" s="80">
        <f>SUM(H1109:H1174)</f>
        <v>7357.474079999999</v>
      </c>
      <c r="I1175" s="79"/>
      <c r="J1175" s="80">
        <f>SUM(J1109:J1174)</f>
        <v>7357.474079999999</v>
      </c>
      <c r="K1175" s="81"/>
      <c r="M1175" s="58" t="e">
        <f>VLOOKUP(D1175,'TABELA DE PRECOS'!B:C,2,0)</f>
        <v>#N/A</v>
      </c>
    </row>
    <row r="1176" spans="1:13" ht="15.75" customHeight="1" x14ac:dyDescent="0.25">
      <c r="A1176" s="56"/>
      <c r="B1176" s="49" t="s">
        <v>15</v>
      </c>
      <c r="C1176" s="57"/>
      <c r="G1176" s="58"/>
      <c r="H1176" s="58"/>
      <c r="I1176" s="58"/>
      <c r="J1176" s="58"/>
      <c r="K1176" s="59"/>
      <c r="M1176" s="58" t="e">
        <f>VLOOKUP(D1176,'TABELA DE PRECOS'!B:C,2,0)</f>
        <v>#N/A</v>
      </c>
    </row>
    <row r="1177" spans="1:13" ht="15.75" customHeight="1" x14ac:dyDescent="0.25">
      <c r="A1177" s="56"/>
      <c r="B1177" s="18" t="s">
        <v>1227</v>
      </c>
      <c r="C1177" s="57"/>
      <c r="G1177" s="58"/>
      <c r="H1177" s="58"/>
      <c r="I1177" s="58"/>
      <c r="J1177" s="58"/>
      <c r="K1177" s="59"/>
      <c r="M1177" s="58" t="e">
        <f>VLOOKUP(D1177,'TABELA DE PRECOS'!B:C,2,0)</f>
        <v>#N/A</v>
      </c>
    </row>
    <row r="1178" spans="1:13" ht="15.75" customHeight="1" x14ac:dyDescent="0.25">
      <c r="A1178" s="18" t="s">
        <v>119</v>
      </c>
      <c r="B1178" s="18" t="s">
        <v>120</v>
      </c>
      <c r="C1178" s="18" t="s">
        <v>21</v>
      </c>
      <c r="D1178" s="18" t="s">
        <v>121</v>
      </c>
      <c r="E1178" s="60" t="s">
        <v>122</v>
      </c>
      <c r="F1178" s="18" t="s">
        <v>123</v>
      </c>
      <c r="G1178" s="61" t="s">
        <v>22</v>
      </c>
      <c r="H1178" s="18" t="s">
        <v>23</v>
      </c>
      <c r="I1178" s="18" t="s">
        <v>24</v>
      </c>
      <c r="J1178" s="18" t="s">
        <v>25</v>
      </c>
      <c r="K1178" s="62" t="s">
        <v>26</v>
      </c>
      <c r="M1178" s="58" t="str">
        <f>VLOOKUP(D1178,'TABELA DE PRECOS'!B:C,2,0)</f>
        <v>Valor Unit Bruto</v>
      </c>
    </row>
    <row r="1179" spans="1:13" ht="15.75" customHeight="1" x14ac:dyDescent="0.25">
      <c r="A1179" s="65">
        <v>1</v>
      </c>
      <c r="B1179" s="84" t="s">
        <v>1620</v>
      </c>
      <c r="C1179" s="73">
        <v>1</v>
      </c>
      <c r="D1179" s="85" t="s">
        <v>1229</v>
      </c>
      <c r="E1179" s="86" t="s">
        <v>131</v>
      </c>
      <c r="F1179" s="85">
        <v>81897719002</v>
      </c>
      <c r="G1179" s="71">
        <f t="shared" ref="G1179:G1206" si="107">M1179</f>
        <v>226.78128000000001</v>
      </c>
      <c r="H1179" s="71">
        <f t="shared" ref="H1179:H1206" si="108">G1179*C1179</f>
        <v>226.78128000000001</v>
      </c>
      <c r="I1179" s="71">
        <f t="shared" ref="I1179:I1206" si="109">G1179</f>
        <v>226.78128000000001</v>
      </c>
      <c r="J1179" s="71">
        <f t="shared" ref="J1179:J1206" si="110">I1179*C1179</f>
        <v>226.78128000000001</v>
      </c>
      <c r="K1179" s="72">
        <v>0</v>
      </c>
      <c r="M1179" s="58">
        <f>VLOOKUP(D1179,'TABELA DE PRECOS'!B:C,2,0)</f>
        <v>226.78128000000001</v>
      </c>
    </row>
    <row r="1180" spans="1:13" ht="15.75" customHeight="1" x14ac:dyDescent="0.25">
      <c r="A1180" s="65">
        <v>2</v>
      </c>
      <c r="B1180" s="84" t="s">
        <v>290</v>
      </c>
      <c r="C1180" s="73">
        <v>2</v>
      </c>
      <c r="D1180" s="85" t="s">
        <v>291</v>
      </c>
      <c r="E1180" s="86" t="s">
        <v>131</v>
      </c>
      <c r="F1180" s="85">
        <v>81897719002</v>
      </c>
      <c r="G1180" s="71">
        <f t="shared" si="107"/>
        <v>16.5</v>
      </c>
      <c r="H1180" s="71">
        <f t="shared" si="108"/>
        <v>33</v>
      </c>
      <c r="I1180" s="71">
        <f t="shared" si="109"/>
        <v>16.5</v>
      </c>
      <c r="J1180" s="71">
        <f t="shared" si="110"/>
        <v>33</v>
      </c>
      <c r="K1180" s="72">
        <v>0</v>
      </c>
      <c r="M1180" s="58">
        <f>VLOOKUP(D1180,'TABELA DE PRECOS'!B:C,2,0)</f>
        <v>16.5</v>
      </c>
    </row>
    <row r="1181" spans="1:13" ht="15.75" customHeight="1" x14ac:dyDescent="0.25">
      <c r="A1181" s="65">
        <v>3</v>
      </c>
      <c r="B1181" s="84" t="s">
        <v>1193</v>
      </c>
      <c r="C1181" s="73">
        <v>3</v>
      </c>
      <c r="D1181" s="85" t="s">
        <v>1194</v>
      </c>
      <c r="E1181" s="86" t="s">
        <v>131</v>
      </c>
      <c r="F1181" s="76">
        <v>81897719002</v>
      </c>
      <c r="G1181" s="71">
        <f t="shared" si="107"/>
        <v>68.738080000000011</v>
      </c>
      <c r="H1181" s="71">
        <f t="shared" si="108"/>
        <v>206.21424000000002</v>
      </c>
      <c r="I1181" s="71">
        <f t="shared" si="109"/>
        <v>68.738080000000011</v>
      </c>
      <c r="J1181" s="71">
        <f t="shared" si="110"/>
        <v>206.21424000000002</v>
      </c>
      <c r="K1181" s="72">
        <v>0</v>
      </c>
      <c r="M1181" s="58">
        <f>VLOOKUP(D1181,'TABELA DE PRECOS'!B:C,2,0)</f>
        <v>68.738080000000011</v>
      </c>
    </row>
    <row r="1182" spans="1:13" ht="15.75" customHeight="1" x14ac:dyDescent="0.25">
      <c r="A1182" s="65">
        <v>4</v>
      </c>
      <c r="B1182" s="84" t="s">
        <v>1195</v>
      </c>
      <c r="C1182" s="73">
        <v>3</v>
      </c>
      <c r="D1182" s="85" t="s">
        <v>1196</v>
      </c>
      <c r="E1182" s="86" t="s">
        <v>131</v>
      </c>
      <c r="F1182" s="85">
        <v>81897719002</v>
      </c>
      <c r="G1182" s="71">
        <f t="shared" si="107"/>
        <v>68.738080000000011</v>
      </c>
      <c r="H1182" s="71">
        <f t="shared" si="108"/>
        <v>206.21424000000002</v>
      </c>
      <c r="I1182" s="71">
        <f t="shared" si="109"/>
        <v>68.738080000000011</v>
      </c>
      <c r="J1182" s="71">
        <f t="shared" si="110"/>
        <v>206.21424000000002</v>
      </c>
      <c r="K1182" s="72">
        <v>0</v>
      </c>
      <c r="M1182" s="58">
        <f>VLOOKUP(D1182,'TABELA DE PRECOS'!B:C,2,0)</f>
        <v>68.738080000000011</v>
      </c>
    </row>
    <row r="1183" spans="1:13" ht="15.75" customHeight="1" x14ac:dyDescent="0.25">
      <c r="A1183" s="65">
        <v>5</v>
      </c>
      <c r="B1183" s="84" t="s">
        <v>304</v>
      </c>
      <c r="C1183" s="73">
        <v>1</v>
      </c>
      <c r="D1183" s="85" t="s">
        <v>305</v>
      </c>
      <c r="E1183" s="86" t="s">
        <v>131</v>
      </c>
      <c r="F1183" s="85" t="s">
        <v>223</v>
      </c>
      <c r="G1183" s="71">
        <f t="shared" si="107"/>
        <v>5.2653600000000003</v>
      </c>
      <c r="H1183" s="71">
        <f t="shared" si="108"/>
        <v>5.2653600000000003</v>
      </c>
      <c r="I1183" s="71">
        <f t="shared" si="109"/>
        <v>5.2653600000000003</v>
      </c>
      <c r="J1183" s="71">
        <f t="shared" si="110"/>
        <v>5.2653600000000003</v>
      </c>
      <c r="K1183" s="72">
        <v>0</v>
      </c>
      <c r="M1183" s="58">
        <f>VLOOKUP(D1183,'TABELA DE PRECOS'!B:C,2,0)</f>
        <v>5.2653600000000003</v>
      </c>
    </row>
    <row r="1184" spans="1:13" ht="15.75" customHeight="1" x14ac:dyDescent="0.25">
      <c r="A1184" s="65">
        <v>6</v>
      </c>
      <c r="B1184" s="84" t="s">
        <v>397</v>
      </c>
      <c r="C1184" s="73">
        <v>2</v>
      </c>
      <c r="D1184" s="85" t="s">
        <v>398</v>
      </c>
      <c r="E1184" s="86" t="s">
        <v>131</v>
      </c>
      <c r="F1184" s="85">
        <v>81897719002</v>
      </c>
      <c r="G1184" s="71">
        <f t="shared" si="107"/>
        <v>9.19</v>
      </c>
      <c r="H1184" s="71">
        <f t="shared" si="108"/>
        <v>18.38</v>
      </c>
      <c r="I1184" s="71">
        <f t="shared" si="109"/>
        <v>9.19</v>
      </c>
      <c r="J1184" s="71">
        <f t="shared" si="110"/>
        <v>18.38</v>
      </c>
      <c r="K1184" s="72">
        <v>0</v>
      </c>
      <c r="M1184" s="58">
        <f>VLOOKUP(D1184,'TABELA DE PRECOS'!B:C,2,0)</f>
        <v>9.19</v>
      </c>
    </row>
    <row r="1185" spans="1:13" ht="15.75" customHeight="1" x14ac:dyDescent="0.25">
      <c r="A1185" s="65">
        <v>7</v>
      </c>
      <c r="B1185" s="84" t="s">
        <v>399</v>
      </c>
      <c r="C1185" s="73">
        <v>2</v>
      </c>
      <c r="D1185" s="85" t="s">
        <v>400</v>
      </c>
      <c r="E1185" s="86" t="s">
        <v>131</v>
      </c>
      <c r="F1185" s="85">
        <v>81897719002</v>
      </c>
      <c r="G1185" s="71">
        <f t="shared" si="107"/>
        <v>8.85</v>
      </c>
      <c r="H1185" s="71">
        <f t="shared" si="108"/>
        <v>17.7</v>
      </c>
      <c r="I1185" s="71">
        <f t="shared" si="109"/>
        <v>8.85</v>
      </c>
      <c r="J1185" s="71">
        <f t="shared" si="110"/>
        <v>17.7</v>
      </c>
      <c r="K1185" s="72">
        <v>0</v>
      </c>
      <c r="M1185" s="58">
        <f>VLOOKUP(D1185,'TABELA DE PRECOS'!B:C,2,0)</f>
        <v>8.85</v>
      </c>
    </row>
    <row r="1186" spans="1:13" ht="15.75" customHeight="1" x14ac:dyDescent="0.25">
      <c r="A1186" s="65">
        <v>8</v>
      </c>
      <c r="B1186" s="84" t="s">
        <v>405</v>
      </c>
      <c r="C1186" s="73">
        <v>1</v>
      </c>
      <c r="D1186" s="85" t="s">
        <v>406</v>
      </c>
      <c r="E1186" s="86" t="s">
        <v>131</v>
      </c>
      <c r="F1186" s="85">
        <v>81897719002</v>
      </c>
      <c r="G1186" s="71">
        <f t="shared" si="107"/>
        <v>5.4878400000000003</v>
      </c>
      <c r="H1186" s="71">
        <f t="shared" si="108"/>
        <v>5.4878400000000003</v>
      </c>
      <c r="I1186" s="71">
        <f t="shared" si="109"/>
        <v>5.4878400000000003</v>
      </c>
      <c r="J1186" s="71">
        <f t="shared" si="110"/>
        <v>5.4878400000000003</v>
      </c>
      <c r="K1186" s="72">
        <v>0</v>
      </c>
      <c r="M1186" s="58">
        <f>VLOOKUP(D1186,'TABELA DE PRECOS'!B:C,2,0)</f>
        <v>5.4878400000000003</v>
      </c>
    </row>
    <row r="1187" spans="1:13" ht="15.75" customHeight="1" x14ac:dyDescent="0.25">
      <c r="A1187" s="65">
        <v>9</v>
      </c>
      <c r="B1187" s="84" t="s">
        <v>185</v>
      </c>
      <c r="C1187" s="73">
        <v>4</v>
      </c>
      <c r="D1187" s="85" t="s">
        <v>186</v>
      </c>
      <c r="E1187" s="86" t="s">
        <v>131</v>
      </c>
      <c r="F1187" s="85">
        <v>81897719002</v>
      </c>
      <c r="G1187" s="71">
        <f t="shared" si="107"/>
        <v>17.28</v>
      </c>
      <c r="H1187" s="71">
        <f t="shared" si="108"/>
        <v>69.12</v>
      </c>
      <c r="I1187" s="71">
        <f t="shared" si="109"/>
        <v>17.28</v>
      </c>
      <c r="J1187" s="71">
        <f t="shared" si="110"/>
        <v>69.12</v>
      </c>
      <c r="K1187" s="72">
        <v>0</v>
      </c>
      <c r="M1187" s="58">
        <f>VLOOKUP(D1187,'TABELA DE PRECOS'!B:C,2,0)</f>
        <v>17.28</v>
      </c>
    </row>
    <row r="1188" spans="1:13" ht="15.75" customHeight="1" x14ac:dyDescent="0.25">
      <c r="A1188" s="65">
        <v>10</v>
      </c>
      <c r="B1188" s="84" t="s">
        <v>344</v>
      </c>
      <c r="C1188" s="73">
        <v>1</v>
      </c>
      <c r="D1188" s="85" t="s">
        <v>345</v>
      </c>
      <c r="E1188" s="86" t="s">
        <v>131</v>
      </c>
      <c r="F1188" s="85">
        <v>81897719002</v>
      </c>
      <c r="G1188" s="71">
        <f t="shared" si="107"/>
        <v>18.12</v>
      </c>
      <c r="H1188" s="71">
        <f t="shared" si="108"/>
        <v>18.12</v>
      </c>
      <c r="I1188" s="71">
        <f t="shared" si="109"/>
        <v>18.12</v>
      </c>
      <c r="J1188" s="71">
        <f t="shared" si="110"/>
        <v>18.12</v>
      </c>
      <c r="K1188" s="72">
        <v>0</v>
      </c>
      <c r="M1188" s="58">
        <f>VLOOKUP(D1188,'TABELA DE PRECOS'!B:C,2,0)</f>
        <v>18.12</v>
      </c>
    </row>
    <row r="1189" spans="1:13" ht="15.75" customHeight="1" x14ac:dyDescent="0.25">
      <c r="A1189" s="65">
        <v>11</v>
      </c>
      <c r="B1189" s="84" t="s">
        <v>873</v>
      </c>
      <c r="C1189" s="73">
        <v>1</v>
      </c>
      <c r="D1189" s="85" t="s">
        <v>874</v>
      </c>
      <c r="E1189" s="86" t="s">
        <v>131</v>
      </c>
      <c r="F1189" s="85">
        <v>81897719002</v>
      </c>
      <c r="G1189" s="71">
        <f t="shared" si="107"/>
        <v>28.54</v>
      </c>
      <c r="H1189" s="71">
        <f t="shared" si="108"/>
        <v>28.54</v>
      </c>
      <c r="I1189" s="71">
        <f t="shared" si="109"/>
        <v>28.54</v>
      </c>
      <c r="J1189" s="71">
        <f t="shared" si="110"/>
        <v>28.54</v>
      </c>
      <c r="K1189" s="72">
        <v>0</v>
      </c>
      <c r="M1189" s="58">
        <f>VLOOKUP(D1189,'TABELA DE PRECOS'!B:C,2,0)</f>
        <v>28.54</v>
      </c>
    </row>
    <row r="1190" spans="1:13" ht="15.75" customHeight="1" x14ac:dyDescent="0.25">
      <c r="A1190" s="65">
        <v>12</v>
      </c>
      <c r="B1190" s="84" t="s">
        <v>153</v>
      </c>
      <c r="C1190" s="73">
        <v>1</v>
      </c>
      <c r="D1190" s="85" t="s">
        <v>154</v>
      </c>
      <c r="E1190" s="86" t="s">
        <v>131</v>
      </c>
      <c r="F1190" s="85">
        <v>81897719002</v>
      </c>
      <c r="G1190" s="71">
        <f t="shared" si="107"/>
        <v>17.19688</v>
      </c>
      <c r="H1190" s="71">
        <f t="shared" si="108"/>
        <v>17.19688</v>
      </c>
      <c r="I1190" s="71">
        <f t="shared" si="109"/>
        <v>17.19688</v>
      </c>
      <c r="J1190" s="71">
        <f t="shared" si="110"/>
        <v>17.19688</v>
      </c>
      <c r="K1190" s="72">
        <v>0</v>
      </c>
      <c r="L1190" s="63"/>
      <c r="M1190" s="58">
        <f>VLOOKUP(D1190,'TABELA DE PRECOS'!B:C,2,0)</f>
        <v>17.19688</v>
      </c>
    </row>
    <row r="1191" spans="1:13" ht="15.75" customHeight="1" x14ac:dyDescent="0.25">
      <c r="A1191" s="65">
        <v>13</v>
      </c>
      <c r="B1191" s="84" t="s">
        <v>187</v>
      </c>
      <c r="C1191" s="73">
        <v>4</v>
      </c>
      <c r="D1191" s="85" t="s">
        <v>188</v>
      </c>
      <c r="E1191" s="86" t="s">
        <v>131</v>
      </c>
      <c r="F1191" s="85">
        <v>81897719002</v>
      </c>
      <c r="G1191" s="71">
        <f t="shared" si="107"/>
        <v>15.95</v>
      </c>
      <c r="H1191" s="71">
        <f t="shared" si="108"/>
        <v>63.8</v>
      </c>
      <c r="I1191" s="71">
        <f t="shared" si="109"/>
        <v>15.95</v>
      </c>
      <c r="J1191" s="71">
        <f t="shared" si="110"/>
        <v>63.8</v>
      </c>
      <c r="K1191" s="72">
        <v>0</v>
      </c>
      <c r="M1191" s="58">
        <f>VLOOKUP(D1191,'TABELA DE PRECOS'!B:C,2,0)</f>
        <v>15.95</v>
      </c>
    </row>
    <row r="1192" spans="1:13" ht="15.75" customHeight="1" x14ac:dyDescent="0.25">
      <c r="A1192" s="65">
        <v>14</v>
      </c>
      <c r="B1192" s="84" t="s">
        <v>419</v>
      </c>
      <c r="C1192" s="73">
        <v>4</v>
      </c>
      <c r="D1192" s="85" t="s">
        <v>420</v>
      </c>
      <c r="E1192" s="86" t="s">
        <v>131</v>
      </c>
      <c r="F1192" s="85">
        <v>81897719002</v>
      </c>
      <c r="G1192" s="71">
        <f t="shared" si="107"/>
        <v>16.52</v>
      </c>
      <c r="H1192" s="71">
        <f t="shared" si="108"/>
        <v>66.08</v>
      </c>
      <c r="I1192" s="71">
        <f t="shared" si="109"/>
        <v>16.52</v>
      </c>
      <c r="J1192" s="71">
        <f t="shared" si="110"/>
        <v>66.08</v>
      </c>
      <c r="K1192" s="72">
        <v>0</v>
      </c>
      <c r="M1192" s="58">
        <f>VLOOKUP(D1192,'TABELA DE PRECOS'!B:C,2,0)</f>
        <v>16.52</v>
      </c>
    </row>
    <row r="1193" spans="1:13" ht="15.75" customHeight="1" x14ac:dyDescent="0.25">
      <c r="A1193" s="65">
        <v>15</v>
      </c>
      <c r="B1193" s="84" t="s">
        <v>1230</v>
      </c>
      <c r="C1193" s="73">
        <v>1</v>
      </c>
      <c r="D1193" s="85" t="s">
        <v>1231</v>
      </c>
      <c r="E1193" s="86" t="s">
        <v>131</v>
      </c>
      <c r="F1193" s="85">
        <v>81897719002</v>
      </c>
      <c r="G1193" s="71">
        <f t="shared" si="107"/>
        <v>15.52</v>
      </c>
      <c r="H1193" s="71">
        <f t="shared" si="108"/>
        <v>15.52</v>
      </c>
      <c r="I1193" s="71">
        <f t="shared" si="109"/>
        <v>15.52</v>
      </c>
      <c r="J1193" s="71">
        <f t="shared" si="110"/>
        <v>15.52</v>
      </c>
      <c r="K1193" s="72">
        <v>0</v>
      </c>
      <c r="M1193" s="58">
        <f>VLOOKUP(D1193,'TABELA DE PRECOS'!B:C,2,0)</f>
        <v>15.52</v>
      </c>
    </row>
    <row r="1194" spans="1:13" ht="15.75" customHeight="1" x14ac:dyDescent="0.25">
      <c r="A1194" s="65">
        <v>16</v>
      </c>
      <c r="B1194" s="84" t="s">
        <v>1232</v>
      </c>
      <c r="C1194" s="73">
        <v>1</v>
      </c>
      <c r="D1194" s="85" t="s">
        <v>1233</v>
      </c>
      <c r="E1194" s="86" t="s">
        <v>131</v>
      </c>
      <c r="F1194" s="85">
        <v>81897719002</v>
      </c>
      <c r="G1194" s="71">
        <f t="shared" si="107"/>
        <v>14.428240000000001</v>
      </c>
      <c r="H1194" s="71">
        <f t="shared" si="108"/>
        <v>14.428240000000001</v>
      </c>
      <c r="I1194" s="71">
        <f t="shared" si="109"/>
        <v>14.428240000000001</v>
      </c>
      <c r="J1194" s="71">
        <f t="shared" si="110"/>
        <v>14.428240000000001</v>
      </c>
      <c r="K1194" s="72">
        <v>0</v>
      </c>
      <c r="M1194" s="58">
        <f>VLOOKUP(D1194,'TABELA DE PRECOS'!B:C,2,0)</f>
        <v>14.428240000000001</v>
      </c>
    </row>
    <row r="1195" spans="1:13" ht="15.75" customHeight="1" x14ac:dyDescent="0.25">
      <c r="A1195" s="65">
        <v>17</v>
      </c>
      <c r="B1195" s="84" t="s">
        <v>796</v>
      </c>
      <c r="C1195" s="73">
        <v>2</v>
      </c>
      <c r="D1195" s="85" t="s">
        <v>797</v>
      </c>
      <c r="E1195" s="86" t="s">
        <v>131</v>
      </c>
      <c r="F1195" s="85">
        <v>81897719003</v>
      </c>
      <c r="G1195" s="71">
        <f t="shared" si="107"/>
        <v>68.77</v>
      </c>
      <c r="H1195" s="71">
        <f t="shared" si="108"/>
        <v>137.54</v>
      </c>
      <c r="I1195" s="71">
        <f t="shared" si="109"/>
        <v>68.77</v>
      </c>
      <c r="J1195" s="71">
        <f t="shared" si="110"/>
        <v>137.54</v>
      </c>
      <c r="K1195" s="72">
        <v>0</v>
      </c>
      <c r="M1195" s="58">
        <f>VLOOKUP(D1195,'TABELA DE PRECOS'!B:C,2,0)</f>
        <v>68.77</v>
      </c>
    </row>
    <row r="1196" spans="1:13" ht="15.75" customHeight="1" x14ac:dyDescent="0.25">
      <c r="A1196" s="65">
        <v>18</v>
      </c>
      <c r="B1196" s="84" t="s">
        <v>203</v>
      </c>
      <c r="C1196" s="73">
        <v>1</v>
      </c>
      <c r="D1196" s="85" t="s">
        <v>204</v>
      </c>
      <c r="E1196" s="86" t="s">
        <v>131</v>
      </c>
      <c r="F1196" s="85">
        <v>81897719003</v>
      </c>
      <c r="G1196" s="71">
        <f t="shared" si="107"/>
        <v>70.994559999999993</v>
      </c>
      <c r="H1196" s="71">
        <f t="shared" si="108"/>
        <v>70.994559999999993</v>
      </c>
      <c r="I1196" s="71">
        <f t="shared" si="109"/>
        <v>70.994559999999993</v>
      </c>
      <c r="J1196" s="71">
        <f t="shared" si="110"/>
        <v>70.994559999999993</v>
      </c>
      <c r="K1196" s="72">
        <v>0</v>
      </c>
      <c r="M1196" s="58">
        <f>VLOOKUP(D1196,'TABELA DE PRECOS'!B:C,2,0)</f>
        <v>70.994559999999993</v>
      </c>
    </row>
    <row r="1197" spans="1:13" ht="15.75" customHeight="1" x14ac:dyDescent="0.25">
      <c r="A1197" s="65">
        <v>19</v>
      </c>
      <c r="B1197" s="84" t="s">
        <v>1213</v>
      </c>
      <c r="C1197" s="73">
        <v>1</v>
      </c>
      <c r="D1197" s="85" t="s">
        <v>1214</v>
      </c>
      <c r="E1197" s="86" t="s">
        <v>131</v>
      </c>
      <c r="F1197" s="85">
        <v>81897719002</v>
      </c>
      <c r="G1197" s="71">
        <f t="shared" si="107"/>
        <v>94.648320000000012</v>
      </c>
      <c r="H1197" s="71">
        <f t="shared" si="108"/>
        <v>94.648320000000012</v>
      </c>
      <c r="I1197" s="71">
        <f t="shared" si="109"/>
        <v>94.648320000000012</v>
      </c>
      <c r="J1197" s="71">
        <f t="shared" si="110"/>
        <v>94.648320000000012</v>
      </c>
      <c r="K1197" s="72">
        <v>0</v>
      </c>
      <c r="M1197" s="58">
        <f>VLOOKUP(D1197,'TABELA DE PRECOS'!B:C,2,0)</f>
        <v>94.648320000000012</v>
      </c>
    </row>
    <row r="1198" spans="1:13" ht="15.75" customHeight="1" x14ac:dyDescent="0.25">
      <c r="A1198" s="65">
        <v>20</v>
      </c>
      <c r="B1198" s="84" t="s">
        <v>490</v>
      </c>
      <c r="C1198" s="73">
        <v>1</v>
      </c>
      <c r="D1198" s="85" t="s">
        <v>491</v>
      </c>
      <c r="E1198" s="86" t="s">
        <v>131</v>
      </c>
      <c r="F1198" s="85">
        <v>81897719002</v>
      </c>
      <c r="G1198" s="71">
        <f t="shared" si="107"/>
        <v>13.65</v>
      </c>
      <c r="H1198" s="71">
        <f t="shared" si="108"/>
        <v>13.65</v>
      </c>
      <c r="I1198" s="71">
        <f t="shared" si="109"/>
        <v>13.65</v>
      </c>
      <c r="J1198" s="71">
        <f t="shared" si="110"/>
        <v>13.65</v>
      </c>
      <c r="K1198" s="72">
        <v>0</v>
      </c>
      <c r="M1198" s="58">
        <f>VLOOKUP(D1198,'TABELA DE PRECOS'!B:C,2,0)</f>
        <v>13.65</v>
      </c>
    </row>
    <row r="1199" spans="1:13" ht="15.75" customHeight="1" x14ac:dyDescent="0.25">
      <c r="A1199" s="65">
        <v>21</v>
      </c>
      <c r="B1199" s="84" t="s">
        <v>488</v>
      </c>
      <c r="C1199" s="73">
        <v>1</v>
      </c>
      <c r="D1199" s="85" t="s">
        <v>489</v>
      </c>
      <c r="E1199" s="86" t="s">
        <v>131</v>
      </c>
      <c r="F1199" s="85">
        <v>81897719002</v>
      </c>
      <c r="G1199" s="71">
        <f t="shared" si="107"/>
        <v>11.81</v>
      </c>
      <c r="H1199" s="71">
        <f t="shared" si="108"/>
        <v>11.81</v>
      </c>
      <c r="I1199" s="71">
        <f t="shared" si="109"/>
        <v>11.81</v>
      </c>
      <c r="J1199" s="71">
        <f t="shared" si="110"/>
        <v>11.81</v>
      </c>
      <c r="K1199" s="72">
        <v>0</v>
      </c>
      <c r="M1199" s="58">
        <f>VLOOKUP(D1199,'TABELA DE PRECOS'!B:C,2,0)</f>
        <v>11.81</v>
      </c>
    </row>
    <row r="1200" spans="1:13" ht="15.75" customHeight="1" x14ac:dyDescent="0.25">
      <c r="A1200" s="65">
        <v>22</v>
      </c>
      <c r="B1200" s="84" t="s">
        <v>370</v>
      </c>
      <c r="C1200" s="73">
        <v>1</v>
      </c>
      <c r="D1200" s="85" t="s">
        <v>371</v>
      </c>
      <c r="E1200" s="86" t="s">
        <v>131</v>
      </c>
      <c r="F1200" s="85">
        <v>81897719002</v>
      </c>
      <c r="G1200" s="71">
        <f t="shared" si="107"/>
        <v>19.41</v>
      </c>
      <c r="H1200" s="71">
        <f t="shared" si="108"/>
        <v>19.41</v>
      </c>
      <c r="I1200" s="71">
        <f t="shared" si="109"/>
        <v>19.41</v>
      </c>
      <c r="J1200" s="71">
        <f t="shared" si="110"/>
        <v>19.41</v>
      </c>
      <c r="K1200" s="72">
        <v>0</v>
      </c>
      <c r="M1200" s="58">
        <f>VLOOKUP(D1200,'TABELA DE PRECOS'!B:C,2,0)</f>
        <v>19.41</v>
      </c>
    </row>
    <row r="1201" spans="1:13" ht="15.75" customHeight="1" x14ac:dyDescent="0.25">
      <c r="A1201" s="65">
        <v>23</v>
      </c>
      <c r="B1201" s="84" t="s">
        <v>532</v>
      </c>
      <c r="C1201" s="73">
        <v>1</v>
      </c>
      <c r="D1201" s="85" t="s">
        <v>533</v>
      </c>
      <c r="E1201" s="86" t="s">
        <v>131</v>
      </c>
      <c r="F1201" s="85">
        <v>81897719002</v>
      </c>
      <c r="G1201" s="71">
        <f t="shared" si="107"/>
        <v>19.84</v>
      </c>
      <c r="H1201" s="71">
        <f t="shared" si="108"/>
        <v>19.84</v>
      </c>
      <c r="I1201" s="71">
        <f t="shared" si="109"/>
        <v>19.84</v>
      </c>
      <c r="J1201" s="71">
        <f t="shared" si="110"/>
        <v>19.84</v>
      </c>
      <c r="K1201" s="72">
        <v>0</v>
      </c>
      <c r="M1201" s="58">
        <f>VLOOKUP(D1201,'TABELA DE PRECOS'!B:C,2,0)</f>
        <v>19.84</v>
      </c>
    </row>
    <row r="1202" spans="1:13" ht="15.75" customHeight="1" x14ac:dyDescent="0.25">
      <c r="A1202" s="65">
        <v>24</v>
      </c>
      <c r="B1202" s="84" t="s">
        <v>448</v>
      </c>
      <c r="C1202" s="73">
        <v>1</v>
      </c>
      <c r="D1202" s="85" t="s">
        <v>449</v>
      </c>
      <c r="E1202" s="86" t="s">
        <v>131</v>
      </c>
      <c r="F1202" s="85">
        <v>81897719002</v>
      </c>
      <c r="G1202" s="71">
        <f t="shared" si="107"/>
        <v>17.28</v>
      </c>
      <c r="H1202" s="71">
        <f t="shared" si="108"/>
        <v>17.28</v>
      </c>
      <c r="I1202" s="71">
        <f t="shared" si="109"/>
        <v>17.28</v>
      </c>
      <c r="J1202" s="71">
        <f t="shared" si="110"/>
        <v>17.28</v>
      </c>
      <c r="K1202" s="72">
        <v>0</v>
      </c>
      <c r="M1202" s="58">
        <f>VLOOKUP(D1202,'TABELA DE PRECOS'!B:C,2,0)</f>
        <v>17.28</v>
      </c>
    </row>
    <row r="1203" spans="1:13" ht="15.75" customHeight="1" x14ac:dyDescent="0.25">
      <c r="A1203" s="65">
        <v>25</v>
      </c>
      <c r="B1203" s="84" t="s">
        <v>536</v>
      </c>
      <c r="C1203" s="73">
        <v>1</v>
      </c>
      <c r="D1203" s="85" t="s">
        <v>537</v>
      </c>
      <c r="E1203" s="86" t="s">
        <v>131</v>
      </c>
      <c r="F1203" s="85" t="s">
        <v>223</v>
      </c>
      <c r="G1203" s="71">
        <f t="shared" si="107"/>
        <v>355.78</v>
      </c>
      <c r="H1203" s="71">
        <f t="shared" si="108"/>
        <v>355.78</v>
      </c>
      <c r="I1203" s="71">
        <f t="shared" si="109"/>
        <v>355.78</v>
      </c>
      <c r="J1203" s="71">
        <f t="shared" si="110"/>
        <v>355.78</v>
      </c>
      <c r="K1203" s="72">
        <v>0</v>
      </c>
      <c r="M1203" s="58">
        <f>VLOOKUP(D1203,'TABELA DE PRECOS'!B:C,2,0)</f>
        <v>355.78</v>
      </c>
    </row>
    <row r="1204" spans="1:13" ht="15.75" customHeight="1" x14ac:dyDescent="0.25">
      <c r="A1204" s="65">
        <v>26</v>
      </c>
      <c r="B1204" s="84" t="s">
        <v>534</v>
      </c>
      <c r="C1204" s="73">
        <v>1</v>
      </c>
      <c r="D1204" s="85" t="s">
        <v>535</v>
      </c>
      <c r="E1204" s="86" t="s">
        <v>131</v>
      </c>
      <c r="F1204" s="85" t="s">
        <v>223</v>
      </c>
      <c r="G1204" s="71">
        <f t="shared" si="107"/>
        <v>334.76</v>
      </c>
      <c r="H1204" s="71">
        <f t="shared" si="108"/>
        <v>334.76</v>
      </c>
      <c r="I1204" s="71">
        <f t="shared" si="109"/>
        <v>334.76</v>
      </c>
      <c r="J1204" s="71">
        <f t="shared" si="110"/>
        <v>334.76</v>
      </c>
      <c r="K1204" s="72">
        <v>0</v>
      </c>
      <c r="M1204" s="58">
        <f>VLOOKUP(D1204,'TABELA DE PRECOS'!B:C,2,0)</f>
        <v>334.76</v>
      </c>
    </row>
    <row r="1205" spans="1:13" ht="15.75" customHeight="1" x14ac:dyDescent="0.25">
      <c r="A1205" s="65">
        <v>27</v>
      </c>
      <c r="B1205" s="84" t="s">
        <v>496</v>
      </c>
      <c r="C1205" s="73">
        <v>1</v>
      </c>
      <c r="D1205" s="85" t="s">
        <v>1234</v>
      </c>
      <c r="E1205" s="86" t="s">
        <v>131</v>
      </c>
      <c r="F1205" s="85" t="s">
        <v>223</v>
      </c>
      <c r="G1205" s="71">
        <f t="shared" si="107"/>
        <v>414.94</v>
      </c>
      <c r="H1205" s="71">
        <f t="shared" si="108"/>
        <v>414.94</v>
      </c>
      <c r="I1205" s="71">
        <f t="shared" si="109"/>
        <v>414.94</v>
      </c>
      <c r="J1205" s="71">
        <f t="shared" si="110"/>
        <v>414.94</v>
      </c>
      <c r="K1205" s="72">
        <v>0</v>
      </c>
      <c r="M1205" s="58">
        <f>VLOOKUP(D1205,'TABELA DE PRECOS'!B:C,2,0)</f>
        <v>414.94</v>
      </c>
    </row>
    <row r="1206" spans="1:13" ht="15.75" customHeight="1" x14ac:dyDescent="0.25">
      <c r="A1206" s="65">
        <v>28</v>
      </c>
      <c r="B1206" s="84" t="s">
        <v>378</v>
      </c>
      <c r="C1206" s="73">
        <v>2</v>
      </c>
      <c r="D1206" s="85" t="s">
        <v>1226</v>
      </c>
      <c r="E1206" s="86" t="s">
        <v>131</v>
      </c>
      <c r="F1206" s="85" t="s">
        <v>223</v>
      </c>
      <c r="G1206" s="71">
        <f t="shared" si="107"/>
        <v>9.18</v>
      </c>
      <c r="H1206" s="71">
        <f t="shared" si="108"/>
        <v>18.36</v>
      </c>
      <c r="I1206" s="71">
        <f t="shared" si="109"/>
        <v>9.18</v>
      </c>
      <c r="J1206" s="71">
        <f t="shared" si="110"/>
        <v>18.36</v>
      </c>
      <c r="K1206" s="72">
        <v>0</v>
      </c>
      <c r="M1206" s="58">
        <f>VLOOKUP(D1206,'TABELA DE PRECOS'!B:C,2,0)</f>
        <v>9.18</v>
      </c>
    </row>
    <row r="1207" spans="1:13" ht="15.75" customHeight="1" x14ac:dyDescent="0.25">
      <c r="A1207" s="78"/>
      <c r="B1207" s="79" t="s">
        <v>224</v>
      </c>
      <c r="C1207" s="79">
        <f>SUM(C1179:C1206)</f>
        <v>46</v>
      </c>
      <c r="D1207" s="79"/>
      <c r="E1207" s="79"/>
      <c r="F1207" s="79"/>
      <c r="G1207" s="80"/>
      <c r="H1207" s="80">
        <f>SUM(H1179:H1206)</f>
        <v>2520.86096</v>
      </c>
      <c r="I1207" s="79"/>
      <c r="J1207" s="80">
        <f>SUM(J1179:J1206)</f>
        <v>2520.86096</v>
      </c>
      <c r="K1207" s="81"/>
      <c r="M1207" s="58" t="e">
        <f>VLOOKUP(D1207,'TABELA DE PRECOS'!B:C,2,0)</f>
        <v>#N/A</v>
      </c>
    </row>
    <row r="1208" spans="1:13" ht="15.75" customHeight="1" x14ac:dyDescent="0.25">
      <c r="A1208" s="56"/>
      <c r="B1208" s="49" t="s">
        <v>15</v>
      </c>
      <c r="C1208" s="57"/>
      <c r="G1208" s="58"/>
      <c r="H1208" s="58"/>
      <c r="I1208" s="58"/>
      <c r="J1208" s="58"/>
      <c r="K1208" s="59"/>
      <c r="M1208" s="58" t="e">
        <f>VLOOKUP(D1208,'TABELA DE PRECOS'!B:C,2,0)</f>
        <v>#N/A</v>
      </c>
    </row>
    <row r="1209" spans="1:13" ht="15.75" customHeight="1" x14ac:dyDescent="0.25">
      <c r="A1209" s="56"/>
      <c r="B1209" s="18" t="s">
        <v>1235</v>
      </c>
      <c r="C1209" s="57"/>
      <c r="G1209" s="58"/>
      <c r="H1209" s="58"/>
      <c r="I1209" s="58"/>
      <c r="J1209" s="58"/>
      <c r="K1209" s="59"/>
      <c r="M1209" s="58" t="e">
        <f>VLOOKUP(D1209,'TABELA DE PRECOS'!B:C,2,0)</f>
        <v>#N/A</v>
      </c>
    </row>
    <row r="1210" spans="1:13" ht="15.75" customHeight="1" x14ac:dyDescent="0.25">
      <c r="A1210" s="18" t="s">
        <v>119</v>
      </c>
      <c r="B1210" s="18" t="s">
        <v>120</v>
      </c>
      <c r="C1210" s="18" t="s">
        <v>21</v>
      </c>
      <c r="D1210" s="18" t="s">
        <v>121</v>
      </c>
      <c r="E1210" s="60" t="s">
        <v>122</v>
      </c>
      <c r="F1210" s="18" t="s">
        <v>123</v>
      </c>
      <c r="G1210" s="61" t="s">
        <v>22</v>
      </c>
      <c r="H1210" s="18" t="s">
        <v>23</v>
      </c>
      <c r="I1210" s="18" t="s">
        <v>24</v>
      </c>
      <c r="J1210" s="18" t="s">
        <v>25</v>
      </c>
      <c r="K1210" s="62" t="s">
        <v>26</v>
      </c>
      <c r="M1210" s="58" t="str">
        <f>VLOOKUP(D1210,'TABELA DE PRECOS'!B:C,2,0)</f>
        <v>Valor Unit Bruto</v>
      </c>
    </row>
    <row r="1211" spans="1:13" ht="15.75" customHeight="1" x14ac:dyDescent="0.25">
      <c r="A1211" s="65">
        <v>1</v>
      </c>
      <c r="B1211" s="84" t="s">
        <v>290</v>
      </c>
      <c r="C1211" s="73">
        <v>2</v>
      </c>
      <c r="D1211" s="85" t="s">
        <v>291</v>
      </c>
      <c r="E1211" s="86" t="s">
        <v>131</v>
      </c>
      <c r="F1211" s="85">
        <v>81897719002</v>
      </c>
      <c r="G1211" s="71">
        <f t="shared" ref="G1211:G1296" si="111">M1211</f>
        <v>16.5</v>
      </c>
      <c r="H1211" s="71">
        <f t="shared" ref="H1211:H1296" si="112">G1211*C1211</f>
        <v>33</v>
      </c>
      <c r="I1211" s="71">
        <f t="shared" ref="I1211:I1296" si="113">G1211</f>
        <v>16.5</v>
      </c>
      <c r="J1211" s="71">
        <f t="shared" ref="J1211:J1296" si="114">I1211*C1211</f>
        <v>33</v>
      </c>
      <c r="K1211" s="72">
        <v>0</v>
      </c>
      <c r="M1211" s="58">
        <f>VLOOKUP(D1211,'TABELA DE PRECOS'!B:C,2,0)</f>
        <v>16.5</v>
      </c>
    </row>
    <row r="1212" spans="1:13" ht="15.75" customHeight="1" x14ac:dyDescent="0.25">
      <c r="A1212" s="65">
        <v>2</v>
      </c>
      <c r="B1212" s="84" t="s">
        <v>1236</v>
      </c>
      <c r="C1212" s="73">
        <v>1</v>
      </c>
      <c r="D1212" s="85" t="s">
        <v>1237</v>
      </c>
      <c r="E1212" s="86" t="s">
        <v>131</v>
      </c>
      <c r="F1212" s="85">
        <v>81897719002</v>
      </c>
      <c r="G1212" s="71">
        <f t="shared" si="111"/>
        <v>19.427679999999999</v>
      </c>
      <c r="H1212" s="71">
        <f t="shared" si="112"/>
        <v>19.427679999999999</v>
      </c>
      <c r="I1212" s="71">
        <f t="shared" si="113"/>
        <v>19.427679999999999</v>
      </c>
      <c r="J1212" s="71">
        <f t="shared" si="114"/>
        <v>19.427679999999999</v>
      </c>
      <c r="K1212" s="72">
        <v>0</v>
      </c>
      <c r="M1212" s="58">
        <f>VLOOKUP(D1212,'TABELA DE PRECOS'!B:C,2,0)</f>
        <v>19.427679999999999</v>
      </c>
    </row>
    <row r="1213" spans="1:13" ht="15.75" customHeight="1" x14ac:dyDescent="0.25">
      <c r="A1213" s="65">
        <v>3</v>
      </c>
      <c r="B1213" s="84" t="s">
        <v>974</v>
      </c>
      <c r="C1213" s="73">
        <v>2</v>
      </c>
      <c r="D1213" s="85" t="s">
        <v>975</v>
      </c>
      <c r="E1213" s="86" t="s">
        <v>131</v>
      </c>
      <c r="F1213" s="85">
        <v>81897719002</v>
      </c>
      <c r="G1213" s="71">
        <f t="shared" si="111"/>
        <v>12.40944</v>
      </c>
      <c r="H1213" s="71">
        <f t="shared" si="112"/>
        <v>24.81888</v>
      </c>
      <c r="I1213" s="71">
        <f t="shared" si="113"/>
        <v>12.40944</v>
      </c>
      <c r="J1213" s="71">
        <f t="shared" si="114"/>
        <v>24.81888</v>
      </c>
      <c r="K1213" s="72">
        <v>0</v>
      </c>
      <c r="M1213" s="58">
        <f>VLOOKUP(D1213,'TABELA DE PRECOS'!B:C,2,0)</f>
        <v>12.40944</v>
      </c>
    </row>
    <row r="1214" spans="1:13" ht="15.75" customHeight="1" x14ac:dyDescent="0.25">
      <c r="A1214" s="65">
        <v>4</v>
      </c>
      <c r="B1214" s="84" t="s">
        <v>649</v>
      </c>
      <c r="C1214" s="73">
        <v>1</v>
      </c>
      <c r="D1214" s="85" t="s">
        <v>650</v>
      </c>
      <c r="E1214" s="86" t="s">
        <v>131</v>
      </c>
      <c r="F1214" s="85">
        <v>81897719002</v>
      </c>
      <c r="G1214" s="71">
        <f t="shared" si="111"/>
        <v>133.35616000000002</v>
      </c>
      <c r="H1214" s="71">
        <f t="shared" si="112"/>
        <v>133.35616000000002</v>
      </c>
      <c r="I1214" s="71">
        <f t="shared" si="113"/>
        <v>133.35616000000002</v>
      </c>
      <c r="J1214" s="71">
        <f t="shared" si="114"/>
        <v>133.35616000000002</v>
      </c>
      <c r="K1214" s="72">
        <v>0</v>
      </c>
      <c r="M1214" s="58">
        <f>VLOOKUP(D1214,'TABELA DE PRECOS'!B:C,2,0)</f>
        <v>133.35616000000002</v>
      </c>
    </row>
    <row r="1215" spans="1:13" ht="15.75" customHeight="1" x14ac:dyDescent="0.25">
      <c r="A1215" s="65">
        <v>5</v>
      </c>
      <c r="B1215" s="66" t="s">
        <v>552</v>
      </c>
      <c r="C1215" s="82">
        <v>1</v>
      </c>
      <c r="D1215" s="76" t="s">
        <v>553</v>
      </c>
      <c r="E1215" s="69" t="s">
        <v>131</v>
      </c>
      <c r="F1215" s="76">
        <v>81897719002</v>
      </c>
      <c r="G1215" s="87">
        <f t="shared" si="111"/>
        <v>133.35616000000002</v>
      </c>
      <c r="H1215" s="71">
        <f t="shared" si="112"/>
        <v>133.35616000000002</v>
      </c>
      <c r="I1215" s="71">
        <f t="shared" si="113"/>
        <v>133.35616000000002</v>
      </c>
      <c r="J1215" s="71">
        <f t="shared" si="114"/>
        <v>133.35616000000002</v>
      </c>
      <c r="K1215" s="72">
        <v>0</v>
      </c>
      <c r="M1215" s="58">
        <f>VLOOKUP(D1215,'TABELA DE PRECOS'!B:C,2,0)</f>
        <v>133.35616000000002</v>
      </c>
    </row>
    <row r="1216" spans="1:13" ht="15.75" customHeight="1" x14ac:dyDescent="0.25">
      <c r="A1216" s="65">
        <v>6</v>
      </c>
      <c r="B1216" s="66" t="s">
        <v>1238</v>
      </c>
      <c r="C1216" s="82">
        <v>2</v>
      </c>
      <c r="D1216" s="76" t="s">
        <v>1239</v>
      </c>
      <c r="E1216" s="69" t="s">
        <v>131</v>
      </c>
      <c r="F1216" s="76">
        <v>81897719002</v>
      </c>
      <c r="G1216" s="87">
        <f t="shared" si="111"/>
        <v>19.889039999999998</v>
      </c>
      <c r="H1216" s="71">
        <f t="shared" si="112"/>
        <v>39.778079999999996</v>
      </c>
      <c r="I1216" s="71">
        <f t="shared" si="113"/>
        <v>19.889039999999998</v>
      </c>
      <c r="J1216" s="71">
        <f t="shared" si="114"/>
        <v>39.778079999999996</v>
      </c>
      <c r="K1216" s="72">
        <v>0</v>
      </c>
      <c r="M1216" s="58">
        <f>VLOOKUP(D1216,'TABELA DE PRECOS'!B:C,2,0)</f>
        <v>19.889039999999998</v>
      </c>
    </row>
    <row r="1217" spans="1:13" ht="15.75" customHeight="1" x14ac:dyDescent="0.25">
      <c r="A1217" s="65">
        <v>7</v>
      </c>
      <c r="B1217" s="66" t="s">
        <v>1240</v>
      </c>
      <c r="C1217" s="82">
        <v>2</v>
      </c>
      <c r="D1217" s="76" t="s">
        <v>1241</v>
      </c>
      <c r="E1217" s="69" t="s">
        <v>131</v>
      </c>
      <c r="F1217" s="76">
        <v>81897719002</v>
      </c>
      <c r="G1217" s="87">
        <f t="shared" si="111"/>
        <v>19.889039999999998</v>
      </c>
      <c r="H1217" s="71">
        <f t="shared" si="112"/>
        <v>39.778079999999996</v>
      </c>
      <c r="I1217" s="71">
        <f t="shared" si="113"/>
        <v>19.889039999999998</v>
      </c>
      <c r="J1217" s="71">
        <f t="shared" si="114"/>
        <v>39.778079999999996</v>
      </c>
      <c r="K1217" s="72">
        <v>0</v>
      </c>
      <c r="M1217" s="58">
        <f>VLOOKUP(D1217,'TABELA DE PRECOS'!B:C,2,0)</f>
        <v>19.889039999999998</v>
      </c>
    </row>
    <row r="1218" spans="1:13" ht="15.75" customHeight="1" x14ac:dyDescent="0.25">
      <c r="A1218" s="65">
        <v>8</v>
      </c>
      <c r="B1218" s="66" t="s">
        <v>1242</v>
      </c>
      <c r="C1218" s="82">
        <v>1</v>
      </c>
      <c r="D1218" s="75" t="s">
        <v>1243</v>
      </c>
      <c r="E1218" s="69" t="s">
        <v>131</v>
      </c>
      <c r="F1218" s="76">
        <v>81897719006</v>
      </c>
      <c r="G1218" s="87">
        <f t="shared" si="111"/>
        <v>10.68712</v>
      </c>
      <c r="H1218" s="71">
        <f t="shared" si="112"/>
        <v>10.68712</v>
      </c>
      <c r="I1218" s="71">
        <f t="shared" si="113"/>
        <v>10.68712</v>
      </c>
      <c r="J1218" s="71">
        <f t="shared" si="114"/>
        <v>10.68712</v>
      </c>
      <c r="K1218" s="72">
        <v>0</v>
      </c>
      <c r="M1218" s="58">
        <f>VLOOKUP(D1218,'TABELA DE PRECOS'!B:C,2,0)</f>
        <v>10.68712</v>
      </c>
    </row>
    <row r="1219" spans="1:13" ht="15.75" customHeight="1" x14ac:dyDescent="0.25">
      <c r="A1219" s="65">
        <v>9</v>
      </c>
      <c r="B1219" s="66" t="s">
        <v>1244</v>
      </c>
      <c r="C1219" s="82">
        <v>1</v>
      </c>
      <c r="D1219" s="76" t="s">
        <v>1245</v>
      </c>
      <c r="E1219" s="69" t="s">
        <v>131</v>
      </c>
      <c r="F1219" s="76">
        <v>81897719003</v>
      </c>
      <c r="G1219" s="87">
        <f t="shared" si="111"/>
        <v>187.21736000000001</v>
      </c>
      <c r="H1219" s="71">
        <f t="shared" si="112"/>
        <v>187.21736000000001</v>
      </c>
      <c r="I1219" s="71">
        <f t="shared" si="113"/>
        <v>187.21736000000001</v>
      </c>
      <c r="J1219" s="71">
        <f t="shared" si="114"/>
        <v>187.21736000000001</v>
      </c>
      <c r="K1219" s="72">
        <v>0</v>
      </c>
      <c r="M1219" s="58">
        <f>VLOOKUP(D1219,'TABELA DE PRECOS'!B:C,2,0)</f>
        <v>187.21736000000001</v>
      </c>
    </row>
    <row r="1220" spans="1:13" ht="15.75" customHeight="1" x14ac:dyDescent="0.25">
      <c r="A1220" s="65">
        <v>10</v>
      </c>
      <c r="B1220" s="66" t="s">
        <v>1246</v>
      </c>
      <c r="C1220" s="82">
        <v>1</v>
      </c>
      <c r="D1220" s="76" t="s">
        <v>1247</v>
      </c>
      <c r="E1220" s="69" t="s">
        <v>131</v>
      </c>
      <c r="F1220" s="76">
        <v>81897719003</v>
      </c>
      <c r="G1220" s="87">
        <f t="shared" si="111"/>
        <v>97.062560000000005</v>
      </c>
      <c r="H1220" s="71">
        <f t="shared" si="112"/>
        <v>97.062560000000005</v>
      </c>
      <c r="I1220" s="71">
        <f t="shared" si="113"/>
        <v>97.062560000000005</v>
      </c>
      <c r="J1220" s="71">
        <f t="shared" si="114"/>
        <v>97.062560000000005</v>
      </c>
      <c r="K1220" s="72">
        <v>0</v>
      </c>
      <c r="M1220" s="58">
        <f>VLOOKUP(D1220,'TABELA DE PRECOS'!B:C,2,0)</f>
        <v>97.062560000000005</v>
      </c>
    </row>
    <row r="1221" spans="1:13" ht="15.75" customHeight="1" x14ac:dyDescent="0.25">
      <c r="A1221" s="65">
        <v>11</v>
      </c>
      <c r="B1221" s="66" t="s">
        <v>1248</v>
      </c>
      <c r="C1221" s="82">
        <v>1</v>
      </c>
      <c r="D1221" s="76" t="s">
        <v>862</v>
      </c>
      <c r="E1221" s="69" t="s">
        <v>131</v>
      </c>
      <c r="F1221" s="76">
        <v>81897710017</v>
      </c>
      <c r="G1221" s="87">
        <f t="shared" si="111"/>
        <v>119.29631999999998</v>
      </c>
      <c r="H1221" s="71">
        <f t="shared" si="112"/>
        <v>119.29631999999998</v>
      </c>
      <c r="I1221" s="71">
        <f t="shared" si="113"/>
        <v>119.29631999999998</v>
      </c>
      <c r="J1221" s="71">
        <f t="shared" si="114"/>
        <v>119.29631999999998</v>
      </c>
      <c r="K1221" s="72">
        <v>0</v>
      </c>
      <c r="M1221" s="58">
        <f>VLOOKUP(D1221,'TABELA DE PRECOS'!B:C,2,0)</f>
        <v>119.29631999999998</v>
      </c>
    </row>
    <row r="1222" spans="1:13" ht="15.75" customHeight="1" x14ac:dyDescent="0.25">
      <c r="A1222" s="65">
        <v>12</v>
      </c>
      <c r="B1222" s="66" t="s">
        <v>1249</v>
      </c>
      <c r="C1222" s="82">
        <v>1</v>
      </c>
      <c r="D1222" s="76" t="s">
        <v>1250</v>
      </c>
      <c r="E1222" s="69" t="s">
        <v>131</v>
      </c>
      <c r="F1222" s="76">
        <v>81897710017</v>
      </c>
      <c r="G1222" s="87">
        <f t="shared" si="111"/>
        <v>120.10527999999999</v>
      </c>
      <c r="H1222" s="71">
        <f t="shared" si="112"/>
        <v>120.10527999999999</v>
      </c>
      <c r="I1222" s="71">
        <f t="shared" si="113"/>
        <v>120.10527999999999</v>
      </c>
      <c r="J1222" s="71">
        <f t="shared" si="114"/>
        <v>120.10527999999999</v>
      </c>
      <c r="K1222" s="72">
        <v>0</v>
      </c>
      <c r="M1222" s="58">
        <f>VLOOKUP(D1222,'TABELA DE PRECOS'!B:C,2,0)</f>
        <v>120.10527999999999</v>
      </c>
    </row>
    <row r="1223" spans="1:13" ht="15.75" customHeight="1" x14ac:dyDescent="0.25">
      <c r="A1223" s="65">
        <v>13</v>
      </c>
      <c r="B1223" s="84" t="s">
        <v>1251</v>
      </c>
      <c r="C1223" s="73">
        <v>1</v>
      </c>
      <c r="D1223" s="85" t="s">
        <v>1252</v>
      </c>
      <c r="E1223" s="86" t="s">
        <v>131</v>
      </c>
      <c r="F1223" s="85">
        <v>81897719002</v>
      </c>
      <c r="G1223" s="71">
        <f t="shared" si="111"/>
        <v>160.17408</v>
      </c>
      <c r="H1223" s="71">
        <f t="shared" si="112"/>
        <v>160.17408</v>
      </c>
      <c r="I1223" s="71">
        <f t="shared" si="113"/>
        <v>160.17408</v>
      </c>
      <c r="J1223" s="71">
        <f t="shared" si="114"/>
        <v>160.17408</v>
      </c>
      <c r="K1223" s="72">
        <v>0</v>
      </c>
      <c r="M1223" s="58">
        <f>VLOOKUP(D1223,'TABELA DE PRECOS'!B:C,2,0)</f>
        <v>160.17408</v>
      </c>
    </row>
    <row r="1224" spans="1:13" ht="15.75" customHeight="1" x14ac:dyDescent="0.25">
      <c r="A1224" s="65">
        <v>14</v>
      </c>
      <c r="B1224" s="84" t="s">
        <v>1253</v>
      </c>
      <c r="C1224" s="73">
        <v>1</v>
      </c>
      <c r="D1224" s="49" t="s">
        <v>1254</v>
      </c>
      <c r="E1224" s="86" t="s">
        <v>131</v>
      </c>
      <c r="F1224" s="85">
        <v>81897719003</v>
      </c>
      <c r="G1224" s="71">
        <f t="shared" si="111"/>
        <v>121.72319999999999</v>
      </c>
      <c r="H1224" s="71">
        <f t="shared" si="112"/>
        <v>121.72319999999999</v>
      </c>
      <c r="I1224" s="71">
        <f t="shared" si="113"/>
        <v>121.72319999999999</v>
      </c>
      <c r="J1224" s="71">
        <f t="shared" si="114"/>
        <v>121.72319999999999</v>
      </c>
      <c r="K1224" s="72">
        <v>0</v>
      </c>
      <c r="M1224" s="58">
        <f>VLOOKUP(D1224,'TABELA DE PRECOS'!B:C,2,0)</f>
        <v>121.72319999999999</v>
      </c>
    </row>
    <row r="1225" spans="1:13" ht="15.75" customHeight="1" x14ac:dyDescent="0.25">
      <c r="A1225" s="65">
        <v>15</v>
      </c>
      <c r="B1225" s="84" t="s">
        <v>1255</v>
      </c>
      <c r="C1225" s="73">
        <v>1</v>
      </c>
      <c r="D1225" s="85" t="s">
        <v>1256</v>
      </c>
      <c r="E1225" s="86" t="s">
        <v>131</v>
      </c>
      <c r="F1225" s="85">
        <v>81897719003</v>
      </c>
      <c r="G1225" s="71">
        <f t="shared" si="111"/>
        <v>174.73536000000001</v>
      </c>
      <c r="H1225" s="71">
        <f t="shared" si="112"/>
        <v>174.73536000000001</v>
      </c>
      <c r="I1225" s="71">
        <f t="shared" si="113"/>
        <v>174.73536000000001</v>
      </c>
      <c r="J1225" s="71">
        <f t="shared" si="114"/>
        <v>174.73536000000001</v>
      </c>
      <c r="K1225" s="72">
        <v>0</v>
      </c>
      <c r="M1225" s="58">
        <f>VLOOKUP(D1225,'TABELA DE PRECOS'!B:C,2,0)</f>
        <v>174.73536000000001</v>
      </c>
    </row>
    <row r="1226" spans="1:13" ht="15.75" customHeight="1" x14ac:dyDescent="0.25">
      <c r="A1226" s="65">
        <v>16</v>
      </c>
      <c r="B1226" s="49" t="s">
        <v>1257</v>
      </c>
      <c r="C1226" s="73">
        <v>2</v>
      </c>
      <c r="D1226" s="49" t="s">
        <v>1258</v>
      </c>
      <c r="E1226" s="86" t="s">
        <v>131</v>
      </c>
      <c r="F1226" s="85">
        <v>81897719006</v>
      </c>
      <c r="G1226" s="71">
        <f t="shared" si="111"/>
        <v>88.3536</v>
      </c>
      <c r="H1226" s="71">
        <f t="shared" si="112"/>
        <v>176.7072</v>
      </c>
      <c r="I1226" s="71">
        <f t="shared" si="113"/>
        <v>88.3536</v>
      </c>
      <c r="J1226" s="71">
        <f t="shared" si="114"/>
        <v>176.7072</v>
      </c>
      <c r="K1226" s="72">
        <v>0</v>
      </c>
      <c r="M1226" s="58">
        <f>VLOOKUP(D1226,'TABELA DE PRECOS'!B:C,2,0)</f>
        <v>88.3536</v>
      </c>
    </row>
    <row r="1227" spans="1:13" ht="15.75" customHeight="1" x14ac:dyDescent="0.25">
      <c r="A1227" s="65">
        <v>17</v>
      </c>
      <c r="B1227" s="84" t="s">
        <v>300</v>
      </c>
      <c r="C1227" s="73">
        <v>1</v>
      </c>
      <c r="D1227" s="85" t="s">
        <v>301</v>
      </c>
      <c r="E1227" s="86" t="s">
        <v>131</v>
      </c>
      <c r="F1227" s="85">
        <v>81897719002</v>
      </c>
      <c r="G1227" s="71">
        <f t="shared" si="111"/>
        <v>9.4</v>
      </c>
      <c r="H1227" s="71">
        <f t="shared" si="112"/>
        <v>9.4</v>
      </c>
      <c r="I1227" s="71">
        <f t="shared" si="113"/>
        <v>9.4</v>
      </c>
      <c r="J1227" s="71">
        <f t="shared" si="114"/>
        <v>9.4</v>
      </c>
      <c r="K1227" s="72">
        <v>0</v>
      </c>
      <c r="L1227" s="63"/>
      <c r="M1227" s="58">
        <f>VLOOKUP(D1227,'TABELA DE PRECOS'!B:C,2,0)</f>
        <v>9.4</v>
      </c>
    </row>
    <row r="1228" spans="1:13" ht="15.75" customHeight="1" x14ac:dyDescent="0.25">
      <c r="A1228" s="65">
        <v>18</v>
      </c>
      <c r="B1228" s="84" t="s">
        <v>451</v>
      </c>
      <c r="C1228" s="73">
        <v>1</v>
      </c>
      <c r="D1228" s="49" t="s">
        <v>452</v>
      </c>
      <c r="E1228" s="86" t="s">
        <v>131</v>
      </c>
      <c r="F1228" s="85">
        <v>81897710021</v>
      </c>
      <c r="G1228" s="71">
        <f t="shared" si="111"/>
        <v>6.12</v>
      </c>
      <c r="H1228" s="71">
        <f t="shared" si="112"/>
        <v>6.12</v>
      </c>
      <c r="I1228" s="71">
        <f t="shared" si="113"/>
        <v>6.12</v>
      </c>
      <c r="J1228" s="71">
        <f t="shared" si="114"/>
        <v>6.12</v>
      </c>
      <c r="K1228" s="72">
        <v>0</v>
      </c>
      <c r="M1228" s="58">
        <f>VLOOKUP(D1228,'TABELA DE PRECOS'!B:C,2,0)</f>
        <v>6.12</v>
      </c>
    </row>
    <row r="1229" spans="1:13" ht="15.75" customHeight="1" x14ac:dyDescent="0.25">
      <c r="A1229" s="65">
        <v>19</v>
      </c>
      <c r="B1229" s="84" t="s">
        <v>304</v>
      </c>
      <c r="C1229" s="73">
        <v>1</v>
      </c>
      <c r="D1229" s="85" t="s">
        <v>305</v>
      </c>
      <c r="E1229" s="86" t="s">
        <v>131</v>
      </c>
      <c r="F1229" s="85" t="s">
        <v>223</v>
      </c>
      <c r="G1229" s="71">
        <f t="shared" si="111"/>
        <v>5.2653600000000003</v>
      </c>
      <c r="H1229" s="71">
        <f t="shared" si="112"/>
        <v>5.2653600000000003</v>
      </c>
      <c r="I1229" s="71">
        <f t="shared" si="113"/>
        <v>5.2653600000000003</v>
      </c>
      <c r="J1229" s="71">
        <f t="shared" si="114"/>
        <v>5.2653600000000003</v>
      </c>
      <c r="K1229" s="72">
        <v>0</v>
      </c>
      <c r="M1229" s="58">
        <f>VLOOKUP(D1229,'TABELA DE PRECOS'!B:C,2,0)</f>
        <v>5.2653600000000003</v>
      </c>
    </row>
    <row r="1230" spans="1:13" ht="15.75" customHeight="1" x14ac:dyDescent="0.25">
      <c r="A1230" s="65">
        <v>20</v>
      </c>
      <c r="B1230" s="84" t="s">
        <v>1259</v>
      </c>
      <c r="C1230" s="73">
        <v>1</v>
      </c>
      <c r="D1230" s="85" t="s">
        <v>1260</v>
      </c>
      <c r="E1230" s="86" t="s">
        <v>131</v>
      </c>
      <c r="F1230" s="85">
        <v>81897719002</v>
      </c>
      <c r="G1230" s="71">
        <f t="shared" si="111"/>
        <v>58.24512</v>
      </c>
      <c r="H1230" s="71">
        <f t="shared" si="112"/>
        <v>58.24512</v>
      </c>
      <c r="I1230" s="71">
        <f t="shared" si="113"/>
        <v>58.24512</v>
      </c>
      <c r="J1230" s="71">
        <f t="shared" si="114"/>
        <v>58.24512</v>
      </c>
      <c r="K1230" s="72">
        <v>0</v>
      </c>
      <c r="M1230" s="58">
        <f>VLOOKUP(D1230,'TABELA DE PRECOS'!B:C,2,0)</f>
        <v>58.24512</v>
      </c>
    </row>
    <row r="1231" spans="1:13" ht="15.75" customHeight="1" x14ac:dyDescent="0.25">
      <c r="A1231" s="65">
        <v>21</v>
      </c>
      <c r="B1231" s="84" t="s">
        <v>1261</v>
      </c>
      <c r="C1231" s="73">
        <v>1</v>
      </c>
      <c r="D1231" s="85" t="s">
        <v>1262</v>
      </c>
      <c r="E1231" s="86" t="s">
        <v>131</v>
      </c>
      <c r="F1231" s="85">
        <v>81897710010</v>
      </c>
      <c r="G1231" s="71">
        <f t="shared" si="111"/>
        <v>58.24512</v>
      </c>
      <c r="H1231" s="71">
        <f t="shared" si="112"/>
        <v>58.24512</v>
      </c>
      <c r="I1231" s="71">
        <f t="shared" si="113"/>
        <v>58.24512</v>
      </c>
      <c r="J1231" s="71">
        <f t="shared" si="114"/>
        <v>58.24512</v>
      </c>
      <c r="K1231" s="72">
        <v>0</v>
      </c>
      <c r="M1231" s="58">
        <f>VLOOKUP(D1231,'TABELA DE PRECOS'!B:C,2,0)</f>
        <v>58.24512</v>
      </c>
    </row>
    <row r="1232" spans="1:13" ht="15.75" customHeight="1" x14ac:dyDescent="0.25">
      <c r="A1232" s="65">
        <v>22</v>
      </c>
      <c r="B1232" s="84" t="s">
        <v>1263</v>
      </c>
      <c r="C1232" s="73">
        <v>1</v>
      </c>
      <c r="D1232" s="85" t="s">
        <v>1264</v>
      </c>
      <c r="E1232" s="86" t="s">
        <v>131</v>
      </c>
      <c r="F1232" s="85">
        <v>81897719002</v>
      </c>
      <c r="G1232" s="71">
        <f t="shared" si="111"/>
        <v>13.600640000000002</v>
      </c>
      <c r="H1232" s="71">
        <f t="shared" si="112"/>
        <v>13.600640000000002</v>
      </c>
      <c r="I1232" s="71">
        <f t="shared" si="113"/>
        <v>13.600640000000002</v>
      </c>
      <c r="J1232" s="71">
        <f t="shared" si="114"/>
        <v>13.600640000000002</v>
      </c>
      <c r="K1232" s="72">
        <v>0</v>
      </c>
      <c r="M1232" s="58">
        <f>VLOOKUP(D1232,'TABELA DE PRECOS'!B:C,2,0)</f>
        <v>13.600640000000002</v>
      </c>
    </row>
    <row r="1233" spans="1:13" ht="15.75" customHeight="1" x14ac:dyDescent="0.25">
      <c r="A1233" s="65">
        <v>23</v>
      </c>
      <c r="B1233" s="84" t="s">
        <v>1265</v>
      </c>
      <c r="C1233" s="73">
        <v>1</v>
      </c>
      <c r="D1233" s="85" t="s">
        <v>1266</v>
      </c>
      <c r="E1233" s="86" t="s">
        <v>131</v>
      </c>
      <c r="F1233" s="85">
        <v>81897719002</v>
      </c>
      <c r="G1233" s="71">
        <f t="shared" si="111"/>
        <v>20.38832</v>
      </c>
      <c r="H1233" s="71">
        <f t="shared" si="112"/>
        <v>20.38832</v>
      </c>
      <c r="I1233" s="71">
        <f t="shared" si="113"/>
        <v>20.38832</v>
      </c>
      <c r="J1233" s="71">
        <f t="shared" si="114"/>
        <v>20.38832</v>
      </c>
      <c r="K1233" s="72">
        <v>0</v>
      </c>
      <c r="M1233" s="58">
        <f>VLOOKUP(D1233,'TABELA DE PRECOS'!B:C,2,0)</f>
        <v>20.38832</v>
      </c>
    </row>
    <row r="1234" spans="1:13" ht="15.75" customHeight="1" x14ac:dyDescent="0.25">
      <c r="A1234" s="65">
        <v>24</v>
      </c>
      <c r="B1234" s="84" t="s">
        <v>578</v>
      </c>
      <c r="C1234" s="73">
        <v>1</v>
      </c>
      <c r="D1234" s="85" t="s">
        <v>579</v>
      </c>
      <c r="E1234" s="86" t="s">
        <v>131</v>
      </c>
      <c r="F1234" s="85">
        <v>81897719002</v>
      </c>
      <c r="G1234" s="71">
        <f t="shared" si="111"/>
        <v>17.474799999999998</v>
      </c>
      <c r="H1234" s="71">
        <f t="shared" si="112"/>
        <v>17.474799999999998</v>
      </c>
      <c r="I1234" s="71">
        <f t="shared" si="113"/>
        <v>17.474799999999998</v>
      </c>
      <c r="J1234" s="71">
        <f t="shared" si="114"/>
        <v>17.474799999999998</v>
      </c>
      <c r="K1234" s="72">
        <v>0</v>
      </c>
      <c r="M1234" s="58">
        <f>VLOOKUP(D1234,'TABELA DE PRECOS'!B:C,2,0)</f>
        <v>17.474799999999998</v>
      </c>
    </row>
    <row r="1235" spans="1:13" ht="15.75" customHeight="1" x14ac:dyDescent="0.25">
      <c r="A1235" s="65">
        <v>25</v>
      </c>
      <c r="B1235" s="84" t="s">
        <v>1267</v>
      </c>
      <c r="C1235" s="73">
        <v>1</v>
      </c>
      <c r="D1235" s="85" t="s">
        <v>1268</v>
      </c>
      <c r="E1235" s="86" t="s">
        <v>131</v>
      </c>
      <c r="F1235" s="85">
        <v>81897719002</v>
      </c>
      <c r="G1235" s="71">
        <f t="shared" si="111"/>
        <v>17.474799999999998</v>
      </c>
      <c r="H1235" s="71">
        <f t="shared" si="112"/>
        <v>17.474799999999998</v>
      </c>
      <c r="I1235" s="71">
        <f t="shared" si="113"/>
        <v>17.474799999999998</v>
      </c>
      <c r="J1235" s="71">
        <f t="shared" si="114"/>
        <v>17.474799999999998</v>
      </c>
      <c r="K1235" s="72">
        <v>0</v>
      </c>
      <c r="M1235" s="58">
        <f>VLOOKUP(D1235,'TABELA DE PRECOS'!B:C,2,0)</f>
        <v>17.474799999999998</v>
      </c>
    </row>
    <row r="1236" spans="1:13" ht="15.75" customHeight="1" x14ac:dyDescent="0.25">
      <c r="A1236" s="65">
        <v>26</v>
      </c>
      <c r="B1236" s="84" t="s">
        <v>470</v>
      </c>
      <c r="C1236" s="73">
        <v>1</v>
      </c>
      <c r="D1236" s="85" t="s">
        <v>471</v>
      </c>
      <c r="E1236" s="86" t="s">
        <v>131</v>
      </c>
      <c r="F1236" s="85">
        <v>81897719002</v>
      </c>
      <c r="G1236" s="71">
        <f t="shared" si="111"/>
        <v>21.348960000000002</v>
      </c>
      <c r="H1236" s="71">
        <f t="shared" si="112"/>
        <v>21.348960000000002</v>
      </c>
      <c r="I1236" s="71">
        <f t="shared" si="113"/>
        <v>21.348960000000002</v>
      </c>
      <c r="J1236" s="71">
        <f t="shared" si="114"/>
        <v>21.348960000000002</v>
      </c>
      <c r="K1236" s="72">
        <v>0</v>
      </c>
      <c r="M1236" s="58">
        <f>VLOOKUP(D1236,'TABELA DE PRECOS'!B:C,2,0)</f>
        <v>21.348960000000002</v>
      </c>
    </row>
    <row r="1237" spans="1:13" ht="15.75" customHeight="1" x14ac:dyDescent="0.25">
      <c r="A1237" s="65">
        <v>27</v>
      </c>
      <c r="B1237" s="84" t="s">
        <v>578</v>
      </c>
      <c r="C1237" s="73">
        <v>1</v>
      </c>
      <c r="D1237" s="85" t="s">
        <v>579</v>
      </c>
      <c r="E1237" s="86" t="s">
        <v>131</v>
      </c>
      <c r="F1237" s="85">
        <v>81897719002</v>
      </c>
      <c r="G1237" s="71">
        <f t="shared" si="111"/>
        <v>17.474799999999998</v>
      </c>
      <c r="H1237" s="71">
        <f t="shared" si="112"/>
        <v>17.474799999999998</v>
      </c>
      <c r="I1237" s="71">
        <f t="shared" si="113"/>
        <v>17.474799999999998</v>
      </c>
      <c r="J1237" s="71">
        <f t="shared" si="114"/>
        <v>17.474799999999998</v>
      </c>
      <c r="K1237" s="72">
        <v>0</v>
      </c>
      <c r="M1237" s="58">
        <f>VLOOKUP(D1237,'TABELA DE PRECOS'!B:C,2,0)</f>
        <v>17.474799999999998</v>
      </c>
    </row>
    <row r="1238" spans="1:13" ht="15.75" customHeight="1" x14ac:dyDescent="0.25">
      <c r="A1238" s="65">
        <v>28</v>
      </c>
      <c r="B1238" s="84" t="s">
        <v>1269</v>
      </c>
      <c r="C1238" s="73">
        <v>1</v>
      </c>
      <c r="D1238" s="85" t="s">
        <v>1270</v>
      </c>
      <c r="E1238" s="86" t="s">
        <v>131</v>
      </c>
      <c r="F1238" s="85">
        <v>81897719002</v>
      </c>
      <c r="G1238" s="71">
        <f t="shared" si="111"/>
        <v>16.014879999999998</v>
      </c>
      <c r="H1238" s="71">
        <f t="shared" si="112"/>
        <v>16.014879999999998</v>
      </c>
      <c r="I1238" s="71">
        <f t="shared" si="113"/>
        <v>16.014879999999998</v>
      </c>
      <c r="J1238" s="71">
        <f t="shared" si="114"/>
        <v>16.014879999999998</v>
      </c>
      <c r="K1238" s="72">
        <v>0</v>
      </c>
      <c r="M1238" s="58">
        <f>VLOOKUP(D1238,'TABELA DE PRECOS'!B:C,2,0)</f>
        <v>16.014879999999998</v>
      </c>
    </row>
    <row r="1239" spans="1:13" ht="15.75" customHeight="1" x14ac:dyDescent="0.25">
      <c r="A1239" s="65">
        <v>29</v>
      </c>
      <c r="B1239" s="84" t="s">
        <v>1271</v>
      </c>
      <c r="C1239" s="73">
        <v>1</v>
      </c>
      <c r="D1239" s="85" t="s">
        <v>1272</v>
      </c>
      <c r="E1239" s="86" t="s">
        <v>131</v>
      </c>
      <c r="F1239" s="85">
        <v>81897719002</v>
      </c>
      <c r="G1239" s="71">
        <f t="shared" si="111"/>
        <v>12.147040000000001</v>
      </c>
      <c r="H1239" s="71">
        <f t="shared" si="112"/>
        <v>12.147040000000001</v>
      </c>
      <c r="I1239" s="71">
        <f t="shared" si="113"/>
        <v>12.147040000000001</v>
      </c>
      <c r="J1239" s="71">
        <f t="shared" si="114"/>
        <v>12.147040000000001</v>
      </c>
      <c r="K1239" s="72">
        <v>0</v>
      </c>
      <c r="M1239" s="58">
        <f>VLOOKUP(D1239,'TABELA DE PRECOS'!B:C,2,0)</f>
        <v>12.147040000000001</v>
      </c>
    </row>
    <row r="1240" spans="1:13" ht="15.75" customHeight="1" x14ac:dyDescent="0.25">
      <c r="A1240" s="65">
        <v>30</v>
      </c>
      <c r="B1240" s="84" t="s">
        <v>1273</v>
      </c>
      <c r="C1240" s="73">
        <v>1</v>
      </c>
      <c r="D1240" s="85" t="s">
        <v>1274</v>
      </c>
      <c r="E1240" s="86" t="s">
        <v>131</v>
      </c>
      <c r="F1240" s="85">
        <v>81897719002</v>
      </c>
      <c r="G1240" s="71">
        <f t="shared" si="111"/>
        <v>17.474799999999998</v>
      </c>
      <c r="H1240" s="71">
        <f t="shared" si="112"/>
        <v>17.474799999999998</v>
      </c>
      <c r="I1240" s="71">
        <f t="shared" si="113"/>
        <v>17.474799999999998</v>
      </c>
      <c r="J1240" s="71">
        <f t="shared" si="114"/>
        <v>17.474799999999998</v>
      </c>
      <c r="K1240" s="72">
        <v>0</v>
      </c>
      <c r="M1240" s="58">
        <f>VLOOKUP(D1240,'TABELA DE PRECOS'!B:C,2,0)</f>
        <v>17.474799999999998</v>
      </c>
    </row>
    <row r="1241" spans="1:13" ht="15.75" customHeight="1" x14ac:dyDescent="0.25">
      <c r="A1241" s="65">
        <v>31</v>
      </c>
      <c r="B1241" s="84" t="s">
        <v>476</v>
      </c>
      <c r="C1241" s="73">
        <v>1</v>
      </c>
      <c r="D1241" s="85" t="s">
        <v>477</v>
      </c>
      <c r="E1241" s="86" t="s">
        <v>131</v>
      </c>
      <c r="F1241" s="85">
        <v>81897719002</v>
      </c>
      <c r="G1241" s="71">
        <f t="shared" si="111"/>
        <v>14.56128</v>
      </c>
      <c r="H1241" s="71">
        <f t="shared" si="112"/>
        <v>14.56128</v>
      </c>
      <c r="I1241" s="71">
        <f t="shared" si="113"/>
        <v>14.56128</v>
      </c>
      <c r="J1241" s="71">
        <f t="shared" si="114"/>
        <v>14.56128</v>
      </c>
      <c r="K1241" s="72">
        <v>0</v>
      </c>
      <c r="M1241" s="58">
        <f>VLOOKUP(D1241,'TABELA DE PRECOS'!B:C,2,0)</f>
        <v>14.56128</v>
      </c>
    </row>
    <row r="1242" spans="1:13" ht="15.75" customHeight="1" x14ac:dyDescent="0.25">
      <c r="A1242" s="65">
        <v>32</v>
      </c>
      <c r="B1242" s="84" t="s">
        <v>1275</v>
      </c>
      <c r="C1242" s="73">
        <v>1</v>
      </c>
      <c r="D1242" s="49" t="s">
        <v>1276</v>
      </c>
      <c r="E1242" s="86" t="s">
        <v>131</v>
      </c>
      <c r="F1242" s="85">
        <v>81897719006</v>
      </c>
      <c r="G1242" s="71">
        <f t="shared" si="111"/>
        <v>48.550239999999995</v>
      </c>
      <c r="H1242" s="71">
        <f t="shared" si="112"/>
        <v>48.550239999999995</v>
      </c>
      <c r="I1242" s="71">
        <f t="shared" si="113"/>
        <v>48.550239999999995</v>
      </c>
      <c r="J1242" s="71">
        <f t="shared" si="114"/>
        <v>48.550239999999995</v>
      </c>
      <c r="K1242" s="72">
        <v>0</v>
      </c>
      <c r="M1242" s="58">
        <f>VLOOKUP(D1242,'TABELA DE PRECOS'!B:C,2,0)</f>
        <v>48.550239999999995</v>
      </c>
    </row>
    <row r="1243" spans="1:13" ht="15.75" customHeight="1" x14ac:dyDescent="0.25">
      <c r="A1243" s="65">
        <v>33</v>
      </c>
      <c r="B1243" s="84" t="s">
        <v>1277</v>
      </c>
      <c r="C1243" s="73">
        <v>1</v>
      </c>
      <c r="D1243" s="84" t="s">
        <v>1278</v>
      </c>
      <c r="E1243" s="86" t="s">
        <v>131</v>
      </c>
      <c r="F1243" s="85">
        <v>81897710012</v>
      </c>
      <c r="G1243" s="71">
        <f t="shared" si="111"/>
        <v>360.0188</v>
      </c>
      <c r="H1243" s="71">
        <f t="shared" si="112"/>
        <v>360.0188</v>
      </c>
      <c r="I1243" s="71">
        <f t="shared" si="113"/>
        <v>360.0188</v>
      </c>
      <c r="J1243" s="71">
        <f t="shared" si="114"/>
        <v>360.0188</v>
      </c>
      <c r="K1243" s="72">
        <v>0</v>
      </c>
      <c r="M1243" s="58">
        <f>VLOOKUP(D1243,'TABELA DE PRECOS'!B:C,2,0)</f>
        <v>360.0188</v>
      </c>
    </row>
    <row r="1244" spans="1:13" ht="15.75" customHeight="1" x14ac:dyDescent="0.25">
      <c r="A1244" s="65">
        <v>34</v>
      </c>
      <c r="B1244" s="84" t="s">
        <v>1279</v>
      </c>
      <c r="C1244" s="73">
        <v>1</v>
      </c>
      <c r="D1244" s="84" t="s">
        <v>1280</v>
      </c>
      <c r="E1244" s="86" t="s">
        <v>131</v>
      </c>
      <c r="F1244" s="85">
        <v>81897710012</v>
      </c>
      <c r="G1244" s="71">
        <f t="shared" si="111"/>
        <v>340.93872000000005</v>
      </c>
      <c r="H1244" s="71">
        <f t="shared" si="112"/>
        <v>340.93872000000005</v>
      </c>
      <c r="I1244" s="71">
        <f t="shared" si="113"/>
        <v>340.93872000000005</v>
      </c>
      <c r="J1244" s="71">
        <f t="shared" si="114"/>
        <v>340.93872000000005</v>
      </c>
      <c r="K1244" s="72">
        <v>0</v>
      </c>
      <c r="M1244" s="58">
        <f>VLOOKUP(D1244,'TABELA DE PRECOS'!B:C,2,0)</f>
        <v>340.93872000000005</v>
      </c>
    </row>
    <row r="1245" spans="1:13" ht="15.75" customHeight="1" x14ac:dyDescent="0.25">
      <c r="A1245" s="65">
        <v>35</v>
      </c>
      <c r="B1245" s="84" t="s">
        <v>1281</v>
      </c>
      <c r="C1245" s="73">
        <v>1</v>
      </c>
      <c r="D1245" s="85" t="s">
        <v>1282</v>
      </c>
      <c r="E1245" s="86" t="s">
        <v>131</v>
      </c>
      <c r="F1245" s="85">
        <v>81897719006</v>
      </c>
      <c r="G1245" s="71">
        <f t="shared" si="111"/>
        <v>17.474799999999998</v>
      </c>
      <c r="H1245" s="71">
        <f t="shared" si="112"/>
        <v>17.474799999999998</v>
      </c>
      <c r="I1245" s="71">
        <f t="shared" si="113"/>
        <v>17.474799999999998</v>
      </c>
      <c r="J1245" s="71">
        <f t="shared" si="114"/>
        <v>17.474799999999998</v>
      </c>
      <c r="K1245" s="72">
        <v>0</v>
      </c>
      <c r="M1245" s="58">
        <f>VLOOKUP(D1245,'TABELA DE PRECOS'!B:C,2,0)</f>
        <v>17.474799999999998</v>
      </c>
    </row>
    <row r="1246" spans="1:13" ht="15.75" customHeight="1" x14ac:dyDescent="0.25">
      <c r="A1246" s="65">
        <v>36</v>
      </c>
      <c r="B1246" s="84" t="s">
        <v>1283</v>
      </c>
      <c r="C1246" s="73">
        <v>1</v>
      </c>
      <c r="D1246" s="85" t="s">
        <v>1284</v>
      </c>
      <c r="E1246" s="86" t="s">
        <v>131</v>
      </c>
      <c r="F1246" s="85">
        <v>81897719006</v>
      </c>
      <c r="G1246" s="71">
        <f t="shared" si="111"/>
        <v>17.474799999999998</v>
      </c>
      <c r="H1246" s="71">
        <f t="shared" si="112"/>
        <v>17.474799999999998</v>
      </c>
      <c r="I1246" s="71">
        <f t="shared" si="113"/>
        <v>17.474799999999998</v>
      </c>
      <c r="J1246" s="71">
        <f t="shared" si="114"/>
        <v>17.474799999999998</v>
      </c>
      <c r="K1246" s="72">
        <v>0</v>
      </c>
      <c r="M1246" s="58">
        <f>VLOOKUP(D1246,'TABELA DE PRECOS'!B:C,2,0)</f>
        <v>17.474799999999998</v>
      </c>
    </row>
    <row r="1247" spans="1:13" ht="15.75" customHeight="1" x14ac:dyDescent="0.25">
      <c r="A1247" s="65">
        <v>37</v>
      </c>
      <c r="B1247" s="84" t="s">
        <v>1285</v>
      </c>
      <c r="C1247" s="73">
        <v>1</v>
      </c>
      <c r="D1247" s="85" t="s">
        <v>1286</v>
      </c>
      <c r="E1247" s="86" t="s">
        <v>131</v>
      </c>
      <c r="F1247" s="85">
        <v>81897719006</v>
      </c>
      <c r="G1247" s="71">
        <f t="shared" si="111"/>
        <v>18.719840000000001</v>
      </c>
      <c r="H1247" s="71">
        <f t="shared" si="112"/>
        <v>18.719840000000001</v>
      </c>
      <c r="I1247" s="71">
        <f t="shared" si="113"/>
        <v>18.719840000000001</v>
      </c>
      <c r="J1247" s="71">
        <f t="shared" si="114"/>
        <v>18.719840000000001</v>
      </c>
      <c r="K1247" s="72">
        <v>0</v>
      </c>
      <c r="M1247" s="58">
        <f>VLOOKUP(D1247,'TABELA DE PRECOS'!B:C,2,0)</f>
        <v>18.719840000000001</v>
      </c>
    </row>
    <row r="1248" spans="1:13" ht="15.75" customHeight="1" x14ac:dyDescent="0.25">
      <c r="A1248" s="65">
        <v>38</v>
      </c>
      <c r="B1248" s="84" t="s">
        <v>1287</v>
      </c>
      <c r="C1248" s="73">
        <v>1</v>
      </c>
      <c r="D1248" s="84" t="s">
        <v>1288</v>
      </c>
      <c r="E1248" s="86" t="s">
        <v>131</v>
      </c>
      <c r="F1248" s="85">
        <v>81897710012</v>
      </c>
      <c r="G1248" s="71">
        <f t="shared" si="111"/>
        <v>96.158799999999999</v>
      </c>
      <c r="H1248" s="71">
        <f t="shared" si="112"/>
        <v>96.158799999999999</v>
      </c>
      <c r="I1248" s="71">
        <f t="shared" si="113"/>
        <v>96.158799999999999</v>
      </c>
      <c r="J1248" s="71">
        <f t="shared" si="114"/>
        <v>96.158799999999999</v>
      </c>
      <c r="K1248" s="72">
        <v>0</v>
      </c>
      <c r="M1248" s="58">
        <f>VLOOKUP(D1248,'TABELA DE PRECOS'!B:C,2,0)</f>
        <v>96.158799999999999</v>
      </c>
    </row>
    <row r="1249" spans="1:13" ht="15.75" customHeight="1" x14ac:dyDescent="0.25">
      <c r="A1249" s="65">
        <v>39</v>
      </c>
      <c r="B1249" s="84" t="s">
        <v>1289</v>
      </c>
      <c r="C1249" s="73">
        <v>1</v>
      </c>
      <c r="D1249" s="85" t="s">
        <v>1290</v>
      </c>
      <c r="E1249" s="86" t="s">
        <v>131</v>
      </c>
      <c r="F1249" s="85">
        <v>81897719002</v>
      </c>
      <c r="G1249" s="71">
        <f t="shared" si="111"/>
        <v>9.6948800000000013</v>
      </c>
      <c r="H1249" s="71">
        <f t="shared" si="112"/>
        <v>9.6948800000000013</v>
      </c>
      <c r="I1249" s="71">
        <f t="shared" si="113"/>
        <v>9.6948800000000013</v>
      </c>
      <c r="J1249" s="71">
        <f t="shared" si="114"/>
        <v>9.6948800000000013</v>
      </c>
      <c r="K1249" s="72">
        <v>0</v>
      </c>
      <c r="M1249" s="58">
        <f>VLOOKUP(D1249,'TABELA DE PRECOS'!B:C,2,0)</f>
        <v>9.6948800000000013</v>
      </c>
    </row>
    <row r="1250" spans="1:13" ht="15.75" customHeight="1" x14ac:dyDescent="0.25">
      <c r="A1250" s="65">
        <v>40</v>
      </c>
      <c r="B1250" s="84" t="s">
        <v>185</v>
      </c>
      <c r="C1250" s="73">
        <v>4</v>
      </c>
      <c r="D1250" s="85" t="s">
        <v>186</v>
      </c>
      <c r="E1250" s="86" t="s">
        <v>131</v>
      </c>
      <c r="F1250" s="85">
        <v>81897719002</v>
      </c>
      <c r="G1250" s="71">
        <f t="shared" si="111"/>
        <v>17.28</v>
      </c>
      <c r="H1250" s="71">
        <f t="shared" si="112"/>
        <v>69.12</v>
      </c>
      <c r="I1250" s="71">
        <f t="shared" si="113"/>
        <v>17.28</v>
      </c>
      <c r="J1250" s="71">
        <f t="shared" si="114"/>
        <v>69.12</v>
      </c>
      <c r="K1250" s="72">
        <v>0</v>
      </c>
      <c r="M1250" s="58">
        <f>VLOOKUP(D1250,'TABELA DE PRECOS'!B:C,2,0)</f>
        <v>17.28</v>
      </c>
    </row>
    <row r="1251" spans="1:13" ht="15.75" customHeight="1" x14ac:dyDescent="0.25">
      <c r="A1251" s="65">
        <v>41</v>
      </c>
      <c r="B1251" s="84" t="s">
        <v>397</v>
      </c>
      <c r="C1251" s="73">
        <v>1</v>
      </c>
      <c r="D1251" s="85" t="s">
        <v>398</v>
      </c>
      <c r="E1251" s="86" t="s">
        <v>131</v>
      </c>
      <c r="F1251" s="85">
        <v>81897719002</v>
      </c>
      <c r="G1251" s="71">
        <f t="shared" si="111"/>
        <v>9.19</v>
      </c>
      <c r="H1251" s="71">
        <f t="shared" si="112"/>
        <v>9.19</v>
      </c>
      <c r="I1251" s="71">
        <f t="shared" si="113"/>
        <v>9.19</v>
      </c>
      <c r="J1251" s="71">
        <f t="shared" si="114"/>
        <v>9.19</v>
      </c>
      <c r="K1251" s="72">
        <v>0</v>
      </c>
      <c r="M1251" s="58">
        <f>VLOOKUP(D1251,'TABELA DE PRECOS'!B:C,2,0)</f>
        <v>9.19</v>
      </c>
    </row>
    <row r="1252" spans="1:13" ht="15.75" customHeight="1" x14ac:dyDescent="0.25">
      <c r="A1252" s="65">
        <v>42</v>
      </c>
      <c r="B1252" s="84" t="s">
        <v>399</v>
      </c>
      <c r="C1252" s="73">
        <v>1</v>
      </c>
      <c r="D1252" s="85" t="s">
        <v>400</v>
      </c>
      <c r="E1252" s="86" t="s">
        <v>131</v>
      </c>
      <c r="F1252" s="85">
        <v>81897719002</v>
      </c>
      <c r="G1252" s="71">
        <f t="shared" si="111"/>
        <v>8.85</v>
      </c>
      <c r="H1252" s="71">
        <f t="shared" si="112"/>
        <v>8.85</v>
      </c>
      <c r="I1252" s="71">
        <f t="shared" si="113"/>
        <v>8.85</v>
      </c>
      <c r="J1252" s="71">
        <f t="shared" si="114"/>
        <v>8.85</v>
      </c>
      <c r="K1252" s="72">
        <v>0</v>
      </c>
      <c r="M1252" s="58">
        <f>VLOOKUP(D1252,'TABELA DE PRECOS'!B:C,2,0)</f>
        <v>8.85</v>
      </c>
    </row>
    <row r="1253" spans="1:13" ht="15.75" customHeight="1" x14ac:dyDescent="0.25">
      <c r="A1253" s="65">
        <v>43</v>
      </c>
      <c r="B1253" s="84" t="s">
        <v>324</v>
      </c>
      <c r="C1253" s="73">
        <v>2</v>
      </c>
      <c r="D1253" s="85" t="s">
        <v>325</v>
      </c>
      <c r="E1253" s="86" t="s">
        <v>131</v>
      </c>
      <c r="F1253" s="85">
        <v>81897719002</v>
      </c>
      <c r="G1253" s="71">
        <f t="shared" si="111"/>
        <v>23.7636</v>
      </c>
      <c r="H1253" s="71">
        <f t="shared" si="112"/>
        <v>47.527200000000001</v>
      </c>
      <c r="I1253" s="71">
        <f t="shared" si="113"/>
        <v>23.7636</v>
      </c>
      <c r="J1253" s="71">
        <f t="shared" si="114"/>
        <v>47.527200000000001</v>
      </c>
      <c r="K1253" s="72">
        <v>0</v>
      </c>
      <c r="M1253" s="58">
        <f>VLOOKUP(D1253,'TABELA DE PRECOS'!B:C,2,0)</f>
        <v>23.7636</v>
      </c>
    </row>
    <row r="1254" spans="1:13" ht="15.75" customHeight="1" x14ac:dyDescent="0.25">
      <c r="A1254" s="65">
        <v>44</v>
      </c>
      <c r="B1254" s="84" t="s">
        <v>453</v>
      </c>
      <c r="C1254" s="73">
        <v>1</v>
      </c>
      <c r="D1254" s="85" t="s">
        <v>454</v>
      </c>
      <c r="E1254" s="86" t="s">
        <v>131</v>
      </c>
      <c r="F1254" s="85">
        <v>81897719002</v>
      </c>
      <c r="G1254" s="71">
        <f t="shared" si="111"/>
        <v>4.8588800000000001</v>
      </c>
      <c r="H1254" s="71">
        <f t="shared" si="112"/>
        <v>4.8588800000000001</v>
      </c>
      <c r="I1254" s="71">
        <f t="shared" si="113"/>
        <v>4.8588800000000001</v>
      </c>
      <c r="J1254" s="71">
        <f t="shared" si="114"/>
        <v>4.8588800000000001</v>
      </c>
      <c r="K1254" s="72">
        <v>0</v>
      </c>
      <c r="M1254" s="58">
        <f>VLOOKUP(D1254,'TABELA DE PRECOS'!B:C,2,0)</f>
        <v>4.8588800000000001</v>
      </c>
    </row>
    <row r="1255" spans="1:13" ht="15.75" customHeight="1" x14ac:dyDescent="0.25">
      <c r="A1255" s="65">
        <v>45</v>
      </c>
      <c r="B1255" s="84" t="s">
        <v>403</v>
      </c>
      <c r="C1255" s="73">
        <v>2</v>
      </c>
      <c r="D1255" s="85" t="s">
        <v>404</v>
      </c>
      <c r="E1255" s="86" t="s">
        <v>131</v>
      </c>
      <c r="F1255" s="85">
        <v>81897719002</v>
      </c>
      <c r="G1255" s="71">
        <f t="shared" si="111"/>
        <v>6.21</v>
      </c>
      <c r="H1255" s="71">
        <f t="shared" si="112"/>
        <v>12.42</v>
      </c>
      <c r="I1255" s="71">
        <f t="shared" si="113"/>
        <v>6.21</v>
      </c>
      <c r="J1255" s="71">
        <f t="shared" si="114"/>
        <v>12.42</v>
      </c>
      <c r="K1255" s="72">
        <v>0</v>
      </c>
      <c r="M1255" s="58">
        <f>VLOOKUP(D1255,'TABELA DE PRECOS'!B:C,2,0)</f>
        <v>6.21</v>
      </c>
    </row>
    <row r="1256" spans="1:13" ht="15.75" customHeight="1" x14ac:dyDescent="0.25">
      <c r="A1256" s="65">
        <v>46</v>
      </c>
      <c r="B1256" s="84" t="s">
        <v>1291</v>
      </c>
      <c r="C1256" s="73">
        <v>1</v>
      </c>
      <c r="D1256" s="85" t="s">
        <v>1292</v>
      </c>
      <c r="E1256" s="86" t="s">
        <v>131</v>
      </c>
      <c r="F1256" s="85">
        <v>81897719002</v>
      </c>
      <c r="G1256" s="71">
        <f t="shared" si="111"/>
        <v>3.4064799999999993</v>
      </c>
      <c r="H1256" s="71">
        <f t="shared" si="112"/>
        <v>3.4064799999999993</v>
      </c>
      <c r="I1256" s="71">
        <f t="shared" si="113"/>
        <v>3.4064799999999993</v>
      </c>
      <c r="J1256" s="71">
        <f t="shared" si="114"/>
        <v>3.4064799999999993</v>
      </c>
      <c r="K1256" s="72">
        <v>0</v>
      </c>
      <c r="M1256" s="58">
        <f>VLOOKUP(D1256,'TABELA DE PRECOS'!B:C,2,0)</f>
        <v>3.4064799999999993</v>
      </c>
    </row>
    <row r="1257" spans="1:13" ht="15.75" customHeight="1" x14ac:dyDescent="0.25">
      <c r="A1257" s="65">
        <v>47</v>
      </c>
      <c r="B1257" s="84" t="s">
        <v>407</v>
      </c>
      <c r="C1257" s="73">
        <v>2</v>
      </c>
      <c r="D1257" s="85" t="s">
        <v>408</v>
      </c>
      <c r="E1257" s="86" t="s">
        <v>131</v>
      </c>
      <c r="F1257" s="85">
        <v>81897719002</v>
      </c>
      <c r="G1257" s="71">
        <f t="shared" si="111"/>
        <v>5.04</v>
      </c>
      <c r="H1257" s="71">
        <f t="shared" si="112"/>
        <v>10.08</v>
      </c>
      <c r="I1257" s="71">
        <f t="shared" si="113"/>
        <v>5.04</v>
      </c>
      <c r="J1257" s="71">
        <f t="shared" si="114"/>
        <v>10.08</v>
      </c>
      <c r="K1257" s="72">
        <v>0</v>
      </c>
      <c r="M1257" s="58">
        <f>VLOOKUP(D1257,'TABELA DE PRECOS'!B:C,2,0)</f>
        <v>5.04</v>
      </c>
    </row>
    <row r="1258" spans="1:13" ht="15.75" customHeight="1" x14ac:dyDescent="0.25">
      <c r="A1258" s="65">
        <v>48</v>
      </c>
      <c r="B1258" s="84" t="s">
        <v>183</v>
      </c>
      <c r="C1258" s="73">
        <v>1</v>
      </c>
      <c r="D1258" s="85" t="s">
        <v>184</v>
      </c>
      <c r="E1258" s="86" t="s">
        <v>131</v>
      </c>
      <c r="F1258" s="85">
        <v>81897719002</v>
      </c>
      <c r="G1258" s="71">
        <f t="shared" si="111"/>
        <v>40.79</v>
      </c>
      <c r="H1258" s="71">
        <f t="shared" si="112"/>
        <v>40.79</v>
      </c>
      <c r="I1258" s="71">
        <f t="shared" si="113"/>
        <v>40.79</v>
      </c>
      <c r="J1258" s="71">
        <f t="shared" si="114"/>
        <v>40.79</v>
      </c>
      <c r="K1258" s="72">
        <v>0</v>
      </c>
      <c r="M1258" s="58">
        <f>VLOOKUP(D1258,'TABELA DE PRECOS'!B:C,2,0)</f>
        <v>40.79</v>
      </c>
    </row>
    <row r="1259" spans="1:13" ht="15.75" customHeight="1" x14ac:dyDescent="0.25">
      <c r="A1259" s="65">
        <v>49</v>
      </c>
      <c r="B1259" s="84" t="s">
        <v>254</v>
      </c>
      <c r="C1259" s="73">
        <v>4</v>
      </c>
      <c r="D1259" s="85" t="s">
        <v>255</v>
      </c>
      <c r="E1259" s="86" t="s">
        <v>131</v>
      </c>
      <c r="F1259" s="85">
        <v>81897719002</v>
      </c>
      <c r="G1259" s="71">
        <f t="shared" si="111"/>
        <v>16.68</v>
      </c>
      <c r="H1259" s="71">
        <f t="shared" si="112"/>
        <v>66.72</v>
      </c>
      <c r="I1259" s="71">
        <f t="shared" si="113"/>
        <v>16.68</v>
      </c>
      <c r="J1259" s="71">
        <f t="shared" si="114"/>
        <v>66.72</v>
      </c>
      <c r="K1259" s="72">
        <v>0</v>
      </c>
      <c r="M1259" s="58">
        <f>VLOOKUP(D1259,'TABELA DE PRECOS'!B:C,2,0)</f>
        <v>16.68</v>
      </c>
    </row>
    <row r="1260" spans="1:13" ht="15.75" customHeight="1" x14ac:dyDescent="0.25">
      <c r="A1260" s="65">
        <v>50</v>
      </c>
      <c r="B1260" s="84" t="s">
        <v>189</v>
      </c>
      <c r="C1260" s="73">
        <v>2</v>
      </c>
      <c r="D1260" s="85" t="s">
        <v>190</v>
      </c>
      <c r="E1260" s="86" t="s">
        <v>131</v>
      </c>
      <c r="F1260" s="85">
        <v>81897719002</v>
      </c>
      <c r="G1260" s="71">
        <f t="shared" si="111"/>
        <v>16.71</v>
      </c>
      <c r="H1260" s="71">
        <f t="shared" si="112"/>
        <v>33.42</v>
      </c>
      <c r="I1260" s="71">
        <f t="shared" si="113"/>
        <v>16.71</v>
      </c>
      <c r="J1260" s="71">
        <f t="shared" si="114"/>
        <v>33.42</v>
      </c>
      <c r="K1260" s="72">
        <v>0</v>
      </c>
      <c r="M1260" s="58">
        <f>VLOOKUP(D1260,'TABELA DE PRECOS'!B:C,2,0)</f>
        <v>16.71</v>
      </c>
    </row>
    <row r="1261" spans="1:13" ht="15.75" customHeight="1" x14ac:dyDescent="0.25">
      <c r="A1261" s="65">
        <v>51</v>
      </c>
      <c r="B1261" s="84" t="s">
        <v>187</v>
      </c>
      <c r="C1261" s="73">
        <v>8</v>
      </c>
      <c r="D1261" s="85" t="s">
        <v>188</v>
      </c>
      <c r="E1261" s="86" t="s">
        <v>131</v>
      </c>
      <c r="F1261" s="85">
        <v>81897719002</v>
      </c>
      <c r="G1261" s="71">
        <f t="shared" si="111"/>
        <v>15.95</v>
      </c>
      <c r="H1261" s="71">
        <f t="shared" si="112"/>
        <v>127.6</v>
      </c>
      <c r="I1261" s="71">
        <f t="shared" si="113"/>
        <v>15.95</v>
      </c>
      <c r="J1261" s="71">
        <f t="shared" si="114"/>
        <v>127.6</v>
      </c>
      <c r="K1261" s="72">
        <v>0</v>
      </c>
      <c r="M1261" s="58">
        <f>VLOOKUP(D1261,'TABELA DE PRECOS'!B:C,2,0)</f>
        <v>15.95</v>
      </c>
    </row>
    <row r="1262" spans="1:13" ht="15.75" customHeight="1" x14ac:dyDescent="0.25">
      <c r="A1262" s="65">
        <v>52</v>
      </c>
      <c r="B1262" s="84" t="s">
        <v>419</v>
      </c>
      <c r="C1262" s="73">
        <v>8</v>
      </c>
      <c r="D1262" s="85" t="s">
        <v>420</v>
      </c>
      <c r="E1262" s="86" t="s">
        <v>131</v>
      </c>
      <c r="F1262" s="85">
        <v>81897719002</v>
      </c>
      <c r="G1262" s="71">
        <f t="shared" si="111"/>
        <v>16.52</v>
      </c>
      <c r="H1262" s="71">
        <f t="shared" si="112"/>
        <v>132.16</v>
      </c>
      <c r="I1262" s="71">
        <f t="shared" si="113"/>
        <v>16.52</v>
      </c>
      <c r="J1262" s="71">
        <f t="shared" si="114"/>
        <v>132.16</v>
      </c>
      <c r="K1262" s="72">
        <v>0</v>
      </c>
      <c r="M1262" s="58">
        <f>VLOOKUP(D1262,'TABELA DE PRECOS'!B:C,2,0)</f>
        <v>16.52</v>
      </c>
    </row>
    <row r="1263" spans="1:13" ht="15.75" customHeight="1" x14ac:dyDescent="0.25">
      <c r="A1263" s="65">
        <v>53</v>
      </c>
      <c r="B1263" t="s">
        <v>1641</v>
      </c>
      <c r="C1263" s="82">
        <v>1</v>
      </c>
      <c r="D1263" s="76" t="s">
        <v>1294</v>
      </c>
      <c r="E1263" s="69" t="s">
        <v>131</v>
      </c>
      <c r="F1263" s="76">
        <v>81897710001</v>
      </c>
      <c r="G1263" s="71">
        <f t="shared" si="111"/>
        <v>35.68</v>
      </c>
      <c r="H1263" s="71">
        <f t="shared" si="112"/>
        <v>35.68</v>
      </c>
      <c r="I1263" s="71">
        <f t="shared" si="113"/>
        <v>35.68</v>
      </c>
      <c r="J1263" s="71">
        <f t="shared" si="114"/>
        <v>35.68</v>
      </c>
      <c r="K1263" s="72">
        <v>0</v>
      </c>
      <c r="M1263" s="58">
        <f>VLOOKUP(D1263,'TABELA DE PRECOS'!B:C,2,0)</f>
        <v>35.68</v>
      </c>
    </row>
    <row r="1264" spans="1:13" ht="15.75" customHeight="1" x14ac:dyDescent="0.25">
      <c r="A1264" s="65">
        <v>54</v>
      </c>
      <c r="B1264" s="66" t="s">
        <v>1295</v>
      </c>
      <c r="C1264" s="82">
        <v>6</v>
      </c>
      <c r="D1264" s="76" t="s">
        <v>1296</v>
      </c>
      <c r="E1264" s="69" t="s">
        <v>131</v>
      </c>
      <c r="F1264" s="76">
        <v>81897719002</v>
      </c>
      <c r="G1264" s="71">
        <f t="shared" si="111"/>
        <v>34.949599999999997</v>
      </c>
      <c r="H1264" s="71">
        <f t="shared" si="112"/>
        <v>209.69759999999997</v>
      </c>
      <c r="I1264" s="71">
        <f t="shared" si="113"/>
        <v>34.949599999999997</v>
      </c>
      <c r="J1264" s="71">
        <f t="shared" si="114"/>
        <v>209.69759999999997</v>
      </c>
      <c r="K1264" s="72">
        <v>0</v>
      </c>
      <c r="M1264" s="58">
        <f>VLOOKUP(D1264,'TABELA DE PRECOS'!B:C,2,0)</f>
        <v>34.949599999999997</v>
      </c>
    </row>
    <row r="1265" spans="1:13" ht="15.75" customHeight="1" x14ac:dyDescent="0.25">
      <c r="A1265" s="65">
        <v>55</v>
      </c>
      <c r="B1265" s="66" t="s">
        <v>409</v>
      </c>
      <c r="C1265" s="82">
        <v>2</v>
      </c>
      <c r="D1265" s="76" t="s">
        <v>410</v>
      </c>
      <c r="E1265" s="69" t="s">
        <v>131</v>
      </c>
      <c r="F1265" s="76">
        <v>81897719002</v>
      </c>
      <c r="G1265" s="71">
        <f t="shared" si="111"/>
        <v>13.86</v>
      </c>
      <c r="H1265" s="71">
        <f t="shared" si="112"/>
        <v>27.72</v>
      </c>
      <c r="I1265" s="71">
        <f t="shared" si="113"/>
        <v>13.86</v>
      </c>
      <c r="J1265" s="71">
        <f t="shared" si="114"/>
        <v>27.72</v>
      </c>
      <c r="K1265" s="72">
        <v>0</v>
      </c>
      <c r="M1265" s="58">
        <f>VLOOKUP(D1265,'TABELA DE PRECOS'!B:C,2,0)</f>
        <v>13.86</v>
      </c>
    </row>
    <row r="1266" spans="1:13" ht="15.75" customHeight="1" x14ac:dyDescent="0.25">
      <c r="A1266" s="65">
        <v>56</v>
      </c>
      <c r="B1266" s="66" t="s">
        <v>457</v>
      </c>
      <c r="C1266" s="82">
        <v>2</v>
      </c>
      <c r="D1266" s="76" t="s">
        <v>458</v>
      </c>
      <c r="E1266" s="69" t="s">
        <v>131</v>
      </c>
      <c r="F1266" s="76">
        <v>81897719002</v>
      </c>
      <c r="G1266" s="71">
        <f t="shared" si="111"/>
        <v>15.81</v>
      </c>
      <c r="H1266" s="71">
        <f t="shared" si="112"/>
        <v>31.62</v>
      </c>
      <c r="I1266" s="71">
        <f t="shared" si="113"/>
        <v>15.81</v>
      </c>
      <c r="J1266" s="71">
        <f t="shared" si="114"/>
        <v>31.62</v>
      </c>
      <c r="K1266" s="72">
        <v>0</v>
      </c>
      <c r="M1266" s="58">
        <f>VLOOKUP(D1266,'TABELA DE PRECOS'!B:C,2,0)</f>
        <v>15.81</v>
      </c>
    </row>
    <row r="1267" spans="1:13" ht="15.75" customHeight="1" x14ac:dyDescent="0.25">
      <c r="A1267" s="65">
        <v>57</v>
      </c>
      <c r="B1267" s="66" t="s">
        <v>869</v>
      </c>
      <c r="C1267" s="82">
        <v>2</v>
      </c>
      <c r="D1267" s="76" t="s">
        <v>870</v>
      </c>
      <c r="E1267" s="69" t="s">
        <v>131</v>
      </c>
      <c r="F1267" s="76">
        <v>81897719002</v>
      </c>
      <c r="G1267" s="71">
        <f t="shared" si="111"/>
        <v>16.86</v>
      </c>
      <c r="H1267" s="71">
        <f t="shared" si="112"/>
        <v>33.72</v>
      </c>
      <c r="I1267" s="71">
        <f t="shared" si="113"/>
        <v>16.86</v>
      </c>
      <c r="J1267" s="71">
        <f t="shared" si="114"/>
        <v>33.72</v>
      </c>
      <c r="K1267" s="72">
        <v>0</v>
      </c>
      <c r="M1267" s="58">
        <f>VLOOKUP(D1267,'TABELA DE PRECOS'!B:C,2,0)</f>
        <v>16.86</v>
      </c>
    </row>
    <row r="1268" spans="1:13" ht="15.75" customHeight="1" x14ac:dyDescent="0.25">
      <c r="A1268" s="65">
        <v>58</v>
      </c>
      <c r="B1268" s="66" t="s">
        <v>455</v>
      </c>
      <c r="C1268" s="82">
        <v>1</v>
      </c>
      <c r="D1268" s="76" t="s">
        <v>456</v>
      </c>
      <c r="E1268" s="69" t="s">
        <v>131</v>
      </c>
      <c r="F1268" s="76">
        <v>81897719002</v>
      </c>
      <c r="G1268" s="71">
        <f t="shared" si="111"/>
        <v>8.3699999999999992</v>
      </c>
      <c r="H1268" s="71">
        <f t="shared" si="112"/>
        <v>8.3699999999999992</v>
      </c>
      <c r="I1268" s="71">
        <f t="shared" si="113"/>
        <v>8.3699999999999992</v>
      </c>
      <c r="J1268" s="71">
        <f t="shared" si="114"/>
        <v>8.3699999999999992</v>
      </c>
      <c r="K1268" s="72">
        <v>0</v>
      </c>
      <c r="M1268" s="58">
        <f>VLOOKUP(D1268,'TABELA DE PRECOS'!B:C,2,0)</f>
        <v>8.3699999999999992</v>
      </c>
    </row>
    <row r="1269" spans="1:13" ht="15.75" customHeight="1" x14ac:dyDescent="0.25">
      <c r="A1269" s="65">
        <v>59</v>
      </c>
      <c r="B1269" s="66" t="s">
        <v>679</v>
      </c>
      <c r="C1269" s="82">
        <v>1</v>
      </c>
      <c r="D1269" s="76" t="s">
        <v>680</v>
      </c>
      <c r="E1269" s="69" t="s">
        <v>131</v>
      </c>
      <c r="F1269" s="76">
        <v>81897719002</v>
      </c>
      <c r="G1269" s="71">
        <f t="shared" si="111"/>
        <v>10.19</v>
      </c>
      <c r="H1269" s="71">
        <f t="shared" si="112"/>
        <v>10.19</v>
      </c>
      <c r="I1269" s="71">
        <f t="shared" si="113"/>
        <v>10.19</v>
      </c>
      <c r="J1269" s="71">
        <f t="shared" si="114"/>
        <v>10.19</v>
      </c>
      <c r="K1269" s="72">
        <v>0</v>
      </c>
      <c r="M1269" s="58">
        <f>VLOOKUP(D1269,'TABELA DE PRECOS'!B:C,2,0)</f>
        <v>10.19</v>
      </c>
    </row>
    <row r="1270" spans="1:13" ht="15.75" customHeight="1" x14ac:dyDescent="0.25">
      <c r="A1270" s="65">
        <v>60</v>
      </c>
      <c r="B1270" s="66" t="s">
        <v>1297</v>
      </c>
      <c r="C1270" s="82">
        <v>1</v>
      </c>
      <c r="D1270" s="76" t="s">
        <v>1298</v>
      </c>
      <c r="E1270" s="69" t="s">
        <v>131</v>
      </c>
      <c r="F1270" s="76">
        <v>81897719002</v>
      </c>
      <c r="G1270" s="71">
        <f t="shared" si="111"/>
        <v>12.147040000000001</v>
      </c>
      <c r="H1270" s="71">
        <f t="shared" si="112"/>
        <v>12.147040000000001</v>
      </c>
      <c r="I1270" s="71">
        <f t="shared" si="113"/>
        <v>12.147040000000001</v>
      </c>
      <c r="J1270" s="71">
        <f t="shared" si="114"/>
        <v>12.147040000000001</v>
      </c>
      <c r="K1270" s="72">
        <v>0</v>
      </c>
      <c r="M1270" s="58">
        <f>VLOOKUP(D1270,'TABELA DE PRECOS'!B:C,2,0)</f>
        <v>12.147040000000001</v>
      </c>
    </row>
    <row r="1271" spans="1:13" ht="15.75" customHeight="1" x14ac:dyDescent="0.25">
      <c r="A1271" s="65">
        <v>61</v>
      </c>
      <c r="B1271" s="66" t="s">
        <v>1299</v>
      </c>
      <c r="C1271" s="82">
        <v>1</v>
      </c>
      <c r="D1271" s="76" t="s">
        <v>1300</v>
      </c>
      <c r="E1271" s="69" t="s">
        <v>131</v>
      </c>
      <c r="F1271" s="76">
        <v>81897719002</v>
      </c>
      <c r="G1271" s="71">
        <f t="shared" si="111"/>
        <v>12.6084</v>
      </c>
      <c r="H1271" s="71">
        <f t="shared" si="112"/>
        <v>12.6084</v>
      </c>
      <c r="I1271" s="71">
        <f t="shared" si="113"/>
        <v>12.6084</v>
      </c>
      <c r="J1271" s="71">
        <f t="shared" si="114"/>
        <v>12.6084</v>
      </c>
      <c r="K1271" s="72">
        <v>0</v>
      </c>
      <c r="M1271" s="58">
        <f>VLOOKUP(D1271,'TABELA DE PRECOS'!B:C,2,0)</f>
        <v>12.6084</v>
      </c>
    </row>
    <row r="1272" spans="1:13" ht="15.75" customHeight="1" x14ac:dyDescent="0.25">
      <c r="A1272" s="65">
        <v>62</v>
      </c>
      <c r="B1272" s="66" t="s">
        <v>1301</v>
      </c>
      <c r="C1272" s="82">
        <v>1</v>
      </c>
      <c r="D1272" s="76" t="s">
        <v>1302</v>
      </c>
      <c r="E1272" s="69" t="s">
        <v>131</v>
      </c>
      <c r="F1272" s="76">
        <v>81897719003</v>
      </c>
      <c r="G1272" s="71">
        <f t="shared" si="111"/>
        <v>48.550239999999995</v>
      </c>
      <c r="H1272" s="71">
        <f t="shared" si="112"/>
        <v>48.550239999999995</v>
      </c>
      <c r="I1272" s="71">
        <f t="shared" si="113"/>
        <v>48.550239999999995</v>
      </c>
      <c r="J1272" s="71">
        <f t="shared" si="114"/>
        <v>48.550239999999995</v>
      </c>
      <c r="K1272" s="72">
        <v>0</v>
      </c>
      <c r="M1272" s="58">
        <f>VLOOKUP(D1272,'TABELA DE PRECOS'!B:C,2,0)</f>
        <v>48.550239999999995</v>
      </c>
    </row>
    <row r="1273" spans="1:13" ht="15.75" customHeight="1" x14ac:dyDescent="0.25">
      <c r="A1273" s="65">
        <v>63</v>
      </c>
      <c r="B1273" s="66" t="s">
        <v>360</v>
      </c>
      <c r="C1273" s="82">
        <v>1</v>
      </c>
      <c r="D1273" s="76" t="s">
        <v>361</v>
      </c>
      <c r="E1273" s="69" t="s">
        <v>131</v>
      </c>
      <c r="F1273" s="76">
        <v>81897719002</v>
      </c>
      <c r="G1273" s="71">
        <f t="shared" si="111"/>
        <v>19.477120000000003</v>
      </c>
      <c r="H1273" s="71">
        <f t="shared" si="112"/>
        <v>19.477120000000003</v>
      </c>
      <c r="I1273" s="71">
        <f t="shared" si="113"/>
        <v>19.477120000000003</v>
      </c>
      <c r="J1273" s="71">
        <f t="shared" si="114"/>
        <v>19.477120000000003</v>
      </c>
      <c r="K1273" s="72">
        <v>0</v>
      </c>
      <c r="M1273" s="58">
        <f>VLOOKUP(D1273,'TABELA DE PRECOS'!B:C,2,0)</f>
        <v>19.477120000000003</v>
      </c>
    </row>
    <row r="1274" spans="1:13" ht="15.75" customHeight="1" x14ac:dyDescent="0.25">
      <c r="A1274" s="65">
        <v>64</v>
      </c>
      <c r="B1274" s="66" t="s">
        <v>1303</v>
      </c>
      <c r="C1274" s="82">
        <v>1</v>
      </c>
      <c r="D1274" s="76" t="s">
        <v>1304</v>
      </c>
      <c r="E1274" s="69" t="s">
        <v>131</v>
      </c>
      <c r="F1274" s="76">
        <v>81897719003</v>
      </c>
      <c r="G1274" s="71">
        <f t="shared" si="111"/>
        <v>53.378720000000001</v>
      </c>
      <c r="H1274" s="71">
        <f t="shared" si="112"/>
        <v>53.378720000000001</v>
      </c>
      <c r="I1274" s="71">
        <f t="shared" si="113"/>
        <v>53.378720000000001</v>
      </c>
      <c r="J1274" s="71">
        <f t="shared" si="114"/>
        <v>53.378720000000001</v>
      </c>
      <c r="K1274" s="72">
        <v>0</v>
      </c>
      <c r="M1274" s="58">
        <f>VLOOKUP(D1274,'TABELA DE PRECOS'!B:C,2,0)</f>
        <v>53.378720000000001</v>
      </c>
    </row>
    <row r="1275" spans="1:13" ht="15.75" customHeight="1" x14ac:dyDescent="0.25">
      <c r="A1275" s="65">
        <v>65</v>
      </c>
      <c r="B1275" s="66" t="s">
        <v>1305</v>
      </c>
      <c r="C1275" s="82">
        <v>1</v>
      </c>
      <c r="D1275" s="100" t="s">
        <v>1306</v>
      </c>
      <c r="E1275" s="69" t="s">
        <v>131</v>
      </c>
      <c r="F1275" s="76">
        <v>81897710001</v>
      </c>
      <c r="G1275" s="71">
        <f t="shared" si="111"/>
        <v>63.35</v>
      </c>
      <c r="H1275" s="71">
        <f t="shared" si="112"/>
        <v>63.35</v>
      </c>
      <c r="I1275" s="71">
        <f t="shared" si="113"/>
        <v>63.35</v>
      </c>
      <c r="J1275" s="71">
        <f t="shared" si="114"/>
        <v>63.35</v>
      </c>
      <c r="K1275" s="72">
        <v>0</v>
      </c>
      <c r="M1275" s="58">
        <f>VLOOKUP(D1275,'TABELA DE PRECOS'!B:C,2,0)</f>
        <v>63.35</v>
      </c>
    </row>
    <row r="1276" spans="1:13" ht="15.75" customHeight="1" x14ac:dyDescent="0.25">
      <c r="A1276" s="65">
        <v>66</v>
      </c>
      <c r="B1276" s="84" t="s">
        <v>1307</v>
      </c>
      <c r="C1276" s="73">
        <v>1</v>
      </c>
      <c r="D1276" s="85" t="s">
        <v>1308</v>
      </c>
      <c r="E1276" s="86" t="s">
        <v>131</v>
      </c>
      <c r="F1276" s="85">
        <v>81897719003</v>
      </c>
      <c r="G1276" s="71">
        <f t="shared" si="111"/>
        <v>48.550239999999995</v>
      </c>
      <c r="H1276" s="71">
        <f t="shared" si="112"/>
        <v>48.550239999999995</v>
      </c>
      <c r="I1276" s="71">
        <f t="shared" si="113"/>
        <v>48.550239999999995</v>
      </c>
      <c r="J1276" s="71">
        <f t="shared" si="114"/>
        <v>48.550239999999995</v>
      </c>
      <c r="K1276" s="72">
        <v>0</v>
      </c>
      <c r="M1276" s="58">
        <f>VLOOKUP(D1276,'TABELA DE PRECOS'!B:C,2,0)</f>
        <v>48.550239999999995</v>
      </c>
    </row>
    <row r="1277" spans="1:13" ht="15.75" customHeight="1" x14ac:dyDescent="0.25">
      <c r="A1277" s="65">
        <v>67</v>
      </c>
      <c r="B1277" s="84" t="s">
        <v>1309</v>
      </c>
      <c r="C1277" s="73">
        <v>1</v>
      </c>
      <c r="D1277" s="85" t="s">
        <v>1310</v>
      </c>
      <c r="E1277" s="86" t="s">
        <v>131</v>
      </c>
      <c r="F1277" s="85">
        <v>81897719006</v>
      </c>
      <c r="G1277" s="71">
        <f t="shared" si="111"/>
        <v>60.659360000000007</v>
      </c>
      <c r="H1277" s="71">
        <f t="shared" si="112"/>
        <v>60.659360000000007</v>
      </c>
      <c r="I1277" s="71">
        <f t="shared" si="113"/>
        <v>60.659360000000007</v>
      </c>
      <c r="J1277" s="71">
        <f t="shared" si="114"/>
        <v>60.659360000000007</v>
      </c>
      <c r="K1277" s="72">
        <v>0</v>
      </c>
      <c r="M1277" s="58">
        <f>VLOOKUP(D1277,'TABELA DE PRECOS'!B:C,2,0)</f>
        <v>60.659360000000007</v>
      </c>
    </row>
    <row r="1278" spans="1:13" ht="15.75" customHeight="1" x14ac:dyDescent="0.25">
      <c r="A1278" s="65">
        <v>68</v>
      </c>
      <c r="B1278" s="84" t="s">
        <v>1311</v>
      </c>
      <c r="C1278" s="73">
        <v>2</v>
      </c>
      <c r="D1278" s="85" t="s">
        <v>1312</v>
      </c>
      <c r="E1278" s="86" t="s">
        <v>131</v>
      </c>
      <c r="F1278" s="85">
        <v>81897719002</v>
      </c>
      <c r="G1278" s="71">
        <f t="shared" si="111"/>
        <v>2.6796800000000003</v>
      </c>
      <c r="H1278" s="71">
        <f t="shared" si="112"/>
        <v>5.3593600000000006</v>
      </c>
      <c r="I1278" s="71">
        <f t="shared" si="113"/>
        <v>2.6796800000000003</v>
      </c>
      <c r="J1278" s="71">
        <f t="shared" si="114"/>
        <v>5.3593600000000006</v>
      </c>
      <c r="K1278" s="72">
        <v>0</v>
      </c>
      <c r="M1278" s="58">
        <f>VLOOKUP(D1278,'TABELA DE PRECOS'!B:C,2,0)</f>
        <v>2.6796800000000003</v>
      </c>
    </row>
    <row r="1279" spans="1:13" ht="15.75" customHeight="1" x14ac:dyDescent="0.25">
      <c r="A1279" s="65">
        <v>69</v>
      </c>
      <c r="B1279" s="84" t="s">
        <v>1311</v>
      </c>
      <c r="C1279" s="73">
        <v>1</v>
      </c>
      <c r="D1279" s="85" t="s">
        <v>1312</v>
      </c>
      <c r="E1279" s="86" t="s">
        <v>131</v>
      </c>
      <c r="F1279" s="85">
        <v>81897719002</v>
      </c>
      <c r="G1279" s="71">
        <f t="shared" si="111"/>
        <v>2.6796800000000003</v>
      </c>
      <c r="H1279" s="71">
        <f t="shared" si="112"/>
        <v>2.6796800000000003</v>
      </c>
      <c r="I1279" s="71">
        <f t="shared" si="113"/>
        <v>2.6796800000000003</v>
      </c>
      <c r="J1279" s="71">
        <f t="shared" si="114"/>
        <v>2.6796800000000003</v>
      </c>
      <c r="K1279" s="72">
        <v>0</v>
      </c>
      <c r="M1279" s="58">
        <f>VLOOKUP(D1279,'TABELA DE PRECOS'!B:C,2,0)</f>
        <v>2.6796800000000003</v>
      </c>
    </row>
    <row r="1280" spans="1:13" ht="15.75" customHeight="1" x14ac:dyDescent="0.25">
      <c r="A1280" s="65">
        <v>70</v>
      </c>
      <c r="B1280" s="84" t="s">
        <v>1313</v>
      </c>
      <c r="C1280" s="73">
        <v>1</v>
      </c>
      <c r="D1280" s="85" t="s">
        <v>1314</v>
      </c>
      <c r="E1280" s="86" t="s">
        <v>131</v>
      </c>
      <c r="F1280" s="85">
        <v>81897719002</v>
      </c>
      <c r="G1280" s="71">
        <f t="shared" si="111"/>
        <v>10.307919999999999</v>
      </c>
      <c r="H1280" s="71">
        <f t="shared" si="112"/>
        <v>10.307919999999999</v>
      </c>
      <c r="I1280" s="71">
        <f t="shared" si="113"/>
        <v>10.307919999999999</v>
      </c>
      <c r="J1280" s="71">
        <f t="shared" si="114"/>
        <v>10.307919999999999</v>
      </c>
      <c r="K1280" s="72">
        <v>0</v>
      </c>
      <c r="M1280" s="58">
        <f>VLOOKUP(D1280,'TABELA DE PRECOS'!B:C,2,0)</f>
        <v>10.307919999999999</v>
      </c>
    </row>
    <row r="1281" spans="1:13" ht="15.75" customHeight="1" x14ac:dyDescent="0.25">
      <c r="A1281" s="65">
        <v>71</v>
      </c>
      <c r="B1281" s="84" t="s">
        <v>1315</v>
      </c>
      <c r="C1281" s="73">
        <v>1</v>
      </c>
      <c r="D1281" s="49" t="s">
        <v>1316</v>
      </c>
      <c r="E1281" s="86" t="s">
        <v>131</v>
      </c>
      <c r="F1281" s="85">
        <v>81897719002</v>
      </c>
      <c r="G1281" s="71">
        <f t="shared" si="111"/>
        <v>11.11688</v>
      </c>
      <c r="H1281" s="71">
        <f t="shared" si="112"/>
        <v>11.11688</v>
      </c>
      <c r="I1281" s="71">
        <f t="shared" si="113"/>
        <v>11.11688</v>
      </c>
      <c r="J1281" s="71">
        <f t="shared" si="114"/>
        <v>11.11688</v>
      </c>
      <c r="K1281" s="72">
        <v>0</v>
      </c>
      <c r="M1281" s="58">
        <f>VLOOKUP(D1281,'TABELA DE PRECOS'!B:C,2,0)</f>
        <v>11.11688</v>
      </c>
    </row>
    <row r="1282" spans="1:13" ht="15.75" customHeight="1" x14ac:dyDescent="0.25">
      <c r="A1282" s="65">
        <v>72</v>
      </c>
      <c r="B1282" s="84" t="s">
        <v>1317</v>
      </c>
      <c r="C1282" s="73">
        <v>2</v>
      </c>
      <c r="D1282" s="85" t="s">
        <v>1318</v>
      </c>
      <c r="E1282" s="86" t="s">
        <v>131</v>
      </c>
      <c r="F1282" s="85">
        <v>81897719002</v>
      </c>
      <c r="G1282" s="71">
        <f t="shared" si="111"/>
        <v>9.088160000000002</v>
      </c>
      <c r="H1282" s="71">
        <f t="shared" si="112"/>
        <v>18.176320000000004</v>
      </c>
      <c r="I1282" s="71">
        <f t="shared" si="113"/>
        <v>9.088160000000002</v>
      </c>
      <c r="J1282" s="71">
        <f t="shared" si="114"/>
        <v>18.176320000000004</v>
      </c>
      <c r="K1282" s="72">
        <v>0</v>
      </c>
      <c r="M1282" s="58">
        <f>VLOOKUP(D1282,'TABELA DE PRECOS'!B:C,2,0)</f>
        <v>9.088160000000002</v>
      </c>
    </row>
    <row r="1283" spans="1:13" ht="15.75" customHeight="1" x14ac:dyDescent="0.25">
      <c r="A1283" s="65">
        <v>73</v>
      </c>
      <c r="B1283" s="84" t="s">
        <v>459</v>
      </c>
      <c r="C1283" s="73">
        <v>2</v>
      </c>
      <c r="D1283" s="85" t="s">
        <v>460</v>
      </c>
      <c r="E1283" s="86" t="s">
        <v>131</v>
      </c>
      <c r="F1283" s="85">
        <v>81897719002</v>
      </c>
      <c r="G1283" s="71">
        <f t="shared" si="111"/>
        <v>12.17216</v>
      </c>
      <c r="H1283" s="71">
        <f t="shared" si="112"/>
        <v>24.34432</v>
      </c>
      <c r="I1283" s="71">
        <f t="shared" si="113"/>
        <v>12.17216</v>
      </c>
      <c r="J1283" s="71">
        <f t="shared" si="114"/>
        <v>24.34432</v>
      </c>
      <c r="K1283" s="72">
        <v>0</v>
      </c>
      <c r="M1283" s="58">
        <f>VLOOKUP(D1283,'TABELA DE PRECOS'!B:C,2,0)</f>
        <v>12.17216</v>
      </c>
    </row>
    <row r="1284" spans="1:13" ht="15.75" customHeight="1" x14ac:dyDescent="0.25">
      <c r="A1284" s="65">
        <v>74</v>
      </c>
      <c r="B1284" s="84" t="s">
        <v>421</v>
      </c>
      <c r="C1284" s="73">
        <v>1</v>
      </c>
      <c r="D1284" s="85" t="s">
        <v>422</v>
      </c>
      <c r="E1284" s="86" t="s">
        <v>131</v>
      </c>
      <c r="F1284" s="85">
        <v>81897719002</v>
      </c>
      <c r="G1284" s="71">
        <f t="shared" si="111"/>
        <v>11.13</v>
      </c>
      <c r="H1284" s="71">
        <f t="shared" si="112"/>
        <v>11.13</v>
      </c>
      <c r="I1284" s="71">
        <f t="shared" si="113"/>
        <v>11.13</v>
      </c>
      <c r="J1284" s="71">
        <f t="shared" si="114"/>
        <v>11.13</v>
      </c>
      <c r="K1284" s="72">
        <v>0</v>
      </c>
      <c r="M1284" s="58">
        <f>VLOOKUP(D1284,'TABELA DE PRECOS'!B:C,2,0)</f>
        <v>11.13</v>
      </c>
    </row>
    <row r="1285" spans="1:13" ht="15.75" customHeight="1" x14ac:dyDescent="0.25">
      <c r="A1285" s="65">
        <v>75</v>
      </c>
      <c r="B1285" s="84" t="s">
        <v>219</v>
      </c>
      <c r="C1285" s="73">
        <v>1</v>
      </c>
      <c r="D1285" s="85" t="s">
        <v>220</v>
      </c>
      <c r="E1285" s="86" t="s">
        <v>131</v>
      </c>
      <c r="F1285" s="85">
        <v>81897719002</v>
      </c>
      <c r="G1285" s="71">
        <f t="shared" si="111"/>
        <v>17.363840000000003</v>
      </c>
      <c r="H1285" s="71">
        <f t="shared" si="112"/>
        <v>17.363840000000003</v>
      </c>
      <c r="I1285" s="71">
        <f t="shared" si="113"/>
        <v>17.363840000000003</v>
      </c>
      <c r="J1285" s="71">
        <f t="shared" si="114"/>
        <v>17.363840000000003</v>
      </c>
      <c r="K1285" s="72">
        <v>0</v>
      </c>
      <c r="M1285" s="58">
        <f>VLOOKUP(D1285,'TABELA DE PRECOS'!B:C,2,0)</f>
        <v>17.363840000000003</v>
      </c>
    </row>
    <row r="1286" spans="1:13" ht="15.75" customHeight="1" x14ac:dyDescent="0.25">
      <c r="A1286" s="65">
        <v>76</v>
      </c>
      <c r="B1286" s="84" t="s">
        <v>282</v>
      </c>
      <c r="C1286" s="73">
        <v>1</v>
      </c>
      <c r="D1286" s="85" t="s">
        <v>283</v>
      </c>
      <c r="E1286" s="86" t="s">
        <v>131</v>
      </c>
      <c r="F1286" s="85">
        <v>81897719002</v>
      </c>
      <c r="G1286" s="71">
        <f t="shared" si="111"/>
        <v>17.46</v>
      </c>
      <c r="H1286" s="71">
        <f t="shared" si="112"/>
        <v>17.46</v>
      </c>
      <c r="I1286" s="71">
        <f t="shared" si="113"/>
        <v>17.46</v>
      </c>
      <c r="J1286" s="71">
        <f t="shared" si="114"/>
        <v>17.46</v>
      </c>
      <c r="K1286" s="72">
        <v>0</v>
      </c>
      <c r="M1286" s="58">
        <f>VLOOKUP(D1286,'TABELA DE PRECOS'!B:C,2,0)</f>
        <v>17.46</v>
      </c>
    </row>
    <row r="1287" spans="1:13" ht="15.75" customHeight="1" x14ac:dyDescent="0.25">
      <c r="A1287" s="65">
        <v>77</v>
      </c>
      <c r="B1287" s="84" t="s">
        <v>1319</v>
      </c>
      <c r="C1287" s="73">
        <v>2</v>
      </c>
      <c r="D1287" s="49" t="s">
        <v>1320</v>
      </c>
      <c r="E1287" s="86" t="s">
        <v>131</v>
      </c>
      <c r="F1287" s="85">
        <v>81897710011</v>
      </c>
      <c r="G1287" s="71">
        <f t="shared" si="111"/>
        <v>383.54816000000005</v>
      </c>
      <c r="H1287" s="71">
        <f t="shared" si="112"/>
        <v>767.09632000000011</v>
      </c>
      <c r="I1287" s="71">
        <f t="shared" si="113"/>
        <v>383.54816000000005</v>
      </c>
      <c r="J1287" s="71">
        <f t="shared" si="114"/>
        <v>767.09632000000011</v>
      </c>
      <c r="K1287" s="72">
        <v>0</v>
      </c>
      <c r="M1287" s="58">
        <f>VLOOKUP(D1287,'TABELA DE PRECOS'!B:C,2,0)</f>
        <v>383.54816000000005</v>
      </c>
    </row>
    <row r="1288" spans="1:13" ht="15.75" customHeight="1" x14ac:dyDescent="0.25">
      <c r="A1288" s="65">
        <v>78</v>
      </c>
      <c r="B1288" s="84" t="s">
        <v>807</v>
      </c>
      <c r="C1288" s="73">
        <v>1</v>
      </c>
      <c r="D1288" s="85" t="s">
        <v>808</v>
      </c>
      <c r="E1288" s="86" t="s">
        <v>131</v>
      </c>
      <c r="F1288" s="85">
        <v>81897719002</v>
      </c>
      <c r="G1288" s="71">
        <f t="shared" si="111"/>
        <v>19.690000000000001</v>
      </c>
      <c r="H1288" s="71">
        <f t="shared" si="112"/>
        <v>19.690000000000001</v>
      </c>
      <c r="I1288" s="71">
        <f t="shared" si="113"/>
        <v>19.690000000000001</v>
      </c>
      <c r="J1288" s="71">
        <f t="shared" si="114"/>
        <v>19.690000000000001</v>
      </c>
      <c r="K1288" s="72">
        <v>0</v>
      </c>
      <c r="M1288" s="58">
        <f>VLOOKUP(D1288,'TABELA DE PRECOS'!B:C,2,0)</f>
        <v>19.690000000000001</v>
      </c>
    </row>
    <row r="1289" spans="1:13" ht="15.75" customHeight="1" x14ac:dyDescent="0.25">
      <c r="A1289" s="65">
        <v>79</v>
      </c>
      <c r="B1289" s="84" t="s">
        <v>1321</v>
      </c>
      <c r="C1289" s="73">
        <v>1</v>
      </c>
      <c r="D1289" s="49" t="s">
        <v>1322</v>
      </c>
      <c r="E1289" s="86" t="s">
        <v>131</v>
      </c>
      <c r="F1289" s="85">
        <v>81897719002</v>
      </c>
      <c r="G1289" s="71">
        <f t="shared" si="111"/>
        <v>13.948239999999998</v>
      </c>
      <c r="H1289" s="71">
        <f t="shared" si="112"/>
        <v>13.948239999999998</v>
      </c>
      <c r="I1289" s="71">
        <f t="shared" si="113"/>
        <v>13.948239999999998</v>
      </c>
      <c r="J1289" s="71">
        <f t="shared" si="114"/>
        <v>13.948239999999998</v>
      </c>
      <c r="K1289" s="72">
        <v>0</v>
      </c>
      <c r="M1289" s="58">
        <f>VLOOKUP(D1289,'TABELA DE PRECOS'!B:C,2,0)</f>
        <v>13.948239999999998</v>
      </c>
    </row>
    <row r="1290" spans="1:13" ht="15.75" customHeight="1" x14ac:dyDescent="0.25">
      <c r="A1290" s="65">
        <v>80</v>
      </c>
      <c r="B1290" t="s">
        <v>1642</v>
      </c>
      <c r="C1290" s="73">
        <v>2</v>
      </c>
      <c r="D1290" s="84" t="s">
        <v>1324</v>
      </c>
      <c r="E1290" s="86" t="s">
        <v>131</v>
      </c>
      <c r="F1290" s="85">
        <v>81897710019</v>
      </c>
      <c r="G1290" s="71">
        <f t="shared" si="111"/>
        <v>87.88</v>
      </c>
      <c r="H1290" s="71">
        <f t="shared" si="112"/>
        <v>175.76</v>
      </c>
      <c r="I1290" s="71">
        <f t="shared" si="113"/>
        <v>87.88</v>
      </c>
      <c r="J1290" s="71">
        <f t="shared" si="114"/>
        <v>175.76</v>
      </c>
      <c r="K1290" s="72">
        <v>0</v>
      </c>
      <c r="M1290" s="58">
        <f>VLOOKUP(D1290,'TABELA DE PRECOS'!B:C,2,0)</f>
        <v>87.88</v>
      </c>
    </row>
    <row r="1291" spans="1:13" ht="15.75" customHeight="1" x14ac:dyDescent="0.25">
      <c r="A1291" s="65">
        <v>81</v>
      </c>
      <c r="B1291" s="84" t="s">
        <v>1325</v>
      </c>
      <c r="C1291" s="73">
        <v>1</v>
      </c>
      <c r="D1291" s="85" t="s">
        <v>1326</v>
      </c>
      <c r="E1291" s="86" t="s">
        <v>131</v>
      </c>
      <c r="F1291" s="85">
        <v>81897719002</v>
      </c>
      <c r="G1291" s="71">
        <f t="shared" si="111"/>
        <v>13.366799999999998</v>
      </c>
      <c r="H1291" s="71">
        <f t="shared" si="112"/>
        <v>13.366799999999998</v>
      </c>
      <c r="I1291" s="71">
        <f t="shared" si="113"/>
        <v>13.366799999999998</v>
      </c>
      <c r="J1291" s="71">
        <f t="shared" si="114"/>
        <v>13.366799999999998</v>
      </c>
      <c r="K1291" s="72">
        <v>0</v>
      </c>
      <c r="M1291" s="58">
        <f>VLOOKUP(D1291,'TABELA DE PRECOS'!B:C,2,0)</f>
        <v>13.366799999999998</v>
      </c>
    </row>
    <row r="1292" spans="1:13" ht="15.75" customHeight="1" x14ac:dyDescent="0.25">
      <c r="A1292" s="65">
        <v>82</v>
      </c>
      <c r="B1292" s="66" t="s">
        <v>1327</v>
      </c>
      <c r="C1292" s="82">
        <v>1</v>
      </c>
      <c r="D1292" s="76" t="s">
        <v>424</v>
      </c>
      <c r="E1292" s="86" t="s">
        <v>131</v>
      </c>
      <c r="F1292" s="85">
        <v>81897719002</v>
      </c>
      <c r="G1292" s="71">
        <f t="shared" si="111"/>
        <v>14.63</v>
      </c>
      <c r="H1292" s="71">
        <f t="shared" si="112"/>
        <v>14.63</v>
      </c>
      <c r="I1292" s="71">
        <f t="shared" si="113"/>
        <v>14.63</v>
      </c>
      <c r="J1292" s="71">
        <f t="shared" si="114"/>
        <v>14.63</v>
      </c>
      <c r="K1292" s="72">
        <v>0</v>
      </c>
      <c r="M1292" s="58">
        <f>VLOOKUP(D1292,'TABELA DE PRECOS'!B:C,2,0)</f>
        <v>14.63</v>
      </c>
    </row>
    <row r="1293" spans="1:13" ht="15.75" customHeight="1" x14ac:dyDescent="0.25">
      <c r="A1293" s="65">
        <v>83</v>
      </c>
      <c r="B1293" s="84" t="s">
        <v>372</v>
      </c>
      <c r="C1293" s="73">
        <v>1</v>
      </c>
      <c r="D1293" s="85" t="s">
        <v>373</v>
      </c>
      <c r="E1293" s="86" t="s">
        <v>131</v>
      </c>
      <c r="F1293" s="85" t="s">
        <v>223</v>
      </c>
      <c r="G1293" s="71">
        <f t="shared" si="111"/>
        <v>452.16</v>
      </c>
      <c r="H1293" s="71">
        <f t="shared" si="112"/>
        <v>452.16</v>
      </c>
      <c r="I1293" s="71">
        <f t="shared" si="113"/>
        <v>452.16</v>
      </c>
      <c r="J1293" s="71">
        <f t="shared" si="114"/>
        <v>452.16</v>
      </c>
      <c r="K1293" s="72">
        <v>0</v>
      </c>
      <c r="M1293" s="58">
        <f>VLOOKUP(D1293,'TABELA DE PRECOS'!B:C,2,0)</f>
        <v>452.16</v>
      </c>
    </row>
    <row r="1294" spans="1:13" ht="15.75" customHeight="1" x14ac:dyDescent="0.25">
      <c r="A1294" s="65">
        <v>84</v>
      </c>
      <c r="B1294" s="84" t="s">
        <v>374</v>
      </c>
      <c r="C1294" s="73">
        <v>1</v>
      </c>
      <c r="D1294" s="85" t="s">
        <v>375</v>
      </c>
      <c r="E1294" s="86" t="s">
        <v>131</v>
      </c>
      <c r="F1294" s="85" t="s">
        <v>223</v>
      </c>
      <c r="G1294" s="71">
        <f t="shared" si="111"/>
        <v>640.15991999999994</v>
      </c>
      <c r="H1294" s="71">
        <f t="shared" si="112"/>
        <v>640.15991999999994</v>
      </c>
      <c r="I1294" s="71">
        <f t="shared" si="113"/>
        <v>640.15991999999994</v>
      </c>
      <c r="J1294" s="71">
        <f t="shared" si="114"/>
        <v>640.15991999999994</v>
      </c>
      <c r="K1294" s="72">
        <v>0</v>
      </c>
      <c r="M1294" s="58">
        <f>VLOOKUP(D1294,'TABELA DE PRECOS'!B:C,2,0)</f>
        <v>640.15991999999994</v>
      </c>
    </row>
    <row r="1295" spans="1:13" ht="15.75" customHeight="1" x14ac:dyDescent="0.25">
      <c r="A1295" s="65">
        <v>85</v>
      </c>
      <c r="B1295" s="84" t="s">
        <v>376</v>
      </c>
      <c r="C1295" s="73">
        <v>1</v>
      </c>
      <c r="D1295" s="85" t="s">
        <v>1060</v>
      </c>
      <c r="E1295" s="86" t="s">
        <v>131</v>
      </c>
      <c r="F1295" s="85" t="s">
        <v>223</v>
      </c>
      <c r="G1295" s="71">
        <f t="shared" si="111"/>
        <v>514.57000000000005</v>
      </c>
      <c r="H1295" s="71">
        <f t="shared" si="112"/>
        <v>514.57000000000005</v>
      </c>
      <c r="I1295" s="71">
        <f t="shared" si="113"/>
        <v>514.57000000000005</v>
      </c>
      <c r="J1295" s="71">
        <f t="shared" si="114"/>
        <v>514.57000000000005</v>
      </c>
      <c r="K1295" s="72">
        <v>0</v>
      </c>
      <c r="M1295" s="58">
        <f>VLOOKUP(D1295,'TABELA DE PRECOS'!B:C,2,0)</f>
        <v>514.57000000000005</v>
      </c>
    </row>
    <row r="1296" spans="1:13" ht="15.75" customHeight="1" x14ac:dyDescent="0.25">
      <c r="A1296" s="65">
        <v>86</v>
      </c>
      <c r="B1296" s="84" t="s">
        <v>378</v>
      </c>
      <c r="C1296" s="73">
        <v>2</v>
      </c>
      <c r="D1296" s="85" t="s">
        <v>1061</v>
      </c>
      <c r="E1296" s="86" t="s">
        <v>131</v>
      </c>
      <c r="F1296" s="85" t="s">
        <v>223</v>
      </c>
      <c r="G1296" s="71">
        <f t="shared" si="111"/>
        <v>9.18</v>
      </c>
      <c r="H1296" s="71">
        <f t="shared" si="112"/>
        <v>18.36</v>
      </c>
      <c r="I1296" s="71">
        <f t="shared" si="113"/>
        <v>9.18</v>
      </c>
      <c r="J1296" s="71">
        <f t="shared" si="114"/>
        <v>18.36</v>
      </c>
      <c r="K1296" s="72">
        <v>0</v>
      </c>
      <c r="M1296" s="58">
        <f>VLOOKUP(D1296,'TABELA DE PRECOS'!B:C,2,0)</f>
        <v>9.18</v>
      </c>
    </row>
    <row r="1297" spans="1:13" ht="15.75" customHeight="1" x14ac:dyDescent="0.25">
      <c r="A1297" s="78"/>
      <c r="B1297" s="79" t="s">
        <v>224</v>
      </c>
      <c r="C1297" s="79">
        <f>SUM(C1211:C1296)</f>
        <v>129</v>
      </c>
      <c r="D1297" s="79"/>
      <c r="E1297" s="79"/>
      <c r="F1297" s="79"/>
      <c r="G1297" s="80"/>
      <c r="H1297" s="80">
        <f>SUM(H1211:H1296)</f>
        <v>6795.0311999999985</v>
      </c>
      <c r="I1297" s="79"/>
      <c r="J1297" s="80">
        <f>SUM(J1211:J1296)</f>
        <v>6795.0311999999985</v>
      </c>
      <c r="K1297" s="81"/>
      <c r="M1297" s="58" t="e">
        <f>VLOOKUP(D1297,'TABELA DE PRECOS'!B:C,2,0)</f>
        <v>#N/A</v>
      </c>
    </row>
    <row r="1298" spans="1:13" ht="15.75" customHeight="1" x14ac:dyDescent="0.25">
      <c r="A1298" s="56"/>
      <c r="C1298" s="57"/>
      <c r="G1298" s="58"/>
      <c r="H1298" s="58"/>
      <c r="I1298" s="58"/>
      <c r="J1298" s="58"/>
      <c r="K1298" s="59"/>
      <c r="M1298" s="58" t="e">
        <f>VLOOKUP(D1298,'TABELA DE PRECOS'!B:C,2,0)</f>
        <v>#N/A</v>
      </c>
    </row>
    <row r="1299" spans="1:13" ht="15.75" customHeight="1" x14ac:dyDescent="0.25">
      <c r="A1299" s="56"/>
      <c r="B1299" s="18" t="s">
        <v>1328</v>
      </c>
      <c r="C1299" s="57"/>
      <c r="G1299" s="58"/>
      <c r="H1299" s="58"/>
      <c r="I1299" s="58"/>
      <c r="J1299" s="58"/>
      <c r="K1299" s="59"/>
      <c r="M1299" s="58" t="e">
        <f>VLOOKUP(D1299,'TABELA DE PRECOS'!B:C,2,0)</f>
        <v>#N/A</v>
      </c>
    </row>
    <row r="1300" spans="1:13" ht="15.75" customHeight="1" x14ac:dyDescent="0.25">
      <c r="A1300" s="18" t="s">
        <v>119</v>
      </c>
      <c r="B1300" s="18" t="s">
        <v>120</v>
      </c>
      <c r="C1300" s="18" t="s">
        <v>21</v>
      </c>
      <c r="D1300" s="18" t="s">
        <v>121</v>
      </c>
      <c r="E1300" s="60" t="s">
        <v>122</v>
      </c>
      <c r="F1300" s="18" t="s">
        <v>123</v>
      </c>
      <c r="G1300" s="61" t="s">
        <v>22</v>
      </c>
      <c r="H1300" s="18" t="s">
        <v>23</v>
      </c>
      <c r="I1300" s="18" t="s">
        <v>24</v>
      </c>
      <c r="J1300" s="18" t="s">
        <v>25</v>
      </c>
      <c r="K1300" s="62" t="s">
        <v>26</v>
      </c>
      <c r="M1300" s="58" t="str">
        <f>VLOOKUP(D1300,'TABELA DE PRECOS'!B:C,2,0)</f>
        <v>Valor Unit Bruto</v>
      </c>
    </row>
    <row r="1301" spans="1:13" ht="15.75" customHeight="1" x14ac:dyDescent="0.25">
      <c r="A1301" s="65">
        <v>1</v>
      </c>
      <c r="B1301" s="84" t="s">
        <v>1329</v>
      </c>
      <c r="C1301" s="73">
        <v>1</v>
      </c>
      <c r="D1301" s="84" t="s">
        <v>1330</v>
      </c>
      <c r="E1301" s="86" t="s">
        <v>131</v>
      </c>
      <c r="F1301" s="85">
        <v>81897710009</v>
      </c>
      <c r="G1301" s="71">
        <f t="shared" ref="G1301:G1308" si="115">M1301</f>
        <v>650.70000000000005</v>
      </c>
      <c r="H1301" s="71">
        <f t="shared" ref="H1301:H1308" si="116">G1301*C1301</f>
        <v>650.70000000000005</v>
      </c>
      <c r="I1301" s="71">
        <f t="shared" ref="I1301:I1308" si="117">G1301</f>
        <v>650.70000000000005</v>
      </c>
      <c r="J1301" s="71">
        <f t="shared" ref="J1301:J1308" si="118">I1301*C1301</f>
        <v>650.70000000000005</v>
      </c>
      <c r="K1301" s="72">
        <v>0</v>
      </c>
      <c r="M1301" s="58">
        <f>VLOOKUP(D1301,'TABELA DE PRECOS'!B:C,2,0)</f>
        <v>650.70000000000005</v>
      </c>
    </row>
    <row r="1302" spans="1:13" ht="15.75" customHeight="1" x14ac:dyDescent="0.25">
      <c r="A1302" s="65">
        <v>2</v>
      </c>
      <c r="B1302" s="84" t="s">
        <v>1331</v>
      </c>
      <c r="C1302" s="73">
        <v>1</v>
      </c>
      <c r="D1302" s="84" t="s">
        <v>1332</v>
      </c>
      <c r="E1302" s="86" t="s">
        <v>131</v>
      </c>
      <c r="F1302" s="85">
        <v>81897710009</v>
      </c>
      <c r="G1302" s="71">
        <f t="shared" si="115"/>
        <v>630.70000000000005</v>
      </c>
      <c r="H1302" s="71">
        <f t="shared" si="116"/>
        <v>630.70000000000005</v>
      </c>
      <c r="I1302" s="71">
        <f t="shared" si="117"/>
        <v>630.70000000000005</v>
      </c>
      <c r="J1302" s="71">
        <f t="shared" si="118"/>
        <v>630.70000000000005</v>
      </c>
      <c r="K1302" s="72">
        <v>0</v>
      </c>
      <c r="M1302" s="58">
        <f>VLOOKUP(D1302,'TABELA DE PRECOS'!B:C,2,0)</f>
        <v>630.70000000000005</v>
      </c>
    </row>
    <row r="1303" spans="1:13" ht="15.75" customHeight="1" x14ac:dyDescent="0.25">
      <c r="A1303" s="65">
        <v>3</v>
      </c>
      <c r="B1303" s="66" t="s">
        <v>1333</v>
      </c>
      <c r="C1303" s="82">
        <v>1</v>
      </c>
      <c r="D1303" s="66" t="s">
        <v>1334</v>
      </c>
      <c r="E1303" s="86" t="s">
        <v>131</v>
      </c>
      <c r="F1303" s="85">
        <v>81897719006</v>
      </c>
      <c r="G1303" s="71">
        <f t="shared" si="115"/>
        <v>340.93872000000005</v>
      </c>
      <c r="H1303" s="71">
        <f t="shared" si="116"/>
        <v>340.93872000000005</v>
      </c>
      <c r="I1303" s="71">
        <f t="shared" si="117"/>
        <v>340.93872000000005</v>
      </c>
      <c r="J1303" s="71">
        <f t="shared" si="118"/>
        <v>340.93872000000005</v>
      </c>
      <c r="K1303" s="72">
        <v>0</v>
      </c>
      <c r="M1303" s="58">
        <f>VLOOKUP(D1303,'TABELA DE PRECOS'!B:C,2,0)</f>
        <v>340.93872000000005</v>
      </c>
    </row>
    <row r="1304" spans="1:13" ht="15.75" customHeight="1" x14ac:dyDescent="0.25">
      <c r="A1304" s="65">
        <v>4</v>
      </c>
      <c r="B1304" t="s">
        <v>1335</v>
      </c>
      <c r="C1304" s="73">
        <v>1</v>
      </c>
      <c r="D1304" t="s">
        <v>1280</v>
      </c>
      <c r="E1304" s="86" t="s">
        <v>131</v>
      </c>
      <c r="F1304" s="85">
        <v>81897710012</v>
      </c>
      <c r="G1304" s="71">
        <f t="shared" si="115"/>
        <v>340.93872000000005</v>
      </c>
      <c r="H1304" s="71">
        <f t="shared" si="116"/>
        <v>340.93872000000005</v>
      </c>
      <c r="I1304" s="71">
        <f t="shared" si="117"/>
        <v>340.93872000000005</v>
      </c>
      <c r="J1304" s="71">
        <f t="shared" si="118"/>
        <v>340.93872000000005</v>
      </c>
      <c r="K1304" s="72">
        <v>0</v>
      </c>
      <c r="M1304" s="58">
        <f>VLOOKUP(D1304,'TABELA DE PRECOS'!B:C,2,0)</f>
        <v>340.93872000000005</v>
      </c>
    </row>
    <row r="1305" spans="1:13" ht="15.75" customHeight="1" x14ac:dyDescent="0.25">
      <c r="A1305" s="65">
        <v>5</v>
      </c>
      <c r="B1305" s="84" t="s">
        <v>1337</v>
      </c>
      <c r="C1305" s="73">
        <v>1</v>
      </c>
      <c r="D1305" s="85" t="s">
        <v>1338</v>
      </c>
      <c r="E1305" s="86" t="s">
        <v>131</v>
      </c>
      <c r="F1305" s="85">
        <v>81897719002</v>
      </c>
      <c r="G1305" s="71">
        <f t="shared" si="115"/>
        <v>63.111520000000006</v>
      </c>
      <c r="H1305" s="71">
        <f t="shared" si="116"/>
        <v>63.111520000000006</v>
      </c>
      <c r="I1305" s="71">
        <f t="shared" si="117"/>
        <v>63.111520000000006</v>
      </c>
      <c r="J1305" s="71">
        <f t="shared" si="118"/>
        <v>63.111520000000006</v>
      </c>
      <c r="K1305" s="72">
        <v>0</v>
      </c>
      <c r="M1305" s="58">
        <f>VLOOKUP(D1305,'TABELA DE PRECOS'!B:C,2,0)</f>
        <v>63.111520000000006</v>
      </c>
    </row>
    <row r="1306" spans="1:13" ht="15.75" customHeight="1" x14ac:dyDescent="0.25">
      <c r="A1306" s="65">
        <v>6</v>
      </c>
      <c r="B1306" s="84" t="s">
        <v>1339</v>
      </c>
      <c r="C1306" s="73">
        <v>1</v>
      </c>
      <c r="D1306" s="85" t="s">
        <v>1340</v>
      </c>
      <c r="E1306" s="86" t="s">
        <v>131</v>
      </c>
      <c r="F1306" s="85">
        <v>81897719002</v>
      </c>
      <c r="G1306" s="71">
        <f t="shared" si="115"/>
        <v>9.6948800000000013</v>
      </c>
      <c r="H1306" s="71">
        <f t="shared" si="116"/>
        <v>9.6948800000000013</v>
      </c>
      <c r="I1306" s="71">
        <f t="shared" si="117"/>
        <v>9.6948800000000013</v>
      </c>
      <c r="J1306" s="71">
        <f t="shared" si="118"/>
        <v>9.6948800000000013</v>
      </c>
      <c r="K1306" s="72">
        <v>0</v>
      </c>
      <c r="M1306" s="58">
        <f>VLOOKUP(D1306,'TABELA DE PRECOS'!B:C,2,0)</f>
        <v>9.6948800000000013</v>
      </c>
    </row>
    <row r="1307" spans="1:13" ht="15.75" customHeight="1" x14ac:dyDescent="0.25">
      <c r="A1307" s="65">
        <v>7</v>
      </c>
      <c r="B1307" s="84" t="s">
        <v>1341</v>
      </c>
      <c r="C1307" s="73">
        <v>1</v>
      </c>
      <c r="D1307" s="85" t="s">
        <v>1342</v>
      </c>
      <c r="E1307" s="86" t="s">
        <v>131</v>
      </c>
      <c r="F1307" s="84" t="s">
        <v>223</v>
      </c>
      <c r="G1307" s="71">
        <f t="shared" si="115"/>
        <v>311.04512</v>
      </c>
      <c r="H1307" s="71">
        <f t="shared" si="116"/>
        <v>311.04512</v>
      </c>
      <c r="I1307" s="71">
        <f t="shared" si="117"/>
        <v>311.04512</v>
      </c>
      <c r="J1307" s="71">
        <f t="shared" si="118"/>
        <v>311.04512</v>
      </c>
      <c r="K1307" s="72">
        <v>0</v>
      </c>
      <c r="M1307" s="58">
        <f>VLOOKUP(D1307,'TABELA DE PRECOS'!B:C,2,0)</f>
        <v>311.04512</v>
      </c>
    </row>
    <row r="1308" spans="1:13" ht="15.75" customHeight="1" x14ac:dyDescent="0.25">
      <c r="A1308" s="65">
        <v>8</v>
      </c>
      <c r="B1308" s="84" t="s">
        <v>1343</v>
      </c>
      <c r="C1308" s="73">
        <v>1</v>
      </c>
      <c r="D1308" s="85" t="s">
        <v>1344</v>
      </c>
      <c r="E1308" s="86" t="s">
        <v>131</v>
      </c>
      <c r="F1308" s="84" t="s">
        <v>223</v>
      </c>
      <c r="G1308" s="71">
        <f t="shared" si="115"/>
        <v>263.63879999999995</v>
      </c>
      <c r="H1308" s="71">
        <f t="shared" si="116"/>
        <v>263.63879999999995</v>
      </c>
      <c r="I1308" s="71">
        <f t="shared" si="117"/>
        <v>263.63879999999995</v>
      </c>
      <c r="J1308" s="71">
        <f t="shared" si="118"/>
        <v>263.63879999999995</v>
      </c>
      <c r="K1308" s="72">
        <v>0</v>
      </c>
      <c r="M1308" s="58">
        <f>VLOOKUP(D1308,'TABELA DE PRECOS'!B:C,2,0)</f>
        <v>263.63879999999995</v>
      </c>
    </row>
    <row r="1309" spans="1:13" ht="15.75" customHeight="1" x14ac:dyDescent="0.25">
      <c r="A1309" s="78"/>
      <c r="B1309" s="79" t="s">
        <v>224</v>
      </c>
      <c r="C1309" s="79">
        <f>SUM(C1301:C1308)</f>
        <v>8</v>
      </c>
      <c r="D1309" s="79"/>
      <c r="E1309" s="79"/>
      <c r="F1309" s="79"/>
      <c r="G1309" s="80"/>
      <c r="H1309" s="80">
        <f>SUM(H1301:H1308)</f>
        <v>2610.7677599999997</v>
      </c>
      <c r="I1309" s="79"/>
      <c r="J1309" s="80">
        <f>SUM(J1301:J1308)</f>
        <v>2610.7677599999997</v>
      </c>
      <c r="K1309" s="81"/>
      <c r="M1309" s="58" t="e">
        <f>VLOOKUP(D1309,'TABELA DE PRECOS'!B:C,2,0)</f>
        <v>#N/A</v>
      </c>
    </row>
    <row r="1310" spans="1:13" ht="15.75" customHeight="1" x14ac:dyDescent="0.25">
      <c r="A1310" s="56"/>
      <c r="B1310" s="49" t="s">
        <v>15</v>
      </c>
      <c r="C1310" s="57"/>
      <c r="G1310" s="58"/>
      <c r="H1310" s="58"/>
      <c r="I1310" s="58"/>
      <c r="J1310" s="58"/>
      <c r="K1310" s="59"/>
      <c r="M1310" s="58" t="e">
        <f>VLOOKUP(D1310,'TABELA DE PRECOS'!B:C,2,0)</f>
        <v>#N/A</v>
      </c>
    </row>
    <row r="1311" spans="1:13" ht="15.75" customHeight="1" x14ac:dyDescent="0.25">
      <c r="A1311" s="56"/>
      <c r="B1311" s="18" t="s">
        <v>1345</v>
      </c>
      <c r="C1311" s="57"/>
      <c r="G1311" s="58"/>
      <c r="H1311" s="58"/>
      <c r="I1311" s="58"/>
      <c r="J1311" s="58"/>
      <c r="K1311" s="59"/>
      <c r="L1311" s="63"/>
      <c r="M1311" s="58" t="e">
        <f>VLOOKUP(D1311,'TABELA DE PRECOS'!B:C,2,0)</f>
        <v>#N/A</v>
      </c>
    </row>
    <row r="1312" spans="1:13" ht="15.75" customHeight="1" x14ac:dyDescent="0.25">
      <c r="A1312" s="18" t="s">
        <v>119</v>
      </c>
      <c r="B1312" s="18" t="s">
        <v>120</v>
      </c>
      <c r="C1312" s="18" t="s">
        <v>21</v>
      </c>
      <c r="D1312" s="18" t="s">
        <v>121</v>
      </c>
      <c r="E1312" s="60" t="s">
        <v>122</v>
      </c>
      <c r="F1312" s="18" t="s">
        <v>123</v>
      </c>
      <c r="G1312" s="61" t="s">
        <v>22</v>
      </c>
      <c r="H1312" s="18" t="s">
        <v>23</v>
      </c>
      <c r="I1312" s="18" t="s">
        <v>24</v>
      </c>
      <c r="J1312" s="18" t="s">
        <v>25</v>
      </c>
      <c r="K1312" s="62" t="s">
        <v>26</v>
      </c>
      <c r="M1312" s="58" t="str">
        <f>VLOOKUP(D1312,'TABELA DE PRECOS'!B:C,2,0)</f>
        <v>Valor Unit Bruto</v>
      </c>
    </row>
    <row r="1313" spans="1:13" ht="15.75" customHeight="1" x14ac:dyDescent="0.25">
      <c r="A1313" s="65">
        <v>1</v>
      </c>
      <c r="B1313" s="84" t="s">
        <v>133</v>
      </c>
      <c r="C1313" s="73">
        <v>2</v>
      </c>
      <c r="D1313" s="107" t="s">
        <v>134</v>
      </c>
      <c r="E1313" s="86" t="s">
        <v>131</v>
      </c>
      <c r="F1313" s="107">
        <v>81897719002</v>
      </c>
      <c r="G1313" s="71">
        <f t="shared" ref="G1313:G1364" si="119">M1313</f>
        <v>17.19688</v>
      </c>
      <c r="H1313" s="71">
        <f t="shared" ref="H1313:H1364" si="120">G1313*C1313</f>
        <v>34.39376</v>
      </c>
      <c r="I1313" s="71">
        <f t="shared" ref="I1313:I1364" si="121">G1313</f>
        <v>17.19688</v>
      </c>
      <c r="J1313" s="71">
        <f t="shared" ref="J1313:J1364" si="122">I1313*C1313</f>
        <v>34.39376</v>
      </c>
      <c r="K1313" s="72">
        <v>0</v>
      </c>
      <c r="M1313" s="58">
        <f>VLOOKUP(D1313,'TABELA DE PRECOS'!B:C,2,0)</f>
        <v>17.19688</v>
      </c>
    </row>
    <row r="1314" spans="1:13" ht="15.75" customHeight="1" x14ac:dyDescent="0.25">
      <c r="A1314" s="65">
        <v>2</v>
      </c>
      <c r="B1314" s="84" t="s">
        <v>290</v>
      </c>
      <c r="C1314" s="73">
        <v>2</v>
      </c>
      <c r="D1314" s="107" t="s">
        <v>291</v>
      </c>
      <c r="E1314" s="86" t="s">
        <v>131</v>
      </c>
      <c r="F1314" s="107">
        <v>81897719002</v>
      </c>
      <c r="G1314" s="71">
        <f t="shared" si="119"/>
        <v>16.5</v>
      </c>
      <c r="H1314" s="71">
        <f t="shared" si="120"/>
        <v>33</v>
      </c>
      <c r="I1314" s="71">
        <f t="shared" si="121"/>
        <v>16.5</v>
      </c>
      <c r="J1314" s="71">
        <f t="shared" si="122"/>
        <v>33</v>
      </c>
      <c r="K1314" s="72">
        <v>0</v>
      </c>
      <c r="M1314" s="58">
        <f>VLOOKUP(D1314,'TABELA DE PRECOS'!B:C,2,0)</f>
        <v>16.5</v>
      </c>
    </row>
    <row r="1315" spans="1:13" ht="15.75" customHeight="1" x14ac:dyDescent="0.25">
      <c r="A1315" s="65">
        <v>3</v>
      </c>
      <c r="B1315" s="84" t="s">
        <v>1346</v>
      </c>
      <c r="C1315" s="73">
        <v>2</v>
      </c>
      <c r="D1315" s="49" t="s">
        <v>1347</v>
      </c>
      <c r="E1315" s="86" t="s">
        <v>131</v>
      </c>
      <c r="F1315" s="107">
        <v>81897719006</v>
      </c>
      <c r="G1315" s="71">
        <f t="shared" si="119"/>
        <v>21.348960000000002</v>
      </c>
      <c r="H1315" s="71">
        <f t="shared" si="120"/>
        <v>42.697920000000003</v>
      </c>
      <c r="I1315" s="71">
        <f t="shared" si="121"/>
        <v>21.348960000000002</v>
      </c>
      <c r="J1315" s="71">
        <f t="shared" si="122"/>
        <v>42.697920000000003</v>
      </c>
      <c r="K1315" s="72">
        <v>0</v>
      </c>
      <c r="M1315" s="58">
        <f>VLOOKUP(D1315,'TABELA DE PRECOS'!B:C,2,0)</f>
        <v>21.348960000000002</v>
      </c>
    </row>
    <row r="1316" spans="1:13" ht="15.75" customHeight="1" x14ac:dyDescent="0.25">
      <c r="A1316" s="65">
        <v>4</v>
      </c>
      <c r="B1316" s="84" t="s">
        <v>1348</v>
      </c>
      <c r="C1316" s="73">
        <v>1</v>
      </c>
      <c r="D1316" s="107" t="s">
        <v>1349</v>
      </c>
      <c r="E1316" s="86" t="s">
        <v>131</v>
      </c>
      <c r="F1316" s="107">
        <v>81897719002</v>
      </c>
      <c r="G1316" s="71">
        <f t="shared" si="119"/>
        <v>87.367680000000007</v>
      </c>
      <c r="H1316" s="71">
        <f t="shared" si="120"/>
        <v>87.367680000000007</v>
      </c>
      <c r="I1316" s="71">
        <f t="shared" si="121"/>
        <v>87.367680000000007</v>
      </c>
      <c r="J1316" s="71">
        <f t="shared" si="122"/>
        <v>87.367680000000007</v>
      </c>
      <c r="K1316" s="72">
        <v>0</v>
      </c>
      <c r="M1316" s="58">
        <f>VLOOKUP(D1316,'TABELA DE PRECOS'!B:C,2,0)</f>
        <v>87.367680000000007</v>
      </c>
    </row>
    <row r="1317" spans="1:13" ht="15.75" customHeight="1" x14ac:dyDescent="0.25">
      <c r="A1317" s="65">
        <v>5</v>
      </c>
      <c r="B1317" s="84" t="s">
        <v>1350</v>
      </c>
      <c r="C1317" s="73">
        <v>1</v>
      </c>
      <c r="D1317" s="107" t="s">
        <v>1351</v>
      </c>
      <c r="E1317" s="86" t="s">
        <v>131</v>
      </c>
      <c r="F1317" s="107">
        <v>81897719002</v>
      </c>
      <c r="G1317" s="71">
        <f t="shared" si="119"/>
        <v>19.427679999999999</v>
      </c>
      <c r="H1317" s="71">
        <f t="shared" si="120"/>
        <v>19.427679999999999</v>
      </c>
      <c r="I1317" s="71">
        <f t="shared" si="121"/>
        <v>19.427679999999999</v>
      </c>
      <c r="J1317" s="71">
        <f t="shared" si="122"/>
        <v>19.427679999999999</v>
      </c>
      <c r="K1317" s="72">
        <v>0</v>
      </c>
      <c r="M1317" s="58">
        <f>VLOOKUP(D1317,'TABELA DE PRECOS'!B:C,2,0)</f>
        <v>19.427679999999999</v>
      </c>
    </row>
    <row r="1318" spans="1:13" ht="15.75" customHeight="1" x14ac:dyDescent="0.25">
      <c r="A1318" s="65">
        <v>6</v>
      </c>
      <c r="B1318" s="84" t="s">
        <v>1352</v>
      </c>
      <c r="C1318" s="73">
        <v>1</v>
      </c>
      <c r="D1318" s="107" t="s">
        <v>1353</v>
      </c>
      <c r="E1318" s="86" t="s">
        <v>131</v>
      </c>
      <c r="F1318" s="107">
        <v>81897719002</v>
      </c>
      <c r="G1318" s="71">
        <f t="shared" si="119"/>
        <v>19.427679999999999</v>
      </c>
      <c r="H1318" s="71">
        <f t="shared" si="120"/>
        <v>19.427679999999999</v>
      </c>
      <c r="I1318" s="71">
        <f t="shared" si="121"/>
        <v>19.427679999999999</v>
      </c>
      <c r="J1318" s="71">
        <f t="shared" si="122"/>
        <v>19.427679999999999</v>
      </c>
      <c r="K1318" s="72">
        <v>0</v>
      </c>
      <c r="M1318" s="58">
        <f>VLOOKUP(D1318,'TABELA DE PRECOS'!B:C,2,0)</f>
        <v>19.427679999999999</v>
      </c>
    </row>
    <row r="1319" spans="1:13" ht="15.75" customHeight="1" x14ac:dyDescent="0.25">
      <c r="A1319" s="65">
        <v>7</v>
      </c>
      <c r="B1319" s="84" t="s">
        <v>974</v>
      </c>
      <c r="C1319" s="73">
        <v>2</v>
      </c>
      <c r="D1319" s="107" t="s">
        <v>975</v>
      </c>
      <c r="E1319" s="86" t="s">
        <v>131</v>
      </c>
      <c r="F1319" s="107">
        <v>81897719002</v>
      </c>
      <c r="G1319" s="71">
        <f t="shared" si="119"/>
        <v>12.40944</v>
      </c>
      <c r="H1319" s="71">
        <f t="shared" si="120"/>
        <v>24.81888</v>
      </c>
      <c r="I1319" s="71">
        <f t="shared" si="121"/>
        <v>12.40944</v>
      </c>
      <c r="J1319" s="71">
        <f t="shared" si="122"/>
        <v>24.81888</v>
      </c>
      <c r="K1319" s="72">
        <v>0</v>
      </c>
      <c r="M1319" s="58">
        <f>VLOOKUP(D1319,'TABELA DE PRECOS'!B:C,2,0)</f>
        <v>12.40944</v>
      </c>
    </row>
    <row r="1320" spans="1:13" ht="15.75" customHeight="1" x14ac:dyDescent="0.25">
      <c r="A1320" s="65">
        <v>8</v>
      </c>
      <c r="B1320" s="84" t="s">
        <v>1052</v>
      </c>
      <c r="C1320" s="73">
        <v>1</v>
      </c>
      <c r="D1320" s="107" t="s">
        <v>1053</v>
      </c>
      <c r="E1320" s="86" t="s">
        <v>131</v>
      </c>
      <c r="F1320" s="107">
        <v>81897719002</v>
      </c>
      <c r="G1320" s="71">
        <f t="shared" si="119"/>
        <v>145.61279999999999</v>
      </c>
      <c r="H1320" s="71">
        <f t="shared" si="120"/>
        <v>145.61279999999999</v>
      </c>
      <c r="I1320" s="71">
        <f t="shared" si="121"/>
        <v>145.61279999999999</v>
      </c>
      <c r="J1320" s="71">
        <f t="shared" si="122"/>
        <v>145.61279999999999</v>
      </c>
      <c r="K1320" s="72">
        <v>0</v>
      </c>
      <c r="M1320" s="58">
        <f>VLOOKUP(D1320,'TABELA DE PRECOS'!B:C,2,0)</f>
        <v>145.61279999999999</v>
      </c>
    </row>
    <row r="1321" spans="1:13" ht="15.75" customHeight="1" x14ac:dyDescent="0.25">
      <c r="A1321" s="65">
        <v>9</v>
      </c>
      <c r="B1321" s="84" t="s">
        <v>1052</v>
      </c>
      <c r="C1321" s="73">
        <v>1</v>
      </c>
      <c r="D1321" s="107" t="s">
        <v>1053</v>
      </c>
      <c r="E1321" s="86" t="s">
        <v>131</v>
      </c>
      <c r="F1321" s="107">
        <v>81897719002</v>
      </c>
      <c r="G1321" s="71">
        <f t="shared" si="119"/>
        <v>145.61279999999999</v>
      </c>
      <c r="H1321" s="71">
        <f t="shared" si="120"/>
        <v>145.61279999999999</v>
      </c>
      <c r="I1321" s="71">
        <f t="shared" si="121"/>
        <v>145.61279999999999</v>
      </c>
      <c r="J1321" s="71">
        <f t="shared" si="122"/>
        <v>145.61279999999999</v>
      </c>
      <c r="K1321" s="72">
        <v>0</v>
      </c>
      <c r="M1321" s="58">
        <f>VLOOKUP(D1321,'TABELA DE PRECOS'!B:C,2,0)</f>
        <v>145.61279999999999</v>
      </c>
    </row>
    <row r="1322" spans="1:13" ht="15.75" customHeight="1" x14ac:dyDescent="0.25">
      <c r="A1322" s="65">
        <v>10</v>
      </c>
      <c r="B1322" s="84" t="s">
        <v>1251</v>
      </c>
      <c r="C1322" s="73">
        <v>1</v>
      </c>
      <c r="D1322" s="107" t="s">
        <v>1252</v>
      </c>
      <c r="E1322" s="86" t="s">
        <v>131</v>
      </c>
      <c r="F1322" s="107">
        <v>81897719002</v>
      </c>
      <c r="G1322" s="71">
        <f t="shared" si="119"/>
        <v>160.17408</v>
      </c>
      <c r="H1322" s="71">
        <f t="shared" si="120"/>
        <v>160.17408</v>
      </c>
      <c r="I1322" s="71">
        <f t="shared" si="121"/>
        <v>160.17408</v>
      </c>
      <c r="J1322" s="71">
        <f t="shared" si="122"/>
        <v>160.17408</v>
      </c>
      <c r="K1322" s="72">
        <v>0</v>
      </c>
      <c r="M1322" s="58">
        <f>VLOOKUP(D1322,'TABELA DE PRECOS'!B:C,2,0)</f>
        <v>160.17408</v>
      </c>
    </row>
    <row r="1323" spans="1:13" ht="15.75" customHeight="1" x14ac:dyDescent="0.25">
      <c r="A1323" s="65">
        <v>11</v>
      </c>
      <c r="B1323" s="84" t="s">
        <v>1354</v>
      </c>
      <c r="C1323" s="73">
        <v>1</v>
      </c>
      <c r="D1323" s="107" t="s">
        <v>1355</v>
      </c>
      <c r="E1323" s="86" t="s">
        <v>131</v>
      </c>
      <c r="F1323" s="107">
        <v>81897719002</v>
      </c>
      <c r="G1323" s="71">
        <f t="shared" si="119"/>
        <v>111.62384</v>
      </c>
      <c r="H1323" s="71">
        <f t="shared" si="120"/>
        <v>111.62384</v>
      </c>
      <c r="I1323" s="71">
        <f t="shared" si="121"/>
        <v>111.62384</v>
      </c>
      <c r="J1323" s="71">
        <f t="shared" si="122"/>
        <v>111.62384</v>
      </c>
      <c r="K1323" s="72">
        <v>0</v>
      </c>
      <c r="L1323" s="63"/>
      <c r="M1323" s="58">
        <f>VLOOKUP(D1323,'TABELA DE PRECOS'!B:C,2,0)</f>
        <v>111.62384</v>
      </c>
    </row>
    <row r="1324" spans="1:13" ht="15.75" customHeight="1" x14ac:dyDescent="0.25">
      <c r="A1324" s="65">
        <v>12</v>
      </c>
      <c r="B1324" s="84" t="s">
        <v>1356</v>
      </c>
      <c r="C1324" s="73">
        <v>1</v>
      </c>
      <c r="D1324" s="49" t="s">
        <v>1357</v>
      </c>
      <c r="E1324" s="86" t="s">
        <v>131</v>
      </c>
      <c r="F1324" s="107">
        <v>81897710010</v>
      </c>
      <c r="G1324" s="71">
        <f t="shared" si="119"/>
        <v>31.536799999999999</v>
      </c>
      <c r="H1324" s="71">
        <f t="shared" si="120"/>
        <v>31.536799999999999</v>
      </c>
      <c r="I1324" s="71">
        <f t="shared" si="121"/>
        <v>31.536799999999999</v>
      </c>
      <c r="J1324" s="71">
        <f t="shared" si="122"/>
        <v>31.536799999999999</v>
      </c>
      <c r="K1324" s="72">
        <v>0</v>
      </c>
      <c r="M1324" s="58">
        <f>VLOOKUP(D1324,'TABELA DE PRECOS'!B:C,2,0)</f>
        <v>31.536799999999999</v>
      </c>
    </row>
    <row r="1325" spans="1:13" ht="15.75" customHeight="1" x14ac:dyDescent="0.25">
      <c r="A1325" s="65">
        <v>13</v>
      </c>
      <c r="B1325" s="84" t="s">
        <v>1358</v>
      </c>
      <c r="C1325" s="73">
        <v>1</v>
      </c>
      <c r="D1325" s="107" t="s">
        <v>1359</v>
      </c>
      <c r="E1325" s="86" t="s">
        <v>131</v>
      </c>
      <c r="F1325" s="107">
        <v>81897719002</v>
      </c>
      <c r="G1325" s="71">
        <f t="shared" si="119"/>
        <v>31.536799999999999</v>
      </c>
      <c r="H1325" s="71">
        <f t="shared" si="120"/>
        <v>31.536799999999999</v>
      </c>
      <c r="I1325" s="71">
        <f t="shared" si="121"/>
        <v>31.536799999999999</v>
      </c>
      <c r="J1325" s="71">
        <f t="shared" si="122"/>
        <v>31.536799999999999</v>
      </c>
      <c r="K1325" s="72">
        <v>0</v>
      </c>
      <c r="M1325" s="58">
        <f>VLOOKUP(D1325,'TABELA DE PRECOS'!B:C,2,0)</f>
        <v>31.536799999999999</v>
      </c>
    </row>
    <row r="1326" spans="1:13" ht="15.75" customHeight="1" x14ac:dyDescent="0.25">
      <c r="A1326" s="65">
        <v>14</v>
      </c>
      <c r="B1326" s="84" t="s">
        <v>1360</v>
      </c>
      <c r="C1326" s="73">
        <v>1</v>
      </c>
      <c r="D1326" s="49" t="s">
        <v>1361</v>
      </c>
      <c r="E1326" s="86" t="s">
        <v>131</v>
      </c>
      <c r="F1326" s="107">
        <v>81897710010</v>
      </c>
      <c r="G1326" s="71">
        <f t="shared" si="119"/>
        <v>31.536799999999999</v>
      </c>
      <c r="H1326" s="71">
        <f t="shared" si="120"/>
        <v>31.536799999999999</v>
      </c>
      <c r="I1326" s="71">
        <f t="shared" si="121"/>
        <v>31.536799999999999</v>
      </c>
      <c r="J1326" s="71">
        <f t="shared" si="122"/>
        <v>31.536799999999999</v>
      </c>
      <c r="K1326" s="72">
        <v>0</v>
      </c>
      <c r="M1326" s="58">
        <f>VLOOKUP(D1326,'TABELA DE PRECOS'!B:C,2,0)</f>
        <v>31.536799999999999</v>
      </c>
    </row>
    <row r="1327" spans="1:13" ht="15.75" customHeight="1" x14ac:dyDescent="0.25">
      <c r="A1327" s="65">
        <v>15</v>
      </c>
      <c r="B1327" s="84" t="s">
        <v>1362</v>
      </c>
      <c r="C1327" s="73">
        <v>1</v>
      </c>
      <c r="D1327" s="107" t="s">
        <v>1363</v>
      </c>
      <c r="E1327" s="86" t="s">
        <v>131</v>
      </c>
      <c r="F1327" s="107">
        <v>81897719002</v>
      </c>
      <c r="G1327" s="71">
        <f t="shared" si="119"/>
        <v>31.536799999999999</v>
      </c>
      <c r="H1327" s="71">
        <f t="shared" si="120"/>
        <v>31.536799999999999</v>
      </c>
      <c r="I1327" s="71">
        <f t="shared" si="121"/>
        <v>31.536799999999999</v>
      </c>
      <c r="J1327" s="71">
        <f t="shared" si="122"/>
        <v>31.536799999999999</v>
      </c>
      <c r="K1327" s="72">
        <v>0</v>
      </c>
      <c r="M1327" s="58">
        <f>VLOOKUP(D1327,'TABELA DE PRECOS'!B:C,2,0)</f>
        <v>31.536799999999999</v>
      </c>
    </row>
    <row r="1328" spans="1:13" ht="15.75" customHeight="1" x14ac:dyDescent="0.25">
      <c r="A1328" s="65">
        <v>16</v>
      </c>
      <c r="B1328" s="84" t="s">
        <v>572</v>
      </c>
      <c r="C1328" s="73">
        <v>1</v>
      </c>
      <c r="D1328" s="107" t="s">
        <v>573</v>
      </c>
      <c r="E1328" s="86" t="s">
        <v>131</v>
      </c>
      <c r="F1328" s="107">
        <v>81897719002</v>
      </c>
      <c r="G1328" s="71">
        <f t="shared" si="119"/>
        <v>32.580959999999997</v>
      </c>
      <c r="H1328" s="71">
        <f t="shared" si="120"/>
        <v>32.580959999999997</v>
      </c>
      <c r="I1328" s="71">
        <f t="shared" si="121"/>
        <v>32.580959999999997</v>
      </c>
      <c r="J1328" s="71">
        <f t="shared" si="122"/>
        <v>32.580959999999997</v>
      </c>
      <c r="K1328" s="72">
        <v>0</v>
      </c>
      <c r="M1328" s="58">
        <f>VLOOKUP(D1328,'TABELA DE PRECOS'!B:C,2,0)</f>
        <v>32.580959999999997</v>
      </c>
    </row>
    <row r="1329" spans="1:13" ht="15.75" customHeight="1" x14ac:dyDescent="0.25">
      <c r="A1329" s="65">
        <v>17</v>
      </c>
      <c r="B1329" s="84" t="s">
        <v>1621</v>
      </c>
      <c r="C1329" s="73">
        <v>1</v>
      </c>
      <c r="D1329" s="119" t="s">
        <v>1622</v>
      </c>
      <c r="E1329" s="86" t="s">
        <v>131</v>
      </c>
      <c r="F1329" s="107">
        <v>81897710010</v>
      </c>
      <c r="G1329" s="71">
        <f t="shared" si="119"/>
        <v>20.39</v>
      </c>
      <c r="H1329" s="71">
        <f t="shared" si="120"/>
        <v>20.39</v>
      </c>
      <c r="I1329" s="71">
        <f t="shared" si="121"/>
        <v>20.39</v>
      </c>
      <c r="J1329" s="71">
        <f t="shared" si="122"/>
        <v>20.39</v>
      </c>
      <c r="K1329" s="72">
        <v>0</v>
      </c>
      <c r="M1329" s="58">
        <f>VLOOKUP(D1329,'TABELA DE PRECOS'!B:C,2,0)</f>
        <v>20.39</v>
      </c>
    </row>
    <row r="1330" spans="1:13" ht="15.75" customHeight="1" x14ac:dyDescent="0.25">
      <c r="A1330" s="65">
        <v>18</v>
      </c>
      <c r="B1330" s="84" t="s">
        <v>1366</v>
      </c>
      <c r="C1330" s="73">
        <v>1</v>
      </c>
      <c r="D1330" s="107" t="s">
        <v>1367</v>
      </c>
      <c r="E1330" s="86" t="s">
        <v>131</v>
      </c>
      <c r="F1330" s="107">
        <v>81897719002</v>
      </c>
      <c r="G1330" s="71">
        <f t="shared" si="119"/>
        <v>21.348960000000002</v>
      </c>
      <c r="H1330" s="71">
        <f t="shared" si="120"/>
        <v>21.348960000000002</v>
      </c>
      <c r="I1330" s="71">
        <f t="shared" si="121"/>
        <v>21.348960000000002</v>
      </c>
      <c r="J1330" s="71">
        <f t="shared" si="122"/>
        <v>21.348960000000002</v>
      </c>
      <c r="K1330" s="72">
        <v>0</v>
      </c>
      <c r="M1330" s="58">
        <f>VLOOKUP(D1330,'TABELA DE PRECOS'!B:C,2,0)</f>
        <v>21.348960000000002</v>
      </c>
    </row>
    <row r="1331" spans="1:13" ht="15.75" customHeight="1" x14ac:dyDescent="0.25">
      <c r="A1331" s="65">
        <v>19</v>
      </c>
      <c r="B1331" s="84" t="s">
        <v>1368</v>
      </c>
      <c r="C1331" s="73">
        <v>1</v>
      </c>
      <c r="D1331" s="107" t="s">
        <v>1369</v>
      </c>
      <c r="E1331" s="86" t="s">
        <v>131</v>
      </c>
      <c r="F1331" s="107">
        <v>81897719002</v>
      </c>
      <c r="G1331" s="71">
        <f t="shared" si="119"/>
        <v>65.525760000000005</v>
      </c>
      <c r="H1331" s="71">
        <f t="shared" si="120"/>
        <v>65.525760000000005</v>
      </c>
      <c r="I1331" s="71">
        <f t="shared" si="121"/>
        <v>65.525760000000005</v>
      </c>
      <c r="J1331" s="71">
        <f t="shared" si="122"/>
        <v>65.525760000000005</v>
      </c>
      <c r="K1331" s="72">
        <v>0</v>
      </c>
      <c r="M1331" s="58">
        <f>VLOOKUP(D1331,'TABELA DE PRECOS'!B:C,2,0)</f>
        <v>65.525760000000005</v>
      </c>
    </row>
    <row r="1332" spans="1:13" ht="15.75" customHeight="1" x14ac:dyDescent="0.25">
      <c r="A1332" s="65">
        <v>20</v>
      </c>
      <c r="B1332" s="84" t="s">
        <v>1370</v>
      </c>
      <c r="C1332" s="73">
        <v>1</v>
      </c>
      <c r="D1332" s="49" t="s">
        <v>1371</v>
      </c>
      <c r="E1332" s="86" t="s">
        <v>131</v>
      </c>
      <c r="F1332" s="107">
        <v>81897710023</v>
      </c>
      <c r="G1332" s="71">
        <f t="shared" si="119"/>
        <v>52.013600000000004</v>
      </c>
      <c r="H1332" s="71">
        <f t="shared" si="120"/>
        <v>52.013600000000004</v>
      </c>
      <c r="I1332" s="71">
        <f t="shared" si="121"/>
        <v>52.013600000000004</v>
      </c>
      <c r="J1332" s="71">
        <f t="shared" si="122"/>
        <v>52.013600000000004</v>
      </c>
      <c r="K1332" s="72">
        <v>0</v>
      </c>
      <c r="M1332" s="58">
        <f>VLOOKUP(D1332,'TABELA DE PRECOS'!B:C,2,0)</f>
        <v>52.013600000000004</v>
      </c>
    </row>
    <row r="1333" spans="1:13" ht="15.75" customHeight="1" x14ac:dyDescent="0.25">
      <c r="A1333" s="65">
        <v>21</v>
      </c>
      <c r="B1333" s="84" t="s">
        <v>403</v>
      </c>
      <c r="C1333" s="73">
        <v>2</v>
      </c>
      <c r="D1333" s="107" t="s">
        <v>404</v>
      </c>
      <c r="E1333" s="86" t="s">
        <v>131</v>
      </c>
      <c r="F1333" s="107">
        <v>81897719002</v>
      </c>
      <c r="G1333" s="71">
        <f t="shared" si="119"/>
        <v>6.21</v>
      </c>
      <c r="H1333" s="71">
        <f t="shared" si="120"/>
        <v>12.42</v>
      </c>
      <c r="I1333" s="71">
        <f t="shared" si="121"/>
        <v>6.21</v>
      </c>
      <c r="J1333" s="71">
        <f t="shared" si="122"/>
        <v>12.42</v>
      </c>
      <c r="K1333" s="72">
        <v>0</v>
      </c>
      <c r="M1333" s="58">
        <f>VLOOKUP(D1333,'TABELA DE PRECOS'!B:C,2,0)</f>
        <v>6.21</v>
      </c>
    </row>
    <row r="1334" spans="1:13" ht="15.75" customHeight="1" x14ac:dyDescent="0.25">
      <c r="A1334" s="65">
        <v>22</v>
      </c>
      <c r="B1334" s="84" t="s">
        <v>455</v>
      </c>
      <c r="C1334" s="73">
        <v>2</v>
      </c>
      <c r="D1334" s="107" t="s">
        <v>456</v>
      </c>
      <c r="E1334" s="86" t="s">
        <v>131</v>
      </c>
      <c r="F1334" s="107">
        <v>81897719002</v>
      </c>
      <c r="G1334" s="71">
        <f t="shared" si="119"/>
        <v>8.3699999999999992</v>
      </c>
      <c r="H1334" s="71">
        <f t="shared" si="120"/>
        <v>16.739999999999998</v>
      </c>
      <c r="I1334" s="71">
        <f t="shared" si="121"/>
        <v>8.3699999999999992</v>
      </c>
      <c r="J1334" s="71">
        <f t="shared" si="122"/>
        <v>16.739999999999998</v>
      </c>
      <c r="K1334" s="72">
        <v>0</v>
      </c>
      <c r="M1334" s="58">
        <f>VLOOKUP(D1334,'TABELA DE PRECOS'!B:C,2,0)</f>
        <v>8.3699999999999992</v>
      </c>
    </row>
    <row r="1335" spans="1:13" ht="15.75" customHeight="1" x14ac:dyDescent="0.25">
      <c r="A1335" s="65">
        <v>23</v>
      </c>
      <c r="B1335" s="84" t="s">
        <v>397</v>
      </c>
      <c r="C1335" s="73">
        <v>1</v>
      </c>
      <c r="D1335" s="107" t="s">
        <v>398</v>
      </c>
      <c r="E1335" s="86" t="s">
        <v>131</v>
      </c>
      <c r="F1335" s="107">
        <v>81897719002</v>
      </c>
      <c r="G1335" s="71">
        <f t="shared" si="119"/>
        <v>9.19</v>
      </c>
      <c r="H1335" s="71">
        <f t="shared" si="120"/>
        <v>9.19</v>
      </c>
      <c r="I1335" s="71">
        <f t="shared" si="121"/>
        <v>9.19</v>
      </c>
      <c r="J1335" s="71">
        <f t="shared" si="122"/>
        <v>9.19</v>
      </c>
      <c r="K1335" s="72">
        <v>0</v>
      </c>
      <c r="M1335" s="58">
        <f>VLOOKUP(D1335,'TABELA DE PRECOS'!B:C,2,0)</f>
        <v>9.19</v>
      </c>
    </row>
    <row r="1336" spans="1:13" ht="15.75" customHeight="1" x14ac:dyDescent="0.25">
      <c r="A1336" s="65">
        <v>24</v>
      </c>
      <c r="B1336" s="84" t="s">
        <v>399</v>
      </c>
      <c r="C1336" s="73">
        <v>1</v>
      </c>
      <c r="D1336" s="107" t="s">
        <v>400</v>
      </c>
      <c r="E1336" s="86" t="s">
        <v>131</v>
      </c>
      <c r="F1336" s="107">
        <v>81897719002</v>
      </c>
      <c r="G1336" s="71">
        <f t="shared" si="119"/>
        <v>8.85</v>
      </c>
      <c r="H1336" s="71">
        <f t="shared" si="120"/>
        <v>8.85</v>
      </c>
      <c r="I1336" s="71">
        <f t="shared" si="121"/>
        <v>8.85</v>
      </c>
      <c r="J1336" s="71">
        <f t="shared" si="122"/>
        <v>8.85</v>
      </c>
      <c r="K1336" s="72">
        <v>0</v>
      </c>
      <c r="M1336" s="58">
        <f>VLOOKUP(D1336,'TABELA DE PRECOS'!B:C,2,0)</f>
        <v>8.85</v>
      </c>
    </row>
    <row r="1337" spans="1:13" ht="15.75" customHeight="1" x14ac:dyDescent="0.25">
      <c r="A1337" s="65">
        <v>25</v>
      </c>
      <c r="B1337" s="84" t="s">
        <v>183</v>
      </c>
      <c r="C1337" s="73">
        <v>1</v>
      </c>
      <c r="D1337" s="107" t="s">
        <v>184</v>
      </c>
      <c r="E1337" s="86" t="s">
        <v>131</v>
      </c>
      <c r="F1337" s="107">
        <v>81897719002</v>
      </c>
      <c r="G1337" s="71">
        <f t="shared" si="119"/>
        <v>40.79</v>
      </c>
      <c r="H1337" s="71">
        <f t="shared" si="120"/>
        <v>40.79</v>
      </c>
      <c r="I1337" s="71">
        <f t="shared" si="121"/>
        <v>40.79</v>
      </c>
      <c r="J1337" s="71">
        <f t="shared" si="122"/>
        <v>40.79</v>
      </c>
      <c r="K1337" s="72">
        <v>0</v>
      </c>
      <c r="M1337" s="58">
        <f>VLOOKUP(D1337,'TABELA DE PRECOS'!B:C,2,0)</f>
        <v>40.79</v>
      </c>
    </row>
    <row r="1338" spans="1:13" ht="15.75" customHeight="1" x14ac:dyDescent="0.25">
      <c r="A1338" s="65">
        <v>26</v>
      </c>
      <c r="B1338" s="84" t="s">
        <v>407</v>
      </c>
      <c r="C1338" s="73">
        <v>2</v>
      </c>
      <c r="D1338" s="107" t="s">
        <v>408</v>
      </c>
      <c r="E1338" s="86" t="s">
        <v>131</v>
      </c>
      <c r="F1338" s="107">
        <v>81897719002</v>
      </c>
      <c r="G1338" s="71">
        <f t="shared" si="119"/>
        <v>5.04</v>
      </c>
      <c r="H1338" s="71">
        <f t="shared" si="120"/>
        <v>10.08</v>
      </c>
      <c r="I1338" s="71">
        <f t="shared" si="121"/>
        <v>5.04</v>
      </c>
      <c r="J1338" s="71">
        <f t="shared" si="122"/>
        <v>10.08</v>
      </c>
      <c r="K1338" s="72">
        <v>0</v>
      </c>
      <c r="M1338" s="58">
        <f>VLOOKUP(D1338,'TABELA DE PRECOS'!B:C,2,0)</f>
        <v>5.04</v>
      </c>
    </row>
    <row r="1339" spans="1:13" ht="15.75" customHeight="1" x14ac:dyDescent="0.25">
      <c r="A1339" s="65">
        <v>27</v>
      </c>
      <c r="B1339" s="84" t="s">
        <v>195</v>
      </c>
      <c r="C1339" s="73">
        <v>2</v>
      </c>
      <c r="D1339" s="107" t="s">
        <v>196</v>
      </c>
      <c r="E1339" s="86" t="s">
        <v>131</v>
      </c>
      <c r="F1339" s="107">
        <v>81897719002</v>
      </c>
      <c r="G1339" s="71">
        <f t="shared" si="119"/>
        <v>9.0399999999999991</v>
      </c>
      <c r="H1339" s="71">
        <f t="shared" si="120"/>
        <v>18.079999999999998</v>
      </c>
      <c r="I1339" s="71">
        <f t="shared" si="121"/>
        <v>9.0399999999999991</v>
      </c>
      <c r="J1339" s="71">
        <f t="shared" si="122"/>
        <v>18.079999999999998</v>
      </c>
      <c r="K1339" s="72">
        <v>0</v>
      </c>
      <c r="M1339" s="58">
        <f>VLOOKUP(D1339,'TABELA DE PRECOS'!B:C,2,0)</f>
        <v>9.0399999999999991</v>
      </c>
    </row>
    <row r="1340" spans="1:13" ht="15.75" customHeight="1" x14ac:dyDescent="0.25">
      <c r="A1340" s="65">
        <v>28</v>
      </c>
      <c r="B1340" s="84" t="s">
        <v>1372</v>
      </c>
      <c r="C1340" s="73">
        <v>1</v>
      </c>
      <c r="D1340" s="49" t="s">
        <v>1373</v>
      </c>
      <c r="E1340" s="86" t="s">
        <v>131</v>
      </c>
      <c r="F1340" s="107">
        <v>81897719002</v>
      </c>
      <c r="G1340" s="71">
        <f t="shared" si="119"/>
        <v>26.2912</v>
      </c>
      <c r="H1340" s="71">
        <f t="shared" si="120"/>
        <v>26.2912</v>
      </c>
      <c r="I1340" s="71">
        <f t="shared" si="121"/>
        <v>26.2912</v>
      </c>
      <c r="J1340" s="71">
        <f t="shared" si="122"/>
        <v>26.2912</v>
      </c>
      <c r="K1340" s="72">
        <v>0</v>
      </c>
      <c r="M1340" s="58">
        <f>VLOOKUP(D1340,'TABELA DE PRECOS'!B:C,2,0)</f>
        <v>26.2912</v>
      </c>
    </row>
    <row r="1341" spans="1:13" ht="15.75" customHeight="1" x14ac:dyDescent="0.25">
      <c r="A1341" s="65">
        <v>29</v>
      </c>
      <c r="B1341" s="84" t="s">
        <v>1052</v>
      </c>
      <c r="C1341" s="73">
        <v>1</v>
      </c>
      <c r="D1341" s="107" t="s">
        <v>1053</v>
      </c>
      <c r="E1341" s="86" t="s">
        <v>131</v>
      </c>
      <c r="F1341" s="107">
        <v>81897719002</v>
      </c>
      <c r="G1341" s="71">
        <f t="shared" si="119"/>
        <v>145.61279999999999</v>
      </c>
      <c r="H1341" s="71">
        <f t="shared" si="120"/>
        <v>145.61279999999999</v>
      </c>
      <c r="I1341" s="71">
        <f t="shared" si="121"/>
        <v>145.61279999999999</v>
      </c>
      <c r="J1341" s="71">
        <f t="shared" si="122"/>
        <v>145.61279999999999</v>
      </c>
      <c r="K1341" s="72">
        <v>0</v>
      </c>
      <c r="M1341" s="58">
        <f>VLOOKUP(D1341,'TABELA DE PRECOS'!B:C,2,0)</f>
        <v>145.61279999999999</v>
      </c>
    </row>
    <row r="1342" spans="1:13" ht="15.75" customHeight="1" x14ac:dyDescent="0.25">
      <c r="A1342" s="65">
        <v>30</v>
      </c>
      <c r="B1342" s="84" t="s">
        <v>1109</v>
      </c>
      <c r="C1342" s="73">
        <v>2</v>
      </c>
      <c r="D1342" s="107" t="s">
        <v>1110</v>
      </c>
      <c r="E1342" s="86" t="s">
        <v>131</v>
      </c>
      <c r="F1342" s="107">
        <v>81897719002</v>
      </c>
      <c r="G1342" s="71">
        <f t="shared" si="119"/>
        <v>11.64776</v>
      </c>
      <c r="H1342" s="71">
        <f t="shared" si="120"/>
        <v>23.29552</v>
      </c>
      <c r="I1342" s="71">
        <f t="shared" si="121"/>
        <v>11.64776</v>
      </c>
      <c r="J1342" s="71">
        <f t="shared" si="122"/>
        <v>23.29552</v>
      </c>
      <c r="K1342" s="72">
        <v>0</v>
      </c>
      <c r="M1342" s="58">
        <f>VLOOKUP(D1342,'TABELA DE PRECOS'!B:C,2,0)</f>
        <v>11.64776</v>
      </c>
    </row>
    <row r="1343" spans="1:13" ht="15.75" customHeight="1" x14ac:dyDescent="0.25">
      <c r="A1343" s="65">
        <v>31</v>
      </c>
      <c r="B1343" s="84" t="s">
        <v>457</v>
      </c>
      <c r="C1343" s="73">
        <v>2</v>
      </c>
      <c r="D1343" s="107" t="s">
        <v>458</v>
      </c>
      <c r="E1343" s="86" t="s">
        <v>131</v>
      </c>
      <c r="F1343" s="107">
        <v>81897719002</v>
      </c>
      <c r="G1343" s="71">
        <f t="shared" si="119"/>
        <v>15.81</v>
      </c>
      <c r="H1343" s="71">
        <f t="shared" si="120"/>
        <v>31.62</v>
      </c>
      <c r="I1343" s="71">
        <f t="shared" si="121"/>
        <v>15.81</v>
      </c>
      <c r="J1343" s="71">
        <f t="shared" si="122"/>
        <v>31.62</v>
      </c>
      <c r="K1343" s="72">
        <v>0</v>
      </c>
      <c r="M1343" s="58">
        <f>VLOOKUP(D1343,'TABELA DE PRECOS'!B:C,2,0)</f>
        <v>15.81</v>
      </c>
    </row>
    <row r="1344" spans="1:13" ht="15.75" customHeight="1" x14ac:dyDescent="0.25">
      <c r="A1344" s="65">
        <v>32</v>
      </c>
      <c r="B1344" s="84" t="s">
        <v>350</v>
      </c>
      <c r="C1344" s="73">
        <v>2</v>
      </c>
      <c r="D1344" s="107" t="s">
        <v>351</v>
      </c>
      <c r="E1344" s="86" t="s">
        <v>131</v>
      </c>
      <c r="F1344" s="107">
        <v>81897719002</v>
      </c>
      <c r="G1344" s="71">
        <f t="shared" si="119"/>
        <v>18.89472</v>
      </c>
      <c r="H1344" s="71">
        <f t="shared" si="120"/>
        <v>37.789439999999999</v>
      </c>
      <c r="I1344" s="71">
        <f t="shared" si="121"/>
        <v>18.89472</v>
      </c>
      <c r="J1344" s="71">
        <f t="shared" si="122"/>
        <v>37.789439999999999</v>
      </c>
      <c r="K1344" s="72">
        <v>0</v>
      </c>
      <c r="M1344" s="58">
        <f>VLOOKUP(D1344,'TABELA DE PRECOS'!B:C,2,0)</f>
        <v>18.89472</v>
      </c>
    </row>
    <row r="1345" spans="1:13" ht="15.75" customHeight="1" x14ac:dyDescent="0.25">
      <c r="A1345" s="65">
        <v>33</v>
      </c>
      <c r="B1345" s="84" t="s">
        <v>254</v>
      </c>
      <c r="C1345" s="73">
        <v>5</v>
      </c>
      <c r="D1345" s="107" t="s">
        <v>255</v>
      </c>
      <c r="E1345" s="86" t="s">
        <v>131</v>
      </c>
      <c r="F1345" s="107">
        <v>81897719002</v>
      </c>
      <c r="G1345" s="71">
        <f t="shared" si="119"/>
        <v>16.68</v>
      </c>
      <c r="H1345" s="71">
        <f t="shared" si="120"/>
        <v>83.4</v>
      </c>
      <c r="I1345" s="71">
        <f t="shared" si="121"/>
        <v>16.68</v>
      </c>
      <c r="J1345" s="71">
        <f t="shared" si="122"/>
        <v>83.4</v>
      </c>
      <c r="K1345" s="72">
        <v>0</v>
      </c>
      <c r="M1345" s="58">
        <f>VLOOKUP(D1345,'TABELA DE PRECOS'!B:C,2,0)</f>
        <v>16.68</v>
      </c>
    </row>
    <row r="1346" spans="1:13" ht="15.75" customHeight="1" x14ac:dyDescent="0.25">
      <c r="A1346" s="65">
        <v>34</v>
      </c>
      <c r="B1346" s="84" t="s">
        <v>342</v>
      </c>
      <c r="C1346" s="73">
        <v>5</v>
      </c>
      <c r="D1346" s="107" t="s">
        <v>343</v>
      </c>
      <c r="E1346" s="86" t="s">
        <v>131</v>
      </c>
      <c r="F1346" s="107">
        <v>81897719002</v>
      </c>
      <c r="G1346" s="71">
        <f t="shared" si="119"/>
        <v>21.43</v>
      </c>
      <c r="H1346" s="71">
        <f t="shared" si="120"/>
        <v>107.15</v>
      </c>
      <c r="I1346" s="71">
        <f t="shared" si="121"/>
        <v>21.43</v>
      </c>
      <c r="J1346" s="71">
        <f t="shared" si="122"/>
        <v>107.15</v>
      </c>
      <c r="K1346" s="72">
        <v>0</v>
      </c>
      <c r="M1346" s="58">
        <f>VLOOKUP(D1346,'TABELA DE PRECOS'!B:C,2,0)</f>
        <v>21.43</v>
      </c>
    </row>
    <row r="1347" spans="1:13" ht="15.75" customHeight="1" x14ac:dyDescent="0.25">
      <c r="A1347" s="65">
        <v>35</v>
      </c>
      <c r="B1347" s="84" t="s">
        <v>187</v>
      </c>
      <c r="C1347" s="73">
        <v>5</v>
      </c>
      <c r="D1347" s="107" t="s">
        <v>188</v>
      </c>
      <c r="E1347" s="86" t="s">
        <v>131</v>
      </c>
      <c r="F1347" s="107">
        <v>81897719002</v>
      </c>
      <c r="G1347" s="71">
        <f t="shared" si="119"/>
        <v>15.95</v>
      </c>
      <c r="H1347" s="71">
        <f t="shared" si="120"/>
        <v>79.75</v>
      </c>
      <c r="I1347" s="71">
        <f t="shared" si="121"/>
        <v>15.95</v>
      </c>
      <c r="J1347" s="71">
        <f t="shared" si="122"/>
        <v>79.75</v>
      </c>
      <c r="K1347" s="72">
        <v>0</v>
      </c>
      <c r="M1347" s="58">
        <f>VLOOKUP(D1347,'TABELA DE PRECOS'!B:C,2,0)</f>
        <v>15.95</v>
      </c>
    </row>
    <row r="1348" spans="1:13" ht="15.75" customHeight="1" x14ac:dyDescent="0.25">
      <c r="A1348" s="65">
        <v>36</v>
      </c>
      <c r="B1348" s="84" t="s">
        <v>419</v>
      </c>
      <c r="C1348" s="73">
        <v>5</v>
      </c>
      <c r="D1348" s="107" t="s">
        <v>420</v>
      </c>
      <c r="E1348" s="86" t="s">
        <v>131</v>
      </c>
      <c r="F1348" s="107">
        <v>81897719002</v>
      </c>
      <c r="G1348" s="71">
        <f t="shared" si="119"/>
        <v>16.52</v>
      </c>
      <c r="H1348" s="71">
        <f t="shared" si="120"/>
        <v>82.6</v>
      </c>
      <c r="I1348" s="71">
        <f t="shared" si="121"/>
        <v>16.52</v>
      </c>
      <c r="J1348" s="71">
        <f t="shared" si="122"/>
        <v>82.6</v>
      </c>
      <c r="K1348" s="72">
        <v>0</v>
      </c>
      <c r="M1348" s="58">
        <f>VLOOKUP(D1348,'TABELA DE PRECOS'!B:C,2,0)</f>
        <v>16.52</v>
      </c>
    </row>
    <row r="1349" spans="1:13" ht="15.75" customHeight="1" x14ac:dyDescent="0.25">
      <c r="A1349" s="65">
        <v>37</v>
      </c>
      <c r="B1349" s="84" t="s">
        <v>207</v>
      </c>
      <c r="C1349" s="73">
        <v>1</v>
      </c>
      <c r="D1349" s="107" t="s">
        <v>208</v>
      </c>
      <c r="E1349" s="86" t="s">
        <v>131</v>
      </c>
      <c r="F1349" s="107">
        <v>81897719002</v>
      </c>
      <c r="G1349" s="71">
        <f t="shared" si="119"/>
        <v>21.30752</v>
      </c>
      <c r="H1349" s="71">
        <f t="shared" si="120"/>
        <v>21.30752</v>
      </c>
      <c r="I1349" s="71">
        <f t="shared" si="121"/>
        <v>21.30752</v>
      </c>
      <c r="J1349" s="71">
        <f t="shared" si="122"/>
        <v>21.30752</v>
      </c>
      <c r="K1349" s="72">
        <v>0</v>
      </c>
      <c r="M1349" s="58">
        <f>VLOOKUP(D1349,'TABELA DE PRECOS'!B:C,2,0)</f>
        <v>21.30752</v>
      </c>
    </row>
    <row r="1350" spans="1:13" ht="15.75" customHeight="1" x14ac:dyDescent="0.25">
      <c r="A1350" s="65">
        <v>38</v>
      </c>
      <c r="B1350" s="84" t="s">
        <v>1303</v>
      </c>
      <c r="C1350" s="73">
        <v>1</v>
      </c>
      <c r="D1350" s="107" t="s">
        <v>1304</v>
      </c>
      <c r="E1350" s="86" t="s">
        <v>131</v>
      </c>
      <c r="F1350" s="107">
        <v>81897719003</v>
      </c>
      <c r="G1350" s="71">
        <f t="shared" si="119"/>
        <v>53.378720000000001</v>
      </c>
      <c r="H1350" s="71">
        <f t="shared" si="120"/>
        <v>53.378720000000001</v>
      </c>
      <c r="I1350" s="71">
        <f t="shared" si="121"/>
        <v>53.378720000000001</v>
      </c>
      <c r="J1350" s="71">
        <f t="shared" si="122"/>
        <v>53.378720000000001</v>
      </c>
      <c r="K1350" s="72">
        <v>0</v>
      </c>
      <c r="M1350" s="58">
        <f>VLOOKUP(D1350,'TABELA DE PRECOS'!B:C,2,0)</f>
        <v>53.378720000000001</v>
      </c>
    </row>
    <row r="1351" spans="1:13" ht="15.75" customHeight="1" x14ac:dyDescent="0.25">
      <c r="A1351" s="65">
        <v>39</v>
      </c>
      <c r="B1351" s="84" t="s">
        <v>594</v>
      </c>
      <c r="C1351" s="73">
        <v>1</v>
      </c>
      <c r="D1351" s="107" t="s">
        <v>595</v>
      </c>
      <c r="E1351" s="86" t="s">
        <v>131</v>
      </c>
      <c r="F1351" s="107">
        <v>81897719003</v>
      </c>
      <c r="G1351" s="71">
        <f t="shared" si="119"/>
        <v>65.06</v>
      </c>
      <c r="H1351" s="71">
        <f t="shared" si="120"/>
        <v>65.06</v>
      </c>
      <c r="I1351" s="71">
        <f t="shared" si="121"/>
        <v>65.06</v>
      </c>
      <c r="J1351" s="71">
        <f t="shared" si="122"/>
        <v>65.06</v>
      </c>
      <c r="K1351" s="72">
        <v>0</v>
      </c>
      <c r="M1351" s="58">
        <f>VLOOKUP(D1351,'TABELA DE PRECOS'!B:C,2,0)</f>
        <v>65.06</v>
      </c>
    </row>
    <row r="1352" spans="1:13" ht="15.75" customHeight="1" x14ac:dyDescent="0.25">
      <c r="A1352" s="65">
        <v>40</v>
      </c>
      <c r="B1352" s="84" t="s">
        <v>842</v>
      </c>
      <c r="C1352" s="73">
        <v>1</v>
      </c>
      <c r="D1352" s="107" t="s">
        <v>843</v>
      </c>
      <c r="E1352" s="86" t="s">
        <v>131</v>
      </c>
      <c r="F1352" s="107">
        <v>81897719002</v>
      </c>
      <c r="G1352" s="71">
        <f t="shared" si="119"/>
        <v>14.56128</v>
      </c>
      <c r="H1352" s="71">
        <f t="shared" si="120"/>
        <v>14.56128</v>
      </c>
      <c r="I1352" s="71">
        <f t="shared" si="121"/>
        <v>14.56128</v>
      </c>
      <c r="J1352" s="71">
        <f t="shared" si="122"/>
        <v>14.56128</v>
      </c>
      <c r="K1352" s="72">
        <v>0</v>
      </c>
      <c r="M1352" s="58">
        <f>VLOOKUP(D1352,'TABELA DE PRECOS'!B:C,2,0)</f>
        <v>14.56128</v>
      </c>
    </row>
    <row r="1353" spans="1:13" ht="15.75" customHeight="1" x14ac:dyDescent="0.25">
      <c r="A1353" s="65">
        <v>41</v>
      </c>
      <c r="B1353" s="84" t="s">
        <v>848</v>
      </c>
      <c r="C1353" s="73">
        <v>1</v>
      </c>
      <c r="D1353" s="107" t="s">
        <v>849</v>
      </c>
      <c r="E1353" s="86" t="s">
        <v>131</v>
      </c>
      <c r="F1353" s="107">
        <v>81897719002</v>
      </c>
      <c r="G1353" s="71">
        <f t="shared" si="119"/>
        <v>20.616479999999999</v>
      </c>
      <c r="H1353" s="71">
        <f t="shared" si="120"/>
        <v>20.616479999999999</v>
      </c>
      <c r="I1353" s="71">
        <f t="shared" si="121"/>
        <v>20.616479999999999</v>
      </c>
      <c r="J1353" s="71">
        <f t="shared" si="122"/>
        <v>20.616479999999999</v>
      </c>
      <c r="K1353" s="72">
        <v>0</v>
      </c>
      <c r="M1353" s="58">
        <f>VLOOKUP(D1353,'TABELA DE PRECOS'!B:C,2,0)</f>
        <v>20.616479999999999</v>
      </c>
    </row>
    <row r="1354" spans="1:13" ht="15.75" customHeight="1" x14ac:dyDescent="0.25">
      <c r="A1354" s="65">
        <v>42</v>
      </c>
      <c r="B1354" s="84" t="s">
        <v>1374</v>
      </c>
      <c r="C1354" s="73">
        <v>1</v>
      </c>
      <c r="D1354" s="107" t="s">
        <v>1375</v>
      </c>
      <c r="E1354" s="86" t="s">
        <v>131</v>
      </c>
      <c r="F1354" s="107">
        <v>81897719002</v>
      </c>
      <c r="G1354" s="71">
        <f t="shared" si="119"/>
        <v>174.73536000000001</v>
      </c>
      <c r="H1354" s="71">
        <f t="shared" si="120"/>
        <v>174.73536000000001</v>
      </c>
      <c r="I1354" s="71">
        <f t="shared" si="121"/>
        <v>174.73536000000001</v>
      </c>
      <c r="J1354" s="71">
        <f t="shared" si="122"/>
        <v>174.73536000000001</v>
      </c>
      <c r="K1354" s="72">
        <v>0</v>
      </c>
      <c r="M1354" s="58">
        <f>VLOOKUP(D1354,'TABELA DE PRECOS'!B:C,2,0)</f>
        <v>174.73536000000001</v>
      </c>
    </row>
    <row r="1355" spans="1:13" ht="15.75" customHeight="1" x14ac:dyDescent="0.25">
      <c r="A1355" s="65">
        <v>43</v>
      </c>
      <c r="B1355" s="84" t="s">
        <v>1311</v>
      </c>
      <c r="C1355" s="73">
        <v>1</v>
      </c>
      <c r="D1355" s="107" t="s">
        <v>1312</v>
      </c>
      <c r="E1355" s="86" t="s">
        <v>131</v>
      </c>
      <c r="F1355" s="107">
        <v>81897719002</v>
      </c>
      <c r="G1355" s="71">
        <f t="shared" si="119"/>
        <v>2.6796800000000003</v>
      </c>
      <c r="H1355" s="71">
        <f t="shared" si="120"/>
        <v>2.6796800000000003</v>
      </c>
      <c r="I1355" s="71">
        <f t="shared" si="121"/>
        <v>2.6796800000000003</v>
      </c>
      <c r="J1355" s="71">
        <f t="shared" si="122"/>
        <v>2.6796800000000003</v>
      </c>
      <c r="K1355" s="72">
        <v>0</v>
      </c>
      <c r="M1355" s="58">
        <f>VLOOKUP(D1355,'TABELA DE PRECOS'!B:C,2,0)</f>
        <v>2.6796800000000003</v>
      </c>
    </row>
    <row r="1356" spans="1:13" ht="15.75" customHeight="1" x14ac:dyDescent="0.25">
      <c r="A1356" s="65">
        <v>44</v>
      </c>
      <c r="B1356" s="84" t="s">
        <v>459</v>
      </c>
      <c r="C1356" s="73">
        <v>1</v>
      </c>
      <c r="D1356" s="107" t="s">
        <v>460</v>
      </c>
      <c r="E1356" s="86" t="s">
        <v>131</v>
      </c>
      <c r="F1356" s="107">
        <v>81897719002</v>
      </c>
      <c r="G1356" s="71">
        <f t="shared" si="119"/>
        <v>12.17216</v>
      </c>
      <c r="H1356" s="71">
        <f t="shared" si="120"/>
        <v>12.17216</v>
      </c>
      <c r="I1356" s="71">
        <f t="shared" si="121"/>
        <v>12.17216</v>
      </c>
      <c r="J1356" s="71">
        <f t="shared" si="122"/>
        <v>12.17216</v>
      </c>
      <c r="K1356" s="72">
        <v>0</v>
      </c>
      <c r="M1356" s="58">
        <f>VLOOKUP(D1356,'TABELA DE PRECOS'!B:C,2,0)</f>
        <v>12.17216</v>
      </c>
    </row>
    <row r="1357" spans="1:13" ht="15.75" customHeight="1" x14ac:dyDescent="0.25">
      <c r="A1357" s="65">
        <v>45</v>
      </c>
      <c r="B1357" s="84" t="s">
        <v>421</v>
      </c>
      <c r="C1357" s="73">
        <v>1</v>
      </c>
      <c r="D1357" s="107" t="s">
        <v>422</v>
      </c>
      <c r="E1357" s="86" t="s">
        <v>131</v>
      </c>
      <c r="F1357" s="107">
        <v>81897719002</v>
      </c>
      <c r="G1357" s="71">
        <f t="shared" si="119"/>
        <v>11.13</v>
      </c>
      <c r="H1357" s="71">
        <f t="shared" si="120"/>
        <v>11.13</v>
      </c>
      <c r="I1357" s="71">
        <f t="shared" si="121"/>
        <v>11.13</v>
      </c>
      <c r="J1357" s="71">
        <f t="shared" si="122"/>
        <v>11.13</v>
      </c>
      <c r="K1357" s="72">
        <v>0</v>
      </c>
      <c r="M1357" s="58">
        <f>VLOOKUP(D1357,'TABELA DE PRECOS'!B:C,2,0)</f>
        <v>11.13</v>
      </c>
    </row>
    <row r="1358" spans="1:13" ht="15.75" customHeight="1" x14ac:dyDescent="0.25">
      <c r="A1358" s="65">
        <v>46</v>
      </c>
      <c r="B1358" s="84" t="s">
        <v>282</v>
      </c>
      <c r="C1358" s="73">
        <v>1</v>
      </c>
      <c r="D1358" s="107" t="s">
        <v>283</v>
      </c>
      <c r="E1358" s="86" t="s">
        <v>131</v>
      </c>
      <c r="F1358" s="107">
        <v>81897719002</v>
      </c>
      <c r="G1358" s="71">
        <f t="shared" si="119"/>
        <v>17.46</v>
      </c>
      <c r="H1358" s="71">
        <f t="shared" si="120"/>
        <v>17.46</v>
      </c>
      <c r="I1358" s="71">
        <f t="shared" si="121"/>
        <v>17.46</v>
      </c>
      <c r="J1358" s="71">
        <f t="shared" si="122"/>
        <v>17.46</v>
      </c>
      <c r="K1358" s="72">
        <v>0</v>
      </c>
      <c r="M1358" s="58">
        <f>VLOOKUP(D1358,'TABELA DE PRECOS'!B:C,2,0)</f>
        <v>17.46</v>
      </c>
    </row>
    <row r="1359" spans="1:13" ht="15.75" customHeight="1" x14ac:dyDescent="0.25">
      <c r="A1359" s="65">
        <v>47</v>
      </c>
      <c r="B1359" s="84" t="s">
        <v>370</v>
      </c>
      <c r="C1359" s="73">
        <v>1</v>
      </c>
      <c r="D1359" s="107" t="s">
        <v>371</v>
      </c>
      <c r="E1359" s="86" t="s">
        <v>131</v>
      </c>
      <c r="F1359" s="107">
        <v>81897719002</v>
      </c>
      <c r="G1359" s="71">
        <f t="shared" si="119"/>
        <v>19.41</v>
      </c>
      <c r="H1359" s="71">
        <f t="shared" si="120"/>
        <v>19.41</v>
      </c>
      <c r="I1359" s="71">
        <f t="shared" si="121"/>
        <v>19.41</v>
      </c>
      <c r="J1359" s="71">
        <f t="shared" si="122"/>
        <v>19.41</v>
      </c>
      <c r="K1359" s="72">
        <v>0</v>
      </c>
      <c r="M1359" s="58">
        <f>VLOOKUP(D1359,'TABELA DE PRECOS'!B:C,2,0)</f>
        <v>19.41</v>
      </c>
    </row>
    <row r="1360" spans="1:13" ht="15.75" customHeight="1" x14ac:dyDescent="0.25">
      <c r="A1360" s="65">
        <v>48</v>
      </c>
      <c r="B1360" s="84" t="s">
        <v>448</v>
      </c>
      <c r="C1360" s="73">
        <v>1</v>
      </c>
      <c r="D1360" s="107" t="s">
        <v>449</v>
      </c>
      <c r="E1360" s="86" t="s">
        <v>131</v>
      </c>
      <c r="F1360" s="107">
        <v>81897719002</v>
      </c>
      <c r="G1360" s="71">
        <f t="shared" si="119"/>
        <v>17.28</v>
      </c>
      <c r="H1360" s="71">
        <f t="shared" si="120"/>
        <v>17.28</v>
      </c>
      <c r="I1360" s="71">
        <f t="shared" si="121"/>
        <v>17.28</v>
      </c>
      <c r="J1360" s="71">
        <f t="shared" si="122"/>
        <v>17.28</v>
      </c>
      <c r="K1360" s="72">
        <v>0</v>
      </c>
      <c r="M1360" s="58">
        <f>VLOOKUP(D1360,'TABELA DE PRECOS'!B:C,2,0)</f>
        <v>17.28</v>
      </c>
    </row>
    <row r="1361" spans="1:13" ht="15.75" customHeight="1" x14ac:dyDescent="0.25">
      <c r="A1361" s="65">
        <v>49</v>
      </c>
      <c r="B1361" s="84" t="s">
        <v>372</v>
      </c>
      <c r="C1361" s="73">
        <v>1</v>
      </c>
      <c r="D1361" s="107" t="s">
        <v>373</v>
      </c>
      <c r="E1361" s="86" t="s">
        <v>131</v>
      </c>
      <c r="F1361" s="107" t="s">
        <v>223</v>
      </c>
      <c r="G1361" s="71">
        <f t="shared" si="119"/>
        <v>452.16</v>
      </c>
      <c r="H1361" s="71">
        <f t="shared" si="120"/>
        <v>452.16</v>
      </c>
      <c r="I1361" s="71">
        <f t="shared" si="121"/>
        <v>452.16</v>
      </c>
      <c r="J1361" s="71">
        <f t="shared" si="122"/>
        <v>452.16</v>
      </c>
      <c r="K1361" s="72">
        <v>0</v>
      </c>
      <c r="M1361" s="58">
        <f>VLOOKUP(D1361,'TABELA DE PRECOS'!B:C,2,0)</f>
        <v>452.16</v>
      </c>
    </row>
    <row r="1362" spans="1:13" ht="15.75" customHeight="1" x14ac:dyDescent="0.25">
      <c r="A1362" s="65">
        <v>50</v>
      </c>
      <c r="B1362" s="84" t="s">
        <v>374</v>
      </c>
      <c r="C1362" s="73">
        <v>1</v>
      </c>
      <c r="D1362" s="107" t="s">
        <v>375</v>
      </c>
      <c r="E1362" s="86" t="s">
        <v>131</v>
      </c>
      <c r="F1362" s="107" t="s">
        <v>223</v>
      </c>
      <c r="G1362" s="71">
        <f t="shared" si="119"/>
        <v>640.15991999999994</v>
      </c>
      <c r="H1362" s="71">
        <f t="shared" si="120"/>
        <v>640.15991999999994</v>
      </c>
      <c r="I1362" s="71">
        <f t="shared" si="121"/>
        <v>640.15991999999994</v>
      </c>
      <c r="J1362" s="71">
        <f t="shared" si="122"/>
        <v>640.15991999999994</v>
      </c>
      <c r="K1362" s="72">
        <v>0</v>
      </c>
      <c r="M1362" s="58">
        <f>VLOOKUP(D1362,'TABELA DE PRECOS'!B:C,2,0)</f>
        <v>640.15991999999994</v>
      </c>
    </row>
    <row r="1363" spans="1:13" ht="15.75" customHeight="1" x14ac:dyDescent="0.25">
      <c r="A1363" s="65">
        <v>51</v>
      </c>
      <c r="B1363" s="84" t="s">
        <v>376</v>
      </c>
      <c r="C1363" s="73">
        <v>1</v>
      </c>
      <c r="D1363" s="107" t="s">
        <v>1060</v>
      </c>
      <c r="E1363" s="86" t="s">
        <v>131</v>
      </c>
      <c r="F1363" s="107" t="s">
        <v>223</v>
      </c>
      <c r="G1363" s="71">
        <f t="shared" si="119"/>
        <v>514.57000000000005</v>
      </c>
      <c r="H1363" s="71">
        <f t="shared" si="120"/>
        <v>514.57000000000005</v>
      </c>
      <c r="I1363" s="71">
        <f t="shared" si="121"/>
        <v>514.57000000000005</v>
      </c>
      <c r="J1363" s="71">
        <f t="shared" si="122"/>
        <v>514.57000000000005</v>
      </c>
      <c r="K1363" s="72">
        <v>0</v>
      </c>
      <c r="M1363" s="58">
        <f>VLOOKUP(D1363,'TABELA DE PRECOS'!B:C,2,0)</f>
        <v>514.57000000000005</v>
      </c>
    </row>
    <row r="1364" spans="1:13" ht="15.75" customHeight="1" x14ac:dyDescent="0.25">
      <c r="A1364" s="65">
        <v>52</v>
      </c>
      <c r="B1364" s="84" t="s">
        <v>378</v>
      </c>
      <c r="C1364" s="73">
        <v>2</v>
      </c>
      <c r="D1364" s="107" t="s">
        <v>1061</v>
      </c>
      <c r="E1364" s="86" t="s">
        <v>131</v>
      </c>
      <c r="F1364" s="107" t="s">
        <v>223</v>
      </c>
      <c r="G1364" s="71">
        <f t="shared" si="119"/>
        <v>9.18</v>
      </c>
      <c r="H1364" s="71">
        <f t="shared" si="120"/>
        <v>18.36</v>
      </c>
      <c r="I1364" s="71">
        <f t="shared" si="121"/>
        <v>9.18</v>
      </c>
      <c r="J1364" s="71">
        <f t="shared" si="122"/>
        <v>18.36</v>
      </c>
      <c r="K1364" s="72">
        <v>0</v>
      </c>
      <c r="M1364" s="58">
        <f>VLOOKUP(D1364,'TABELA DE PRECOS'!B:C,2,0)</f>
        <v>9.18</v>
      </c>
    </row>
    <row r="1365" spans="1:13" ht="15.75" customHeight="1" x14ac:dyDescent="0.25">
      <c r="A1365" s="78"/>
      <c r="B1365" s="79" t="s">
        <v>224</v>
      </c>
      <c r="C1365" s="79">
        <f>SUM(C1313:C1364)</f>
        <v>80</v>
      </c>
      <c r="D1365" s="79"/>
      <c r="E1365" s="79"/>
      <c r="F1365" s="79"/>
      <c r="G1365" s="80"/>
      <c r="H1365" s="80">
        <f>SUM(H1313:H1364)</f>
        <v>3930.8636799999999</v>
      </c>
      <c r="I1365" s="79"/>
      <c r="J1365" s="80">
        <f>SUM(J1313:J1364)</f>
        <v>3930.8636799999999</v>
      </c>
      <c r="K1365" s="81"/>
      <c r="M1365" s="58" t="e">
        <f>VLOOKUP(D1365,'TABELA DE PRECOS'!B:C,2,0)</f>
        <v>#N/A</v>
      </c>
    </row>
    <row r="1366" spans="1:13" ht="15.75" customHeight="1" x14ac:dyDescent="0.25">
      <c r="A1366" s="56"/>
      <c r="B1366" s="49" t="s">
        <v>15</v>
      </c>
      <c r="C1366" s="57"/>
      <c r="G1366" s="58"/>
      <c r="H1366" s="58"/>
      <c r="I1366" s="58"/>
      <c r="J1366" s="58"/>
      <c r="K1366" s="59"/>
      <c r="M1366" s="58" t="e">
        <f>VLOOKUP(D1366,'TABELA DE PRECOS'!B:C,2,0)</f>
        <v>#N/A</v>
      </c>
    </row>
    <row r="1367" spans="1:13" ht="15.75" customHeight="1" x14ac:dyDescent="0.25">
      <c r="A1367" s="94"/>
      <c r="B1367" s="18" t="s">
        <v>1376</v>
      </c>
      <c r="C1367" s="57"/>
      <c r="G1367" s="58"/>
      <c r="H1367" s="58"/>
      <c r="I1367" s="58"/>
      <c r="J1367" s="58"/>
      <c r="K1367" s="59"/>
      <c r="M1367" s="58" t="e">
        <f>VLOOKUP(D1367,'TABELA DE PRECOS'!B:C,2,0)</f>
        <v>#N/A</v>
      </c>
    </row>
    <row r="1368" spans="1:13" ht="15.75" customHeight="1" x14ac:dyDescent="0.25">
      <c r="A1368" s="18" t="s">
        <v>119</v>
      </c>
      <c r="B1368" s="18" t="s">
        <v>120</v>
      </c>
      <c r="C1368" s="18" t="s">
        <v>21</v>
      </c>
      <c r="D1368" s="18" t="s">
        <v>121</v>
      </c>
      <c r="E1368" s="60" t="s">
        <v>122</v>
      </c>
      <c r="F1368" s="18" t="s">
        <v>123</v>
      </c>
      <c r="G1368" s="61" t="s">
        <v>22</v>
      </c>
      <c r="H1368" s="18" t="s">
        <v>23</v>
      </c>
      <c r="I1368" s="18" t="s">
        <v>24</v>
      </c>
      <c r="J1368" s="18" t="s">
        <v>25</v>
      </c>
      <c r="K1368" s="62" t="s">
        <v>26</v>
      </c>
      <c r="M1368" s="58" t="str">
        <f>VLOOKUP(D1368,'TABELA DE PRECOS'!B:C,2,0)</f>
        <v>Valor Unit Bruto</v>
      </c>
    </row>
    <row r="1369" spans="1:13" ht="15.75" customHeight="1" x14ac:dyDescent="0.25">
      <c r="A1369" s="65">
        <v>1</v>
      </c>
      <c r="B1369" s="84" t="s">
        <v>548</v>
      </c>
      <c r="C1369" s="73">
        <v>2</v>
      </c>
      <c r="D1369" s="85" t="s">
        <v>549</v>
      </c>
      <c r="E1369" s="86" t="s">
        <v>131</v>
      </c>
      <c r="F1369" s="85">
        <v>81897719002</v>
      </c>
      <c r="G1369" s="71">
        <f t="shared" ref="G1369:G1415" si="123">M1369</f>
        <v>122.24039999999999</v>
      </c>
      <c r="H1369" s="71">
        <f t="shared" ref="H1369:H1415" si="124">G1369*C1369</f>
        <v>244.48079999999999</v>
      </c>
      <c r="I1369" s="71">
        <f t="shared" ref="I1369:I1415" si="125">G1369</f>
        <v>122.24039999999999</v>
      </c>
      <c r="J1369" s="71">
        <f t="shared" ref="J1369:J1415" si="126">I1369*C1369</f>
        <v>244.48079999999999</v>
      </c>
      <c r="K1369" s="72">
        <v>0</v>
      </c>
      <c r="M1369" s="58">
        <f>VLOOKUP(D1369,'TABELA DE PRECOS'!B:C,2,0)</f>
        <v>122.24039999999999</v>
      </c>
    </row>
    <row r="1370" spans="1:13" ht="15.75" customHeight="1" x14ac:dyDescent="0.25">
      <c r="A1370" s="65">
        <v>2</v>
      </c>
      <c r="B1370" s="84" t="s">
        <v>133</v>
      </c>
      <c r="C1370" s="73">
        <v>2</v>
      </c>
      <c r="D1370" s="85" t="s">
        <v>134</v>
      </c>
      <c r="E1370" s="86" t="s">
        <v>131</v>
      </c>
      <c r="F1370" s="85">
        <v>81897719002</v>
      </c>
      <c r="G1370" s="71">
        <f t="shared" si="123"/>
        <v>17.19688</v>
      </c>
      <c r="H1370" s="71">
        <f t="shared" si="124"/>
        <v>34.39376</v>
      </c>
      <c r="I1370" s="71">
        <f t="shared" si="125"/>
        <v>17.19688</v>
      </c>
      <c r="J1370" s="71">
        <f t="shared" si="126"/>
        <v>34.39376</v>
      </c>
      <c r="K1370" s="72">
        <v>0</v>
      </c>
      <c r="M1370" s="58">
        <f>VLOOKUP(D1370,'TABELA DE PRECOS'!B:C,2,0)</f>
        <v>17.19688</v>
      </c>
    </row>
    <row r="1371" spans="1:13" ht="15.75" customHeight="1" x14ac:dyDescent="0.25">
      <c r="A1371" s="65">
        <v>3</v>
      </c>
      <c r="B1371" s="84" t="s">
        <v>1377</v>
      </c>
      <c r="C1371" s="73">
        <v>2</v>
      </c>
      <c r="D1371" s="85">
        <v>10448</v>
      </c>
      <c r="E1371" s="86" t="s">
        <v>439</v>
      </c>
      <c r="F1371" s="85">
        <v>81087610003</v>
      </c>
      <c r="G1371" s="71">
        <f t="shared" si="123"/>
        <v>23.29552</v>
      </c>
      <c r="H1371" s="71">
        <f t="shared" si="124"/>
        <v>46.59104</v>
      </c>
      <c r="I1371" s="71">
        <f t="shared" si="125"/>
        <v>23.29552</v>
      </c>
      <c r="J1371" s="71">
        <f t="shared" si="126"/>
        <v>46.59104</v>
      </c>
      <c r="K1371" s="72">
        <v>0</v>
      </c>
      <c r="M1371" s="58">
        <f>VLOOKUP(D1371,'TABELA DE PRECOS'!B:C,2,0)</f>
        <v>23.29552</v>
      </c>
    </row>
    <row r="1372" spans="1:13" ht="15.75" customHeight="1" x14ac:dyDescent="0.25">
      <c r="A1372" s="65">
        <v>4</v>
      </c>
      <c r="B1372" s="84" t="s">
        <v>438</v>
      </c>
      <c r="C1372" s="73">
        <v>2</v>
      </c>
      <c r="D1372" s="85">
        <v>10450</v>
      </c>
      <c r="E1372" s="86" t="s">
        <v>439</v>
      </c>
      <c r="F1372" s="85">
        <v>81087610003</v>
      </c>
      <c r="G1372" s="71">
        <f t="shared" si="123"/>
        <v>36.541440000000001</v>
      </c>
      <c r="H1372" s="71">
        <f t="shared" si="124"/>
        <v>73.082880000000003</v>
      </c>
      <c r="I1372" s="71">
        <f t="shared" si="125"/>
        <v>36.541440000000001</v>
      </c>
      <c r="J1372" s="71">
        <f t="shared" si="126"/>
        <v>73.082880000000003</v>
      </c>
      <c r="K1372" s="72">
        <v>0</v>
      </c>
      <c r="M1372" s="58">
        <f>VLOOKUP(D1372,'TABELA DE PRECOS'!B:C,2,0)</f>
        <v>36.541440000000001</v>
      </c>
    </row>
    <row r="1373" spans="1:13" ht="15.75" customHeight="1" x14ac:dyDescent="0.25">
      <c r="A1373" s="65">
        <v>5</v>
      </c>
      <c r="B1373" s="84" t="s">
        <v>1378</v>
      </c>
      <c r="C1373" s="73">
        <v>1</v>
      </c>
      <c r="D1373" s="85">
        <v>10447</v>
      </c>
      <c r="E1373" s="86" t="s">
        <v>439</v>
      </c>
      <c r="F1373" s="85">
        <v>81087610003</v>
      </c>
      <c r="G1373" s="71">
        <f t="shared" si="123"/>
        <v>23.29552</v>
      </c>
      <c r="H1373" s="71">
        <f t="shared" si="124"/>
        <v>23.29552</v>
      </c>
      <c r="I1373" s="71">
        <f t="shared" si="125"/>
        <v>23.29552</v>
      </c>
      <c r="J1373" s="71">
        <f t="shared" si="126"/>
        <v>23.29552</v>
      </c>
      <c r="K1373" s="72">
        <v>0</v>
      </c>
      <c r="M1373" s="58">
        <f>VLOOKUP(D1373,'TABELA DE PRECOS'!B:C,2,0)</f>
        <v>23.29552</v>
      </c>
    </row>
    <row r="1374" spans="1:13" ht="15.75" customHeight="1" x14ac:dyDescent="0.25">
      <c r="A1374" s="65">
        <v>6</v>
      </c>
      <c r="B1374" s="84" t="s">
        <v>1379</v>
      </c>
      <c r="C1374" s="73">
        <v>1</v>
      </c>
      <c r="D1374" s="85">
        <v>10449</v>
      </c>
      <c r="E1374" s="86" t="s">
        <v>439</v>
      </c>
      <c r="F1374" s="85">
        <v>81087610003</v>
      </c>
      <c r="G1374" s="71">
        <f t="shared" si="123"/>
        <v>23.29552</v>
      </c>
      <c r="H1374" s="71">
        <f t="shared" si="124"/>
        <v>23.29552</v>
      </c>
      <c r="I1374" s="71">
        <f t="shared" si="125"/>
        <v>23.29552</v>
      </c>
      <c r="J1374" s="71">
        <f t="shared" si="126"/>
        <v>23.29552</v>
      </c>
      <c r="K1374" s="72">
        <v>0</v>
      </c>
      <c r="M1374" s="58">
        <f>VLOOKUP(D1374,'TABELA DE PRECOS'!B:C,2,0)</f>
        <v>23.29552</v>
      </c>
    </row>
    <row r="1375" spans="1:13" ht="15.75" customHeight="1" x14ac:dyDescent="0.25">
      <c r="A1375" s="65">
        <v>7</v>
      </c>
      <c r="B1375" s="84" t="s">
        <v>1380</v>
      </c>
      <c r="C1375" s="73">
        <v>1</v>
      </c>
      <c r="D1375" s="85" t="s">
        <v>1381</v>
      </c>
      <c r="E1375" s="86" t="s">
        <v>131</v>
      </c>
      <c r="F1375" s="85">
        <v>81897719002</v>
      </c>
      <c r="G1375" s="71">
        <f t="shared" si="123"/>
        <v>160.17408</v>
      </c>
      <c r="H1375" s="71">
        <f t="shared" si="124"/>
        <v>160.17408</v>
      </c>
      <c r="I1375" s="71">
        <f t="shared" si="125"/>
        <v>160.17408</v>
      </c>
      <c r="J1375" s="71">
        <f t="shared" si="126"/>
        <v>160.17408</v>
      </c>
      <c r="K1375" s="72">
        <v>0</v>
      </c>
      <c r="M1375" s="58">
        <f>VLOOKUP(D1375,'TABELA DE PRECOS'!B:C,2,0)</f>
        <v>160.17408</v>
      </c>
    </row>
    <row r="1376" spans="1:13" ht="15.75" customHeight="1" x14ac:dyDescent="0.25">
      <c r="A1376" s="65">
        <v>8</v>
      </c>
      <c r="B1376" s="66" t="s">
        <v>1382</v>
      </c>
      <c r="C1376" s="82">
        <v>1</v>
      </c>
      <c r="D1376" s="66" t="s">
        <v>740</v>
      </c>
      <c r="E1376" s="86" t="s">
        <v>131</v>
      </c>
      <c r="F1376" s="85">
        <v>81897719002</v>
      </c>
      <c r="G1376" s="71">
        <f t="shared" si="123"/>
        <v>244.48079999999999</v>
      </c>
      <c r="H1376" s="71">
        <f t="shared" si="124"/>
        <v>244.48079999999999</v>
      </c>
      <c r="I1376" s="71">
        <f t="shared" si="125"/>
        <v>244.48079999999999</v>
      </c>
      <c r="J1376" s="71">
        <f t="shared" si="126"/>
        <v>244.48079999999999</v>
      </c>
      <c r="K1376" s="72">
        <v>0</v>
      </c>
      <c r="M1376" s="58">
        <f>VLOOKUP(D1376,'TABELA DE PRECOS'!B:C,2,0)</f>
        <v>244.48079999999999</v>
      </c>
    </row>
    <row r="1377" spans="1:13" ht="15.75" customHeight="1" x14ac:dyDescent="0.25">
      <c r="A1377" s="65">
        <v>9</v>
      </c>
      <c r="B1377" s="66" t="s">
        <v>1257</v>
      </c>
      <c r="C1377" s="82">
        <v>2</v>
      </c>
      <c r="D1377" s="76" t="s">
        <v>1258</v>
      </c>
      <c r="E1377" s="86" t="s">
        <v>131</v>
      </c>
      <c r="F1377" s="85">
        <v>81897719006</v>
      </c>
      <c r="G1377" s="71">
        <f t="shared" si="123"/>
        <v>88.3536</v>
      </c>
      <c r="H1377" s="71">
        <f t="shared" si="124"/>
        <v>176.7072</v>
      </c>
      <c r="I1377" s="71">
        <f t="shared" si="125"/>
        <v>88.3536</v>
      </c>
      <c r="J1377" s="71">
        <f t="shared" si="126"/>
        <v>176.7072</v>
      </c>
      <c r="K1377" s="72">
        <v>0</v>
      </c>
      <c r="M1377" s="58">
        <f>VLOOKUP(D1377,'TABELA DE PRECOS'!B:C,2,0)</f>
        <v>88.3536</v>
      </c>
    </row>
    <row r="1378" spans="1:13" ht="15.75" customHeight="1" x14ac:dyDescent="0.25">
      <c r="A1378" s="65">
        <v>10</v>
      </c>
      <c r="B1378" s="84" t="s">
        <v>1383</v>
      </c>
      <c r="C1378" s="73">
        <v>1</v>
      </c>
      <c r="D1378" s="85" t="s">
        <v>1384</v>
      </c>
      <c r="E1378" s="86" t="s">
        <v>131</v>
      </c>
      <c r="F1378" s="85">
        <v>81897719002</v>
      </c>
      <c r="G1378" s="71">
        <f t="shared" si="123"/>
        <v>33.988959999999999</v>
      </c>
      <c r="H1378" s="71">
        <f t="shared" si="124"/>
        <v>33.988959999999999</v>
      </c>
      <c r="I1378" s="71">
        <f t="shared" si="125"/>
        <v>33.988959999999999</v>
      </c>
      <c r="J1378" s="71">
        <f t="shared" si="126"/>
        <v>33.988959999999999</v>
      </c>
      <c r="K1378" s="72">
        <v>0</v>
      </c>
      <c r="M1378" s="58">
        <f>VLOOKUP(D1378,'TABELA DE PRECOS'!B:C,2,0)</f>
        <v>33.988959999999999</v>
      </c>
    </row>
    <row r="1379" spans="1:13" ht="15.75" customHeight="1" x14ac:dyDescent="0.25">
      <c r="A1379" s="65">
        <v>11</v>
      </c>
      <c r="B1379" s="84" t="s">
        <v>1385</v>
      </c>
      <c r="C1379" s="73">
        <v>1</v>
      </c>
      <c r="D1379" s="85" t="s">
        <v>1386</v>
      </c>
      <c r="E1379" s="86" t="s">
        <v>131</v>
      </c>
      <c r="F1379" s="85">
        <v>81897719002</v>
      </c>
      <c r="G1379" s="71">
        <f t="shared" si="123"/>
        <v>58.24512</v>
      </c>
      <c r="H1379" s="71">
        <f t="shared" si="124"/>
        <v>58.24512</v>
      </c>
      <c r="I1379" s="71">
        <f t="shared" si="125"/>
        <v>58.24512</v>
      </c>
      <c r="J1379" s="71">
        <f t="shared" si="126"/>
        <v>58.24512</v>
      </c>
      <c r="K1379" s="72">
        <v>0</v>
      </c>
      <c r="M1379" s="58">
        <f>VLOOKUP(D1379,'TABELA DE PRECOS'!B:C,2,0)</f>
        <v>58.24512</v>
      </c>
    </row>
    <row r="1380" spans="1:13" ht="15.75" customHeight="1" x14ac:dyDescent="0.25">
      <c r="A1380" s="65">
        <v>12</v>
      </c>
      <c r="B1380" s="84" t="s">
        <v>304</v>
      </c>
      <c r="C1380" s="73">
        <v>1</v>
      </c>
      <c r="D1380" s="85" t="s">
        <v>305</v>
      </c>
      <c r="E1380" s="86" t="s">
        <v>131</v>
      </c>
      <c r="F1380" s="85" t="s">
        <v>223</v>
      </c>
      <c r="G1380" s="71">
        <f t="shared" si="123"/>
        <v>5.2653600000000003</v>
      </c>
      <c r="H1380" s="71">
        <f t="shared" si="124"/>
        <v>5.2653600000000003</v>
      </c>
      <c r="I1380" s="71">
        <f t="shared" si="125"/>
        <v>5.2653600000000003</v>
      </c>
      <c r="J1380" s="71">
        <f t="shared" si="126"/>
        <v>5.2653600000000003</v>
      </c>
      <c r="K1380" s="72">
        <v>0</v>
      </c>
      <c r="L1380" s="63"/>
      <c r="M1380" s="58">
        <f>VLOOKUP(D1380,'TABELA DE PRECOS'!B:C,2,0)</f>
        <v>5.2653600000000003</v>
      </c>
    </row>
    <row r="1381" spans="1:13" ht="15.75" customHeight="1" x14ac:dyDescent="0.25">
      <c r="A1381" s="65">
        <v>13</v>
      </c>
      <c r="B1381" s="84" t="s">
        <v>1623</v>
      </c>
      <c r="C1381" s="73">
        <v>1</v>
      </c>
      <c r="D1381" s="85" t="s">
        <v>664</v>
      </c>
      <c r="E1381" s="86" t="s">
        <v>131</v>
      </c>
      <c r="F1381" s="85">
        <v>81897719002</v>
      </c>
      <c r="G1381" s="71">
        <f t="shared" si="123"/>
        <v>20.38832</v>
      </c>
      <c r="H1381" s="71">
        <f t="shared" si="124"/>
        <v>20.38832</v>
      </c>
      <c r="I1381" s="71">
        <f t="shared" si="125"/>
        <v>20.38832</v>
      </c>
      <c r="J1381" s="71">
        <f t="shared" si="126"/>
        <v>20.38832</v>
      </c>
      <c r="K1381" s="72">
        <v>0</v>
      </c>
      <c r="M1381" s="58">
        <f>VLOOKUP(D1381,'TABELA DE PRECOS'!B:C,2,0)</f>
        <v>20.38832</v>
      </c>
    </row>
    <row r="1382" spans="1:13" ht="15.75" customHeight="1" x14ac:dyDescent="0.25">
      <c r="A1382" s="65">
        <v>14</v>
      </c>
      <c r="B1382" s="84" t="s">
        <v>1624</v>
      </c>
      <c r="C1382" s="73">
        <v>1</v>
      </c>
      <c r="D1382" s="85" t="s">
        <v>1625</v>
      </c>
      <c r="E1382" s="86" t="s">
        <v>131</v>
      </c>
      <c r="F1382" s="85">
        <v>81897710010</v>
      </c>
      <c r="G1382" s="71">
        <f t="shared" si="123"/>
        <v>20.39</v>
      </c>
      <c r="H1382" s="71">
        <f t="shared" si="124"/>
        <v>20.39</v>
      </c>
      <c r="I1382" s="71">
        <f t="shared" si="125"/>
        <v>20.39</v>
      </c>
      <c r="J1382" s="71">
        <f t="shared" si="126"/>
        <v>20.39</v>
      </c>
      <c r="K1382" s="72">
        <v>0</v>
      </c>
      <c r="M1382" s="58">
        <f>VLOOKUP(D1382,'TABELA DE PRECOS'!B:C,2,0)</f>
        <v>20.39</v>
      </c>
    </row>
    <row r="1383" spans="1:13" ht="15.75" customHeight="1" x14ac:dyDescent="0.25">
      <c r="A1383" s="65">
        <v>15</v>
      </c>
      <c r="B1383" s="84" t="s">
        <v>1387</v>
      </c>
      <c r="C1383" s="73">
        <v>2</v>
      </c>
      <c r="D1383" s="85" t="s">
        <v>1388</v>
      </c>
      <c r="E1383" s="86" t="s">
        <v>131</v>
      </c>
      <c r="F1383" s="85">
        <v>81897719002</v>
      </c>
      <c r="G1383" s="71">
        <f t="shared" si="123"/>
        <v>25.2484</v>
      </c>
      <c r="H1383" s="71">
        <f t="shared" si="124"/>
        <v>50.4968</v>
      </c>
      <c r="I1383" s="71">
        <f t="shared" si="125"/>
        <v>25.2484</v>
      </c>
      <c r="J1383" s="71">
        <f t="shared" si="126"/>
        <v>50.4968</v>
      </c>
      <c r="K1383" s="72">
        <v>0</v>
      </c>
      <c r="M1383" s="58">
        <f>VLOOKUP(D1383,'TABELA DE PRECOS'!B:C,2,0)</f>
        <v>25.2484</v>
      </c>
    </row>
    <row r="1384" spans="1:13" ht="15.75" customHeight="1" x14ac:dyDescent="0.25">
      <c r="A1384" s="65">
        <v>16</v>
      </c>
      <c r="B1384" s="84" t="s">
        <v>1389</v>
      </c>
      <c r="C1384" s="73">
        <v>1</v>
      </c>
      <c r="D1384" s="85" t="s">
        <v>1390</v>
      </c>
      <c r="E1384" s="86" t="s">
        <v>131</v>
      </c>
      <c r="F1384" s="85">
        <v>81897719002</v>
      </c>
      <c r="G1384" s="71">
        <f t="shared" si="123"/>
        <v>26.209040000000002</v>
      </c>
      <c r="H1384" s="71">
        <f t="shared" si="124"/>
        <v>26.209040000000002</v>
      </c>
      <c r="I1384" s="71">
        <f t="shared" si="125"/>
        <v>26.209040000000002</v>
      </c>
      <c r="J1384" s="71">
        <f t="shared" si="126"/>
        <v>26.209040000000002</v>
      </c>
      <c r="K1384" s="72">
        <v>0</v>
      </c>
      <c r="M1384" s="58">
        <f>VLOOKUP(D1384,'TABELA DE PRECOS'!B:C,2,0)</f>
        <v>26.209040000000002</v>
      </c>
    </row>
    <row r="1385" spans="1:13" ht="15.75" customHeight="1" x14ac:dyDescent="0.25">
      <c r="A1385" s="65">
        <v>17</v>
      </c>
      <c r="B1385" s="84" t="s">
        <v>578</v>
      </c>
      <c r="C1385" s="73">
        <v>1</v>
      </c>
      <c r="D1385" s="85" t="s">
        <v>579</v>
      </c>
      <c r="E1385" s="86" t="s">
        <v>131</v>
      </c>
      <c r="F1385" s="85">
        <v>81897719002</v>
      </c>
      <c r="G1385" s="71">
        <f t="shared" si="123"/>
        <v>17.474799999999998</v>
      </c>
      <c r="H1385" s="71">
        <f t="shared" si="124"/>
        <v>17.474799999999998</v>
      </c>
      <c r="I1385" s="71">
        <f t="shared" si="125"/>
        <v>17.474799999999998</v>
      </c>
      <c r="J1385" s="71">
        <f t="shared" si="126"/>
        <v>17.474799999999998</v>
      </c>
      <c r="K1385" s="72">
        <v>0</v>
      </c>
      <c r="M1385" s="58">
        <f>VLOOKUP(D1385,'TABELA DE PRECOS'!B:C,2,0)</f>
        <v>17.474799999999998</v>
      </c>
    </row>
    <row r="1386" spans="1:13" ht="15.75" customHeight="1" x14ac:dyDescent="0.25">
      <c r="A1386" s="65">
        <v>18</v>
      </c>
      <c r="B1386" s="84" t="s">
        <v>470</v>
      </c>
      <c r="C1386" s="73">
        <v>1</v>
      </c>
      <c r="D1386" s="85" t="s">
        <v>471</v>
      </c>
      <c r="E1386" s="86" t="s">
        <v>131</v>
      </c>
      <c r="F1386" s="85">
        <v>81897719002</v>
      </c>
      <c r="G1386" s="71">
        <f t="shared" si="123"/>
        <v>21.348960000000002</v>
      </c>
      <c r="H1386" s="71">
        <f t="shared" si="124"/>
        <v>21.348960000000002</v>
      </c>
      <c r="I1386" s="71">
        <f t="shared" si="125"/>
        <v>21.348960000000002</v>
      </c>
      <c r="J1386" s="71">
        <f t="shared" si="126"/>
        <v>21.348960000000002</v>
      </c>
      <c r="K1386" s="72">
        <v>0</v>
      </c>
      <c r="M1386" s="58">
        <f>VLOOKUP(D1386,'TABELA DE PRECOS'!B:C,2,0)</f>
        <v>21.348960000000002</v>
      </c>
    </row>
    <row r="1387" spans="1:13" ht="15.75" customHeight="1" x14ac:dyDescent="0.25">
      <c r="A1387" s="65">
        <v>19</v>
      </c>
      <c r="B1387" s="84" t="s">
        <v>387</v>
      </c>
      <c r="C1387" s="73">
        <v>2</v>
      </c>
      <c r="D1387" s="85" t="s">
        <v>388</v>
      </c>
      <c r="E1387" s="86" t="s">
        <v>131</v>
      </c>
      <c r="F1387" s="85">
        <v>81897719002</v>
      </c>
      <c r="G1387" s="71">
        <f t="shared" si="123"/>
        <v>13.375935999999999</v>
      </c>
      <c r="H1387" s="71">
        <f t="shared" si="124"/>
        <v>26.751871999999999</v>
      </c>
      <c r="I1387" s="71">
        <f t="shared" si="125"/>
        <v>13.375935999999999</v>
      </c>
      <c r="J1387" s="71">
        <f t="shared" si="126"/>
        <v>26.751871999999999</v>
      </c>
      <c r="K1387" s="72">
        <v>0</v>
      </c>
      <c r="M1387" s="58">
        <f>VLOOKUP(D1387,'TABELA DE PRECOS'!B:C,2,0)</f>
        <v>13.375935999999999</v>
      </c>
    </row>
    <row r="1388" spans="1:13" ht="15.75" customHeight="1" x14ac:dyDescent="0.25">
      <c r="A1388" s="65">
        <v>20</v>
      </c>
      <c r="B1388" s="84" t="s">
        <v>1391</v>
      </c>
      <c r="C1388" s="73">
        <v>1</v>
      </c>
      <c r="D1388" s="49" t="s">
        <v>1392</v>
      </c>
      <c r="E1388" s="86" t="s">
        <v>131</v>
      </c>
      <c r="F1388" s="85">
        <v>81897710012</v>
      </c>
      <c r="G1388" s="71">
        <f t="shared" si="123"/>
        <v>56.684079999999994</v>
      </c>
      <c r="H1388" s="71">
        <f t="shared" si="124"/>
        <v>56.684079999999994</v>
      </c>
      <c r="I1388" s="71">
        <f t="shared" si="125"/>
        <v>56.684079999999994</v>
      </c>
      <c r="J1388" s="71">
        <f t="shared" si="126"/>
        <v>56.684079999999994</v>
      </c>
      <c r="K1388" s="72">
        <v>0</v>
      </c>
      <c r="M1388" s="58">
        <f>VLOOKUP(D1388,'TABELA DE PRECOS'!B:C,2,0)</f>
        <v>56.684079999999994</v>
      </c>
    </row>
    <row r="1389" spans="1:13" ht="15.75" customHeight="1" x14ac:dyDescent="0.25">
      <c r="A1389" s="65">
        <v>21</v>
      </c>
      <c r="B1389" s="84" t="s">
        <v>1393</v>
      </c>
      <c r="C1389" s="73">
        <v>1</v>
      </c>
      <c r="D1389" s="85" t="s">
        <v>1394</v>
      </c>
      <c r="E1389" s="86" t="s">
        <v>131</v>
      </c>
      <c r="F1389" s="85">
        <v>81897719002</v>
      </c>
      <c r="G1389" s="71">
        <f t="shared" si="123"/>
        <v>48.550239999999995</v>
      </c>
      <c r="H1389" s="71">
        <f t="shared" si="124"/>
        <v>48.550239999999995</v>
      </c>
      <c r="I1389" s="71">
        <f t="shared" si="125"/>
        <v>48.550239999999995</v>
      </c>
      <c r="J1389" s="71">
        <f t="shared" si="126"/>
        <v>48.550239999999995</v>
      </c>
      <c r="K1389" s="72">
        <v>0</v>
      </c>
      <c r="M1389" s="58">
        <f>VLOOKUP(D1389,'TABELA DE PRECOS'!B:C,2,0)</f>
        <v>48.550239999999995</v>
      </c>
    </row>
    <row r="1390" spans="1:13" ht="15.75" customHeight="1" x14ac:dyDescent="0.25">
      <c r="A1390" s="65">
        <v>22</v>
      </c>
      <c r="B1390" s="84" t="s">
        <v>181</v>
      </c>
      <c r="C1390" s="73">
        <v>2</v>
      </c>
      <c r="D1390" s="49" t="s">
        <v>182</v>
      </c>
      <c r="E1390" s="86" t="s">
        <v>131</v>
      </c>
      <c r="F1390" s="85">
        <v>81897719002</v>
      </c>
      <c r="G1390" s="71">
        <f t="shared" si="123"/>
        <v>29.989999999999995</v>
      </c>
      <c r="H1390" s="71">
        <f t="shared" si="124"/>
        <v>59.97999999999999</v>
      </c>
      <c r="I1390" s="71">
        <f t="shared" si="125"/>
        <v>29.989999999999995</v>
      </c>
      <c r="J1390" s="71">
        <f t="shared" si="126"/>
        <v>59.97999999999999</v>
      </c>
      <c r="K1390" s="72">
        <v>0</v>
      </c>
      <c r="M1390" s="58">
        <f>VLOOKUP(D1390,'TABELA DE PRECOS'!B:C,2,0)</f>
        <v>29.989999999999995</v>
      </c>
    </row>
    <row r="1391" spans="1:13" ht="15.75" customHeight="1" x14ac:dyDescent="0.25">
      <c r="A1391" s="65">
        <v>23</v>
      </c>
      <c r="B1391" s="84" t="s">
        <v>185</v>
      </c>
      <c r="C1391" s="73">
        <v>6</v>
      </c>
      <c r="D1391" s="85" t="s">
        <v>186</v>
      </c>
      <c r="E1391" s="86" t="s">
        <v>131</v>
      </c>
      <c r="F1391" s="85">
        <v>81897719002</v>
      </c>
      <c r="G1391" s="71">
        <f t="shared" si="123"/>
        <v>17.28</v>
      </c>
      <c r="H1391" s="71">
        <f t="shared" si="124"/>
        <v>103.68</v>
      </c>
      <c r="I1391" s="71">
        <f t="shared" si="125"/>
        <v>17.28</v>
      </c>
      <c r="J1391" s="71">
        <f t="shared" si="126"/>
        <v>103.68</v>
      </c>
      <c r="K1391" s="72">
        <v>0</v>
      </c>
      <c r="M1391" s="58">
        <f>VLOOKUP(D1391,'TABELA DE PRECOS'!B:C,2,0)</f>
        <v>17.28</v>
      </c>
    </row>
    <row r="1392" spans="1:13" ht="15.75" customHeight="1" x14ac:dyDescent="0.25">
      <c r="A1392" s="65">
        <v>24</v>
      </c>
      <c r="B1392" s="84" t="s">
        <v>183</v>
      </c>
      <c r="C1392" s="73">
        <v>1</v>
      </c>
      <c r="D1392" s="85" t="s">
        <v>184</v>
      </c>
      <c r="E1392" s="86" t="s">
        <v>131</v>
      </c>
      <c r="F1392" s="85">
        <v>81897719002</v>
      </c>
      <c r="G1392" s="71">
        <f t="shared" si="123"/>
        <v>40.79</v>
      </c>
      <c r="H1392" s="71">
        <f t="shared" si="124"/>
        <v>40.79</v>
      </c>
      <c r="I1392" s="71">
        <f t="shared" si="125"/>
        <v>40.79</v>
      </c>
      <c r="J1392" s="71">
        <f t="shared" si="126"/>
        <v>40.79</v>
      </c>
      <c r="K1392" s="72">
        <v>0</v>
      </c>
      <c r="M1392" s="58">
        <f>VLOOKUP(D1392,'TABELA DE PRECOS'!B:C,2,0)</f>
        <v>40.79</v>
      </c>
    </row>
    <row r="1393" spans="1:13" ht="15.75" customHeight="1" x14ac:dyDescent="0.25">
      <c r="A1393" s="65">
        <v>25</v>
      </c>
      <c r="B1393" t="s">
        <v>1639</v>
      </c>
      <c r="C1393" s="82">
        <v>1</v>
      </c>
      <c r="D1393" s="76" t="s">
        <v>1210</v>
      </c>
      <c r="E1393" s="69" t="s">
        <v>131</v>
      </c>
      <c r="F1393" s="76">
        <v>81897710023</v>
      </c>
      <c r="G1393" s="71">
        <f t="shared" si="123"/>
        <v>39.979999999999997</v>
      </c>
      <c r="H1393" s="71">
        <f t="shared" si="124"/>
        <v>39.979999999999997</v>
      </c>
      <c r="I1393" s="71">
        <f t="shared" si="125"/>
        <v>39.979999999999997</v>
      </c>
      <c r="J1393" s="71">
        <f t="shared" si="126"/>
        <v>39.979999999999997</v>
      </c>
      <c r="K1393" s="72">
        <v>0</v>
      </c>
      <c r="M1393" s="58">
        <f>VLOOKUP(D1393,'TABELA DE PRECOS'!B:C,2,0)</f>
        <v>39.979999999999997</v>
      </c>
    </row>
    <row r="1394" spans="1:13" ht="15.75" customHeight="1" x14ac:dyDescent="0.25">
      <c r="A1394" s="65">
        <v>26</v>
      </c>
      <c r="B1394" s="84" t="s">
        <v>1395</v>
      </c>
      <c r="C1394" s="73">
        <v>1</v>
      </c>
      <c r="D1394" s="85" t="s">
        <v>1396</v>
      </c>
      <c r="E1394" s="86" t="s">
        <v>131</v>
      </c>
      <c r="F1394" s="85">
        <v>81897719002</v>
      </c>
      <c r="G1394" s="71">
        <f t="shared" si="123"/>
        <v>17.967759999999998</v>
      </c>
      <c r="H1394" s="71">
        <f t="shared" si="124"/>
        <v>17.967759999999998</v>
      </c>
      <c r="I1394" s="71">
        <f t="shared" si="125"/>
        <v>17.967759999999998</v>
      </c>
      <c r="J1394" s="71">
        <f t="shared" si="126"/>
        <v>17.967759999999998</v>
      </c>
      <c r="K1394" s="72">
        <v>0</v>
      </c>
      <c r="M1394" s="58">
        <f>VLOOKUP(D1394,'TABELA DE PRECOS'!B:C,2,0)</f>
        <v>17.967759999999998</v>
      </c>
    </row>
    <row r="1395" spans="1:13" ht="15.75" customHeight="1" x14ac:dyDescent="0.25">
      <c r="A1395" s="65">
        <v>27</v>
      </c>
      <c r="B1395" s="84" t="s">
        <v>338</v>
      </c>
      <c r="C1395" s="73">
        <v>1</v>
      </c>
      <c r="D1395" s="85" t="s">
        <v>339</v>
      </c>
      <c r="E1395" s="86" t="s">
        <v>131</v>
      </c>
      <c r="F1395" s="85">
        <v>81897719002</v>
      </c>
      <c r="G1395" s="71">
        <f t="shared" si="123"/>
        <v>26.31</v>
      </c>
      <c r="H1395" s="71">
        <f t="shared" si="124"/>
        <v>26.31</v>
      </c>
      <c r="I1395" s="71">
        <f t="shared" si="125"/>
        <v>26.31</v>
      </c>
      <c r="J1395" s="71">
        <f t="shared" si="126"/>
        <v>26.31</v>
      </c>
      <c r="K1395" s="72">
        <v>0</v>
      </c>
      <c r="M1395" s="58">
        <f>VLOOKUP(D1395,'TABELA DE PRECOS'!B:C,2,0)</f>
        <v>26.31</v>
      </c>
    </row>
    <row r="1396" spans="1:13" ht="15.75" customHeight="1" x14ac:dyDescent="0.25">
      <c r="A1396" s="65">
        <v>28</v>
      </c>
      <c r="B1396" s="84" t="s">
        <v>1397</v>
      </c>
      <c r="C1396" s="73">
        <v>1</v>
      </c>
      <c r="D1396" s="85" t="s">
        <v>1398</v>
      </c>
      <c r="E1396" s="86" t="s">
        <v>131</v>
      </c>
      <c r="F1396" s="85">
        <v>81897719002</v>
      </c>
      <c r="G1396" s="71">
        <f t="shared" si="123"/>
        <v>38.817440000000005</v>
      </c>
      <c r="H1396" s="71">
        <f t="shared" si="124"/>
        <v>38.817440000000005</v>
      </c>
      <c r="I1396" s="71">
        <f t="shared" si="125"/>
        <v>38.817440000000005</v>
      </c>
      <c r="J1396" s="71">
        <f t="shared" si="126"/>
        <v>38.817440000000005</v>
      </c>
      <c r="K1396" s="72">
        <v>0</v>
      </c>
      <c r="M1396" s="58">
        <f>VLOOKUP(D1396,'TABELA DE PRECOS'!B:C,2,0)</f>
        <v>38.817440000000005</v>
      </c>
    </row>
    <row r="1397" spans="1:13" ht="15.75" customHeight="1" x14ac:dyDescent="0.25">
      <c r="A1397" s="65">
        <v>29</v>
      </c>
      <c r="B1397" s="84" t="s">
        <v>342</v>
      </c>
      <c r="C1397" s="73">
        <v>6</v>
      </c>
      <c r="D1397" s="85" t="s">
        <v>343</v>
      </c>
      <c r="E1397" s="86" t="s">
        <v>131</v>
      </c>
      <c r="F1397" s="85">
        <v>81897719002</v>
      </c>
      <c r="G1397" s="71">
        <f t="shared" si="123"/>
        <v>21.43</v>
      </c>
      <c r="H1397" s="71">
        <f t="shared" si="124"/>
        <v>128.57999999999998</v>
      </c>
      <c r="I1397" s="71">
        <f t="shared" si="125"/>
        <v>21.43</v>
      </c>
      <c r="J1397" s="71">
        <f t="shared" si="126"/>
        <v>128.57999999999998</v>
      </c>
      <c r="K1397" s="72">
        <v>0</v>
      </c>
      <c r="M1397" s="58">
        <f>VLOOKUP(D1397,'TABELA DE PRECOS'!B:C,2,0)</f>
        <v>21.43</v>
      </c>
    </row>
    <row r="1398" spans="1:13" ht="15.75" customHeight="1" x14ac:dyDescent="0.25">
      <c r="A1398" s="65">
        <v>30</v>
      </c>
      <c r="B1398" s="84" t="s">
        <v>344</v>
      </c>
      <c r="C1398" s="73">
        <v>6</v>
      </c>
      <c r="D1398" s="85" t="s">
        <v>345</v>
      </c>
      <c r="E1398" s="86" t="s">
        <v>131</v>
      </c>
      <c r="F1398" s="85">
        <v>81897719002</v>
      </c>
      <c r="G1398" s="71">
        <f t="shared" si="123"/>
        <v>18.12</v>
      </c>
      <c r="H1398" s="71">
        <f t="shared" si="124"/>
        <v>108.72</v>
      </c>
      <c r="I1398" s="71">
        <f t="shared" si="125"/>
        <v>18.12</v>
      </c>
      <c r="J1398" s="71">
        <f t="shared" si="126"/>
        <v>108.72</v>
      </c>
      <c r="K1398" s="72">
        <v>0</v>
      </c>
      <c r="M1398" s="58">
        <f>VLOOKUP(D1398,'TABELA DE PRECOS'!B:C,2,0)</f>
        <v>18.12</v>
      </c>
    </row>
    <row r="1399" spans="1:13" ht="15.75" customHeight="1" x14ac:dyDescent="0.25">
      <c r="A1399" s="65">
        <v>31</v>
      </c>
      <c r="B1399" s="84" t="s">
        <v>350</v>
      </c>
      <c r="C1399" s="73">
        <v>2</v>
      </c>
      <c r="D1399" s="85" t="s">
        <v>351</v>
      </c>
      <c r="E1399" s="86" t="s">
        <v>131</v>
      </c>
      <c r="F1399" s="85">
        <v>81897719002</v>
      </c>
      <c r="G1399" s="71">
        <f t="shared" si="123"/>
        <v>18.89472</v>
      </c>
      <c r="H1399" s="71">
        <f t="shared" si="124"/>
        <v>37.789439999999999</v>
      </c>
      <c r="I1399" s="71">
        <f t="shared" si="125"/>
        <v>18.89472</v>
      </c>
      <c r="J1399" s="71">
        <f t="shared" si="126"/>
        <v>37.789439999999999</v>
      </c>
      <c r="K1399" s="72">
        <v>0</v>
      </c>
      <c r="M1399" s="58">
        <f>VLOOKUP(D1399,'TABELA DE PRECOS'!B:C,2,0)</f>
        <v>18.89472</v>
      </c>
    </row>
    <row r="1400" spans="1:13" ht="15.75" customHeight="1" x14ac:dyDescent="0.25">
      <c r="A1400" s="65">
        <v>32</v>
      </c>
      <c r="B1400" s="84" t="s">
        <v>352</v>
      </c>
      <c r="C1400" s="73">
        <v>2</v>
      </c>
      <c r="D1400" s="85" t="s">
        <v>353</v>
      </c>
      <c r="E1400" s="86" t="s">
        <v>131</v>
      </c>
      <c r="F1400" s="85">
        <v>81897719002</v>
      </c>
      <c r="G1400" s="71">
        <f t="shared" si="123"/>
        <v>18.77</v>
      </c>
      <c r="H1400" s="71">
        <f t="shared" si="124"/>
        <v>37.54</v>
      </c>
      <c r="I1400" s="71">
        <f t="shared" si="125"/>
        <v>18.77</v>
      </c>
      <c r="J1400" s="71">
        <f t="shared" si="126"/>
        <v>37.54</v>
      </c>
      <c r="K1400" s="72">
        <v>0</v>
      </c>
      <c r="M1400" s="58">
        <f>VLOOKUP(D1400,'TABELA DE PRECOS'!B:C,2,0)</f>
        <v>18.77</v>
      </c>
    </row>
    <row r="1401" spans="1:13" ht="15.75" customHeight="1" x14ac:dyDescent="0.25">
      <c r="A1401" s="65">
        <v>33</v>
      </c>
      <c r="B1401" s="84" t="s">
        <v>187</v>
      </c>
      <c r="C1401" s="73">
        <v>4</v>
      </c>
      <c r="D1401" s="85" t="s">
        <v>188</v>
      </c>
      <c r="E1401" s="86" t="s">
        <v>131</v>
      </c>
      <c r="F1401" s="85">
        <v>81897719002</v>
      </c>
      <c r="G1401" s="71">
        <f t="shared" si="123"/>
        <v>15.95</v>
      </c>
      <c r="H1401" s="71">
        <f t="shared" si="124"/>
        <v>63.8</v>
      </c>
      <c r="I1401" s="71">
        <f t="shared" si="125"/>
        <v>15.95</v>
      </c>
      <c r="J1401" s="71">
        <f t="shared" si="126"/>
        <v>63.8</v>
      </c>
      <c r="K1401" s="72">
        <v>0</v>
      </c>
      <c r="M1401" s="58">
        <f>VLOOKUP(D1401,'TABELA DE PRECOS'!B:C,2,0)</f>
        <v>15.95</v>
      </c>
    </row>
    <row r="1402" spans="1:13" ht="15.75" customHeight="1" x14ac:dyDescent="0.25">
      <c r="A1402" s="65">
        <v>34</v>
      </c>
      <c r="B1402" s="84" t="s">
        <v>419</v>
      </c>
      <c r="C1402" s="73">
        <v>4</v>
      </c>
      <c r="D1402" s="85" t="s">
        <v>420</v>
      </c>
      <c r="E1402" s="86" t="s">
        <v>131</v>
      </c>
      <c r="F1402" s="85">
        <v>81897719002</v>
      </c>
      <c r="G1402" s="71">
        <f t="shared" si="123"/>
        <v>16.52</v>
      </c>
      <c r="H1402" s="71">
        <f t="shared" si="124"/>
        <v>66.08</v>
      </c>
      <c r="I1402" s="71">
        <f t="shared" si="125"/>
        <v>16.52</v>
      </c>
      <c r="J1402" s="71">
        <f t="shared" si="126"/>
        <v>66.08</v>
      </c>
      <c r="K1402" s="72">
        <v>0</v>
      </c>
      <c r="M1402" s="58">
        <f>VLOOKUP(D1402,'TABELA DE PRECOS'!B:C,2,0)</f>
        <v>16.52</v>
      </c>
    </row>
    <row r="1403" spans="1:13" ht="15.75" customHeight="1" x14ac:dyDescent="0.25">
      <c r="A1403" s="65">
        <v>35</v>
      </c>
      <c r="B1403" s="84" t="s">
        <v>328</v>
      </c>
      <c r="C1403" s="73">
        <v>2</v>
      </c>
      <c r="D1403" s="85" t="s">
        <v>329</v>
      </c>
      <c r="E1403" s="86" t="s">
        <v>131</v>
      </c>
      <c r="F1403" s="85">
        <v>81897719002</v>
      </c>
      <c r="G1403" s="71">
        <f t="shared" si="123"/>
        <v>10.92</v>
      </c>
      <c r="H1403" s="71">
        <f t="shared" si="124"/>
        <v>21.84</v>
      </c>
      <c r="I1403" s="71">
        <f t="shared" si="125"/>
        <v>10.92</v>
      </c>
      <c r="J1403" s="71">
        <f t="shared" si="126"/>
        <v>21.84</v>
      </c>
      <c r="K1403" s="72">
        <v>0</v>
      </c>
      <c r="M1403" s="58">
        <f>VLOOKUP(D1403,'TABELA DE PRECOS'!B:C,2,0)</f>
        <v>10.92</v>
      </c>
    </row>
    <row r="1404" spans="1:13" ht="15.75" customHeight="1" x14ac:dyDescent="0.25">
      <c r="A1404" s="65">
        <v>36</v>
      </c>
      <c r="B1404" s="84" t="s">
        <v>195</v>
      </c>
      <c r="C1404" s="73">
        <v>2</v>
      </c>
      <c r="D1404" s="85" t="s">
        <v>196</v>
      </c>
      <c r="E1404" s="86" t="s">
        <v>131</v>
      </c>
      <c r="F1404" s="85">
        <v>81897719002</v>
      </c>
      <c r="G1404" s="71">
        <f t="shared" si="123"/>
        <v>9.0399999999999991</v>
      </c>
      <c r="H1404" s="71">
        <f t="shared" si="124"/>
        <v>18.079999999999998</v>
      </c>
      <c r="I1404" s="71">
        <f t="shared" si="125"/>
        <v>9.0399999999999991</v>
      </c>
      <c r="J1404" s="71">
        <f t="shared" si="126"/>
        <v>18.079999999999998</v>
      </c>
      <c r="K1404" s="72">
        <v>0</v>
      </c>
      <c r="M1404" s="58">
        <f>VLOOKUP(D1404,'TABELA DE PRECOS'!B:C,2,0)</f>
        <v>9.0399999999999991</v>
      </c>
    </row>
    <row r="1405" spans="1:13" ht="15.75" customHeight="1" x14ac:dyDescent="0.25">
      <c r="A1405" s="65">
        <v>37</v>
      </c>
      <c r="B1405" s="84" t="s">
        <v>796</v>
      </c>
      <c r="C1405" s="73">
        <v>2</v>
      </c>
      <c r="D1405" s="85" t="s">
        <v>797</v>
      </c>
      <c r="E1405" s="86" t="s">
        <v>131</v>
      </c>
      <c r="F1405" s="85">
        <v>81897719003</v>
      </c>
      <c r="G1405" s="71">
        <f t="shared" si="123"/>
        <v>68.77</v>
      </c>
      <c r="H1405" s="71">
        <f t="shared" si="124"/>
        <v>137.54</v>
      </c>
      <c r="I1405" s="71">
        <f t="shared" si="125"/>
        <v>68.77</v>
      </c>
      <c r="J1405" s="71">
        <f t="shared" si="126"/>
        <v>137.54</v>
      </c>
      <c r="K1405" s="72">
        <v>0</v>
      </c>
      <c r="M1405" s="58">
        <f>VLOOKUP(D1405,'TABELA DE PRECOS'!B:C,2,0)</f>
        <v>68.77</v>
      </c>
    </row>
    <row r="1406" spans="1:13" ht="15.75" customHeight="1" x14ac:dyDescent="0.25">
      <c r="A1406" s="65">
        <v>38</v>
      </c>
      <c r="B1406" s="84" t="s">
        <v>1036</v>
      </c>
      <c r="C1406" s="73">
        <v>2</v>
      </c>
      <c r="D1406" s="85" t="s">
        <v>1037</v>
      </c>
      <c r="E1406" s="86" t="s">
        <v>131</v>
      </c>
      <c r="F1406" s="85">
        <v>81897719003</v>
      </c>
      <c r="G1406" s="71">
        <f t="shared" si="123"/>
        <v>135.91792000000001</v>
      </c>
      <c r="H1406" s="71">
        <f t="shared" si="124"/>
        <v>271.83584000000002</v>
      </c>
      <c r="I1406" s="71">
        <f t="shared" si="125"/>
        <v>135.91792000000001</v>
      </c>
      <c r="J1406" s="71">
        <f t="shared" si="126"/>
        <v>271.83584000000002</v>
      </c>
      <c r="K1406" s="72">
        <v>0</v>
      </c>
      <c r="M1406" s="58">
        <f>VLOOKUP(D1406,'TABELA DE PRECOS'!B:C,2,0)</f>
        <v>135.91792000000001</v>
      </c>
    </row>
    <row r="1407" spans="1:13" ht="15.75" customHeight="1" x14ac:dyDescent="0.25">
      <c r="A1407" s="65">
        <v>39</v>
      </c>
      <c r="B1407" s="84" t="s">
        <v>842</v>
      </c>
      <c r="C1407" s="73">
        <v>1</v>
      </c>
      <c r="D1407" s="85" t="s">
        <v>843</v>
      </c>
      <c r="E1407" s="86" t="s">
        <v>131</v>
      </c>
      <c r="F1407" s="85">
        <v>81897719002</v>
      </c>
      <c r="G1407" s="71">
        <f t="shared" si="123"/>
        <v>14.56128</v>
      </c>
      <c r="H1407" s="71">
        <f t="shared" si="124"/>
        <v>14.56128</v>
      </c>
      <c r="I1407" s="71">
        <f t="shared" si="125"/>
        <v>14.56128</v>
      </c>
      <c r="J1407" s="71">
        <f t="shared" si="126"/>
        <v>14.56128</v>
      </c>
      <c r="K1407" s="72">
        <v>0</v>
      </c>
      <c r="M1407" s="58">
        <f>VLOOKUP(D1407,'TABELA DE PRECOS'!B:C,2,0)</f>
        <v>14.56128</v>
      </c>
    </row>
    <row r="1408" spans="1:13" ht="15.75" customHeight="1" x14ac:dyDescent="0.25">
      <c r="A1408" s="65">
        <v>40</v>
      </c>
      <c r="B1408" s="84" t="s">
        <v>700</v>
      </c>
      <c r="C1408" s="73">
        <v>1</v>
      </c>
      <c r="D1408" s="85" t="s">
        <v>701</v>
      </c>
      <c r="E1408" s="86" t="s">
        <v>131</v>
      </c>
      <c r="F1408" s="85">
        <v>81897719002</v>
      </c>
      <c r="G1408" s="71">
        <f t="shared" si="123"/>
        <v>37.030560000000001</v>
      </c>
      <c r="H1408" s="71">
        <f t="shared" si="124"/>
        <v>37.030560000000001</v>
      </c>
      <c r="I1408" s="71">
        <f t="shared" si="125"/>
        <v>37.030560000000001</v>
      </c>
      <c r="J1408" s="71">
        <f t="shared" si="126"/>
        <v>37.030560000000001</v>
      </c>
      <c r="K1408" s="72">
        <v>0</v>
      </c>
      <c r="M1408" s="58">
        <f>VLOOKUP(D1408,'TABELA DE PRECOS'!B:C,2,0)</f>
        <v>37.030560000000001</v>
      </c>
    </row>
    <row r="1409" spans="1:13" ht="15.75" customHeight="1" x14ac:dyDescent="0.25">
      <c r="A1409" s="65">
        <v>41</v>
      </c>
      <c r="B1409" s="84" t="s">
        <v>366</v>
      </c>
      <c r="C1409" s="73">
        <v>1</v>
      </c>
      <c r="D1409" s="85" t="s">
        <v>367</v>
      </c>
      <c r="E1409" s="86" t="s">
        <v>131</v>
      </c>
      <c r="F1409" s="85">
        <v>81897719002</v>
      </c>
      <c r="G1409" s="71">
        <f t="shared" si="123"/>
        <v>18.7</v>
      </c>
      <c r="H1409" s="71">
        <f t="shared" si="124"/>
        <v>18.7</v>
      </c>
      <c r="I1409" s="71">
        <f t="shared" si="125"/>
        <v>18.7</v>
      </c>
      <c r="J1409" s="71">
        <f t="shared" si="126"/>
        <v>18.7</v>
      </c>
      <c r="K1409" s="72">
        <v>0</v>
      </c>
      <c r="M1409" s="58">
        <f>VLOOKUP(D1409,'TABELA DE PRECOS'!B:C,2,0)</f>
        <v>18.7</v>
      </c>
    </row>
    <row r="1410" spans="1:13" ht="15.75" customHeight="1" x14ac:dyDescent="0.25">
      <c r="A1410" s="65">
        <v>42</v>
      </c>
      <c r="B1410" s="84" t="s">
        <v>368</v>
      </c>
      <c r="C1410" s="73">
        <v>1</v>
      </c>
      <c r="D1410" s="85" t="s">
        <v>369</v>
      </c>
      <c r="E1410" s="86" t="s">
        <v>131</v>
      </c>
      <c r="F1410" s="85">
        <v>81897719002</v>
      </c>
      <c r="G1410" s="71">
        <f t="shared" si="123"/>
        <v>18.22</v>
      </c>
      <c r="H1410" s="71">
        <f t="shared" si="124"/>
        <v>18.22</v>
      </c>
      <c r="I1410" s="71">
        <f t="shared" si="125"/>
        <v>18.22</v>
      </c>
      <c r="J1410" s="71">
        <f t="shared" si="126"/>
        <v>18.22</v>
      </c>
      <c r="K1410" s="72">
        <v>0</v>
      </c>
      <c r="M1410" s="58">
        <f>VLOOKUP(D1410,'TABELA DE PRECOS'!B:C,2,0)</f>
        <v>18.22</v>
      </c>
    </row>
    <row r="1411" spans="1:13" ht="15.75" customHeight="1" x14ac:dyDescent="0.25">
      <c r="A1411" s="65">
        <v>43</v>
      </c>
      <c r="B1411" s="84" t="s">
        <v>370</v>
      </c>
      <c r="C1411" s="73">
        <v>1</v>
      </c>
      <c r="D1411" s="85" t="s">
        <v>371</v>
      </c>
      <c r="E1411" s="86" t="s">
        <v>131</v>
      </c>
      <c r="F1411" s="85">
        <v>81897719002</v>
      </c>
      <c r="G1411" s="71">
        <f t="shared" si="123"/>
        <v>19.41</v>
      </c>
      <c r="H1411" s="71">
        <f t="shared" si="124"/>
        <v>19.41</v>
      </c>
      <c r="I1411" s="71">
        <f t="shared" si="125"/>
        <v>19.41</v>
      </c>
      <c r="J1411" s="71">
        <f t="shared" si="126"/>
        <v>19.41</v>
      </c>
      <c r="K1411" s="72">
        <v>0</v>
      </c>
      <c r="M1411" s="58">
        <f>VLOOKUP(D1411,'TABELA DE PRECOS'!B:C,2,0)</f>
        <v>19.41</v>
      </c>
    </row>
    <row r="1412" spans="1:13" ht="15.75" customHeight="1" x14ac:dyDescent="0.25">
      <c r="A1412" s="65">
        <v>44</v>
      </c>
      <c r="B1412" s="84" t="s">
        <v>372</v>
      </c>
      <c r="C1412" s="73">
        <v>1</v>
      </c>
      <c r="D1412" s="85" t="s">
        <v>373</v>
      </c>
      <c r="E1412" s="86" t="s">
        <v>131</v>
      </c>
      <c r="F1412" s="85" t="s">
        <v>223</v>
      </c>
      <c r="G1412" s="71">
        <f t="shared" si="123"/>
        <v>452.16</v>
      </c>
      <c r="H1412" s="71">
        <f t="shared" si="124"/>
        <v>452.16</v>
      </c>
      <c r="I1412" s="71">
        <f t="shared" si="125"/>
        <v>452.16</v>
      </c>
      <c r="J1412" s="71">
        <f t="shared" si="126"/>
        <v>452.16</v>
      </c>
      <c r="K1412" s="72">
        <v>0</v>
      </c>
      <c r="M1412" s="58">
        <f>VLOOKUP(D1412,'TABELA DE PRECOS'!B:C,2,0)</f>
        <v>452.16</v>
      </c>
    </row>
    <row r="1413" spans="1:13" ht="15.75" customHeight="1" x14ac:dyDescent="0.25">
      <c r="A1413" s="65">
        <v>45</v>
      </c>
      <c r="B1413" s="84" t="s">
        <v>374</v>
      </c>
      <c r="C1413" s="73">
        <v>1</v>
      </c>
      <c r="D1413" s="85" t="s">
        <v>375</v>
      </c>
      <c r="E1413" s="86" t="s">
        <v>131</v>
      </c>
      <c r="F1413" s="85" t="s">
        <v>223</v>
      </c>
      <c r="G1413" s="71">
        <f t="shared" si="123"/>
        <v>640.15991999999994</v>
      </c>
      <c r="H1413" s="71">
        <f t="shared" si="124"/>
        <v>640.15991999999994</v>
      </c>
      <c r="I1413" s="71">
        <f t="shared" si="125"/>
        <v>640.15991999999994</v>
      </c>
      <c r="J1413" s="71">
        <f t="shared" si="126"/>
        <v>640.15991999999994</v>
      </c>
      <c r="K1413" s="72">
        <v>0</v>
      </c>
      <c r="M1413" s="58">
        <f>VLOOKUP(D1413,'TABELA DE PRECOS'!B:C,2,0)</f>
        <v>640.15991999999994</v>
      </c>
    </row>
    <row r="1414" spans="1:13" ht="15.75" customHeight="1" x14ac:dyDescent="0.25">
      <c r="A1414" s="65">
        <v>46</v>
      </c>
      <c r="B1414" s="84" t="s">
        <v>376</v>
      </c>
      <c r="C1414" s="73">
        <v>1</v>
      </c>
      <c r="D1414" s="85" t="s">
        <v>1060</v>
      </c>
      <c r="E1414" s="86" t="s">
        <v>131</v>
      </c>
      <c r="F1414" s="85" t="s">
        <v>223</v>
      </c>
      <c r="G1414" s="71">
        <f t="shared" si="123"/>
        <v>514.57000000000005</v>
      </c>
      <c r="H1414" s="71">
        <f t="shared" si="124"/>
        <v>514.57000000000005</v>
      </c>
      <c r="I1414" s="71">
        <f t="shared" si="125"/>
        <v>514.57000000000005</v>
      </c>
      <c r="J1414" s="71">
        <f t="shared" si="126"/>
        <v>514.57000000000005</v>
      </c>
      <c r="K1414" s="72">
        <v>0</v>
      </c>
      <c r="M1414" s="58">
        <f>VLOOKUP(D1414,'TABELA DE PRECOS'!B:C,2,0)</f>
        <v>514.57000000000005</v>
      </c>
    </row>
    <row r="1415" spans="1:13" ht="15.75" customHeight="1" x14ac:dyDescent="0.25">
      <c r="A1415" s="65">
        <v>47</v>
      </c>
      <c r="B1415" s="84" t="s">
        <v>378</v>
      </c>
      <c r="C1415" s="73">
        <v>2</v>
      </c>
      <c r="D1415" s="85" t="s">
        <v>1061</v>
      </c>
      <c r="E1415" s="86" t="s">
        <v>131</v>
      </c>
      <c r="F1415" s="85" t="s">
        <v>223</v>
      </c>
      <c r="G1415" s="71">
        <f t="shared" si="123"/>
        <v>9.18</v>
      </c>
      <c r="H1415" s="71">
        <f t="shared" si="124"/>
        <v>18.36</v>
      </c>
      <c r="I1415" s="71">
        <f t="shared" si="125"/>
        <v>9.18</v>
      </c>
      <c r="J1415" s="71">
        <f t="shared" si="126"/>
        <v>18.36</v>
      </c>
      <c r="K1415" s="72">
        <v>0</v>
      </c>
      <c r="M1415" s="58">
        <f>VLOOKUP(D1415,'TABELA DE PRECOS'!B:C,2,0)</f>
        <v>9.18</v>
      </c>
    </row>
    <row r="1416" spans="1:13" ht="15.75" customHeight="1" x14ac:dyDescent="0.25">
      <c r="A1416" s="78"/>
      <c r="B1416" s="79" t="s">
        <v>224</v>
      </c>
      <c r="C1416" s="79">
        <f>SUM(C1369:C1415)</f>
        <v>83</v>
      </c>
      <c r="D1416" s="79"/>
      <c r="E1416" s="79"/>
      <c r="F1416" s="79"/>
      <c r="G1416" s="80"/>
      <c r="H1416" s="80">
        <f>SUM(H1369:H1415)</f>
        <v>4364.7973919999995</v>
      </c>
      <c r="I1416" s="79"/>
      <c r="J1416" s="80">
        <f>SUM(J1369:J1415)</f>
        <v>4364.7973919999995</v>
      </c>
      <c r="K1416" s="81"/>
      <c r="M1416" s="58" t="e">
        <f>VLOOKUP(D1416,'TABELA DE PRECOS'!B:C,2,0)</f>
        <v>#N/A</v>
      </c>
    </row>
    <row r="1417" spans="1:13" ht="15.75" customHeight="1" x14ac:dyDescent="0.25">
      <c r="A1417" s="56"/>
      <c r="B1417" s="49" t="s">
        <v>15</v>
      </c>
      <c r="C1417" s="57"/>
      <c r="G1417" s="58"/>
      <c r="H1417" s="58"/>
      <c r="I1417" s="58"/>
      <c r="J1417" s="58"/>
      <c r="K1417" s="59"/>
      <c r="M1417" s="58" t="e">
        <f>VLOOKUP(D1417,'TABELA DE PRECOS'!B:C,2,0)</f>
        <v>#N/A</v>
      </c>
    </row>
    <row r="1418" spans="1:13" ht="15.75" customHeight="1" x14ac:dyDescent="0.25">
      <c r="A1418" s="108"/>
      <c r="B1418" s="18" t="s">
        <v>1399</v>
      </c>
      <c r="C1418" s="57"/>
      <c r="G1418" s="58"/>
      <c r="H1418" s="58"/>
      <c r="I1418" s="58"/>
      <c r="J1418" s="58"/>
      <c r="K1418" s="59"/>
      <c r="M1418" s="58" t="e">
        <f>VLOOKUP(D1418,'TABELA DE PRECOS'!B:C,2,0)</f>
        <v>#N/A</v>
      </c>
    </row>
    <row r="1419" spans="1:13" ht="15.75" customHeight="1" x14ac:dyDescent="0.25">
      <c r="A1419" s="18" t="s">
        <v>119</v>
      </c>
      <c r="B1419" s="18" t="s">
        <v>120</v>
      </c>
      <c r="C1419" s="18" t="s">
        <v>21</v>
      </c>
      <c r="D1419" s="18" t="s">
        <v>121</v>
      </c>
      <c r="E1419" s="60" t="s">
        <v>122</v>
      </c>
      <c r="F1419" s="18" t="s">
        <v>123</v>
      </c>
      <c r="G1419" s="61" t="s">
        <v>22</v>
      </c>
      <c r="H1419" s="18" t="s">
        <v>23</v>
      </c>
      <c r="I1419" s="18" t="s">
        <v>24</v>
      </c>
      <c r="J1419" s="18" t="s">
        <v>25</v>
      </c>
      <c r="K1419" s="62" t="s">
        <v>26</v>
      </c>
      <c r="M1419" s="58" t="str">
        <f>VLOOKUP(D1419,'TABELA DE PRECOS'!B:C,2,0)</f>
        <v>Valor Unit Bruto</v>
      </c>
    </row>
    <row r="1420" spans="1:13" ht="15.75" customHeight="1" x14ac:dyDescent="0.25">
      <c r="A1420" s="65">
        <v>1</v>
      </c>
      <c r="B1420" s="84" t="s">
        <v>1400</v>
      </c>
      <c r="C1420" s="73">
        <v>1</v>
      </c>
      <c r="D1420" s="84" t="s">
        <v>1401</v>
      </c>
      <c r="E1420" s="86" t="s">
        <v>131</v>
      </c>
      <c r="F1420" s="85">
        <v>81897710042</v>
      </c>
      <c r="G1420" s="71">
        <f t="shared" ref="G1420:G1431" si="127">M1420</f>
        <v>41.117600000000003</v>
      </c>
      <c r="H1420" s="71">
        <f t="shared" ref="H1420:H1431" si="128">G1420*C1420</f>
        <v>41.117600000000003</v>
      </c>
      <c r="I1420" s="71">
        <f t="shared" ref="I1420:I1431" si="129">G1420</f>
        <v>41.117600000000003</v>
      </c>
      <c r="J1420" s="71">
        <f t="shared" ref="J1420:J1431" si="130">I1420*C1420</f>
        <v>41.117600000000003</v>
      </c>
      <c r="K1420" s="72">
        <v>0</v>
      </c>
      <c r="M1420" s="58">
        <f>VLOOKUP(D1420,'TABELA DE PRECOS'!B:C,2,0)</f>
        <v>41.117600000000003</v>
      </c>
    </row>
    <row r="1421" spans="1:13" ht="15.75" customHeight="1" x14ac:dyDescent="0.25">
      <c r="A1421" s="65">
        <v>2</v>
      </c>
      <c r="B1421" s="84" t="s">
        <v>1402</v>
      </c>
      <c r="C1421" s="73">
        <v>1</v>
      </c>
      <c r="D1421" s="84" t="s">
        <v>1403</v>
      </c>
      <c r="E1421" s="86" t="s">
        <v>131</v>
      </c>
      <c r="F1421" s="85">
        <v>81897710034</v>
      </c>
      <c r="G1421" s="71">
        <f t="shared" si="127"/>
        <v>79.656080000000003</v>
      </c>
      <c r="H1421" s="71">
        <f t="shared" si="128"/>
        <v>79.656080000000003</v>
      </c>
      <c r="I1421" s="71">
        <f t="shared" si="129"/>
        <v>79.656080000000003</v>
      </c>
      <c r="J1421" s="71">
        <f t="shared" si="130"/>
        <v>79.656080000000003</v>
      </c>
      <c r="K1421" s="72">
        <v>0</v>
      </c>
      <c r="M1421" s="58">
        <f>VLOOKUP(D1421,'TABELA DE PRECOS'!B:C,2,0)</f>
        <v>79.656080000000003</v>
      </c>
    </row>
    <row r="1422" spans="1:13" ht="15.75" customHeight="1" x14ac:dyDescent="0.25">
      <c r="A1422" s="65">
        <v>3</v>
      </c>
      <c r="B1422" s="84" t="s">
        <v>1404</v>
      </c>
      <c r="C1422" s="73">
        <v>1</v>
      </c>
      <c r="D1422" s="84" t="s">
        <v>1405</v>
      </c>
      <c r="E1422" s="86" t="s">
        <v>131</v>
      </c>
      <c r="F1422" s="85">
        <v>81897710034</v>
      </c>
      <c r="G1422" s="71">
        <f t="shared" si="127"/>
        <v>79.656080000000003</v>
      </c>
      <c r="H1422" s="71">
        <f t="shared" si="128"/>
        <v>79.656080000000003</v>
      </c>
      <c r="I1422" s="71">
        <f t="shared" si="129"/>
        <v>79.656080000000003</v>
      </c>
      <c r="J1422" s="71">
        <f t="shared" si="130"/>
        <v>79.656080000000003</v>
      </c>
      <c r="K1422" s="72">
        <v>0</v>
      </c>
      <c r="M1422" s="58">
        <f>VLOOKUP(D1422,'TABELA DE PRECOS'!B:C,2,0)</f>
        <v>79.656080000000003</v>
      </c>
    </row>
    <row r="1423" spans="1:13" ht="15.75" customHeight="1" x14ac:dyDescent="0.25">
      <c r="A1423" s="65">
        <v>4</v>
      </c>
      <c r="B1423" s="84" t="s">
        <v>1406</v>
      </c>
      <c r="C1423" s="73">
        <v>1</v>
      </c>
      <c r="D1423" s="84" t="s">
        <v>1407</v>
      </c>
      <c r="E1423" s="86" t="s">
        <v>131</v>
      </c>
      <c r="F1423" s="85">
        <v>81897710034</v>
      </c>
      <c r="G1423" s="71">
        <f t="shared" si="127"/>
        <v>79.656080000000003</v>
      </c>
      <c r="H1423" s="71">
        <f t="shared" si="128"/>
        <v>79.656080000000003</v>
      </c>
      <c r="I1423" s="71">
        <f t="shared" si="129"/>
        <v>79.656080000000003</v>
      </c>
      <c r="J1423" s="71">
        <f t="shared" si="130"/>
        <v>79.656080000000003</v>
      </c>
      <c r="K1423" s="72">
        <v>0</v>
      </c>
      <c r="M1423" s="58">
        <f>VLOOKUP(D1423,'TABELA DE PRECOS'!B:C,2,0)</f>
        <v>79.656080000000003</v>
      </c>
    </row>
    <row r="1424" spans="1:13" ht="15.75" customHeight="1" x14ac:dyDescent="0.25">
      <c r="A1424" s="65">
        <v>5</v>
      </c>
      <c r="B1424" s="84" t="s">
        <v>1408</v>
      </c>
      <c r="C1424" s="73">
        <v>1</v>
      </c>
      <c r="D1424" s="84" t="s">
        <v>1409</v>
      </c>
      <c r="E1424" s="86" t="s">
        <v>131</v>
      </c>
      <c r="F1424" s="85">
        <v>81897710042</v>
      </c>
      <c r="G1424" s="71">
        <f t="shared" si="127"/>
        <v>66.472080000000005</v>
      </c>
      <c r="H1424" s="71">
        <f t="shared" si="128"/>
        <v>66.472080000000005</v>
      </c>
      <c r="I1424" s="71">
        <f t="shared" si="129"/>
        <v>66.472080000000005</v>
      </c>
      <c r="J1424" s="71">
        <f t="shared" si="130"/>
        <v>66.472080000000005</v>
      </c>
      <c r="K1424" s="72">
        <v>0</v>
      </c>
      <c r="M1424" s="58">
        <f>VLOOKUP(D1424,'TABELA DE PRECOS'!B:C,2,0)</f>
        <v>66.472080000000005</v>
      </c>
    </row>
    <row r="1425" spans="1:13" ht="15.75" customHeight="1" x14ac:dyDescent="0.25">
      <c r="A1425" s="65">
        <v>6</v>
      </c>
      <c r="B1425" s="84" t="s">
        <v>1410</v>
      </c>
      <c r="C1425" s="73">
        <v>1</v>
      </c>
      <c r="D1425" s="84" t="s">
        <v>1411</v>
      </c>
      <c r="E1425" s="86" t="s">
        <v>131</v>
      </c>
      <c r="F1425" s="85">
        <v>81897710042</v>
      </c>
      <c r="G1425" s="71">
        <f t="shared" si="127"/>
        <v>66.472080000000005</v>
      </c>
      <c r="H1425" s="71">
        <f t="shared" si="128"/>
        <v>66.472080000000005</v>
      </c>
      <c r="I1425" s="71">
        <f t="shared" si="129"/>
        <v>66.472080000000005</v>
      </c>
      <c r="J1425" s="71">
        <f t="shared" si="130"/>
        <v>66.472080000000005</v>
      </c>
      <c r="K1425" s="72">
        <v>0</v>
      </c>
      <c r="M1425" s="58">
        <f>VLOOKUP(D1425,'TABELA DE PRECOS'!B:C,2,0)</f>
        <v>66.472080000000005</v>
      </c>
    </row>
    <row r="1426" spans="1:13" ht="15.75" customHeight="1" x14ac:dyDescent="0.25">
      <c r="A1426" s="65">
        <v>7</v>
      </c>
      <c r="B1426" s="84" t="s">
        <v>1412</v>
      </c>
      <c r="C1426" s="73">
        <v>1</v>
      </c>
      <c r="D1426" s="84" t="s">
        <v>1413</v>
      </c>
      <c r="E1426" s="86" t="s">
        <v>131</v>
      </c>
      <c r="F1426" s="85">
        <v>81897710042</v>
      </c>
      <c r="G1426" s="71">
        <f t="shared" si="127"/>
        <v>60.423920000000003</v>
      </c>
      <c r="H1426" s="71">
        <f t="shared" si="128"/>
        <v>60.423920000000003</v>
      </c>
      <c r="I1426" s="71">
        <f t="shared" si="129"/>
        <v>60.423920000000003</v>
      </c>
      <c r="J1426" s="71">
        <f t="shared" si="130"/>
        <v>60.423920000000003</v>
      </c>
      <c r="K1426" s="72">
        <v>0</v>
      </c>
      <c r="M1426" s="58">
        <f>VLOOKUP(D1426,'TABELA DE PRECOS'!B:C,2,0)</f>
        <v>60.423920000000003</v>
      </c>
    </row>
    <row r="1427" spans="1:13" ht="15.75" customHeight="1" x14ac:dyDescent="0.25">
      <c r="A1427" s="65">
        <v>8</v>
      </c>
      <c r="B1427" s="84" t="s">
        <v>1414</v>
      </c>
      <c r="C1427" s="73">
        <v>1</v>
      </c>
      <c r="D1427" s="84" t="s">
        <v>1411</v>
      </c>
      <c r="E1427" s="86" t="s">
        <v>131</v>
      </c>
      <c r="F1427" s="85">
        <v>81897710042</v>
      </c>
      <c r="G1427" s="71">
        <f t="shared" si="127"/>
        <v>66.472080000000005</v>
      </c>
      <c r="H1427" s="71">
        <f t="shared" si="128"/>
        <v>66.472080000000005</v>
      </c>
      <c r="I1427" s="71">
        <f t="shared" si="129"/>
        <v>66.472080000000005</v>
      </c>
      <c r="J1427" s="71">
        <f t="shared" si="130"/>
        <v>66.472080000000005</v>
      </c>
      <c r="K1427" s="72">
        <v>0</v>
      </c>
      <c r="M1427" s="58">
        <f>VLOOKUP(D1427,'TABELA DE PRECOS'!B:C,2,0)</f>
        <v>66.472080000000005</v>
      </c>
    </row>
    <row r="1428" spans="1:13" ht="15.75" customHeight="1" x14ac:dyDescent="0.25">
      <c r="A1428" s="65">
        <v>9</v>
      </c>
      <c r="B1428" s="84" t="s">
        <v>809</v>
      </c>
      <c r="C1428" s="73">
        <v>1</v>
      </c>
      <c r="D1428" s="85" t="s">
        <v>810</v>
      </c>
      <c r="E1428" s="86" t="s">
        <v>131</v>
      </c>
      <c r="F1428" s="85" t="s">
        <v>223</v>
      </c>
      <c r="G1428" s="71">
        <f t="shared" si="127"/>
        <v>452.58199999999999</v>
      </c>
      <c r="H1428" s="71">
        <f t="shared" si="128"/>
        <v>452.58199999999999</v>
      </c>
      <c r="I1428" s="71">
        <f t="shared" si="129"/>
        <v>452.58199999999999</v>
      </c>
      <c r="J1428" s="71">
        <f t="shared" si="130"/>
        <v>452.58199999999999</v>
      </c>
      <c r="K1428" s="72">
        <v>0</v>
      </c>
      <c r="M1428" s="58">
        <f>VLOOKUP(D1428,'TABELA DE PRECOS'!B:C,2,0)</f>
        <v>452.58199999999999</v>
      </c>
    </row>
    <row r="1429" spans="1:13" ht="15.75" customHeight="1" x14ac:dyDescent="0.25">
      <c r="A1429" s="65">
        <v>10</v>
      </c>
      <c r="B1429" s="84" t="s">
        <v>811</v>
      </c>
      <c r="C1429" s="73">
        <v>1</v>
      </c>
      <c r="D1429" s="85" t="s">
        <v>812</v>
      </c>
      <c r="E1429" s="86" t="s">
        <v>131</v>
      </c>
      <c r="F1429" s="85" t="s">
        <v>223</v>
      </c>
      <c r="G1429" s="71">
        <f t="shared" si="127"/>
        <v>593.5</v>
      </c>
      <c r="H1429" s="71">
        <f t="shared" si="128"/>
        <v>593.5</v>
      </c>
      <c r="I1429" s="71">
        <f t="shared" si="129"/>
        <v>593.5</v>
      </c>
      <c r="J1429" s="71">
        <f t="shared" si="130"/>
        <v>593.5</v>
      </c>
      <c r="K1429" s="72">
        <v>0</v>
      </c>
      <c r="M1429" s="58">
        <f>VLOOKUP(D1429,'TABELA DE PRECOS'!B:C,2,0)</f>
        <v>593.5</v>
      </c>
    </row>
    <row r="1430" spans="1:13" ht="15.75" customHeight="1" x14ac:dyDescent="0.25">
      <c r="A1430" s="65">
        <v>11</v>
      </c>
      <c r="B1430" s="84" t="s">
        <v>376</v>
      </c>
      <c r="C1430" s="73">
        <v>1</v>
      </c>
      <c r="D1430" s="85" t="s">
        <v>377</v>
      </c>
      <c r="E1430" s="86" t="s">
        <v>131</v>
      </c>
      <c r="F1430" s="85" t="s">
        <v>223</v>
      </c>
      <c r="G1430" s="71">
        <f t="shared" si="127"/>
        <v>514.57000000000005</v>
      </c>
      <c r="H1430" s="71">
        <f t="shared" si="128"/>
        <v>514.57000000000005</v>
      </c>
      <c r="I1430" s="71">
        <f t="shared" si="129"/>
        <v>514.57000000000005</v>
      </c>
      <c r="J1430" s="71">
        <f t="shared" si="130"/>
        <v>514.57000000000005</v>
      </c>
      <c r="K1430" s="72">
        <v>0</v>
      </c>
      <c r="M1430" s="58">
        <f>VLOOKUP(D1430,'TABELA DE PRECOS'!B:C,2,0)</f>
        <v>514.57000000000005</v>
      </c>
    </row>
    <row r="1431" spans="1:13" ht="15.75" customHeight="1" x14ac:dyDescent="0.25">
      <c r="A1431" s="65">
        <v>12</v>
      </c>
      <c r="B1431" s="84" t="s">
        <v>378</v>
      </c>
      <c r="C1431" s="73">
        <v>2</v>
      </c>
      <c r="D1431" s="85" t="s">
        <v>379</v>
      </c>
      <c r="E1431" s="86" t="s">
        <v>131</v>
      </c>
      <c r="F1431" s="85" t="s">
        <v>223</v>
      </c>
      <c r="G1431" s="71">
        <f t="shared" si="127"/>
        <v>9.18</v>
      </c>
      <c r="H1431" s="71">
        <f t="shared" si="128"/>
        <v>18.36</v>
      </c>
      <c r="I1431" s="71">
        <f t="shared" si="129"/>
        <v>9.18</v>
      </c>
      <c r="J1431" s="71">
        <f t="shared" si="130"/>
        <v>18.36</v>
      </c>
      <c r="K1431" s="72">
        <v>0</v>
      </c>
      <c r="L1431" s="63"/>
      <c r="M1431" s="58">
        <f>VLOOKUP(D1431,'TABELA DE PRECOS'!B:C,2,0)</f>
        <v>9.18</v>
      </c>
    </row>
    <row r="1432" spans="1:13" ht="15.75" customHeight="1" x14ac:dyDescent="0.25">
      <c r="A1432" s="78"/>
      <c r="B1432" s="79" t="s">
        <v>224</v>
      </c>
      <c r="C1432" s="79">
        <f>SUM(C1420:C1431)</f>
        <v>13</v>
      </c>
      <c r="D1432" s="79"/>
      <c r="E1432" s="79"/>
      <c r="F1432" s="79"/>
      <c r="G1432" s="80"/>
      <c r="H1432" s="80">
        <f>SUM(H1420:H1431)</f>
        <v>2118.9380000000001</v>
      </c>
      <c r="I1432" s="79"/>
      <c r="J1432" s="80">
        <f>SUM(J1420:J1431)</f>
        <v>2118.9380000000001</v>
      </c>
      <c r="K1432" s="81"/>
      <c r="M1432" s="58" t="e">
        <f>VLOOKUP(D1432,'TABELA DE PRECOS'!B:C,2,0)</f>
        <v>#N/A</v>
      </c>
    </row>
    <row r="1433" spans="1:13" ht="15.75" customHeight="1" x14ac:dyDescent="0.25">
      <c r="A1433" s="56"/>
      <c r="B1433" s="49" t="s">
        <v>15</v>
      </c>
      <c r="C1433" s="57"/>
      <c r="G1433" s="58"/>
      <c r="H1433" s="58"/>
      <c r="I1433" s="58"/>
      <c r="J1433" s="58"/>
      <c r="K1433" s="59"/>
      <c r="M1433" s="58" t="e">
        <f>VLOOKUP(D1433,'TABELA DE PRECOS'!B:C,2,0)</f>
        <v>#N/A</v>
      </c>
    </row>
    <row r="1434" spans="1:13" ht="15.75" customHeight="1" x14ac:dyDescent="0.25">
      <c r="A1434" s="56"/>
      <c r="B1434" s="18" t="s">
        <v>1415</v>
      </c>
      <c r="C1434" s="57"/>
      <c r="G1434" s="58"/>
      <c r="H1434" s="58"/>
      <c r="I1434" s="58"/>
      <c r="J1434" s="58"/>
      <c r="K1434" s="59"/>
      <c r="M1434" s="58" t="e">
        <f>VLOOKUP(D1434,'TABELA DE PRECOS'!B:C,2,0)</f>
        <v>#N/A</v>
      </c>
    </row>
    <row r="1435" spans="1:13" ht="15.75" customHeight="1" x14ac:dyDescent="0.25">
      <c r="A1435" s="18" t="s">
        <v>119</v>
      </c>
      <c r="B1435" s="18" t="s">
        <v>120</v>
      </c>
      <c r="C1435" s="18" t="s">
        <v>21</v>
      </c>
      <c r="D1435" s="18" t="s">
        <v>121</v>
      </c>
      <c r="E1435" s="60" t="s">
        <v>122</v>
      </c>
      <c r="F1435" s="18" t="s">
        <v>123</v>
      </c>
      <c r="G1435" s="61" t="s">
        <v>22</v>
      </c>
      <c r="H1435" s="18" t="s">
        <v>23</v>
      </c>
      <c r="I1435" s="18" t="s">
        <v>24</v>
      </c>
      <c r="J1435" s="18" t="s">
        <v>25</v>
      </c>
      <c r="K1435" s="62" t="s">
        <v>26</v>
      </c>
      <c r="M1435" s="58" t="str">
        <f>VLOOKUP(D1435,'TABELA DE PRECOS'!B:C,2,0)</f>
        <v>Valor Unit Bruto</v>
      </c>
    </row>
    <row r="1436" spans="1:13" ht="15.75" customHeight="1" x14ac:dyDescent="0.25">
      <c r="A1436" s="65">
        <v>1</v>
      </c>
      <c r="B1436" s="84" t="s">
        <v>1416</v>
      </c>
      <c r="C1436" s="73">
        <v>1</v>
      </c>
      <c r="D1436" s="49" t="s">
        <v>1417</v>
      </c>
      <c r="E1436" s="86" t="s">
        <v>131</v>
      </c>
      <c r="F1436" s="85">
        <v>81897710023</v>
      </c>
      <c r="G1436" s="71">
        <f t="shared" ref="G1436:G1463" si="131">M1436</f>
        <v>67.823440000000005</v>
      </c>
      <c r="H1436" s="71">
        <f t="shared" ref="H1436:H1463" si="132">G1436*C1436</f>
        <v>67.823440000000005</v>
      </c>
      <c r="I1436" s="71">
        <f t="shared" ref="I1436:I1463" si="133">G1436</f>
        <v>67.823440000000005</v>
      </c>
      <c r="J1436" s="71">
        <f t="shared" ref="J1436:J1463" si="134">I1436*C1436</f>
        <v>67.823440000000005</v>
      </c>
      <c r="K1436" s="72">
        <v>0</v>
      </c>
      <c r="M1436" s="58">
        <f>VLOOKUP(D1436,'TABELA DE PRECOS'!B:C,2,0)</f>
        <v>67.823440000000005</v>
      </c>
    </row>
    <row r="1437" spans="1:13" ht="15.75" customHeight="1" x14ac:dyDescent="0.25">
      <c r="A1437" s="65">
        <v>2</v>
      </c>
      <c r="B1437" s="66" t="s">
        <v>300</v>
      </c>
      <c r="C1437" s="82">
        <v>1</v>
      </c>
      <c r="D1437" s="76" t="s">
        <v>301</v>
      </c>
      <c r="E1437" s="69" t="s">
        <v>131</v>
      </c>
      <c r="F1437" s="76">
        <v>81897719002</v>
      </c>
      <c r="G1437" s="87">
        <f t="shared" si="131"/>
        <v>9.4</v>
      </c>
      <c r="H1437" s="71">
        <f t="shared" si="132"/>
        <v>9.4</v>
      </c>
      <c r="I1437" s="71">
        <f t="shared" si="133"/>
        <v>9.4</v>
      </c>
      <c r="J1437" s="71">
        <f t="shared" si="134"/>
        <v>9.4</v>
      </c>
      <c r="K1437" s="72">
        <v>0</v>
      </c>
      <c r="M1437" s="58">
        <f>VLOOKUP(D1437,'TABELA DE PRECOS'!B:C,2,0)</f>
        <v>9.4</v>
      </c>
    </row>
    <row r="1438" spans="1:13" ht="15.75" customHeight="1" x14ac:dyDescent="0.25">
      <c r="A1438" s="65">
        <v>3</v>
      </c>
      <c r="B1438" s="66" t="s">
        <v>137</v>
      </c>
      <c r="C1438" s="82">
        <v>1</v>
      </c>
      <c r="D1438" s="76" t="s">
        <v>138</v>
      </c>
      <c r="E1438" s="69" t="s">
        <v>131</v>
      </c>
      <c r="F1438" s="76">
        <v>81897719002</v>
      </c>
      <c r="G1438" s="87">
        <f t="shared" si="131"/>
        <v>8.25</v>
      </c>
      <c r="H1438" s="71">
        <f t="shared" si="132"/>
        <v>8.25</v>
      </c>
      <c r="I1438" s="71">
        <f t="shared" si="133"/>
        <v>8.25</v>
      </c>
      <c r="J1438" s="71">
        <f t="shared" si="134"/>
        <v>8.25</v>
      </c>
      <c r="K1438" s="72">
        <v>0</v>
      </c>
      <c r="M1438" s="58">
        <f>VLOOKUP(D1438,'TABELA DE PRECOS'!B:C,2,0)</f>
        <v>8.25</v>
      </c>
    </row>
    <row r="1439" spans="1:13" ht="15.75" customHeight="1" x14ac:dyDescent="0.25">
      <c r="A1439" s="65">
        <v>4</v>
      </c>
      <c r="B1439" s="66" t="s">
        <v>1418</v>
      </c>
      <c r="C1439" s="82">
        <v>1</v>
      </c>
      <c r="D1439" s="109" t="s">
        <v>1419</v>
      </c>
      <c r="E1439" s="69" t="s">
        <v>439</v>
      </c>
      <c r="F1439" s="76">
        <v>81087610008</v>
      </c>
      <c r="G1439" s="87">
        <f t="shared" si="131"/>
        <v>52.76</v>
      </c>
      <c r="H1439" s="71">
        <f t="shared" si="132"/>
        <v>52.76</v>
      </c>
      <c r="I1439" s="71">
        <f t="shared" si="133"/>
        <v>52.76</v>
      </c>
      <c r="J1439" s="71">
        <f t="shared" si="134"/>
        <v>52.76</v>
      </c>
      <c r="K1439" s="72">
        <v>0</v>
      </c>
      <c r="M1439" s="58">
        <f>VLOOKUP(D1439,'TABELA DE PRECOS'!B:C,2,0)</f>
        <v>52.76</v>
      </c>
    </row>
    <row r="1440" spans="1:13" ht="15.75" customHeight="1" x14ac:dyDescent="0.25">
      <c r="A1440" s="65">
        <v>5</v>
      </c>
      <c r="B1440" s="66" t="s">
        <v>476</v>
      </c>
      <c r="C1440" s="82">
        <v>2</v>
      </c>
      <c r="D1440" s="76" t="s">
        <v>477</v>
      </c>
      <c r="E1440" s="69" t="s">
        <v>131</v>
      </c>
      <c r="F1440" s="76">
        <v>81897719002</v>
      </c>
      <c r="G1440" s="87">
        <f t="shared" si="131"/>
        <v>14.56128</v>
      </c>
      <c r="H1440" s="71">
        <f t="shared" si="132"/>
        <v>29.12256</v>
      </c>
      <c r="I1440" s="71">
        <f t="shared" si="133"/>
        <v>14.56128</v>
      </c>
      <c r="J1440" s="71">
        <f t="shared" si="134"/>
        <v>29.12256</v>
      </c>
      <c r="K1440" s="72">
        <v>0</v>
      </c>
      <c r="M1440" s="58">
        <f>VLOOKUP(D1440,'TABELA DE PRECOS'!B:C,2,0)</f>
        <v>14.56128</v>
      </c>
    </row>
    <row r="1441" spans="1:13" ht="15.75" customHeight="1" x14ac:dyDescent="0.25">
      <c r="A1441" s="65">
        <v>6</v>
      </c>
      <c r="B1441" s="66" t="s">
        <v>1420</v>
      </c>
      <c r="C1441" s="82">
        <v>1</v>
      </c>
      <c r="D1441" s="66" t="s">
        <v>1421</v>
      </c>
      <c r="E1441" s="69" t="s">
        <v>131</v>
      </c>
      <c r="F1441" s="76">
        <v>81897719006</v>
      </c>
      <c r="G1441" s="87">
        <f t="shared" si="131"/>
        <v>19.841919999999998</v>
      </c>
      <c r="H1441" s="71">
        <f t="shared" si="132"/>
        <v>19.841919999999998</v>
      </c>
      <c r="I1441" s="71">
        <f t="shared" si="133"/>
        <v>19.841919999999998</v>
      </c>
      <c r="J1441" s="71">
        <f t="shared" si="134"/>
        <v>19.841919999999998</v>
      </c>
      <c r="K1441" s="72">
        <v>0</v>
      </c>
      <c r="M1441" s="58">
        <f>VLOOKUP(D1441,'TABELA DE PRECOS'!B:C,2,0)</f>
        <v>19.841919999999998</v>
      </c>
    </row>
    <row r="1442" spans="1:13" ht="15.75" customHeight="1" x14ac:dyDescent="0.25">
      <c r="A1442" s="65">
        <v>7</v>
      </c>
      <c r="B1442" s="66" t="s">
        <v>1422</v>
      </c>
      <c r="C1442" s="82">
        <v>2</v>
      </c>
      <c r="D1442" s="76" t="s">
        <v>1423</v>
      </c>
      <c r="E1442" s="69" t="s">
        <v>131</v>
      </c>
      <c r="F1442" s="76">
        <v>81897719002</v>
      </c>
      <c r="G1442" s="87">
        <f t="shared" si="131"/>
        <v>7.13584</v>
      </c>
      <c r="H1442" s="71">
        <f t="shared" si="132"/>
        <v>14.27168</v>
      </c>
      <c r="I1442" s="71">
        <f t="shared" si="133"/>
        <v>7.13584</v>
      </c>
      <c r="J1442" s="71">
        <f t="shared" si="134"/>
        <v>14.27168</v>
      </c>
      <c r="K1442" s="72">
        <v>0</v>
      </c>
      <c r="M1442" s="58">
        <f>VLOOKUP(D1442,'TABELA DE PRECOS'!B:C,2,0)</f>
        <v>7.13584</v>
      </c>
    </row>
    <row r="1443" spans="1:13" ht="15.75" customHeight="1" x14ac:dyDescent="0.25">
      <c r="A1443" s="65">
        <v>8</v>
      </c>
      <c r="B1443" s="66" t="s">
        <v>1424</v>
      </c>
      <c r="C1443" s="82">
        <v>1</v>
      </c>
      <c r="D1443" s="76" t="s">
        <v>1425</v>
      </c>
      <c r="E1443" s="69" t="s">
        <v>131</v>
      </c>
      <c r="F1443" s="76">
        <v>81897719002</v>
      </c>
      <c r="G1443" s="87">
        <f t="shared" si="131"/>
        <v>9.6572800000000019</v>
      </c>
      <c r="H1443" s="71">
        <f t="shared" si="132"/>
        <v>9.6572800000000019</v>
      </c>
      <c r="I1443" s="71">
        <f t="shared" si="133"/>
        <v>9.6572800000000019</v>
      </c>
      <c r="J1443" s="71">
        <f t="shared" si="134"/>
        <v>9.6572800000000019</v>
      </c>
      <c r="K1443" s="72">
        <v>0</v>
      </c>
      <c r="L1443" s="63"/>
      <c r="M1443" s="58">
        <f>VLOOKUP(D1443,'TABELA DE PRECOS'!B:C,2,0)</f>
        <v>9.6572800000000019</v>
      </c>
    </row>
    <row r="1444" spans="1:13" ht="15.75" customHeight="1" x14ac:dyDescent="0.25">
      <c r="A1444" s="65">
        <v>9</v>
      </c>
      <c r="B1444" s="66" t="s">
        <v>482</v>
      </c>
      <c r="C1444" s="82">
        <v>1</v>
      </c>
      <c r="D1444" s="76" t="s">
        <v>483</v>
      </c>
      <c r="E1444" s="69" t="s">
        <v>131</v>
      </c>
      <c r="F1444" s="76">
        <v>81897719002</v>
      </c>
      <c r="G1444" s="87">
        <f t="shared" si="131"/>
        <v>7.5643199999999995</v>
      </c>
      <c r="H1444" s="71">
        <f t="shared" si="132"/>
        <v>7.5643199999999995</v>
      </c>
      <c r="I1444" s="71">
        <f t="shared" si="133"/>
        <v>7.5643199999999995</v>
      </c>
      <c r="J1444" s="71">
        <f t="shared" si="134"/>
        <v>7.5643199999999995</v>
      </c>
      <c r="K1444" s="72">
        <v>0</v>
      </c>
      <c r="M1444" s="58">
        <f>VLOOKUP(D1444,'TABELA DE PRECOS'!B:C,2,0)</f>
        <v>7.5643199999999995</v>
      </c>
    </row>
    <row r="1445" spans="1:13" ht="15.75" customHeight="1" x14ac:dyDescent="0.25">
      <c r="A1445" s="65">
        <v>10</v>
      </c>
      <c r="B1445" s="66" t="s">
        <v>397</v>
      </c>
      <c r="C1445" s="82">
        <v>2</v>
      </c>
      <c r="D1445" s="76" t="s">
        <v>398</v>
      </c>
      <c r="E1445" s="69" t="s">
        <v>131</v>
      </c>
      <c r="F1445" s="76">
        <v>81897719002</v>
      </c>
      <c r="G1445" s="87">
        <f t="shared" si="131"/>
        <v>9.19</v>
      </c>
      <c r="H1445" s="71">
        <f t="shared" si="132"/>
        <v>18.38</v>
      </c>
      <c r="I1445" s="71">
        <f t="shared" si="133"/>
        <v>9.19</v>
      </c>
      <c r="J1445" s="71">
        <f t="shared" si="134"/>
        <v>18.38</v>
      </c>
      <c r="K1445" s="72">
        <v>0</v>
      </c>
      <c r="M1445" s="58">
        <f>VLOOKUP(D1445,'TABELA DE PRECOS'!B:C,2,0)</f>
        <v>9.19</v>
      </c>
    </row>
    <row r="1446" spans="1:13" ht="15.75" customHeight="1" x14ac:dyDescent="0.25">
      <c r="A1446" s="65">
        <v>11</v>
      </c>
      <c r="B1446" s="66" t="s">
        <v>324</v>
      </c>
      <c r="C1446" s="82">
        <v>4</v>
      </c>
      <c r="D1446" s="76" t="s">
        <v>325</v>
      </c>
      <c r="E1446" s="69" t="s">
        <v>131</v>
      </c>
      <c r="F1446" s="76">
        <v>81897719002</v>
      </c>
      <c r="G1446" s="87">
        <f t="shared" si="131"/>
        <v>23.7636</v>
      </c>
      <c r="H1446" s="71">
        <f t="shared" si="132"/>
        <v>95.054400000000001</v>
      </c>
      <c r="I1446" s="71">
        <f t="shared" si="133"/>
        <v>23.7636</v>
      </c>
      <c r="J1446" s="71">
        <f t="shared" si="134"/>
        <v>95.054400000000001</v>
      </c>
      <c r="K1446" s="72">
        <v>0</v>
      </c>
      <c r="M1446" s="58">
        <f>VLOOKUP(D1446,'TABELA DE PRECOS'!B:C,2,0)</f>
        <v>23.7636</v>
      </c>
    </row>
    <row r="1447" spans="1:13" ht="15.75" customHeight="1" x14ac:dyDescent="0.25">
      <c r="A1447" s="65">
        <v>12</v>
      </c>
      <c r="B1447" s="66" t="s">
        <v>457</v>
      </c>
      <c r="C1447" s="82">
        <v>3</v>
      </c>
      <c r="D1447" s="76" t="s">
        <v>458</v>
      </c>
      <c r="E1447" s="69" t="s">
        <v>131</v>
      </c>
      <c r="F1447" s="76">
        <v>81897719002</v>
      </c>
      <c r="G1447" s="87">
        <f t="shared" si="131"/>
        <v>15.81</v>
      </c>
      <c r="H1447" s="71">
        <f t="shared" si="132"/>
        <v>47.43</v>
      </c>
      <c r="I1447" s="71">
        <f t="shared" si="133"/>
        <v>15.81</v>
      </c>
      <c r="J1447" s="71">
        <f t="shared" si="134"/>
        <v>47.43</v>
      </c>
      <c r="K1447" s="72">
        <v>0</v>
      </c>
      <c r="M1447" s="58">
        <f>VLOOKUP(D1447,'TABELA DE PRECOS'!B:C,2,0)</f>
        <v>15.81</v>
      </c>
    </row>
    <row r="1448" spans="1:13" ht="15.75" customHeight="1" x14ac:dyDescent="0.25">
      <c r="A1448" s="65">
        <v>13</v>
      </c>
      <c r="B1448" s="66" t="s">
        <v>356</v>
      </c>
      <c r="C1448" s="82">
        <v>1</v>
      </c>
      <c r="D1448" s="76" t="s">
        <v>357</v>
      </c>
      <c r="E1448" s="69" t="s">
        <v>131</v>
      </c>
      <c r="F1448" s="76">
        <v>81897719002</v>
      </c>
      <c r="G1448" s="87">
        <f t="shared" si="131"/>
        <v>19.04</v>
      </c>
      <c r="H1448" s="71">
        <f t="shared" si="132"/>
        <v>19.04</v>
      </c>
      <c r="I1448" s="71">
        <f t="shared" si="133"/>
        <v>19.04</v>
      </c>
      <c r="J1448" s="71">
        <f t="shared" si="134"/>
        <v>19.04</v>
      </c>
      <c r="K1448" s="72">
        <v>0</v>
      </c>
      <c r="M1448" s="58">
        <f>VLOOKUP(D1448,'TABELA DE PRECOS'!B:C,2,0)</f>
        <v>19.04</v>
      </c>
    </row>
    <row r="1449" spans="1:13" ht="15.75" customHeight="1" x14ac:dyDescent="0.25">
      <c r="A1449" s="65">
        <v>14</v>
      </c>
      <c r="B1449" s="66" t="s">
        <v>1426</v>
      </c>
      <c r="C1449" s="82">
        <v>1</v>
      </c>
      <c r="D1449" s="75" t="s">
        <v>1427</v>
      </c>
      <c r="E1449" s="69" t="s">
        <v>131</v>
      </c>
      <c r="F1449" s="76">
        <v>81897710024</v>
      </c>
      <c r="G1449" s="87">
        <f t="shared" si="131"/>
        <v>42.032240000000002</v>
      </c>
      <c r="H1449" s="71">
        <f t="shared" si="132"/>
        <v>42.032240000000002</v>
      </c>
      <c r="I1449" s="71">
        <f t="shared" si="133"/>
        <v>42.032240000000002</v>
      </c>
      <c r="J1449" s="71">
        <f t="shared" si="134"/>
        <v>42.032240000000002</v>
      </c>
      <c r="K1449" s="72">
        <v>0</v>
      </c>
      <c r="M1449" s="58">
        <f>VLOOKUP(D1449,'TABELA DE PRECOS'!B:C,2,0)</f>
        <v>42.032240000000002</v>
      </c>
    </row>
    <row r="1450" spans="1:13" ht="15.75" customHeight="1" x14ac:dyDescent="0.25">
      <c r="A1450" s="65">
        <v>15</v>
      </c>
      <c r="B1450" s="66" t="s">
        <v>594</v>
      </c>
      <c r="C1450" s="82">
        <v>1</v>
      </c>
      <c r="D1450" s="76" t="s">
        <v>595</v>
      </c>
      <c r="E1450" s="69" t="s">
        <v>131</v>
      </c>
      <c r="F1450" s="76">
        <v>81897719003</v>
      </c>
      <c r="G1450" s="87">
        <f t="shared" si="131"/>
        <v>65.06</v>
      </c>
      <c r="H1450" s="71">
        <f t="shared" si="132"/>
        <v>65.06</v>
      </c>
      <c r="I1450" s="71">
        <f t="shared" si="133"/>
        <v>65.06</v>
      </c>
      <c r="J1450" s="71">
        <f t="shared" si="134"/>
        <v>65.06</v>
      </c>
      <c r="K1450" s="72">
        <v>0</v>
      </c>
      <c r="M1450" s="58">
        <f>VLOOKUP(D1450,'TABELA DE PRECOS'!B:C,2,0)</f>
        <v>65.06</v>
      </c>
    </row>
    <row r="1451" spans="1:13" ht="15.75" customHeight="1" x14ac:dyDescent="0.25">
      <c r="A1451" s="65">
        <v>16</v>
      </c>
      <c r="B1451" s="66" t="s">
        <v>258</v>
      </c>
      <c r="C1451" s="82">
        <v>1</v>
      </c>
      <c r="D1451" s="76" t="s">
        <v>259</v>
      </c>
      <c r="E1451" s="69" t="s">
        <v>131</v>
      </c>
      <c r="F1451" s="76">
        <v>81897719003</v>
      </c>
      <c r="G1451" s="87">
        <f t="shared" si="131"/>
        <v>101.56</v>
      </c>
      <c r="H1451" s="71">
        <f t="shared" si="132"/>
        <v>101.56</v>
      </c>
      <c r="I1451" s="71">
        <f t="shared" si="133"/>
        <v>101.56</v>
      </c>
      <c r="J1451" s="71">
        <f t="shared" si="134"/>
        <v>101.56</v>
      </c>
      <c r="K1451" s="72">
        <v>0</v>
      </c>
      <c r="M1451" s="58">
        <f>VLOOKUP(D1451,'TABELA DE PRECOS'!B:C,2,0)</f>
        <v>101.56</v>
      </c>
    </row>
    <row r="1452" spans="1:13" ht="15.75" customHeight="1" x14ac:dyDescent="0.25">
      <c r="A1452" s="65">
        <v>17</v>
      </c>
      <c r="B1452" s="66" t="s">
        <v>1428</v>
      </c>
      <c r="C1452" s="82">
        <v>1</v>
      </c>
      <c r="D1452" s="75" t="s">
        <v>1429</v>
      </c>
      <c r="E1452" s="69" t="s">
        <v>131</v>
      </c>
      <c r="F1452" s="76">
        <v>81897710012</v>
      </c>
      <c r="G1452" s="87">
        <f t="shared" si="131"/>
        <v>8.1081599999999998</v>
      </c>
      <c r="H1452" s="71">
        <f t="shared" si="132"/>
        <v>8.1081599999999998</v>
      </c>
      <c r="I1452" s="71">
        <f t="shared" si="133"/>
        <v>8.1081599999999998</v>
      </c>
      <c r="J1452" s="71">
        <f t="shared" si="134"/>
        <v>8.1081599999999998</v>
      </c>
      <c r="K1452" s="72">
        <v>0</v>
      </c>
      <c r="M1452" s="58">
        <f>VLOOKUP(D1452,'TABELA DE PRECOS'!B:C,2,0)</f>
        <v>8.1081599999999998</v>
      </c>
    </row>
    <row r="1453" spans="1:13" ht="15.75" customHeight="1" x14ac:dyDescent="0.25">
      <c r="A1453" s="65">
        <v>18</v>
      </c>
      <c r="B1453" s="66" t="s">
        <v>1430</v>
      </c>
      <c r="C1453" s="82">
        <v>1</v>
      </c>
      <c r="D1453" s="76" t="s">
        <v>1431</v>
      </c>
      <c r="E1453" s="69" t="s">
        <v>131</v>
      </c>
      <c r="F1453" s="76">
        <v>81897719002</v>
      </c>
      <c r="G1453" s="87">
        <f t="shared" si="131"/>
        <v>22.89</v>
      </c>
      <c r="H1453" s="71">
        <f t="shared" si="132"/>
        <v>22.89</v>
      </c>
      <c r="I1453" s="71">
        <f t="shared" si="133"/>
        <v>22.89</v>
      </c>
      <c r="J1453" s="71">
        <f t="shared" si="134"/>
        <v>22.89</v>
      </c>
      <c r="K1453" s="72">
        <v>0</v>
      </c>
      <c r="M1453" s="58">
        <f>VLOOKUP(D1453,'TABELA DE PRECOS'!B:C,2,0)</f>
        <v>22.89</v>
      </c>
    </row>
    <row r="1454" spans="1:13" ht="15.75" customHeight="1" x14ac:dyDescent="0.25">
      <c r="A1454" s="65">
        <v>19</v>
      </c>
      <c r="B1454" s="84" t="s">
        <v>488</v>
      </c>
      <c r="C1454" s="73">
        <v>1</v>
      </c>
      <c r="D1454" s="85" t="s">
        <v>489</v>
      </c>
      <c r="E1454" s="86" t="s">
        <v>131</v>
      </c>
      <c r="F1454" s="85">
        <v>81897719002</v>
      </c>
      <c r="G1454" s="71">
        <f t="shared" si="131"/>
        <v>11.81</v>
      </c>
      <c r="H1454" s="71">
        <f t="shared" si="132"/>
        <v>11.81</v>
      </c>
      <c r="I1454" s="71">
        <f t="shared" si="133"/>
        <v>11.81</v>
      </c>
      <c r="J1454" s="71">
        <f t="shared" si="134"/>
        <v>11.81</v>
      </c>
      <c r="K1454" s="72">
        <v>0</v>
      </c>
      <c r="M1454" s="58">
        <f>VLOOKUP(D1454,'TABELA DE PRECOS'!B:C,2,0)</f>
        <v>11.81</v>
      </c>
    </row>
    <row r="1455" spans="1:13" ht="15.75" customHeight="1" x14ac:dyDescent="0.25">
      <c r="A1455" s="65">
        <v>20</v>
      </c>
      <c r="B1455" s="84" t="s">
        <v>370</v>
      </c>
      <c r="C1455" s="73">
        <v>1</v>
      </c>
      <c r="D1455" s="85" t="s">
        <v>371</v>
      </c>
      <c r="E1455" s="86" t="s">
        <v>131</v>
      </c>
      <c r="F1455" s="85">
        <v>81897719002</v>
      </c>
      <c r="G1455" s="71">
        <f t="shared" si="131"/>
        <v>19.41</v>
      </c>
      <c r="H1455" s="71">
        <f t="shared" si="132"/>
        <v>19.41</v>
      </c>
      <c r="I1455" s="71">
        <f t="shared" si="133"/>
        <v>19.41</v>
      </c>
      <c r="J1455" s="71">
        <f t="shared" si="134"/>
        <v>19.41</v>
      </c>
      <c r="K1455" s="72">
        <v>0</v>
      </c>
      <c r="M1455" s="58">
        <f>VLOOKUP(D1455,'TABELA DE PRECOS'!B:C,2,0)</f>
        <v>19.41</v>
      </c>
    </row>
    <row r="1456" spans="1:13" ht="15.75" customHeight="1" x14ac:dyDescent="0.25">
      <c r="A1456" s="65">
        <v>21</v>
      </c>
      <c r="B1456" s="84" t="s">
        <v>213</v>
      </c>
      <c r="C1456" s="73">
        <v>1</v>
      </c>
      <c r="D1456" s="85" t="s">
        <v>214</v>
      </c>
      <c r="E1456" s="86" t="s">
        <v>131</v>
      </c>
      <c r="F1456" s="85">
        <v>81897719002</v>
      </c>
      <c r="G1456" s="71">
        <f t="shared" si="131"/>
        <v>21.989759999999997</v>
      </c>
      <c r="H1456" s="71">
        <f t="shared" si="132"/>
        <v>21.989759999999997</v>
      </c>
      <c r="I1456" s="71">
        <f t="shared" si="133"/>
        <v>21.989759999999997</v>
      </c>
      <c r="J1456" s="71">
        <f t="shared" si="134"/>
        <v>21.989759999999997</v>
      </c>
      <c r="K1456" s="72">
        <v>0</v>
      </c>
      <c r="M1456" s="58">
        <f>VLOOKUP(D1456,'TABELA DE PRECOS'!B:C,2,0)</f>
        <v>21.989759999999997</v>
      </c>
    </row>
    <row r="1457" spans="1:13" ht="15.75" customHeight="1" x14ac:dyDescent="0.25">
      <c r="A1457" s="65">
        <v>22</v>
      </c>
      <c r="B1457" s="84" t="s">
        <v>1432</v>
      </c>
      <c r="C1457" s="73">
        <v>1</v>
      </c>
      <c r="D1457" s="85" t="s">
        <v>1433</v>
      </c>
      <c r="E1457" s="86" t="s">
        <v>131</v>
      </c>
      <c r="F1457" s="85">
        <v>81897710017</v>
      </c>
      <c r="G1457" s="71">
        <f t="shared" si="131"/>
        <v>54.029679999999999</v>
      </c>
      <c r="H1457" s="71">
        <f t="shared" si="132"/>
        <v>54.029679999999999</v>
      </c>
      <c r="I1457" s="71">
        <f t="shared" si="133"/>
        <v>54.029679999999999</v>
      </c>
      <c r="J1457" s="71">
        <f t="shared" si="134"/>
        <v>54.029679999999999</v>
      </c>
      <c r="K1457" s="72">
        <v>0</v>
      </c>
      <c r="M1457" s="58">
        <f>VLOOKUP(D1457,'TABELA DE PRECOS'!B:C,2,0)</f>
        <v>54.029679999999999</v>
      </c>
    </row>
    <row r="1458" spans="1:13" ht="15.75" customHeight="1" x14ac:dyDescent="0.25">
      <c r="A1458" s="65">
        <v>23</v>
      </c>
      <c r="B1458" s="84" t="s">
        <v>1434</v>
      </c>
      <c r="C1458" s="73">
        <v>1</v>
      </c>
      <c r="D1458" s="85" t="s">
        <v>1435</v>
      </c>
      <c r="E1458" s="86" t="s">
        <v>131</v>
      </c>
      <c r="F1458" s="85">
        <v>81897710017</v>
      </c>
      <c r="G1458" s="71">
        <f t="shared" si="131"/>
        <v>51.788400000000003</v>
      </c>
      <c r="H1458" s="71">
        <f t="shared" si="132"/>
        <v>51.788400000000003</v>
      </c>
      <c r="I1458" s="71">
        <f t="shared" si="133"/>
        <v>51.788400000000003</v>
      </c>
      <c r="J1458" s="71">
        <f t="shared" si="134"/>
        <v>51.788400000000003</v>
      </c>
      <c r="K1458" s="72">
        <v>0</v>
      </c>
      <c r="M1458" s="58">
        <f>VLOOKUP(D1458,'TABELA DE PRECOS'!B:C,2,0)</f>
        <v>51.788400000000003</v>
      </c>
    </row>
    <row r="1459" spans="1:13" ht="15.75" customHeight="1" x14ac:dyDescent="0.25">
      <c r="A1459" s="65">
        <v>24</v>
      </c>
      <c r="B1459" s="84" t="s">
        <v>1436</v>
      </c>
      <c r="C1459" s="73">
        <v>1</v>
      </c>
      <c r="D1459" s="85" t="s">
        <v>1437</v>
      </c>
      <c r="E1459" s="86" t="s">
        <v>131</v>
      </c>
      <c r="F1459" s="85">
        <v>81897719002</v>
      </c>
      <c r="G1459" s="71">
        <f t="shared" si="131"/>
        <v>30.257279999999998</v>
      </c>
      <c r="H1459" s="71">
        <f t="shared" si="132"/>
        <v>30.257279999999998</v>
      </c>
      <c r="I1459" s="71">
        <f t="shared" si="133"/>
        <v>30.257279999999998</v>
      </c>
      <c r="J1459" s="71">
        <f t="shared" si="134"/>
        <v>30.257279999999998</v>
      </c>
      <c r="K1459" s="72">
        <v>0</v>
      </c>
      <c r="M1459" s="58">
        <f>VLOOKUP(D1459,'TABELA DE PRECOS'!B:C,2,0)</f>
        <v>30.257279999999998</v>
      </c>
    </row>
    <row r="1460" spans="1:13" ht="15.75" customHeight="1" x14ac:dyDescent="0.25">
      <c r="A1460" s="65">
        <v>25</v>
      </c>
      <c r="B1460" s="84" t="s">
        <v>536</v>
      </c>
      <c r="C1460" s="73">
        <v>1</v>
      </c>
      <c r="D1460" s="85" t="s">
        <v>537</v>
      </c>
      <c r="E1460" s="86" t="s">
        <v>131</v>
      </c>
      <c r="F1460" s="85" t="s">
        <v>223</v>
      </c>
      <c r="G1460" s="71">
        <f t="shared" si="131"/>
        <v>355.78</v>
      </c>
      <c r="H1460" s="71">
        <f t="shared" si="132"/>
        <v>355.78</v>
      </c>
      <c r="I1460" s="71">
        <f t="shared" si="133"/>
        <v>355.78</v>
      </c>
      <c r="J1460" s="71">
        <f t="shared" si="134"/>
        <v>355.78</v>
      </c>
      <c r="K1460" s="72">
        <v>0</v>
      </c>
      <c r="M1460" s="58">
        <f>VLOOKUP(D1460,'TABELA DE PRECOS'!B:C,2,0)</f>
        <v>355.78</v>
      </c>
    </row>
    <row r="1461" spans="1:13" ht="15.75" customHeight="1" x14ac:dyDescent="0.25">
      <c r="A1461" s="65">
        <v>26</v>
      </c>
      <c r="B1461" s="84" t="s">
        <v>534</v>
      </c>
      <c r="C1461" s="73">
        <v>1</v>
      </c>
      <c r="D1461" s="85" t="s">
        <v>535</v>
      </c>
      <c r="E1461" s="86" t="s">
        <v>131</v>
      </c>
      <c r="F1461" s="85" t="s">
        <v>223</v>
      </c>
      <c r="G1461" s="71">
        <f t="shared" si="131"/>
        <v>334.76</v>
      </c>
      <c r="H1461" s="71">
        <f t="shared" si="132"/>
        <v>334.76</v>
      </c>
      <c r="I1461" s="71">
        <f t="shared" si="133"/>
        <v>334.76</v>
      </c>
      <c r="J1461" s="71">
        <f t="shared" si="134"/>
        <v>334.76</v>
      </c>
      <c r="K1461" s="72">
        <v>0</v>
      </c>
      <c r="M1461" s="58">
        <f>VLOOKUP(D1461,'TABELA DE PRECOS'!B:C,2,0)</f>
        <v>334.76</v>
      </c>
    </row>
    <row r="1462" spans="1:13" ht="15.75" customHeight="1" x14ac:dyDescent="0.25">
      <c r="A1462" s="65">
        <v>27</v>
      </c>
      <c r="B1462" s="84" t="s">
        <v>496</v>
      </c>
      <c r="C1462" s="73">
        <v>1</v>
      </c>
      <c r="D1462" s="85" t="s">
        <v>497</v>
      </c>
      <c r="E1462" s="86" t="s">
        <v>131</v>
      </c>
      <c r="F1462" s="85" t="s">
        <v>223</v>
      </c>
      <c r="G1462" s="71">
        <f t="shared" si="131"/>
        <v>414.94</v>
      </c>
      <c r="H1462" s="71">
        <f t="shared" si="132"/>
        <v>414.94</v>
      </c>
      <c r="I1462" s="71">
        <f t="shared" si="133"/>
        <v>414.94</v>
      </c>
      <c r="J1462" s="71">
        <f t="shared" si="134"/>
        <v>414.94</v>
      </c>
      <c r="K1462" s="72">
        <v>0</v>
      </c>
      <c r="M1462" s="58">
        <f>VLOOKUP(D1462,'TABELA DE PRECOS'!B:C,2,0)</f>
        <v>414.94</v>
      </c>
    </row>
    <row r="1463" spans="1:13" ht="15.75" customHeight="1" x14ac:dyDescent="0.25">
      <c r="A1463" s="65">
        <v>28</v>
      </c>
      <c r="B1463" s="84" t="s">
        <v>1438</v>
      </c>
      <c r="C1463" s="73">
        <v>2</v>
      </c>
      <c r="D1463" s="85" t="s">
        <v>1439</v>
      </c>
      <c r="E1463" s="86" t="s">
        <v>131</v>
      </c>
      <c r="F1463" s="85" t="s">
        <v>223</v>
      </c>
      <c r="G1463" s="71">
        <f t="shared" si="131"/>
        <v>9.18</v>
      </c>
      <c r="H1463" s="71">
        <f t="shared" si="132"/>
        <v>18.36</v>
      </c>
      <c r="I1463" s="71">
        <f t="shared" si="133"/>
        <v>9.18</v>
      </c>
      <c r="J1463" s="71">
        <f t="shared" si="134"/>
        <v>18.36</v>
      </c>
      <c r="K1463" s="72">
        <v>0</v>
      </c>
      <c r="M1463" s="58">
        <v>9.18</v>
      </c>
    </row>
    <row r="1464" spans="1:13" ht="15.75" customHeight="1" x14ac:dyDescent="0.25">
      <c r="A1464" s="78"/>
      <c r="B1464" s="79" t="s">
        <v>224</v>
      </c>
      <c r="C1464" s="79">
        <f>SUM(C1436:C1463)</f>
        <v>37</v>
      </c>
      <c r="D1464" s="79"/>
      <c r="E1464" s="79"/>
      <c r="F1464" s="79"/>
      <c r="G1464" s="80"/>
      <c r="H1464" s="80">
        <f>SUM(H1436:H1463)</f>
        <v>1951.3711199999998</v>
      </c>
      <c r="I1464" s="79"/>
      <c r="J1464" s="80">
        <f>SUM(J1436:J1463)</f>
        <v>1951.3711199999998</v>
      </c>
      <c r="K1464" s="81"/>
      <c r="M1464" s="58" t="e">
        <f>VLOOKUP(D1464,'TABELA DE PRECOS'!B:C,2,0)</f>
        <v>#N/A</v>
      </c>
    </row>
    <row r="1465" spans="1:13" ht="15.75" customHeight="1" x14ac:dyDescent="0.25">
      <c r="A1465" s="56"/>
      <c r="B1465" s="49" t="s">
        <v>15</v>
      </c>
      <c r="C1465" s="57"/>
      <c r="G1465" s="58"/>
      <c r="H1465" s="58"/>
      <c r="I1465" s="58"/>
      <c r="J1465" s="58"/>
      <c r="K1465" s="59"/>
      <c r="M1465" s="58" t="e">
        <f>VLOOKUP(D1465,'TABELA DE PRECOS'!B:C,2,0)</f>
        <v>#N/A</v>
      </c>
    </row>
    <row r="1466" spans="1:13" ht="15.75" customHeight="1" x14ac:dyDescent="0.25">
      <c r="A1466" s="56"/>
      <c r="B1466" s="18" t="s">
        <v>1440</v>
      </c>
      <c r="C1466" s="57"/>
      <c r="G1466" s="58"/>
      <c r="H1466" s="58"/>
      <c r="I1466" s="58"/>
      <c r="J1466" s="58"/>
      <c r="K1466" s="59"/>
      <c r="M1466" s="58" t="e">
        <f>VLOOKUP(D1466,'TABELA DE PRECOS'!B:C,2,0)</f>
        <v>#N/A</v>
      </c>
    </row>
    <row r="1467" spans="1:13" ht="15.75" customHeight="1" x14ac:dyDescent="0.25">
      <c r="A1467" s="18" t="s">
        <v>119</v>
      </c>
      <c r="B1467" s="18" t="s">
        <v>120</v>
      </c>
      <c r="C1467" s="18" t="s">
        <v>21</v>
      </c>
      <c r="D1467" s="18" t="s">
        <v>121</v>
      </c>
      <c r="E1467" s="60" t="s">
        <v>122</v>
      </c>
      <c r="F1467" s="18" t="s">
        <v>123</v>
      </c>
      <c r="G1467" s="61" t="s">
        <v>22</v>
      </c>
      <c r="H1467" s="18" t="s">
        <v>23</v>
      </c>
      <c r="I1467" s="18" t="s">
        <v>24</v>
      </c>
      <c r="J1467" s="18" t="s">
        <v>25</v>
      </c>
      <c r="K1467" s="62" t="s">
        <v>26</v>
      </c>
      <c r="M1467" s="58" t="str">
        <f>VLOOKUP(D1467,'TABELA DE PRECOS'!B:C,2,0)</f>
        <v>Valor Unit Bruto</v>
      </c>
    </row>
    <row r="1468" spans="1:13" ht="15.75" customHeight="1" x14ac:dyDescent="0.25">
      <c r="A1468" s="65">
        <v>1</v>
      </c>
      <c r="B1468" s="84" t="s">
        <v>1441</v>
      </c>
      <c r="C1468" s="73">
        <v>1</v>
      </c>
      <c r="D1468" s="85" t="s">
        <v>1442</v>
      </c>
      <c r="E1468" s="86" t="s">
        <v>131</v>
      </c>
      <c r="F1468" s="85">
        <v>81897719002</v>
      </c>
      <c r="G1468" s="71">
        <f t="shared" ref="G1468:G1501" si="135">M1468</f>
        <v>18.482319999999998</v>
      </c>
      <c r="H1468" s="71">
        <f t="shared" ref="H1468:H1501" si="136">G1468*C1468</f>
        <v>18.482319999999998</v>
      </c>
      <c r="I1468" s="71">
        <f t="shared" ref="I1468:I1501" si="137">G1468</f>
        <v>18.482319999999998</v>
      </c>
      <c r="J1468" s="71">
        <f t="shared" ref="J1468:J1501" si="138">I1468*C1468</f>
        <v>18.482319999999998</v>
      </c>
      <c r="K1468" s="72">
        <v>0</v>
      </c>
      <c r="M1468" s="58">
        <f>VLOOKUP(D1468,'TABELA DE PRECOS'!B:C,2,0)</f>
        <v>18.482319999999998</v>
      </c>
    </row>
    <row r="1469" spans="1:13" ht="15.75" customHeight="1" x14ac:dyDescent="0.25">
      <c r="A1469" s="65">
        <v>2</v>
      </c>
      <c r="B1469" s="84" t="s">
        <v>1443</v>
      </c>
      <c r="C1469" s="73">
        <v>1</v>
      </c>
      <c r="D1469" s="85" t="s">
        <v>1444</v>
      </c>
      <c r="E1469" s="86" t="s">
        <v>131</v>
      </c>
      <c r="F1469" s="85">
        <v>81897719002</v>
      </c>
      <c r="G1469" s="71">
        <f t="shared" si="135"/>
        <v>19.339279999999999</v>
      </c>
      <c r="H1469" s="71">
        <f t="shared" si="136"/>
        <v>19.339279999999999</v>
      </c>
      <c r="I1469" s="71">
        <f t="shared" si="137"/>
        <v>19.339279999999999</v>
      </c>
      <c r="J1469" s="71">
        <f t="shared" si="138"/>
        <v>19.339279999999999</v>
      </c>
      <c r="K1469" s="72">
        <v>0</v>
      </c>
      <c r="M1469" s="58">
        <f>VLOOKUP(D1469,'TABELA DE PRECOS'!B:C,2,0)</f>
        <v>19.339279999999999</v>
      </c>
    </row>
    <row r="1470" spans="1:13" ht="15.75" customHeight="1" x14ac:dyDescent="0.25">
      <c r="A1470" s="65">
        <v>3</v>
      </c>
      <c r="B1470" s="84" t="s">
        <v>290</v>
      </c>
      <c r="C1470" s="73">
        <v>4</v>
      </c>
      <c r="D1470" s="85" t="s">
        <v>291</v>
      </c>
      <c r="E1470" s="86" t="s">
        <v>131</v>
      </c>
      <c r="F1470" s="85">
        <v>81897719002</v>
      </c>
      <c r="G1470" s="71">
        <f t="shared" si="135"/>
        <v>16.5</v>
      </c>
      <c r="H1470" s="71">
        <f t="shared" si="136"/>
        <v>66</v>
      </c>
      <c r="I1470" s="71">
        <f t="shared" si="137"/>
        <v>16.5</v>
      </c>
      <c r="J1470" s="71">
        <f t="shared" si="138"/>
        <v>66</v>
      </c>
      <c r="K1470" s="72">
        <v>0</v>
      </c>
      <c r="M1470" s="58">
        <f>VLOOKUP(D1470,'TABELA DE PRECOS'!B:C,2,0)</f>
        <v>16.5</v>
      </c>
    </row>
    <row r="1471" spans="1:13" ht="15.75" customHeight="1" x14ac:dyDescent="0.25">
      <c r="A1471" s="65">
        <v>4</v>
      </c>
      <c r="B1471" s="84" t="s">
        <v>564</v>
      </c>
      <c r="C1471" s="73">
        <v>1</v>
      </c>
      <c r="D1471" s="85" t="s">
        <v>1445</v>
      </c>
      <c r="E1471" s="86" t="s">
        <v>131</v>
      </c>
      <c r="F1471" s="85">
        <v>81897719002</v>
      </c>
      <c r="G1471" s="71">
        <f t="shared" si="135"/>
        <v>13.332319999999999</v>
      </c>
      <c r="H1471" s="71">
        <f t="shared" si="136"/>
        <v>13.332319999999999</v>
      </c>
      <c r="I1471" s="71">
        <f t="shared" si="137"/>
        <v>13.332319999999999</v>
      </c>
      <c r="J1471" s="71">
        <f t="shared" si="138"/>
        <v>13.332319999999999</v>
      </c>
      <c r="K1471" s="72">
        <v>0</v>
      </c>
      <c r="M1471" s="58">
        <f>VLOOKUP(D1471,'TABELA DE PRECOS'!B:C,2,0)</f>
        <v>13.332319999999999</v>
      </c>
    </row>
    <row r="1472" spans="1:13" ht="15.75" customHeight="1" x14ac:dyDescent="0.25">
      <c r="A1472" s="65">
        <v>5</v>
      </c>
      <c r="B1472" s="84" t="s">
        <v>300</v>
      </c>
      <c r="C1472" s="73">
        <v>1</v>
      </c>
      <c r="D1472" s="85" t="s">
        <v>301</v>
      </c>
      <c r="E1472" s="86" t="s">
        <v>131</v>
      </c>
      <c r="F1472" s="85">
        <v>81897719002</v>
      </c>
      <c r="G1472" s="71">
        <f t="shared" si="135"/>
        <v>9.4</v>
      </c>
      <c r="H1472" s="71">
        <f t="shared" si="136"/>
        <v>9.4</v>
      </c>
      <c r="I1472" s="71">
        <f t="shared" si="137"/>
        <v>9.4</v>
      </c>
      <c r="J1472" s="71">
        <f t="shared" si="138"/>
        <v>9.4</v>
      </c>
      <c r="K1472" s="72">
        <v>0</v>
      </c>
      <c r="M1472" s="58">
        <f>VLOOKUP(D1472,'TABELA DE PRECOS'!B:C,2,0)</f>
        <v>9.4</v>
      </c>
    </row>
    <row r="1473" spans="1:13" ht="15.75" customHeight="1" x14ac:dyDescent="0.25">
      <c r="A1473" s="65">
        <v>6</v>
      </c>
      <c r="B1473" s="84" t="s">
        <v>451</v>
      </c>
      <c r="C1473" s="73">
        <v>1</v>
      </c>
      <c r="D1473" s="49" t="s">
        <v>452</v>
      </c>
      <c r="E1473" s="86" t="s">
        <v>131</v>
      </c>
      <c r="F1473" s="85">
        <v>81897710021</v>
      </c>
      <c r="G1473" s="71">
        <f t="shared" si="135"/>
        <v>6.12</v>
      </c>
      <c r="H1473" s="71">
        <f t="shared" si="136"/>
        <v>6.12</v>
      </c>
      <c r="I1473" s="71">
        <f t="shared" si="137"/>
        <v>6.12</v>
      </c>
      <c r="J1473" s="71">
        <f t="shared" si="138"/>
        <v>6.12</v>
      </c>
      <c r="K1473" s="72">
        <v>0</v>
      </c>
      <c r="M1473" s="58">
        <f>VLOOKUP(D1473,'TABELA DE PRECOS'!B:C,2,0)</f>
        <v>6.12</v>
      </c>
    </row>
    <row r="1474" spans="1:13" ht="15.75" customHeight="1" x14ac:dyDescent="0.25">
      <c r="A1474" s="65">
        <v>7</v>
      </c>
      <c r="B1474" s="84" t="s">
        <v>476</v>
      </c>
      <c r="C1474" s="73">
        <v>2</v>
      </c>
      <c r="D1474" s="85" t="s">
        <v>477</v>
      </c>
      <c r="E1474" s="86" t="s">
        <v>131</v>
      </c>
      <c r="F1474" s="85">
        <v>81897719002</v>
      </c>
      <c r="G1474" s="71">
        <f t="shared" si="135"/>
        <v>14.56128</v>
      </c>
      <c r="H1474" s="71">
        <f t="shared" si="136"/>
        <v>29.12256</v>
      </c>
      <c r="I1474" s="71">
        <f t="shared" si="137"/>
        <v>14.56128</v>
      </c>
      <c r="J1474" s="71">
        <f t="shared" si="138"/>
        <v>29.12256</v>
      </c>
      <c r="K1474" s="72">
        <v>0</v>
      </c>
      <c r="M1474" s="58">
        <f>VLOOKUP(D1474,'TABELA DE PRECOS'!B:C,2,0)</f>
        <v>14.56128</v>
      </c>
    </row>
    <row r="1475" spans="1:13" ht="15.75" customHeight="1" x14ac:dyDescent="0.25">
      <c r="A1475" s="65">
        <v>8</v>
      </c>
      <c r="B1475" s="84" t="s">
        <v>952</v>
      </c>
      <c r="C1475" s="73">
        <v>2</v>
      </c>
      <c r="D1475" s="85" t="s">
        <v>953</v>
      </c>
      <c r="E1475" s="86" t="s">
        <v>131</v>
      </c>
      <c r="F1475" s="85">
        <v>81897719002</v>
      </c>
      <c r="G1475" s="71">
        <f t="shared" si="135"/>
        <v>20.28688</v>
      </c>
      <c r="H1475" s="71">
        <f t="shared" si="136"/>
        <v>40.57376</v>
      </c>
      <c r="I1475" s="71">
        <f t="shared" si="137"/>
        <v>20.28688</v>
      </c>
      <c r="J1475" s="71">
        <f t="shared" si="138"/>
        <v>40.57376</v>
      </c>
      <c r="K1475" s="72">
        <v>0</v>
      </c>
      <c r="M1475" s="58">
        <f>VLOOKUP(D1475,'TABELA DE PRECOS'!B:C,2,0)</f>
        <v>20.28688</v>
      </c>
    </row>
    <row r="1476" spans="1:13" ht="15.75" customHeight="1" x14ac:dyDescent="0.25">
      <c r="A1476" s="65">
        <v>9</v>
      </c>
      <c r="B1476" s="84" t="s">
        <v>482</v>
      </c>
      <c r="C1476" s="73">
        <v>2</v>
      </c>
      <c r="D1476" s="85" t="s">
        <v>483</v>
      </c>
      <c r="E1476" s="86" t="s">
        <v>131</v>
      </c>
      <c r="F1476" s="85">
        <v>81897719002</v>
      </c>
      <c r="G1476" s="71">
        <f t="shared" si="135"/>
        <v>7.5643199999999995</v>
      </c>
      <c r="H1476" s="71">
        <f t="shared" si="136"/>
        <v>15.128639999999999</v>
      </c>
      <c r="I1476" s="71">
        <f t="shared" si="137"/>
        <v>7.5643199999999995</v>
      </c>
      <c r="J1476" s="71">
        <f t="shared" si="138"/>
        <v>15.128639999999999</v>
      </c>
      <c r="K1476" s="72">
        <v>0</v>
      </c>
      <c r="L1476" s="63"/>
      <c r="M1476" s="58">
        <f>VLOOKUP(D1476,'TABELA DE PRECOS'!B:C,2,0)</f>
        <v>7.5643199999999995</v>
      </c>
    </row>
    <row r="1477" spans="1:13" ht="15.75" customHeight="1" x14ac:dyDescent="0.25">
      <c r="A1477" s="65">
        <v>10</v>
      </c>
      <c r="B1477" t="s">
        <v>1639</v>
      </c>
      <c r="C1477" s="82">
        <v>1</v>
      </c>
      <c r="D1477" s="76" t="s">
        <v>1210</v>
      </c>
      <c r="E1477" s="69" t="s">
        <v>131</v>
      </c>
      <c r="F1477" s="76">
        <v>81897710023</v>
      </c>
      <c r="G1477" s="71">
        <f t="shared" si="135"/>
        <v>39.979999999999997</v>
      </c>
      <c r="H1477" s="71">
        <f t="shared" si="136"/>
        <v>39.979999999999997</v>
      </c>
      <c r="I1477" s="71">
        <f t="shared" si="137"/>
        <v>39.979999999999997</v>
      </c>
      <c r="J1477" s="71">
        <f t="shared" si="138"/>
        <v>39.979999999999997</v>
      </c>
      <c r="K1477" s="72">
        <v>0</v>
      </c>
      <c r="M1477" s="58">
        <f>VLOOKUP(D1477,'TABELA DE PRECOS'!B:C,2,0)</f>
        <v>39.979999999999997</v>
      </c>
    </row>
    <row r="1478" spans="1:13" ht="15.75" customHeight="1" x14ac:dyDescent="0.25">
      <c r="A1478" s="65">
        <v>11</v>
      </c>
      <c r="B1478" s="84" t="s">
        <v>397</v>
      </c>
      <c r="C1478" s="73">
        <v>1</v>
      </c>
      <c r="D1478" s="85" t="s">
        <v>398</v>
      </c>
      <c r="E1478" s="86" t="s">
        <v>131</v>
      </c>
      <c r="F1478" s="85">
        <v>81897719002</v>
      </c>
      <c r="G1478" s="71">
        <f t="shared" si="135"/>
        <v>9.19</v>
      </c>
      <c r="H1478" s="71">
        <f t="shared" si="136"/>
        <v>9.19</v>
      </c>
      <c r="I1478" s="71">
        <f t="shared" si="137"/>
        <v>9.19</v>
      </c>
      <c r="J1478" s="71">
        <f t="shared" si="138"/>
        <v>9.19</v>
      </c>
      <c r="K1478" s="72">
        <v>0</v>
      </c>
      <c r="M1478" s="58">
        <f>VLOOKUP(D1478,'TABELA DE PRECOS'!B:C,2,0)</f>
        <v>9.19</v>
      </c>
    </row>
    <row r="1479" spans="1:13" ht="15.75" customHeight="1" x14ac:dyDescent="0.25">
      <c r="A1479" s="65">
        <v>12</v>
      </c>
      <c r="B1479" s="84" t="s">
        <v>399</v>
      </c>
      <c r="C1479" s="73">
        <v>1</v>
      </c>
      <c r="D1479" s="85" t="s">
        <v>400</v>
      </c>
      <c r="E1479" s="86" t="s">
        <v>131</v>
      </c>
      <c r="F1479" s="85">
        <v>81897719002</v>
      </c>
      <c r="G1479" s="71">
        <f t="shared" si="135"/>
        <v>8.85</v>
      </c>
      <c r="H1479" s="71">
        <f t="shared" si="136"/>
        <v>8.85</v>
      </c>
      <c r="I1479" s="71">
        <f t="shared" si="137"/>
        <v>8.85</v>
      </c>
      <c r="J1479" s="71">
        <f t="shared" si="138"/>
        <v>8.85</v>
      </c>
      <c r="K1479" s="72">
        <v>0</v>
      </c>
      <c r="M1479" s="58">
        <f>VLOOKUP(D1479,'TABELA DE PRECOS'!B:C,2,0)</f>
        <v>8.85</v>
      </c>
    </row>
    <row r="1480" spans="1:13" ht="15.75" customHeight="1" x14ac:dyDescent="0.25">
      <c r="A1480" s="65">
        <v>13</v>
      </c>
      <c r="B1480" s="84" t="s">
        <v>324</v>
      </c>
      <c r="C1480" s="73">
        <v>2</v>
      </c>
      <c r="D1480" s="85" t="s">
        <v>325</v>
      </c>
      <c r="E1480" s="86" t="s">
        <v>131</v>
      </c>
      <c r="F1480" s="85">
        <v>81897719002</v>
      </c>
      <c r="G1480" s="71">
        <f t="shared" si="135"/>
        <v>23.7636</v>
      </c>
      <c r="H1480" s="71">
        <f t="shared" si="136"/>
        <v>47.527200000000001</v>
      </c>
      <c r="I1480" s="71">
        <f t="shared" si="137"/>
        <v>23.7636</v>
      </c>
      <c r="J1480" s="71">
        <f t="shared" si="138"/>
        <v>47.527200000000001</v>
      </c>
      <c r="K1480" s="72">
        <v>0</v>
      </c>
      <c r="M1480" s="58">
        <f>VLOOKUP(D1480,'TABELA DE PRECOS'!B:C,2,0)</f>
        <v>23.7636</v>
      </c>
    </row>
    <row r="1481" spans="1:13" ht="15.75" customHeight="1" x14ac:dyDescent="0.25">
      <c r="A1481" s="65">
        <v>14</v>
      </c>
      <c r="B1481" s="84" t="s">
        <v>403</v>
      </c>
      <c r="C1481" s="73">
        <v>2</v>
      </c>
      <c r="D1481" s="85" t="s">
        <v>404</v>
      </c>
      <c r="E1481" s="86" t="s">
        <v>131</v>
      </c>
      <c r="F1481" s="85">
        <v>81897719002</v>
      </c>
      <c r="G1481" s="71">
        <f t="shared" si="135"/>
        <v>6.21</v>
      </c>
      <c r="H1481" s="71">
        <f t="shared" si="136"/>
        <v>12.42</v>
      </c>
      <c r="I1481" s="71">
        <f t="shared" si="137"/>
        <v>6.21</v>
      </c>
      <c r="J1481" s="71">
        <f t="shared" si="138"/>
        <v>12.42</v>
      </c>
      <c r="K1481" s="72">
        <v>0</v>
      </c>
      <c r="M1481" s="58">
        <f>VLOOKUP(D1481,'TABELA DE PRECOS'!B:C,2,0)</f>
        <v>6.21</v>
      </c>
    </row>
    <row r="1482" spans="1:13" ht="15.75" customHeight="1" x14ac:dyDescent="0.25">
      <c r="A1482" s="65">
        <v>15</v>
      </c>
      <c r="B1482" s="84" t="s">
        <v>407</v>
      </c>
      <c r="C1482" s="73">
        <v>2</v>
      </c>
      <c r="D1482" s="85" t="s">
        <v>408</v>
      </c>
      <c r="E1482" s="86" t="s">
        <v>131</v>
      </c>
      <c r="F1482" s="85">
        <v>81897719002</v>
      </c>
      <c r="G1482" s="71">
        <f t="shared" si="135"/>
        <v>5.04</v>
      </c>
      <c r="H1482" s="71">
        <f t="shared" si="136"/>
        <v>10.08</v>
      </c>
      <c r="I1482" s="71">
        <f t="shared" si="137"/>
        <v>5.04</v>
      </c>
      <c r="J1482" s="71">
        <f t="shared" si="138"/>
        <v>10.08</v>
      </c>
      <c r="K1482" s="72">
        <v>0</v>
      </c>
      <c r="M1482" s="58">
        <f>VLOOKUP(D1482,'TABELA DE PRECOS'!B:C,2,0)</f>
        <v>5.04</v>
      </c>
    </row>
    <row r="1483" spans="1:13" ht="15.75" customHeight="1" x14ac:dyDescent="0.25">
      <c r="A1483" s="65">
        <v>16</v>
      </c>
      <c r="B1483" s="84" t="s">
        <v>185</v>
      </c>
      <c r="C1483" s="73">
        <v>4</v>
      </c>
      <c r="D1483" s="85" t="s">
        <v>186</v>
      </c>
      <c r="E1483" s="86" t="s">
        <v>131</v>
      </c>
      <c r="F1483" s="85">
        <v>81897719002</v>
      </c>
      <c r="G1483" s="71">
        <f t="shared" si="135"/>
        <v>17.28</v>
      </c>
      <c r="H1483" s="71">
        <f t="shared" si="136"/>
        <v>69.12</v>
      </c>
      <c r="I1483" s="71">
        <f t="shared" si="137"/>
        <v>17.28</v>
      </c>
      <c r="J1483" s="71">
        <f t="shared" si="138"/>
        <v>69.12</v>
      </c>
      <c r="K1483" s="72">
        <v>0</v>
      </c>
      <c r="M1483" s="58">
        <f>VLOOKUP(D1483,'TABELA DE PRECOS'!B:C,2,0)</f>
        <v>17.28</v>
      </c>
    </row>
    <row r="1484" spans="1:13" ht="15.75" customHeight="1" x14ac:dyDescent="0.25">
      <c r="A1484" s="65">
        <v>17</v>
      </c>
      <c r="B1484" s="84" t="s">
        <v>187</v>
      </c>
      <c r="C1484" s="73">
        <v>6</v>
      </c>
      <c r="D1484" s="85" t="s">
        <v>188</v>
      </c>
      <c r="E1484" s="86" t="s">
        <v>131</v>
      </c>
      <c r="F1484" s="85">
        <v>81897719002</v>
      </c>
      <c r="G1484" s="71">
        <f t="shared" si="135"/>
        <v>15.95</v>
      </c>
      <c r="H1484" s="71">
        <f t="shared" si="136"/>
        <v>95.699999999999989</v>
      </c>
      <c r="I1484" s="71">
        <f t="shared" si="137"/>
        <v>15.95</v>
      </c>
      <c r="J1484" s="71">
        <f t="shared" si="138"/>
        <v>95.699999999999989</v>
      </c>
      <c r="K1484" s="72">
        <v>0</v>
      </c>
      <c r="M1484" s="58">
        <f>VLOOKUP(D1484,'TABELA DE PRECOS'!B:C,2,0)</f>
        <v>15.95</v>
      </c>
    </row>
    <row r="1485" spans="1:13" ht="15.75" customHeight="1" x14ac:dyDescent="0.25">
      <c r="A1485" s="65">
        <v>18</v>
      </c>
      <c r="B1485" s="84" t="s">
        <v>419</v>
      </c>
      <c r="C1485" s="73">
        <v>6</v>
      </c>
      <c r="D1485" s="85" t="s">
        <v>420</v>
      </c>
      <c r="E1485" s="86" t="s">
        <v>131</v>
      </c>
      <c r="F1485" s="85">
        <v>81897719002</v>
      </c>
      <c r="G1485" s="71">
        <f t="shared" si="135"/>
        <v>16.52</v>
      </c>
      <c r="H1485" s="71">
        <f t="shared" si="136"/>
        <v>99.12</v>
      </c>
      <c r="I1485" s="71">
        <f t="shared" si="137"/>
        <v>16.52</v>
      </c>
      <c r="J1485" s="71">
        <f t="shared" si="138"/>
        <v>99.12</v>
      </c>
      <c r="K1485" s="72">
        <v>0</v>
      </c>
      <c r="M1485" s="58">
        <f>VLOOKUP(D1485,'TABELA DE PRECOS'!B:C,2,0)</f>
        <v>16.52</v>
      </c>
    </row>
    <row r="1486" spans="1:13" ht="15.75" customHeight="1" x14ac:dyDescent="0.25">
      <c r="A1486" s="65">
        <v>19</v>
      </c>
      <c r="B1486" s="84" t="s">
        <v>254</v>
      </c>
      <c r="C1486" s="73">
        <v>4</v>
      </c>
      <c r="D1486" s="85" t="s">
        <v>255</v>
      </c>
      <c r="E1486" s="86" t="s">
        <v>131</v>
      </c>
      <c r="F1486" s="85">
        <v>81897719002</v>
      </c>
      <c r="G1486" s="71">
        <f t="shared" si="135"/>
        <v>16.68</v>
      </c>
      <c r="H1486" s="71">
        <f t="shared" si="136"/>
        <v>66.72</v>
      </c>
      <c r="I1486" s="71">
        <f t="shared" si="137"/>
        <v>16.68</v>
      </c>
      <c r="J1486" s="71">
        <f t="shared" si="138"/>
        <v>66.72</v>
      </c>
      <c r="K1486" s="72">
        <v>0</v>
      </c>
      <c r="M1486" s="58">
        <f>VLOOKUP(D1486,'TABELA DE PRECOS'!B:C,2,0)</f>
        <v>16.68</v>
      </c>
    </row>
    <row r="1487" spans="1:13" ht="15.75" customHeight="1" x14ac:dyDescent="0.25">
      <c r="A1487" s="65">
        <v>20</v>
      </c>
      <c r="B1487" s="84" t="s">
        <v>189</v>
      </c>
      <c r="C1487" s="73">
        <v>2</v>
      </c>
      <c r="D1487" s="85" t="s">
        <v>190</v>
      </c>
      <c r="E1487" s="86" t="s">
        <v>131</v>
      </c>
      <c r="F1487" s="85">
        <v>81897719002</v>
      </c>
      <c r="G1487" s="71">
        <f t="shared" si="135"/>
        <v>16.71</v>
      </c>
      <c r="H1487" s="71">
        <f t="shared" si="136"/>
        <v>33.42</v>
      </c>
      <c r="I1487" s="71">
        <f t="shared" si="137"/>
        <v>16.71</v>
      </c>
      <c r="J1487" s="71">
        <f t="shared" si="138"/>
        <v>33.42</v>
      </c>
      <c r="K1487" s="72">
        <v>0</v>
      </c>
      <c r="M1487" s="58">
        <f>VLOOKUP(D1487,'TABELA DE PRECOS'!B:C,2,0)</f>
        <v>16.71</v>
      </c>
    </row>
    <row r="1488" spans="1:13" ht="15.75" customHeight="1" x14ac:dyDescent="0.25">
      <c r="A1488" s="65">
        <v>21</v>
      </c>
      <c r="B1488" s="84" t="s">
        <v>1230</v>
      </c>
      <c r="C1488" s="73">
        <v>1</v>
      </c>
      <c r="D1488" s="85" t="s">
        <v>1231</v>
      </c>
      <c r="E1488" s="86" t="s">
        <v>131</v>
      </c>
      <c r="F1488" s="85">
        <v>81897719002</v>
      </c>
      <c r="G1488" s="71">
        <f t="shared" si="135"/>
        <v>15.52</v>
      </c>
      <c r="H1488" s="71">
        <f t="shared" si="136"/>
        <v>15.52</v>
      </c>
      <c r="I1488" s="71">
        <f t="shared" si="137"/>
        <v>15.52</v>
      </c>
      <c r="J1488" s="71">
        <f t="shared" si="138"/>
        <v>15.52</v>
      </c>
      <c r="K1488" s="72">
        <v>0</v>
      </c>
      <c r="M1488" s="58">
        <f>VLOOKUP(D1488,'TABELA DE PRECOS'!B:C,2,0)</f>
        <v>15.52</v>
      </c>
    </row>
    <row r="1489" spans="1:13" ht="15.75" customHeight="1" x14ac:dyDescent="0.25">
      <c r="A1489" s="65">
        <v>22</v>
      </c>
      <c r="B1489" s="84" t="s">
        <v>594</v>
      </c>
      <c r="C1489" s="73">
        <v>1</v>
      </c>
      <c r="D1489" s="85" t="s">
        <v>595</v>
      </c>
      <c r="E1489" s="86" t="s">
        <v>131</v>
      </c>
      <c r="F1489" s="85">
        <v>81897719003</v>
      </c>
      <c r="G1489" s="71">
        <f t="shared" si="135"/>
        <v>65.06</v>
      </c>
      <c r="H1489" s="71">
        <f t="shared" si="136"/>
        <v>65.06</v>
      </c>
      <c r="I1489" s="71">
        <f t="shared" si="137"/>
        <v>65.06</v>
      </c>
      <c r="J1489" s="71">
        <f t="shared" si="138"/>
        <v>65.06</v>
      </c>
      <c r="K1489" s="72">
        <v>0</v>
      </c>
      <c r="M1489" s="58">
        <f>VLOOKUP(D1489,'TABELA DE PRECOS'!B:C,2,0)</f>
        <v>65.06</v>
      </c>
    </row>
    <row r="1490" spans="1:13" ht="15.75" customHeight="1" x14ac:dyDescent="0.25">
      <c r="A1490" s="65">
        <v>23</v>
      </c>
      <c r="B1490" s="84" t="s">
        <v>796</v>
      </c>
      <c r="C1490" s="73">
        <v>1</v>
      </c>
      <c r="D1490" s="85" t="s">
        <v>797</v>
      </c>
      <c r="E1490" s="86" t="s">
        <v>131</v>
      </c>
      <c r="F1490" s="85">
        <v>81897719003</v>
      </c>
      <c r="G1490" s="71">
        <f t="shared" si="135"/>
        <v>68.77</v>
      </c>
      <c r="H1490" s="71">
        <f t="shared" si="136"/>
        <v>68.77</v>
      </c>
      <c r="I1490" s="71">
        <f t="shared" si="137"/>
        <v>68.77</v>
      </c>
      <c r="J1490" s="71">
        <f t="shared" si="138"/>
        <v>68.77</v>
      </c>
      <c r="K1490" s="72">
        <v>0</v>
      </c>
      <c r="M1490" s="58">
        <f>VLOOKUP(D1490,'TABELA DE PRECOS'!B:C,2,0)</f>
        <v>68.77</v>
      </c>
    </row>
    <row r="1491" spans="1:13" ht="15.75" customHeight="1" x14ac:dyDescent="0.25">
      <c r="A1491" s="65">
        <v>24</v>
      </c>
      <c r="B1491" s="84" t="s">
        <v>258</v>
      </c>
      <c r="C1491" s="73">
        <v>1</v>
      </c>
      <c r="D1491" s="85" t="s">
        <v>259</v>
      </c>
      <c r="E1491" s="86" t="s">
        <v>131</v>
      </c>
      <c r="F1491" s="85">
        <v>81897719003</v>
      </c>
      <c r="G1491" s="71">
        <f t="shared" si="135"/>
        <v>101.56</v>
      </c>
      <c r="H1491" s="71">
        <f t="shared" si="136"/>
        <v>101.56</v>
      </c>
      <c r="I1491" s="71">
        <f t="shared" si="137"/>
        <v>101.56</v>
      </c>
      <c r="J1491" s="71">
        <f t="shared" si="138"/>
        <v>101.56</v>
      </c>
      <c r="K1491" s="72">
        <v>0</v>
      </c>
      <c r="M1491" s="58">
        <f>VLOOKUP(D1491,'TABELA DE PRECOS'!B:C,2,0)</f>
        <v>101.56</v>
      </c>
    </row>
    <row r="1492" spans="1:13" ht="15.75" customHeight="1" x14ac:dyDescent="0.25">
      <c r="A1492" s="65">
        <v>25</v>
      </c>
      <c r="B1492" s="84" t="s">
        <v>1428</v>
      </c>
      <c r="C1492" s="73">
        <v>1</v>
      </c>
      <c r="D1492" s="49" t="s">
        <v>1429</v>
      </c>
      <c r="E1492" s="86" t="s">
        <v>131</v>
      </c>
      <c r="F1492" s="85">
        <v>81897710012</v>
      </c>
      <c r="G1492" s="71">
        <f t="shared" si="135"/>
        <v>8.1081599999999998</v>
      </c>
      <c r="H1492" s="71">
        <f t="shared" si="136"/>
        <v>8.1081599999999998</v>
      </c>
      <c r="I1492" s="71">
        <f t="shared" si="137"/>
        <v>8.1081599999999998</v>
      </c>
      <c r="J1492" s="71">
        <f t="shared" si="138"/>
        <v>8.1081599999999998</v>
      </c>
      <c r="K1492" s="72">
        <v>0</v>
      </c>
      <c r="M1492" s="58">
        <f>VLOOKUP(D1492,'TABELA DE PRECOS'!B:C,2,0)</f>
        <v>8.1081599999999998</v>
      </c>
    </row>
    <row r="1493" spans="1:13" ht="15.75" customHeight="1" x14ac:dyDescent="0.25">
      <c r="A1493" s="65">
        <v>26</v>
      </c>
      <c r="B1493" s="84" t="s">
        <v>488</v>
      </c>
      <c r="C1493" s="73">
        <v>1</v>
      </c>
      <c r="D1493" s="85" t="s">
        <v>489</v>
      </c>
      <c r="E1493" s="86" t="s">
        <v>131</v>
      </c>
      <c r="F1493" s="85">
        <v>81897719002</v>
      </c>
      <c r="G1493" s="71">
        <f t="shared" si="135"/>
        <v>11.81</v>
      </c>
      <c r="H1493" s="71">
        <f t="shared" si="136"/>
        <v>11.81</v>
      </c>
      <c r="I1493" s="71">
        <f t="shared" si="137"/>
        <v>11.81</v>
      </c>
      <c r="J1493" s="71">
        <f t="shared" si="138"/>
        <v>11.81</v>
      </c>
      <c r="K1493" s="72">
        <v>0</v>
      </c>
      <c r="M1493" s="58">
        <f>VLOOKUP(D1493,'TABELA DE PRECOS'!B:C,2,0)</f>
        <v>11.81</v>
      </c>
    </row>
    <row r="1494" spans="1:13" ht="15.75" customHeight="1" x14ac:dyDescent="0.25">
      <c r="A1494" s="65">
        <v>27</v>
      </c>
      <c r="B1494" s="84" t="s">
        <v>421</v>
      </c>
      <c r="C1494" s="73">
        <v>1</v>
      </c>
      <c r="D1494" s="85" t="s">
        <v>422</v>
      </c>
      <c r="E1494" s="86" t="s">
        <v>131</v>
      </c>
      <c r="F1494" s="85">
        <v>81897719002</v>
      </c>
      <c r="G1494" s="71">
        <f t="shared" si="135"/>
        <v>11.13</v>
      </c>
      <c r="H1494" s="71">
        <f t="shared" si="136"/>
        <v>11.13</v>
      </c>
      <c r="I1494" s="71">
        <f t="shared" si="137"/>
        <v>11.13</v>
      </c>
      <c r="J1494" s="71">
        <f t="shared" si="138"/>
        <v>11.13</v>
      </c>
      <c r="K1494" s="72">
        <v>0</v>
      </c>
      <c r="M1494" s="58">
        <f>VLOOKUP(D1494,'TABELA DE PRECOS'!B:C,2,0)</f>
        <v>11.13</v>
      </c>
    </row>
    <row r="1495" spans="1:13" ht="15.75" customHeight="1" x14ac:dyDescent="0.25">
      <c r="A1495" s="65">
        <v>28</v>
      </c>
      <c r="B1495" s="84" t="s">
        <v>366</v>
      </c>
      <c r="C1495" s="73">
        <v>1</v>
      </c>
      <c r="D1495" s="85" t="s">
        <v>367</v>
      </c>
      <c r="E1495" s="86" t="s">
        <v>131</v>
      </c>
      <c r="F1495" s="85">
        <v>81897719002</v>
      </c>
      <c r="G1495" s="71">
        <f t="shared" si="135"/>
        <v>18.7</v>
      </c>
      <c r="H1495" s="71">
        <f t="shared" si="136"/>
        <v>18.7</v>
      </c>
      <c r="I1495" s="71">
        <f t="shared" si="137"/>
        <v>18.7</v>
      </c>
      <c r="J1495" s="71">
        <f t="shared" si="138"/>
        <v>18.7</v>
      </c>
      <c r="K1495" s="72">
        <v>0</v>
      </c>
      <c r="M1495" s="58">
        <f>VLOOKUP(D1495,'TABELA DE PRECOS'!B:C,2,0)</f>
        <v>18.7</v>
      </c>
    </row>
    <row r="1496" spans="1:13" ht="15.75" customHeight="1" x14ac:dyDescent="0.25">
      <c r="A1496" s="65">
        <v>29</v>
      </c>
      <c r="B1496" s="84" t="s">
        <v>368</v>
      </c>
      <c r="C1496" s="73">
        <v>1</v>
      </c>
      <c r="D1496" s="85" t="s">
        <v>369</v>
      </c>
      <c r="E1496" s="86" t="s">
        <v>131</v>
      </c>
      <c r="F1496" s="85">
        <v>81897719002</v>
      </c>
      <c r="G1496" s="71">
        <f t="shared" si="135"/>
        <v>18.22</v>
      </c>
      <c r="H1496" s="71">
        <f t="shared" si="136"/>
        <v>18.22</v>
      </c>
      <c r="I1496" s="71">
        <f t="shared" si="137"/>
        <v>18.22</v>
      </c>
      <c r="J1496" s="71">
        <f t="shared" si="138"/>
        <v>18.22</v>
      </c>
      <c r="K1496" s="72">
        <v>0</v>
      </c>
      <c r="M1496" s="58">
        <f>VLOOKUP(D1496,'TABELA DE PRECOS'!B:C,2,0)</f>
        <v>18.22</v>
      </c>
    </row>
    <row r="1497" spans="1:13" ht="15.75" customHeight="1" x14ac:dyDescent="0.25">
      <c r="A1497" s="65">
        <v>30</v>
      </c>
      <c r="B1497" s="84" t="s">
        <v>370</v>
      </c>
      <c r="C1497" s="73">
        <v>1</v>
      </c>
      <c r="D1497" s="85" t="s">
        <v>371</v>
      </c>
      <c r="E1497" s="86" t="s">
        <v>131</v>
      </c>
      <c r="F1497" s="85">
        <v>81897719002</v>
      </c>
      <c r="G1497" s="71">
        <f t="shared" si="135"/>
        <v>19.41</v>
      </c>
      <c r="H1497" s="71">
        <f t="shared" si="136"/>
        <v>19.41</v>
      </c>
      <c r="I1497" s="71">
        <f t="shared" si="137"/>
        <v>19.41</v>
      </c>
      <c r="J1497" s="71">
        <f t="shared" si="138"/>
        <v>19.41</v>
      </c>
      <c r="K1497" s="72">
        <v>0</v>
      </c>
      <c r="M1497" s="58">
        <f>VLOOKUP(D1497,'TABELA DE PRECOS'!B:C,2,0)</f>
        <v>19.41</v>
      </c>
    </row>
    <row r="1498" spans="1:13" ht="15.75" customHeight="1" x14ac:dyDescent="0.25">
      <c r="A1498" s="65">
        <v>31</v>
      </c>
      <c r="B1498" s="84" t="s">
        <v>372</v>
      </c>
      <c r="C1498" s="73">
        <v>1</v>
      </c>
      <c r="D1498" s="85" t="s">
        <v>373</v>
      </c>
      <c r="E1498" s="86" t="s">
        <v>131</v>
      </c>
      <c r="F1498" s="85" t="s">
        <v>223</v>
      </c>
      <c r="G1498" s="71">
        <f t="shared" si="135"/>
        <v>452.16</v>
      </c>
      <c r="H1498" s="71">
        <f t="shared" si="136"/>
        <v>452.16</v>
      </c>
      <c r="I1498" s="71">
        <f t="shared" si="137"/>
        <v>452.16</v>
      </c>
      <c r="J1498" s="71">
        <f t="shared" si="138"/>
        <v>452.16</v>
      </c>
      <c r="K1498" s="72">
        <v>0</v>
      </c>
      <c r="M1498" s="58">
        <f>VLOOKUP(D1498,'TABELA DE PRECOS'!B:C,2,0)</f>
        <v>452.16</v>
      </c>
    </row>
    <row r="1499" spans="1:13" ht="15.75" customHeight="1" x14ac:dyDescent="0.25">
      <c r="A1499" s="65">
        <v>32</v>
      </c>
      <c r="B1499" s="84" t="s">
        <v>374</v>
      </c>
      <c r="C1499" s="73">
        <v>1</v>
      </c>
      <c r="D1499" s="85" t="s">
        <v>375</v>
      </c>
      <c r="E1499" s="86" t="s">
        <v>131</v>
      </c>
      <c r="F1499" s="85" t="s">
        <v>223</v>
      </c>
      <c r="G1499" s="71">
        <f t="shared" si="135"/>
        <v>640.15991999999994</v>
      </c>
      <c r="H1499" s="71">
        <f t="shared" si="136"/>
        <v>640.15991999999994</v>
      </c>
      <c r="I1499" s="71">
        <f t="shared" si="137"/>
        <v>640.15991999999994</v>
      </c>
      <c r="J1499" s="71">
        <f t="shared" si="138"/>
        <v>640.15991999999994</v>
      </c>
      <c r="K1499" s="72">
        <v>0</v>
      </c>
      <c r="M1499" s="58">
        <f>VLOOKUP(D1499,'TABELA DE PRECOS'!B:C,2,0)</f>
        <v>640.15991999999994</v>
      </c>
    </row>
    <row r="1500" spans="1:13" ht="15.75" customHeight="1" x14ac:dyDescent="0.25">
      <c r="A1500" s="65">
        <v>33</v>
      </c>
      <c r="B1500" s="84" t="s">
        <v>376</v>
      </c>
      <c r="C1500" s="73">
        <v>1</v>
      </c>
      <c r="D1500" s="85" t="s">
        <v>1446</v>
      </c>
      <c r="E1500" s="86" t="s">
        <v>131</v>
      </c>
      <c r="F1500" s="85" t="s">
        <v>223</v>
      </c>
      <c r="G1500" s="71">
        <f t="shared" si="135"/>
        <v>514.57000000000005</v>
      </c>
      <c r="H1500" s="71">
        <f t="shared" si="136"/>
        <v>514.57000000000005</v>
      </c>
      <c r="I1500" s="71">
        <f t="shared" si="137"/>
        <v>514.57000000000005</v>
      </c>
      <c r="J1500" s="71">
        <f t="shared" si="138"/>
        <v>514.57000000000005</v>
      </c>
      <c r="K1500" s="72">
        <v>0</v>
      </c>
      <c r="M1500" s="58">
        <f>VLOOKUP(D1500,'TABELA DE PRECOS'!B:C,2,0)</f>
        <v>514.57000000000005</v>
      </c>
    </row>
    <row r="1501" spans="1:13" ht="15.75" customHeight="1" x14ac:dyDescent="0.25">
      <c r="A1501" s="65">
        <v>34</v>
      </c>
      <c r="B1501" s="84" t="s">
        <v>1438</v>
      </c>
      <c r="C1501" s="73">
        <v>2</v>
      </c>
      <c r="D1501" s="85" t="s">
        <v>1439</v>
      </c>
      <c r="E1501" s="86" t="s">
        <v>131</v>
      </c>
      <c r="F1501" s="85" t="s">
        <v>223</v>
      </c>
      <c r="G1501" s="71">
        <f t="shared" si="135"/>
        <v>9.18</v>
      </c>
      <c r="H1501" s="71">
        <f t="shared" si="136"/>
        <v>18.36</v>
      </c>
      <c r="I1501" s="71">
        <f t="shared" si="137"/>
        <v>9.18</v>
      </c>
      <c r="J1501" s="71">
        <f t="shared" si="138"/>
        <v>18.36</v>
      </c>
      <c r="K1501" s="72">
        <v>0</v>
      </c>
      <c r="M1501" s="58">
        <v>9.18</v>
      </c>
    </row>
    <row r="1502" spans="1:13" ht="15.75" customHeight="1" x14ac:dyDescent="0.25">
      <c r="A1502" s="78"/>
      <c r="B1502" s="79" t="s">
        <v>224</v>
      </c>
      <c r="C1502" s="79">
        <f>SUM(C1468:C1501)</f>
        <v>61</v>
      </c>
      <c r="D1502" s="79"/>
      <c r="E1502" s="79"/>
      <c r="F1502" s="79"/>
      <c r="G1502" s="80"/>
      <c r="H1502" s="80">
        <f>SUM(H1468:H1501)</f>
        <v>2673.1641600000003</v>
      </c>
      <c r="I1502" s="79"/>
      <c r="J1502" s="80">
        <f>SUM(J1468:J1501)</f>
        <v>2673.1641600000003</v>
      </c>
      <c r="K1502" s="81"/>
      <c r="M1502" s="58" t="e">
        <f>VLOOKUP(D1502,'TABELA DE PRECOS'!B:C,2,0)</f>
        <v>#N/A</v>
      </c>
    </row>
    <row r="1503" spans="1:13" ht="15.75" customHeight="1" x14ac:dyDescent="0.25">
      <c r="A1503" s="56"/>
      <c r="B1503" s="49" t="s">
        <v>15</v>
      </c>
      <c r="C1503" s="57"/>
      <c r="G1503" s="58"/>
      <c r="H1503" s="58"/>
      <c r="I1503" s="58"/>
      <c r="J1503" s="58"/>
      <c r="K1503" s="59"/>
      <c r="M1503" s="58" t="e">
        <f>VLOOKUP(D1503,'TABELA DE PRECOS'!B:C,2,0)</f>
        <v>#N/A</v>
      </c>
    </row>
    <row r="1504" spans="1:13" ht="15.75" customHeight="1" x14ac:dyDescent="0.25">
      <c r="A1504" s="56"/>
      <c r="B1504" s="18" t="s">
        <v>1447</v>
      </c>
      <c r="C1504" s="57"/>
      <c r="G1504" s="58"/>
      <c r="H1504" s="58"/>
      <c r="I1504" s="58"/>
      <c r="J1504" s="58"/>
      <c r="K1504" s="59"/>
      <c r="M1504" s="58" t="e">
        <f>VLOOKUP(D1504,'TABELA DE PRECOS'!B:C,2,0)</f>
        <v>#N/A</v>
      </c>
    </row>
    <row r="1505" spans="1:13" ht="15.75" customHeight="1" x14ac:dyDescent="0.25">
      <c r="A1505" s="18" t="s">
        <v>119</v>
      </c>
      <c r="B1505" s="18" t="s">
        <v>120</v>
      </c>
      <c r="C1505" s="18" t="s">
        <v>21</v>
      </c>
      <c r="D1505" s="18" t="s">
        <v>121</v>
      </c>
      <c r="E1505" s="60" t="s">
        <v>122</v>
      </c>
      <c r="F1505" s="18" t="s">
        <v>123</v>
      </c>
      <c r="G1505" s="61" t="s">
        <v>22</v>
      </c>
      <c r="H1505" s="18" t="s">
        <v>23</v>
      </c>
      <c r="I1505" s="18" t="s">
        <v>24</v>
      </c>
      <c r="J1505" s="18" t="s">
        <v>25</v>
      </c>
      <c r="K1505" s="62" t="s">
        <v>26</v>
      </c>
      <c r="M1505" s="58" t="str">
        <f>VLOOKUP(D1505,'TABELA DE PRECOS'!B:C,2,0)</f>
        <v>Valor Unit Bruto</v>
      </c>
    </row>
    <row r="1506" spans="1:13" ht="15.75" customHeight="1" x14ac:dyDescent="0.25">
      <c r="A1506" s="110">
        <v>1</v>
      </c>
      <c r="B1506" s="111" t="s">
        <v>1448</v>
      </c>
      <c r="C1506" s="110">
        <v>1</v>
      </c>
      <c r="D1506" s="112" t="s">
        <v>1449</v>
      </c>
      <c r="E1506" s="86" t="s">
        <v>131</v>
      </c>
      <c r="F1506" s="85">
        <v>81897719002</v>
      </c>
      <c r="G1506" s="71">
        <f t="shared" ref="G1506:G1519" si="139">M1506</f>
        <v>256.15688</v>
      </c>
      <c r="H1506" s="71">
        <f t="shared" ref="H1506:H1519" si="140">G1506*C1506</f>
        <v>256.15688</v>
      </c>
      <c r="I1506" s="71">
        <f t="shared" ref="I1506:I1519" si="141">G1506</f>
        <v>256.15688</v>
      </c>
      <c r="J1506" s="71">
        <f t="shared" ref="J1506:J1519" si="142">I1506*C1506</f>
        <v>256.15688</v>
      </c>
      <c r="K1506" s="72">
        <v>0</v>
      </c>
      <c r="M1506" s="58">
        <f>VLOOKUP(D1506,'TABELA DE PRECOS'!B:C,2,0)</f>
        <v>256.15688</v>
      </c>
    </row>
    <row r="1507" spans="1:13" ht="15.75" customHeight="1" x14ac:dyDescent="0.25">
      <c r="A1507" s="73">
        <v>1</v>
      </c>
      <c r="B1507" s="84" t="s">
        <v>1450</v>
      </c>
      <c r="C1507" s="73">
        <v>1</v>
      </c>
      <c r="D1507" s="85" t="s">
        <v>1451</v>
      </c>
      <c r="E1507" s="86" t="s">
        <v>131</v>
      </c>
      <c r="F1507" s="85">
        <v>81897719002</v>
      </c>
      <c r="G1507" s="71">
        <f t="shared" si="139"/>
        <v>190.69832</v>
      </c>
      <c r="H1507" s="71">
        <f t="shared" si="140"/>
        <v>190.69832</v>
      </c>
      <c r="I1507" s="71">
        <f t="shared" si="141"/>
        <v>190.69832</v>
      </c>
      <c r="J1507" s="71">
        <f t="shared" si="142"/>
        <v>190.69832</v>
      </c>
      <c r="K1507" s="72">
        <v>0</v>
      </c>
      <c r="M1507" s="58">
        <f>VLOOKUP(D1507,'TABELA DE PRECOS'!B:C,2,0)</f>
        <v>190.69832</v>
      </c>
    </row>
    <row r="1508" spans="1:13" ht="15.75" customHeight="1" x14ac:dyDescent="0.25">
      <c r="A1508" s="73">
        <v>2</v>
      </c>
      <c r="B1508" s="84" t="s">
        <v>1452</v>
      </c>
      <c r="C1508" s="73">
        <v>1</v>
      </c>
      <c r="D1508" s="85" t="s">
        <v>1453</v>
      </c>
      <c r="E1508" s="86" t="s">
        <v>131</v>
      </c>
      <c r="F1508" s="85">
        <v>81897719002</v>
      </c>
      <c r="G1508" s="71">
        <f t="shared" si="139"/>
        <v>190.69832</v>
      </c>
      <c r="H1508" s="71">
        <f t="shared" si="140"/>
        <v>190.69832</v>
      </c>
      <c r="I1508" s="71">
        <f t="shared" si="141"/>
        <v>190.69832</v>
      </c>
      <c r="J1508" s="71">
        <f t="shared" si="142"/>
        <v>190.69832</v>
      </c>
      <c r="K1508" s="72">
        <v>0</v>
      </c>
      <c r="M1508" s="58">
        <f>VLOOKUP(D1508,'TABELA DE PRECOS'!B:C,2,0)</f>
        <v>190.69832</v>
      </c>
    </row>
    <row r="1509" spans="1:13" ht="15.75" customHeight="1" x14ac:dyDescent="0.25">
      <c r="A1509" s="73">
        <v>3</v>
      </c>
      <c r="B1509" s="84" t="s">
        <v>1454</v>
      </c>
      <c r="C1509" s="73">
        <v>1</v>
      </c>
      <c r="D1509" s="85" t="s">
        <v>1455</v>
      </c>
      <c r="E1509" s="86" t="s">
        <v>131</v>
      </c>
      <c r="F1509" s="85">
        <v>81897719002</v>
      </c>
      <c r="G1509" s="71">
        <f t="shared" si="139"/>
        <v>190.69832</v>
      </c>
      <c r="H1509" s="71">
        <f t="shared" si="140"/>
        <v>190.69832</v>
      </c>
      <c r="I1509" s="71">
        <f t="shared" si="141"/>
        <v>190.69832</v>
      </c>
      <c r="J1509" s="71">
        <f t="shared" si="142"/>
        <v>190.69832</v>
      </c>
      <c r="K1509" s="72">
        <v>0</v>
      </c>
      <c r="M1509" s="58">
        <f>VLOOKUP(D1509,'TABELA DE PRECOS'!B:C,2,0)</f>
        <v>190.69832</v>
      </c>
    </row>
    <row r="1510" spans="1:13" ht="15.75" customHeight="1" x14ac:dyDescent="0.25">
      <c r="A1510" s="73">
        <v>4</v>
      </c>
      <c r="B1510" s="84" t="s">
        <v>1456</v>
      </c>
      <c r="C1510" s="73">
        <v>1</v>
      </c>
      <c r="D1510" s="85" t="s">
        <v>1457</v>
      </c>
      <c r="E1510" s="86" t="s">
        <v>131</v>
      </c>
      <c r="F1510" s="85">
        <v>81897719002</v>
      </c>
      <c r="G1510" s="71">
        <f t="shared" si="139"/>
        <v>26.47512</v>
      </c>
      <c r="H1510" s="71">
        <f t="shared" si="140"/>
        <v>26.47512</v>
      </c>
      <c r="I1510" s="71">
        <f t="shared" si="141"/>
        <v>26.47512</v>
      </c>
      <c r="J1510" s="71">
        <f t="shared" si="142"/>
        <v>26.47512</v>
      </c>
      <c r="K1510" s="72">
        <v>0</v>
      </c>
      <c r="M1510" s="58">
        <f>VLOOKUP(D1510,'TABELA DE PRECOS'!B:C,2,0)</f>
        <v>26.47512</v>
      </c>
    </row>
    <row r="1511" spans="1:13" ht="15.75" customHeight="1" x14ac:dyDescent="0.25">
      <c r="A1511" s="73">
        <v>5</v>
      </c>
      <c r="B1511" s="84" t="s">
        <v>1458</v>
      </c>
      <c r="C1511" s="73">
        <v>2</v>
      </c>
      <c r="D1511" s="85" t="s">
        <v>1459</v>
      </c>
      <c r="E1511" s="86" t="s">
        <v>131</v>
      </c>
      <c r="F1511" s="85">
        <v>81897719002</v>
      </c>
      <c r="G1511" s="71">
        <f t="shared" si="139"/>
        <v>38.96696</v>
      </c>
      <c r="H1511" s="71">
        <f t="shared" si="140"/>
        <v>77.933920000000001</v>
      </c>
      <c r="I1511" s="71">
        <f t="shared" si="141"/>
        <v>38.96696</v>
      </c>
      <c r="J1511" s="71">
        <f t="shared" si="142"/>
        <v>77.933920000000001</v>
      </c>
      <c r="K1511" s="72">
        <v>0</v>
      </c>
      <c r="M1511" s="58">
        <f>VLOOKUP(D1511,'TABELA DE PRECOS'!B:C,2,0)</f>
        <v>38.96696</v>
      </c>
    </row>
    <row r="1512" spans="1:13" ht="15.75" customHeight="1" x14ac:dyDescent="0.25">
      <c r="A1512" s="73">
        <v>6</v>
      </c>
      <c r="B1512" s="84" t="s">
        <v>1460</v>
      </c>
      <c r="C1512" s="73">
        <v>2</v>
      </c>
      <c r="D1512" s="85" t="s">
        <v>1461</v>
      </c>
      <c r="E1512" s="86" t="s">
        <v>131</v>
      </c>
      <c r="F1512" s="85">
        <v>81897719002</v>
      </c>
      <c r="G1512" s="71">
        <f t="shared" si="139"/>
        <v>38.96696</v>
      </c>
      <c r="H1512" s="71">
        <f t="shared" si="140"/>
        <v>77.933920000000001</v>
      </c>
      <c r="I1512" s="71">
        <f t="shared" si="141"/>
        <v>38.96696</v>
      </c>
      <c r="J1512" s="71">
        <f t="shared" si="142"/>
        <v>77.933920000000001</v>
      </c>
      <c r="K1512" s="72">
        <v>0</v>
      </c>
      <c r="M1512" s="58">
        <f>VLOOKUP(D1512,'TABELA DE PRECOS'!B:C,2,0)</f>
        <v>38.96696</v>
      </c>
    </row>
    <row r="1513" spans="1:13" ht="15.75" customHeight="1" x14ac:dyDescent="0.25">
      <c r="A1513" s="73">
        <v>7</v>
      </c>
      <c r="B1513" s="84" t="s">
        <v>1462</v>
      </c>
      <c r="C1513" s="73">
        <v>2</v>
      </c>
      <c r="D1513" s="85" t="s">
        <v>1463</v>
      </c>
      <c r="E1513" s="86" t="s">
        <v>131</v>
      </c>
      <c r="F1513" s="85">
        <v>81897719002</v>
      </c>
      <c r="G1513" s="71">
        <f t="shared" si="139"/>
        <v>38.96696</v>
      </c>
      <c r="H1513" s="71">
        <f t="shared" si="140"/>
        <v>77.933920000000001</v>
      </c>
      <c r="I1513" s="71">
        <f t="shared" si="141"/>
        <v>38.96696</v>
      </c>
      <c r="J1513" s="71">
        <f t="shared" si="142"/>
        <v>77.933920000000001</v>
      </c>
      <c r="K1513" s="72">
        <v>0</v>
      </c>
      <c r="M1513" s="58">
        <f>VLOOKUP(D1513,'TABELA DE PRECOS'!B:C,2,0)</f>
        <v>38.96696</v>
      </c>
    </row>
    <row r="1514" spans="1:13" ht="15.75" customHeight="1" x14ac:dyDescent="0.25">
      <c r="A1514" s="73">
        <v>8</v>
      </c>
      <c r="B1514" s="84" t="s">
        <v>1464</v>
      </c>
      <c r="C1514" s="73">
        <v>2</v>
      </c>
      <c r="D1514" s="85" t="s">
        <v>1465</v>
      </c>
      <c r="E1514" s="86" t="s">
        <v>131</v>
      </c>
      <c r="F1514" s="85">
        <v>81897719002</v>
      </c>
      <c r="G1514" s="71">
        <f t="shared" si="139"/>
        <v>38.96696</v>
      </c>
      <c r="H1514" s="71">
        <f t="shared" si="140"/>
        <v>77.933920000000001</v>
      </c>
      <c r="I1514" s="71">
        <f t="shared" si="141"/>
        <v>38.96696</v>
      </c>
      <c r="J1514" s="71">
        <f t="shared" si="142"/>
        <v>77.933920000000001</v>
      </c>
      <c r="K1514" s="72">
        <v>0</v>
      </c>
      <c r="M1514" s="58">
        <f>VLOOKUP(D1514,'TABELA DE PRECOS'!B:C,2,0)</f>
        <v>38.96696</v>
      </c>
    </row>
    <row r="1515" spans="1:13" ht="15.75" customHeight="1" x14ac:dyDescent="0.25">
      <c r="A1515" s="73">
        <v>9</v>
      </c>
      <c r="B1515" s="84" t="s">
        <v>1466</v>
      </c>
      <c r="C1515" s="73">
        <v>2</v>
      </c>
      <c r="D1515" s="85" t="s">
        <v>1467</v>
      </c>
      <c r="E1515" s="86" t="s">
        <v>131</v>
      </c>
      <c r="F1515" s="85">
        <v>81897719002</v>
      </c>
      <c r="G1515" s="71">
        <f t="shared" si="139"/>
        <v>38.96696</v>
      </c>
      <c r="H1515" s="71">
        <f t="shared" si="140"/>
        <v>77.933920000000001</v>
      </c>
      <c r="I1515" s="71">
        <f t="shared" si="141"/>
        <v>38.96696</v>
      </c>
      <c r="J1515" s="71">
        <f t="shared" si="142"/>
        <v>77.933920000000001</v>
      </c>
      <c r="K1515" s="72">
        <v>0</v>
      </c>
      <c r="L1515" s="63"/>
      <c r="M1515" s="58">
        <f>VLOOKUP(D1515,'TABELA DE PRECOS'!B:C,2,0)</f>
        <v>38.96696</v>
      </c>
    </row>
    <row r="1516" spans="1:13" ht="15.75" customHeight="1" x14ac:dyDescent="0.25">
      <c r="A1516" s="73">
        <v>10</v>
      </c>
      <c r="B1516" s="84" t="s">
        <v>630</v>
      </c>
      <c r="C1516" s="73">
        <v>1</v>
      </c>
      <c r="D1516" s="85" t="s">
        <v>631</v>
      </c>
      <c r="E1516" s="86" t="s">
        <v>131</v>
      </c>
      <c r="F1516" s="85" t="s">
        <v>223</v>
      </c>
      <c r="G1516" s="71">
        <f t="shared" si="139"/>
        <v>602.25335999999993</v>
      </c>
      <c r="H1516" s="71">
        <f t="shared" si="140"/>
        <v>602.25335999999993</v>
      </c>
      <c r="I1516" s="71">
        <f t="shared" si="141"/>
        <v>602.25335999999993</v>
      </c>
      <c r="J1516" s="71">
        <f t="shared" si="142"/>
        <v>602.25335999999993</v>
      </c>
      <c r="K1516" s="72">
        <v>0</v>
      </c>
      <c r="M1516" s="58">
        <f>VLOOKUP(D1516,'TABELA DE PRECOS'!B:C,2,0)</f>
        <v>602.25335999999993</v>
      </c>
    </row>
    <row r="1517" spans="1:13" ht="15.75" customHeight="1" x14ac:dyDescent="0.25">
      <c r="A1517" s="73">
        <v>11</v>
      </c>
      <c r="B1517" s="84" t="s">
        <v>376</v>
      </c>
      <c r="C1517" s="73">
        <v>1</v>
      </c>
      <c r="D1517" s="85" t="s">
        <v>632</v>
      </c>
      <c r="E1517" s="86" t="s">
        <v>131</v>
      </c>
      <c r="F1517" s="85" t="s">
        <v>223</v>
      </c>
      <c r="G1517" s="71">
        <f t="shared" si="139"/>
        <v>514.57000000000005</v>
      </c>
      <c r="H1517" s="71">
        <f t="shared" si="140"/>
        <v>514.57000000000005</v>
      </c>
      <c r="I1517" s="71">
        <f t="shared" si="141"/>
        <v>514.57000000000005</v>
      </c>
      <c r="J1517" s="71">
        <f t="shared" si="142"/>
        <v>514.57000000000005</v>
      </c>
      <c r="K1517" s="72">
        <v>0</v>
      </c>
      <c r="M1517" s="58">
        <f>VLOOKUP(D1517,'TABELA DE PRECOS'!B:C,2,0)</f>
        <v>514.57000000000005</v>
      </c>
    </row>
    <row r="1518" spans="1:13" ht="15.75" customHeight="1" x14ac:dyDescent="0.25">
      <c r="A1518" s="73">
        <v>12</v>
      </c>
      <c r="B1518" s="84" t="s">
        <v>372</v>
      </c>
      <c r="C1518" s="73">
        <v>1</v>
      </c>
      <c r="D1518" s="85" t="s">
        <v>373</v>
      </c>
      <c r="E1518" s="86" t="s">
        <v>131</v>
      </c>
      <c r="F1518" s="85" t="s">
        <v>223</v>
      </c>
      <c r="G1518" s="71">
        <f t="shared" si="139"/>
        <v>452.16</v>
      </c>
      <c r="H1518" s="71">
        <f t="shared" si="140"/>
        <v>452.16</v>
      </c>
      <c r="I1518" s="71">
        <f t="shared" si="141"/>
        <v>452.16</v>
      </c>
      <c r="J1518" s="71">
        <f t="shared" si="142"/>
        <v>452.16</v>
      </c>
      <c r="K1518" s="72">
        <v>0</v>
      </c>
      <c r="M1518" s="58">
        <f>VLOOKUP(D1518,'TABELA DE PRECOS'!B:C,2,0)</f>
        <v>452.16</v>
      </c>
    </row>
    <row r="1519" spans="1:13" ht="15.75" customHeight="1" x14ac:dyDescent="0.25">
      <c r="A1519" s="73">
        <v>13</v>
      </c>
      <c r="B1519" s="84" t="s">
        <v>378</v>
      </c>
      <c r="C1519" s="73">
        <v>2</v>
      </c>
      <c r="D1519" s="85" t="s">
        <v>633</v>
      </c>
      <c r="E1519" s="86" t="s">
        <v>131</v>
      </c>
      <c r="F1519" s="85" t="s">
        <v>223</v>
      </c>
      <c r="G1519" s="71">
        <f t="shared" si="139"/>
        <v>9.18</v>
      </c>
      <c r="H1519" s="71">
        <f t="shared" si="140"/>
        <v>18.36</v>
      </c>
      <c r="I1519" s="71">
        <f t="shared" si="141"/>
        <v>9.18</v>
      </c>
      <c r="J1519" s="71">
        <f t="shared" si="142"/>
        <v>18.36</v>
      </c>
      <c r="K1519" s="72">
        <v>0</v>
      </c>
      <c r="M1519" s="58">
        <f>VLOOKUP(D1519,'TABELA DE PRECOS'!B:C,2,0)</f>
        <v>9.18</v>
      </c>
    </row>
    <row r="1520" spans="1:13" ht="15.75" customHeight="1" x14ac:dyDescent="0.25">
      <c r="A1520" s="78"/>
      <c r="B1520" s="79" t="s">
        <v>224</v>
      </c>
      <c r="C1520" s="79">
        <f>SUM(C1506:C1519)</f>
        <v>20</v>
      </c>
      <c r="D1520" s="79"/>
      <c r="E1520" s="79"/>
      <c r="F1520" s="79"/>
      <c r="G1520" s="80"/>
      <c r="H1520" s="80">
        <f>SUM(H1506:H1519)</f>
        <v>2831.7399199999995</v>
      </c>
      <c r="I1520" s="79"/>
      <c r="J1520" s="80">
        <f>SUM(J1506:J1519)</f>
        <v>2831.7399199999995</v>
      </c>
      <c r="K1520" s="81"/>
      <c r="M1520" s="58" t="e">
        <f>VLOOKUP(D1520,'TABELA DE PRECOS'!B:C,2,0)</f>
        <v>#N/A</v>
      </c>
    </row>
    <row r="1521" spans="1:13" ht="15.75" customHeight="1" x14ac:dyDescent="0.25">
      <c r="A1521" s="57"/>
      <c r="B1521" s="49" t="s">
        <v>15</v>
      </c>
      <c r="C1521" s="57"/>
      <c r="D1521" s="90"/>
      <c r="E1521" s="90"/>
      <c r="F1521" s="90"/>
      <c r="G1521" s="58"/>
      <c r="H1521" s="58"/>
      <c r="I1521" s="58"/>
      <c r="J1521" s="58"/>
      <c r="K1521" s="59"/>
      <c r="M1521" s="58" t="e">
        <f>VLOOKUP(D1521,'TABELA DE PRECOS'!B:C,2,0)</f>
        <v>#N/A</v>
      </c>
    </row>
    <row r="1522" spans="1:13" ht="15.75" customHeight="1" x14ac:dyDescent="0.25">
      <c r="A1522" s="57"/>
      <c r="B1522" s="18" t="s">
        <v>1468</v>
      </c>
      <c r="C1522" s="57"/>
      <c r="D1522" s="90"/>
      <c r="E1522" s="90"/>
      <c r="F1522" s="90"/>
      <c r="G1522" s="58"/>
      <c r="H1522" s="58"/>
      <c r="I1522" s="58"/>
      <c r="J1522" s="58"/>
      <c r="K1522" s="59"/>
      <c r="M1522" s="58" t="e">
        <f>VLOOKUP(D1522,'TABELA DE PRECOS'!B:C,2,0)</f>
        <v>#N/A</v>
      </c>
    </row>
    <row r="1523" spans="1:13" ht="15.75" customHeight="1" x14ac:dyDescent="0.25">
      <c r="A1523" s="18" t="s">
        <v>119</v>
      </c>
      <c r="B1523" s="18" t="s">
        <v>120</v>
      </c>
      <c r="C1523" s="18" t="s">
        <v>21</v>
      </c>
      <c r="D1523" s="18" t="s">
        <v>121</v>
      </c>
      <c r="E1523" s="60" t="s">
        <v>122</v>
      </c>
      <c r="F1523" s="18" t="s">
        <v>123</v>
      </c>
      <c r="G1523" s="61" t="s">
        <v>22</v>
      </c>
      <c r="H1523" s="18" t="s">
        <v>23</v>
      </c>
      <c r="I1523" s="18" t="s">
        <v>24</v>
      </c>
      <c r="J1523" s="18" t="s">
        <v>25</v>
      </c>
      <c r="K1523" s="62" t="s">
        <v>26</v>
      </c>
      <c r="M1523" s="58" t="str">
        <f>VLOOKUP(D1523,'TABELA DE PRECOS'!B:C,2,0)</f>
        <v>Valor Unit Bruto</v>
      </c>
    </row>
    <row r="1524" spans="1:13" ht="15.75" customHeight="1" x14ac:dyDescent="0.25">
      <c r="A1524" s="65">
        <v>1</v>
      </c>
      <c r="B1524" s="84" t="s">
        <v>1469</v>
      </c>
      <c r="C1524" s="73">
        <v>5</v>
      </c>
      <c r="D1524" s="85">
        <v>11227</v>
      </c>
      <c r="E1524" s="92" t="s">
        <v>439</v>
      </c>
      <c r="F1524" s="85">
        <v>81087610012</v>
      </c>
      <c r="G1524" s="71">
        <f t="shared" ref="G1524:G1525" si="143">M1524</f>
        <v>675.82007999999996</v>
      </c>
      <c r="H1524" s="71">
        <f t="shared" ref="H1524:H1525" si="144">G1524*C1524</f>
        <v>3379.1003999999998</v>
      </c>
      <c r="I1524" s="71">
        <f t="shared" ref="I1524:I1525" si="145">G1524</f>
        <v>675.82007999999996</v>
      </c>
      <c r="J1524" s="71">
        <f t="shared" ref="J1524:J1525" si="146">I1524*C1524</f>
        <v>3379.1003999999998</v>
      </c>
      <c r="K1524" s="72">
        <v>0</v>
      </c>
      <c r="M1524" s="58">
        <f>VLOOKUP(D1524,'TABELA DE PRECOS'!B:C,2,0)</f>
        <v>675.82007999999996</v>
      </c>
    </row>
    <row r="1525" spans="1:13" ht="15.75" customHeight="1" x14ac:dyDescent="0.25">
      <c r="A1525" s="65">
        <v>2</v>
      </c>
      <c r="B1525" s="84" t="s">
        <v>1470</v>
      </c>
      <c r="C1525" s="73">
        <v>5</v>
      </c>
      <c r="D1525" s="85">
        <v>13039</v>
      </c>
      <c r="E1525" s="92" t="s">
        <v>439</v>
      </c>
      <c r="F1525" s="85">
        <v>81087610012</v>
      </c>
      <c r="G1525" s="71">
        <f t="shared" si="143"/>
        <v>918.01015999999993</v>
      </c>
      <c r="H1525" s="71">
        <f t="shared" si="144"/>
        <v>4590.0508</v>
      </c>
      <c r="I1525" s="71">
        <f t="shared" si="145"/>
        <v>918.01015999999993</v>
      </c>
      <c r="J1525" s="71">
        <f t="shared" si="146"/>
        <v>4590.0508</v>
      </c>
      <c r="K1525" s="72">
        <v>0</v>
      </c>
      <c r="M1525" s="58">
        <f>VLOOKUP(D1525,'TABELA DE PRECOS'!B:C,2,0)</f>
        <v>918.01015999999993</v>
      </c>
    </row>
    <row r="1526" spans="1:13" ht="15.75" customHeight="1" x14ac:dyDescent="0.25">
      <c r="A1526" s="78"/>
      <c r="B1526" s="79" t="s">
        <v>224</v>
      </c>
      <c r="C1526" s="79">
        <f>SUM(C1524:C1525)</f>
        <v>10</v>
      </c>
      <c r="D1526" s="79"/>
      <c r="E1526" s="79"/>
      <c r="F1526" s="79"/>
      <c r="G1526" s="80"/>
      <c r="H1526" s="80">
        <f>SUM(H1524:H1525)</f>
        <v>7969.1512000000002</v>
      </c>
      <c r="I1526" s="79"/>
      <c r="J1526" s="80">
        <f>SUM(J1524:J1525)</f>
        <v>7969.1512000000002</v>
      </c>
      <c r="K1526" s="81"/>
      <c r="M1526" s="58" t="e">
        <f>VLOOKUP(D1526,'TABELA DE PRECOS'!B:C,2,0)</f>
        <v>#N/A</v>
      </c>
    </row>
    <row r="1527" spans="1:13" ht="15.75" customHeight="1" x14ac:dyDescent="0.25">
      <c r="A1527" s="56"/>
      <c r="B1527" s="49" t="s">
        <v>15</v>
      </c>
      <c r="C1527" s="57"/>
      <c r="G1527" s="58"/>
      <c r="H1527" s="58"/>
      <c r="I1527" s="58"/>
      <c r="J1527" s="58"/>
      <c r="K1527" s="59"/>
      <c r="M1527" s="58" t="e">
        <f>VLOOKUP(D1527,'TABELA DE PRECOS'!B:C,2,0)</f>
        <v>#N/A</v>
      </c>
    </row>
    <row r="1528" spans="1:13" ht="15.75" customHeight="1" x14ac:dyDescent="0.25">
      <c r="A1528" s="56"/>
      <c r="B1528" s="18" t="s">
        <v>1471</v>
      </c>
      <c r="C1528" s="57"/>
      <c r="G1528" s="58"/>
      <c r="H1528" s="58"/>
      <c r="I1528" s="58"/>
      <c r="J1528" s="58"/>
      <c r="K1528" s="59"/>
      <c r="M1528" s="58" t="e">
        <f>VLOOKUP(D1528,'TABELA DE PRECOS'!B:C,2,0)</f>
        <v>#N/A</v>
      </c>
    </row>
    <row r="1529" spans="1:13" ht="15.75" customHeight="1" x14ac:dyDescent="0.25">
      <c r="A1529" s="18" t="s">
        <v>119</v>
      </c>
      <c r="B1529" s="18" t="s">
        <v>120</v>
      </c>
      <c r="C1529" s="18" t="s">
        <v>21</v>
      </c>
      <c r="D1529" s="18" t="s">
        <v>121</v>
      </c>
      <c r="E1529" s="60" t="s">
        <v>122</v>
      </c>
      <c r="F1529" s="18" t="s">
        <v>123</v>
      </c>
      <c r="G1529" s="61" t="s">
        <v>22</v>
      </c>
      <c r="H1529" s="18" t="s">
        <v>23</v>
      </c>
      <c r="I1529" s="18" t="s">
        <v>24</v>
      </c>
      <c r="J1529" s="18" t="s">
        <v>25</v>
      </c>
      <c r="K1529" s="62" t="s">
        <v>26</v>
      </c>
      <c r="M1529" s="58" t="str">
        <f>VLOOKUP(D1529,'TABELA DE PRECOS'!B:C,2,0)</f>
        <v>Valor Unit Bruto</v>
      </c>
    </row>
    <row r="1530" spans="1:13" ht="15.75" customHeight="1" x14ac:dyDescent="0.25">
      <c r="A1530" s="65">
        <v>1</v>
      </c>
      <c r="B1530" s="84" t="s">
        <v>1472</v>
      </c>
      <c r="C1530" s="73">
        <v>1</v>
      </c>
      <c r="D1530" s="85" t="s">
        <v>1473</v>
      </c>
      <c r="E1530" s="86" t="s">
        <v>131</v>
      </c>
      <c r="F1530" s="85">
        <v>81897719002</v>
      </c>
      <c r="G1530" s="71">
        <f t="shared" ref="G1530:G1532" si="147">M1530</f>
        <v>177.98400000000001</v>
      </c>
      <c r="H1530" s="71">
        <f t="shared" ref="H1530:H1532" si="148">G1530*C1530</f>
        <v>177.98400000000001</v>
      </c>
      <c r="I1530" s="71">
        <f t="shared" ref="I1530:I1532" si="149">G1530</f>
        <v>177.98400000000001</v>
      </c>
      <c r="J1530" s="71">
        <f t="shared" ref="J1530:J1532" si="150">I1530*C1530</f>
        <v>177.98400000000001</v>
      </c>
      <c r="K1530" s="72">
        <v>0</v>
      </c>
      <c r="M1530" s="58">
        <f>VLOOKUP(D1530,'TABELA DE PRECOS'!B:C,2,0)</f>
        <v>177.98400000000001</v>
      </c>
    </row>
    <row r="1531" spans="1:13" ht="15.75" customHeight="1" x14ac:dyDescent="0.25">
      <c r="A1531" s="65">
        <v>2</v>
      </c>
      <c r="B1531" s="84" t="s">
        <v>925</v>
      </c>
      <c r="C1531" s="73">
        <v>1</v>
      </c>
      <c r="D1531" s="85" t="s">
        <v>926</v>
      </c>
      <c r="E1531" s="86" t="s">
        <v>131</v>
      </c>
      <c r="F1531" s="85">
        <v>81897719002</v>
      </c>
      <c r="G1531" s="71">
        <f t="shared" si="147"/>
        <v>216</v>
      </c>
      <c r="H1531" s="71">
        <f t="shared" si="148"/>
        <v>216</v>
      </c>
      <c r="I1531" s="71">
        <f t="shared" si="149"/>
        <v>216</v>
      </c>
      <c r="J1531" s="71">
        <f t="shared" si="150"/>
        <v>216</v>
      </c>
      <c r="K1531" s="72">
        <v>0</v>
      </c>
      <c r="M1531" s="58">
        <f>VLOOKUP(D1531,'TABELA DE PRECOS'!B:C,2,0)</f>
        <v>216</v>
      </c>
    </row>
    <row r="1532" spans="1:13" ht="15.75" customHeight="1" x14ac:dyDescent="0.25">
      <c r="A1532" s="65">
        <v>3</v>
      </c>
      <c r="B1532" s="84" t="s">
        <v>1474</v>
      </c>
      <c r="C1532" s="73">
        <v>1</v>
      </c>
      <c r="D1532" s="85" t="s">
        <v>1475</v>
      </c>
      <c r="E1532" s="86" t="s">
        <v>131</v>
      </c>
      <c r="F1532" s="85">
        <v>81897719002</v>
      </c>
      <c r="G1532" s="71">
        <f t="shared" si="147"/>
        <v>205.09360000000001</v>
      </c>
      <c r="H1532" s="71">
        <f t="shared" si="148"/>
        <v>205.09360000000001</v>
      </c>
      <c r="I1532" s="71">
        <f t="shared" si="149"/>
        <v>205.09360000000001</v>
      </c>
      <c r="J1532" s="71">
        <f t="shared" si="150"/>
        <v>205.09360000000001</v>
      </c>
      <c r="K1532" s="72">
        <v>0</v>
      </c>
      <c r="L1532" s="63"/>
      <c r="M1532" s="58">
        <f>VLOOKUP(D1532,'TABELA DE PRECOS'!B:C,2,0)</f>
        <v>205.09360000000001</v>
      </c>
    </row>
    <row r="1533" spans="1:13" ht="15.75" customHeight="1" x14ac:dyDescent="0.25">
      <c r="A1533" s="78"/>
      <c r="B1533" s="79" t="s">
        <v>224</v>
      </c>
      <c r="C1533" s="79">
        <f>SUM(C1530:C1532)</f>
        <v>3</v>
      </c>
      <c r="D1533" s="79"/>
      <c r="E1533" s="79"/>
      <c r="F1533" s="79"/>
      <c r="G1533" s="80"/>
      <c r="H1533" s="80">
        <f>SUM(H1530:H1532)</f>
        <v>599.07760000000007</v>
      </c>
      <c r="I1533" s="79"/>
      <c r="J1533" s="80">
        <f>SUM(J1530:J1532)</f>
        <v>599.07760000000007</v>
      </c>
      <c r="K1533" s="81"/>
      <c r="M1533" s="58" t="e">
        <f>VLOOKUP(D1533,'TABELA DE PRECOS'!B:C,2,0)</f>
        <v>#N/A</v>
      </c>
    </row>
    <row r="1534" spans="1:13" ht="15.75" customHeight="1" x14ac:dyDescent="0.25">
      <c r="A1534" s="56"/>
      <c r="C1534" s="57"/>
      <c r="G1534" s="58"/>
      <c r="H1534" s="58"/>
      <c r="I1534" s="58"/>
      <c r="J1534" s="58"/>
      <c r="K1534" s="59"/>
      <c r="M1534" s="58" t="e">
        <f>VLOOKUP(D1534,'TABELA DE PRECOS'!B:C,2,0)</f>
        <v>#N/A</v>
      </c>
    </row>
    <row r="1535" spans="1:13" ht="15.75" customHeight="1" x14ac:dyDescent="0.25">
      <c r="A1535" s="56"/>
      <c r="B1535" s="18" t="s">
        <v>1476</v>
      </c>
      <c r="C1535" s="57"/>
      <c r="G1535" s="58"/>
      <c r="H1535" s="58"/>
      <c r="I1535" s="58"/>
      <c r="J1535" s="58"/>
      <c r="K1535" s="59"/>
      <c r="M1535" s="58" t="e">
        <f>VLOOKUP(D1535,'TABELA DE PRECOS'!B:C,2,0)</f>
        <v>#N/A</v>
      </c>
    </row>
    <row r="1536" spans="1:13" ht="15.75" customHeight="1" x14ac:dyDescent="0.25">
      <c r="A1536" s="18" t="s">
        <v>119</v>
      </c>
      <c r="B1536" s="18" t="s">
        <v>120</v>
      </c>
      <c r="C1536" s="18" t="s">
        <v>21</v>
      </c>
      <c r="D1536" s="18" t="s">
        <v>121</v>
      </c>
      <c r="E1536" s="60" t="s">
        <v>122</v>
      </c>
      <c r="F1536" s="18" t="s">
        <v>123</v>
      </c>
      <c r="G1536" s="61" t="s">
        <v>22</v>
      </c>
      <c r="H1536" s="18" t="s">
        <v>23</v>
      </c>
      <c r="I1536" s="18" t="s">
        <v>24</v>
      </c>
      <c r="J1536" s="18" t="s">
        <v>25</v>
      </c>
      <c r="K1536" s="62" t="s">
        <v>26</v>
      </c>
      <c r="M1536" s="58" t="str">
        <f>VLOOKUP(D1536,'TABELA DE PRECOS'!B:C,2,0)</f>
        <v>Valor Unit Bruto</v>
      </c>
    </row>
    <row r="1537" spans="1:13" ht="15.75" customHeight="1" x14ac:dyDescent="0.25">
      <c r="A1537" s="65">
        <v>1</v>
      </c>
      <c r="B1537" s="84" t="s">
        <v>1477</v>
      </c>
      <c r="C1537" s="73">
        <v>4</v>
      </c>
      <c r="D1537" s="107" t="s">
        <v>1478</v>
      </c>
      <c r="E1537" s="86" t="s">
        <v>131</v>
      </c>
      <c r="F1537" s="107">
        <v>81897719002</v>
      </c>
      <c r="G1537" s="71">
        <f t="shared" ref="G1537:G1543" si="151">M1537</f>
        <v>25.428639999999998</v>
      </c>
      <c r="H1537" s="71">
        <f t="shared" ref="H1537:H1543" si="152">G1537*C1537</f>
        <v>101.71455999999999</v>
      </c>
      <c r="I1537" s="71">
        <f t="shared" ref="I1537:I1543" si="153">G1537</f>
        <v>25.428639999999998</v>
      </c>
      <c r="J1537" s="71">
        <f t="shared" ref="J1537:J1543" si="154">I1537*C1537</f>
        <v>101.71455999999999</v>
      </c>
      <c r="K1537" s="72">
        <v>0</v>
      </c>
      <c r="M1537" s="58">
        <f>VLOOKUP(D1537,'TABELA DE PRECOS'!B:C,2,0)</f>
        <v>25.428639999999998</v>
      </c>
    </row>
    <row r="1538" spans="1:13" ht="15.75" customHeight="1" x14ac:dyDescent="0.25">
      <c r="A1538" s="65">
        <v>2</v>
      </c>
      <c r="B1538" s="95" t="s">
        <v>1479</v>
      </c>
      <c r="C1538" s="82">
        <v>1</v>
      </c>
      <c r="D1538" s="74" t="s">
        <v>1480</v>
      </c>
      <c r="E1538" s="69" t="s">
        <v>126</v>
      </c>
      <c r="F1538" s="74">
        <v>10301950026</v>
      </c>
      <c r="G1538" s="71">
        <f t="shared" si="151"/>
        <v>463.49176</v>
      </c>
      <c r="H1538" s="71">
        <f t="shared" si="152"/>
        <v>463.49176</v>
      </c>
      <c r="I1538" s="71">
        <f t="shared" si="153"/>
        <v>463.49176</v>
      </c>
      <c r="J1538" s="71">
        <f t="shared" si="154"/>
        <v>463.49176</v>
      </c>
      <c r="K1538" s="72">
        <v>0</v>
      </c>
      <c r="L1538" s="63"/>
      <c r="M1538" s="58">
        <f>VLOOKUP(D1538,'TABELA DE PRECOS'!B:C,2,0)</f>
        <v>463.49176</v>
      </c>
    </row>
    <row r="1539" spans="1:13" ht="15.75" customHeight="1" x14ac:dyDescent="0.25">
      <c r="A1539" s="65">
        <v>3</v>
      </c>
      <c r="B1539" s="84" t="s">
        <v>1481</v>
      </c>
      <c r="C1539" s="73">
        <v>4</v>
      </c>
      <c r="D1539" s="107" t="s">
        <v>1482</v>
      </c>
      <c r="E1539" s="86" t="s">
        <v>131</v>
      </c>
      <c r="F1539" s="107">
        <v>81897719002</v>
      </c>
      <c r="G1539" s="71">
        <f t="shared" si="151"/>
        <v>39.873360000000005</v>
      </c>
      <c r="H1539" s="71">
        <f t="shared" si="152"/>
        <v>159.49344000000002</v>
      </c>
      <c r="I1539" s="71">
        <f t="shared" si="153"/>
        <v>39.873360000000005</v>
      </c>
      <c r="J1539" s="71">
        <f t="shared" si="154"/>
        <v>159.49344000000002</v>
      </c>
      <c r="K1539" s="72">
        <v>0</v>
      </c>
      <c r="M1539" s="58">
        <f>VLOOKUP(D1539,'TABELA DE PRECOS'!B:C,2,0)</f>
        <v>39.873360000000005</v>
      </c>
    </row>
    <row r="1540" spans="1:13" ht="15.75" customHeight="1" x14ac:dyDescent="0.25">
      <c r="A1540" s="65">
        <v>4</v>
      </c>
      <c r="B1540" s="84" t="s">
        <v>1483</v>
      </c>
      <c r="C1540" s="73">
        <v>3</v>
      </c>
      <c r="D1540" s="91" t="s">
        <v>1484</v>
      </c>
      <c r="E1540" s="86" t="s">
        <v>131</v>
      </c>
      <c r="F1540" s="85">
        <v>81897719002</v>
      </c>
      <c r="G1540" s="71">
        <f t="shared" si="151"/>
        <v>36.008800000000001</v>
      </c>
      <c r="H1540" s="71">
        <f t="shared" si="152"/>
        <v>108.0264</v>
      </c>
      <c r="I1540" s="71">
        <f t="shared" si="153"/>
        <v>36.008800000000001</v>
      </c>
      <c r="J1540" s="71">
        <f t="shared" si="154"/>
        <v>108.0264</v>
      </c>
      <c r="K1540" s="72">
        <v>0</v>
      </c>
      <c r="M1540" s="58">
        <f>VLOOKUP(D1540,'TABELA DE PRECOS'!B:C,2,0)</f>
        <v>36.008800000000001</v>
      </c>
    </row>
    <row r="1541" spans="1:13" ht="15.75" customHeight="1" x14ac:dyDescent="0.25">
      <c r="A1541" s="65">
        <v>5</v>
      </c>
      <c r="B1541" s="84" t="s">
        <v>1485</v>
      </c>
      <c r="C1541" s="73">
        <v>3</v>
      </c>
      <c r="D1541" s="107" t="s">
        <v>1486</v>
      </c>
      <c r="E1541" s="86" t="s">
        <v>131</v>
      </c>
      <c r="F1541" s="107">
        <v>81897719006</v>
      </c>
      <c r="G1541" s="71">
        <f t="shared" si="151"/>
        <v>302.13607999999999</v>
      </c>
      <c r="H1541" s="71">
        <f t="shared" si="152"/>
        <v>906.40823999999998</v>
      </c>
      <c r="I1541" s="71">
        <f t="shared" si="153"/>
        <v>302.13607999999999</v>
      </c>
      <c r="J1541" s="71">
        <f t="shared" si="154"/>
        <v>906.40823999999998</v>
      </c>
      <c r="K1541" s="72">
        <v>0</v>
      </c>
      <c r="M1541" s="58">
        <f>VLOOKUP(D1541,'TABELA DE PRECOS'!B:C,2,0)</f>
        <v>302.13607999999999</v>
      </c>
    </row>
    <row r="1542" spans="1:13" ht="15.75" customHeight="1" x14ac:dyDescent="0.25">
      <c r="A1542" s="65">
        <v>6</v>
      </c>
      <c r="B1542" s="84" t="s">
        <v>1487</v>
      </c>
      <c r="C1542" s="73">
        <v>3</v>
      </c>
      <c r="D1542" s="107" t="s">
        <v>1488</v>
      </c>
      <c r="E1542" s="86" t="s">
        <v>131</v>
      </c>
      <c r="F1542" s="107">
        <v>81897719006</v>
      </c>
      <c r="G1542" s="71">
        <f t="shared" si="151"/>
        <v>302.13607999999999</v>
      </c>
      <c r="H1542" s="71">
        <f t="shared" si="152"/>
        <v>906.40823999999998</v>
      </c>
      <c r="I1542" s="71">
        <f t="shared" si="153"/>
        <v>302.13607999999999</v>
      </c>
      <c r="J1542" s="71">
        <f t="shared" si="154"/>
        <v>906.40823999999998</v>
      </c>
      <c r="K1542" s="72">
        <v>0</v>
      </c>
      <c r="M1542" s="58">
        <f>VLOOKUP(D1542,'TABELA DE PRECOS'!B:C,2,0)</f>
        <v>302.13607999999999</v>
      </c>
    </row>
    <row r="1543" spans="1:13" ht="15.75" customHeight="1" x14ac:dyDescent="0.25">
      <c r="A1543" s="113">
        <v>7</v>
      </c>
      <c r="B1543" s="114" t="s">
        <v>1489</v>
      </c>
      <c r="C1543" s="73">
        <v>3</v>
      </c>
      <c r="D1543" s="107" t="s">
        <v>1490</v>
      </c>
      <c r="E1543" s="86" t="s">
        <v>131</v>
      </c>
      <c r="F1543" s="107">
        <v>81897710042</v>
      </c>
      <c r="G1543" s="71">
        <f t="shared" si="151"/>
        <v>302.13607999999999</v>
      </c>
      <c r="H1543" s="71">
        <f t="shared" si="152"/>
        <v>906.40823999999998</v>
      </c>
      <c r="I1543" s="71">
        <f t="shared" si="153"/>
        <v>302.13607999999999</v>
      </c>
      <c r="J1543" s="71">
        <f t="shared" si="154"/>
        <v>906.40823999999998</v>
      </c>
      <c r="K1543" s="72">
        <v>0</v>
      </c>
      <c r="M1543" s="58">
        <f>VLOOKUP(D1543,'TABELA DE PRECOS'!B:C,2,0)</f>
        <v>302.13607999999999</v>
      </c>
    </row>
    <row r="1544" spans="1:13" ht="15.75" customHeight="1" x14ac:dyDescent="0.25">
      <c r="A1544" s="78"/>
      <c r="B1544" s="79" t="s">
        <v>224</v>
      </c>
      <c r="C1544" s="79">
        <f>SUM(C1537:C1543)</f>
        <v>21</v>
      </c>
      <c r="D1544" s="79"/>
      <c r="E1544" s="79"/>
      <c r="F1544" s="79"/>
      <c r="G1544" s="80"/>
      <c r="H1544" s="80">
        <f>SUM(H1537:H1543)</f>
        <v>3551.9508799999994</v>
      </c>
      <c r="I1544" s="79"/>
      <c r="J1544" s="80">
        <f>SUM(J1537:J1543)</f>
        <v>3551.9508799999994</v>
      </c>
      <c r="K1544" s="81"/>
      <c r="M1544" s="58"/>
    </row>
    <row r="1545" spans="1:13" ht="15.75" customHeight="1" x14ac:dyDescent="0.25">
      <c r="A1545" s="56"/>
      <c r="B1545" s="49" t="s">
        <v>15</v>
      </c>
      <c r="C1545" s="57"/>
      <c r="G1545" s="58"/>
      <c r="H1545" s="58"/>
      <c r="I1545" s="58"/>
      <c r="J1545" s="58"/>
      <c r="K1545" s="59"/>
      <c r="L1545" s="63"/>
      <c r="M1545" s="64"/>
    </row>
    <row r="1546" spans="1:13" ht="15.75" customHeight="1" x14ac:dyDescent="0.25">
      <c r="A1546" s="56"/>
      <c r="B1546" s="49" t="s">
        <v>15</v>
      </c>
      <c r="C1546" s="57"/>
      <c r="G1546" s="58"/>
      <c r="H1546" s="58"/>
      <c r="I1546" s="58"/>
      <c r="J1546" s="58"/>
      <c r="K1546" s="59"/>
      <c r="M1546" s="58"/>
    </row>
    <row r="1547" spans="1:13" ht="15.75" customHeight="1" x14ac:dyDescent="0.25">
      <c r="A1547" s="56"/>
      <c r="B1547" s="49" t="s">
        <v>15</v>
      </c>
      <c r="C1547" s="57"/>
      <c r="G1547" s="58"/>
      <c r="H1547" s="58"/>
      <c r="I1547" s="58"/>
      <c r="J1547" s="58"/>
      <c r="K1547" s="59"/>
      <c r="M1547" s="58"/>
    </row>
    <row r="1548" spans="1:13" ht="15.75" customHeight="1" x14ac:dyDescent="0.25">
      <c r="A1548" s="56"/>
      <c r="B1548" s="49" t="s">
        <v>15</v>
      </c>
      <c r="C1548" s="57"/>
      <c r="G1548" s="58"/>
      <c r="H1548" s="58"/>
      <c r="I1548" s="58"/>
      <c r="J1548" s="58"/>
      <c r="K1548" s="59"/>
      <c r="M1548" s="58"/>
    </row>
    <row r="1549" spans="1:13" ht="15.75" customHeight="1" x14ac:dyDescent="0.25">
      <c r="A1549" s="56"/>
      <c r="B1549" s="49" t="s">
        <v>15</v>
      </c>
      <c r="C1549" s="57"/>
      <c r="G1549" s="58"/>
      <c r="H1549" s="58"/>
      <c r="I1549" s="58"/>
      <c r="J1549" s="58"/>
      <c r="K1549" s="59"/>
      <c r="M1549" s="58"/>
    </row>
    <row r="1550" spans="1:13" ht="15.75" customHeight="1" x14ac:dyDescent="0.25">
      <c r="A1550" s="56"/>
      <c r="B1550" s="49" t="s">
        <v>15</v>
      </c>
      <c r="C1550" s="57"/>
      <c r="G1550" s="58"/>
      <c r="H1550" s="58"/>
      <c r="I1550" s="58"/>
      <c r="J1550" s="58"/>
      <c r="K1550" s="59"/>
      <c r="M1550" s="58"/>
    </row>
  </sheetData>
  <conditionalFormatting sqref="D1329">
    <cfRule type="duplicateValues" dxfId="5" priority="1"/>
    <cfRule type="duplicateValues" dxfId="4" priority="2"/>
    <cfRule type="duplicateValues" dxfId="3" priority="3"/>
  </conditionalFormatting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3"/>
  <sheetViews>
    <sheetView showGridLines="0" topLeftCell="A670" workbookViewId="0">
      <selection activeCell="B701" sqref="B701"/>
    </sheetView>
  </sheetViews>
  <sheetFormatPr defaultColWidth="12.5703125" defaultRowHeight="15" customHeight="1" x14ac:dyDescent="0.25"/>
  <cols>
    <col min="1" max="1" width="125.7109375" customWidth="1"/>
    <col min="2" max="2" width="11.85546875" customWidth="1"/>
    <col min="3" max="3" width="12.42578125" customWidth="1"/>
    <col min="4" max="4" width="11.7109375" customWidth="1"/>
    <col min="5" max="5" width="9.140625" customWidth="1"/>
    <col min="6" max="26" width="8.5703125" customWidth="1"/>
  </cols>
  <sheetData>
    <row r="1" spans="1:26" ht="30" x14ac:dyDescent="0.25">
      <c r="A1" s="18" t="s">
        <v>120</v>
      </c>
      <c r="B1" s="18" t="s">
        <v>121</v>
      </c>
      <c r="C1" s="61" t="s">
        <v>22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x14ac:dyDescent="0.25">
      <c r="A2" s="84" t="s">
        <v>950</v>
      </c>
      <c r="B2" s="85" t="s">
        <v>951</v>
      </c>
      <c r="C2" s="71">
        <v>92.996639999999999</v>
      </c>
    </row>
    <row r="3" spans="1:26" x14ac:dyDescent="0.25">
      <c r="A3" s="84" t="s">
        <v>124</v>
      </c>
      <c r="B3" s="103" t="s">
        <v>125</v>
      </c>
      <c r="C3" s="71">
        <v>353.99104000000005</v>
      </c>
    </row>
    <row r="4" spans="1:26" x14ac:dyDescent="0.25">
      <c r="A4" s="84" t="s">
        <v>1366</v>
      </c>
      <c r="B4" s="85" t="s">
        <v>1367</v>
      </c>
      <c r="C4" s="71">
        <v>21.348960000000002</v>
      </c>
    </row>
    <row r="5" spans="1:26" x14ac:dyDescent="0.25">
      <c r="A5" s="84" t="s">
        <v>440</v>
      </c>
      <c r="B5" s="85" t="s">
        <v>441</v>
      </c>
      <c r="C5" s="71">
        <v>17.646719999999998</v>
      </c>
    </row>
    <row r="6" spans="1:26" x14ac:dyDescent="0.25">
      <c r="A6" s="84" t="s">
        <v>1228</v>
      </c>
      <c r="B6" s="85" t="s">
        <v>1229</v>
      </c>
      <c r="C6" s="71">
        <v>226.78128000000001</v>
      </c>
    </row>
    <row r="7" spans="1:26" x14ac:dyDescent="0.25">
      <c r="A7" s="84" t="s">
        <v>814</v>
      </c>
      <c r="B7" s="85" t="s">
        <v>815</v>
      </c>
      <c r="C7" s="71">
        <v>643.28</v>
      </c>
    </row>
    <row r="8" spans="1:26" x14ac:dyDescent="0.25">
      <c r="A8" s="84" t="s">
        <v>1491</v>
      </c>
      <c r="B8" s="85" t="s">
        <v>1480</v>
      </c>
      <c r="C8" s="71">
        <v>463.49176</v>
      </c>
    </row>
    <row r="9" spans="1:26" x14ac:dyDescent="0.25">
      <c r="A9" s="84" t="s">
        <v>1474</v>
      </c>
      <c r="B9" s="85" t="s">
        <v>1475</v>
      </c>
      <c r="C9" s="71">
        <v>205.09360000000001</v>
      </c>
    </row>
    <row r="10" spans="1:26" x14ac:dyDescent="0.25">
      <c r="A10" s="84" t="s">
        <v>925</v>
      </c>
      <c r="B10" s="85" t="s">
        <v>926</v>
      </c>
      <c r="C10" s="71">
        <v>216</v>
      </c>
    </row>
    <row r="11" spans="1:26" x14ac:dyDescent="0.25">
      <c r="A11" s="84" t="s">
        <v>1472</v>
      </c>
      <c r="B11" s="85" t="s">
        <v>1473</v>
      </c>
      <c r="C11" s="71">
        <v>177.98400000000001</v>
      </c>
    </row>
    <row r="12" spans="1:26" x14ac:dyDescent="0.25">
      <c r="A12" s="84" t="s">
        <v>544</v>
      </c>
      <c r="B12" s="85" t="s">
        <v>545</v>
      </c>
      <c r="C12" s="71">
        <v>266.71232000000003</v>
      </c>
    </row>
    <row r="13" spans="1:26" x14ac:dyDescent="0.25">
      <c r="A13" s="84" t="s">
        <v>954</v>
      </c>
      <c r="B13" s="85" t="s">
        <v>955</v>
      </c>
      <c r="C13" s="71">
        <v>6.7650400000000008</v>
      </c>
    </row>
    <row r="14" spans="1:26" x14ac:dyDescent="0.25">
      <c r="A14" s="84" t="s">
        <v>233</v>
      </c>
      <c r="B14" s="85" t="s">
        <v>234</v>
      </c>
      <c r="C14" s="71">
        <v>135.21664000000001</v>
      </c>
    </row>
    <row r="15" spans="1:26" x14ac:dyDescent="0.25">
      <c r="A15" s="84" t="s">
        <v>231</v>
      </c>
      <c r="B15" s="85" t="s">
        <v>232</v>
      </c>
      <c r="C15" s="71">
        <v>135.21664000000001</v>
      </c>
    </row>
    <row r="16" spans="1:26" x14ac:dyDescent="0.25">
      <c r="A16" s="84" t="s">
        <v>1492</v>
      </c>
      <c r="B16" s="85" t="s">
        <v>1493</v>
      </c>
      <c r="C16" s="71">
        <v>135.21664000000001</v>
      </c>
    </row>
    <row r="17" spans="1:3" x14ac:dyDescent="0.25">
      <c r="A17" s="84" t="s">
        <v>976</v>
      </c>
      <c r="B17" s="84" t="s">
        <v>977</v>
      </c>
      <c r="C17" s="71">
        <v>89.239199999999997</v>
      </c>
    </row>
    <row r="18" spans="1:3" x14ac:dyDescent="0.25">
      <c r="A18" s="84" t="s">
        <v>383</v>
      </c>
      <c r="B18" s="85" t="s">
        <v>384</v>
      </c>
      <c r="C18" s="71">
        <v>207.48235200000002</v>
      </c>
    </row>
    <row r="19" spans="1:3" x14ac:dyDescent="0.25">
      <c r="A19" s="98" t="s">
        <v>235</v>
      </c>
      <c r="B19" s="85" t="s">
        <v>236</v>
      </c>
      <c r="C19" s="71">
        <v>879.02463999999998</v>
      </c>
    </row>
    <row r="20" spans="1:3" x14ac:dyDescent="0.25">
      <c r="A20" s="84" t="s">
        <v>462</v>
      </c>
      <c r="B20" s="85" t="s">
        <v>463</v>
      </c>
      <c r="C20" s="71">
        <v>566.35864000000004</v>
      </c>
    </row>
    <row r="21" spans="1:3" x14ac:dyDescent="0.25">
      <c r="A21" s="84" t="s">
        <v>948</v>
      </c>
      <c r="B21" s="85" t="s">
        <v>949</v>
      </c>
      <c r="C21" s="71">
        <v>22.552880000000002</v>
      </c>
    </row>
    <row r="22" spans="1:3" ht="15.75" customHeight="1" x14ac:dyDescent="0.25">
      <c r="A22" s="84" t="s">
        <v>127</v>
      </c>
      <c r="B22" s="103" t="s">
        <v>128</v>
      </c>
      <c r="C22" s="71">
        <v>270.32</v>
      </c>
    </row>
    <row r="23" spans="1:3" ht="15.75" customHeight="1" x14ac:dyDescent="0.25">
      <c r="A23" s="84" t="s">
        <v>1129</v>
      </c>
      <c r="B23" s="84" t="s">
        <v>1130</v>
      </c>
      <c r="C23" s="71">
        <v>23.492239999999999</v>
      </c>
    </row>
    <row r="24" spans="1:3" ht="15.75" customHeight="1" x14ac:dyDescent="0.25">
      <c r="A24" s="84" t="s">
        <v>1131</v>
      </c>
      <c r="B24" s="84" t="s">
        <v>1132</v>
      </c>
      <c r="C24" s="71">
        <v>150.02000000000001</v>
      </c>
    </row>
    <row r="25" spans="1:3" ht="15.75" customHeight="1" x14ac:dyDescent="0.25">
      <c r="A25" s="84" t="s">
        <v>1494</v>
      </c>
      <c r="B25" s="85" t="s">
        <v>1495</v>
      </c>
      <c r="C25" s="71">
        <v>63</v>
      </c>
    </row>
    <row r="26" spans="1:3" ht="15.75" customHeight="1" x14ac:dyDescent="0.25">
      <c r="A26" s="84" t="s">
        <v>938</v>
      </c>
      <c r="B26" s="85" t="s">
        <v>939</v>
      </c>
      <c r="C26" s="71">
        <v>63</v>
      </c>
    </row>
    <row r="27" spans="1:3" ht="15.75" customHeight="1" x14ac:dyDescent="0.25">
      <c r="A27" s="84" t="s">
        <v>1181</v>
      </c>
      <c r="B27" s="85" t="s">
        <v>1182</v>
      </c>
      <c r="C27" s="71">
        <v>17.19688</v>
      </c>
    </row>
    <row r="28" spans="1:3" ht="15.75" customHeight="1" x14ac:dyDescent="0.25">
      <c r="A28" s="84" t="s">
        <v>290</v>
      </c>
      <c r="B28" s="85" t="s">
        <v>291</v>
      </c>
      <c r="C28" s="71">
        <v>16.5</v>
      </c>
    </row>
    <row r="29" spans="1:3" ht="15.75" customHeight="1" x14ac:dyDescent="0.25">
      <c r="A29" s="84" t="s">
        <v>133</v>
      </c>
      <c r="B29" s="85" t="s">
        <v>134</v>
      </c>
      <c r="C29" s="71">
        <v>17.19688</v>
      </c>
    </row>
    <row r="30" spans="1:3" ht="15.75" customHeight="1" x14ac:dyDescent="0.25">
      <c r="A30" s="84" t="s">
        <v>956</v>
      </c>
      <c r="B30" s="85" t="s">
        <v>957</v>
      </c>
      <c r="C30" s="71">
        <v>110.17704000000001</v>
      </c>
    </row>
    <row r="31" spans="1:3" ht="15.75" customHeight="1" x14ac:dyDescent="0.25">
      <c r="A31" s="84" t="s">
        <v>1496</v>
      </c>
      <c r="B31" s="85" t="s">
        <v>551</v>
      </c>
      <c r="C31" s="71">
        <v>122.24039999999999</v>
      </c>
    </row>
    <row r="32" spans="1:3" ht="15.75" customHeight="1" x14ac:dyDescent="0.25">
      <c r="A32" s="84" t="s">
        <v>958</v>
      </c>
      <c r="B32" s="84" t="s">
        <v>959</v>
      </c>
      <c r="C32" s="71">
        <v>16.908480000000001</v>
      </c>
    </row>
    <row r="33" spans="1:3" ht="15.75" customHeight="1" x14ac:dyDescent="0.25">
      <c r="A33" s="84" t="s">
        <v>385</v>
      </c>
      <c r="B33" s="85" t="s">
        <v>386</v>
      </c>
      <c r="C33" s="71">
        <v>160.67475200000001</v>
      </c>
    </row>
    <row r="34" spans="1:3" ht="15.75" customHeight="1" x14ac:dyDescent="0.25">
      <c r="A34" s="84" t="s">
        <v>952</v>
      </c>
      <c r="B34" s="85" t="s">
        <v>953</v>
      </c>
      <c r="C34" s="71">
        <v>20.28688</v>
      </c>
    </row>
    <row r="35" spans="1:3" ht="15.75" customHeight="1" x14ac:dyDescent="0.25">
      <c r="A35" s="84" t="s">
        <v>552</v>
      </c>
      <c r="B35" s="85" t="s">
        <v>553</v>
      </c>
      <c r="C35" s="71">
        <v>133.35616000000002</v>
      </c>
    </row>
    <row r="36" spans="1:3" ht="15.75" customHeight="1" x14ac:dyDescent="0.25">
      <c r="A36" s="84" t="s">
        <v>1273</v>
      </c>
      <c r="B36" s="85" t="s">
        <v>1274</v>
      </c>
      <c r="C36" s="71">
        <v>17.474799999999998</v>
      </c>
    </row>
    <row r="37" spans="1:3" ht="15.75" customHeight="1" x14ac:dyDescent="0.25">
      <c r="A37" s="84" t="s">
        <v>1350</v>
      </c>
      <c r="B37" s="85" t="s">
        <v>1351</v>
      </c>
      <c r="C37" s="71">
        <v>19.427679999999999</v>
      </c>
    </row>
    <row r="38" spans="1:3" ht="15.75" customHeight="1" x14ac:dyDescent="0.25">
      <c r="A38" s="84" t="s">
        <v>1352</v>
      </c>
      <c r="B38" s="85" t="s">
        <v>1353</v>
      </c>
      <c r="C38" s="71">
        <v>19.427679999999999</v>
      </c>
    </row>
    <row r="39" spans="1:3" ht="15.75" customHeight="1" x14ac:dyDescent="0.25">
      <c r="A39" s="84" t="s">
        <v>1346</v>
      </c>
      <c r="B39" s="84" t="s">
        <v>1347</v>
      </c>
      <c r="C39" s="71">
        <v>21.348960000000002</v>
      </c>
    </row>
    <row r="40" spans="1:3" ht="15.75" customHeight="1" x14ac:dyDescent="0.25">
      <c r="A40" s="84" t="s">
        <v>758</v>
      </c>
      <c r="B40" s="85" t="s">
        <v>759</v>
      </c>
      <c r="C40" s="71">
        <v>17.798400000000001</v>
      </c>
    </row>
    <row r="41" spans="1:3" ht="15.75" customHeight="1" x14ac:dyDescent="0.25">
      <c r="A41" s="84" t="s">
        <v>1236</v>
      </c>
      <c r="B41" s="85" t="s">
        <v>1237</v>
      </c>
      <c r="C41" s="71">
        <v>19.427679999999999</v>
      </c>
    </row>
    <row r="42" spans="1:3" ht="15.75" customHeight="1" x14ac:dyDescent="0.25">
      <c r="A42" s="84" t="s">
        <v>554</v>
      </c>
      <c r="B42" s="85" t="s">
        <v>555</v>
      </c>
      <c r="C42" s="71">
        <v>29.64752</v>
      </c>
    </row>
    <row r="43" spans="1:3" ht="15.75" customHeight="1" x14ac:dyDescent="0.25">
      <c r="A43" s="84" t="s">
        <v>436</v>
      </c>
      <c r="B43" s="85" t="s">
        <v>437</v>
      </c>
      <c r="C43" s="71">
        <v>24.36928</v>
      </c>
    </row>
    <row r="44" spans="1:3" ht="15.75" customHeight="1" x14ac:dyDescent="0.25">
      <c r="A44" s="84" t="s">
        <v>381</v>
      </c>
      <c r="B44" s="85" t="s">
        <v>382</v>
      </c>
      <c r="C44" s="71">
        <v>26.792752</v>
      </c>
    </row>
    <row r="45" spans="1:3" ht="15.75" customHeight="1" x14ac:dyDescent="0.25">
      <c r="A45" s="84" t="s">
        <v>1172</v>
      </c>
      <c r="B45" s="85" t="s">
        <v>1173</v>
      </c>
      <c r="C45" s="71">
        <v>26.318559999999998</v>
      </c>
    </row>
    <row r="46" spans="1:3" ht="15.75" customHeight="1" x14ac:dyDescent="0.25">
      <c r="A46" s="84" t="s">
        <v>540</v>
      </c>
      <c r="B46" s="85" t="s">
        <v>541</v>
      </c>
      <c r="C46" s="71">
        <v>791.48496</v>
      </c>
    </row>
    <row r="47" spans="1:3" ht="15.75" customHeight="1" x14ac:dyDescent="0.25">
      <c r="A47" s="84" t="s">
        <v>542</v>
      </c>
      <c r="B47" s="85" t="s">
        <v>543</v>
      </c>
      <c r="C47" s="71">
        <v>709.08496000000002</v>
      </c>
    </row>
    <row r="48" spans="1:3" ht="15.75" customHeight="1" x14ac:dyDescent="0.25">
      <c r="A48" s="84" t="s">
        <v>960</v>
      </c>
      <c r="B48" s="84" t="s">
        <v>961</v>
      </c>
      <c r="C48" s="71">
        <v>13.530080000000002</v>
      </c>
    </row>
    <row r="49" spans="1:3" ht="15.75" customHeight="1" x14ac:dyDescent="0.25">
      <c r="A49" s="84" t="s">
        <v>1497</v>
      </c>
      <c r="B49" s="85" t="s">
        <v>132</v>
      </c>
      <c r="C49" s="71">
        <v>121.71328</v>
      </c>
    </row>
    <row r="50" spans="1:3" ht="15.75" customHeight="1" x14ac:dyDescent="0.25">
      <c r="A50" s="84" t="s">
        <v>1378</v>
      </c>
      <c r="B50" s="85">
        <v>10447</v>
      </c>
      <c r="C50" s="71">
        <v>23.29552</v>
      </c>
    </row>
    <row r="51" spans="1:3" ht="15.75" customHeight="1" x14ac:dyDescent="0.25">
      <c r="A51" s="84" t="s">
        <v>1377</v>
      </c>
      <c r="B51" s="85">
        <v>10448</v>
      </c>
      <c r="C51" s="71">
        <v>23.29552</v>
      </c>
    </row>
    <row r="52" spans="1:3" ht="15.75" customHeight="1" x14ac:dyDescent="0.25">
      <c r="A52" s="84" t="s">
        <v>438</v>
      </c>
      <c r="B52" s="85">
        <v>10450</v>
      </c>
      <c r="C52" s="71">
        <v>36.541440000000001</v>
      </c>
    </row>
    <row r="53" spans="1:3" ht="15.75" customHeight="1" x14ac:dyDescent="0.25">
      <c r="A53" s="84" t="s">
        <v>1379</v>
      </c>
      <c r="B53" s="85">
        <v>10449</v>
      </c>
      <c r="C53" s="71">
        <v>23.29552</v>
      </c>
    </row>
    <row r="54" spans="1:3" ht="15.75" customHeight="1" x14ac:dyDescent="0.25">
      <c r="A54" s="84" t="s">
        <v>1242</v>
      </c>
      <c r="B54" s="84" t="s">
        <v>1243</v>
      </c>
      <c r="C54" s="71">
        <v>10.68712</v>
      </c>
    </row>
    <row r="55" spans="1:3" ht="15.75" customHeight="1" x14ac:dyDescent="0.25">
      <c r="A55" s="84" t="s">
        <v>974</v>
      </c>
      <c r="B55" s="85" t="s">
        <v>975</v>
      </c>
      <c r="C55" s="71">
        <v>12.40944</v>
      </c>
    </row>
    <row r="56" spans="1:3" ht="15.75" customHeight="1" x14ac:dyDescent="0.25">
      <c r="A56" s="84" t="s">
        <v>229</v>
      </c>
      <c r="B56" s="84" t="s">
        <v>230</v>
      </c>
      <c r="C56" s="71">
        <v>209.85535999999999</v>
      </c>
    </row>
    <row r="57" spans="1:3" ht="15.75" customHeight="1" x14ac:dyDescent="0.25">
      <c r="A57" s="84" t="s">
        <v>227</v>
      </c>
      <c r="B57" s="84" t="s">
        <v>228</v>
      </c>
      <c r="C57" s="71">
        <v>209.85535999999999</v>
      </c>
    </row>
    <row r="58" spans="1:3" ht="15.75" customHeight="1" x14ac:dyDescent="0.25">
      <c r="A58" s="84" t="s">
        <v>1238</v>
      </c>
      <c r="B58" s="85" t="s">
        <v>1239</v>
      </c>
      <c r="C58" s="71">
        <v>19.889039999999998</v>
      </c>
    </row>
    <row r="59" spans="1:3" ht="15.75" customHeight="1" x14ac:dyDescent="0.25">
      <c r="A59" s="84" t="s">
        <v>1498</v>
      </c>
      <c r="B59" s="85" t="s">
        <v>1241</v>
      </c>
      <c r="C59" s="71">
        <v>19.889039999999998</v>
      </c>
    </row>
    <row r="60" spans="1:3" ht="15.75" customHeight="1" x14ac:dyDescent="0.25">
      <c r="A60" s="84" t="s">
        <v>1441</v>
      </c>
      <c r="B60" s="85" t="s">
        <v>1442</v>
      </c>
      <c r="C60" s="71">
        <v>18.482319999999998</v>
      </c>
    </row>
    <row r="61" spans="1:3" ht="15.75" customHeight="1" x14ac:dyDescent="0.25">
      <c r="A61" s="84" t="s">
        <v>1443</v>
      </c>
      <c r="B61" s="85" t="s">
        <v>1444</v>
      </c>
      <c r="C61" s="71">
        <v>19.339279999999999</v>
      </c>
    </row>
    <row r="62" spans="1:3" ht="15.75" customHeight="1" x14ac:dyDescent="0.25">
      <c r="A62" s="84" t="s">
        <v>1348</v>
      </c>
      <c r="B62" s="85" t="s">
        <v>1349</v>
      </c>
      <c r="C62" s="71">
        <v>87.367680000000007</v>
      </c>
    </row>
    <row r="63" spans="1:3" ht="15.75" customHeight="1" x14ac:dyDescent="0.25">
      <c r="A63" s="84" t="s">
        <v>635</v>
      </c>
      <c r="B63" s="85" t="s">
        <v>636</v>
      </c>
      <c r="C63" s="71">
        <v>144.46368000000001</v>
      </c>
    </row>
    <row r="64" spans="1:3" ht="15.75" customHeight="1" x14ac:dyDescent="0.25">
      <c r="A64" s="84" t="s">
        <v>1183</v>
      </c>
      <c r="B64" s="85" t="s">
        <v>1184</v>
      </c>
      <c r="C64" s="71">
        <v>123.69888</v>
      </c>
    </row>
    <row r="65" spans="1:3" ht="15.75" customHeight="1" x14ac:dyDescent="0.25">
      <c r="A65" s="84" t="s">
        <v>649</v>
      </c>
      <c r="B65" s="85" t="s">
        <v>650</v>
      </c>
      <c r="C65" s="71">
        <v>133.35616000000002</v>
      </c>
    </row>
    <row r="66" spans="1:3" ht="15.75" customHeight="1" x14ac:dyDescent="0.25">
      <c r="A66" s="84" t="s">
        <v>719</v>
      </c>
      <c r="B66" s="85" t="s">
        <v>720</v>
      </c>
      <c r="C66" s="71">
        <v>122.24039999999999</v>
      </c>
    </row>
    <row r="67" spans="1:3" ht="15.75" customHeight="1" x14ac:dyDescent="0.25">
      <c r="A67" s="84" t="s">
        <v>647</v>
      </c>
      <c r="B67" s="85" t="s">
        <v>648</v>
      </c>
      <c r="C67" s="71">
        <v>122.24039999999999</v>
      </c>
    </row>
    <row r="68" spans="1:3" ht="15.75" customHeight="1" x14ac:dyDescent="0.25">
      <c r="A68" s="84" t="s">
        <v>1499</v>
      </c>
      <c r="B68" s="85" t="s">
        <v>1423</v>
      </c>
      <c r="C68" s="71">
        <v>7.13584</v>
      </c>
    </row>
    <row r="69" spans="1:3" ht="15.75" customHeight="1" x14ac:dyDescent="0.25">
      <c r="A69" s="84" t="s">
        <v>972</v>
      </c>
      <c r="B69" s="85" t="s">
        <v>973</v>
      </c>
      <c r="C69" s="71">
        <v>10.720239999999999</v>
      </c>
    </row>
    <row r="70" spans="1:3" ht="15.75" customHeight="1" x14ac:dyDescent="0.25">
      <c r="A70" s="84" t="s">
        <v>1500</v>
      </c>
      <c r="B70" s="84" t="s">
        <v>1401</v>
      </c>
      <c r="C70" s="71">
        <v>41.117600000000003</v>
      </c>
    </row>
    <row r="71" spans="1:3" ht="15.75" customHeight="1" x14ac:dyDescent="0.25">
      <c r="A71" s="84" t="s">
        <v>1067</v>
      </c>
      <c r="B71" s="85" t="s">
        <v>1068</v>
      </c>
      <c r="C71" s="71">
        <v>44.537199999999991</v>
      </c>
    </row>
    <row r="72" spans="1:3" ht="15.75" customHeight="1" x14ac:dyDescent="0.25">
      <c r="A72" s="84" t="s">
        <v>1052</v>
      </c>
      <c r="B72" s="85" t="s">
        <v>1053</v>
      </c>
      <c r="C72" s="71">
        <v>145.61279999999999</v>
      </c>
    </row>
    <row r="73" spans="1:3" ht="15.75" customHeight="1" x14ac:dyDescent="0.25">
      <c r="A73" s="84" t="s">
        <v>1249</v>
      </c>
      <c r="B73" s="85" t="s">
        <v>1250</v>
      </c>
      <c r="C73" s="71">
        <v>120.10527999999999</v>
      </c>
    </row>
    <row r="74" spans="1:3" ht="15.75" customHeight="1" x14ac:dyDescent="0.25">
      <c r="A74" s="84" t="s">
        <v>1244</v>
      </c>
      <c r="B74" s="85" t="s">
        <v>1245</v>
      </c>
      <c r="C74" s="71">
        <v>187.21736000000001</v>
      </c>
    </row>
    <row r="75" spans="1:3" ht="15.75" customHeight="1" x14ac:dyDescent="0.25">
      <c r="A75" s="84" t="s">
        <v>651</v>
      </c>
      <c r="B75" s="85" t="s">
        <v>652</v>
      </c>
      <c r="C75" s="71">
        <v>297.59584000000001</v>
      </c>
    </row>
    <row r="76" spans="1:3" ht="15.75" customHeight="1" x14ac:dyDescent="0.25">
      <c r="A76" s="84" t="s">
        <v>1380</v>
      </c>
      <c r="B76" s="85" t="s">
        <v>1381</v>
      </c>
      <c r="C76" s="71">
        <v>160.17408</v>
      </c>
    </row>
    <row r="77" spans="1:3" ht="15.75" customHeight="1" x14ac:dyDescent="0.25">
      <c r="A77" s="84" t="s">
        <v>861</v>
      </c>
      <c r="B77" s="84" t="s">
        <v>862</v>
      </c>
      <c r="C77" s="71">
        <v>119.29631999999998</v>
      </c>
    </row>
    <row r="78" spans="1:3" ht="15.75" customHeight="1" x14ac:dyDescent="0.25">
      <c r="A78" s="84" t="s">
        <v>1246</v>
      </c>
      <c r="B78" s="85" t="s">
        <v>1247</v>
      </c>
      <c r="C78" s="71">
        <v>97.062560000000005</v>
      </c>
    </row>
    <row r="79" spans="1:3" ht="15.75" customHeight="1" x14ac:dyDescent="0.25">
      <c r="A79" s="84" t="s">
        <v>741</v>
      </c>
      <c r="B79" s="85" t="s">
        <v>742</v>
      </c>
      <c r="C79" s="71">
        <v>244.48079999999999</v>
      </c>
    </row>
    <row r="80" spans="1:3" ht="15.75" customHeight="1" x14ac:dyDescent="0.25">
      <c r="A80" s="84" t="s">
        <v>1469</v>
      </c>
      <c r="B80" s="85">
        <v>11227</v>
      </c>
      <c r="C80" s="71">
        <v>675.82007999999996</v>
      </c>
    </row>
    <row r="81" spans="1:26" ht="15.75" customHeight="1" x14ac:dyDescent="0.25">
      <c r="A81" s="84" t="s">
        <v>1470</v>
      </c>
      <c r="B81" s="85">
        <v>13039</v>
      </c>
      <c r="C81" s="71">
        <v>918.01015999999993</v>
      </c>
    </row>
    <row r="82" spans="1:26" ht="15.75" customHeight="1" x14ac:dyDescent="0.25">
      <c r="A82" s="84" t="s">
        <v>1501</v>
      </c>
      <c r="B82" s="85" t="s">
        <v>200</v>
      </c>
      <c r="C82" s="71">
        <v>94.648320000000012</v>
      </c>
    </row>
    <row r="83" spans="1:26" ht="15.75" customHeight="1" x14ac:dyDescent="0.25">
      <c r="A83" s="84" t="s">
        <v>1502</v>
      </c>
      <c r="B83" s="84" t="s">
        <v>1503</v>
      </c>
      <c r="C83" s="71">
        <v>230.62944000000005</v>
      </c>
    </row>
    <row r="84" spans="1:26" ht="15.75" customHeight="1" x14ac:dyDescent="0.25">
      <c r="A84" s="84" t="s">
        <v>1416</v>
      </c>
      <c r="B84" s="84" t="s">
        <v>1417</v>
      </c>
      <c r="C84" s="71">
        <v>67.823440000000005</v>
      </c>
    </row>
    <row r="85" spans="1:26" ht="15.75" customHeight="1" x14ac:dyDescent="0.25">
      <c r="A85" s="84" t="s">
        <v>500</v>
      </c>
      <c r="B85" s="84" t="s">
        <v>501</v>
      </c>
      <c r="C85" s="71">
        <v>162.87183999999999</v>
      </c>
    </row>
    <row r="86" spans="1:26" ht="15.75" customHeight="1" x14ac:dyDescent="0.25">
      <c r="A86" s="84" t="s">
        <v>389</v>
      </c>
      <c r="B86" s="85" t="s">
        <v>390</v>
      </c>
      <c r="C86" s="71">
        <v>24.102847999999998</v>
      </c>
    </row>
    <row r="87" spans="1:26" ht="15.75" customHeight="1" x14ac:dyDescent="0.25">
      <c r="A87" s="84" t="s">
        <v>1205</v>
      </c>
      <c r="B87" s="85" t="s">
        <v>1206</v>
      </c>
      <c r="C87" s="71">
        <v>27.505120000000002</v>
      </c>
    </row>
    <row r="88" spans="1:26" ht="15.75" customHeight="1" x14ac:dyDescent="0.25">
      <c r="A88" s="84" t="s">
        <v>316</v>
      </c>
      <c r="B88" s="85" t="s">
        <v>317</v>
      </c>
      <c r="C88" s="71">
        <v>32.450000000000003</v>
      </c>
    </row>
    <row r="89" spans="1:26" ht="15.75" customHeight="1" x14ac:dyDescent="0.25">
      <c r="A89" s="84" t="s">
        <v>318</v>
      </c>
      <c r="B89" s="85" t="s">
        <v>319</v>
      </c>
      <c r="C89" s="71">
        <v>47.527200000000001</v>
      </c>
    </row>
    <row r="90" spans="1:26" ht="15.75" customHeight="1" x14ac:dyDescent="0.25">
      <c r="A90" s="84" t="s">
        <v>185</v>
      </c>
      <c r="B90" s="85" t="s">
        <v>186</v>
      </c>
      <c r="C90" s="71">
        <v>17.28</v>
      </c>
    </row>
    <row r="91" spans="1:26" ht="15.75" customHeight="1" x14ac:dyDescent="0.25">
      <c r="A91" s="84" t="s">
        <v>306</v>
      </c>
      <c r="B91" s="85" t="s">
        <v>307</v>
      </c>
      <c r="C91" s="71">
        <v>9.8366400000000009</v>
      </c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5.75" customHeight="1" x14ac:dyDescent="0.25">
      <c r="A92" s="84" t="s">
        <v>221</v>
      </c>
      <c r="B92" s="85" t="s">
        <v>222</v>
      </c>
      <c r="C92" s="71">
        <v>590.62848000000008</v>
      </c>
    </row>
    <row r="93" spans="1:26" ht="15.75" customHeight="1" x14ac:dyDescent="0.25">
      <c r="A93" s="84" t="s">
        <v>284</v>
      </c>
      <c r="B93" s="85" t="s">
        <v>285</v>
      </c>
      <c r="C93" s="71">
        <v>387.35</v>
      </c>
    </row>
    <row r="94" spans="1:26" ht="15.75" customHeight="1" x14ac:dyDescent="0.25">
      <c r="A94" s="84" t="s">
        <v>534</v>
      </c>
      <c r="B94" s="85" t="s">
        <v>535</v>
      </c>
      <c r="C94" s="71">
        <v>334.76</v>
      </c>
    </row>
    <row r="95" spans="1:26" ht="15.75" customHeight="1" x14ac:dyDescent="0.25">
      <c r="A95" s="84" t="s">
        <v>431</v>
      </c>
      <c r="B95" s="85" t="s">
        <v>432</v>
      </c>
      <c r="C95" s="71">
        <v>685.87</v>
      </c>
    </row>
    <row r="96" spans="1:26" ht="15.75" customHeight="1" x14ac:dyDescent="0.25">
      <c r="A96" s="84" t="s">
        <v>494</v>
      </c>
      <c r="B96" s="85" t="s">
        <v>495</v>
      </c>
      <c r="C96" s="71">
        <v>356.26528000000002</v>
      </c>
    </row>
    <row r="97" spans="1:26" ht="15.75" customHeight="1" x14ac:dyDescent="0.25">
      <c r="A97" s="84" t="s">
        <v>374</v>
      </c>
      <c r="B97" s="85" t="s">
        <v>375</v>
      </c>
      <c r="C97" s="71">
        <v>640.15991999999994</v>
      </c>
    </row>
    <row r="98" spans="1:26" ht="15.75" customHeight="1" x14ac:dyDescent="0.25">
      <c r="A98" s="84" t="s">
        <v>630</v>
      </c>
      <c r="B98" s="85" t="s">
        <v>631</v>
      </c>
      <c r="C98" s="71">
        <v>602.25335999999993</v>
      </c>
    </row>
    <row r="99" spans="1:26" ht="15.75" customHeight="1" x14ac:dyDescent="0.25">
      <c r="A99" s="84" t="s">
        <v>811</v>
      </c>
      <c r="B99" s="85" t="s">
        <v>812</v>
      </c>
      <c r="C99" s="71">
        <v>593.5</v>
      </c>
    </row>
    <row r="100" spans="1:26" ht="15.75" customHeight="1" x14ac:dyDescent="0.25">
      <c r="A100" s="84" t="s">
        <v>888</v>
      </c>
      <c r="B100" s="85" t="s">
        <v>889</v>
      </c>
      <c r="C100" s="71">
        <v>48.47</v>
      </c>
    </row>
    <row r="101" spans="1:26" ht="15.75" customHeight="1" x14ac:dyDescent="0.25">
      <c r="A101" s="84" t="s">
        <v>886</v>
      </c>
      <c r="B101" s="85" t="s">
        <v>887</v>
      </c>
      <c r="C101" s="71">
        <v>48.47</v>
      </c>
    </row>
    <row r="102" spans="1:26" ht="15.75" customHeight="1" x14ac:dyDescent="0.25">
      <c r="A102" s="84" t="s">
        <v>1257</v>
      </c>
      <c r="B102" s="84" t="s">
        <v>1258</v>
      </c>
      <c r="C102" s="71">
        <v>88.3536</v>
      </c>
    </row>
    <row r="103" spans="1:26" ht="15.75" customHeight="1" x14ac:dyDescent="0.25">
      <c r="A103" s="84" t="s">
        <v>1006</v>
      </c>
      <c r="B103" s="85" t="s">
        <v>1007</v>
      </c>
      <c r="C103" s="71">
        <v>23.673520000000003</v>
      </c>
    </row>
    <row r="104" spans="1:26" ht="15.75" customHeight="1" x14ac:dyDescent="0.25">
      <c r="A104" s="84" t="s">
        <v>1504</v>
      </c>
      <c r="B104" s="85" t="s">
        <v>1505</v>
      </c>
      <c r="C104" s="71">
        <v>16.990880000000001</v>
      </c>
    </row>
    <row r="105" spans="1:26" ht="15.75" customHeight="1" x14ac:dyDescent="0.25">
      <c r="A105" s="84" t="s">
        <v>566</v>
      </c>
      <c r="B105" s="85" t="s">
        <v>567</v>
      </c>
      <c r="C105" s="71">
        <v>10.4404</v>
      </c>
    </row>
    <row r="106" spans="1:26" ht="15.75" customHeight="1" x14ac:dyDescent="0.25">
      <c r="A106" s="84" t="s">
        <v>300</v>
      </c>
      <c r="B106" s="85" t="s">
        <v>301</v>
      </c>
      <c r="C106" s="71">
        <v>9.4</v>
      </c>
    </row>
    <row r="107" spans="1:26" ht="15.75" customHeight="1" x14ac:dyDescent="0.25">
      <c r="A107" s="84" t="s">
        <v>564</v>
      </c>
      <c r="B107" s="85" t="s">
        <v>1445</v>
      </c>
      <c r="C107" s="71">
        <v>13.332319999999999</v>
      </c>
    </row>
    <row r="108" spans="1:26" ht="15.75" customHeight="1" x14ac:dyDescent="0.25">
      <c r="A108" s="84" t="s">
        <v>137</v>
      </c>
      <c r="B108" s="85" t="s">
        <v>138</v>
      </c>
      <c r="C108" s="71">
        <v>8.25</v>
      </c>
    </row>
    <row r="109" spans="1:26" ht="15.75" customHeight="1" x14ac:dyDescent="0.25">
      <c r="A109" s="84" t="s">
        <v>451</v>
      </c>
      <c r="B109" s="84" t="s">
        <v>452</v>
      </c>
      <c r="C109" s="71">
        <v>6.12</v>
      </c>
    </row>
    <row r="110" spans="1:26" ht="15.75" customHeight="1" x14ac:dyDescent="0.25">
      <c r="A110" s="84" t="s">
        <v>135</v>
      </c>
      <c r="B110" s="85" t="s">
        <v>136</v>
      </c>
      <c r="C110" s="71">
        <v>12.17216</v>
      </c>
    </row>
    <row r="111" spans="1:26" ht="15.75" customHeight="1" x14ac:dyDescent="0.25">
      <c r="A111" s="84" t="s">
        <v>139</v>
      </c>
      <c r="B111" s="85" t="s">
        <v>140</v>
      </c>
      <c r="C111" s="71">
        <v>8.1120000000000001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5.75" customHeight="1" x14ac:dyDescent="0.25">
      <c r="A112" s="84" t="s">
        <v>287</v>
      </c>
      <c r="B112" s="85" t="s">
        <v>288</v>
      </c>
      <c r="C112" s="71">
        <v>47.527200000000001</v>
      </c>
    </row>
    <row r="113" spans="1:3" ht="15.75" customHeight="1" x14ac:dyDescent="0.25">
      <c r="A113" s="84" t="s">
        <v>1506</v>
      </c>
      <c r="B113" s="84" t="s">
        <v>1407</v>
      </c>
      <c r="C113" s="71">
        <v>79.656080000000003</v>
      </c>
    </row>
    <row r="114" spans="1:3" ht="15.75" customHeight="1" x14ac:dyDescent="0.25">
      <c r="A114" s="84" t="s">
        <v>1507</v>
      </c>
      <c r="B114" s="84" t="s">
        <v>1405</v>
      </c>
      <c r="C114" s="71">
        <v>79.656080000000003</v>
      </c>
    </row>
    <row r="115" spans="1:3" ht="15.75" customHeight="1" x14ac:dyDescent="0.25">
      <c r="A115" s="84" t="s">
        <v>1508</v>
      </c>
      <c r="B115" s="84" t="s">
        <v>1403</v>
      </c>
      <c r="C115" s="71">
        <v>79.656080000000003</v>
      </c>
    </row>
    <row r="116" spans="1:3" ht="15.75" customHeight="1" x14ac:dyDescent="0.25">
      <c r="A116" s="84" t="s">
        <v>1509</v>
      </c>
      <c r="B116" s="84" t="s">
        <v>1413</v>
      </c>
      <c r="C116" s="71">
        <v>60.423920000000003</v>
      </c>
    </row>
    <row r="117" spans="1:3" ht="15.75" customHeight="1" x14ac:dyDescent="0.25">
      <c r="A117" s="84" t="s">
        <v>1510</v>
      </c>
      <c r="B117" s="84" t="s">
        <v>1411</v>
      </c>
      <c r="C117" s="71">
        <v>66.472080000000005</v>
      </c>
    </row>
    <row r="118" spans="1:3" ht="15.75" customHeight="1" x14ac:dyDescent="0.25">
      <c r="A118" s="84" t="s">
        <v>508</v>
      </c>
      <c r="B118" s="85" t="s">
        <v>509</v>
      </c>
      <c r="C118" s="71">
        <v>26.672879999999996</v>
      </c>
    </row>
    <row r="119" spans="1:3" ht="15.75" customHeight="1" x14ac:dyDescent="0.25">
      <c r="A119" s="84" t="s">
        <v>716</v>
      </c>
      <c r="B119" s="85" t="s">
        <v>717</v>
      </c>
      <c r="C119" s="71">
        <v>61.214960000000005</v>
      </c>
    </row>
    <row r="120" spans="1:3" ht="15.75" customHeight="1" x14ac:dyDescent="0.25">
      <c r="A120" s="84" t="s">
        <v>714</v>
      </c>
      <c r="B120" s="85" t="s">
        <v>715</v>
      </c>
      <c r="C120" s="71">
        <v>26.672879999999996</v>
      </c>
    </row>
    <row r="121" spans="1:3" ht="15.75" customHeight="1" x14ac:dyDescent="0.25">
      <c r="A121" s="84" t="s">
        <v>628</v>
      </c>
      <c r="B121" s="85" t="s">
        <v>629</v>
      </c>
      <c r="C121" s="71">
        <v>26.672879999999996</v>
      </c>
    </row>
    <row r="122" spans="1:3" ht="15.75" customHeight="1" x14ac:dyDescent="0.25">
      <c r="A122" s="84" t="s">
        <v>504</v>
      </c>
      <c r="B122" s="84" t="s">
        <v>505</v>
      </c>
      <c r="C122" s="71">
        <v>139.40431999999998</v>
      </c>
    </row>
    <row r="123" spans="1:3" ht="15.75" customHeight="1" x14ac:dyDescent="0.25">
      <c r="A123" s="84" t="s">
        <v>502</v>
      </c>
      <c r="B123" s="84" t="s">
        <v>503</v>
      </c>
      <c r="C123" s="71">
        <v>139.40431999999998</v>
      </c>
    </row>
    <row r="124" spans="1:3" ht="15.75" customHeight="1" x14ac:dyDescent="0.25">
      <c r="A124" s="84" t="s">
        <v>506</v>
      </c>
      <c r="B124" s="84" t="s">
        <v>507</v>
      </c>
      <c r="C124" s="71">
        <v>98.451520000000002</v>
      </c>
    </row>
    <row r="125" spans="1:3" ht="15.75" customHeight="1" x14ac:dyDescent="0.25">
      <c r="A125" s="84" t="s">
        <v>239</v>
      </c>
      <c r="B125" s="84" t="s">
        <v>240</v>
      </c>
      <c r="C125" s="71">
        <v>281.73184000000003</v>
      </c>
    </row>
    <row r="126" spans="1:3" ht="15.75" customHeight="1" x14ac:dyDescent="0.25">
      <c r="A126" s="84" t="s">
        <v>237</v>
      </c>
      <c r="B126" s="84" t="s">
        <v>238</v>
      </c>
      <c r="C126" s="71">
        <v>281.73184000000003</v>
      </c>
    </row>
    <row r="127" spans="1:3" ht="15.75" customHeight="1" x14ac:dyDescent="0.25">
      <c r="A127" s="84" t="s">
        <v>1511</v>
      </c>
      <c r="B127" s="84" t="s">
        <v>1409</v>
      </c>
      <c r="C127" s="71">
        <v>66.472080000000005</v>
      </c>
    </row>
    <row r="128" spans="1:3" ht="15.75" customHeight="1" x14ac:dyDescent="0.25">
      <c r="A128" s="84" t="s">
        <v>1450</v>
      </c>
      <c r="B128" s="85" t="s">
        <v>1451</v>
      </c>
      <c r="C128" s="71">
        <v>190.69832</v>
      </c>
    </row>
    <row r="129" spans="1:3" ht="15.75" customHeight="1" x14ac:dyDescent="0.25">
      <c r="A129" s="84" t="s">
        <v>1452</v>
      </c>
      <c r="B129" s="85" t="s">
        <v>1453</v>
      </c>
      <c r="C129" s="71">
        <v>190.69832</v>
      </c>
    </row>
    <row r="130" spans="1:3" ht="15.75" customHeight="1" x14ac:dyDescent="0.25">
      <c r="A130" s="84" t="s">
        <v>1454</v>
      </c>
      <c r="B130" s="85" t="s">
        <v>1455</v>
      </c>
      <c r="C130" s="71">
        <v>190.69832</v>
      </c>
    </row>
    <row r="131" spans="1:3" ht="15.75" customHeight="1" x14ac:dyDescent="0.25">
      <c r="A131" s="84" t="s">
        <v>1213</v>
      </c>
      <c r="B131" s="85" t="s">
        <v>1214</v>
      </c>
      <c r="C131" s="71">
        <v>94.648320000000012</v>
      </c>
    </row>
    <row r="132" spans="1:3" ht="15.75" customHeight="1" x14ac:dyDescent="0.25">
      <c r="A132" s="84" t="s">
        <v>1063</v>
      </c>
      <c r="B132" s="85" t="s">
        <v>1064</v>
      </c>
      <c r="C132" s="71">
        <v>79.384160000000008</v>
      </c>
    </row>
    <row r="133" spans="1:3" ht="15.75" customHeight="1" x14ac:dyDescent="0.25">
      <c r="A133" s="84" t="s">
        <v>1512</v>
      </c>
      <c r="B133" s="85" t="s">
        <v>1513</v>
      </c>
      <c r="C133" s="71">
        <v>456.06911999999994</v>
      </c>
    </row>
    <row r="134" spans="1:3" ht="15.75" customHeight="1" x14ac:dyDescent="0.25">
      <c r="A134" s="84" t="s">
        <v>798</v>
      </c>
      <c r="B134" s="85" t="s">
        <v>799</v>
      </c>
      <c r="C134" s="71">
        <v>293.79720000000003</v>
      </c>
    </row>
    <row r="135" spans="1:3" ht="15.75" customHeight="1" x14ac:dyDescent="0.25">
      <c r="A135" s="84" t="s">
        <v>429</v>
      </c>
      <c r="B135" s="85" t="s">
        <v>430</v>
      </c>
      <c r="C135" s="71">
        <v>414.17980800000004</v>
      </c>
    </row>
    <row r="136" spans="1:3" ht="15.75" customHeight="1" x14ac:dyDescent="0.25">
      <c r="A136" s="84" t="s">
        <v>1125</v>
      </c>
      <c r="B136" s="85" t="s">
        <v>1126</v>
      </c>
      <c r="C136" s="71">
        <v>393.80944</v>
      </c>
    </row>
    <row r="137" spans="1:3" ht="14.25" customHeight="1" x14ac:dyDescent="0.25">
      <c r="A137" s="84" t="s">
        <v>492</v>
      </c>
      <c r="B137" s="85" t="s">
        <v>493</v>
      </c>
      <c r="C137" s="71">
        <v>333.28328000000005</v>
      </c>
    </row>
    <row r="138" spans="1:3" ht="15.75" customHeight="1" x14ac:dyDescent="0.25">
      <c r="A138" s="84" t="s">
        <v>536</v>
      </c>
      <c r="B138" s="85" t="s">
        <v>537</v>
      </c>
      <c r="C138" s="71">
        <v>355.78</v>
      </c>
    </row>
    <row r="139" spans="1:3" ht="15.75" customHeight="1" x14ac:dyDescent="0.25">
      <c r="A139" s="84" t="s">
        <v>755</v>
      </c>
      <c r="B139" s="85" t="s">
        <v>756</v>
      </c>
      <c r="C139" s="71">
        <v>479.64216000000005</v>
      </c>
    </row>
    <row r="140" spans="1:3" ht="15.75" customHeight="1" x14ac:dyDescent="0.25">
      <c r="A140" s="84" t="s">
        <v>809</v>
      </c>
      <c r="B140" s="85" t="s">
        <v>810</v>
      </c>
      <c r="C140" s="71">
        <v>452.58199999999999</v>
      </c>
    </row>
    <row r="141" spans="1:3" ht="15" customHeight="1" x14ac:dyDescent="0.25">
      <c r="A141" s="84" t="s">
        <v>372</v>
      </c>
      <c r="B141" s="85" t="s">
        <v>373</v>
      </c>
      <c r="C141" s="71">
        <v>452.16</v>
      </c>
    </row>
    <row r="142" spans="1:3" ht="15" customHeight="1" x14ac:dyDescent="0.25">
      <c r="A142" s="84" t="s">
        <v>1341</v>
      </c>
      <c r="B142" s="85" t="s">
        <v>1342</v>
      </c>
      <c r="C142" s="71">
        <v>311.04512</v>
      </c>
    </row>
    <row r="143" spans="1:3" ht="13.5" customHeight="1" x14ac:dyDescent="0.25">
      <c r="A143" s="84" t="s">
        <v>1456</v>
      </c>
      <c r="B143" s="85" t="s">
        <v>1457</v>
      </c>
      <c r="C143" s="71">
        <v>26.47512</v>
      </c>
    </row>
    <row r="144" spans="1:3" ht="13.5" customHeight="1" x14ac:dyDescent="0.25">
      <c r="A144" s="84" t="s">
        <v>986</v>
      </c>
      <c r="B144" s="85" t="s">
        <v>987</v>
      </c>
      <c r="C144" s="71">
        <v>20.863679999999999</v>
      </c>
    </row>
    <row r="145" spans="1:3" ht="13.5" customHeight="1" x14ac:dyDescent="0.25">
      <c r="A145" s="84" t="s">
        <v>1002</v>
      </c>
      <c r="B145" s="85" t="s">
        <v>1003</v>
      </c>
      <c r="C145" s="71">
        <v>56.369839999999996</v>
      </c>
    </row>
    <row r="146" spans="1:3" ht="13.5" customHeight="1" x14ac:dyDescent="0.25">
      <c r="A146" s="84" t="s">
        <v>988</v>
      </c>
      <c r="B146" s="84" t="s">
        <v>989</v>
      </c>
      <c r="C146" s="71">
        <v>43.037520000000001</v>
      </c>
    </row>
    <row r="147" spans="1:3" ht="13.5" customHeight="1" x14ac:dyDescent="0.25">
      <c r="A147" s="84" t="s">
        <v>982</v>
      </c>
      <c r="B147" s="84" t="s">
        <v>983</v>
      </c>
      <c r="C147" s="71">
        <v>43.037520000000001</v>
      </c>
    </row>
    <row r="148" spans="1:3" ht="13.5" customHeight="1" x14ac:dyDescent="0.25">
      <c r="A148" s="84" t="s">
        <v>994</v>
      </c>
      <c r="B148" s="84" t="s">
        <v>995</v>
      </c>
      <c r="C148" s="71">
        <v>46.481839999999998</v>
      </c>
    </row>
    <row r="149" spans="1:3" ht="15.75" customHeight="1" x14ac:dyDescent="0.25">
      <c r="A149" s="84" t="s">
        <v>990</v>
      </c>
      <c r="B149" s="84" t="s">
        <v>991</v>
      </c>
      <c r="C149" s="71">
        <v>46.481839999999998</v>
      </c>
    </row>
    <row r="150" spans="1:3" ht="15" customHeight="1" x14ac:dyDescent="0.25">
      <c r="A150" s="84" t="s">
        <v>992</v>
      </c>
      <c r="B150" s="84" t="s">
        <v>993</v>
      </c>
      <c r="C150" s="71">
        <v>46.481839999999998</v>
      </c>
    </row>
    <row r="151" spans="1:3" ht="15" customHeight="1" x14ac:dyDescent="0.25">
      <c r="A151" s="84" t="s">
        <v>996</v>
      </c>
      <c r="B151" s="84" t="s">
        <v>997</v>
      </c>
      <c r="C151" s="71">
        <v>46.481839999999998</v>
      </c>
    </row>
    <row r="152" spans="1:3" ht="15" customHeight="1" x14ac:dyDescent="0.25">
      <c r="A152" s="84" t="s">
        <v>998</v>
      </c>
      <c r="B152" s="84" t="s">
        <v>999</v>
      </c>
      <c r="C152" s="71">
        <v>46.481839999999998</v>
      </c>
    </row>
    <row r="153" spans="1:3" ht="15" customHeight="1" x14ac:dyDescent="0.25">
      <c r="A153" s="84" t="s">
        <v>1000</v>
      </c>
      <c r="B153" s="84" t="s">
        <v>1001</v>
      </c>
      <c r="C153" s="71">
        <v>46.481839999999998</v>
      </c>
    </row>
    <row r="154" spans="1:3" ht="15" customHeight="1" x14ac:dyDescent="0.25">
      <c r="A154" s="84" t="s">
        <v>1383</v>
      </c>
      <c r="B154" s="85" t="s">
        <v>1384</v>
      </c>
      <c r="C154" s="71">
        <v>33.988959999999999</v>
      </c>
    </row>
    <row r="155" spans="1:3" ht="15.75" customHeight="1" x14ac:dyDescent="0.25">
      <c r="A155" s="84" t="s">
        <v>464</v>
      </c>
      <c r="B155" s="84" t="s">
        <v>465</v>
      </c>
      <c r="C155" s="71">
        <v>53.807199999999995</v>
      </c>
    </row>
    <row r="156" spans="1:3" ht="15.75" customHeight="1" x14ac:dyDescent="0.25">
      <c r="A156" s="84" t="s">
        <v>466</v>
      </c>
      <c r="B156" s="85" t="s">
        <v>467</v>
      </c>
      <c r="C156" s="71">
        <v>53.807199999999995</v>
      </c>
    </row>
    <row r="157" spans="1:3" ht="15.75" customHeight="1" x14ac:dyDescent="0.25">
      <c r="A157" s="84" t="s">
        <v>984</v>
      </c>
      <c r="B157" s="85" t="s">
        <v>985</v>
      </c>
      <c r="C157" s="71">
        <v>45.081040000000002</v>
      </c>
    </row>
    <row r="158" spans="1:3" ht="13.5" customHeight="1" x14ac:dyDescent="0.25">
      <c r="A158" s="84" t="s">
        <v>1259</v>
      </c>
      <c r="B158" s="85" t="s">
        <v>1260</v>
      </c>
      <c r="C158" s="71">
        <v>58.24512</v>
      </c>
    </row>
    <row r="159" spans="1:3" ht="15.75" customHeight="1" x14ac:dyDescent="0.25">
      <c r="A159" s="84" t="s">
        <v>1261</v>
      </c>
      <c r="B159" s="85" t="s">
        <v>1262</v>
      </c>
      <c r="C159" s="71">
        <v>58.24512</v>
      </c>
    </row>
    <row r="160" spans="1:3" ht="15.75" customHeight="1" x14ac:dyDescent="0.25">
      <c r="A160" s="84" t="s">
        <v>1004</v>
      </c>
      <c r="B160" s="84" t="s">
        <v>1005</v>
      </c>
      <c r="C160" s="71">
        <v>183.38944000000001</v>
      </c>
    </row>
    <row r="161" spans="1:3" ht="15.75" customHeight="1" x14ac:dyDescent="0.25">
      <c r="A161" s="84" t="s">
        <v>1514</v>
      </c>
      <c r="B161" s="84" t="s">
        <v>1192</v>
      </c>
      <c r="C161" s="71">
        <v>695.69496000000004</v>
      </c>
    </row>
    <row r="162" spans="1:3" ht="15.75" customHeight="1" x14ac:dyDescent="0.25">
      <c r="A162" s="84" t="s">
        <v>169</v>
      </c>
      <c r="B162" s="85" t="s">
        <v>170</v>
      </c>
      <c r="C162" s="71">
        <v>141.99744000000001</v>
      </c>
    </row>
    <row r="163" spans="1:3" ht="15.75" customHeight="1" x14ac:dyDescent="0.25">
      <c r="A163" s="84" t="s">
        <v>1185</v>
      </c>
      <c r="B163" s="85" t="s">
        <v>1186</v>
      </c>
      <c r="C163" s="71">
        <v>127.11848000000001</v>
      </c>
    </row>
    <row r="164" spans="1:3" ht="15.75" customHeight="1" x14ac:dyDescent="0.25">
      <c r="A164" s="84" t="s">
        <v>157</v>
      </c>
      <c r="B164" s="85" t="s">
        <v>158</v>
      </c>
      <c r="C164" s="71">
        <v>152.13952</v>
      </c>
    </row>
    <row r="165" spans="1:3" ht="15.75" customHeight="1" x14ac:dyDescent="0.25">
      <c r="A165" s="84" t="s">
        <v>161</v>
      </c>
      <c r="B165" s="85" t="s">
        <v>162</v>
      </c>
      <c r="C165" s="71">
        <v>152.13952</v>
      </c>
    </row>
    <row r="166" spans="1:3" ht="15.75" customHeight="1" x14ac:dyDescent="0.25">
      <c r="A166" s="84" t="s">
        <v>159</v>
      </c>
      <c r="B166" s="85" t="s">
        <v>160</v>
      </c>
      <c r="C166" s="71">
        <v>152.13952</v>
      </c>
    </row>
    <row r="167" spans="1:3" ht="15.75" customHeight="1" x14ac:dyDescent="0.25">
      <c r="A167" s="84" t="s">
        <v>1193</v>
      </c>
      <c r="B167" s="85" t="s">
        <v>1194</v>
      </c>
      <c r="C167" s="71">
        <v>68.738080000000011</v>
      </c>
    </row>
    <row r="168" spans="1:3" ht="15.75" customHeight="1" x14ac:dyDescent="0.25">
      <c r="A168" s="84" t="s">
        <v>1397</v>
      </c>
      <c r="B168" s="85" t="s">
        <v>1398</v>
      </c>
      <c r="C168" s="71">
        <v>38.817440000000005</v>
      </c>
    </row>
    <row r="169" spans="1:3" ht="15.75" customHeight="1" x14ac:dyDescent="0.25">
      <c r="A169" s="84" t="s">
        <v>163</v>
      </c>
      <c r="B169" s="85" t="s">
        <v>164</v>
      </c>
      <c r="C169" s="71">
        <v>162.28160000000003</v>
      </c>
    </row>
    <row r="170" spans="1:3" ht="15.75" customHeight="1" x14ac:dyDescent="0.25">
      <c r="A170" s="84" t="s">
        <v>179</v>
      </c>
      <c r="B170" s="85" t="s">
        <v>180</v>
      </c>
      <c r="C170" s="71">
        <v>169.05408</v>
      </c>
    </row>
    <row r="171" spans="1:3" ht="15.75" customHeight="1" x14ac:dyDescent="0.25">
      <c r="A171" s="84" t="s">
        <v>910</v>
      </c>
      <c r="B171" s="85" t="s">
        <v>911</v>
      </c>
      <c r="C171" s="71">
        <v>46.65</v>
      </c>
    </row>
    <row r="172" spans="1:3" ht="15.75" customHeight="1" x14ac:dyDescent="0.25">
      <c r="A172" s="84" t="s">
        <v>320</v>
      </c>
      <c r="B172" s="85" t="s">
        <v>321</v>
      </c>
      <c r="C172" s="71">
        <v>44.93</v>
      </c>
    </row>
    <row r="173" spans="1:3" ht="15.75" customHeight="1" x14ac:dyDescent="0.25">
      <c r="A173" s="84" t="s">
        <v>922</v>
      </c>
      <c r="B173" s="85" t="s">
        <v>923</v>
      </c>
      <c r="C173" s="71">
        <v>36.36</v>
      </c>
    </row>
    <row r="174" spans="1:3" ht="15.75" customHeight="1" x14ac:dyDescent="0.25">
      <c r="A174" s="84" t="s">
        <v>980</v>
      </c>
      <c r="B174" s="85" t="s">
        <v>981</v>
      </c>
      <c r="C174" s="71">
        <v>56.369839999999996</v>
      </c>
    </row>
    <row r="175" spans="1:3" ht="15.75" customHeight="1" x14ac:dyDescent="0.25">
      <c r="A175" s="84" t="s">
        <v>1418</v>
      </c>
      <c r="B175" s="115" t="s">
        <v>1419</v>
      </c>
      <c r="C175" s="71">
        <v>52.76</v>
      </c>
    </row>
    <row r="176" spans="1:3" ht="15.75" customHeight="1" x14ac:dyDescent="0.25">
      <c r="A176" s="84" t="s">
        <v>1515</v>
      </c>
      <c r="B176" s="85" t="s">
        <v>1344</v>
      </c>
      <c r="C176" s="71">
        <v>263.63879999999995</v>
      </c>
    </row>
    <row r="177" spans="1:3" ht="15.75" customHeight="1" x14ac:dyDescent="0.25">
      <c r="A177" s="84" t="s">
        <v>1255</v>
      </c>
      <c r="B177" s="85" t="s">
        <v>1256</v>
      </c>
      <c r="C177" s="71">
        <v>174.73536000000001</v>
      </c>
    </row>
    <row r="178" spans="1:3" ht="15.75" customHeight="1" x14ac:dyDescent="0.25">
      <c r="A178" s="84" t="s">
        <v>141</v>
      </c>
      <c r="B178" s="85" t="s">
        <v>142</v>
      </c>
      <c r="C178" s="71">
        <v>189.33823999999998</v>
      </c>
    </row>
    <row r="179" spans="1:3" ht="15.75" customHeight="1" x14ac:dyDescent="0.25">
      <c r="A179" s="84" t="s">
        <v>1253</v>
      </c>
      <c r="B179" s="84" t="s">
        <v>1254</v>
      </c>
      <c r="C179" s="71">
        <v>121.72319999999999</v>
      </c>
    </row>
    <row r="180" spans="1:3" ht="15.75" customHeight="1" x14ac:dyDescent="0.25">
      <c r="A180" s="84" t="s">
        <v>822</v>
      </c>
      <c r="B180" s="84" t="s">
        <v>823</v>
      </c>
      <c r="C180" s="71">
        <v>178.72519999999997</v>
      </c>
    </row>
    <row r="181" spans="1:3" ht="15.75" customHeight="1" x14ac:dyDescent="0.25">
      <c r="A181" s="84" t="s">
        <v>472</v>
      </c>
      <c r="B181" s="85" t="s">
        <v>473</v>
      </c>
      <c r="C181" s="71">
        <v>33.932320000000004</v>
      </c>
    </row>
    <row r="182" spans="1:3" ht="15.75" customHeight="1" x14ac:dyDescent="0.25">
      <c r="A182" s="84" t="s">
        <v>1516</v>
      </c>
      <c r="B182" s="85" t="s">
        <v>1517</v>
      </c>
      <c r="C182" s="71">
        <v>14.329360000000001</v>
      </c>
    </row>
    <row r="183" spans="1:3" ht="15.75" customHeight="1" x14ac:dyDescent="0.25">
      <c r="A183" s="84" t="s">
        <v>772</v>
      </c>
      <c r="B183" s="85" t="s">
        <v>773</v>
      </c>
      <c r="C183" s="71">
        <v>13.851439999999998</v>
      </c>
    </row>
    <row r="184" spans="1:3" ht="15.75" customHeight="1" x14ac:dyDescent="0.25">
      <c r="A184" s="84" t="s">
        <v>304</v>
      </c>
      <c r="B184" s="85" t="s">
        <v>305</v>
      </c>
      <c r="C184" s="71">
        <v>5.2653600000000003</v>
      </c>
    </row>
    <row r="185" spans="1:3" ht="15.75" customHeight="1" x14ac:dyDescent="0.25">
      <c r="A185" s="84" t="s">
        <v>1008</v>
      </c>
      <c r="B185" s="84" t="s">
        <v>1009</v>
      </c>
      <c r="C185" s="71">
        <v>31.550959999999996</v>
      </c>
    </row>
    <row r="186" spans="1:3" ht="15.75" customHeight="1" x14ac:dyDescent="0.25">
      <c r="A186" s="84" t="s">
        <v>1012</v>
      </c>
      <c r="B186" s="84" t="s">
        <v>1013</v>
      </c>
      <c r="C186" s="71">
        <v>100.23</v>
      </c>
    </row>
    <row r="187" spans="1:3" ht="15.75" customHeight="1" x14ac:dyDescent="0.25">
      <c r="A187" s="84" t="s">
        <v>1010</v>
      </c>
      <c r="B187" s="84" t="s">
        <v>1011</v>
      </c>
      <c r="C187" s="71">
        <v>31.550959999999996</v>
      </c>
    </row>
    <row r="188" spans="1:3" ht="15.75" customHeight="1" x14ac:dyDescent="0.25">
      <c r="A188" s="84" t="s">
        <v>655</v>
      </c>
      <c r="B188" s="85" t="s">
        <v>656</v>
      </c>
      <c r="C188" s="71">
        <v>31.114239999999999</v>
      </c>
    </row>
    <row r="189" spans="1:3" ht="15.75" customHeight="1" x14ac:dyDescent="0.25">
      <c r="A189" s="84" t="s">
        <v>657</v>
      </c>
      <c r="B189" s="85" t="s">
        <v>658</v>
      </c>
      <c r="C189" s="71">
        <v>31.114239999999999</v>
      </c>
    </row>
    <row r="190" spans="1:3" ht="15.75" customHeight="1" x14ac:dyDescent="0.25">
      <c r="A190" s="84" t="s">
        <v>659</v>
      </c>
      <c r="B190" s="85" t="s">
        <v>660</v>
      </c>
      <c r="C190" s="71">
        <v>31.114239999999999</v>
      </c>
    </row>
    <row r="191" spans="1:3" ht="15.75" customHeight="1" x14ac:dyDescent="0.25">
      <c r="A191" s="84" t="s">
        <v>721</v>
      </c>
      <c r="B191" s="85" t="s">
        <v>722</v>
      </c>
      <c r="C191" s="71">
        <v>31.114239999999999</v>
      </c>
    </row>
    <row r="192" spans="1:3" ht="15.75" customHeight="1" x14ac:dyDescent="0.25">
      <c r="A192" s="84" t="s">
        <v>723</v>
      </c>
      <c r="B192" s="85" t="s">
        <v>724</v>
      </c>
      <c r="C192" s="71">
        <v>23.673520000000003</v>
      </c>
    </row>
    <row r="193" spans="1:26" ht="15.75" customHeight="1" x14ac:dyDescent="0.25">
      <c r="A193" s="84" t="s">
        <v>1014</v>
      </c>
      <c r="B193" s="84" t="s">
        <v>1015</v>
      </c>
      <c r="C193" s="71">
        <v>17.724240000000002</v>
      </c>
    </row>
    <row r="194" spans="1:26" ht="15.75" customHeight="1" x14ac:dyDescent="0.25">
      <c r="A194" s="84" t="s">
        <v>1069</v>
      </c>
      <c r="B194" s="84" t="s">
        <v>1070</v>
      </c>
      <c r="C194" s="71">
        <v>90.738880000000009</v>
      </c>
    </row>
    <row r="195" spans="1:26" ht="15.75" customHeight="1" x14ac:dyDescent="0.25">
      <c r="A195" s="84" t="s">
        <v>906</v>
      </c>
      <c r="B195" s="85" t="s">
        <v>907</v>
      </c>
      <c r="C195" s="71">
        <v>30.29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5.75" customHeight="1" x14ac:dyDescent="0.25">
      <c r="A196" s="84" t="s">
        <v>908</v>
      </c>
      <c r="B196" s="85" t="s">
        <v>909</v>
      </c>
      <c r="C196" s="71">
        <v>30.29</v>
      </c>
    </row>
    <row r="197" spans="1:26" ht="15.75" customHeight="1" x14ac:dyDescent="0.25">
      <c r="A197" s="84" t="s">
        <v>902</v>
      </c>
      <c r="B197" s="85" t="s">
        <v>903</v>
      </c>
      <c r="C197" s="71">
        <v>30.29</v>
      </c>
    </row>
    <row r="198" spans="1:26" ht="15.75" customHeight="1" x14ac:dyDescent="0.25">
      <c r="A198" s="84" t="s">
        <v>904</v>
      </c>
      <c r="B198" s="85" t="s">
        <v>905</v>
      </c>
      <c r="C198" s="71">
        <v>30.29</v>
      </c>
    </row>
    <row r="199" spans="1:26" ht="15.75" customHeight="1" x14ac:dyDescent="0.25">
      <c r="A199" s="98" t="s">
        <v>661</v>
      </c>
      <c r="B199" s="85" t="s">
        <v>662</v>
      </c>
      <c r="C199" s="71">
        <v>31.114239999999999</v>
      </c>
    </row>
    <row r="200" spans="1:26" ht="15.75" customHeight="1" x14ac:dyDescent="0.25">
      <c r="A200" s="84" t="s">
        <v>165</v>
      </c>
      <c r="B200" s="84" t="s">
        <v>166</v>
      </c>
      <c r="C200" s="71">
        <v>202.84992</v>
      </c>
    </row>
    <row r="201" spans="1:26" ht="15.75" customHeight="1" x14ac:dyDescent="0.25">
      <c r="A201" s="84" t="s">
        <v>411</v>
      </c>
      <c r="B201" s="85" t="s">
        <v>412</v>
      </c>
      <c r="C201" s="71">
        <v>71.981504000000001</v>
      </c>
    </row>
    <row r="202" spans="1:26" ht="15.75" customHeight="1" x14ac:dyDescent="0.25">
      <c r="A202" s="84" t="s">
        <v>413</v>
      </c>
      <c r="B202" s="85" t="s">
        <v>414</v>
      </c>
      <c r="C202" s="71">
        <v>77.001568000000006</v>
      </c>
    </row>
    <row r="203" spans="1:26" ht="15.75" customHeight="1" x14ac:dyDescent="0.25">
      <c r="A203" s="84" t="s">
        <v>173</v>
      </c>
      <c r="B203" s="85" t="s">
        <v>174</v>
      </c>
      <c r="C203" s="71">
        <v>70.994559999999993</v>
      </c>
    </row>
    <row r="204" spans="1:26" ht="15.75" customHeight="1" x14ac:dyDescent="0.25">
      <c r="A204" s="84" t="s">
        <v>1483</v>
      </c>
      <c r="B204" s="85" t="s">
        <v>1484</v>
      </c>
      <c r="C204" s="71">
        <v>36.008800000000001</v>
      </c>
    </row>
    <row r="205" spans="1:26" ht="15.75" customHeight="1" x14ac:dyDescent="0.25">
      <c r="A205" s="84" t="s">
        <v>749</v>
      </c>
      <c r="B205" s="85" t="s">
        <v>750</v>
      </c>
      <c r="C205" s="71">
        <v>100.01712000000001</v>
      </c>
    </row>
    <row r="206" spans="1:26" ht="15.75" customHeight="1" x14ac:dyDescent="0.25">
      <c r="A206" s="84" t="s">
        <v>1149</v>
      </c>
      <c r="B206" s="85" t="s">
        <v>1150</v>
      </c>
      <c r="C206" s="71">
        <v>62.006</v>
      </c>
    </row>
    <row r="207" spans="1:26" ht="15.75" customHeight="1" x14ac:dyDescent="0.25">
      <c r="A207" s="84" t="s">
        <v>261</v>
      </c>
      <c r="B207" s="85" t="s">
        <v>262</v>
      </c>
      <c r="C207" s="71">
        <v>29.735680000000002</v>
      </c>
    </row>
    <row r="208" spans="1:26" ht="15.75" customHeight="1" x14ac:dyDescent="0.25">
      <c r="A208" s="84" t="s">
        <v>265</v>
      </c>
      <c r="B208" s="85" t="s">
        <v>266</v>
      </c>
      <c r="C208" s="71">
        <v>29.735680000000002</v>
      </c>
    </row>
    <row r="209" spans="1:26" ht="15.75" customHeight="1" x14ac:dyDescent="0.25">
      <c r="A209" s="84" t="s">
        <v>268</v>
      </c>
      <c r="B209" s="85" t="s">
        <v>269</v>
      </c>
      <c r="C209" s="71">
        <v>29.735680000000002</v>
      </c>
    </row>
    <row r="210" spans="1:26" ht="15.75" customHeight="1" x14ac:dyDescent="0.25">
      <c r="A210" s="84" t="s">
        <v>1107</v>
      </c>
      <c r="B210" s="85" t="s">
        <v>1108</v>
      </c>
      <c r="C210" s="71">
        <v>28.172559999999997</v>
      </c>
    </row>
    <row r="211" spans="1:26" ht="15.75" customHeight="1" x14ac:dyDescent="0.25">
      <c r="A211" s="84" t="s">
        <v>1203</v>
      </c>
      <c r="B211" s="85" t="s">
        <v>1204</v>
      </c>
      <c r="C211" s="71">
        <v>41.232959999999999</v>
      </c>
    </row>
    <row r="212" spans="1:26" ht="15.75" customHeight="1" x14ac:dyDescent="0.25">
      <c r="A212" s="84" t="s">
        <v>270</v>
      </c>
      <c r="B212" s="85" t="s">
        <v>271</v>
      </c>
      <c r="C212" s="71">
        <v>32.456319999999998</v>
      </c>
    </row>
    <row r="213" spans="1:26" ht="15.75" customHeight="1" x14ac:dyDescent="0.25">
      <c r="A213" s="84" t="s">
        <v>1018</v>
      </c>
      <c r="B213" s="85" t="s">
        <v>1019</v>
      </c>
      <c r="C213" s="71">
        <v>58.850080000000005</v>
      </c>
    </row>
    <row r="214" spans="1:26" ht="15.75" customHeight="1" x14ac:dyDescent="0.25">
      <c r="A214" s="84" t="s">
        <v>1020</v>
      </c>
      <c r="B214" s="84" t="s">
        <v>1021</v>
      </c>
      <c r="C214" s="71">
        <v>58.850080000000005</v>
      </c>
    </row>
    <row r="215" spans="1:26" ht="15.75" customHeight="1" x14ac:dyDescent="0.25">
      <c r="A215" s="84" t="s">
        <v>1022</v>
      </c>
      <c r="B215" s="84" t="s">
        <v>1023</v>
      </c>
      <c r="C215" s="71">
        <v>66.043599999999998</v>
      </c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5.75" customHeight="1" x14ac:dyDescent="0.25">
      <c r="A216" s="84" t="s">
        <v>1024</v>
      </c>
      <c r="B216" s="84" t="s">
        <v>1025</v>
      </c>
      <c r="C216" s="71">
        <v>72.973439999999997</v>
      </c>
    </row>
    <row r="217" spans="1:26" ht="15.75" customHeight="1" x14ac:dyDescent="0.25">
      <c r="A217" s="84" t="s">
        <v>1026</v>
      </c>
      <c r="B217" s="84" t="s">
        <v>1027</v>
      </c>
      <c r="C217" s="71">
        <v>75.404240000000001</v>
      </c>
    </row>
    <row r="218" spans="1:26" ht="15.75" customHeight="1" x14ac:dyDescent="0.25">
      <c r="A218" s="84" t="s">
        <v>780</v>
      </c>
      <c r="B218" s="85" t="s">
        <v>781</v>
      </c>
      <c r="C218" s="71">
        <v>20.764800000000001</v>
      </c>
    </row>
    <row r="219" spans="1:26" ht="15.75" customHeight="1" x14ac:dyDescent="0.25">
      <c r="A219" s="84" t="s">
        <v>725</v>
      </c>
      <c r="B219" s="85" t="s">
        <v>726</v>
      </c>
      <c r="C219" s="71">
        <v>29.64752</v>
      </c>
    </row>
    <row r="220" spans="1:26" ht="15.75" customHeight="1" x14ac:dyDescent="0.25">
      <c r="A220" s="84" t="s">
        <v>844</v>
      </c>
      <c r="B220" s="85" t="s">
        <v>845</v>
      </c>
      <c r="C220" s="71">
        <v>78.586799999999997</v>
      </c>
    </row>
    <row r="221" spans="1:26" ht="15.75" customHeight="1" x14ac:dyDescent="0.25">
      <c r="A221" s="84" t="s">
        <v>292</v>
      </c>
      <c r="B221" s="85" t="s">
        <v>293</v>
      </c>
      <c r="C221" s="71">
        <v>57.032640000000001</v>
      </c>
    </row>
    <row r="222" spans="1:26" ht="15.75" customHeight="1" x14ac:dyDescent="0.25">
      <c r="A222" s="84" t="s">
        <v>801</v>
      </c>
      <c r="B222" s="85" t="s">
        <v>802</v>
      </c>
      <c r="C222" s="71">
        <v>63.448</v>
      </c>
    </row>
    <row r="223" spans="1:26" ht="15.75" customHeight="1" x14ac:dyDescent="0.25">
      <c r="A223" s="84" t="s">
        <v>296</v>
      </c>
      <c r="B223" s="85" t="s">
        <v>297</v>
      </c>
      <c r="C223" s="71">
        <v>57.032640000000001</v>
      </c>
    </row>
    <row r="224" spans="1:26" ht="15.75" customHeight="1" x14ac:dyDescent="0.25">
      <c r="A224" s="84" t="s">
        <v>1436</v>
      </c>
      <c r="B224" s="85" t="s">
        <v>1437</v>
      </c>
      <c r="C224" s="71">
        <v>30.257279999999998</v>
      </c>
    </row>
    <row r="225" spans="1:3" ht="15.75" customHeight="1" x14ac:dyDescent="0.25">
      <c r="A225" s="84" t="s">
        <v>927</v>
      </c>
      <c r="B225" s="85" t="s">
        <v>928</v>
      </c>
      <c r="C225" s="71">
        <v>63.2</v>
      </c>
    </row>
    <row r="226" spans="1:3" ht="15.75" customHeight="1" x14ac:dyDescent="0.25">
      <c r="A226" s="84" t="s">
        <v>294</v>
      </c>
      <c r="B226" s="85" t="s">
        <v>295</v>
      </c>
      <c r="C226" s="71">
        <v>58.95</v>
      </c>
    </row>
    <row r="227" spans="1:3" ht="15.75" customHeight="1" x14ac:dyDescent="0.25">
      <c r="A227" s="84" t="s">
        <v>1387</v>
      </c>
      <c r="B227" s="85" t="s">
        <v>1388</v>
      </c>
      <c r="C227" s="71">
        <v>25.2484</v>
      </c>
    </row>
    <row r="228" spans="1:3" ht="15.75" customHeight="1" x14ac:dyDescent="0.25">
      <c r="A228" s="84" t="s">
        <v>1389</v>
      </c>
      <c r="B228" s="85" t="s">
        <v>1390</v>
      </c>
      <c r="C228" s="71">
        <v>26.209040000000002</v>
      </c>
    </row>
    <row r="229" spans="1:3" ht="15.75" customHeight="1" x14ac:dyDescent="0.25">
      <c r="A229" s="84" t="s">
        <v>1071</v>
      </c>
      <c r="B229" s="85" t="s">
        <v>1518</v>
      </c>
      <c r="C229" s="71">
        <v>58.850080000000005</v>
      </c>
    </row>
    <row r="230" spans="1:3" ht="15.75" customHeight="1" x14ac:dyDescent="0.25">
      <c r="A230" s="84" t="s">
        <v>578</v>
      </c>
      <c r="B230" s="85" t="s">
        <v>579</v>
      </c>
      <c r="C230" s="71">
        <v>17.474799999999998</v>
      </c>
    </row>
    <row r="231" spans="1:3" ht="15.75" customHeight="1" x14ac:dyDescent="0.25">
      <c r="A231" s="84" t="s">
        <v>470</v>
      </c>
      <c r="B231" s="85" t="s">
        <v>471</v>
      </c>
      <c r="C231" s="71">
        <v>21.348960000000002</v>
      </c>
    </row>
    <row r="232" spans="1:3" ht="15.75" customHeight="1" x14ac:dyDescent="0.25">
      <c r="A232" s="84" t="s">
        <v>1028</v>
      </c>
      <c r="B232" s="84" t="s">
        <v>1029</v>
      </c>
      <c r="C232" s="71">
        <v>28.642240000000001</v>
      </c>
    </row>
    <row r="233" spans="1:3" ht="15.75" customHeight="1" x14ac:dyDescent="0.25">
      <c r="A233" s="84" t="s">
        <v>1030</v>
      </c>
      <c r="B233" s="84" t="s">
        <v>1031</v>
      </c>
      <c r="C233" s="71">
        <v>68.869920000000008</v>
      </c>
    </row>
    <row r="234" spans="1:3" ht="15.75" customHeight="1" x14ac:dyDescent="0.25">
      <c r="A234" s="84" t="s">
        <v>308</v>
      </c>
      <c r="B234" s="85" t="s">
        <v>309</v>
      </c>
      <c r="C234" s="71">
        <v>25.328520000000001</v>
      </c>
    </row>
    <row r="235" spans="1:3" ht="15.75" customHeight="1" x14ac:dyDescent="0.25">
      <c r="A235" s="84" t="s">
        <v>1519</v>
      </c>
      <c r="B235" s="85">
        <v>10639</v>
      </c>
      <c r="C235" s="71">
        <v>11.99</v>
      </c>
    </row>
    <row r="236" spans="1:3" ht="15.75" customHeight="1" x14ac:dyDescent="0.25">
      <c r="A236" s="84" t="s">
        <v>1520</v>
      </c>
      <c r="B236" s="85">
        <v>10641</v>
      </c>
      <c r="C236" s="71">
        <v>15.59</v>
      </c>
    </row>
    <row r="237" spans="1:3" ht="15.75" customHeight="1" x14ac:dyDescent="0.25">
      <c r="A237" s="84" t="s">
        <v>1521</v>
      </c>
      <c r="B237" s="85">
        <v>10645</v>
      </c>
      <c r="C237" s="71">
        <v>19.190000000000001</v>
      </c>
    </row>
    <row r="238" spans="1:3" ht="15.75" customHeight="1" x14ac:dyDescent="0.25">
      <c r="A238" s="84" t="s">
        <v>387</v>
      </c>
      <c r="B238" s="85" t="s">
        <v>388</v>
      </c>
      <c r="C238" s="71">
        <v>13.375935999999999</v>
      </c>
    </row>
    <row r="239" spans="1:3" ht="15.75" customHeight="1" x14ac:dyDescent="0.25">
      <c r="A239" s="84" t="s">
        <v>147</v>
      </c>
      <c r="B239" s="85" t="s">
        <v>148</v>
      </c>
      <c r="C239" s="71">
        <v>18.94464</v>
      </c>
    </row>
    <row r="240" spans="1:3" ht="15.75" customHeight="1" x14ac:dyDescent="0.25">
      <c r="A240" s="84" t="s">
        <v>1079</v>
      </c>
      <c r="B240" s="85" t="s">
        <v>1080</v>
      </c>
      <c r="C240" s="71">
        <v>24.423359999999999</v>
      </c>
    </row>
    <row r="241" spans="1:26" ht="15.75" customHeight="1" x14ac:dyDescent="0.25">
      <c r="A241" s="84" t="s">
        <v>1075</v>
      </c>
      <c r="B241" s="85" t="s">
        <v>1076</v>
      </c>
      <c r="C241" s="71">
        <v>24.423359999999999</v>
      </c>
    </row>
    <row r="242" spans="1:26" ht="15.75" customHeight="1" x14ac:dyDescent="0.25">
      <c r="A242" s="84" t="s">
        <v>1077</v>
      </c>
      <c r="B242" s="85" t="s">
        <v>1078</v>
      </c>
      <c r="C242" s="71">
        <v>24.423359999999999</v>
      </c>
    </row>
    <row r="243" spans="1:26" ht="15.75" customHeight="1" x14ac:dyDescent="0.25">
      <c r="A243" s="84" t="s">
        <v>1083</v>
      </c>
      <c r="B243" s="85" t="s">
        <v>1084</v>
      </c>
      <c r="C243" s="71">
        <v>24.423359999999999</v>
      </c>
    </row>
    <row r="244" spans="1:26" ht="15.75" customHeight="1" x14ac:dyDescent="0.25">
      <c r="A244" s="84" t="s">
        <v>1085</v>
      </c>
      <c r="B244" s="85" t="s">
        <v>1086</v>
      </c>
      <c r="C244" s="71">
        <v>24.423359999999999</v>
      </c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5.75" customHeight="1" x14ac:dyDescent="0.25">
      <c r="A245" s="84" t="s">
        <v>1081</v>
      </c>
      <c r="B245" s="85" t="s">
        <v>1082</v>
      </c>
      <c r="C245" s="71">
        <v>24.423359999999999</v>
      </c>
    </row>
    <row r="246" spans="1:26" ht="15.75" customHeight="1" x14ac:dyDescent="0.25">
      <c r="A246" s="84" t="s">
        <v>848</v>
      </c>
      <c r="B246" s="85" t="s">
        <v>849</v>
      </c>
      <c r="C246" s="71">
        <v>20.616479999999999</v>
      </c>
    </row>
    <row r="247" spans="1:26" ht="15.75" customHeight="1" x14ac:dyDescent="0.25">
      <c r="A247" s="84" t="s">
        <v>842</v>
      </c>
      <c r="B247" s="85" t="s">
        <v>843</v>
      </c>
      <c r="C247" s="71">
        <v>14.56128</v>
      </c>
    </row>
    <row r="248" spans="1:26" ht="15.75" customHeight="1" x14ac:dyDescent="0.25">
      <c r="A248" s="84" t="s">
        <v>528</v>
      </c>
      <c r="B248" s="85" t="s">
        <v>529</v>
      </c>
      <c r="C248" s="71">
        <v>6.9463200000000001</v>
      </c>
    </row>
    <row r="249" spans="1:26" ht="15.75" customHeight="1" x14ac:dyDescent="0.25">
      <c r="A249" s="84" t="s">
        <v>612</v>
      </c>
      <c r="B249" s="85" t="s">
        <v>613</v>
      </c>
      <c r="C249" s="71">
        <v>296.35984000000002</v>
      </c>
    </row>
    <row r="250" spans="1:26" ht="15.75" customHeight="1" x14ac:dyDescent="0.25">
      <c r="A250" s="84" t="s">
        <v>614</v>
      </c>
      <c r="B250" s="85" t="s">
        <v>615</v>
      </c>
      <c r="C250" s="71">
        <v>296.35984000000002</v>
      </c>
    </row>
    <row r="251" spans="1:26" ht="15.75" customHeight="1" x14ac:dyDescent="0.25">
      <c r="A251" s="84" t="s">
        <v>1522</v>
      </c>
      <c r="B251" s="84" t="s">
        <v>745</v>
      </c>
      <c r="C251" s="71">
        <v>296.35984000000002</v>
      </c>
    </row>
    <row r="252" spans="1:26" ht="15.75" customHeight="1" x14ac:dyDescent="0.25">
      <c r="A252" s="84" t="s">
        <v>1523</v>
      </c>
      <c r="B252" s="84" t="s">
        <v>746</v>
      </c>
      <c r="C252" s="71">
        <v>296.35984000000002</v>
      </c>
    </row>
    <row r="253" spans="1:26" ht="15.75" customHeight="1" x14ac:dyDescent="0.25">
      <c r="A253" s="84" t="s">
        <v>1524</v>
      </c>
      <c r="B253" s="85" t="s">
        <v>689</v>
      </c>
      <c r="C253" s="71">
        <v>296.35984000000002</v>
      </c>
    </row>
    <row r="254" spans="1:26" ht="15.75" customHeight="1" x14ac:dyDescent="0.25">
      <c r="A254" s="84" t="s">
        <v>857</v>
      </c>
      <c r="B254" s="85" t="s">
        <v>858</v>
      </c>
      <c r="C254" s="71">
        <v>651.46719999999993</v>
      </c>
    </row>
    <row r="255" spans="1:26" ht="15.75" customHeight="1" x14ac:dyDescent="0.25">
      <c r="A255" s="84" t="s">
        <v>816</v>
      </c>
      <c r="B255" s="85" t="s">
        <v>817</v>
      </c>
      <c r="C255" s="71">
        <v>1250.8528000000001</v>
      </c>
    </row>
    <row r="256" spans="1:26" ht="15.75" customHeight="1" x14ac:dyDescent="0.25">
      <c r="A256" s="84" t="s">
        <v>129</v>
      </c>
      <c r="B256" s="85" t="s">
        <v>130</v>
      </c>
      <c r="C256" s="71">
        <v>473.32479999999998</v>
      </c>
    </row>
    <row r="257" spans="1:26" ht="15.75" customHeight="1" x14ac:dyDescent="0.25">
      <c r="A257" s="84" t="s">
        <v>859</v>
      </c>
      <c r="B257" s="85" t="s">
        <v>860</v>
      </c>
      <c r="C257" s="71">
        <v>437.77440000000001</v>
      </c>
    </row>
    <row r="258" spans="1:26" ht="15.75" customHeight="1" x14ac:dyDescent="0.25">
      <c r="A258" s="84" t="s">
        <v>1525</v>
      </c>
      <c r="B258" s="85" t="s">
        <v>475</v>
      </c>
      <c r="C258" s="71">
        <v>33.932320000000004</v>
      </c>
    </row>
    <row r="259" spans="1:26" ht="15.75" customHeight="1" x14ac:dyDescent="0.25">
      <c r="A259" s="84" t="s">
        <v>1087</v>
      </c>
      <c r="B259" s="85" t="s">
        <v>1088</v>
      </c>
      <c r="C259" s="71">
        <v>61.058399999999992</v>
      </c>
    </row>
    <row r="260" spans="1:26" ht="15.75" customHeight="1" x14ac:dyDescent="0.25">
      <c r="A260" s="84" t="s">
        <v>1097</v>
      </c>
      <c r="B260" s="85" t="s">
        <v>1098</v>
      </c>
      <c r="C260" s="71">
        <v>61.058399999999992</v>
      </c>
    </row>
    <row r="261" spans="1:26" ht="15.75" customHeight="1" x14ac:dyDescent="0.25">
      <c r="A261" s="84" t="s">
        <v>1099</v>
      </c>
      <c r="B261" s="85" t="s">
        <v>1100</v>
      </c>
      <c r="C261" s="71">
        <v>61.058399999999992</v>
      </c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5.75" customHeight="1" x14ac:dyDescent="0.25">
      <c r="A262" s="84" t="s">
        <v>1089</v>
      </c>
      <c r="B262" s="85" t="s">
        <v>1090</v>
      </c>
      <c r="C262" s="71">
        <v>56.369839999999996</v>
      </c>
    </row>
    <row r="263" spans="1:26" ht="15.75" customHeight="1" x14ac:dyDescent="0.25">
      <c r="A263" s="84" t="s">
        <v>1091</v>
      </c>
      <c r="B263" s="85" t="s">
        <v>1092</v>
      </c>
      <c r="C263" s="71">
        <v>61.058399999999992</v>
      </c>
    </row>
    <row r="264" spans="1:26" ht="15.75" customHeight="1" x14ac:dyDescent="0.25">
      <c r="A264" s="84" t="s">
        <v>1093</v>
      </c>
      <c r="B264" s="85" t="s">
        <v>1094</v>
      </c>
      <c r="C264" s="71">
        <v>61.058399999999992</v>
      </c>
    </row>
    <row r="265" spans="1:26" ht="15.75" customHeight="1" x14ac:dyDescent="0.25">
      <c r="A265" s="84" t="s">
        <v>1095</v>
      </c>
      <c r="B265" s="85" t="s">
        <v>1096</v>
      </c>
      <c r="C265" s="71">
        <v>61.058399999999992</v>
      </c>
    </row>
    <row r="266" spans="1:26" ht="15.75" customHeight="1" x14ac:dyDescent="0.25">
      <c r="A266" s="84" t="s">
        <v>1101</v>
      </c>
      <c r="B266" s="85" t="s">
        <v>1102</v>
      </c>
      <c r="C266" s="71">
        <v>61.058399999999992</v>
      </c>
    </row>
    <row r="267" spans="1:26" ht="15.75" customHeight="1" x14ac:dyDescent="0.25">
      <c r="A267" s="84" t="s">
        <v>1271</v>
      </c>
      <c r="B267" s="85" t="s">
        <v>1272</v>
      </c>
      <c r="C267" s="71">
        <v>12.147040000000001</v>
      </c>
    </row>
    <row r="268" spans="1:26" ht="15.75" customHeight="1" x14ac:dyDescent="0.25">
      <c r="A268" s="84" t="s">
        <v>671</v>
      </c>
      <c r="B268" s="85" t="s">
        <v>672</v>
      </c>
      <c r="C268" s="71">
        <v>25.9148</v>
      </c>
    </row>
    <row r="269" spans="1:26" ht="15.75" customHeight="1" x14ac:dyDescent="0.25">
      <c r="A269" s="84" t="s">
        <v>731</v>
      </c>
      <c r="B269" s="85" t="s">
        <v>732</v>
      </c>
      <c r="C269" s="71">
        <v>25.9148</v>
      </c>
    </row>
    <row r="270" spans="1:26" ht="15.75" customHeight="1" x14ac:dyDescent="0.25">
      <c r="A270" s="84" t="s">
        <v>1267</v>
      </c>
      <c r="B270" s="85" t="s">
        <v>1268</v>
      </c>
      <c r="C270" s="71">
        <v>17.474799999999998</v>
      </c>
    </row>
    <row r="271" spans="1:26" ht="15.75" customHeight="1" x14ac:dyDescent="0.25">
      <c r="A271" s="84" t="s">
        <v>1526</v>
      </c>
      <c r="B271" s="85" t="s">
        <v>1527</v>
      </c>
      <c r="C271" s="71">
        <v>20.28688</v>
      </c>
    </row>
    <row r="272" spans="1:26" ht="15.75" customHeight="1" x14ac:dyDescent="0.25">
      <c r="A272" s="84" t="s">
        <v>1295</v>
      </c>
      <c r="B272" s="85" t="s">
        <v>1296</v>
      </c>
      <c r="C272" s="71">
        <v>34.949599999999997</v>
      </c>
    </row>
    <row r="273" spans="1:26" ht="15.75" customHeight="1" x14ac:dyDescent="0.25">
      <c r="A273" s="84" t="s">
        <v>1034</v>
      </c>
      <c r="B273" s="84" t="s">
        <v>1035</v>
      </c>
      <c r="C273" s="71">
        <v>88.283360000000002</v>
      </c>
    </row>
    <row r="274" spans="1:26" ht="15.75" customHeight="1" x14ac:dyDescent="0.25">
      <c r="A274" s="84" t="s">
        <v>1420</v>
      </c>
      <c r="B274" s="84" t="s">
        <v>1421</v>
      </c>
      <c r="C274" s="71">
        <v>19.841919999999998</v>
      </c>
    </row>
    <row r="275" spans="1:26" ht="15.75" customHeight="1" x14ac:dyDescent="0.25">
      <c r="A275" s="84" t="s">
        <v>241</v>
      </c>
      <c r="B275" s="84" t="s">
        <v>242</v>
      </c>
      <c r="C275" s="71">
        <v>268.34496000000001</v>
      </c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5.75" customHeight="1" x14ac:dyDescent="0.25">
      <c r="A276" s="84" t="s">
        <v>673</v>
      </c>
      <c r="B276" s="85" t="s">
        <v>674</v>
      </c>
      <c r="C276" s="71">
        <v>1043.69488</v>
      </c>
    </row>
    <row r="277" spans="1:26" ht="15.75" customHeight="1" x14ac:dyDescent="0.25">
      <c r="A277" s="84" t="s">
        <v>1391</v>
      </c>
      <c r="B277" s="84" t="s">
        <v>1392</v>
      </c>
      <c r="C277" s="71">
        <v>56.684079999999994</v>
      </c>
    </row>
    <row r="278" spans="1:26" ht="15.75" customHeight="1" x14ac:dyDescent="0.25">
      <c r="A278" s="84" t="s">
        <v>548</v>
      </c>
      <c r="B278" s="85" t="s">
        <v>549</v>
      </c>
      <c r="C278" s="71">
        <v>122.24039999999999</v>
      </c>
    </row>
    <row r="279" spans="1:26" ht="15.75" customHeight="1" x14ac:dyDescent="0.25">
      <c r="A279" s="84" t="s">
        <v>476</v>
      </c>
      <c r="B279" s="85" t="s">
        <v>477</v>
      </c>
      <c r="C279" s="71">
        <v>14.56128</v>
      </c>
    </row>
    <row r="280" spans="1:26" ht="15.75" customHeight="1" x14ac:dyDescent="0.25">
      <c r="A280" s="84" t="s">
        <v>1197</v>
      </c>
      <c r="B280" s="85" t="s">
        <v>1198</v>
      </c>
      <c r="C280" s="71">
        <v>68.738080000000011</v>
      </c>
    </row>
    <row r="281" spans="1:26" ht="15.75" customHeight="1" x14ac:dyDescent="0.25">
      <c r="A281" s="84" t="s">
        <v>1195</v>
      </c>
      <c r="B281" s="85" t="s">
        <v>1196</v>
      </c>
      <c r="C281" s="71">
        <v>68.738080000000011</v>
      </c>
    </row>
    <row r="282" spans="1:26" ht="15.75" customHeight="1" x14ac:dyDescent="0.25">
      <c r="A282" s="84" t="s">
        <v>1528</v>
      </c>
      <c r="B282" s="85" t="s">
        <v>1529</v>
      </c>
      <c r="C282" s="71">
        <v>74.364159999999984</v>
      </c>
    </row>
    <row r="283" spans="1:26" ht="15.75" customHeight="1" x14ac:dyDescent="0.25">
      <c r="A283" s="84" t="s">
        <v>1370</v>
      </c>
      <c r="B283" s="84" t="s">
        <v>1371</v>
      </c>
      <c r="C283" s="71">
        <v>52.013600000000004</v>
      </c>
    </row>
    <row r="284" spans="1:26" ht="15.75" customHeight="1" x14ac:dyDescent="0.25">
      <c r="A284" s="84" t="s">
        <v>978</v>
      </c>
      <c r="B284" s="85" t="s">
        <v>979</v>
      </c>
      <c r="C284" s="71">
        <v>50.725440000000006</v>
      </c>
    </row>
    <row r="285" spans="1:26" ht="15.75" customHeight="1" x14ac:dyDescent="0.25">
      <c r="A285" s="84" t="s">
        <v>512</v>
      </c>
      <c r="B285" s="85" t="s">
        <v>513</v>
      </c>
      <c r="C285" s="71">
        <v>65.590399999999988</v>
      </c>
    </row>
    <row r="286" spans="1:26" ht="15.75" customHeight="1" x14ac:dyDescent="0.25">
      <c r="A286" s="84" t="s">
        <v>524</v>
      </c>
      <c r="B286" s="85" t="s">
        <v>525</v>
      </c>
      <c r="C286" s="71">
        <v>61.701119999999996</v>
      </c>
    </row>
    <row r="287" spans="1:26" ht="15.75" customHeight="1" x14ac:dyDescent="0.25">
      <c r="A287" s="84" t="s">
        <v>526</v>
      </c>
      <c r="B287" s="85" t="s">
        <v>527</v>
      </c>
      <c r="C287" s="71">
        <v>81.007440000000003</v>
      </c>
    </row>
    <row r="288" spans="1:26" ht="15.75" customHeight="1" x14ac:dyDescent="0.25">
      <c r="A288" s="84" t="s">
        <v>1530</v>
      </c>
      <c r="B288" s="85" t="s">
        <v>1531</v>
      </c>
      <c r="C288" s="71">
        <v>126.75024000000002</v>
      </c>
    </row>
    <row r="289" spans="1:26" ht="15.75" customHeight="1" x14ac:dyDescent="0.25">
      <c r="A289" s="84" t="s">
        <v>1103</v>
      </c>
      <c r="B289" s="84" t="s">
        <v>1104</v>
      </c>
      <c r="C289" s="71">
        <v>38.662080000000003</v>
      </c>
    </row>
    <row r="290" spans="1:26" ht="15.75" customHeight="1" x14ac:dyDescent="0.25">
      <c r="A290" s="84" t="s">
        <v>1269</v>
      </c>
      <c r="B290" s="85" t="s">
        <v>1270</v>
      </c>
      <c r="C290" s="71">
        <v>16.014879999999998</v>
      </c>
    </row>
    <row r="291" spans="1:26" ht="15.75" customHeight="1" x14ac:dyDescent="0.25">
      <c r="A291" s="84" t="s">
        <v>653</v>
      </c>
      <c r="B291" s="85" t="s">
        <v>654</v>
      </c>
      <c r="C291" s="71">
        <v>24.448080000000001</v>
      </c>
    </row>
    <row r="292" spans="1:26" ht="15.75" customHeight="1" x14ac:dyDescent="0.25">
      <c r="A292" s="84" t="s">
        <v>560</v>
      </c>
      <c r="B292" s="85" t="s">
        <v>561</v>
      </c>
      <c r="C292" s="71">
        <v>59.253839999999997</v>
      </c>
    </row>
    <row r="293" spans="1:26" ht="15.75" customHeight="1" x14ac:dyDescent="0.25">
      <c r="A293" s="84" t="s">
        <v>468</v>
      </c>
      <c r="B293" s="85" t="s">
        <v>469</v>
      </c>
      <c r="C293" s="71">
        <v>27.77704</v>
      </c>
    </row>
    <row r="294" spans="1:26" ht="15.75" customHeight="1" x14ac:dyDescent="0.25">
      <c r="A294" s="84" t="s">
        <v>442</v>
      </c>
      <c r="B294" s="85" t="s">
        <v>443</v>
      </c>
      <c r="C294" s="71">
        <v>21.30752</v>
      </c>
    </row>
    <row r="295" spans="1:26" ht="15.75" customHeight="1" x14ac:dyDescent="0.25">
      <c r="A295" s="84" t="s">
        <v>1580</v>
      </c>
      <c r="B295" s="85" t="s">
        <v>1579</v>
      </c>
      <c r="C295" s="71">
        <v>21.30752</v>
      </c>
    </row>
    <row r="296" spans="1:26" ht="17.25" customHeight="1" x14ac:dyDescent="0.25">
      <c r="A296" s="84" t="s">
        <v>514</v>
      </c>
      <c r="B296" s="85" t="s">
        <v>515</v>
      </c>
      <c r="C296" s="71">
        <v>65.590399999999988</v>
      </c>
    </row>
    <row r="297" spans="1:26" ht="15.75" customHeight="1" x14ac:dyDescent="0.25">
      <c r="A297" s="84" t="s">
        <v>516</v>
      </c>
      <c r="B297" s="85" t="s">
        <v>517</v>
      </c>
      <c r="C297" s="71">
        <v>69.430239999999998</v>
      </c>
    </row>
    <row r="298" spans="1:26" ht="15.75" customHeight="1" x14ac:dyDescent="0.25">
      <c r="A298" s="84" t="s">
        <v>1354</v>
      </c>
      <c r="B298" s="85" t="s">
        <v>1355</v>
      </c>
      <c r="C298" s="71">
        <v>111.62384</v>
      </c>
    </row>
    <row r="299" spans="1:26" ht="14.25" customHeight="1" x14ac:dyDescent="0.25">
      <c r="A299" s="84" t="s">
        <v>846</v>
      </c>
      <c r="B299" s="85" t="s">
        <v>847</v>
      </c>
      <c r="C299" s="71">
        <v>89.302400000000006</v>
      </c>
    </row>
    <row r="300" spans="1:26" ht="15.75" customHeight="1" x14ac:dyDescent="0.25">
      <c r="A300" s="84" t="s">
        <v>1263</v>
      </c>
      <c r="B300" s="85" t="s">
        <v>1264</v>
      </c>
      <c r="C300" s="71">
        <v>13.600640000000002</v>
      </c>
    </row>
    <row r="301" spans="1:26" ht="15.75" customHeight="1" x14ac:dyDescent="0.25">
      <c r="A301" s="84" t="s">
        <v>1356</v>
      </c>
      <c r="B301" s="84" t="s">
        <v>1357</v>
      </c>
      <c r="C301" s="71">
        <v>31.536799999999999</v>
      </c>
    </row>
    <row r="302" spans="1:26" ht="15.75" customHeight="1" x14ac:dyDescent="0.25">
      <c r="A302" s="84" t="s">
        <v>1360</v>
      </c>
      <c r="B302" s="84" t="s">
        <v>1361</v>
      </c>
      <c r="C302" s="71">
        <v>31.536799999999999</v>
      </c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5.75" customHeight="1" x14ac:dyDescent="0.25">
      <c r="A303" s="84" t="s">
        <v>1362</v>
      </c>
      <c r="B303" s="85" t="s">
        <v>1363</v>
      </c>
      <c r="C303" s="71">
        <v>31.536799999999999</v>
      </c>
    </row>
    <row r="304" spans="1:26" ht="15.75" customHeight="1" x14ac:dyDescent="0.25">
      <c r="A304" s="84" t="s">
        <v>1358</v>
      </c>
      <c r="B304" s="85" t="s">
        <v>1359</v>
      </c>
      <c r="C304" s="71">
        <v>31.536799999999999</v>
      </c>
    </row>
    <row r="305" spans="1:4" ht="15.75" customHeight="1" x14ac:dyDescent="0.25">
      <c r="A305" s="84" t="s">
        <v>824</v>
      </c>
      <c r="B305" s="85" t="s">
        <v>825</v>
      </c>
      <c r="C305" s="71">
        <v>116.1172</v>
      </c>
    </row>
    <row r="306" spans="1:4" ht="15.75" customHeight="1" x14ac:dyDescent="0.25">
      <c r="A306" s="84" t="s">
        <v>1458</v>
      </c>
      <c r="B306" s="85" t="s">
        <v>1459</v>
      </c>
      <c r="C306" s="71">
        <v>38.96696</v>
      </c>
      <c r="D306" s="63"/>
    </row>
    <row r="307" spans="1:4" ht="15.75" customHeight="1" x14ac:dyDescent="0.25">
      <c r="A307" s="84" t="s">
        <v>1460</v>
      </c>
      <c r="B307" s="85" t="s">
        <v>1461</v>
      </c>
      <c r="C307" s="71">
        <v>38.96696</v>
      </c>
    </row>
    <row r="308" spans="1:4" ht="15.75" customHeight="1" x14ac:dyDescent="0.25">
      <c r="A308" s="84" t="s">
        <v>1462</v>
      </c>
      <c r="B308" s="85" t="s">
        <v>1463</v>
      </c>
      <c r="C308" s="71">
        <v>38.96696</v>
      </c>
    </row>
    <row r="309" spans="1:4" ht="15.75" customHeight="1" x14ac:dyDescent="0.25">
      <c r="A309" s="84" t="s">
        <v>1464</v>
      </c>
      <c r="B309" s="85" t="s">
        <v>1465</v>
      </c>
      <c r="C309" s="71">
        <v>38.96696</v>
      </c>
    </row>
    <row r="310" spans="1:4" ht="15.75" customHeight="1" x14ac:dyDescent="0.25">
      <c r="A310" s="84" t="s">
        <v>1466</v>
      </c>
      <c r="B310" s="85" t="s">
        <v>1467</v>
      </c>
      <c r="C310" s="71">
        <v>38.96696</v>
      </c>
    </row>
    <row r="311" spans="1:4" ht="15.75" customHeight="1" x14ac:dyDescent="0.25">
      <c r="A311" s="84" t="s">
        <v>562</v>
      </c>
      <c r="B311" s="85" t="s">
        <v>563</v>
      </c>
      <c r="C311" s="71">
        <v>296.35984000000002</v>
      </c>
    </row>
    <row r="312" spans="1:4" ht="15.75" customHeight="1" x14ac:dyDescent="0.25">
      <c r="A312" s="84" t="s">
        <v>1042</v>
      </c>
      <c r="B312" s="85" t="s">
        <v>1043</v>
      </c>
      <c r="C312" s="71">
        <v>74.975760000000008</v>
      </c>
    </row>
    <row r="313" spans="1:4" ht="15.75" customHeight="1" x14ac:dyDescent="0.25">
      <c r="A313" s="84" t="s">
        <v>558</v>
      </c>
      <c r="B313" s="85" t="s">
        <v>559</v>
      </c>
      <c r="C313" s="71">
        <v>65.211359999999999</v>
      </c>
    </row>
    <row r="314" spans="1:4" ht="15.75" customHeight="1" x14ac:dyDescent="0.25">
      <c r="A314" s="84" t="s">
        <v>1038</v>
      </c>
      <c r="B314" s="84" t="s">
        <v>1039</v>
      </c>
      <c r="C314" s="71">
        <v>130.95007999999999</v>
      </c>
    </row>
    <row r="315" spans="1:4" ht="15.75" customHeight="1" x14ac:dyDescent="0.25">
      <c r="A315" s="84" t="s">
        <v>556</v>
      </c>
      <c r="B315" s="85" t="s">
        <v>557</v>
      </c>
      <c r="C315" s="71">
        <v>24.448080000000001</v>
      </c>
    </row>
    <row r="316" spans="1:4" ht="15.75" customHeight="1" x14ac:dyDescent="0.25">
      <c r="A316" s="84" t="s">
        <v>1065</v>
      </c>
      <c r="B316" s="85" t="s">
        <v>1066</v>
      </c>
      <c r="C316" s="71">
        <v>45.081040000000002</v>
      </c>
    </row>
    <row r="317" spans="1:4" ht="15.75" customHeight="1" x14ac:dyDescent="0.25">
      <c r="A317" s="84" t="s">
        <v>1393</v>
      </c>
      <c r="B317" s="85" t="s">
        <v>1394</v>
      </c>
      <c r="C317" s="71">
        <v>48.550239999999995</v>
      </c>
    </row>
    <row r="318" spans="1:4" ht="15.75" customHeight="1" x14ac:dyDescent="0.25">
      <c r="A318" s="84" t="s">
        <v>1275</v>
      </c>
      <c r="B318" s="84" t="s">
        <v>1276</v>
      </c>
      <c r="C318" s="71">
        <v>48.550239999999995</v>
      </c>
    </row>
    <row r="319" spans="1:4" ht="15.75" customHeight="1" x14ac:dyDescent="0.25">
      <c r="A319" s="84" t="s">
        <v>298</v>
      </c>
      <c r="B319" s="85" t="s">
        <v>299</v>
      </c>
      <c r="C319" s="71">
        <v>8.3628</v>
      </c>
    </row>
    <row r="320" spans="1:4" ht="15.75" customHeight="1" x14ac:dyDescent="0.25">
      <c r="A320" s="84" t="s">
        <v>1054</v>
      </c>
      <c r="B320" s="85" t="s">
        <v>1055</v>
      </c>
      <c r="C320" s="71">
        <v>70.443759999999997</v>
      </c>
    </row>
    <row r="321" spans="1:3" ht="15.75" customHeight="1" x14ac:dyDescent="0.25">
      <c r="A321" s="84" t="s">
        <v>203</v>
      </c>
      <c r="B321" s="85" t="s">
        <v>204</v>
      </c>
      <c r="C321" s="71">
        <v>70.994559999999993</v>
      </c>
    </row>
    <row r="322" spans="1:3" ht="15.75" customHeight="1" x14ac:dyDescent="0.25">
      <c r="A322" s="84" t="s">
        <v>850</v>
      </c>
      <c r="B322" s="85" t="s">
        <v>851</v>
      </c>
      <c r="C322" s="71">
        <v>71.517599999999987</v>
      </c>
    </row>
    <row r="323" spans="1:3" ht="15.75" customHeight="1" x14ac:dyDescent="0.25">
      <c r="A323" s="84" t="s">
        <v>852</v>
      </c>
      <c r="B323" s="85" t="s">
        <v>853</v>
      </c>
      <c r="C323" s="71">
        <v>69.264399999999995</v>
      </c>
    </row>
    <row r="324" spans="1:3" ht="15.75" customHeight="1" x14ac:dyDescent="0.25">
      <c r="A324" s="84" t="s">
        <v>1168</v>
      </c>
      <c r="B324" s="85" t="s">
        <v>1169</v>
      </c>
      <c r="C324" s="71">
        <v>247.54</v>
      </c>
    </row>
    <row r="325" spans="1:3" ht="15.75" customHeight="1" x14ac:dyDescent="0.25">
      <c r="A325" s="84" t="s">
        <v>1163</v>
      </c>
      <c r="B325" s="84" t="s">
        <v>1164</v>
      </c>
      <c r="C325" s="71">
        <v>75.791520000000006</v>
      </c>
    </row>
    <row r="326" spans="1:3" ht="15.75" customHeight="1" x14ac:dyDescent="0.25">
      <c r="A326" s="84" t="s">
        <v>1165</v>
      </c>
      <c r="B326" s="98" t="s">
        <v>1166</v>
      </c>
      <c r="C326" s="71">
        <v>76.805039999999991</v>
      </c>
    </row>
    <row r="327" spans="1:3" ht="15.75" customHeight="1" x14ac:dyDescent="0.25">
      <c r="A327" s="84" t="s">
        <v>1329</v>
      </c>
      <c r="B327" s="84" t="s">
        <v>1330</v>
      </c>
      <c r="C327" s="71">
        <v>650.70000000000005</v>
      </c>
    </row>
    <row r="328" spans="1:3" ht="15.75" customHeight="1" x14ac:dyDescent="0.25">
      <c r="A328" s="84" t="s">
        <v>1331</v>
      </c>
      <c r="B328" s="84" t="s">
        <v>1332</v>
      </c>
      <c r="C328" s="71">
        <v>630.70000000000005</v>
      </c>
    </row>
    <row r="329" spans="1:3" ht="15.75" customHeight="1" x14ac:dyDescent="0.25">
      <c r="A329" s="84" t="s">
        <v>681</v>
      </c>
      <c r="B329" s="85" t="s">
        <v>682</v>
      </c>
      <c r="C329" s="71">
        <v>74.102320000000006</v>
      </c>
    </row>
    <row r="330" spans="1:3" ht="15.75" customHeight="1" x14ac:dyDescent="0.25">
      <c r="A330" s="84" t="s">
        <v>1337</v>
      </c>
      <c r="B330" s="85" t="s">
        <v>1338</v>
      </c>
      <c r="C330" s="71">
        <v>63.111520000000006</v>
      </c>
    </row>
    <row r="331" spans="1:3" ht="15.75" customHeight="1" x14ac:dyDescent="0.25">
      <c r="A331" s="84" t="s">
        <v>1285</v>
      </c>
      <c r="B331" s="85" t="s">
        <v>1286</v>
      </c>
      <c r="C331" s="71">
        <v>18.719840000000001</v>
      </c>
    </row>
    <row r="332" spans="1:3" ht="15.75" customHeight="1" x14ac:dyDescent="0.25">
      <c r="A332" s="84" t="s">
        <v>1281</v>
      </c>
      <c r="B332" s="85" t="s">
        <v>1282</v>
      </c>
      <c r="C332" s="71">
        <v>17.474799999999998</v>
      </c>
    </row>
    <row r="333" spans="1:3" ht="15.75" customHeight="1" x14ac:dyDescent="0.25">
      <c r="A333" s="84" t="s">
        <v>1283</v>
      </c>
      <c r="B333" s="85" t="s">
        <v>1284</v>
      </c>
      <c r="C333" s="71">
        <v>17.474799999999998</v>
      </c>
    </row>
    <row r="334" spans="1:3" ht="15.75" customHeight="1" x14ac:dyDescent="0.25">
      <c r="A334" s="84" t="s">
        <v>151</v>
      </c>
      <c r="B334" s="85" t="s">
        <v>152</v>
      </c>
      <c r="C334" s="71">
        <v>38.43</v>
      </c>
    </row>
    <row r="335" spans="1:3" ht="15.75" customHeight="1" x14ac:dyDescent="0.25">
      <c r="A335" s="84" t="s">
        <v>912</v>
      </c>
      <c r="B335" s="85" t="s">
        <v>913</v>
      </c>
      <c r="C335" s="71">
        <v>36.36</v>
      </c>
    </row>
    <row r="336" spans="1:3" ht="15.75" customHeight="1" x14ac:dyDescent="0.25">
      <c r="A336" s="84" t="s">
        <v>970</v>
      </c>
      <c r="B336" s="85" t="s">
        <v>971</v>
      </c>
      <c r="C336" s="71">
        <v>24.785920000000001</v>
      </c>
    </row>
    <row r="337" spans="1:3" ht="15.75" customHeight="1" x14ac:dyDescent="0.25">
      <c r="A337" s="84" t="s">
        <v>962</v>
      </c>
      <c r="B337" s="85" t="s">
        <v>963</v>
      </c>
      <c r="C337" s="71">
        <v>25.362720000000003</v>
      </c>
    </row>
    <row r="338" spans="1:3" ht="15.75" customHeight="1" x14ac:dyDescent="0.25">
      <c r="A338" s="84" t="s">
        <v>964</v>
      </c>
      <c r="B338" s="85" t="s">
        <v>965</v>
      </c>
      <c r="C338" s="71">
        <v>25.362720000000003</v>
      </c>
    </row>
    <row r="339" spans="1:3" ht="15.75" customHeight="1" x14ac:dyDescent="0.25">
      <c r="A339" s="84" t="s">
        <v>968</v>
      </c>
      <c r="B339" s="85" t="s">
        <v>969</v>
      </c>
      <c r="C339" s="71">
        <v>33.816960000000002</v>
      </c>
    </row>
    <row r="340" spans="1:3" ht="15.75" customHeight="1" x14ac:dyDescent="0.25">
      <c r="A340" s="84" t="s">
        <v>966</v>
      </c>
      <c r="B340" s="85" t="s">
        <v>967</v>
      </c>
      <c r="C340" s="71">
        <v>33.816960000000002</v>
      </c>
    </row>
    <row r="341" spans="1:3" ht="15.75" customHeight="1" x14ac:dyDescent="0.25">
      <c r="A341" s="84" t="s">
        <v>1141</v>
      </c>
      <c r="B341" s="85" t="s">
        <v>1142</v>
      </c>
      <c r="C341" s="71">
        <v>14.683680000000001</v>
      </c>
    </row>
    <row r="342" spans="1:3" ht="15.75" customHeight="1" x14ac:dyDescent="0.25">
      <c r="A342" s="84" t="s">
        <v>1139</v>
      </c>
      <c r="B342" s="85" t="s">
        <v>1140</v>
      </c>
      <c r="C342" s="71">
        <v>19.578240000000001</v>
      </c>
    </row>
    <row r="343" spans="1:3" ht="15.75" customHeight="1" x14ac:dyDescent="0.25">
      <c r="A343" s="84" t="s">
        <v>480</v>
      </c>
      <c r="B343" s="85" t="s">
        <v>481</v>
      </c>
      <c r="C343" s="71">
        <v>30.87528</v>
      </c>
    </row>
    <row r="344" spans="1:3" ht="15.75" customHeight="1" x14ac:dyDescent="0.25">
      <c r="A344" s="84" t="s">
        <v>478</v>
      </c>
      <c r="B344" s="85" t="s">
        <v>479</v>
      </c>
      <c r="C344" s="71">
        <v>30.87528</v>
      </c>
    </row>
    <row r="345" spans="1:3" ht="15.75" customHeight="1" x14ac:dyDescent="0.25">
      <c r="A345" s="84" t="s">
        <v>1046</v>
      </c>
      <c r="B345" s="84" t="s">
        <v>1047</v>
      </c>
      <c r="C345" s="71">
        <v>290.89671999999996</v>
      </c>
    </row>
    <row r="346" spans="1:3" ht="15.75" customHeight="1" x14ac:dyDescent="0.25">
      <c r="A346" s="84" t="s">
        <v>1044</v>
      </c>
      <c r="B346" s="84" t="s">
        <v>1045</v>
      </c>
      <c r="C346" s="71">
        <v>297.03552000000002</v>
      </c>
    </row>
    <row r="347" spans="1:3" ht="15.75" customHeight="1" x14ac:dyDescent="0.25">
      <c r="A347" s="84" t="s">
        <v>667</v>
      </c>
      <c r="B347" s="85" t="s">
        <v>668</v>
      </c>
      <c r="C347" s="71">
        <v>33.339040000000004</v>
      </c>
    </row>
    <row r="348" spans="1:3" ht="15.75" customHeight="1" x14ac:dyDescent="0.25">
      <c r="A348" s="84" t="s">
        <v>576</v>
      </c>
      <c r="B348" s="85" t="s">
        <v>577</v>
      </c>
      <c r="C348" s="71">
        <v>33.339040000000004</v>
      </c>
    </row>
    <row r="349" spans="1:3" ht="15.75" customHeight="1" x14ac:dyDescent="0.25">
      <c r="A349" s="84" t="s">
        <v>665</v>
      </c>
      <c r="B349" s="85" t="s">
        <v>666</v>
      </c>
      <c r="C349" s="71">
        <v>29.64752</v>
      </c>
    </row>
    <row r="350" spans="1:3" ht="15.75" customHeight="1" x14ac:dyDescent="0.25">
      <c r="A350" s="84" t="s">
        <v>669</v>
      </c>
      <c r="B350" s="85" t="s">
        <v>670</v>
      </c>
      <c r="C350" s="71">
        <v>29.64752</v>
      </c>
    </row>
    <row r="351" spans="1:3" ht="15.75" customHeight="1" x14ac:dyDescent="0.25">
      <c r="A351" s="84" t="s">
        <v>766</v>
      </c>
      <c r="B351" s="85" t="s">
        <v>767</v>
      </c>
      <c r="C351" s="71">
        <v>62.539200000000001</v>
      </c>
    </row>
    <row r="352" spans="1:3" ht="15.75" customHeight="1" x14ac:dyDescent="0.25">
      <c r="A352" s="84" t="s">
        <v>768</v>
      </c>
      <c r="B352" s="85" t="s">
        <v>769</v>
      </c>
      <c r="C352" s="71">
        <v>83.36839999999998</v>
      </c>
    </row>
    <row r="353" spans="1:3" ht="15.75" customHeight="1" x14ac:dyDescent="0.25">
      <c r="A353" s="84" t="s">
        <v>324</v>
      </c>
      <c r="B353" s="85" t="s">
        <v>325</v>
      </c>
      <c r="C353" s="71">
        <v>23.7636</v>
      </c>
    </row>
    <row r="354" spans="1:3" ht="15.75" customHeight="1" x14ac:dyDescent="0.25">
      <c r="A354" s="84" t="s">
        <v>326</v>
      </c>
      <c r="B354" s="85" t="s">
        <v>327</v>
      </c>
      <c r="C354" s="71">
        <v>24.01</v>
      </c>
    </row>
    <row r="355" spans="1:3" ht="15.75" customHeight="1" x14ac:dyDescent="0.25">
      <c r="A355" s="84" t="s">
        <v>181</v>
      </c>
      <c r="B355" s="85" t="s">
        <v>182</v>
      </c>
      <c r="C355" s="71">
        <v>29.989999999999995</v>
      </c>
    </row>
    <row r="356" spans="1:3" ht="15.75" customHeight="1" x14ac:dyDescent="0.25">
      <c r="A356" s="84" t="s">
        <v>694</v>
      </c>
      <c r="B356" s="85" t="s">
        <v>695</v>
      </c>
      <c r="C356" s="71">
        <v>22.223279999999999</v>
      </c>
    </row>
    <row r="357" spans="1:3" ht="15.75" customHeight="1" x14ac:dyDescent="0.25">
      <c r="A357" s="84" t="s">
        <v>1532</v>
      </c>
      <c r="B357" s="85" t="s">
        <v>1533</v>
      </c>
      <c r="C357" s="71">
        <v>42.724400000000003</v>
      </c>
    </row>
    <row r="358" spans="1:3" ht="15.75" customHeight="1" x14ac:dyDescent="0.25">
      <c r="A358" s="84" t="s">
        <v>312</v>
      </c>
      <c r="B358" s="85" t="s">
        <v>313</v>
      </c>
      <c r="C358" s="71">
        <v>19.010880000000004</v>
      </c>
    </row>
    <row r="359" spans="1:3" ht="15.75" customHeight="1" x14ac:dyDescent="0.25">
      <c r="A359" s="84" t="s">
        <v>397</v>
      </c>
      <c r="B359" s="85" t="s">
        <v>398</v>
      </c>
      <c r="C359" s="71">
        <v>9.19</v>
      </c>
    </row>
    <row r="360" spans="1:3" ht="15.75" customHeight="1" x14ac:dyDescent="0.25">
      <c r="A360" s="84" t="s">
        <v>747</v>
      </c>
      <c r="B360" s="85" t="s">
        <v>748</v>
      </c>
      <c r="C360" s="71">
        <v>10.35768</v>
      </c>
    </row>
    <row r="361" spans="1:3" ht="15.75" customHeight="1" x14ac:dyDescent="0.25">
      <c r="A361" s="84" t="s">
        <v>399</v>
      </c>
      <c r="B361" s="85" t="s">
        <v>400</v>
      </c>
      <c r="C361" s="71">
        <v>8.85</v>
      </c>
    </row>
    <row r="362" spans="1:3" ht="15.75" customHeight="1" x14ac:dyDescent="0.25">
      <c r="A362" s="84" t="s">
        <v>690</v>
      </c>
      <c r="B362" s="85" t="s">
        <v>691</v>
      </c>
      <c r="C362" s="71">
        <v>9.6490400000000012</v>
      </c>
    </row>
    <row r="363" spans="1:3" ht="15.75" customHeight="1" x14ac:dyDescent="0.25">
      <c r="A363" s="84" t="s">
        <v>1424</v>
      </c>
      <c r="B363" s="85" t="s">
        <v>1425</v>
      </c>
      <c r="C363" s="71">
        <v>9.6572800000000019</v>
      </c>
    </row>
    <row r="364" spans="1:3" ht="15.75" customHeight="1" x14ac:dyDescent="0.25">
      <c r="A364" s="84" t="s">
        <v>482</v>
      </c>
      <c r="B364" s="85" t="s">
        <v>483</v>
      </c>
      <c r="C364" s="71">
        <v>7.5643199999999995</v>
      </c>
    </row>
    <row r="365" spans="1:3" ht="15.75" customHeight="1" x14ac:dyDescent="0.25">
      <c r="A365" s="84" t="s">
        <v>1299</v>
      </c>
      <c r="B365" s="85" t="s">
        <v>1300</v>
      </c>
      <c r="C365" s="71">
        <v>12.6084</v>
      </c>
    </row>
    <row r="366" spans="1:3" ht="15.75" customHeight="1" x14ac:dyDescent="0.25">
      <c r="A366" s="84" t="s">
        <v>1297</v>
      </c>
      <c r="B366" s="85" t="s">
        <v>1298</v>
      </c>
      <c r="C366" s="71">
        <v>12.147040000000001</v>
      </c>
    </row>
    <row r="367" spans="1:3" ht="15.75" customHeight="1" x14ac:dyDescent="0.25">
      <c r="A367" s="84" t="s">
        <v>1211</v>
      </c>
      <c r="B367" s="85" t="s">
        <v>1212</v>
      </c>
      <c r="C367" s="71">
        <v>32.984720000000003</v>
      </c>
    </row>
    <row r="368" spans="1:3" ht="15.75" customHeight="1" x14ac:dyDescent="0.25">
      <c r="A368" s="84" t="s">
        <v>865</v>
      </c>
      <c r="B368" s="85" t="s">
        <v>866</v>
      </c>
      <c r="C368" s="71">
        <v>60.475199999999987</v>
      </c>
    </row>
    <row r="369" spans="1:3" ht="15.75" customHeight="1" x14ac:dyDescent="0.25">
      <c r="A369" s="84" t="s">
        <v>1481</v>
      </c>
      <c r="B369" s="85" t="s">
        <v>1482</v>
      </c>
      <c r="C369" s="71">
        <v>39.873360000000005</v>
      </c>
    </row>
    <row r="370" spans="1:3" ht="14.25" customHeight="1" x14ac:dyDescent="0.25">
      <c r="A370" s="84" t="s">
        <v>1201</v>
      </c>
      <c r="B370" s="85" t="s">
        <v>1202</v>
      </c>
      <c r="C370" s="71">
        <v>46.720799999999997</v>
      </c>
    </row>
    <row r="371" spans="1:3" ht="14.25" customHeight="1" x14ac:dyDescent="0.25">
      <c r="A371" s="84" t="s">
        <v>1477</v>
      </c>
      <c r="B371" s="85" t="s">
        <v>1478</v>
      </c>
      <c r="C371" s="71">
        <v>25.428639999999998</v>
      </c>
    </row>
    <row r="372" spans="1:3" ht="15.75" customHeight="1" x14ac:dyDescent="0.25">
      <c r="A372" s="84" t="s">
        <v>679</v>
      </c>
      <c r="B372" s="85" t="s">
        <v>680</v>
      </c>
      <c r="C372" s="71">
        <v>10.19</v>
      </c>
    </row>
    <row r="373" spans="1:3" ht="15.75" customHeight="1" x14ac:dyDescent="0.25">
      <c r="A373" s="84" t="s">
        <v>840</v>
      </c>
      <c r="B373" s="85" t="s">
        <v>841</v>
      </c>
      <c r="C373" s="71">
        <v>53.612399999999994</v>
      </c>
    </row>
    <row r="374" spans="1:3" ht="15.75" customHeight="1" x14ac:dyDescent="0.25">
      <c r="A374" s="84" t="s">
        <v>675</v>
      </c>
      <c r="B374" s="85" t="s">
        <v>676</v>
      </c>
      <c r="C374" s="71">
        <v>17.78192</v>
      </c>
    </row>
    <row r="375" spans="1:3" ht="15.75" customHeight="1" x14ac:dyDescent="0.25">
      <c r="A375" s="84" t="s">
        <v>518</v>
      </c>
      <c r="B375" s="85" t="s">
        <v>519</v>
      </c>
      <c r="C375" s="71">
        <v>12.36</v>
      </c>
    </row>
    <row r="376" spans="1:3" ht="15.75" customHeight="1" x14ac:dyDescent="0.25">
      <c r="A376" s="84" t="s">
        <v>1232</v>
      </c>
      <c r="B376" s="85" t="s">
        <v>1233</v>
      </c>
      <c r="C376" s="71">
        <v>14.428240000000001</v>
      </c>
    </row>
    <row r="377" spans="1:3" ht="15.75" customHeight="1" x14ac:dyDescent="0.25">
      <c r="A377" s="84" t="s">
        <v>453</v>
      </c>
      <c r="B377" s="85" t="s">
        <v>454</v>
      </c>
      <c r="C377" s="71">
        <v>4.8588800000000001</v>
      </c>
    </row>
    <row r="378" spans="1:3" ht="15.75" customHeight="1" x14ac:dyDescent="0.25">
      <c r="A378" s="84" t="s">
        <v>401</v>
      </c>
      <c r="B378" s="85" t="s">
        <v>402</v>
      </c>
      <c r="C378" s="71">
        <v>6.0257119999999995</v>
      </c>
    </row>
    <row r="379" spans="1:3" ht="15.75" customHeight="1" x14ac:dyDescent="0.25">
      <c r="A379" s="84" t="s">
        <v>403</v>
      </c>
      <c r="B379" s="85" t="s">
        <v>404</v>
      </c>
      <c r="C379" s="71">
        <v>6.21</v>
      </c>
    </row>
    <row r="380" spans="1:3" ht="15.75" customHeight="1" x14ac:dyDescent="0.25">
      <c r="A380" s="93" t="s">
        <v>455</v>
      </c>
      <c r="B380" s="84" t="s">
        <v>456</v>
      </c>
      <c r="C380" s="71">
        <v>8.3699999999999992</v>
      </c>
    </row>
    <row r="381" spans="1:3" ht="15.75" customHeight="1" x14ac:dyDescent="0.25">
      <c r="A381" s="84" t="s">
        <v>328</v>
      </c>
      <c r="B381" s="85" t="s">
        <v>329</v>
      </c>
      <c r="C381" s="71">
        <v>10.92</v>
      </c>
    </row>
    <row r="382" spans="1:3" ht="15.75" customHeight="1" x14ac:dyDescent="0.25">
      <c r="A382" s="84" t="s">
        <v>330</v>
      </c>
      <c r="B382" s="85" t="s">
        <v>331</v>
      </c>
      <c r="C382" s="71">
        <v>11.41</v>
      </c>
    </row>
    <row r="383" spans="1:3" ht="15.75" customHeight="1" x14ac:dyDescent="0.25">
      <c r="A383" s="84" t="s">
        <v>332</v>
      </c>
      <c r="B383" s="85" t="s">
        <v>333</v>
      </c>
      <c r="C383" s="71">
        <v>17.19688</v>
      </c>
    </row>
    <row r="384" spans="1:3" ht="15.75" customHeight="1" x14ac:dyDescent="0.25">
      <c r="A384" s="84" t="s">
        <v>836</v>
      </c>
      <c r="B384" s="85" t="s">
        <v>837</v>
      </c>
      <c r="C384" s="71">
        <v>55.435599999999994</v>
      </c>
    </row>
    <row r="385" spans="1:3" ht="15.75" customHeight="1" x14ac:dyDescent="0.25">
      <c r="A385" s="84" t="s">
        <v>1291</v>
      </c>
      <c r="B385" s="85" t="s">
        <v>1292</v>
      </c>
      <c r="C385" s="71">
        <v>3.4064799999999993</v>
      </c>
    </row>
    <row r="386" spans="1:3" ht="15.75" customHeight="1" x14ac:dyDescent="0.25">
      <c r="A386" s="84" t="s">
        <v>405</v>
      </c>
      <c r="B386" s="85" t="s">
        <v>406</v>
      </c>
      <c r="C386" s="71">
        <v>5.4878400000000003</v>
      </c>
    </row>
    <row r="387" spans="1:3" ht="15.75" customHeight="1" x14ac:dyDescent="0.25">
      <c r="A387" s="84" t="s">
        <v>407</v>
      </c>
      <c r="B387" s="85" t="s">
        <v>408</v>
      </c>
      <c r="C387" s="71">
        <v>5.04</v>
      </c>
    </row>
    <row r="388" spans="1:3" ht="15.75" customHeight="1" x14ac:dyDescent="0.25">
      <c r="A388" s="84" t="s">
        <v>195</v>
      </c>
      <c r="B388" s="85" t="s">
        <v>196</v>
      </c>
      <c r="C388" s="71">
        <v>9.0399999999999991</v>
      </c>
    </row>
    <row r="389" spans="1:3" ht="15.75" customHeight="1" x14ac:dyDescent="0.25">
      <c r="A389" s="84" t="s">
        <v>310</v>
      </c>
      <c r="B389" s="85" t="s">
        <v>311</v>
      </c>
      <c r="C389" s="71">
        <v>10.7</v>
      </c>
    </row>
    <row r="390" spans="1:3" ht="15.75" customHeight="1" x14ac:dyDescent="0.25">
      <c r="A390" s="84" t="s">
        <v>764</v>
      </c>
      <c r="B390" s="85" t="s">
        <v>765</v>
      </c>
      <c r="C390" s="71">
        <v>13.41</v>
      </c>
    </row>
    <row r="391" spans="1:3" ht="15.75" customHeight="1" x14ac:dyDescent="0.25">
      <c r="A391" s="84" t="s">
        <v>334</v>
      </c>
      <c r="B391" s="85" t="s">
        <v>335</v>
      </c>
      <c r="C391" s="71">
        <v>36.11</v>
      </c>
    </row>
    <row r="392" spans="1:3" ht="15.75" customHeight="1" x14ac:dyDescent="0.25">
      <c r="A392" s="84" t="s">
        <v>733</v>
      </c>
      <c r="B392" s="85" t="s">
        <v>734</v>
      </c>
      <c r="C392" s="71">
        <v>20.75656</v>
      </c>
    </row>
    <row r="393" spans="1:3" ht="15.75" customHeight="1" x14ac:dyDescent="0.25">
      <c r="A393" s="84" t="s">
        <v>1289</v>
      </c>
      <c r="B393" s="85" t="s">
        <v>1290</v>
      </c>
      <c r="C393" s="71">
        <v>9.6948800000000013</v>
      </c>
    </row>
    <row r="394" spans="1:3" ht="15.75" customHeight="1" x14ac:dyDescent="0.25">
      <c r="A394" s="84" t="s">
        <v>677</v>
      </c>
      <c r="B394" s="85" t="s">
        <v>678</v>
      </c>
      <c r="C394" s="71">
        <v>16.315200000000001</v>
      </c>
    </row>
    <row r="395" spans="1:3" ht="15.75" customHeight="1" x14ac:dyDescent="0.25">
      <c r="A395" s="84" t="s">
        <v>391</v>
      </c>
      <c r="B395" s="85" t="s">
        <v>392</v>
      </c>
      <c r="C395" s="71">
        <v>31.76</v>
      </c>
    </row>
    <row r="396" spans="1:3" ht="15.75" customHeight="1" x14ac:dyDescent="0.25">
      <c r="A396" s="84" t="s">
        <v>415</v>
      </c>
      <c r="B396" s="85" t="s">
        <v>416</v>
      </c>
      <c r="C396" s="71">
        <v>16.752624000000001</v>
      </c>
    </row>
    <row r="397" spans="1:3" ht="15.75" customHeight="1" x14ac:dyDescent="0.25">
      <c r="A397" s="84" t="s">
        <v>1109</v>
      </c>
      <c r="B397" s="85" t="s">
        <v>1110</v>
      </c>
      <c r="C397" s="71">
        <v>11.64776</v>
      </c>
    </row>
    <row r="398" spans="1:3" ht="15.75" customHeight="1" x14ac:dyDescent="0.25">
      <c r="A398" s="84" t="s">
        <v>409</v>
      </c>
      <c r="B398" s="85" t="s">
        <v>410</v>
      </c>
      <c r="C398" s="71">
        <v>13.86</v>
      </c>
    </row>
    <row r="399" spans="1:3" ht="15.75" customHeight="1" x14ac:dyDescent="0.25">
      <c r="A399" s="84" t="s">
        <v>522</v>
      </c>
      <c r="B399" s="84" t="s">
        <v>523</v>
      </c>
      <c r="C399" s="71">
        <v>342.88288</v>
      </c>
    </row>
    <row r="400" spans="1:3" ht="15.75" customHeight="1" x14ac:dyDescent="0.25">
      <c r="A400" s="84" t="s">
        <v>183</v>
      </c>
      <c r="B400" s="85" t="s">
        <v>184</v>
      </c>
      <c r="C400" s="71">
        <v>40.79</v>
      </c>
    </row>
    <row r="401" spans="1:26" ht="15.75" customHeight="1" x14ac:dyDescent="0.25">
      <c r="A401" s="84" t="s">
        <v>322</v>
      </c>
      <c r="B401" s="85" t="s">
        <v>323</v>
      </c>
      <c r="C401" s="71">
        <v>38.021760000000008</v>
      </c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5.75" customHeight="1" x14ac:dyDescent="0.25">
      <c r="A402" s="84" t="s">
        <v>588</v>
      </c>
      <c r="B402" s="85" t="s">
        <v>589</v>
      </c>
      <c r="C402" s="71">
        <v>155.57944000000001</v>
      </c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5.75" customHeight="1" x14ac:dyDescent="0.25">
      <c r="A403" s="84" t="s">
        <v>687</v>
      </c>
      <c r="B403" s="85" t="s">
        <v>688</v>
      </c>
      <c r="C403" s="71">
        <v>20.75656</v>
      </c>
    </row>
    <row r="404" spans="1:26" ht="15.75" customHeight="1" x14ac:dyDescent="0.25">
      <c r="A404" s="84" t="s">
        <v>1277</v>
      </c>
      <c r="B404" s="84" t="s">
        <v>1278</v>
      </c>
      <c r="C404" s="71">
        <v>360.0188</v>
      </c>
    </row>
    <row r="405" spans="1:26" ht="15.75" customHeight="1" x14ac:dyDescent="0.25">
      <c r="A405" s="98" t="s">
        <v>692</v>
      </c>
      <c r="B405" s="85" t="s">
        <v>693</v>
      </c>
      <c r="C405" s="71">
        <v>10.35768</v>
      </c>
    </row>
    <row r="406" spans="1:26" ht="15.75" customHeight="1" x14ac:dyDescent="0.25">
      <c r="A406" s="84" t="s">
        <v>171</v>
      </c>
      <c r="B406" s="84" t="s">
        <v>172</v>
      </c>
      <c r="C406" s="71">
        <v>195.60319999999999</v>
      </c>
    </row>
    <row r="407" spans="1:26" ht="15.75" customHeight="1" x14ac:dyDescent="0.25">
      <c r="A407" s="84" t="s">
        <v>167</v>
      </c>
      <c r="B407" s="85" t="s">
        <v>168</v>
      </c>
      <c r="C407" s="71">
        <v>152.13952</v>
      </c>
    </row>
    <row r="408" spans="1:26" ht="15.75" customHeight="1" x14ac:dyDescent="0.25">
      <c r="A408" s="98" t="s">
        <v>177</v>
      </c>
      <c r="B408" s="85" t="s">
        <v>178</v>
      </c>
      <c r="C408" s="71">
        <v>33.795839999999998</v>
      </c>
    </row>
    <row r="409" spans="1:26" ht="15.75" customHeight="1" x14ac:dyDescent="0.25">
      <c r="A409" s="84" t="s">
        <v>1048</v>
      </c>
      <c r="B409" s="84" t="s">
        <v>1049</v>
      </c>
      <c r="C409" s="71">
        <v>39.461359999999999</v>
      </c>
    </row>
    <row r="410" spans="1:26" ht="15.75" customHeight="1" x14ac:dyDescent="0.25">
      <c r="A410" s="84" t="s">
        <v>278</v>
      </c>
      <c r="B410" s="84" t="s">
        <v>279</v>
      </c>
      <c r="C410" s="71">
        <v>150.25919999999999</v>
      </c>
    </row>
    <row r="411" spans="1:26" ht="15.75" customHeight="1" x14ac:dyDescent="0.25">
      <c r="A411" s="84" t="s">
        <v>1133</v>
      </c>
      <c r="B411" s="84" t="s">
        <v>1134</v>
      </c>
      <c r="C411" s="71">
        <v>30.965920000000001</v>
      </c>
    </row>
    <row r="412" spans="1:26" ht="15.75" customHeight="1" x14ac:dyDescent="0.25">
      <c r="A412" s="84" t="s">
        <v>1534</v>
      </c>
      <c r="B412" s="85" t="s">
        <v>1535</v>
      </c>
      <c r="C412" s="71">
        <v>153.63039999999995</v>
      </c>
    </row>
    <row r="413" spans="1:26" ht="15.75" customHeight="1" x14ac:dyDescent="0.25">
      <c r="A413" s="84" t="s">
        <v>314</v>
      </c>
      <c r="B413" s="85" t="s">
        <v>315</v>
      </c>
      <c r="C413" s="71">
        <v>55.459440000000001</v>
      </c>
    </row>
    <row r="414" spans="1:26" ht="15.75" customHeight="1" x14ac:dyDescent="0.25">
      <c r="A414" s="84" t="s">
        <v>838</v>
      </c>
      <c r="B414" s="85" t="s">
        <v>839</v>
      </c>
      <c r="C414" s="71">
        <v>134.0224</v>
      </c>
    </row>
    <row r="415" spans="1:26" ht="15.75" customHeight="1" x14ac:dyDescent="0.25">
      <c r="A415" s="84" t="s">
        <v>336</v>
      </c>
      <c r="B415" s="85" t="s">
        <v>337</v>
      </c>
      <c r="C415" s="71">
        <v>34.79</v>
      </c>
    </row>
    <row r="416" spans="1:26" ht="15.75" customHeight="1" x14ac:dyDescent="0.25">
      <c r="A416" s="84" t="s">
        <v>580</v>
      </c>
      <c r="B416" s="85" t="s">
        <v>581</v>
      </c>
      <c r="C416" s="71">
        <v>296.35984000000002</v>
      </c>
    </row>
    <row r="417" spans="1:26" ht="15.75" customHeight="1" x14ac:dyDescent="0.25">
      <c r="A417" s="84" t="s">
        <v>1536</v>
      </c>
      <c r="B417" s="85" t="s">
        <v>1537</v>
      </c>
      <c r="C417" s="71">
        <v>296.35984000000002</v>
      </c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5.75" customHeight="1" x14ac:dyDescent="0.25">
      <c r="A418" s="84" t="s">
        <v>584</v>
      </c>
      <c r="B418" s="85" t="s">
        <v>585</v>
      </c>
      <c r="C418" s="71">
        <v>296.35984000000002</v>
      </c>
    </row>
    <row r="419" spans="1:26" ht="15.75" customHeight="1" x14ac:dyDescent="0.25">
      <c r="A419" s="84" t="s">
        <v>600</v>
      </c>
      <c r="B419" s="85" t="s">
        <v>601</v>
      </c>
      <c r="C419" s="71">
        <v>296.35984000000002</v>
      </c>
    </row>
    <row r="420" spans="1:26" ht="15.75" customHeight="1" x14ac:dyDescent="0.25">
      <c r="A420" s="84" t="s">
        <v>596</v>
      </c>
      <c r="B420" s="85" t="s">
        <v>597</v>
      </c>
      <c r="C420" s="71">
        <v>296.35984000000002</v>
      </c>
    </row>
    <row r="421" spans="1:26" ht="15.75" customHeight="1" x14ac:dyDescent="0.25">
      <c r="A421" s="84" t="s">
        <v>598</v>
      </c>
      <c r="B421" s="85" t="s">
        <v>599</v>
      </c>
      <c r="C421" s="71">
        <v>296.35984000000002</v>
      </c>
    </row>
    <row r="422" spans="1:26" ht="15.75" customHeight="1" x14ac:dyDescent="0.25">
      <c r="A422" s="84" t="s">
        <v>602</v>
      </c>
      <c r="B422" s="85" t="s">
        <v>603</v>
      </c>
      <c r="C422" s="71">
        <v>296.35984000000002</v>
      </c>
    </row>
    <row r="423" spans="1:26" ht="15.75" customHeight="1" x14ac:dyDescent="0.25">
      <c r="A423" s="84" t="s">
        <v>867</v>
      </c>
      <c r="B423" s="85" t="s">
        <v>868</v>
      </c>
      <c r="C423" s="71">
        <v>37.5304</v>
      </c>
    </row>
    <row r="424" spans="1:26" ht="15.75" customHeight="1" x14ac:dyDescent="0.25">
      <c r="A424" s="84" t="s">
        <v>826</v>
      </c>
      <c r="B424" s="85" t="s">
        <v>827</v>
      </c>
      <c r="C424" s="71">
        <v>67.871200000000002</v>
      </c>
    </row>
    <row r="425" spans="1:26" ht="15.75" customHeight="1" x14ac:dyDescent="0.25">
      <c r="A425" s="84" t="s">
        <v>828</v>
      </c>
      <c r="B425" s="85" t="s">
        <v>829</v>
      </c>
      <c r="C425" s="71">
        <v>80.41</v>
      </c>
    </row>
    <row r="426" spans="1:26" ht="15.75" customHeight="1" x14ac:dyDescent="0.25">
      <c r="A426" s="84" t="s">
        <v>782</v>
      </c>
      <c r="B426" s="85" t="s">
        <v>783</v>
      </c>
      <c r="C426" s="71">
        <v>18.778959999999998</v>
      </c>
    </row>
    <row r="427" spans="1:26" ht="15.75" customHeight="1" x14ac:dyDescent="0.25">
      <c r="A427" s="84" t="s">
        <v>930</v>
      </c>
      <c r="B427" s="85" t="s">
        <v>931</v>
      </c>
      <c r="C427" s="71">
        <v>27</v>
      </c>
    </row>
    <row r="428" spans="1:26" ht="15.75" customHeight="1" x14ac:dyDescent="0.25">
      <c r="A428" s="84" t="s">
        <v>830</v>
      </c>
      <c r="B428" s="85" t="s">
        <v>831</v>
      </c>
      <c r="C428" s="71">
        <v>30.224320000000002</v>
      </c>
    </row>
    <row r="429" spans="1:26" ht="15.75" customHeight="1" x14ac:dyDescent="0.25">
      <c r="A429" s="84" t="s">
        <v>1395</v>
      </c>
      <c r="B429" s="85" t="s">
        <v>1396</v>
      </c>
      <c r="C429" s="71">
        <v>17.967759999999998</v>
      </c>
    </row>
    <row r="430" spans="1:26" ht="15.75" customHeight="1" x14ac:dyDescent="0.25">
      <c r="A430" s="84" t="s">
        <v>338</v>
      </c>
      <c r="B430" s="85" t="s">
        <v>339</v>
      </c>
      <c r="C430" s="71">
        <v>26.31</v>
      </c>
    </row>
    <row r="431" spans="1:26" ht="15.75" customHeight="1" x14ac:dyDescent="0.25">
      <c r="A431" s="84" t="s">
        <v>1115</v>
      </c>
      <c r="B431" s="85" t="s">
        <v>1116</v>
      </c>
      <c r="C431" s="71">
        <v>21.193280000000001</v>
      </c>
    </row>
    <row r="432" spans="1:26" ht="15.75" customHeight="1" x14ac:dyDescent="0.25">
      <c r="A432" s="84" t="s">
        <v>875</v>
      </c>
      <c r="B432" s="85" t="s">
        <v>876</v>
      </c>
      <c r="C432" s="71">
        <v>52.098799999999997</v>
      </c>
    </row>
    <row r="433" spans="1:3" ht="15.75" customHeight="1" x14ac:dyDescent="0.25">
      <c r="A433" s="84" t="s">
        <v>784</v>
      </c>
      <c r="B433" s="85" t="s">
        <v>785</v>
      </c>
      <c r="C433" s="71">
        <v>43.943919999999999</v>
      </c>
    </row>
    <row r="434" spans="1:3" ht="15.75" customHeight="1" x14ac:dyDescent="0.25">
      <c r="A434" s="84" t="s">
        <v>187</v>
      </c>
      <c r="B434" s="85" t="s">
        <v>188</v>
      </c>
      <c r="C434" s="71">
        <v>15.95</v>
      </c>
    </row>
    <row r="435" spans="1:3" ht="15.75" customHeight="1" x14ac:dyDescent="0.25">
      <c r="A435" s="84" t="s">
        <v>419</v>
      </c>
      <c r="B435" s="85" t="s">
        <v>420</v>
      </c>
      <c r="C435" s="71">
        <v>16.52</v>
      </c>
    </row>
    <row r="436" spans="1:3" ht="15.75" customHeight="1" x14ac:dyDescent="0.25">
      <c r="A436" s="84" t="s">
        <v>340</v>
      </c>
      <c r="B436" s="85" t="s">
        <v>341</v>
      </c>
      <c r="C436" s="71">
        <v>19.010880000000004</v>
      </c>
    </row>
    <row r="437" spans="1:3" ht="15.75" customHeight="1" x14ac:dyDescent="0.25">
      <c r="A437" s="84" t="s">
        <v>1135</v>
      </c>
      <c r="B437" s="84" t="s">
        <v>1136</v>
      </c>
      <c r="C437" s="71">
        <v>35.143599999999999</v>
      </c>
    </row>
    <row r="438" spans="1:3" ht="15.75" customHeight="1" x14ac:dyDescent="0.25">
      <c r="A438" s="84" t="s">
        <v>1137</v>
      </c>
      <c r="B438" s="84" t="s">
        <v>1138</v>
      </c>
      <c r="C438" s="71">
        <v>35.143599999999999</v>
      </c>
    </row>
    <row r="439" spans="1:3" ht="15.75" customHeight="1" x14ac:dyDescent="0.25">
      <c r="A439" s="84" t="s">
        <v>446</v>
      </c>
      <c r="B439" s="84" t="s">
        <v>447</v>
      </c>
      <c r="C439" s="71">
        <v>34.04768</v>
      </c>
    </row>
    <row r="440" spans="1:3" ht="15.75" customHeight="1" x14ac:dyDescent="0.25">
      <c r="A440" s="84" t="s">
        <v>832</v>
      </c>
      <c r="B440" s="84" t="s">
        <v>833</v>
      </c>
      <c r="C440" s="71">
        <v>34.04768</v>
      </c>
    </row>
    <row r="441" spans="1:3" ht="15.75" customHeight="1" x14ac:dyDescent="0.25">
      <c r="A441" s="98" t="s">
        <v>683</v>
      </c>
      <c r="B441" s="85" t="s">
        <v>684</v>
      </c>
      <c r="C441" s="71">
        <v>15.54064</v>
      </c>
    </row>
    <row r="442" spans="1:3" ht="15.75" customHeight="1" x14ac:dyDescent="0.25">
      <c r="A442" s="98" t="s">
        <v>685</v>
      </c>
      <c r="B442" s="85" t="s">
        <v>686</v>
      </c>
      <c r="C442" s="71">
        <v>16.8096</v>
      </c>
    </row>
    <row r="443" spans="1:3" ht="15.75" customHeight="1" x14ac:dyDescent="0.25">
      <c r="A443" s="84" t="s">
        <v>254</v>
      </c>
      <c r="B443" s="85" t="s">
        <v>255</v>
      </c>
      <c r="C443" s="71">
        <v>16.68</v>
      </c>
    </row>
    <row r="444" spans="1:3" ht="15.75" customHeight="1" x14ac:dyDescent="0.25">
      <c r="A444" s="84" t="s">
        <v>189</v>
      </c>
      <c r="B444" s="85" t="s">
        <v>190</v>
      </c>
      <c r="C444" s="71">
        <v>16.71</v>
      </c>
    </row>
    <row r="445" spans="1:3" ht="15.75" customHeight="1" x14ac:dyDescent="0.25">
      <c r="A445" s="84" t="s">
        <v>444</v>
      </c>
      <c r="B445" s="85" t="s">
        <v>445</v>
      </c>
      <c r="C445" s="71">
        <v>25.44256</v>
      </c>
    </row>
    <row r="446" spans="1:3" ht="15.75" customHeight="1" x14ac:dyDescent="0.25">
      <c r="A446" s="84" t="s">
        <v>342</v>
      </c>
      <c r="B446" s="85" t="s">
        <v>343</v>
      </c>
      <c r="C446" s="71">
        <v>21.43</v>
      </c>
    </row>
    <row r="447" spans="1:3" ht="15.75" customHeight="1" x14ac:dyDescent="0.25">
      <c r="A447" s="84" t="s">
        <v>344</v>
      </c>
      <c r="B447" s="85" t="s">
        <v>345</v>
      </c>
      <c r="C447" s="71">
        <v>18.12</v>
      </c>
    </row>
    <row r="448" spans="1:3" ht="15.75" customHeight="1" x14ac:dyDescent="0.25">
      <c r="A448" s="84" t="s">
        <v>1050</v>
      </c>
      <c r="B448" s="84" t="s">
        <v>1051</v>
      </c>
      <c r="C448" s="71">
        <v>137.74807999999999</v>
      </c>
    </row>
    <row r="449" spans="1:3" ht="15.75" customHeight="1" x14ac:dyDescent="0.25">
      <c r="A449" s="84" t="s">
        <v>696</v>
      </c>
      <c r="B449" s="85" t="s">
        <v>697</v>
      </c>
      <c r="C449" s="71">
        <v>20.006719999999998</v>
      </c>
    </row>
    <row r="450" spans="1:3" ht="15.75" customHeight="1" x14ac:dyDescent="0.25">
      <c r="A450" s="84" t="s">
        <v>356</v>
      </c>
      <c r="B450" s="85" t="s">
        <v>357</v>
      </c>
      <c r="C450" s="71">
        <v>19.04</v>
      </c>
    </row>
    <row r="451" spans="1:3" ht="15.75" customHeight="1" x14ac:dyDescent="0.25">
      <c r="A451" s="84" t="s">
        <v>869</v>
      </c>
      <c r="B451" s="85" t="s">
        <v>870</v>
      </c>
      <c r="C451" s="71">
        <v>16.86</v>
      </c>
    </row>
    <row r="452" spans="1:3" ht="15.75" customHeight="1" x14ac:dyDescent="0.25">
      <c r="A452" s="84" t="s">
        <v>350</v>
      </c>
      <c r="B452" s="85" t="s">
        <v>351</v>
      </c>
      <c r="C452" s="71">
        <v>18.89472</v>
      </c>
    </row>
    <row r="453" spans="1:3" ht="15.75" customHeight="1" x14ac:dyDescent="0.25">
      <c r="A453" s="84" t="s">
        <v>354</v>
      </c>
      <c r="B453" s="85" t="s">
        <v>355</v>
      </c>
      <c r="C453" s="71">
        <v>21.09</v>
      </c>
    </row>
    <row r="454" spans="1:3" ht="15.75" customHeight="1" x14ac:dyDescent="0.25">
      <c r="A454" s="84" t="s">
        <v>393</v>
      </c>
      <c r="B454" s="85" t="s">
        <v>394</v>
      </c>
      <c r="C454" s="71">
        <v>28.117263999999999</v>
      </c>
    </row>
    <row r="455" spans="1:3" ht="15.75" customHeight="1" x14ac:dyDescent="0.25">
      <c r="A455" s="84" t="s">
        <v>346</v>
      </c>
      <c r="B455" s="49" t="s">
        <v>347</v>
      </c>
      <c r="C455" s="71">
        <v>35.645399999999995</v>
      </c>
    </row>
    <row r="456" spans="1:3" ht="15.75" customHeight="1" x14ac:dyDescent="0.25">
      <c r="A456" s="84" t="s">
        <v>1145</v>
      </c>
      <c r="B456" s="85" t="s">
        <v>1146</v>
      </c>
      <c r="C456" s="71">
        <v>16.6448</v>
      </c>
    </row>
    <row r="457" spans="1:3" ht="15.75" customHeight="1" x14ac:dyDescent="0.25">
      <c r="A457" s="84" t="s">
        <v>457</v>
      </c>
      <c r="B457" s="85" t="s">
        <v>458</v>
      </c>
      <c r="C457" s="71">
        <v>15.81</v>
      </c>
    </row>
    <row r="458" spans="1:3" ht="15.75" customHeight="1" x14ac:dyDescent="0.25">
      <c r="A458" s="84" t="s">
        <v>352</v>
      </c>
      <c r="B458" s="85" t="s">
        <v>353</v>
      </c>
      <c r="C458" s="71">
        <v>18.77</v>
      </c>
    </row>
    <row r="459" spans="1:3" ht="15.75" customHeight="1" x14ac:dyDescent="0.25">
      <c r="A459" s="84" t="s">
        <v>932</v>
      </c>
      <c r="B459" s="85" t="s">
        <v>933</v>
      </c>
      <c r="C459" s="71">
        <v>21.6</v>
      </c>
    </row>
    <row r="460" spans="1:3" ht="15.75" customHeight="1" x14ac:dyDescent="0.25">
      <c r="A460" s="84" t="s">
        <v>395</v>
      </c>
      <c r="B460" s="85" t="s">
        <v>396</v>
      </c>
      <c r="C460" s="71">
        <v>27.438656000000002</v>
      </c>
    </row>
    <row r="461" spans="1:3" ht="15.75" customHeight="1" x14ac:dyDescent="0.25">
      <c r="A461" s="84" t="s">
        <v>348</v>
      </c>
      <c r="B461" s="49" t="s">
        <v>349</v>
      </c>
      <c r="C461" s="71">
        <v>34.833959999999998</v>
      </c>
    </row>
    <row r="462" spans="1:3" ht="15.75" customHeight="1" x14ac:dyDescent="0.25">
      <c r="A462" s="84" t="s">
        <v>1143</v>
      </c>
      <c r="B462" s="85" t="s">
        <v>1144</v>
      </c>
      <c r="C462" s="71">
        <v>16.30696</v>
      </c>
    </row>
    <row r="463" spans="1:3" ht="15.75" customHeight="1" x14ac:dyDescent="0.25">
      <c r="A463" s="84" t="s">
        <v>604</v>
      </c>
      <c r="B463" s="84" t="s">
        <v>605</v>
      </c>
      <c r="C463" s="71">
        <v>454.14759999999995</v>
      </c>
    </row>
    <row r="464" spans="1:3" ht="15.75" customHeight="1" x14ac:dyDescent="0.25">
      <c r="A464" s="84" t="s">
        <v>606</v>
      </c>
      <c r="B464" s="98" t="s">
        <v>607</v>
      </c>
      <c r="C464" s="71">
        <v>454.14759999999995</v>
      </c>
    </row>
    <row r="465" spans="1:3" ht="15" customHeight="1" x14ac:dyDescent="0.25">
      <c r="A465" s="84" t="s">
        <v>608</v>
      </c>
      <c r="B465" s="84" t="s">
        <v>609</v>
      </c>
      <c r="C465" s="71">
        <v>454.14759999999995</v>
      </c>
    </row>
    <row r="466" spans="1:3" ht="15.75" customHeight="1" x14ac:dyDescent="0.25">
      <c r="A466" s="84" t="s">
        <v>610</v>
      </c>
      <c r="B466" s="84" t="s">
        <v>611</v>
      </c>
      <c r="C466" s="71">
        <v>454.14759999999995</v>
      </c>
    </row>
    <row r="467" spans="1:3" ht="15.75" customHeight="1" x14ac:dyDescent="0.25">
      <c r="A467" s="84" t="s">
        <v>586</v>
      </c>
      <c r="B467" s="85" t="s">
        <v>587</v>
      </c>
      <c r="C467" s="71">
        <v>155.57944000000001</v>
      </c>
    </row>
    <row r="468" spans="1:3" ht="15.75" customHeight="1" x14ac:dyDescent="0.25">
      <c r="A468" s="84" t="s">
        <v>590</v>
      </c>
      <c r="B468" s="85" t="s">
        <v>591</v>
      </c>
      <c r="C468" s="71">
        <v>155.57944000000001</v>
      </c>
    </row>
    <row r="469" spans="1:3" ht="15.75" customHeight="1" x14ac:dyDescent="0.25">
      <c r="A469" s="84" t="s">
        <v>193</v>
      </c>
      <c r="B469" s="85" t="s">
        <v>194</v>
      </c>
      <c r="C469" s="71">
        <v>24.34432</v>
      </c>
    </row>
    <row r="470" spans="1:3" ht="15.75" customHeight="1" x14ac:dyDescent="0.25">
      <c r="A470" s="84" t="s">
        <v>1576</v>
      </c>
      <c r="B470" s="85" t="s">
        <v>1575</v>
      </c>
      <c r="C470" s="71">
        <v>24.34432</v>
      </c>
    </row>
    <row r="471" spans="1:3" ht="15.75" customHeight="1" x14ac:dyDescent="0.25">
      <c r="A471" s="84" t="s">
        <v>153</v>
      </c>
      <c r="B471" s="85" t="s">
        <v>154</v>
      </c>
      <c r="C471" s="71">
        <v>17.19688</v>
      </c>
    </row>
    <row r="472" spans="1:3" ht="15.75" customHeight="1" x14ac:dyDescent="0.25">
      <c r="A472" s="84" t="s">
        <v>873</v>
      </c>
      <c r="B472" s="85" t="s">
        <v>874</v>
      </c>
      <c r="C472" s="71">
        <v>28.54</v>
      </c>
    </row>
    <row r="473" spans="1:3" ht="15.75" customHeight="1" x14ac:dyDescent="0.25">
      <c r="A473" s="84" t="s">
        <v>1207</v>
      </c>
      <c r="B473" s="85" t="s">
        <v>1208</v>
      </c>
      <c r="C473" s="71">
        <v>41.232959999999999</v>
      </c>
    </row>
    <row r="474" spans="1:3" ht="15.75" customHeight="1" x14ac:dyDescent="0.25">
      <c r="A474" s="84" t="s">
        <v>417</v>
      </c>
      <c r="B474" s="85" t="s">
        <v>418</v>
      </c>
      <c r="C474" s="71">
        <v>43.504495999999996</v>
      </c>
    </row>
    <row r="475" spans="1:3" ht="15.75" customHeight="1" x14ac:dyDescent="0.25">
      <c r="A475" s="84" t="s">
        <v>149</v>
      </c>
      <c r="B475" s="85" t="s">
        <v>150</v>
      </c>
      <c r="C475" s="71">
        <v>33.795839999999998</v>
      </c>
    </row>
    <row r="476" spans="1:3" ht="15.75" customHeight="1" x14ac:dyDescent="0.25">
      <c r="A476" s="84" t="s">
        <v>786</v>
      </c>
      <c r="B476" s="85" t="s">
        <v>787</v>
      </c>
      <c r="C476" s="71">
        <v>24.711759999999998</v>
      </c>
    </row>
    <row r="477" spans="1:3" ht="15.75" customHeight="1" x14ac:dyDescent="0.25">
      <c r="A477" s="84" t="s">
        <v>1372</v>
      </c>
      <c r="B477" s="84" t="s">
        <v>1373</v>
      </c>
      <c r="C477" s="71">
        <v>26.2912</v>
      </c>
    </row>
    <row r="478" spans="1:3" ht="15.75" customHeight="1" x14ac:dyDescent="0.25">
      <c r="A478" s="84" t="s">
        <v>1279</v>
      </c>
      <c r="B478" s="84" t="s">
        <v>1280</v>
      </c>
      <c r="C478" s="71">
        <v>340.93872000000005</v>
      </c>
    </row>
    <row r="479" spans="1:3" ht="15.75" customHeight="1" x14ac:dyDescent="0.25">
      <c r="A479" s="84" t="s">
        <v>1335</v>
      </c>
      <c r="B479" s="84" t="s">
        <v>1336</v>
      </c>
      <c r="C479" s="71">
        <v>340.93872000000005</v>
      </c>
    </row>
    <row r="480" spans="1:3" ht="15.75" customHeight="1" x14ac:dyDescent="0.25">
      <c r="A480" s="84" t="s">
        <v>245</v>
      </c>
      <c r="B480" s="84" t="s">
        <v>246</v>
      </c>
      <c r="C480" s="71">
        <v>151.12447999999998</v>
      </c>
    </row>
    <row r="481" spans="1:26" ht="15.75" customHeight="1" x14ac:dyDescent="0.25">
      <c r="A481" s="84" t="s">
        <v>871</v>
      </c>
      <c r="B481" s="85" t="s">
        <v>872</v>
      </c>
      <c r="C481" s="71">
        <v>26.075199999999999</v>
      </c>
    </row>
    <row r="482" spans="1:26" ht="15.75" customHeight="1" x14ac:dyDescent="0.25">
      <c r="A482" s="84" t="s">
        <v>1230</v>
      </c>
      <c r="B482" s="85" t="s">
        <v>1231</v>
      </c>
      <c r="C482" s="71">
        <v>15.52</v>
      </c>
    </row>
    <row r="483" spans="1:26" ht="15.75" customHeight="1" x14ac:dyDescent="0.25">
      <c r="A483" s="84" t="s">
        <v>191</v>
      </c>
      <c r="B483" s="85" t="s">
        <v>192</v>
      </c>
      <c r="C483" s="71">
        <v>25.68384</v>
      </c>
    </row>
    <row r="484" spans="1:26" ht="15.75" customHeight="1" x14ac:dyDescent="0.25">
      <c r="A484" s="84" t="s">
        <v>790</v>
      </c>
      <c r="B484" s="85" t="s">
        <v>791</v>
      </c>
      <c r="C484" s="71">
        <v>19.78424</v>
      </c>
    </row>
    <row r="485" spans="1:26" ht="15.75" customHeight="1" x14ac:dyDescent="0.25">
      <c r="A485" s="84" t="s">
        <v>792</v>
      </c>
      <c r="B485" s="85" t="s">
        <v>793</v>
      </c>
      <c r="C485" s="71">
        <v>19.281599999999997</v>
      </c>
    </row>
    <row r="486" spans="1:26" ht="15.75" customHeight="1" x14ac:dyDescent="0.25">
      <c r="A486" s="84" t="s">
        <v>743</v>
      </c>
      <c r="B486" s="85" t="s">
        <v>744</v>
      </c>
      <c r="C486" s="71">
        <v>258.48879999999997</v>
      </c>
    </row>
    <row r="487" spans="1:26" ht="15.75" customHeight="1" x14ac:dyDescent="0.25">
      <c r="A487" s="84" t="s">
        <v>250</v>
      </c>
      <c r="B487" s="84" t="s">
        <v>251</v>
      </c>
      <c r="C487" s="71">
        <v>853.83168000000001</v>
      </c>
    </row>
    <row r="488" spans="1:26" ht="15.75" customHeight="1" x14ac:dyDescent="0.25">
      <c r="A488" s="84" t="s">
        <v>252</v>
      </c>
      <c r="B488" s="84" t="s">
        <v>253</v>
      </c>
      <c r="C488" s="71">
        <v>853.83168000000001</v>
      </c>
    </row>
    <row r="489" spans="1:26" ht="15.75" customHeight="1" x14ac:dyDescent="0.25">
      <c r="A489" s="84" t="s">
        <v>248</v>
      </c>
      <c r="B489" s="84" t="s">
        <v>249</v>
      </c>
      <c r="C489" s="71">
        <v>853.83168000000001</v>
      </c>
    </row>
    <row r="490" spans="1:26" ht="15.75" customHeight="1" x14ac:dyDescent="0.25">
      <c r="A490" s="84" t="s">
        <v>520</v>
      </c>
      <c r="B490" s="84" t="s">
        <v>521</v>
      </c>
      <c r="C490" s="71">
        <v>38.554960000000001</v>
      </c>
    </row>
    <row r="491" spans="1:26" ht="15.75" customHeight="1" x14ac:dyDescent="0.25">
      <c r="A491" s="84" t="s">
        <v>803</v>
      </c>
      <c r="B491" s="85" t="s">
        <v>804</v>
      </c>
      <c r="C491" s="71">
        <v>32.861120000000007</v>
      </c>
    </row>
    <row r="492" spans="1:26" ht="15.75" customHeight="1" x14ac:dyDescent="0.25">
      <c r="A492" s="84" t="s">
        <v>592</v>
      </c>
      <c r="B492" s="85" t="s">
        <v>593</v>
      </c>
      <c r="C492" s="71">
        <v>155.57944000000001</v>
      </c>
    </row>
    <row r="493" spans="1:26" ht="15.75" customHeight="1" x14ac:dyDescent="0.25">
      <c r="A493" s="84" t="s">
        <v>698</v>
      </c>
      <c r="B493" s="85" t="s">
        <v>699</v>
      </c>
      <c r="C493" s="71">
        <v>266.71232000000003</v>
      </c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5.75" customHeight="1" x14ac:dyDescent="0.25">
      <c r="A494" s="84" t="s">
        <v>1287</v>
      </c>
      <c r="B494" s="84" t="s">
        <v>1288</v>
      </c>
      <c r="C494" s="71">
        <v>96.158799999999999</v>
      </c>
    </row>
    <row r="495" spans="1:26" ht="15.75" customHeight="1" x14ac:dyDescent="0.25">
      <c r="A495" s="84" t="s">
        <v>1174</v>
      </c>
      <c r="B495" s="84" t="s">
        <v>1175</v>
      </c>
      <c r="C495" s="71">
        <v>367.15791999999999</v>
      </c>
    </row>
    <row r="496" spans="1:26" ht="15.75" customHeight="1" x14ac:dyDescent="0.25">
      <c r="A496" s="84" t="s">
        <v>1538</v>
      </c>
      <c r="B496" s="85" t="s">
        <v>633</v>
      </c>
      <c r="C496" s="71">
        <v>9.18</v>
      </c>
    </row>
    <row r="497" spans="1:4" ht="15.75" customHeight="1" x14ac:dyDescent="0.25">
      <c r="A497" s="84" t="s">
        <v>1539</v>
      </c>
      <c r="B497" s="85" t="s">
        <v>379</v>
      </c>
      <c r="C497" s="71">
        <v>9.18</v>
      </c>
      <c r="D497" s="63"/>
    </row>
    <row r="498" spans="1:4" ht="15.75" customHeight="1" x14ac:dyDescent="0.25">
      <c r="A498" s="84" t="s">
        <v>1540</v>
      </c>
      <c r="B498" s="85" t="s">
        <v>1061</v>
      </c>
      <c r="C498" s="71">
        <v>9.18</v>
      </c>
    </row>
    <row r="499" spans="1:4" ht="15.75" customHeight="1" x14ac:dyDescent="0.25">
      <c r="A499" s="84" t="s">
        <v>1541</v>
      </c>
      <c r="B499" s="85" t="s">
        <v>498</v>
      </c>
      <c r="C499" s="71">
        <v>9.18</v>
      </c>
      <c r="D499" s="63"/>
    </row>
    <row r="500" spans="1:4" ht="15.75" customHeight="1" x14ac:dyDescent="0.25">
      <c r="A500" s="84" t="s">
        <v>1542</v>
      </c>
      <c r="B500" s="85" t="s">
        <v>1226</v>
      </c>
      <c r="C500" s="71">
        <v>9.18</v>
      </c>
    </row>
    <row r="501" spans="1:4" ht="15.75" customHeight="1" x14ac:dyDescent="0.25">
      <c r="A501" s="84" t="s">
        <v>1489</v>
      </c>
      <c r="B501" s="84" t="s">
        <v>1490</v>
      </c>
      <c r="C501" s="71">
        <v>302.13607999999999</v>
      </c>
      <c r="D501" s="63"/>
    </row>
    <row r="502" spans="1:4" ht="15.75" customHeight="1" x14ac:dyDescent="0.25">
      <c r="A502" s="84" t="s">
        <v>805</v>
      </c>
      <c r="B502" s="85" t="s">
        <v>806</v>
      </c>
      <c r="C502" s="71">
        <v>101.36024</v>
      </c>
    </row>
    <row r="503" spans="1:4" ht="15.75" customHeight="1" x14ac:dyDescent="0.25">
      <c r="A503" s="84" t="s">
        <v>1303</v>
      </c>
      <c r="B503" s="85" t="s">
        <v>1304</v>
      </c>
      <c r="C503" s="71">
        <v>53.378720000000001</v>
      </c>
    </row>
    <row r="504" spans="1:4" ht="15.75" customHeight="1" x14ac:dyDescent="0.25">
      <c r="A504" s="84" t="s">
        <v>1301</v>
      </c>
      <c r="B504" s="85" t="s">
        <v>1302</v>
      </c>
      <c r="C504" s="71">
        <v>48.550239999999995</v>
      </c>
      <c r="D504" s="63"/>
    </row>
    <row r="505" spans="1:4" ht="15.75" customHeight="1" x14ac:dyDescent="0.25">
      <c r="A505" s="84" t="s">
        <v>1307</v>
      </c>
      <c r="B505" s="85" t="s">
        <v>1308</v>
      </c>
      <c r="C505" s="71">
        <v>48.550239999999995</v>
      </c>
    </row>
    <row r="506" spans="1:4" ht="15.75" customHeight="1" x14ac:dyDescent="0.25">
      <c r="A506" s="84" t="s">
        <v>1426</v>
      </c>
      <c r="B506" s="84" t="s">
        <v>1427</v>
      </c>
      <c r="C506" s="71">
        <v>42.032240000000002</v>
      </c>
      <c r="D506" s="63"/>
    </row>
    <row r="507" spans="1:4" ht="15.75" customHeight="1" x14ac:dyDescent="0.25">
      <c r="A507" s="84" t="s">
        <v>594</v>
      </c>
      <c r="B507" s="85" t="s">
        <v>595</v>
      </c>
      <c r="C507" s="71">
        <v>65.06</v>
      </c>
    </row>
    <row r="508" spans="1:4" ht="15.75" customHeight="1" x14ac:dyDescent="0.25">
      <c r="A508" s="84" t="s">
        <v>796</v>
      </c>
      <c r="B508" s="85" t="s">
        <v>797</v>
      </c>
      <c r="C508" s="71">
        <v>68.77</v>
      </c>
      <c r="D508" s="63"/>
    </row>
    <row r="509" spans="1:4" ht="15.75" customHeight="1" x14ac:dyDescent="0.25">
      <c r="A509" s="84" t="s">
        <v>258</v>
      </c>
      <c r="B509" s="85" t="s">
        <v>259</v>
      </c>
      <c r="C509" s="71">
        <v>101.56</v>
      </c>
      <c r="D509" s="63"/>
    </row>
    <row r="510" spans="1:4" ht="15.75" customHeight="1" x14ac:dyDescent="0.25">
      <c r="A510" s="84" t="s">
        <v>209</v>
      </c>
      <c r="B510" s="85" t="s">
        <v>210</v>
      </c>
      <c r="C510" s="71">
        <v>73.489999999999995</v>
      </c>
    </row>
    <row r="511" spans="1:4" ht="15.75" customHeight="1" x14ac:dyDescent="0.25">
      <c r="A511" s="84" t="s">
        <v>794</v>
      </c>
      <c r="B511" s="85" t="s">
        <v>795</v>
      </c>
      <c r="C511" s="71">
        <v>77.709999999999994</v>
      </c>
      <c r="D511" s="63"/>
    </row>
    <row r="512" spans="1:4" ht="15.75" customHeight="1" x14ac:dyDescent="0.25">
      <c r="A512" s="84" t="s">
        <v>1147</v>
      </c>
      <c r="B512" s="85" t="s">
        <v>1148</v>
      </c>
      <c r="C512" s="71">
        <v>88.734719999999996</v>
      </c>
    </row>
    <row r="513" spans="1:4" ht="15.75" customHeight="1" x14ac:dyDescent="0.25">
      <c r="A513" s="84" t="s">
        <v>1151</v>
      </c>
      <c r="B513" s="84" t="s">
        <v>1152</v>
      </c>
      <c r="C513" s="71">
        <v>62.006</v>
      </c>
    </row>
    <row r="514" spans="1:4" ht="15.75" customHeight="1" x14ac:dyDescent="0.25">
      <c r="A514" s="84" t="s">
        <v>205</v>
      </c>
      <c r="B514" s="85" t="s">
        <v>206</v>
      </c>
      <c r="C514" s="71">
        <v>18.077135999999999</v>
      </c>
      <c r="D514" s="63"/>
    </row>
    <row r="515" spans="1:4" ht="15.75" customHeight="1" x14ac:dyDescent="0.25">
      <c r="A515" s="84" t="s">
        <v>360</v>
      </c>
      <c r="B515" s="85" t="s">
        <v>361</v>
      </c>
      <c r="C515" s="71">
        <v>19.477120000000003</v>
      </c>
    </row>
    <row r="516" spans="1:4" ht="15.75" customHeight="1" x14ac:dyDescent="0.25">
      <c r="A516" s="84" t="s">
        <v>207</v>
      </c>
      <c r="B516" s="85" t="s">
        <v>208</v>
      </c>
      <c r="C516" s="71">
        <v>21.30752</v>
      </c>
      <c r="D516" s="63"/>
    </row>
    <row r="517" spans="1:4" ht="15.75" customHeight="1" x14ac:dyDescent="0.25">
      <c r="A517" s="84" t="s">
        <v>362</v>
      </c>
      <c r="B517" s="85" t="s">
        <v>363</v>
      </c>
      <c r="C517" s="71">
        <v>22.5472</v>
      </c>
      <c r="D517" s="63"/>
    </row>
    <row r="518" spans="1:4" ht="15.75" customHeight="1" x14ac:dyDescent="0.25">
      <c r="A518" s="84" t="s">
        <v>364</v>
      </c>
      <c r="B518" s="85" t="s">
        <v>365</v>
      </c>
      <c r="C518" s="71">
        <v>39.586680000000008</v>
      </c>
    </row>
    <row r="519" spans="1:4" ht="15.75" customHeight="1" x14ac:dyDescent="0.25">
      <c r="A519" s="84" t="s">
        <v>934</v>
      </c>
      <c r="B519" s="85" t="s">
        <v>935</v>
      </c>
      <c r="C519" s="71">
        <v>36</v>
      </c>
      <c r="D519" s="63"/>
    </row>
    <row r="520" spans="1:4" ht="15.75" customHeight="1" x14ac:dyDescent="0.25">
      <c r="A520" s="84" t="s">
        <v>280</v>
      </c>
      <c r="B520" s="85" t="s">
        <v>281</v>
      </c>
      <c r="C520" s="71">
        <v>91.278720000000007</v>
      </c>
    </row>
    <row r="521" spans="1:4" ht="15.75" customHeight="1" x14ac:dyDescent="0.25">
      <c r="A521" s="84" t="s">
        <v>751</v>
      </c>
      <c r="B521" s="85" t="s">
        <v>752</v>
      </c>
      <c r="C521" s="71">
        <v>122.24039999999999</v>
      </c>
    </row>
    <row r="522" spans="1:4" ht="15.75" customHeight="1" x14ac:dyDescent="0.25">
      <c r="A522" s="84" t="s">
        <v>1056</v>
      </c>
      <c r="B522" s="85" t="s">
        <v>1057</v>
      </c>
      <c r="C522" s="71">
        <v>118.35936</v>
      </c>
    </row>
    <row r="523" spans="1:4" ht="15.75" customHeight="1" x14ac:dyDescent="0.25">
      <c r="A523" s="84" t="s">
        <v>879</v>
      </c>
      <c r="B523" s="85" t="s">
        <v>880</v>
      </c>
      <c r="C523" s="71">
        <v>212.62639999999999</v>
      </c>
    </row>
    <row r="524" spans="1:4" ht="15.75" customHeight="1" x14ac:dyDescent="0.25">
      <c r="A524" s="84" t="s">
        <v>914</v>
      </c>
      <c r="B524" s="85" t="s">
        <v>915</v>
      </c>
      <c r="C524" s="71">
        <v>26.65</v>
      </c>
    </row>
    <row r="525" spans="1:4" ht="15.75" customHeight="1" x14ac:dyDescent="0.25">
      <c r="A525" s="84" t="s">
        <v>1543</v>
      </c>
      <c r="B525" s="85" t="s">
        <v>1486</v>
      </c>
      <c r="C525" s="71">
        <v>302.13607999999999</v>
      </c>
    </row>
    <row r="526" spans="1:4" ht="15.75" customHeight="1" x14ac:dyDescent="0.25">
      <c r="A526" s="84" t="s">
        <v>1544</v>
      </c>
      <c r="B526" s="85" t="s">
        <v>1488</v>
      </c>
      <c r="C526" s="71">
        <v>302.13607999999999</v>
      </c>
    </row>
    <row r="527" spans="1:4" ht="15.75" customHeight="1" x14ac:dyDescent="0.25">
      <c r="A527" s="84" t="s">
        <v>788</v>
      </c>
      <c r="B527" s="85" t="s">
        <v>789</v>
      </c>
      <c r="C527" s="71">
        <v>35.596800000000002</v>
      </c>
    </row>
    <row r="528" spans="1:4" ht="15.75" customHeight="1" x14ac:dyDescent="0.25">
      <c r="A528" s="84" t="s">
        <v>1036</v>
      </c>
      <c r="B528" s="85" t="s">
        <v>1037</v>
      </c>
      <c r="C528" s="71">
        <v>135.91792000000001</v>
      </c>
    </row>
    <row r="529" spans="1:3" ht="15.75" customHeight="1" x14ac:dyDescent="0.25">
      <c r="A529" s="84" t="s">
        <v>1309</v>
      </c>
      <c r="B529" s="85" t="s">
        <v>1310</v>
      </c>
      <c r="C529" s="71">
        <v>60.659360000000007</v>
      </c>
    </row>
    <row r="530" spans="1:3" ht="15.75" customHeight="1" x14ac:dyDescent="0.25">
      <c r="A530" s="84" t="s">
        <v>616</v>
      </c>
      <c r="B530" s="85" t="s">
        <v>617</v>
      </c>
      <c r="C530" s="71">
        <v>37.038800000000002</v>
      </c>
    </row>
    <row r="531" spans="1:3" ht="15.75" customHeight="1" x14ac:dyDescent="0.25">
      <c r="A531" s="84" t="s">
        <v>1428</v>
      </c>
      <c r="B531" s="84" t="s">
        <v>1429</v>
      </c>
      <c r="C531" s="71">
        <v>8.1081599999999998</v>
      </c>
    </row>
    <row r="532" spans="1:3" ht="15.75" customHeight="1" x14ac:dyDescent="0.25">
      <c r="A532" s="116" t="s">
        <v>1448</v>
      </c>
      <c r="B532" s="84" t="s">
        <v>1449</v>
      </c>
      <c r="C532" s="71">
        <v>256.15688</v>
      </c>
    </row>
    <row r="533" spans="1:3" ht="15.75" customHeight="1" x14ac:dyDescent="0.25">
      <c r="A533" s="84" t="s">
        <v>1545</v>
      </c>
      <c r="B533" s="117"/>
      <c r="C533" s="71"/>
    </row>
    <row r="534" spans="1:3" ht="15.75" customHeight="1" x14ac:dyDescent="0.25">
      <c r="A534" s="84" t="s">
        <v>863</v>
      </c>
      <c r="B534" s="85" t="s">
        <v>864</v>
      </c>
      <c r="C534" s="71">
        <v>38.409999999999997</v>
      </c>
    </row>
    <row r="535" spans="1:3" ht="15.75" customHeight="1" x14ac:dyDescent="0.25">
      <c r="A535" s="84" t="s">
        <v>760</v>
      </c>
      <c r="B535" s="85" t="s">
        <v>761</v>
      </c>
      <c r="C535" s="71">
        <v>12.846159999999999</v>
      </c>
    </row>
    <row r="536" spans="1:3" ht="15.75" customHeight="1" x14ac:dyDescent="0.25">
      <c r="A536" s="84" t="s">
        <v>762</v>
      </c>
      <c r="B536" s="85" t="s">
        <v>763</v>
      </c>
      <c r="C536" s="71">
        <v>12.846159999999999</v>
      </c>
    </row>
    <row r="537" spans="1:3" ht="15.75" customHeight="1" x14ac:dyDescent="0.25">
      <c r="A537" s="84" t="s">
        <v>639</v>
      </c>
      <c r="B537" s="85" t="s">
        <v>640</v>
      </c>
      <c r="C537" s="71">
        <v>11.11576</v>
      </c>
    </row>
    <row r="538" spans="1:3" ht="15.75" customHeight="1" x14ac:dyDescent="0.25">
      <c r="A538" s="84" t="s">
        <v>641</v>
      </c>
      <c r="B538" s="85" t="s">
        <v>642</v>
      </c>
      <c r="C538" s="71">
        <v>12.582479999999999</v>
      </c>
    </row>
    <row r="539" spans="1:3" ht="15.75" customHeight="1" x14ac:dyDescent="0.25">
      <c r="A539" s="84" t="s">
        <v>643</v>
      </c>
      <c r="B539" s="85" t="s">
        <v>644</v>
      </c>
      <c r="C539" s="71">
        <v>13.332319999999999</v>
      </c>
    </row>
    <row r="540" spans="1:3" ht="15.75" customHeight="1" x14ac:dyDescent="0.25">
      <c r="A540" s="84" t="s">
        <v>645</v>
      </c>
      <c r="B540" s="85" t="s">
        <v>646</v>
      </c>
      <c r="C540" s="71">
        <v>13.332319999999999</v>
      </c>
    </row>
    <row r="541" spans="1:3" ht="15.75" customHeight="1" x14ac:dyDescent="0.25">
      <c r="A541" s="84" t="s">
        <v>1032</v>
      </c>
      <c r="B541" s="85" t="s">
        <v>1033</v>
      </c>
      <c r="C541" s="71">
        <v>8.4542400000000004</v>
      </c>
    </row>
    <row r="542" spans="1:3" ht="15.75" customHeight="1" x14ac:dyDescent="0.25">
      <c r="A542" s="84" t="s">
        <v>637</v>
      </c>
      <c r="B542" s="85" t="s">
        <v>638</v>
      </c>
      <c r="C542" s="71">
        <v>11.11576</v>
      </c>
    </row>
    <row r="543" spans="1:3" ht="15.75" customHeight="1" x14ac:dyDescent="0.25">
      <c r="A543" s="84" t="s">
        <v>702</v>
      </c>
      <c r="B543" s="85" t="s">
        <v>703</v>
      </c>
      <c r="C543" s="71">
        <v>1204.5314399999997</v>
      </c>
    </row>
    <row r="544" spans="1:3" ht="15.75" customHeight="1" x14ac:dyDescent="0.25">
      <c r="A544" s="84" t="s">
        <v>704</v>
      </c>
      <c r="B544" s="85" t="s">
        <v>705</v>
      </c>
      <c r="C544" s="71">
        <v>1204.5314399999997</v>
      </c>
    </row>
    <row r="545" spans="1:3" ht="15.75" customHeight="1" x14ac:dyDescent="0.25">
      <c r="A545" s="84" t="s">
        <v>706</v>
      </c>
      <c r="B545" s="85" t="s">
        <v>707</v>
      </c>
      <c r="C545" s="71">
        <v>1204.5314399999997</v>
      </c>
    </row>
    <row r="546" spans="1:3" ht="15.75" customHeight="1" x14ac:dyDescent="0.25">
      <c r="A546" s="84" t="s">
        <v>708</v>
      </c>
      <c r="B546" s="85" t="s">
        <v>709</v>
      </c>
      <c r="C546" s="71">
        <v>39.590000000000003</v>
      </c>
    </row>
    <row r="547" spans="1:3" ht="15.75" customHeight="1" x14ac:dyDescent="0.25">
      <c r="A547" s="84" t="s">
        <v>700</v>
      </c>
      <c r="B547" s="85" t="s">
        <v>701</v>
      </c>
      <c r="C547" s="71">
        <v>37.030560000000001</v>
      </c>
    </row>
    <row r="548" spans="1:3" ht="15.75" customHeight="1" x14ac:dyDescent="0.25">
      <c r="A548" s="84" t="s">
        <v>618</v>
      </c>
      <c r="B548" s="85" t="s">
        <v>619</v>
      </c>
      <c r="C548" s="71">
        <v>37.030560000000001</v>
      </c>
    </row>
    <row r="549" spans="1:3" ht="15.75" customHeight="1" x14ac:dyDescent="0.25">
      <c r="A549" s="84" t="s">
        <v>622</v>
      </c>
      <c r="B549" s="85" t="s">
        <v>623</v>
      </c>
      <c r="C549" s="71">
        <v>266.71232000000003</v>
      </c>
    </row>
    <row r="550" spans="1:3" ht="15.75" customHeight="1" x14ac:dyDescent="0.25">
      <c r="A550" s="84" t="s">
        <v>737</v>
      </c>
      <c r="B550" s="85" t="s">
        <v>738</v>
      </c>
      <c r="C550" s="71">
        <v>222.25752000000003</v>
      </c>
    </row>
    <row r="551" spans="1:3" ht="15.75" customHeight="1" x14ac:dyDescent="0.25">
      <c r="A551" s="84" t="s">
        <v>735</v>
      </c>
      <c r="B551" s="85" t="s">
        <v>736</v>
      </c>
      <c r="C551" s="71">
        <v>222.25752000000003</v>
      </c>
    </row>
    <row r="552" spans="1:3" ht="15.75" customHeight="1" x14ac:dyDescent="0.25">
      <c r="A552" s="84" t="s">
        <v>739</v>
      </c>
      <c r="B552" s="85" t="s">
        <v>740</v>
      </c>
      <c r="C552" s="71">
        <v>244.48079999999999</v>
      </c>
    </row>
    <row r="553" spans="1:3" ht="15.75" customHeight="1" x14ac:dyDescent="0.25">
      <c r="A553" s="84" t="s">
        <v>1251</v>
      </c>
      <c r="B553" s="85" t="s">
        <v>1252</v>
      </c>
      <c r="C553" s="71">
        <v>160.17408</v>
      </c>
    </row>
    <row r="554" spans="1:3" ht="15.75" customHeight="1" x14ac:dyDescent="0.25">
      <c r="A554" s="84" t="s">
        <v>620</v>
      </c>
      <c r="B554" s="85" t="s">
        <v>621</v>
      </c>
      <c r="C554" s="71">
        <v>106.68328</v>
      </c>
    </row>
    <row r="555" spans="1:3" ht="15.75" customHeight="1" x14ac:dyDescent="0.25">
      <c r="A555" s="84" t="s">
        <v>1374</v>
      </c>
      <c r="B555" s="85" t="s">
        <v>1375</v>
      </c>
      <c r="C555" s="71">
        <v>174.73536000000001</v>
      </c>
    </row>
    <row r="556" spans="1:3" ht="15.75" customHeight="1" x14ac:dyDescent="0.25">
      <c r="A556" s="84" t="s">
        <v>302</v>
      </c>
      <c r="B556" s="85" t="s">
        <v>303</v>
      </c>
      <c r="C556" s="71">
        <v>154.62360000000001</v>
      </c>
    </row>
    <row r="557" spans="1:3" ht="15.75" customHeight="1" x14ac:dyDescent="0.25">
      <c r="A557" s="84" t="s">
        <v>1187</v>
      </c>
      <c r="B557" s="85" t="s">
        <v>1188</v>
      </c>
      <c r="C557" s="71">
        <v>164.93183999999999</v>
      </c>
    </row>
    <row r="558" spans="1:3" ht="15.75" customHeight="1" x14ac:dyDescent="0.25">
      <c r="A558" s="84" t="s">
        <v>1189</v>
      </c>
      <c r="B558" s="85" t="s">
        <v>1190</v>
      </c>
      <c r="C558" s="71">
        <v>185.54832000000002</v>
      </c>
    </row>
    <row r="559" spans="1:3" ht="15.75" customHeight="1" x14ac:dyDescent="0.25">
      <c r="A559" s="84" t="s">
        <v>896</v>
      </c>
      <c r="B559" s="85" t="s">
        <v>897</v>
      </c>
      <c r="C559" s="71">
        <v>26.65</v>
      </c>
    </row>
    <row r="560" spans="1:3" ht="15.75" customHeight="1" x14ac:dyDescent="0.25">
      <c r="A560" s="84" t="s">
        <v>1546</v>
      </c>
      <c r="B560" s="85" t="s">
        <v>1547</v>
      </c>
      <c r="C560" s="71">
        <v>26.65</v>
      </c>
    </row>
    <row r="561" spans="1:3" ht="15.75" customHeight="1" x14ac:dyDescent="0.25">
      <c r="A561" s="84" t="s">
        <v>1548</v>
      </c>
      <c r="B561" s="85" t="s">
        <v>1549</v>
      </c>
      <c r="C561" s="71">
        <v>26.65</v>
      </c>
    </row>
    <row r="562" spans="1:3" ht="15.75" customHeight="1" x14ac:dyDescent="0.25">
      <c r="A562" s="84" t="s">
        <v>1550</v>
      </c>
      <c r="B562" s="85" t="s">
        <v>1551</v>
      </c>
      <c r="C562" s="71">
        <v>26.65</v>
      </c>
    </row>
    <row r="563" spans="1:3" ht="15.75" customHeight="1" x14ac:dyDescent="0.25">
      <c r="A563" s="84" t="s">
        <v>1552</v>
      </c>
      <c r="B563" s="85" t="s">
        <v>1553</v>
      </c>
      <c r="C563" s="71">
        <v>26.65</v>
      </c>
    </row>
    <row r="564" spans="1:3" ht="15.75" customHeight="1" x14ac:dyDescent="0.25">
      <c r="A564" s="84" t="s">
        <v>820</v>
      </c>
      <c r="B564" s="85" t="s">
        <v>821</v>
      </c>
      <c r="C564" s="71">
        <v>134.0224</v>
      </c>
    </row>
    <row r="565" spans="1:3" ht="15.75" customHeight="1" x14ac:dyDescent="0.25">
      <c r="A565" s="84" t="s">
        <v>155</v>
      </c>
      <c r="B565" s="85" t="s">
        <v>156</v>
      </c>
      <c r="C565" s="71">
        <v>50.710400000000007</v>
      </c>
    </row>
    <row r="566" spans="1:3" ht="15.75" customHeight="1" x14ac:dyDescent="0.25">
      <c r="A566" s="84" t="s">
        <v>1040</v>
      </c>
      <c r="B566" s="85" t="s">
        <v>1041</v>
      </c>
      <c r="C566" s="71">
        <v>67.633920000000003</v>
      </c>
    </row>
    <row r="567" spans="1:3" ht="15.75" customHeight="1" x14ac:dyDescent="0.25">
      <c r="A567" s="84" t="s">
        <v>145</v>
      </c>
      <c r="B567" s="85" t="s">
        <v>146</v>
      </c>
      <c r="C567" s="71">
        <v>29.735680000000002</v>
      </c>
    </row>
    <row r="568" spans="1:3" ht="15.75" customHeight="1" x14ac:dyDescent="0.25">
      <c r="A568" s="84" t="s">
        <v>568</v>
      </c>
      <c r="B568" s="85" t="s">
        <v>569</v>
      </c>
      <c r="C568" s="71">
        <v>32.580959999999997</v>
      </c>
    </row>
    <row r="569" spans="1:3" ht="15.75" customHeight="1" x14ac:dyDescent="0.25">
      <c r="A569" s="84" t="s">
        <v>570</v>
      </c>
      <c r="B569" s="85" t="s">
        <v>571</v>
      </c>
      <c r="C569" s="71">
        <v>32.580959999999997</v>
      </c>
    </row>
    <row r="570" spans="1:3" ht="15.75" customHeight="1" x14ac:dyDescent="0.25">
      <c r="A570" s="84" t="s">
        <v>572</v>
      </c>
      <c r="B570" s="85" t="s">
        <v>573</v>
      </c>
      <c r="C570" s="71">
        <v>32.580959999999997</v>
      </c>
    </row>
    <row r="571" spans="1:3" ht="15.75" customHeight="1" x14ac:dyDescent="0.25">
      <c r="A571" s="84" t="s">
        <v>574</v>
      </c>
      <c r="B571" s="85" t="s">
        <v>575</v>
      </c>
      <c r="C571" s="71">
        <v>32.580959999999997</v>
      </c>
    </row>
    <row r="572" spans="1:3" ht="15.75" customHeight="1" x14ac:dyDescent="0.25">
      <c r="A572" s="84" t="s">
        <v>1368</v>
      </c>
      <c r="B572" s="85" t="s">
        <v>1369</v>
      </c>
      <c r="C572" s="71">
        <v>65.525760000000005</v>
      </c>
    </row>
    <row r="573" spans="1:3" ht="15.75" customHeight="1" x14ac:dyDescent="0.25">
      <c r="A573" s="84" t="s">
        <v>530</v>
      </c>
      <c r="B573" s="85" t="s">
        <v>531</v>
      </c>
      <c r="C573" s="71">
        <v>20.039680000000001</v>
      </c>
    </row>
    <row r="574" spans="1:3" ht="15.75" customHeight="1" x14ac:dyDescent="0.25">
      <c r="A574" s="84" t="s">
        <v>1385</v>
      </c>
      <c r="B574" s="85" t="s">
        <v>1386</v>
      </c>
      <c r="C574" s="71">
        <v>58.24512</v>
      </c>
    </row>
    <row r="575" spans="1:3" ht="15.75" customHeight="1" x14ac:dyDescent="0.25">
      <c r="A575" s="84" t="s">
        <v>818</v>
      </c>
      <c r="B575" s="85" t="s">
        <v>819</v>
      </c>
      <c r="C575" s="71">
        <v>696.89239999999995</v>
      </c>
    </row>
    <row r="576" spans="1:3" ht="15.75" customHeight="1" x14ac:dyDescent="0.25">
      <c r="A576" s="84" t="s">
        <v>1554</v>
      </c>
      <c r="B576" s="85" t="s">
        <v>434</v>
      </c>
      <c r="C576" s="71">
        <v>681.45791999999994</v>
      </c>
    </row>
    <row r="577" spans="1:26" ht="15.75" customHeight="1" x14ac:dyDescent="0.25">
      <c r="A577" s="84" t="s">
        <v>1555</v>
      </c>
      <c r="B577" s="85" t="s">
        <v>1556</v>
      </c>
      <c r="C577" s="71">
        <v>681.45791999999994</v>
      </c>
    </row>
    <row r="578" spans="1:26" ht="15.75" customHeight="1" x14ac:dyDescent="0.25">
      <c r="A578" s="84" t="s">
        <v>1557</v>
      </c>
      <c r="B578" s="85" t="s">
        <v>1127</v>
      </c>
      <c r="C578" s="71">
        <v>414.94</v>
      </c>
    </row>
    <row r="579" spans="1:26" ht="15.75" customHeight="1" x14ac:dyDescent="0.25">
      <c r="A579" s="84" t="s">
        <v>1558</v>
      </c>
      <c r="B579" s="85" t="s">
        <v>1113</v>
      </c>
      <c r="C579" s="71">
        <v>414.94</v>
      </c>
    </row>
    <row r="580" spans="1:26" ht="15.75" customHeight="1" x14ac:dyDescent="0.25">
      <c r="A580" s="84" t="s">
        <v>1559</v>
      </c>
      <c r="B580" s="85" t="s">
        <v>497</v>
      </c>
      <c r="C580" s="71">
        <v>414.94</v>
      </c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5.75" customHeight="1" x14ac:dyDescent="0.25">
      <c r="A581" s="84" t="s">
        <v>1560</v>
      </c>
      <c r="B581" s="85" t="s">
        <v>1234</v>
      </c>
      <c r="C581" s="71">
        <v>414.94</v>
      </c>
    </row>
    <row r="582" spans="1:26" ht="15.75" customHeight="1" x14ac:dyDescent="0.25">
      <c r="A582" s="84" t="s">
        <v>1561</v>
      </c>
      <c r="B582" s="85" t="s">
        <v>632</v>
      </c>
      <c r="C582" s="71">
        <v>514.57000000000005</v>
      </c>
    </row>
    <row r="583" spans="1:26" ht="15.75" customHeight="1" x14ac:dyDescent="0.25">
      <c r="A583" s="84" t="s">
        <v>1562</v>
      </c>
      <c r="B583" s="85" t="s">
        <v>377</v>
      </c>
      <c r="C583" s="71">
        <v>514.57000000000005</v>
      </c>
    </row>
    <row r="584" spans="1:26" ht="15.75" customHeight="1" x14ac:dyDescent="0.25">
      <c r="A584" s="84" t="s">
        <v>1563</v>
      </c>
      <c r="B584" s="85" t="s">
        <v>1060</v>
      </c>
      <c r="C584" s="71">
        <v>514.57000000000005</v>
      </c>
    </row>
    <row r="585" spans="1:26" ht="15.75" customHeight="1" x14ac:dyDescent="0.25">
      <c r="A585" s="84" t="s">
        <v>1564</v>
      </c>
      <c r="B585" s="85" t="s">
        <v>1446</v>
      </c>
      <c r="C585" s="71">
        <v>514.57000000000005</v>
      </c>
    </row>
    <row r="586" spans="1:26" ht="15.75" customHeight="1" x14ac:dyDescent="0.25">
      <c r="A586" s="84" t="s">
        <v>1565</v>
      </c>
      <c r="B586" s="85" t="s">
        <v>1225</v>
      </c>
      <c r="C586" s="71">
        <v>514.57000000000005</v>
      </c>
    </row>
    <row r="587" spans="1:26" ht="15.75" customHeight="1" x14ac:dyDescent="0.25">
      <c r="A587" s="84" t="s">
        <v>546</v>
      </c>
      <c r="B587" s="85" t="s">
        <v>547</v>
      </c>
      <c r="C587" s="71">
        <v>29.64752</v>
      </c>
    </row>
    <row r="588" spans="1:26" ht="15.75" customHeight="1" x14ac:dyDescent="0.25">
      <c r="A588" s="84" t="s">
        <v>1311</v>
      </c>
      <c r="B588" s="85" t="s">
        <v>1312</v>
      </c>
      <c r="C588" s="71">
        <v>2.6796800000000003</v>
      </c>
    </row>
    <row r="589" spans="1:26" ht="15.75" customHeight="1" x14ac:dyDescent="0.25">
      <c r="A589" s="84" t="s">
        <v>1123</v>
      </c>
      <c r="B589" s="85" t="s">
        <v>1124</v>
      </c>
      <c r="C589" s="71">
        <v>4.944</v>
      </c>
    </row>
    <row r="590" spans="1:26" ht="15.75" customHeight="1" x14ac:dyDescent="0.25">
      <c r="A590" s="84" t="s">
        <v>484</v>
      </c>
      <c r="B590" s="84" t="s">
        <v>485</v>
      </c>
      <c r="C590" s="71">
        <v>35.506160000000001</v>
      </c>
    </row>
    <row r="591" spans="1:26" ht="15.75" customHeight="1" x14ac:dyDescent="0.25">
      <c r="A591" s="84" t="s">
        <v>712</v>
      </c>
      <c r="B591" s="85" t="s">
        <v>713</v>
      </c>
      <c r="C591" s="71">
        <v>125.93192000000001</v>
      </c>
    </row>
    <row r="592" spans="1:26" ht="15.75" customHeight="1" x14ac:dyDescent="0.25">
      <c r="A592" s="84" t="s">
        <v>624</v>
      </c>
      <c r="B592" s="85" t="s">
        <v>625</v>
      </c>
      <c r="C592" s="71">
        <v>11.85736</v>
      </c>
    </row>
    <row r="593" spans="1:26" ht="15.75" customHeight="1" x14ac:dyDescent="0.25">
      <c r="A593" s="84" t="s">
        <v>626</v>
      </c>
      <c r="B593" s="85" t="s">
        <v>627</v>
      </c>
      <c r="C593" s="71">
        <v>11.486559999999999</v>
      </c>
    </row>
    <row r="594" spans="1:26" ht="15.75" customHeight="1" x14ac:dyDescent="0.25">
      <c r="A594" s="84" t="s">
        <v>1155</v>
      </c>
      <c r="B594" s="84" t="s">
        <v>1156</v>
      </c>
      <c r="C594" s="71">
        <v>60.852399999999996</v>
      </c>
    </row>
    <row r="595" spans="1:26" ht="15.75" customHeight="1" x14ac:dyDescent="0.25">
      <c r="A595" s="84" t="s">
        <v>217</v>
      </c>
      <c r="B595" s="85" t="s">
        <v>218</v>
      </c>
      <c r="C595" s="71">
        <v>25.68384</v>
      </c>
    </row>
    <row r="596" spans="1:26" ht="15.75" customHeight="1" x14ac:dyDescent="0.25">
      <c r="A596" s="84" t="s">
        <v>1058</v>
      </c>
      <c r="B596" s="85" t="s">
        <v>1059</v>
      </c>
      <c r="C596" s="71">
        <v>27.933599999999998</v>
      </c>
    </row>
    <row r="597" spans="1:26" ht="15.75" customHeight="1" x14ac:dyDescent="0.25">
      <c r="A597" s="84" t="s">
        <v>276</v>
      </c>
      <c r="B597" s="85" t="s">
        <v>277</v>
      </c>
      <c r="C597" s="71">
        <v>65.927679999999995</v>
      </c>
    </row>
    <row r="598" spans="1:26" ht="15.75" customHeight="1" x14ac:dyDescent="0.25">
      <c r="A598" s="84" t="s">
        <v>272</v>
      </c>
      <c r="B598" s="85" t="s">
        <v>273</v>
      </c>
      <c r="C598" s="71">
        <v>54.08</v>
      </c>
    </row>
    <row r="599" spans="1:26" ht="15.75" customHeight="1" x14ac:dyDescent="0.25">
      <c r="A599" s="84" t="s">
        <v>274</v>
      </c>
      <c r="B599" s="85" t="s">
        <v>275</v>
      </c>
      <c r="C599" s="71">
        <v>54.08</v>
      </c>
    </row>
    <row r="600" spans="1:26" ht="15.75" customHeight="1" x14ac:dyDescent="0.25">
      <c r="A600" s="84" t="s">
        <v>1313</v>
      </c>
      <c r="B600" s="85" t="s">
        <v>1314</v>
      </c>
      <c r="C600" s="71">
        <v>10.307919999999999</v>
      </c>
    </row>
    <row r="601" spans="1:26" ht="15.75" customHeight="1" x14ac:dyDescent="0.25">
      <c r="A601" s="84" t="s">
        <v>1315</v>
      </c>
      <c r="B601" s="84" t="s">
        <v>1316</v>
      </c>
      <c r="C601" s="71">
        <v>11.11688</v>
      </c>
    </row>
    <row r="602" spans="1:26" ht="15.75" customHeight="1" x14ac:dyDescent="0.25">
      <c r="A602" s="84" t="s">
        <v>486</v>
      </c>
      <c r="B602" s="85" t="s">
        <v>487</v>
      </c>
      <c r="C602" s="71">
        <v>46.292320000000004</v>
      </c>
    </row>
    <row r="603" spans="1:26" ht="15.75" customHeight="1" x14ac:dyDescent="0.25">
      <c r="A603" s="84" t="s">
        <v>1566</v>
      </c>
      <c r="B603" s="85" t="s">
        <v>1567</v>
      </c>
      <c r="C603" s="71">
        <v>59.179679999999998</v>
      </c>
    </row>
    <row r="604" spans="1:26" ht="15.75" customHeight="1" x14ac:dyDescent="0.25">
      <c r="A604" s="84" t="s">
        <v>459</v>
      </c>
      <c r="B604" s="85" t="s">
        <v>460</v>
      </c>
      <c r="C604" s="71">
        <v>12.17216</v>
      </c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5.75" customHeight="1" x14ac:dyDescent="0.25">
      <c r="A605" s="84" t="s">
        <v>488</v>
      </c>
      <c r="B605" s="84" t="s">
        <v>489</v>
      </c>
      <c r="C605" s="71">
        <v>11.81</v>
      </c>
    </row>
    <row r="606" spans="1:26" ht="15.75" customHeight="1" x14ac:dyDescent="0.25">
      <c r="A606" s="84" t="s">
        <v>421</v>
      </c>
      <c r="B606" s="85" t="s">
        <v>422</v>
      </c>
      <c r="C606" s="71">
        <v>11.13</v>
      </c>
    </row>
    <row r="607" spans="1:26" ht="15.75" customHeight="1" x14ac:dyDescent="0.25">
      <c r="A607" s="84" t="s">
        <v>490</v>
      </c>
      <c r="B607" s="84" t="s">
        <v>491</v>
      </c>
      <c r="C607" s="71">
        <v>13.65</v>
      </c>
    </row>
    <row r="608" spans="1:26" ht="15.75" customHeight="1" x14ac:dyDescent="0.25">
      <c r="A608" s="84" t="s">
        <v>1159</v>
      </c>
      <c r="B608" s="84" t="s">
        <v>1160</v>
      </c>
      <c r="C608" s="71">
        <v>65.977679999999992</v>
      </c>
    </row>
    <row r="609" spans="1:3" ht="15.75" customHeight="1" x14ac:dyDescent="0.25">
      <c r="A609" s="84" t="s">
        <v>1568</v>
      </c>
      <c r="B609" s="85" t="s">
        <v>1569</v>
      </c>
      <c r="C609" s="71">
        <v>11.321760000000001</v>
      </c>
    </row>
    <row r="610" spans="1:3" ht="15.75" customHeight="1" x14ac:dyDescent="0.25">
      <c r="A610" s="84" t="s">
        <v>366</v>
      </c>
      <c r="B610" s="85" t="s">
        <v>367</v>
      </c>
      <c r="C610" s="71">
        <v>18.7</v>
      </c>
    </row>
    <row r="611" spans="1:3" ht="15.75" customHeight="1" x14ac:dyDescent="0.25">
      <c r="A611" s="84" t="s">
        <v>219</v>
      </c>
      <c r="B611" s="85" t="s">
        <v>220</v>
      </c>
      <c r="C611" s="71">
        <v>17.363840000000003</v>
      </c>
    </row>
    <row r="612" spans="1:3" ht="15.75" customHeight="1" x14ac:dyDescent="0.25">
      <c r="A612" s="84" t="s">
        <v>368</v>
      </c>
      <c r="B612" s="85" t="s">
        <v>369</v>
      </c>
      <c r="C612" s="71">
        <v>18.22</v>
      </c>
    </row>
    <row r="613" spans="1:3" ht="15.75" customHeight="1" x14ac:dyDescent="0.25">
      <c r="A613" s="84" t="s">
        <v>807</v>
      </c>
      <c r="B613" s="85" t="s">
        <v>808</v>
      </c>
      <c r="C613" s="71">
        <v>19.690000000000001</v>
      </c>
    </row>
    <row r="614" spans="1:3" ht="15.75" customHeight="1" x14ac:dyDescent="0.25">
      <c r="A614" s="84" t="s">
        <v>1119</v>
      </c>
      <c r="B614" s="85" t="s">
        <v>1120</v>
      </c>
      <c r="C614" s="71">
        <v>26.458639999999999</v>
      </c>
    </row>
    <row r="615" spans="1:3" ht="15.75" customHeight="1" x14ac:dyDescent="0.25">
      <c r="A615" s="84" t="s">
        <v>1321</v>
      </c>
      <c r="B615" s="84" t="s">
        <v>1322</v>
      </c>
      <c r="C615" s="71">
        <v>13.948239999999998</v>
      </c>
    </row>
    <row r="616" spans="1:3" ht="15.75" customHeight="1" x14ac:dyDescent="0.25">
      <c r="A616" s="84" t="s">
        <v>942</v>
      </c>
      <c r="B616" s="85" t="s">
        <v>943</v>
      </c>
      <c r="C616" s="71">
        <v>24.01</v>
      </c>
    </row>
    <row r="617" spans="1:3" ht="15.75" customHeight="1" x14ac:dyDescent="0.25">
      <c r="A617" s="84" t="s">
        <v>423</v>
      </c>
      <c r="B617" s="85" t="s">
        <v>424</v>
      </c>
      <c r="C617" s="71">
        <v>14.63</v>
      </c>
    </row>
    <row r="618" spans="1:3" ht="15.75" customHeight="1" x14ac:dyDescent="0.25">
      <c r="A618" s="84" t="s">
        <v>427</v>
      </c>
      <c r="B618" s="85" t="s">
        <v>428</v>
      </c>
      <c r="C618" s="71">
        <v>16.02</v>
      </c>
    </row>
    <row r="619" spans="1:3" ht="15.75" customHeight="1" x14ac:dyDescent="0.25">
      <c r="A619" s="84" t="s">
        <v>282</v>
      </c>
      <c r="B619" s="85" t="s">
        <v>283</v>
      </c>
      <c r="C619" s="71">
        <v>17.46</v>
      </c>
    </row>
    <row r="620" spans="1:3" ht="15.75" customHeight="1" x14ac:dyDescent="0.25">
      <c r="A620" s="84" t="s">
        <v>1121</v>
      </c>
      <c r="B620" s="85" t="s">
        <v>1122</v>
      </c>
      <c r="C620" s="71">
        <v>25.502799999999997</v>
      </c>
    </row>
    <row r="621" spans="1:3" ht="15.75" customHeight="1" x14ac:dyDescent="0.25">
      <c r="A621" s="84" t="s">
        <v>1325</v>
      </c>
      <c r="B621" s="85" t="s">
        <v>1326</v>
      </c>
      <c r="C621" s="71">
        <v>13.366799999999998</v>
      </c>
    </row>
    <row r="622" spans="1:3" ht="15.75" customHeight="1" x14ac:dyDescent="0.25">
      <c r="A622" s="84" t="s">
        <v>425</v>
      </c>
      <c r="B622" s="85" t="s">
        <v>426</v>
      </c>
      <c r="C622" s="71">
        <v>18.43</v>
      </c>
    </row>
    <row r="623" spans="1:3" ht="15.75" customHeight="1" x14ac:dyDescent="0.25">
      <c r="A623" s="84" t="s">
        <v>753</v>
      </c>
      <c r="B623" s="85" t="s">
        <v>754</v>
      </c>
      <c r="C623" s="71">
        <v>24.09376</v>
      </c>
    </row>
    <row r="624" spans="1:3" ht="15.75" customHeight="1" x14ac:dyDescent="0.25">
      <c r="A624" s="84" t="s">
        <v>211</v>
      </c>
      <c r="B624" s="85" t="s">
        <v>212</v>
      </c>
      <c r="C624" s="71">
        <v>18.84</v>
      </c>
    </row>
    <row r="625" spans="1:26" ht="15.75" customHeight="1" x14ac:dyDescent="0.25">
      <c r="A625" s="84" t="s">
        <v>532</v>
      </c>
      <c r="B625" s="85" t="s">
        <v>533</v>
      </c>
      <c r="C625" s="71">
        <v>19.84</v>
      </c>
    </row>
    <row r="626" spans="1:26" ht="15.75" customHeight="1" x14ac:dyDescent="0.25">
      <c r="A626" s="84" t="s">
        <v>877</v>
      </c>
      <c r="B626" s="85" t="s">
        <v>878</v>
      </c>
      <c r="C626" s="71">
        <v>23.5124</v>
      </c>
    </row>
    <row r="627" spans="1:26" ht="15.75" customHeight="1" x14ac:dyDescent="0.25">
      <c r="A627" s="84" t="s">
        <v>1111</v>
      </c>
      <c r="B627" s="85" t="s">
        <v>1112</v>
      </c>
      <c r="C627" s="71">
        <v>12.714319999999999</v>
      </c>
    </row>
    <row r="628" spans="1:26" ht="15.75" customHeight="1" x14ac:dyDescent="0.25">
      <c r="A628" s="84" t="s">
        <v>1157</v>
      </c>
      <c r="B628" s="85" t="s">
        <v>1158</v>
      </c>
      <c r="C628" s="71">
        <v>55.463439999999999</v>
      </c>
    </row>
    <row r="629" spans="1:26" ht="15.75" customHeight="1" x14ac:dyDescent="0.25">
      <c r="A629" s="84" t="s">
        <v>1153</v>
      </c>
      <c r="B629" s="84" t="s">
        <v>1154</v>
      </c>
      <c r="C629" s="71">
        <v>60.852399999999996</v>
      </c>
    </row>
    <row r="630" spans="1:26" ht="15.75" customHeight="1" x14ac:dyDescent="0.25">
      <c r="A630" s="84" t="s">
        <v>370</v>
      </c>
      <c r="B630" s="85" t="s">
        <v>371</v>
      </c>
      <c r="C630" s="71">
        <v>19.41</v>
      </c>
    </row>
    <row r="631" spans="1:26" ht="15.75" customHeight="1" x14ac:dyDescent="0.25">
      <c r="A631" s="84" t="s">
        <v>213</v>
      </c>
      <c r="B631" s="85" t="s">
        <v>214</v>
      </c>
      <c r="C631" s="71">
        <v>21.989759999999997</v>
      </c>
    </row>
    <row r="632" spans="1:26" ht="15.75" customHeight="1" x14ac:dyDescent="0.25">
      <c r="A632" s="84" t="s">
        <v>215</v>
      </c>
      <c r="B632" s="85" t="s">
        <v>216</v>
      </c>
      <c r="C632" s="71">
        <v>26.207999999999998</v>
      </c>
    </row>
    <row r="633" spans="1:26" ht="15.75" customHeight="1" x14ac:dyDescent="0.25">
      <c r="A633" s="84" t="s">
        <v>854</v>
      </c>
      <c r="B633" s="85" t="s">
        <v>855</v>
      </c>
      <c r="C633" s="71">
        <v>20.78952</v>
      </c>
    </row>
    <row r="634" spans="1:26" ht="15.75" customHeight="1" x14ac:dyDescent="0.25">
      <c r="A634" s="84" t="s">
        <v>448</v>
      </c>
      <c r="B634" s="85" t="s">
        <v>449</v>
      </c>
      <c r="C634" s="71">
        <v>17.28</v>
      </c>
    </row>
    <row r="635" spans="1:26" ht="15.75" customHeight="1" x14ac:dyDescent="0.25">
      <c r="A635" s="84" t="s">
        <v>944</v>
      </c>
      <c r="B635" s="85" t="s">
        <v>945</v>
      </c>
      <c r="C635" s="71">
        <v>18.760000000000002</v>
      </c>
    </row>
    <row r="636" spans="1:26" ht="15.75" customHeight="1" x14ac:dyDescent="0.25">
      <c r="A636" s="84" t="s">
        <v>1161</v>
      </c>
      <c r="B636" s="85" t="s">
        <v>1162</v>
      </c>
      <c r="C636" s="71">
        <v>20.402239999999999</v>
      </c>
    </row>
    <row r="637" spans="1:26" ht="15.75" customHeight="1" x14ac:dyDescent="0.25">
      <c r="A637" s="84" t="s">
        <v>710</v>
      </c>
      <c r="B637" s="85" t="s">
        <v>711</v>
      </c>
      <c r="C637" s="71">
        <v>56.064959999999999</v>
      </c>
    </row>
    <row r="638" spans="1:26" ht="15.75" customHeight="1" x14ac:dyDescent="0.25">
      <c r="A638" s="84" t="s">
        <v>1319</v>
      </c>
      <c r="B638" s="84" t="s">
        <v>1320</v>
      </c>
      <c r="C638" s="71">
        <v>383.54816000000005</v>
      </c>
    </row>
    <row r="639" spans="1:26" ht="15.75" customHeight="1" x14ac:dyDescent="0.25">
      <c r="A639" s="84" t="s">
        <v>1217</v>
      </c>
      <c r="B639" s="85" t="s">
        <v>1218</v>
      </c>
      <c r="C639" s="71">
        <v>42.963360000000002</v>
      </c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5.75" customHeight="1" x14ac:dyDescent="0.25">
      <c r="A640" s="84" t="s">
        <v>1223</v>
      </c>
      <c r="B640" s="85" t="s">
        <v>1224</v>
      </c>
      <c r="C640" s="71">
        <v>34.344320000000003</v>
      </c>
    </row>
    <row r="641" spans="1:26" ht="15.75" customHeight="1" x14ac:dyDescent="0.25">
      <c r="A641" s="84" t="s">
        <v>1219</v>
      </c>
      <c r="B641" s="85" t="s">
        <v>1220</v>
      </c>
      <c r="C641" s="71">
        <v>34.344320000000003</v>
      </c>
    </row>
    <row r="642" spans="1:26" ht="15.75" customHeight="1" x14ac:dyDescent="0.25">
      <c r="A642" s="84" t="s">
        <v>1221</v>
      </c>
      <c r="B642" s="85" t="s">
        <v>1222</v>
      </c>
      <c r="C642" s="71">
        <v>42.963360000000002</v>
      </c>
    </row>
    <row r="643" spans="1:26" ht="15.75" customHeight="1" x14ac:dyDescent="0.25">
      <c r="A643" s="84" t="s">
        <v>1432</v>
      </c>
      <c r="B643" s="85" t="s">
        <v>1433</v>
      </c>
      <c r="C643" s="71">
        <v>54.029679999999999</v>
      </c>
    </row>
    <row r="644" spans="1:26" ht="15.75" customHeight="1" x14ac:dyDescent="0.25">
      <c r="A644" s="84" t="s">
        <v>1434</v>
      </c>
      <c r="B644" s="85" t="s">
        <v>1435</v>
      </c>
      <c r="C644" s="71">
        <v>51.788400000000003</v>
      </c>
    </row>
    <row r="645" spans="1:26" ht="15.75" customHeight="1" x14ac:dyDescent="0.25">
      <c r="A645" s="84" t="s">
        <v>1117</v>
      </c>
      <c r="B645" s="85" t="s">
        <v>1118</v>
      </c>
      <c r="C645" s="71">
        <v>20.830719999999999</v>
      </c>
    </row>
    <row r="646" spans="1:26" ht="15.75" customHeight="1" x14ac:dyDescent="0.25">
      <c r="A646" s="84" t="s">
        <v>1339</v>
      </c>
      <c r="B646" s="85" t="s">
        <v>1340</v>
      </c>
      <c r="C646" s="71">
        <v>9.6948800000000013</v>
      </c>
    </row>
    <row r="647" spans="1:26" ht="15.75" customHeight="1" x14ac:dyDescent="0.25">
      <c r="A647" s="84" t="s">
        <v>1317</v>
      </c>
      <c r="B647" s="85" t="s">
        <v>1318</v>
      </c>
      <c r="C647" s="71">
        <v>9.088160000000002</v>
      </c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5.75" customHeight="1" x14ac:dyDescent="0.25">
      <c r="A648" s="84" t="s">
        <v>727</v>
      </c>
      <c r="B648" s="85" t="s">
        <v>728</v>
      </c>
      <c r="C648" s="71">
        <v>26.672879999999996</v>
      </c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5.75" customHeight="1" x14ac:dyDescent="0.25">
      <c r="A649" s="84" t="s">
        <v>883</v>
      </c>
      <c r="B649" s="103" t="s">
        <v>884</v>
      </c>
      <c r="C649" s="71">
        <v>343.10559999999998</v>
      </c>
    </row>
    <row r="650" spans="1:26" ht="15.75" customHeight="1" x14ac:dyDescent="0.25">
      <c r="A650" s="84" t="s">
        <v>881</v>
      </c>
      <c r="B650" s="85" t="s">
        <v>882</v>
      </c>
      <c r="C650" s="71">
        <v>39.453119999999998</v>
      </c>
    </row>
    <row r="651" spans="1:26" ht="15.75" customHeight="1" x14ac:dyDescent="0.25">
      <c r="A651" s="84" t="s">
        <v>1364</v>
      </c>
      <c r="B651" s="85" t="s">
        <v>1365</v>
      </c>
      <c r="C651" s="71">
        <v>20.38832</v>
      </c>
    </row>
    <row r="652" spans="1:26" ht="15.75" customHeight="1" x14ac:dyDescent="0.25">
      <c r="A652" s="84" t="s">
        <v>1265</v>
      </c>
      <c r="B652" s="85" t="s">
        <v>1266</v>
      </c>
      <c r="C652" s="71">
        <v>20.38832</v>
      </c>
    </row>
    <row r="653" spans="1:26" ht="15.75" customHeight="1" x14ac:dyDescent="0.25">
      <c r="A653" s="84" t="s">
        <v>663</v>
      </c>
      <c r="B653" s="85" t="s">
        <v>664</v>
      </c>
      <c r="C653" s="71">
        <v>20.38832</v>
      </c>
    </row>
    <row r="654" spans="1:26" ht="15.75" customHeight="1" x14ac:dyDescent="0.25">
      <c r="A654" s="84" t="s">
        <v>890</v>
      </c>
      <c r="B654" s="85" t="s">
        <v>891</v>
      </c>
      <c r="C654" s="71">
        <v>54.54</v>
      </c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5.75" customHeight="1" x14ac:dyDescent="0.25">
      <c r="A655" s="84" t="s">
        <v>916</v>
      </c>
      <c r="B655" s="85" t="s">
        <v>917</v>
      </c>
      <c r="C655" s="71">
        <v>36.36</v>
      </c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75" customHeight="1" x14ac:dyDescent="0.25">
      <c r="A656" s="84" t="s">
        <v>920</v>
      </c>
      <c r="B656" s="85" t="s">
        <v>921</v>
      </c>
      <c r="C656" s="71">
        <v>36.36</v>
      </c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75" customHeight="1" x14ac:dyDescent="0.25">
      <c r="A657" s="84" t="s">
        <v>918</v>
      </c>
      <c r="B657" s="85" t="s">
        <v>919</v>
      </c>
      <c r="C657" s="71">
        <v>35.74</v>
      </c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75" customHeight="1" x14ac:dyDescent="0.25">
      <c r="A658" s="84" t="s">
        <v>243</v>
      </c>
      <c r="B658" s="85" t="s">
        <v>244</v>
      </c>
      <c r="C658" s="71">
        <v>35.74</v>
      </c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75" customHeight="1" x14ac:dyDescent="0.25">
      <c r="A659" s="84" t="s">
        <v>201</v>
      </c>
      <c r="B659" s="85" t="s">
        <v>202</v>
      </c>
      <c r="C659" s="71">
        <v>47.349119999999999</v>
      </c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75" customHeight="1" x14ac:dyDescent="0.25">
      <c r="A660" s="84" t="s">
        <v>175</v>
      </c>
      <c r="B660" s="85" t="s">
        <v>176</v>
      </c>
      <c r="C660" s="71">
        <v>152.13952</v>
      </c>
    </row>
    <row r="661" spans="1:26" ht="15.75" customHeight="1" x14ac:dyDescent="0.25">
      <c r="A661" s="84" t="s">
        <v>936</v>
      </c>
      <c r="B661" s="85" t="s">
        <v>937</v>
      </c>
      <c r="C661" s="71">
        <v>38.64</v>
      </c>
    </row>
    <row r="662" spans="1:26" ht="15.75" customHeight="1" x14ac:dyDescent="0.25">
      <c r="A662" s="84" t="s">
        <v>940</v>
      </c>
      <c r="B662" s="85" t="s">
        <v>941</v>
      </c>
      <c r="C662" s="71">
        <v>24.01</v>
      </c>
    </row>
    <row r="663" spans="1:26" ht="15.75" customHeight="1" x14ac:dyDescent="0.25">
      <c r="A663" s="84" t="s">
        <v>1323</v>
      </c>
      <c r="B663" s="84" t="s">
        <v>1324</v>
      </c>
      <c r="C663" s="71">
        <v>87.88</v>
      </c>
    </row>
    <row r="664" spans="1:26" ht="15.75" customHeight="1" x14ac:dyDescent="0.25">
      <c r="A664" s="84" t="s">
        <v>510</v>
      </c>
      <c r="B664" s="84" t="s">
        <v>511</v>
      </c>
      <c r="C664" s="71">
        <v>19.89</v>
      </c>
    </row>
    <row r="665" spans="1:26" ht="15.75" customHeight="1" x14ac:dyDescent="0.25">
      <c r="A665" s="84" t="s">
        <v>1570</v>
      </c>
      <c r="B665" s="84" t="s">
        <v>835</v>
      </c>
      <c r="C665" s="71">
        <v>38.869999999999997</v>
      </c>
    </row>
    <row r="666" spans="1:26" ht="15.75" customHeight="1" x14ac:dyDescent="0.25">
      <c r="A666" s="84" t="s">
        <v>892</v>
      </c>
      <c r="B666" s="84" t="s">
        <v>893</v>
      </c>
      <c r="C666" s="71">
        <v>26.65</v>
      </c>
    </row>
    <row r="667" spans="1:26" ht="15.75" customHeight="1" x14ac:dyDescent="0.25">
      <c r="A667" s="84" t="s">
        <v>894</v>
      </c>
      <c r="B667" s="84" t="s">
        <v>895</v>
      </c>
      <c r="C667" s="71">
        <v>26.65</v>
      </c>
    </row>
    <row r="668" spans="1:26" ht="15.75" customHeight="1" x14ac:dyDescent="0.25">
      <c r="A668" s="84" t="s">
        <v>898</v>
      </c>
      <c r="B668" s="84" t="s">
        <v>899</v>
      </c>
      <c r="C668" s="71">
        <v>26.65</v>
      </c>
    </row>
    <row r="669" spans="1:26" ht="15.75" customHeight="1" x14ac:dyDescent="0.25">
      <c r="A669" s="84" t="s">
        <v>1571</v>
      </c>
      <c r="B669" s="84" t="s">
        <v>901</v>
      </c>
      <c r="C669" s="71">
        <v>26.65</v>
      </c>
    </row>
    <row r="670" spans="1:26" ht="15.75" customHeight="1" x14ac:dyDescent="0.25">
      <c r="A670" s="84" t="s">
        <v>1333</v>
      </c>
      <c r="B670" s="84" t="s">
        <v>1334</v>
      </c>
      <c r="C670" s="71">
        <v>340.93872000000005</v>
      </c>
    </row>
    <row r="671" spans="1:26" ht="15.75" customHeight="1" x14ac:dyDescent="0.25">
      <c r="A671" s="84" t="s">
        <v>143</v>
      </c>
      <c r="B671" s="84" t="s">
        <v>144</v>
      </c>
      <c r="C671" s="71">
        <v>68.738080000000011</v>
      </c>
    </row>
    <row r="672" spans="1:26" ht="15.75" customHeight="1" x14ac:dyDescent="0.25">
      <c r="A672" s="84" t="s">
        <v>197</v>
      </c>
      <c r="B672" s="84" t="s">
        <v>198</v>
      </c>
      <c r="C672" s="71">
        <v>94.648320000000012</v>
      </c>
    </row>
    <row r="673" spans="1:3" ht="15.75" customHeight="1" x14ac:dyDescent="0.25">
      <c r="A673" s="84" t="s">
        <v>256</v>
      </c>
      <c r="B673" s="85" t="s">
        <v>257</v>
      </c>
      <c r="C673" s="71">
        <v>63.111520000000006</v>
      </c>
    </row>
    <row r="674" spans="1:3" ht="15.75" customHeight="1" x14ac:dyDescent="0.25">
      <c r="A674" s="84" t="s">
        <v>1572</v>
      </c>
      <c r="B674" s="84" t="s">
        <v>264</v>
      </c>
      <c r="C674" s="71">
        <v>29.735680000000002</v>
      </c>
    </row>
    <row r="675" spans="1:3" ht="15.75" customHeight="1" x14ac:dyDescent="0.25">
      <c r="A675" s="84" t="s">
        <v>1573</v>
      </c>
      <c r="B675" s="84" t="s">
        <v>267</v>
      </c>
      <c r="C675" s="71">
        <v>29.735680000000002</v>
      </c>
    </row>
    <row r="676" spans="1:3" ht="15.75" customHeight="1" x14ac:dyDescent="0.25">
      <c r="A676" s="84" t="s">
        <v>358</v>
      </c>
      <c r="B676" s="84" t="s">
        <v>359</v>
      </c>
      <c r="C676" s="71">
        <v>16.87</v>
      </c>
    </row>
    <row r="677" spans="1:3" ht="15.75" customHeight="1" x14ac:dyDescent="0.25">
      <c r="A677" s="66" t="s">
        <v>564</v>
      </c>
      <c r="B677" s="84" t="s">
        <v>565</v>
      </c>
      <c r="C677" s="71">
        <v>8.25</v>
      </c>
    </row>
    <row r="678" spans="1:3" ht="15.75" customHeight="1" x14ac:dyDescent="0.25">
      <c r="A678" s="84" t="s">
        <v>582</v>
      </c>
      <c r="B678" s="84" t="s">
        <v>583</v>
      </c>
      <c r="C678" s="71">
        <v>296.35984000000002</v>
      </c>
    </row>
    <row r="679" spans="1:3" ht="15.75" customHeight="1" x14ac:dyDescent="0.25">
      <c r="A679" s="84" t="s">
        <v>729</v>
      </c>
      <c r="B679" s="84" t="s">
        <v>730</v>
      </c>
      <c r="C679" s="71">
        <v>11.12</v>
      </c>
    </row>
    <row r="680" spans="1:3" ht="15.75" customHeight="1" x14ac:dyDescent="0.25">
      <c r="A680" s="84" t="s">
        <v>774</v>
      </c>
      <c r="B680" s="84" t="s">
        <v>775</v>
      </c>
      <c r="C680" s="71">
        <v>10.23</v>
      </c>
    </row>
    <row r="681" spans="1:3" ht="15.75" customHeight="1" x14ac:dyDescent="0.25">
      <c r="A681" s="84" t="s">
        <v>776</v>
      </c>
      <c r="B681" s="84" t="s">
        <v>777</v>
      </c>
      <c r="C681" s="71">
        <v>12.43</v>
      </c>
    </row>
    <row r="682" spans="1:3" ht="15.75" customHeight="1" x14ac:dyDescent="0.25">
      <c r="A682" s="84" t="s">
        <v>778</v>
      </c>
      <c r="B682" s="84" t="s">
        <v>779</v>
      </c>
      <c r="C682" s="71">
        <v>15.98</v>
      </c>
    </row>
    <row r="683" spans="1:3" ht="15.75" customHeight="1" x14ac:dyDescent="0.25">
      <c r="A683" s="66" t="s">
        <v>1016</v>
      </c>
      <c r="B683" s="84" t="s">
        <v>1017</v>
      </c>
      <c r="C683" s="71">
        <v>19.670000000000002</v>
      </c>
    </row>
    <row r="684" spans="1:3" ht="15.75" customHeight="1" x14ac:dyDescent="0.25">
      <c r="A684" s="84" t="s">
        <v>1073</v>
      </c>
      <c r="B684" s="84" t="s">
        <v>1074</v>
      </c>
      <c r="C684" s="71">
        <v>42.88</v>
      </c>
    </row>
    <row r="685" spans="1:3" ht="15.75" customHeight="1" x14ac:dyDescent="0.25">
      <c r="A685" s="84" t="s">
        <v>1574</v>
      </c>
      <c r="B685" s="84" t="s">
        <v>1106</v>
      </c>
      <c r="C685" s="71">
        <v>79.59</v>
      </c>
    </row>
    <row r="686" spans="1:3" ht="15.75" customHeight="1" x14ac:dyDescent="0.25">
      <c r="A686" s="84" t="s">
        <v>1176</v>
      </c>
      <c r="B686" s="84" t="s">
        <v>1177</v>
      </c>
      <c r="C686" s="71">
        <v>8.85</v>
      </c>
    </row>
    <row r="687" spans="1:3" ht="15.75" customHeight="1" x14ac:dyDescent="0.25">
      <c r="A687" s="114" t="s">
        <v>1170</v>
      </c>
      <c r="B687" s="114" t="s">
        <v>1171</v>
      </c>
      <c r="C687" s="120">
        <v>32.880000000000003</v>
      </c>
    </row>
    <row r="688" spans="1:3" ht="15.75" customHeight="1" x14ac:dyDescent="0.25">
      <c r="A688" s="121" t="s">
        <v>1199</v>
      </c>
      <c r="B688" s="121" t="s">
        <v>1200</v>
      </c>
      <c r="C688" s="122">
        <v>46.720799999999997</v>
      </c>
    </row>
    <row r="689" spans="1:3" ht="15.75" customHeight="1" x14ac:dyDescent="0.25">
      <c r="A689" s="121" t="s">
        <v>770</v>
      </c>
      <c r="B689" s="121" t="s">
        <v>771</v>
      </c>
      <c r="C689" s="122">
        <v>9.19</v>
      </c>
    </row>
    <row r="690" spans="1:3" ht="15.75" customHeight="1" x14ac:dyDescent="0.25">
      <c r="A690" s="121" t="s">
        <v>1209</v>
      </c>
      <c r="B690" s="121" t="s">
        <v>1210</v>
      </c>
      <c r="C690" s="122">
        <v>39.979999999999997</v>
      </c>
    </row>
    <row r="691" spans="1:3" ht="15.75" customHeight="1" x14ac:dyDescent="0.25">
      <c r="A691" s="121" t="s">
        <v>1215</v>
      </c>
      <c r="B691" s="121" t="s">
        <v>1216</v>
      </c>
      <c r="C691" s="122">
        <v>38.67</v>
      </c>
    </row>
    <row r="692" spans="1:3" ht="15.75" customHeight="1" x14ac:dyDescent="0.25">
      <c r="A692" s="121" t="s">
        <v>1293</v>
      </c>
      <c r="B692" s="121" t="s">
        <v>1294</v>
      </c>
      <c r="C692" s="122">
        <v>35.68</v>
      </c>
    </row>
    <row r="693" spans="1:3" ht="15.75" customHeight="1" x14ac:dyDescent="0.25">
      <c r="A693" s="121" t="s">
        <v>1305</v>
      </c>
      <c r="B693" s="121" t="s">
        <v>1306</v>
      </c>
      <c r="C693" s="122">
        <v>63.35</v>
      </c>
    </row>
    <row r="694" spans="1:3" ht="15.75" customHeight="1" x14ac:dyDescent="0.25">
      <c r="A694" s="121" t="s">
        <v>1430</v>
      </c>
      <c r="B694" s="121" t="s">
        <v>1431</v>
      </c>
      <c r="C694" s="122">
        <v>22.89</v>
      </c>
    </row>
    <row r="695" spans="1:3" ht="15.75" customHeight="1" x14ac:dyDescent="0.25">
      <c r="A695" s="123" t="s">
        <v>1582</v>
      </c>
      <c r="B695" s="123" t="s">
        <v>1583</v>
      </c>
      <c r="C695" s="122">
        <v>26.67</v>
      </c>
    </row>
    <row r="696" spans="1:3" ht="15.75" customHeight="1" x14ac:dyDescent="0.25">
      <c r="A696" s="123" t="s">
        <v>1584</v>
      </c>
      <c r="B696" s="124" t="s">
        <v>1585</v>
      </c>
      <c r="C696" s="122">
        <v>22.22</v>
      </c>
    </row>
    <row r="697" spans="1:3" ht="15.75" customHeight="1" x14ac:dyDescent="0.25">
      <c r="A697" s="123" t="s">
        <v>1586</v>
      </c>
      <c r="B697" s="124" t="s">
        <v>1588</v>
      </c>
      <c r="C697" s="122">
        <v>16.52</v>
      </c>
    </row>
    <row r="698" spans="1:3" ht="15.75" customHeight="1" x14ac:dyDescent="0.25">
      <c r="A698" s="123" t="s">
        <v>1587</v>
      </c>
      <c r="B698" s="124" t="s">
        <v>1589</v>
      </c>
      <c r="C698" s="122">
        <v>15.95</v>
      </c>
    </row>
    <row r="699" spans="1:3" ht="15.75" customHeight="1" x14ac:dyDescent="0.25">
      <c r="A699" s="66" t="s">
        <v>1071</v>
      </c>
      <c r="B699" s="76" t="s">
        <v>1072</v>
      </c>
      <c r="C699" s="71">
        <v>58.85</v>
      </c>
    </row>
    <row r="700" spans="1:3" ht="15.75" customHeight="1" x14ac:dyDescent="0.25">
      <c r="A700" s="66" t="s">
        <v>1178</v>
      </c>
      <c r="B700" s="76" t="s">
        <v>1179</v>
      </c>
      <c r="C700" s="71">
        <v>59.18</v>
      </c>
    </row>
    <row r="701" spans="1:3" ht="15.75" customHeight="1" x14ac:dyDescent="0.25">
      <c r="A701" s="84" t="s">
        <v>1621</v>
      </c>
      <c r="B701" s="119" t="s">
        <v>1622</v>
      </c>
      <c r="C701" s="71">
        <v>20.39</v>
      </c>
    </row>
    <row r="702" spans="1:3" ht="15.75" customHeight="1" x14ac:dyDescent="0.25">
      <c r="A702" s="84" t="s">
        <v>1624</v>
      </c>
      <c r="B702" s="85" t="s">
        <v>1625</v>
      </c>
      <c r="C702" s="71">
        <v>20.39</v>
      </c>
    </row>
    <row r="703" spans="1:3" ht="15.75" customHeight="1" x14ac:dyDescent="0.25">
      <c r="C703" s="58"/>
    </row>
    <row r="704" spans="1:3" ht="15.75" customHeight="1" x14ac:dyDescent="0.25">
      <c r="C704" s="58"/>
    </row>
    <row r="705" spans="3:3" ht="15.75" customHeight="1" x14ac:dyDescent="0.25">
      <c r="C705" s="58"/>
    </row>
    <row r="706" spans="3:3" ht="15.75" customHeight="1" x14ac:dyDescent="0.25">
      <c r="C706" s="58"/>
    </row>
    <row r="707" spans="3:3" ht="15.75" customHeight="1" x14ac:dyDescent="0.25">
      <c r="C707" s="58"/>
    </row>
    <row r="708" spans="3:3" ht="15.75" customHeight="1" x14ac:dyDescent="0.25">
      <c r="C708" s="58"/>
    </row>
    <row r="709" spans="3:3" ht="15.75" customHeight="1" x14ac:dyDescent="0.25">
      <c r="C709" s="58"/>
    </row>
    <row r="710" spans="3:3" ht="15.75" customHeight="1" x14ac:dyDescent="0.25">
      <c r="C710" s="58"/>
    </row>
    <row r="711" spans="3:3" ht="15.75" customHeight="1" x14ac:dyDescent="0.25">
      <c r="C711" s="58"/>
    </row>
    <row r="712" spans="3:3" ht="15.75" customHeight="1" x14ac:dyDescent="0.25">
      <c r="C712" s="58"/>
    </row>
    <row r="713" spans="3:3" ht="15.75" customHeight="1" x14ac:dyDescent="0.25">
      <c r="C713" s="58"/>
    </row>
    <row r="714" spans="3:3" ht="15.75" customHeight="1" x14ac:dyDescent="0.25">
      <c r="C714" s="58"/>
    </row>
    <row r="715" spans="3:3" ht="15.75" customHeight="1" x14ac:dyDescent="0.25">
      <c r="C715" s="58"/>
    </row>
    <row r="716" spans="3:3" ht="15.75" customHeight="1" x14ac:dyDescent="0.25">
      <c r="C716" s="58"/>
    </row>
    <row r="717" spans="3:3" ht="15.75" customHeight="1" x14ac:dyDescent="0.25">
      <c r="C717" s="58"/>
    </row>
    <row r="718" spans="3:3" ht="15.75" customHeight="1" x14ac:dyDescent="0.25">
      <c r="C718" s="58"/>
    </row>
    <row r="719" spans="3:3" ht="15.75" customHeight="1" x14ac:dyDescent="0.25">
      <c r="C719" s="58"/>
    </row>
    <row r="720" spans="3:3" ht="15.75" customHeight="1" x14ac:dyDescent="0.25">
      <c r="C720" s="58"/>
    </row>
    <row r="721" spans="3:3" ht="15.75" customHeight="1" x14ac:dyDescent="0.25">
      <c r="C721" s="58"/>
    </row>
    <row r="722" spans="3:3" ht="15.75" customHeight="1" x14ac:dyDescent="0.25">
      <c r="C722" s="58"/>
    </row>
    <row r="723" spans="3:3" ht="15.75" customHeight="1" x14ac:dyDescent="0.25">
      <c r="C723" s="58"/>
    </row>
    <row r="724" spans="3:3" ht="15.75" customHeight="1" x14ac:dyDescent="0.25">
      <c r="C724" s="58"/>
    </row>
    <row r="725" spans="3:3" ht="15.75" customHeight="1" x14ac:dyDescent="0.25">
      <c r="C725" s="58"/>
    </row>
    <row r="726" spans="3:3" ht="15.75" customHeight="1" x14ac:dyDescent="0.25">
      <c r="C726" s="58"/>
    </row>
    <row r="727" spans="3:3" ht="15.75" customHeight="1" x14ac:dyDescent="0.25">
      <c r="C727" s="58"/>
    </row>
    <row r="728" spans="3:3" ht="15.75" customHeight="1" x14ac:dyDescent="0.25">
      <c r="C728" s="58"/>
    </row>
    <row r="729" spans="3:3" ht="15.75" customHeight="1" x14ac:dyDescent="0.25">
      <c r="C729" s="58"/>
    </row>
    <row r="730" spans="3:3" ht="15.75" customHeight="1" x14ac:dyDescent="0.25">
      <c r="C730" s="58"/>
    </row>
    <row r="731" spans="3:3" ht="15.75" customHeight="1" x14ac:dyDescent="0.25">
      <c r="C731" s="58"/>
    </row>
    <row r="732" spans="3:3" ht="15.75" customHeight="1" x14ac:dyDescent="0.25">
      <c r="C732" s="58"/>
    </row>
    <row r="733" spans="3:3" ht="15.75" customHeight="1" x14ac:dyDescent="0.25">
      <c r="C733" s="58"/>
    </row>
    <row r="734" spans="3:3" ht="15.75" customHeight="1" x14ac:dyDescent="0.25">
      <c r="C734" s="58"/>
    </row>
    <row r="735" spans="3:3" ht="15.75" customHeight="1" x14ac:dyDescent="0.25">
      <c r="C735" s="58"/>
    </row>
    <row r="736" spans="3:3" ht="15.75" customHeight="1" x14ac:dyDescent="0.25">
      <c r="C736" s="58"/>
    </row>
    <row r="737" spans="3:3" ht="15.75" customHeight="1" x14ac:dyDescent="0.25">
      <c r="C737" s="58"/>
    </row>
    <row r="738" spans="3:3" ht="15.75" customHeight="1" x14ac:dyDescent="0.25">
      <c r="C738" s="58"/>
    </row>
    <row r="739" spans="3:3" ht="15.75" customHeight="1" x14ac:dyDescent="0.25">
      <c r="C739" s="58"/>
    </row>
    <row r="740" spans="3:3" ht="15.75" customHeight="1" x14ac:dyDescent="0.25">
      <c r="C740" s="58"/>
    </row>
    <row r="741" spans="3:3" ht="15.75" customHeight="1" x14ac:dyDescent="0.25">
      <c r="C741" s="58"/>
    </row>
    <row r="742" spans="3:3" ht="15.75" customHeight="1" x14ac:dyDescent="0.25">
      <c r="C742" s="58"/>
    </row>
    <row r="743" spans="3:3" ht="15.75" customHeight="1" x14ac:dyDescent="0.25">
      <c r="C743" s="58"/>
    </row>
    <row r="744" spans="3:3" ht="15.75" customHeight="1" x14ac:dyDescent="0.25">
      <c r="C744" s="58"/>
    </row>
    <row r="745" spans="3:3" ht="15.75" customHeight="1" x14ac:dyDescent="0.25">
      <c r="C745" s="58"/>
    </row>
    <row r="746" spans="3:3" ht="15.75" customHeight="1" x14ac:dyDescent="0.25">
      <c r="C746" s="58"/>
    </row>
    <row r="747" spans="3:3" ht="15.75" customHeight="1" x14ac:dyDescent="0.25">
      <c r="C747" s="58"/>
    </row>
    <row r="748" spans="3:3" ht="15.75" customHeight="1" x14ac:dyDescent="0.25">
      <c r="C748" s="58"/>
    </row>
    <row r="749" spans="3:3" ht="15.75" customHeight="1" x14ac:dyDescent="0.25">
      <c r="C749" s="58"/>
    </row>
    <row r="750" spans="3:3" ht="15.75" customHeight="1" x14ac:dyDescent="0.25">
      <c r="C750" s="58"/>
    </row>
    <row r="751" spans="3:3" ht="15.75" customHeight="1" x14ac:dyDescent="0.25">
      <c r="C751" s="58"/>
    </row>
    <row r="752" spans="3:3" ht="15.75" customHeight="1" x14ac:dyDescent="0.25">
      <c r="C752" s="58"/>
    </row>
    <row r="753" spans="3:3" ht="15.75" customHeight="1" x14ac:dyDescent="0.25">
      <c r="C753" s="58"/>
    </row>
    <row r="754" spans="3:3" ht="15.75" customHeight="1" x14ac:dyDescent="0.25">
      <c r="C754" s="58"/>
    </row>
    <row r="755" spans="3:3" ht="15.75" customHeight="1" x14ac:dyDescent="0.25">
      <c r="C755" s="58"/>
    </row>
    <row r="756" spans="3:3" ht="15.75" customHeight="1" x14ac:dyDescent="0.25">
      <c r="C756" s="58"/>
    </row>
    <row r="757" spans="3:3" ht="15.75" customHeight="1" x14ac:dyDescent="0.25">
      <c r="C757" s="58"/>
    </row>
    <row r="758" spans="3:3" ht="15.75" customHeight="1" x14ac:dyDescent="0.25">
      <c r="C758" s="58"/>
    </row>
    <row r="759" spans="3:3" ht="15.75" customHeight="1" x14ac:dyDescent="0.25">
      <c r="C759" s="58"/>
    </row>
    <row r="760" spans="3:3" ht="15.75" customHeight="1" x14ac:dyDescent="0.25">
      <c r="C760" s="58"/>
    </row>
    <row r="761" spans="3:3" ht="15.75" customHeight="1" x14ac:dyDescent="0.25">
      <c r="C761" s="58"/>
    </row>
    <row r="762" spans="3:3" ht="15.75" customHeight="1" x14ac:dyDescent="0.25">
      <c r="C762" s="58"/>
    </row>
    <row r="763" spans="3:3" ht="15.75" customHeight="1" x14ac:dyDescent="0.25">
      <c r="C763" s="58"/>
    </row>
    <row r="764" spans="3:3" ht="15.75" customHeight="1" x14ac:dyDescent="0.25">
      <c r="C764" s="58"/>
    </row>
    <row r="765" spans="3:3" ht="15.75" customHeight="1" x14ac:dyDescent="0.25">
      <c r="C765" s="58"/>
    </row>
    <row r="766" spans="3:3" ht="15.75" customHeight="1" x14ac:dyDescent="0.25">
      <c r="C766" s="58"/>
    </row>
    <row r="767" spans="3:3" ht="15.75" customHeight="1" x14ac:dyDescent="0.25">
      <c r="C767" s="58"/>
    </row>
    <row r="768" spans="3:3" ht="15.75" customHeight="1" x14ac:dyDescent="0.25">
      <c r="C768" s="58"/>
    </row>
    <row r="769" spans="3:3" ht="15.75" customHeight="1" x14ac:dyDescent="0.25">
      <c r="C769" s="58"/>
    </row>
    <row r="770" spans="3:3" ht="15.75" customHeight="1" x14ac:dyDescent="0.25">
      <c r="C770" s="58"/>
    </row>
    <row r="771" spans="3:3" ht="15.75" customHeight="1" x14ac:dyDescent="0.25">
      <c r="C771" s="58"/>
    </row>
    <row r="772" spans="3:3" ht="15.75" customHeight="1" x14ac:dyDescent="0.25">
      <c r="C772" s="58"/>
    </row>
    <row r="773" spans="3:3" ht="15.75" customHeight="1" x14ac:dyDescent="0.25">
      <c r="C773" s="58"/>
    </row>
    <row r="774" spans="3:3" ht="15.75" customHeight="1" x14ac:dyDescent="0.25">
      <c r="C774" s="58"/>
    </row>
    <row r="775" spans="3:3" ht="15.75" customHeight="1" x14ac:dyDescent="0.25">
      <c r="C775" s="58"/>
    </row>
    <row r="776" spans="3:3" ht="15.75" customHeight="1" x14ac:dyDescent="0.25">
      <c r="C776" s="58"/>
    </row>
    <row r="777" spans="3:3" ht="15.75" customHeight="1" x14ac:dyDescent="0.25">
      <c r="C777" s="58"/>
    </row>
    <row r="778" spans="3:3" ht="15.75" customHeight="1" x14ac:dyDescent="0.25">
      <c r="C778" s="58"/>
    </row>
    <row r="779" spans="3:3" ht="15.75" customHeight="1" x14ac:dyDescent="0.25">
      <c r="C779" s="58"/>
    </row>
    <row r="780" spans="3:3" ht="15.75" customHeight="1" x14ac:dyDescent="0.25">
      <c r="C780" s="58"/>
    </row>
    <row r="781" spans="3:3" ht="15.75" customHeight="1" x14ac:dyDescent="0.25">
      <c r="C781" s="58"/>
    </row>
    <row r="782" spans="3:3" ht="15.75" customHeight="1" x14ac:dyDescent="0.25">
      <c r="C782" s="58"/>
    </row>
    <row r="783" spans="3:3" ht="15.75" customHeight="1" x14ac:dyDescent="0.25">
      <c r="C783" s="58"/>
    </row>
    <row r="784" spans="3:3" ht="15.75" customHeight="1" x14ac:dyDescent="0.25">
      <c r="C784" s="58"/>
    </row>
    <row r="785" spans="3:3" ht="15.75" customHeight="1" x14ac:dyDescent="0.25">
      <c r="C785" s="58"/>
    </row>
    <row r="786" spans="3:3" ht="15.75" customHeight="1" x14ac:dyDescent="0.25">
      <c r="C786" s="58"/>
    </row>
    <row r="787" spans="3:3" ht="15.75" customHeight="1" x14ac:dyDescent="0.25">
      <c r="C787" s="58"/>
    </row>
    <row r="788" spans="3:3" ht="15.75" customHeight="1" x14ac:dyDescent="0.25">
      <c r="C788" s="58"/>
    </row>
    <row r="789" spans="3:3" ht="15.75" customHeight="1" x14ac:dyDescent="0.25">
      <c r="C789" s="58"/>
    </row>
    <row r="790" spans="3:3" ht="15.75" customHeight="1" x14ac:dyDescent="0.25">
      <c r="C790" s="58"/>
    </row>
    <row r="791" spans="3:3" ht="15.75" customHeight="1" x14ac:dyDescent="0.25">
      <c r="C791" s="58"/>
    </row>
    <row r="792" spans="3:3" ht="15.75" customHeight="1" x14ac:dyDescent="0.25">
      <c r="C792" s="58"/>
    </row>
    <row r="793" spans="3:3" ht="15.75" customHeight="1" x14ac:dyDescent="0.25">
      <c r="C793" s="58"/>
    </row>
    <row r="794" spans="3:3" ht="15.75" customHeight="1" x14ac:dyDescent="0.25">
      <c r="C794" s="58"/>
    </row>
    <row r="795" spans="3:3" ht="15.75" customHeight="1" x14ac:dyDescent="0.25">
      <c r="C795" s="58"/>
    </row>
    <row r="796" spans="3:3" ht="15.75" customHeight="1" x14ac:dyDescent="0.25">
      <c r="C796" s="58"/>
    </row>
    <row r="797" spans="3:3" ht="15.75" customHeight="1" x14ac:dyDescent="0.25">
      <c r="C797" s="58"/>
    </row>
    <row r="798" spans="3:3" ht="15.75" customHeight="1" x14ac:dyDescent="0.25">
      <c r="C798" s="58"/>
    </row>
    <row r="799" spans="3:3" ht="15.75" customHeight="1" x14ac:dyDescent="0.25">
      <c r="C799" s="58"/>
    </row>
    <row r="800" spans="3:3" ht="15.75" customHeight="1" x14ac:dyDescent="0.25">
      <c r="C800" s="58"/>
    </row>
    <row r="801" spans="3:3" ht="15.75" customHeight="1" x14ac:dyDescent="0.25">
      <c r="C801" s="58"/>
    </row>
    <row r="802" spans="3:3" ht="15.75" customHeight="1" x14ac:dyDescent="0.25">
      <c r="C802" s="58"/>
    </row>
    <row r="803" spans="3:3" ht="15.75" customHeight="1" x14ac:dyDescent="0.25">
      <c r="C803" s="58"/>
    </row>
    <row r="804" spans="3:3" ht="15.75" customHeight="1" x14ac:dyDescent="0.25">
      <c r="C804" s="58"/>
    </row>
    <row r="805" spans="3:3" ht="15.75" customHeight="1" x14ac:dyDescent="0.25">
      <c r="C805" s="58"/>
    </row>
    <row r="806" spans="3:3" ht="15.75" customHeight="1" x14ac:dyDescent="0.25">
      <c r="C806" s="58"/>
    </row>
    <row r="807" spans="3:3" ht="15.75" customHeight="1" x14ac:dyDescent="0.25">
      <c r="C807" s="58"/>
    </row>
    <row r="808" spans="3:3" ht="15.75" customHeight="1" x14ac:dyDescent="0.25">
      <c r="C808" s="58"/>
    </row>
    <row r="809" spans="3:3" ht="15.75" customHeight="1" x14ac:dyDescent="0.25">
      <c r="C809" s="58"/>
    </row>
    <row r="810" spans="3:3" ht="15.75" customHeight="1" x14ac:dyDescent="0.25">
      <c r="C810" s="58"/>
    </row>
    <row r="811" spans="3:3" ht="15.75" customHeight="1" x14ac:dyDescent="0.25">
      <c r="C811" s="58"/>
    </row>
    <row r="812" spans="3:3" ht="15.75" customHeight="1" x14ac:dyDescent="0.25">
      <c r="C812" s="58"/>
    </row>
    <row r="813" spans="3:3" ht="15.75" customHeight="1" x14ac:dyDescent="0.25">
      <c r="C813" s="58"/>
    </row>
    <row r="814" spans="3:3" ht="15.75" customHeight="1" x14ac:dyDescent="0.25">
      <c r="C814" s="58"/>
    </row>
    <row r="815" spans="3:3" ht="15.75" customHeight="1" x14ac:dyDescent="0.25">
      <c r="C815" s="58"/>
    </row>
    <row r="816" spans="3:3" ht="15.75" customHeight="1" x14ac:dyDescent="0.25">
      <c r="C816" s="58"/>
    </row>
    <row r="817" spans="3:3" ht="15.75" customHeight="1" x14ac:dyDescent="0.25">
      <c r="C817" s="58"/>
    </row>
    <row r="818" spans="3:3" ht="15.75" customHeight="1" x14ac:dyDescent="0.25">
      <c r="C818" s="58"/>
    </row>
    <row r="819" spans="3:3" ht="15.75" customHeight="1" x14ac:dyDescent="0.25">
      <c r="C819" s="58"/>
    </row>
    <row r="820" spans="3:3" ht="15.75" customHeight="1" x14ac:dyDescent="0.25">
      <c r="C820" s="58"/>
    </row>
    <row r="821" spans="3:3" ht="15.75" customHeight="1" x14ac:dyDescent="0.25">
      <c r="C821" s="58"/>
    </row>
    <row r="822" spans="3:3" ht="15.75" customHeight="1" x14ac:dyDescent="0.25">
      <c r="C822" s="58"/>
    </row>
    <row r="823" spans="3:3" ht="15.75" customHeight="1" x14ac:dyDescent="0.25">
      <c r="C823" s="58"/>
    </row>
    <row r="824" spans="3:3" ht="15.75" customHeight="1" x14ac:dyDescent="0.25">
      <c r="C824" s="58"/>
    </row>
    <row r="825" spans="3:3" ht="15.75" customHeight="1" x14ac:dyDescent="0.25">
      <c r="C825" s="58"/>
    </row>
    <row r="826" spans="3:3" ht="15.75" customHeight="1" x14ac:dyDescent="0.25">
      <c r="C826" s="58"/>
    </row>
    <row r="827" spans="3:3" ht="15.75" customHeight="1" x14ac:dyDescent="0.25">
      <c r="C827" s="58"/>
    </row>
    <row r="828" spans="3:3" ht="15.75" customHeight="1" x14ac:dyDescent="0.25">
      <c r="C828" s="58"/>
    </row>
    <row r="829" spans="3:3" ht="15.75" customHeight="1" x14ac:dyDescent="0.25">
      <c r="C829" s="58"/>
    </row>
    <row r="830" spans="3:3" ht="15.75" customHeight="1" x14ac:dyDescent="0.25">
      <c r="C830" s="58"/>
    </row>
    <row r="831" spans="3:3" ht="15.75" customHeight="1" x14ac:dyDescent="0.25">
      <c r="C831" s="58"/>
    </row>
    <row r="832" spans="3:3" ht="15.75" customHeight="1" x14ac:dyDescent="0.25">
      <c r="C832" s="58"/>
    </row>
    <row r="833" spans="3:3" ht="15.75" customHeight="1" x14ac:dyDescent="0.25">
      <c r="C833" s="58"/>
    </row>
    <row r="834" spans="3:3" ht="15.75" customHeight="1" x14ac:dyDescent="0.25">
      <c r="C834" s="58"/>
    </row>
    <row r="835" spans="3:3" ht="15.75" customHeight="1" x14ac:dyDescent="0.25">
      <c r="C835" s="58"/>
    </row>
    <row r="836" spans="3:3" ht="15.75" customHeight="1" x14ac:dyDescent="0.25">
      <c r="C836" s="58"/>
    </row>
    <row r="837" spans="3:3" ht="15.75" customHeight="1" x14ac:dyDescent="0.25">
      <c r="C837" s="58"/>
    </row>
    <row r="838" spans="3:3" ht="15.75" customHeight="1" x14ac:dyDescent="0.25">
      <c r="C838" s="58"/>
    </row>
    <row r="839" spans="3:3" ht="15.75" customHeight="1" x14ac:dyDescent="0.25">
      <c r="C839" s="58"/>
    </row>
    <row r="840" spans="3:3" ht="15.75" customHeight="1" x14ac:dyDescent="0.25">
      <c r="C840" s="58"/>
    </row>
    <row r="841" spans="3:3" ht="15.75" customHeight="1" x14ac:dyDescent="0.25">
      <c r="C841" s="58"/>
    </row>
    <row r="842" spans="3:3" ht="15.75" customHeight="1" x14ac:dyDescent="0.25">
      <c r="C842" s="58"/>
    </row>
    <row r="843" spans="3:3" ht="15.75" customHeight="1" x14ac:dyDescent="0.25">
      <c r="C843" s="58"/>
    </row>
    <row r="844" spans="3:3" ht="15.75" customHeight="1" x14ac:dyDescent="0.25">
      <c r="C844" s="58"/>
    </row>
    <row r="845" spans="3:3" ht="15.75" customHeight="1" x14ac:dyDescent="0.25">
      <c r="C845" s="58"/>
    </row>
    <row r="846" spans="3:3" ht="15.75" customHeight="1" x14ac:dyDescent="0.25">
      <c r="C846" s="58"/>
    </row>
    <row r="847" spans="3:3" ht="15.75" customHeight="1" x14ac:dyDescent="0.25">
      <c r="C847" s="58"/>
    </row>
    <row r="848" spans="3:3" ht="15.75" customHeight="1" x14ac:dyDescent="0.25">
      <c r="C848" s="58"/>
    </row>
    <row r="849" spans="3:3" ht="15.75" customHeight="1" x14ac:dyDescent="0.25">
      <c r="C849" s="58"/>
    </row>
    <row r="850" spans="3:3" ht="15.75" customHeight="1" x14ac:dyDescent="0.25">
      <c r="C850" s="58"/>
    </row>
    <row r="851" spans="3:3" ht="15.75" customHeight="1" x14ac:dyDescent="0.25">
      <c r="C851" s="58"/>
    </row>
    <row r="852" spans="3:3" ht="15.75" customHeight="1" x14ac:dyDescent="0.25">
      <c r="C852" s="58"/>
    </row>
    <row r="853" spans="3:3" ht="15.75" customHeight="1" x14ac:dyDescent="0.25">
      <c r="C853" s="58"/>
    </row>
    <row r="854" spans="3:3" ht="15.75" customHeight="1" x14ac:dyDescent="0.25">
      <c r="C854" s="58"/>
    </row>
    <row r="855" spans="3:3" ht="15.75" customHeight="1" x14ac:dyDescent="0.25">
      <c r="C855" s="58"/>
    </row>
    <row r="856" spans="3:3" ht="15.75" customHeight="1" x14ac:dyDescent="0.25">
      <c r="C856" s="58"/>
    </row>
    <row r="857" spans="3:3" ht="15.75" customHeight="1" x14ac:dyDescent="0.25">
      <c r="C857" s="58"/>
    </row>
    <row r="858" spans="3:3" ht="15.75" customHeight="1" x14ac:dyDescent="0.25">
      <c r="C858" s="58"/>
    </row>
    <row r="859" spans="3:3" ht="15.75" customHeight="1" x14ac:dyDescent="0.25">
      <c r="C859" s="58"/>
    </row>
    <row r="860" spans="3:3" ht="15.75" customHeight="1" x14ac:dyDescent="0.25">
      <c r="C860" s="58"/>
    </row>
    <row r="861" spans="3:3" ht="15.75" customHeight="1" x14ac:dyDescent="0.25">
      <c r="C861" s="58"/>
    </row>
    <row r="862" spans="3:3" ht="15.75" customHeight="1" x14ac:dyDescent="0.25">
      <c r="C862" s="58"/>
    </row>
    <row r="863" spans="3:3" ht="15.75" customHeight="1" x14ac:dyDescent="0.25">
      <c r="C863" s="58"/>
    </row>
    <row r="864" spans="3:3" ht="15.75" customHeight="1" x14ac:dyDescent="0.25">
      <c r="C864" s="58"/>
    </row>
    <row r="865" spans="3:3" ht="15.75" customHeight="1" x14ac:dyDescent="0.25">
      <c r="C865" s="58"/>
    </row>
    <row r="866" spans="3:3" ht="15.75" customHeight="1" x14ac:dyDescent="0.25">
      <c r="C866" s="58"/>
    </row>
    <row r="867" spans="3:3" ht="15.75" customHeight="1" x14ac:dyDescent="0.25">
      <c r="C867" s="58"/>
    </row>
    <row r="868" spans="3:3" ht="15.75" customHeight="1" x14ac:dyDescent="0.25">
      <c r="C868" s="58"/>
    </row>
    <row r="869" spans="3:3" ht="15.75" customHeight="1" x14ac:dyDescent="0.25">
      <c r="C869" s="58"/>
    </row>
    <row r="870" spans="3:3" ht="15.75" customHeight="1" x14ac:dyDescent="0.25">
      <c r="C870" s="58"/>
    </row>
    <row r="871" spans="3:3" ht="15.75" customHeight="1" x14ac:dyDescent="0.25">
      <c r="C871" s="58"/>
    </row>
    <row r="872" spans="3:3" ht="15.75" customHeight="1" x14ac:dyDescent="0.25">
      <c r="C872" s="58"/>
    </row>
    <row r="873" spans="3:3" ht="15.75" customHeight="1" x14ac:dyDescent="0.25">
      <c r="C873" s="58"/>
    </row>
    <row r="874" spans="3:3" ht="15.75" customHeight="1" x14ac:dyDescent="0.25">
      <c r="C874" s="58"/>
    </row>
    <row r="875" spans="3:3" ht="15.75" customHeight="1" x14ac:dyDescent="0.25">
      <c r="C875" s="58"/>
    </row>
    <row r="876" spans="3:3" ht="15.75" customHeight="1" x14ac:dyDescent="0.25">
      <c r="C876" s="58"/>
    </row>
    <row r="877" spans="3:3" ht="15.75" customHeight="1" x14ac:dyDescent="0.25">
      <c r="C877" s="58"/>
    </row>
    <row r="878" spans="3:3" ht="15.75" customHeight="1" x14ac:dyDescent="0.25">
      <c r="C878" s="58"/>
    </row>
    <row r="879" spans="3:3" ht="15.75" customHeight="1" x14ac:dyDescent="0.25">
      <c r="C879" s="58"/>
    </row>
    <row r="880" spans="3:3" ht="15.75" customHeight="1" x14ac:dyDescent="0.25">
      <c r="C880" s="58"/>
    </row>
    <row r="881" spans="3:3" ht="15.75" customHeight="1" x14ac:dyDescent="0.25">
      <c r="C881" s="58"/>
    </row>
    <row r="882" spans="3:3" ht="15.75" customHeight="1" x14ac:dyDescent="0.25">
      <c r="C882" s="58"/>
    </row>
    <row r="883" spans="3:3" ht="15.75" customHeight="1" x14ac:dyDescent="0.25">
      <c r="C883" s="58"/>
    </row>
    <row r="884" spans="3:3" ht="15.75" customHeight="1" x14ac:dyDescent="0.25">
      <c r="C884" s="58"/>
    </row>
    <row r="885" spans="3:3" ht="15.75" customHeight="1" x14ac:dyDescent="0.25">
      <c r="C885" s="58"/>
    </row>
    <row r="886" spans="3:3" ht="15.75" customHeight="1" x14ac:dyDescent="0.25">
      <c r="C886" s="58"/>
    </row>
    <row r="887" spans="3:3" ht="15.75" customHeight="1" x14ac:dyDescent="0.25">
      <c r="C887" s="58"/>
    </row>
    <row r="888" spans="3:3" ht="15.75" customHeight="1" x14ac:dyDescent="0.25">
      <c r="C888" s="58"/>
    </row>
    <row r="889" spans="3:3" ht="15.75" customHeight="1" x14ac:dyDescent="0.25">
      <c r="C889" s="58"/>
    </row>
    <row r="890" spans="3:3" ht="15.75" customHeight="1" x14ac:dyDescent="0.25">
      <c r="C890" s="58"/>
    </row>
    <row r="891" spans="3:3" ht="15.75" customHeight="1" x14ac:dyDescent="0.25">
      <c r="C891" s="58"/>
    </row>
    <row r="892" spans="3:3" ht="15.75" customHeight="1" x14ac:dyDescent="0.25">
      <c r="C892" s="58"/>
    </row>
    <row r="893" spans="3:3" ht="15.75" customHeight="1" x14ac:dyDescent="0.25">
      <c r="C893" s="58"/>
    </row>
    <row r="894" spans="3:3" ht="15.75" customHeight="1" x14ac:dyDescent="0.25">
      <c r="C894" s="58"/>
    </row>
    <row r="895" spans="3:3" ht="15.75" customHeight="1" x14ac:dyDescent="0.25">
      <c r="C895" s="58"/>
    </row>
    <row r="896" spans="3:3" ht="15.75" customHeight="1" x14ac:dyDescent="0.25">
      <c r="C896" s="58"/>
    </row>
    <row r="897" spans="3:3" ht="15.75" customHeight="1" x14ac:dyDescent="0.25">
      <c r="C897" s="58"/>
    </row>
    <row r="898" spans="3:3" ht="15.75" customHeight="1" x14ac:dyDescent="0.25">
      <c r="C898" s="58"/>
    </row>
    <row r="899" spans="3:3" ht="15.75" customHeight="1" x14ac:dyDescent="0.25">
      <c r="C899" s="58"/>
    </row>
    <row r="900" spans="3:3" ht="15.75" customHeight="1" x14ac:dyDescent="0.25">
      <c r="C900" s="58"/>
    </row>
    <row r="901" spans="3:3" ht="15.75" customHeight="1" x14ac:dyDescent="0.25">
      <c r="C901" s="58"/>
    </row>
    <row r="902" spans="3:3" ht="15.75" customHeight="1" x14ac:dyDescent="0.25">
      <c r="C902" s="58"/>
    </row>
    <row r="903" spans="3:3" ht="15.75" customHeight="1" x14ac:dyDescent="0.25">
      <c r="C903" s="58"/>
    </row>
    <row r="904" spans="3:3" ht="15.75" customHeight="1" x14ac:dyDescent="0.25">
      <c r="C904" s="58"/>
    </row>
    <row r="905" spans="3:3" ht="15.75" customHeight="1" x14ac:dyDescent="0.25">
      <c r="C905" s="58"/>
    </row>
    <row r="906" spans="3:3" ht="15.75" customHeight="1" x14ac:dyDescent="0.25">
      <c r="C906" s="58"/>
    </row>
    <row r="907" spans="3:3" ht="15.75" customHeight="1" x14ac:dyDescent="0.25">
      <c r="C907" s="58"/>
    </row>
    <row r="908" spans="3:3" ht="15.75" customHeight="1" x14ac:dyDescent="0.25">
      <c r="C908" s="58"/>
    </row>
    <row r="909" spans="3:3" ht="15.75" customHeight="1" x14ac:dyDescent="0.25">
      <c r="C909" s="58"/>
    </row>
    <row r="910" spans="3:3" ht="15.75" customHeight="1" x14ac:dyDescent="0.25">
      <c r="C910" s="58"/>
    </row>
    <row r="911" spans="3:3" ht="15.75" customHeight="1" x14ac:dyDescent="0.25">
      <c r="C911" s="58"/>
    </row>
    <row r="912" spans="3:3" ht="15.75" customHeight="1" x14ac:dyDescent="0.25">
      <c r="C912" s="58"/>
    </row>
    <row r="913" spans="3:3" ht="15.75" customHeight="1" x14ac:dyDescent="0.25">
      <c r="C913" s="58"/>
    </row>
    <row r="914" spans="3:3" ht="15.75" customHeight="1" x14ac:dyDescent="0.25">
      <c r="C914" s="58"/>
    </row>
    <row r="915" spans="3:3" ht="15.75" customHeight="1" x14ac:dyDescent="0.25">
      <c r="C915" s="58"/>
    </row>
    <row r="916" spans="3:3" ht="15.75" customHeight="1" x14ac:dyDescent="0.25">
      <c r="C916" s="58"/>
    </row>
    <row r="917" spans="3:3" ht="15.75" customHeight="1" x14ac:dyDescent="0.25">
      <c r="C917" s="58"/>
    </row>
    <row r="918" spans="3:3" ht="15.75" customHeight="1" x14ac:dyDescent="0.25">
      <c r="C918" s="58"/>
    </row>
    <row r="919" spans="3:3" ht="15.75" customHeight="1" x14ac:dyDescent="0.25">
      <c r="C919" s="58"/>
    </row>
    <row r="920" spans="3:3" ht="15.75" customHeight="1" x14ac:dyDescent="0.25">
      <c r="C920" s="58"/>
    </row>
    <row r="921" spans="3:3" ht="15.75" customHeight="1" x14ac:dyDescent="0.25">
      <c r="C921" s="58"/>
    </row>
    <row r="922" spans="3:3" ht="15.75" customHeight="1" x14ac:dyDescent="0.25">
      <c r="C922" s="58"/>
    </row>
    <row r="923" spans="3:3" ht="15.75" customHeight="1" x14ac:dyDescent="0.25">
      <c r="C923" s="58"/>
    </row>
    <row r="924" spans="3:3" ht="15.75" customHeight="1" x14ac:dyDescent="0.25">
      <c r="C924" s="58"/>
    </row>
    <row r="925" spans="3:3" ht="15.75" customHeight="1" x14ac:dyDescent="0.25">
      <c r="C925" s="58"/>
    </row>
    <row r="926" spans="3:3" ht="15.75" customHeight="1" x14ac:dyDescent="0.25">
      <c r="C926" s="58"/>
    </row>
    <row r="927" spans="3:3" ht="15.75" customHeight="1" x14ac:dyDescent="0.25">
      <c r="C927" s="58"/>
    </row>
    <row r="928" spans="3:3" ht="15.75" customHeight="1" x14ac:dyDescent="0.25">
      <c r="C928" s="58"/>
    </row>
    <row r="929" spans="3:3" ht="15.75" customHeight="1" x14ac:dyDescent="0.25">
      <c r="C929" s="58"/>
    </row>
    <row r="930" spans="3:3" ht="15.75" customHeight="1" x14ac:dyDescent="0.25">
      <c r="C930" s="58"/>
    </row>
    <row r="931" spans="3:3" ht="15.75" customHeight="1" x14ac:dyDescent="0.25">
      <c r="C931" s="58"/>
    </row>
    <row r="932" spans="3:3" ht="15.75" customHeight="1" x14ac:dyDescent="0.25">
      <c r="C932" s="58"/>
    </row>
    <row r="933" spans="3:3" ht="15.75" customHeight="1" x14ac:dyDescent="0.25">
      <c r="C933" s="58"/>
    </row>
    <row r="934" spans="3:3" ht="15.75" customHeight="1" x14ac:dyDescent="0.25">
      <c r="C934" s="58"/>
    </row>
    <row r="935" spans="3:3" ht="15.75" customHeight="1" x14ac:dyDescent="0.25">
      <c r="C935" s="58"/>
    </row>
    <row r="936" spans="3:3" ht="15.75" customHeight="1" x14ac:dyDescent="0.25">
      <c r="C936" s="58"/>
    </row>
    <row r="937" spans="3:3" ht="15.75" customHeight="1" x14ac:dyDescent="0.25">
      <c r="C937" s="58"/>
    </row>
    <row r="938" spans="3:3" ht="15.75" customHeight="1" x14ac:dyDescent="0.25">
      <c r="C938" s="58"/>
    </row>
    <row r="939" spans="3:3" ht="15.75" customHeight="1" x14ac:dyDescent="0.25">
      <c r="C939" s="58"/>
    </row>
    <row r="940" spans="3:3" ht="15.75" customHeight="1" x14ac:dyDescent="0.25">
      <c r="C940" s="58"/>
    </row>
    <row r="941" spans="3:3" ht="15.75" customHeight="1" x14ac:dyDescent="0.25">
      <c r="C941" s="58"/>
    </row>
    <row r="942" spans="3:3" ht="15.75" customHeight="1" x14ac:dyDescent="0.25">
      <c r="C942" s="58"/>
    </row>
    <row r="943" spans="3:3" ht="15.75" customHeight="1" x14ac:dyDescent="0.25">
      <c r="C943" s="58"/>
    </row>
    <row r="944" spans="3:3" ht="15.75" customHeight="1" x14ac:dyDescent="0.25">
      <c r="C944" s="58"/>
    </row>
    <row r="945" spans="3:3" ht="15.75" customHeight="1" x14ac:dyDescent="0.25">
      <c r="C945" s="58"/>
    </row>
    <row r="946" spans="3:3" ht="15.75" customHeight="1" x14ac:dyDescent="0.25">
      <c r="C946" s="58"/>
    </row>
    <row r="947" spans="3:3" ht="15.75" customHeight="1" x14ac:dyDescent="0.25">
      <c r="C947" s="58"/>
    </row>
    <row r="948" spans="3:3" ht="15.75" customHeight="1" x14ac:dyDescent="0.25">
      <c r="C948" s="58"/>
    </row>
    <row r="949" spans="3:3" ht="15.75" customHeight="1" x14ac:dyDescent="0.25">
      <c r="C949" s="58"/>
    </row>
    <row r="950" spans="3:3" ht="15.75" customHeight="1" x14ac:dyDescent="0.25">
      <c r="C950" s="58"/>
    </row>
    <row r="951" spans="3:3" ht="15.75" customHeight="1" x14ac:dyDescent="0.25">
      <c r="C951" s="58"/>
    </row>
    <row r="952" spans="3:3" ht="15.75" customHeight="1" x14ac:dyDescent="0.25">
      <c r="C952" s="58"/>
    </row>
    <row r="953" spans="3:3" ht="15.75" customHeight="1" x14ac:dyDescent="0.25">
      <c r="C953" s="58"/>
    </row>
    <row r="954" spans="3:3" ht="15.75" customHeight="1" x14ac:dyDescent="0.25">
      <c r="C954" s="58"/>
    </row>
    <row r="955" spans="3:3" ht="15.75" customHeight="1" x14ac:dyDescent="0.25">
      <c r="C955" s="58"/>
    </row>
    <row r="956" spans="3:3" ht="15.75" customHeight="1" x14ac:dyDescent="0.25">
      <c r="C956" s="58"/>
    </row>
    <row r="957" spans="3:3" ht="15.75" customHeight="1" x14ac:dyDescent="0.25">
      <c r="C957" s="58"/>
    </row>
    <row r="958" spans="3:3" ht="15.75" customHeight="1" x14ac:dyDescent="0.25">
      <c r="C958" s="58"/>
    </row>
    <row r="959" spans="3:3" ht="15.75" customHeight="1" x14ac:dyDescent="0.25">
      <c r="C959" s="58"/>
    </row>
    <row r="960" spans="3:3" ht="15.75" customHeight="1" x14ac:dyDescent="0.25">
      <c r="C960" s="58"/>
    </row>
    <row r="961" spans="3:3" ht="15.75" customHeight="1" x14ac:dyDescent="0.25">
      <c r="C961" s="58"/>
    </row>
    <row r="962" spans="3:3" ht="15.75" customHeight="1" x14ac:dyDescent="0.25">
      <c r="C962" s="58"/>
    </row>
    <row r="963" spans="3:3" ht="15.75" customHeight="1" x14ac:dyDescent="0.25">
      <c r="C963" s="58"/>
    </row>
    <row r="964" spans="3:3" ht="15.75" customHeight="1" x14ac:dyDescent="0.25">
      <c r="C964" s="58"/>
    </row>
    <row r="965" spans="3:3" ht="15.75" customHeight="1" x14ac:dyDescent="0.25">
      <c r="C965" s="58"/>
    </row>
    <row r="966" spans="3:3" ht="15.75" customHeight="1" x14ac:dyDescent="0.25">
      <c r="C966" s="58"/>
    </row>
    <row r="967" spans="3:3" ht="15.75" customHeight="1" x14ac:dyDescent="0.25">
      <c r="C967" s="58"/>
    </row>
    <row r="968" spans="3:3" ht="15.75" customHeight="1" x14ac:dyDescent="0.25">
      <c r="C968" s="58"/>
    </row>
    <row r="969" spans="3:3" ht="15.75" customHeight="1" x14ac:dyDescent="0.25">
      <c r="C969" s="58"/>
    </row>
    <row r="970" spans="3:3" ht="15.75" customHeight="1" x14ac:dyDescent="0.25">
      <c r="C970" s="58"/>
    </row>
    <row r="971" spans="3:3" ht="15.75" customHeight="1" x14ac:dyDescent="0.25">
      <c r="C971" s="58"/>
    </row>
    <row r="972" spans="3:3" ht="15.75" customHeight="1" x14ac:dyDescent="0.25">
      <c r="C972" s="58"/>
    </row>
    <row r="973" spans="3:3" ht="15.75" customHeight="1" x14ac:dyDescent="0.25">
      <c r="C973" s="58"/>
    </row>
    <row r="974" spans="3:3" ht="15.75" customHeight="1" x14ac:dyDescent="0.25">
      <c r="C974" s="58"/>
    </row>
    <row r="975" spans="3:3" ht="15.75" customHeight="1" x14ac:dyDescent="0.25">
      <c r="C975" s="58"/>
    </row>
    <row r="976" spans="3:3" ht="15.75" customHeight="1" x14ac:dyDescent="0.25">
      <c r="C976" s="58"/>
    </row>
    <row r="977" spans="3:3" ht="15.75" customHeight="1" x14ac:dyDescent="0.25">
      <c r="C977" s="58"/>
    </row>
    <row r="978" spans="3:3" ht="15.75" customHeight="1" x14ac:dyDescent="0.25">
      <c r="C978" s="58"/>
    </row>
    <row r="979" spans="3:3" ht="15.75" customHeight="1" x14ac:dyDescent="0.25">
      <c r="C979" s="58"/>
    </row>
    <row r="980" spans="3:3" ht="15.75" customHeight="1" x14ac:dyDescent="0.25">
      <c r="C980" s="58"/>
    </row>
    <row r="981" spans="3:3" ht="15.75" customHeight="1" x14ac:dyDescent="0.25">
      <c r="C981" s="58"/>
    </row>
    <row r="982" spans="3:3" ht="15.75" customHeight="1" x14ac:dyDescent="0.25">
      <c r="C982" s="58"/>
    </row>
    <row r="983" spans="3:3" ht="15.75" customHeight="1" x14ac:dyDescent="0.25">
      <c r="C983" s="58"/>
    </row>
    <row r="984" spans="3:3" ht="15.75" customHeight="1" x14ac:dyDescent="0.25">
      <c r="C984" s="58"/>
    </row>
    <row r="985" spans="3:3" ht="15.75" customHeight="1" x14ac:dyDescent="0.25">
      <c r="C985" s="58"/>
    </row>
    <row r="986" spans="3:3" ht="15.75" customHeight="1" x14ac:dyDescent="0.25">
      <c r="C986" s="58"/>
    </row>
    <row r="987" spans="3:3" ht="15.75" customHeight="1" x14ac:dyDescent="0.25">
      <c r="C987" s="58"/>
    </row>
    <row r="988" spans="3:3" ht="15.75" customHeight="1" x14ac:dyDescent="0.25">
      <c r="C988" s="58"/>
    </row>
    <row r="989" spans="3:3" ht="15.75" customHeight="1" x14ac:dyDescent="0.25">
      <c r="C989" s="58"/>
    </row>
    <row r="990" spans="3:3" ht="15.75" customHeight="1" x14ac:dyDescent="0.25">
      <c r="C990" s="58"/>
    </row>
    <row r="991" spans="3:3" ht="15.75" customHeight="1" x14ac:dyDescent="0.25">
      <c r="C991" s="58"/>
    </row>
    <row r="992" spans="3:3" ht="15.75" customHeight="1" x14ac:dyDescent="0.25">
      <c r="C992" s="58"/>
    </row>
    <row r="993" spans="3:3" ht="15.75" customHeight="1" x14ac:dyDescent="0.25">
      <c r="C993" s="58"/>
    </row>
    <row r="994" spans="3:3" ht="15.75" customHeight="1" x14ac:dyDescent="0.25">
      <c r="C994" s="58"/>
    </row>
    <row r="995" spans="3:3" ht="15.75" customHeight="1" x14ac:dyDescent="0.25">
      <c r="C995" s="58"/>
    </row>
    <row r="996" spans="3:3" ht="15.75" customHeight="1" x14ac:dyDescent="0.25">
      <c r="C996" s="58"/>
    </row>
    <row r="997" spans="3:3" ht="15.75" customHeight="1" x14ac:dyDescent="0.25">
      <c r="C997" s="58"/>
    </row>
    <row r="998" spans="3:3" ht="15.75" customHeight="1" x14ac:dyDescent="0.25">
      <c r="C998" s="58"/>
    </row>
    <row r="999" spans="3:3" ht="15.75" customHeight="1" x14ac:dyDescent="0.25">
      <c r="C999" s="58"/>
    </row>
    <row r="1000" spans="3:3" ht="15.75" customHeight="1" x14ac:dyDescent="0.25">
      <c r="C1000" s="58"/>
    </row>
    <row r="1001" spans="3:3" ht="15.75" customHeight="1" x14ac:dyDescent="0.25">
      <c r="C1001" s="58"/>
    </row>
    <row r="1002" spans="3:3" ht="15.75" customHeight="1" x14ac:dyDescent="0.25">
      <c r="C1002" s="58"/>
    </row>
    <row r="1003" spans="3:3" ht="15.75" customHeight="1" x14ac:dyDescent="0.25">
      <c r="C1003" s="58"/>
    </row>
  </sheetData>
  <conditionalFormatting sqref="B70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PROPOSTAS RESUMO</vt:lpstr>
      <vt:lpstr>PROPOSTAS LISTA  </vt:lpstr>
      <vt:lpstr>TABELA DE PRECOS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2026-02-24T18:18:45Z</dcterms:created>
  <dcterms:modified xsi:type="dcterms:W3CDTF">2026-03-20T14:04:42Z</dcterms:modified>
</cp:coreProperties>
</file>